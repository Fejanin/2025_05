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Донецк\"/>
    </mc:Choice>
  </mc:AlternateContent>
  <xr:revisionPtr revIDLastSave="0" documentId="13_ncr:1_{7305684B-A01E-4AD4-9EC7-6853CEB224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9" i="1" l="1"/>
  <c r="Y27" i="1"/>
  <c r="Y35" i="1"/>
  <c r="Y43" i="1"/>
  <c r="Y51" i="1"/>
  <c r="Y59" i="1"/>
  <c r="Y67" i="1"/>
  <c r="Y75" i="1"/>
  <c r="Y83" i="1"/>
  <c r="Y91" i="1"/>
  <c r="Y99" i="1"/>
  <c r="Y107" i="1"/>
  <c r="Y11" i="1"/>
  <c r="T12" i="1"/>
  <c r="Y12" i="1" s="1"/>
  <c r="T13" i="1"/>
  <c r="T14" i="1"/>
  <c r="T15" i="1"/>
  <c r="T16" i="1"/>
  <c r="Y16" i="1" s="1"/>
  <c r="T17" i="1"/>
  <c r="Y17" i="1" s="1"/>
  <c r="T18" i="1"/>
  <c r="Y18" i="1" s="1"/>
  <c r="T19" i="1"/>
  <c r="T20" i="1"/>
  <c r="T21" i="1"/>
  <c r="Y21" i="1" s="1"/>
  <c r="T22" i="1"/>
  <c r="T23" i="1"/>
  <c r="T24" i="1"/>
  <c r="Y24" i="1" s="1"/>
  <c r="T25" i="1"/>
  <c r="T26" i="1"/>
  <c r="T27" i="1"/>
  <c r="T28" i="1"/>
  <c r="Y28" i="1" s="1"/>
  <c r="T29" i="1"/>
  <c r="Y29" i="1" s="1"/>
  <c r="T30" i="1"/>
  <c r="Y30" i="1" s="1"/>
  <c r="T31" i="1"/>
  <c r="T32" i="1"/>
  <c r="T33" i="1"/>
  <c r="T34" i="1"/>
  <c r="Y34" i="1" s="1"/>
  <c r="T35" i="1"/>
  <c r="T36" i="1"/>
  <c r="T37" i="1"/>
  <c r="T38" i="1"/>
  <c r="Y38" i="1" s="1"/>
  <c r="T39" i="1"/>
  <c r="Y39" i="1" s="1"/>
  <c r="T40" i="1"/>
  <c r="Y40" i="1" s="1"/>
  <c r="T41" i="1"/>
  <c r="Y41" i="1" s="1"/>
  <c r="T42" i="1"/>
  <c r="Y42" i="1" s="1"/>
  <c r="T43" i="1"/>
  <c r="T44" i="1"/>
  <c r="T45" i="1"/>
  <c r="Y45" i="1" s="1"/>
  <c r="T46" i="1"/>
  <c r="T47" i="1"/>
  <c r="Y47" i="1" s="1"/>
  <c r="T48" i="1"/>
  <c r="Y48" i="1" s="1"/>
  <c r="T49" i="1"/>
  <c r="Y49" i="1" s="1"/>
  <c r="T50" i="1"/>
  <c r="T51" i="1"/>
  <c r="T52" i="1"/>
  <c r="T53" i="1"/>
  <c r="Y53" i="1" s="1"/>
  <c r="T54" i="1"/>
  <c r="Y54" i="1" s="1"/>
  <c r="T55" i="1"/>
  <c r="Y55" i="1" s="1"/>
  <c r="T56" i="1"/>
  <c r="Y56" i="1" s="1"/>
  <c r="T57" i="1"/>
  <c r="Y57" i="1" s="1"/>
  <c r="T58" i="1"/>
  <c r="Y58" i="1" s="1"/>
  <c r="T59" i="1"/>
  <c r="T60" i="1"/>
  <c r="Y60" i="1" s="1"/>
  <c r="T61" i="1"/>
  <c r="Y61" i="1" s="1"/>
  <c r="T62" i="1"/>
  <c r="T63" i="1"/>
  <c r="Y63" i="1" s="1"/>
  <c r="T64" i="1"/>
  <c r="Y64" i="1" s="1"/>
  <c r="T65" i="1"/>
  <c r="T66" i="1"/>
  <c r="Y66" i="1" s="1"/>
  <c r="T67" i="1"/>
  <c r="T68" i="1"/>
  <c r="Y68" i="1" s="1"/>
  <c r="T69" i="1"/>
  <c r="Y69" i="1" s="1"/>
  <c r="T70" i="1"/>
  <c r="Y70" i="1" s="1"/>
  <c r="T71" i="1"/>
  <c r="Y71" i="1" s="1"/>
  <c r="T72" i="1"/>
  <c r="T73" i="1"/>
  <c r="T74" i="1"/>
  <c r="Y74" i="1" s="1"/>
  <c r="T75" i="1"/>
  <c r="T76" i="1"/>
  <c r="T77" i="1"/>
  <c r="Y77" i="1" s="1"/>
  <c r="T78" i="1"/>
  <c r="Y78" i="1" s="1"/>
  <c r="T79" i="1"/>
  <c r="Y79" i="1" s="1"/>
  <c r="T80" i="1"/>
  <c r="T81" i="1"/>
  <c r="T82" i="1"/>
  <c r="Y82" i="1" s="1"/>
  <c r="T83" i="1"/>
  <c r="T84" i="1"/>
  <c r="T85" i="1"/>
  <c r="Y85" i="1" s="1"/>
  <c r="T86" i="1"/>
  <c r="T87" i="1"/>
  <c r="T88" i="1"/>
  <c r="T89" i="1"/>
  <c r="Y89" i="1" s="1"/>
  <c r="T90" i="1"/>
  <c r="Y90" i="1" s="1"/>
  <c r="T91" i="1"/>
  <c r="T92" i="1"/>
  <c r="Y92" i="1" s="1"/>
  <c r="T93" i="1"/>
  <c r="Y93" i="1" s="1"/>
  <c r="T94" i="1"/>
  <c r="Y94" i="1" s="1"/>
  <c r="T95" i="1"/>
  <c r="Y95" i="1" s="1"/>
  <c r="T96" i="1"/>
  <c r="Y96" i="1" s="1"/>
  <c r="T97" i="1"/>
  <c r="Y97" i="1" s="1"/>
  <c r="T98" i="1"/>
  <c r="T99" i="1"/>
  <c r="T100" i="1"/>
  <c r="T101" i="1"/>
  <c r="T102" i="1"/>
  <c r="Y102" i="1" s="1"/>
  <c r="T103" i="1"/>
  <c r="T104" i="1"/>
  <c r="T105" i="1"/>
  <c r="Y105" i="1" s="1"/>
  <c r="T106" i="1"/>
  <c r="T107" i="1"/>
  <c r="T108" i="1"/>
  <c r="Y108" i="1" s="1"/>
  <c r="T109" i="1"/>
  <c r="Y109" i="1" s="1"/>
  <c r="T110" i="1"/>
  <c r="T111" i="1"/>
  <c r="Y111" i="1" s="1"/>
  <c r="T112" i="1"/>
  <c r="Y112" i="1" s="1"/>
  <c r="T113" i="1"/>
  <c r="T114" i="1"/>
  <c r="Y114" i="1" s="1"/>
  <c r="T11" i="1"/>
  <c r="M55" i="1"/>
  <c r="M56" i="1"/>
  <c r="M58" i="1"/>
  <c r="M60" i="1"/>
  <c r="M62" i="1"/>
  <c r="M64" i="1"/>
  <c r="M66" i="1"/>
  <c r="M68" i="1"/>
  <c r="M70" i="1"/>
  <c r="M72" i="1"/>
  <c r="M74" i="1"/>
  <c r="M76" i="1"/>
  <c r="M78" i="1"/>
  <c r="M80" i="1"/>
  <c r="M83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6" i="1"/>
  <c r="L57" i="1"/>
  <c r="M57" i="1" s="1"/>
  <c r="L58" i="1"/>
  <c r="L59" i="1"/>
  <c r="M59" i="1" s="1"/>
  <c r="L60" i="1"/>
  <c r="L61" i="1"/>
  <c r="M61" i="1" s="1"/>
  <c r="L62" i="1"/>
  <c r="L63" i="1"/>
  <c r="M63" i="1" s="1"/>
  <c r="L64" i="1"/>
  <c r="L65" i="1"/>
  <c r="M65" i="1" s="1"/>
  <c r="L66" i="1"/>
  <c r="L67" i="1"/>
  <c r="M67" i="1" s="1"/>
  <c r="L68" i="1"/>
  <c r="L69" i="1"/>
  <c r="M69" i="1" s="1"/>
  <c r="L70" i="1"/>
  <c r="L71" i="1"/>
  <c r="M71" i="1" s="1"/>
  <c r="L72" i="1"/>
  <c r="L73" i="1"/>
  <c r="M73" i="1" s="1"/>
  <c r="L74" i="1"/>
  <c r="L75" i="1"/>
  <c r="M75" i="1" s="1"/>
  <c r="L76" i="1"/>
  <c r="L77" i="1"/>
  <c r="M77" i="1" s="1"/>
  <c r="L78" i="1"/>
  <c r="L79" i="1"/>
  <c r="M79" i="1" s="1"/>
  <c r="L80" i="1"/>
  <c r="L81" i="1"/>
  <c r="M81" i="1" s="1"/>
  <c r="L82" i="1"/>
  <c r="M82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" i="1"/>
  <c r="M11" i="1" s="1"/>
  <c r="Y110" i="1" l="1"/>
  <c r="Y106" i="1"/>
  <c r="Y104" i="1"/>
  <c r="Y100" i="1"/>
  <c r="Y98" i="1"/>
  <c r="Y88" i="1"/>
  <c r="Y86" i="1"/>
  <c r="Y84" i="1"/>
  <c r="Y80" i="1"/>
  <c r="Y76" i="1"/>
  <c r="Y72" i="1"/>
  <c r="Y62" i="1"/>
  <c r="Y52" i="1"/>
  <c r="Y50" i="1"/>
  <c r="Y46" i="1"/>
  <c r="Y44" i="1"/>
  <c r="Y36" i="1"/>
  <c r="Y32" i="1"/>
  <c r="Y26" i="1"/>
  <c r="Y22" i="1"/>
  <c r="Y20" i="1"/>
  <c r="Y14" i="1"/>
  <c r="Y113" i="1"/>
  <c r="Y101" i="1"/>
  <c r="Y81" i="1"/>
  <c r="Y73" i="1"/>
  <c r="Y65" i="1"/>
  <c r="Y37" i="1"/>
  <c r="Y33" i="1"/>
  <c r="Y25" i="1"/>
  <c r="Y13" i="1"/>
  <c r="Y103" i="1"/>
  <c r="Y87" i="1"/>
  <c r="Y31" i="1"/>
  <c r="Y23" i="1"/>
  <c r="Y15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" i="1"/>
  <c r="O12" i="1"/>
  <c r="U12" i="1" s="1"/>
  <c r="AE12" i="1" s="1"/>
  <c r="O13" i="1"/>
  <c r="O14" i="1"/>
  <c r="U14" i="1" s="1"/>
  <c r="AE14" i="1" s="1"/>
  <c r="O15" i="1"/>
  <c r="O16" i="1"/>
  <c r="O17" i="1"/>
  <c r="X17" i="1" s="1"/>
  <c r="O18" i="1"/>
  <c r="X18" i="1" s="1"/>
  <c r="O19" i="1"/>
  <c r="O20" i="1"/>
  <c r="U20" i="1" s="1"/>
  <c r="AE20" i="1" s="1"/>
  <c r="O21" i="1"/>
  <c r="X21" i="1" s="1"/>
  <c r="O22" i="1"/>
  <c r="O23" i="1"/>
  <c r="O24" i="1"/>
  <c r="X24" i="1" s="1"/>
  <c r="O25" i="1"/>
  <c r="O26" i="1"/>
  <c r="U26" i="1" s="1"/>
  <c r="AE26" i="1" s="1"/>
  <c r="O27" i="1"/>
  <c r="O28" i="1"/>
  <c r="U28" i="1" s="1"/>
  <c r="AE28" i="1" s="1"/>
  <c r="O29" i="1"/>
  <c r="X29" i="1" s="1"/>
  <c r="O30" i="1"/>
  <c r="X30" i="1" s="1"/>
  <c r="O31" i="1"/>
  <c r="O32" i="1"/>
  <c r="U32" i="1" s="1"/>
  <c r="AE32" i="1" s="1"/>
  <c r="O33" i="1"/>
  <c r="O34" i="1"/>
  <c r="O35" i="1"/>
  <c r="U35" i="1" s="1"/>
  <c r="O36" i="1"/>
  <c r="U36" i="1" s="1"/>
  <c r="AE36" i="1" s="1"/>
  <c r="O37" i="1"/>
  <c r="O38" i="1"/>
  <c r="X38" i="1" s="1"/>
  <c r="O39" i="1"/>
  <c r="X39" i="1" s="1"/>
  <c r="O40" i="1"/>
  <c r="X40" i="1" s="1"/>
  <c r="O41" i="1"/>
  <c r="O42" i="1"/>
  <c r="X42" i="1" s="1"/>
  <c r="O43" i="1"/>
  <c r="O44" i="1"/>
  <c r="U44" i="1" s="1"/>
  <c r="AE44" i="1" s="1"/>
  <c r="O45" i="1"/>
  <c r="X45" i="1" s="1"/>
  <c r="O46" i="1"/>
  <c r="O47" i="1"/>
  <c r="X47" i="1" s="1"/>
  <c r="O48" i="1"/>
  <c r="U48" i="1" s="1"/>
  <c r="AE48" i="1" s="1"/>
  <c r="O49" i="1"/>
  <c r="X49" i="1" s="1"/>
  <c r="O50" i="1"/>
  <c r="O51" i="1"/>
  <c r="X51" i="1" s="1"/>
  <c r="O52" i="1"/>
  <c r="U52" i="1" s="1"/>
  <c r="AE52" i="1" s="1"/>
  <c r="O53" i="1"/>
  <c r="X53" i="1" s="1"/>
  <c r="O54" i="1"/>
  <c r="X54" i="1" s="1"/>
  <c r="O55" i="1"/>
  <c r="X55" i="1" s="1"/>
  <c r="O56" i="1"/>
  <c r="X56" i="1" s="1"/>
  <c r="O57" i="1"/>
  <c r="X57" i="1" s="1"/>
  <c r="O58" i="1"/>
  <c r="X58" i="1" s="1"/>
  <c r="O59" i="1"/>
  <c r="O60" i="1"/>
  <c r="X60" i="1" s="1"/>
  <c r="O61" i="1"/>
  <c r="O62" i="1"/>
  <c r="O63" i="1"/>
  <c r="X63" i="1" s="1"/>
  <c r="O64" i="1"/>
  <c r="X64" i="1" s="1"/>
  <c r="O65" i="1"/>
  <c r="O66" i="1"/>
  <c r="X66" i="1" s="1"/>
  <c r="O67" i="1"/>
  <c r="O68" i="1"/>
  <c r="O69" i="1"/>
  <c r="X69" i="1" s="1"/>
  <c r="O70" i="1"/>
  <c r="X70" i="1" s="1"/>
  <c r="O71" i="1"/>
  <c r="X71" i="1" s="1"/>
  <c r="O72" i="1"/>
  <c r="O73" i="1"/>
  <c r="O74" i="1"/>
  <c r="X74" i="1" s="1"/>
  <c r="O75" i="1"/>
  <c r="X75" i="1" s="1"/>
  <c r="O76" i="1"/>
  <c r="O77" i="1"/>
  <c r="O78" i="1"/>
  <c r="X78" i="1" s="1"/>
  <c r="O79" i="1"/>
  <c r="X79" i="1" s="1"/>
  <c r="O80" i="1"/>
  <c r="O81" i="1"/>
  <c r="O82" i="1"/>
  <c r="X82" i="1" s="1"/>
  <c r="O83" i="1"/>
  <c r="X83" i="1" s="1"/>
  <c r="O84" i="1"/>
  <c r="O85" i="1"/>
  <c r="O86" i="1"/>
  <c r="O87" i="1"/>
  <c r="O88" i="1"/>
  <c r="O89" i="1"/>
  <c r="X89" i="1" s="1"/>
  <c r="O90" i="1"/>
  <c r="X90" i="1" s="1"/>
  <c r="O91" i="1"/>
  <c r="X91" i="1" s="1"/>
  <c r="O92" i="1"/>
  <c r="X92" i="1" s="1"/>
  <c r="O93" i="1"/>
  <c r="X93" i="1" s="1"/>
  <c r="O94" i="1"/>
  <c r="X94" i="1" s="1"/>
  <c r="O95" i="1"/>
  <c r="X95" i="1" s="1"/>
  <c r="O96" i="1"/>
  <c r="O97" i="1"/>
  <c r="X97" i="1" s="1"/>
  <c r="O98" i="1"/>
  <c r="O99" i="1"/>
  <c r="X99" i="1" s="1"/>
  <c r="O100" i="1"/>
  <c r="U100" i="1" s="1"/>
  <c r="AE100" i="1" s="1"/>
  <c r="O101" i="1"/>
  <c r="O102" i="1"/>
  <c r="X102" i="1" s="1"/>
  <c r="O103" i="1"/>
  <c r="O104" i="1"/>
  <c r="O105" i="1"/>
  <c r="X105" i="1" s="1"/>
  <c r="O106" i="1"/>
  <c r="U106" i="1" s="1"/>
  <c r="AE106" i="1" s="1"/>
  <c r="O107" i="1"/>
  <c r="X107" i="1" s="1"/>
  <c r="O108" i="1"/>
  <c r="X108" i="1" s="1"/>
  <c r="O109" i="1"/>
  <c r="X109" i="1" s="1"/>
  <c r="O110" i="1"/>
  <c r="O111" i="1"/>
  <c r="X111" i="1" s="1"/>
  <c r="O112" i="1"/>
  <c r="X112" i="1" s="1"/>
  <c r="O113" i="1"/>
  <c r="O114" i="1"/>
  <c r="X114" i="1" s="1"/>
  <c r="O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" i="1"/>
  <c r="H12" i="1"/>
  <c r="H13" i="1"/>
  <c r="H14" i="1"/>
  <c r="H15" i="1"/>
  <c r="H16" i="1"/>
  <c r="H17" i="1"/>
  <c r="AE17" i="1" s="1"/>
  <c r="H18" i="1"/>
  <c r="AE18" i="1" s="1"/>
  <c r="H19" i="1"/>
  <c r="H20" i="1"/>
  <c r="H21" i="1"/>
  <c r="AE21" i="1" s="1"/>
  <c r="H22" i="1"/>
  <c r="H23" i="1"/>
  <c r="H24" i="1"/>
  <c r="AE24" i="1" s="1"/>
  <c r="H25" i="1"/>
  <c r="H26" i="1"/>
  <c r="H27" i="1"/>
  <c r="H28" i="1"/>
  <c r="H29" i="1"/>
  <c r="AE29" i="1" s="1"/>
  <c r="H30" i="1"/>
  <c r="AE30" i="1" s="1"/>
  <c r="H31" i="1"/>
  <c r="H32" i="1"/>
  <c r="H33" i="1"/>
  <c r="H34" i="1"/>
  <c r="H35" i="1"/>
  <c r="H36" i="1"/>
  <c r="H37" i="1"/>
  <c r="H38" i="1"/>
  <c r="AE38" i="1" s="1"/>
  <c r="H39" i="1"/>
  <c r="AE39" i="1" s="1"/>
  <c r="H40" i="1"/>
  <c r="AE40" i="1" s="1"/>
  <c r="H41" i="1"/>
  <c r="H42" i="1"/>
  <c r="AE42" i="1" s="1"/>
  <c r="H43" i="1"/>
  <c r="H44" i="1"/>
  <c r="H45" i="1"/>
  <c r="AE45" i="1" s="1"/>
  <c r="H46" i="1"/>
  <c r="H47" i="1"/>
  <c r="AE47" i="1" s="1"/>
  <c r="H48" i="1"/>
  <c r="H49" i="1"/>
  <c r="AE49" i="1" s="1"/>
  <c r="H50" i="1"/>
  <c r="H51" i="1"/>
  <c r="AE51" i="1" s="1"/>
  <c r="H52" i="1"/>
  <c r="H53" i="1"/>
  <c r="AE53" i="1" s="1"/>
  <c r="H54" i="1"/>
  <c r="AE54" i="1" s="1"/>
  <c r="H55" i="1"/>
  <c r="AE55" i="1" s="1"/>
  <c r="H56" i="1"/>
  <c r="AE56" i="1" s="1"/>
  <c r="H57" i="1"/>
  <c r="AE57" i="1" s="1"/>
  <c r="H58" i="1"/>
  <c r="AE58" i="1" s="1"/>
  <c r="H59" i="1"/>
  <c r="H60" i="1"/>
  <c r="AE60" i="1" s="1"/>
  <c r="H61" i="1"/>
  <c r="H62" i="1"/>
  <c r="H63" i="1"/>
  <c r="AE63" i="1" s="1"/>
  <c r="H64" i="1"/>
  <c r="AE64" i="1" s="1"/>
  <c r="H65" i="1"/>
  <c r="H66" i="1"/>
  <c r="AE66" i="1" s="1"/>
  <c r="H67" i="1"/>
  <c r="H68" i="1"/>
  <c r="H69" i="1"/>
  <c r="AE69" i="1" s="1"/>
  <c r="H70" i="1"/>
  <c r="AE70" i="1" s="1"/>
  <c r="H71" i="1"/>
  <c r="AE71" i="1" s="1"/>
  <c r="H72" i="1"/>
  <c r="H73" i="1"/>
  <c r="H74" i="1"/>
  <c r="AE74" i="1" s="1"/>
  <c r="H75" i="1"/>
  <c r="AE75" i="1" s="1"/>
  <c r="H76" i="1"/>
  <c r="H77" i="1"/>
  <c r="H78" i="1"/>
  <c r="AE78" i="1" s="1"/>
  <c r="H79" i="1"/>
  <c r="AE79" i="1" s="1"/>
  <c r="H80" i="1"/>
  <c r="H81" i="1"/>
  <c r="H82" i="1"/>
  <c r="AE82" i="1" s="1"/>
  <c r="H83" i="1"/>
  <c r="AE83" i="1" s="1"/>
  <c r="H84" i="1"/>
  <c r="H85" i="1"/>
  <c r="H86" i="1"/>
  <c r="H87" i="1"/>
  <c r="H88" i="1"/>
  <c r="H89" i="1"/>
  <c r="AE89" i="1" s="1"/>
  <c r="H90" i="1"/>
  <c r="AE90" i="1" s="1"/>
  <c r="H91" i="1"/>
  <c r="AE91" i="1" s="1"/>
  <c r="H92" i="1"/>
  <c r="AE92" i="1" s="1"/>
  <c r="H93" i="1"/>
  <c r="AE93" i="1" s="1"/>
  <c r="H94" i="1"/>
  <c r="AE94" i="1" s="1"/>
  <c r="H95" i="1"/>
  <c r="AE95" i="1" s="1"/>
  <c r="H96" i="1"/>
  <c r="H97" i="1"/>
  <c r="AE97" i="1" s="1"/>
  <c r="H98" i="1"/>
  <c r="H99" i="1"/>
  <c r="AE99" i="1" s="1"/>
  <c r="H100" i="1"/>
  <c r="H101" i="1"/>
  <c r="H102" i="1"/>
  <c r="AE102" i="1" s="1"/>
  <c r="H103" i="1"/>
  <c r="H104" i="1"/>
  <c r="H105" i="1"/>
  <c r="AE105" i="1" s="1"/>
  <c r="H106" i="1"/>
  <c r="H107" i="1"/>
  <c r="AE107" i="1" s="1"/>
  <c r="H108" i="1"/>
  <c r="AE108" i="1" s="1"/>
  <c r="H109" i="1"/>
  <c r="AE109" i="1" s="1"/>
  <c r="H110" i="1"/>
  <c r="H111" i="1"/>
  <c r="AE111" i="1" s="1"/>
  <c r="H112" i="1"/>
  <c r="AE112" i="1" s="1"/>
  <c r="H113" i="1"/>
  <c r="H114" i="1"/>
  <c r="AE114" i="1" s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" i="1"/>
  <c r="D10" i="1"/>
  <c r="E10" i="1"/>
  <c r="F10" i="1"/>
  <c r="C10" i="1"/>
  <c r="V10" i="1"/>
  <c r="T10" i="1"/>
  <c r="N10" i="1"/>
  <c r="M10" i="1"/>
  <c r="L10" i="1"/>
  <c r="X35" i="1" l="1"/>
  <c r="AE35" i="1"/>
  <c r="U11" i="1"/>
  <c r="U77" i="1"/>
  <c r="AE77" i="1" s="1"/>
  <c r="X61" i="1"/>
  <c r="U61" i="1"/>
  <c r="AE61" i="1" s="1"/>
  <c r="X41" i="1"/>
  <c r="U41" i="1"/>
  <c r="AE41" i="1" s="1"/>
  <c r="P10" i="1"/>
  <c r="AA10" i="1"/>
  <c r="AB10" i="1"/>
  <c r="AC10" i="1"/>
  <c r="U85" i="1"/>
  <c r="AE85" i="1" s="1"/>
  <c r="U15" i="1"/>
  <c r="AE15" i="1" s="1"/>
  <c r="U27" i="1"/>
  <c r="AE27" i="1" s="1"/>
  <c r="U37" i="1"/>
  <c r="AE37" i="1" s="1"/>
  <c r="U59" i="1"/>
  <c r="AE59" i="1" s="1"/>
  <c r="U65" i="1"/>
  <c r="AE65" i="1" s="1"/>
  <c r="U87" i="1"/>
  <c r="AE87" i="1" s="1"/>
  <c r="U101" i="1"/>
  <c r="AE101" i="1" s="1"/>
  <c r="U113" i="1"/>
  <c r="AE113" i="1" s="1"/>
  <c r="U23" i="1"/>
  <c r="AE23" i="1" s="1"/>
  <c r="X106" i="1"/>
  <c r="X100" i="1"/>
  <c r="X52" i="1"/>
  <c r="X48" i="1"/>
  <c r="X44" i="1"/>
  <c r="X36" i="1"/>
  <c r="X32" i="1"/>
  <c r="X28" i="1"/>
  <c r="X26" i="1"/>
  <c r="X20" i="1"/>
  <c r="X14" i="1"/>
  <c r="X12" i="1"/>
  <c r="U34" i="1"/>
  <c r="AE34" i="1" s="1"/>
  <c r="U68" i="1"/>
  <c r="AE68" i="1" s="1"/>
  <c r="U13" i="1"/>
  <c r="AE13" i="1" s="1"/>
  <c r="U19" i="1"/>
  <c r="AE19" i="1" s="1"/>
  <c r="U25" i="1"/>
  <c r="AE25" i="1" s="1"/>
  <c r="U31" i="1"/>
  <c r="AE31" i="1" s="1"/>
  <c r="U33" i="1"/>
  <c r="AE33" i="1" s="1"/>
  <c r="U43" i="1"/>
  <c r="AE43" i="1" s="1"/>
  <c r="U67" i="1"/>
  <c r="AE67" i="1" s="1"/>
  <c r="U73" i="1"/>
  <c r="AE73" i="1" s="1"/>
  <c r="U81" i="1"/>
  <c r="AE81" i="1" s="1"/>
  <c r="U16" i="1"/>
  <c r="AE16" i="1" s="1"/>
  <c r="U96" i="1"/>
  <c r="AE96" i="1" s="1"/>
  <c r="U22" i="1"/>
  <c r="AE22" i="1" s="1"/>
  <c r="U46" i="1"/>
  <c r="AE46" i="1" s="1"/>
  <c r="U50" i="1"/>
  <c r="AE50" i="1" s="1"/>
  <c r="U62" i="1"/>
  <c r="AE62" i="1" s="1"/>
  <c r="U72" i="1"/>
  <c r="AE72" i="1" s="1"/>
  <c r="U76" i="1"/>
  <c r="AE76" i="1" s="1"/>
  <c r="U80" i="1"/>
  <c r="AE80" i="1" s="1"/>
  <c r="U84" i="1"/>
  <c r="AE84" i="1" s="1"/>
  <c r="U86" i="1"/>
  <c r="AE86" i="1" s="1"/>
  <c r="U88" i="1"/>
  <c r="AE88" i="1" s="1"/>
  <c r="U98" i="1"/>
  <c r="AE98" i="1" s="1"/>
  <c r="U104" i="1"/>
  <c r="AE104" i="1" s="1"/>
  <c r="U110" i="1"/>
  <c r="AE110" i="1" s="1"/>
  <c r="U103" i="1"/>
  <c r="AE103" i="1" s="1"/>
  <c r="Z10" i="1"/>
  <c r="S10" i="1"/>
  <c r="R10" i="1"/>
  <c r="Q10" i="1"/>
  <c r="O10" i="1"/>
  <c r="X46" i="1" l="1"/>
  <c r="X50" i="1"/>
  <c r="X62" i="1"/>
  <c r="X72" i="1"/>
  <c r="X80" i="1"/>
  <c r="X86" i="1"/>
  <c r="X96" i="1"/>
  <c r="X13" i="1"/>
  <c r="X19" i="1"/>
  <c r="X25" i="1"/>
  <c r="X31" i="1"/>
  <c r="X37" i="1"/>
  <c r="X59" i="1"/>
  <c r="X67" i="1"/>
  <c r="X81" i="1"/>
  <c r="X87" i="1"/>
  <c r="X103" i="1"/>
  <c r="AE11" i="1"/>
  <c r="AE10" i="1" s="1"/>
  <c r="U10" i="1"/>
  <c r="X16" i="1"/>
  <c r="X22" i="1"/>
  <c r="X34" i="1"/>
  <c r="X68" i="1"/>
  <c r="X76" i="1"/>
  <c r="X84" i="1"/>
  <c r="X88" i="1"/>
  <c r="X98" i="1"/>
  <c r="X104" i="1"/>
  <c r="X110" i="1"/>
  <c r="X15" i="1"/>
  <c r="X23" i="1"/>
  <c r="X27" i="1"/>
  <c r="X33" i="1"/>
  <c r="X43" i="1"/>
  <c r="X65" i="1"/>
  <c r="X73" i="1"/>
  <c r="X77" i="1"/>
  <c r="X85" i="1"/>
  <c r="X101" i="1"/>
  <c r="X113" i="1"/>
  <c r="X11" i="1"/>
</calcChain>
</file>

<file path=xl/sharedStrings.xml><?xml version="1.0" encoding="utf-8"?>
<sst xmlns="http://schemas.openxmlformats.org/spreadsheetml/2006/main" count="263" uniqueCount="148">
  <si>
    <t>Ведомость по товарам на складах</t>
  </si>
  <si>
    <t>Период: 16.06.2026 - 23.06.2026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</si>
  <si>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</si>
  <si>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</si>
  <si>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</si>
  <si>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</si>
  <si>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</si>
  <si>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</si>
  <si>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</si>
  <si>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</si>
  <si>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</si>
  <si>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</si>
  <si>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</si>
  <si>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</si>
  <si>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</si>
  <si>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</si>
  <si>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</si>
  <si>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</si>
  <si>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</si>
  <si>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</si>
  <si>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</si>
  <si>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</si>
  <si>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</si>
  <si>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</si>
  <si>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</si>
  <si>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</si>
  <si>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</si>
  <si>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</si>
  <si>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</si>
  <si>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</si>
  <si>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</si>
  <si>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</si>
  <si>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</si>
  <si>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</si>
  <si>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</si>
  <si>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</si>
  <si>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</si>
  <si>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</si>
  <si>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</si>
  <si>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</si>
  <si>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</si>
  <si>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</si>
  <si>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</si>
  <si>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</si>
  <si>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</si>
  <si>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</si>
  <si>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</si>
  <si>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</si>
  <si>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</si>
  <si>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</si>
  <si>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</si>
  <si>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</si>
  <si>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</si>
  <si>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</si>
  <si>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</si>
  <si>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</si>
  <si>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</si>
  <si>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</si>
  <si>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</si>
  <si>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</si>
  <si>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</si>
  <si>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</si>
  <si>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</si>
  <si>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</si>
  <si>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</si>
  <si>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</si>
  <si>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</si>
  <si>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</si>
  <si>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</si>
  <si>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</si>
  <si>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</si>
  <si>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</si>
  <si>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</si>
  <si>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</si>
  <si>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</si>
  <si>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</si>
  <si>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</si>
  <si>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</si>
  <si>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</si>
  <si>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</si>
  <si>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</si>
  <si>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</si>
  <si>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</si>
  <si>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</si>
  <si>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</si>
  <si>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</si>
  <si>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</si>
  <si>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</si>
  <si>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</si>
  <si>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</si>
  <si>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</si>
  <si>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</si>
  <si>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</si>
  <si>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</si>
  <si>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</si>
  <si>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</si>
  <si>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</si>
  <si>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</si>
  <si>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</si>
  <si>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</si>
  <si>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</si>
  <si>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</si>
  <si>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</si>
  <si>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</si>
  <si>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</si>
  <si>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</si>
  <si>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</si>
  <si>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</si>
  <si>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</si>
  <si>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</si>
  <si>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</si>
  <si>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</si>
  <si>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</si>
  <si>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</si>
  <si>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</si>
  <si>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</si>
  <si>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</si>
  <si>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</si>
  <si>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</si>
  <si>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</si>
  <si>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</si>
  <si>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</si>
  <si>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</si>
  <si>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</si>
  <si>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</si>
  <si>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</si>
  <si>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</si>
  <si>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</si>
  <si>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</si>
  <si>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</si>
  <si>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</si>
  <si>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</si>
  <si>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</si>
  <si>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21,06,</t>
  </si>
  <si>
    <t>26,05,</t>
  </si>
  <si>
    <t>02,06,</t>
  </si>
  <si>
    <t>09,06,</t>
  </si>
  <si>
    <t>16,06,</t>
  </si>
  <si>
    <t>23,06,</t>
  </si>
  <si>
    <t>27,06,</t>
  </si>
  <si>
    <t>Сосиски Сочинки ТМ Стародворье с сочным окороком в оболочке полиамид, вес</t>
  </si>
  <si>
    <t>заказ в сети</t>
  </si>
  <si>
    <t>заказ в сети! Листовка!!!!</t>
  </si>
  <si>
    <t>1800 шт в сети! Листовка!!!</t>
  </si>
  <si>
    <t>в сеть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</si>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</sst>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164" fontId="3" fillId="5" borderId="0" xfId="1" applyNumberFormat="1" applyFill="1"/>
    <xf numFmtId="165" fontId="0" fillId="0" borderId="0" xfId="0" applyNumberFormat="1" applyAlignment="1"/>
    <xf numFmtId="164" fontId="7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  <xf numFmtId="165" fontId="0" fillId="6" borderId="0" xfId="0" applyNumberFormat="1" applyFill="1" applyAlignment="1"/>
    <xf numFmtId="164" fontId="7" fillId="6" borderId="4" xfId="0" applyNumberFormat="1" applyFont="1" applyFill="1" applyBorder="1" applyAlignment="1"/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8" fillId="0" borderId="4" xfId="0" applyFont="1" applyFill="1" applyBorder="1" applyAlignment="1">
      <alignment vertical="center" wrapText="1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4;&#1074;,%20&#1055;&#1086;&#1082;&#1086;&#1084;%20&#1050;&#1048;%20&#1086;&#1090;%2018,06,26,%20&#1044;&#1086;&#1085;&#1077;&#1094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7;&#1072;&#1082;&#1072;&#1079;&#1072;&#1085;&#1086;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 Донецк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Заказ в пути</v>
          </cell>
          <cell r="V8" t="str">
            <v>ср нов</v>
          </cell>
          <cell r="W8" t="str">
            <v>расчет</v>
          </cell>
          <cell r="X8" t="str">
            <v>заказ филиала</v>
          </cell>
          <cell r="Y8" t="str">
            <v>Комментарии филиала</v>
          </cell>
          <cell r="Z8" t="str">
            <v>кон ост</v>
          </cell>
          <cell r="AA8" t="str">
            <v>факт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ср</v>
          </cell>
          <cell r="AF8" t="str">
            <v>комментарии</v>
          </cell>
        </row>
        <row r="9">
          <cell r="O9" t="str">
            <v>14,06,</v>
          </cell>
          <cell r="P9" t="str">
            <v>14,06,</v>
          </cell>
          <cell r="Q9" t="str">
            <v>14,06,</v>
          </cell>
          <cell r="R9">
            <v>20.03</v>
          </cell>
          <cell r="S9" t="str">
            <v>20,06,</v>
          </cell>
          <cell r="T9" t="str">
            <v>20,06,</v>
          </cell>
          <cell r="U9" t="str">
            <v>20,06,</v>
          </cell>
          <cell r="V9" t="str">
            <v>18,06,</v>
          </cell>
          <cell r="W9" t="str">
            <v>21,06,</v>
          </cell>
          <cell r="AB9" t="str">
            <v>26,05,</v>
          </cell>
          <cell r="AC9" t="str">
            <v>02,06,</v>
          </cell>
          <cell r="AD9" t="str">
            <v>09,06,</v>
          </cell>
          <cell r="AE9" t="str">
            <v>16,06,</v>
          </cell>
        </row>
        <row r="10">
          <cell r="C10">
            <v>83797.623000000021</v>
          </cell>
          <cell r="D10">
            <v>68273.573999999964</v>
          </cell>
          <cell r="E10">
            <v>75489.842000000004</v>
          </cell>
          <cell r="F10">
            <v>68878.244999999981</v>
          </cell>
          <cell r="L10">
            <v>85138.030000000013</v>
          </cell>
          <cell r="M10">
            <v>-9648.1880000000037</v>
          </cell>
          <cell r="N10">
            <v>0</v>
          </cell>
          <cell r="O10">
            <v>2400</v>
          </cell>
          <cell r="P10">
            <v>4900</v>
          </cell>
          <cell r="Q10">
            <v>11140</v>
          </cell>
          <cell r="R10">
            <v>13000</v>
          </cell>
          <cell r="S10">
            <v>7100</v>
          </cell>
          <cell r="T10">
            <v>17300</v>
          </cell>
          <cell r="U10">
            <v>24440</v>
          </cell>
          <cell r="V10">
            <v>15097.968400000003</v>
          </cell>
          <cell r="W10">
            <v>19350</v>
          </cell>
          <cell r="X10">
            <v>2050</v>
          </cell>
          <cell r="AB10">
            <v>12027.3902</v>
          </cell>
          <cell r="AC10">
            <v>13549.450000000012</v>
          </cell>
          <cell r="AD10">
            <v>14681.348400000004</v>
          </cell>
          <cell r="AE10">
            <v>14960.442600000015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4938.7979999999998</v>
          </cell>
          <cell r="D11">
            <v>326.33199999999999</v>
          </cell>
          <cell r="E11">
            <v>2766.03</v>
          </cell>
          <cell r="F11">
            <v>2170.2249999999999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3011.317</v>
          </cell>
          <cell r="M11">
            <v>-245.28699999999981</v>
          </cell>
          <cell r="O11">
            <v>400</v>
          </cell>
          <cell r="P11">
            <v>0</v>
          </cell>
          <cell r="Q11">
            <v>0</v>
          </cell>
          <cell r="R11">
            <v>800</v>
          </cell>
          <cell r="S11">
            <v>800</v>
          </cell>
          <cell r="T11">
            <v>900</v>
          </cell>
          <cell r="U11">
            <v>0</v>
          </cell>
          <cell r="V11">
            <v>553.20600000000002</v>
          </cell>
          <cell r="W11">
            <v>800</v>
          </cell>
          <cell r="Y11">
            <v>0</v>
          </cell>
          <cell r="Z11">
            <v>10.611282234827533</v>
          </cell>
          <cell r="AA11">
            <v>3.9229961352552212</v>
          </cell>
          <cell r="AB11">
            <v>541.78179999999998</v>
          </cell>
          <cell r="AC11">
            <v>554.71460000000002</v>
          </cell>
          <cell r="AD11">
            <v>479.79179999999997</v>
          </cell>
          <cell r="AE11">
            <v>563.93039999999996</v>
          </cell>
          <cell r="AF11" t="str">
            <v>ТМА ПРОДОЛЖЕНИЕ Апрель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1177.1099999999999</v>
          </cell>
          <cell r="D12">
            <v>318.06900000000002</v>
          </cell>
          <cell r="E12">
            <v>827.37300000000005</v>
          </cell>
          <cell r="F12">
            <v>570.26400000000001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940.67399999999998</v>
          </cell>
          <cell r="M12">
            <v>-113.30099999999993</v>
          </cell>
          <cell r="O12">
            <v>200</v>
          </cell>
          <cell r="P12">
            <v>0</v>
          </cell>
          <cell r="Q12">
            <v>200</v>
          </cell>
          <cell r="R12">
            <v>200</v>
          </cell>
          <cell r="S12">
            <v>100</v>
          </cell>
          <cell r="T12">
            <v>100</v>
          </cell>
          <cell r="U12">
            <v>0</v>
          </cell>
          <cell r="V12">
            <v>165.47460000000001</v>
          </cell>
          <cell r="W12">
            <v>400</v>
          </cell>
          <cell r="Y12">
            <v>0</v>
          </cell>
          <cell r="Z12">
            <v>10.698101098295448</v>
          </cell>
          <cell r="AA12">
            <v>3.4462328357343059</v>
          </cell>
          <cell r="AB12">
            <v>142.0986</v>
          </cell>
          <cell r="AC12">
            <v>157.10640000000001</v>
          </cell>
          <cell r="AD12">
            <v>162.0754</v>
          </cell>
          <cell r="AE12">
            <v>150.274</v>
          </cell>
          <cell r="AF12" t="str">
            <v>ТМА ПРОДОЛЖЕНИЕ Апрель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4213.8789999999999</v>
          </cell>
          <cell r="D13">
            <v>316.27300000000002</v>
          </cell>
          <cell r="E13">
            <v>3214.6</v>
          </cell>
          <cell r="F13">
            <v>1055.3040000000001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3378.0309999999999</v>
          </cell>
          <cell r="M13">
            <v>-163.43100000000004</v>
          </cell>
          <cell r="O13">
            <v>200</v>
          </cell>
          <cell r="P13">
            <v>0</v>
          </cell>
          <cell r="Q13">
            <v>0</v>
          </cell>
          <cell r="R13">
            <v>800</v>
          </cell>
          <cell r="S13">
            <v>800</v>
          </cell>
          <cell r="T13">
            <v>800</v>
          </cell>
          <cell r="U13">
            <v>0</v>
          </cell>
          <cell r="V13">
            <v>642.91999999999996</v>
          </cell>
          <cell r="W13">
            <v>3100</v>
          </cell>
          <cell r="Y13">
            <v>0</v>
          </cell>
          <cell r="Z13">
            <v>10.507223293722392</v>
          </cell>
          <cell r="AA13">
            <v>1.6414235052572639</v>
          </cell>
          <cell r="AB13">
            <v>581.0992</v>
          </cell>
          <cell r="AC13">
            <v>595.59080000000006</v>
          </cell>
          <cell r="AD13">
            <v>611.73599999999999</v>
          </cell>
          <cell r="AE13">
            <v>646.25780000000009</v>
          </cell>
          <cell r="AF13" t="str">
            <v>ТМА ПРОДОЛЖЕНИЕ Апрель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33</v>
          </cell>
          <cell r="D14">
            <v>2</v>
          </cell>
          <cell r="E14">
            <v>12</v>
          </cell>
          <cell r="F14">
            <v>21</v>
          </cell>
          <cell r="G14" t="str">
            <v>P003008</v>
          </cell>
          <cell r="H14">
            <v>0.4</v>
          </cell>
          <cell r="I14">
            <v>0</v>
          </cell>
          <cell r="J14">
            <v>0</v>
          </cell>
          <cell r="L14">
            <v>14</v>
          </cell>
          <cell r="M14">
            <v>-2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2.4</v>
          </cell>
          <cell r="Y14">
            <v>0</v>
          </cell>
          <cell r="Z14">
            <v>8.75</v>
          </cell>
          <cell r="AA14">
            <v>8.75</v>
          </cell>
          <cell r="AB14">
            <v>4.4000000000000004</v>
          </cell>
          <cell r="AC14">
            <v>4.4000000000000004</v>
          </cell>
          <cell r="AD14">
            <v>2</v>
          </cell>
          <cell r="AE14">
            <v>3.2</v>
          </cell>
          <cell r="AF14" t="e">
            <v>#N/A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1020</v>
          </cell>
          <cell r="D15">
            <v>3184</v>
          </cell>
          <cell r="E15">
            <v>1688</v>
          </cell>
          <cell r="F15">
            <v>2501</v>
          </cell>
          <cell r="G15" t="str">
            <v>P003985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1774</v>
          </cell>
          <cell r="M15">
            <v>-86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1000</v>
          </cell>
          <cell r="V15">
            <v>337.6</v>
          </cell>
          <cell r="W15">
            <v>500</v>
          </cell>
          <cell r="X15">
            <v>500</v>
          </cell>
          <cell r="Y15" t="str">
            <v>промо июнь</v>
          </cell>
          <cell r="Z15">
            <v>11.851303317535544</v>
          </cell>
          <cell r="AA15">
            <v>7.4081753554502363</v>
          </cell>
          <cell r="AB15">
            <v>460</v>
          </cell>
          <cell r="AC15">
            <v>328.2</v>
          </cell>
          <cell r="AD15">
            <v>407</v>
          </cell>
          <cell r="AE15">
            <v>312.60000000000002</v>
          </cell>
          <cell r="AF15" t="str">
            <v>Мера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1645.2239999999999</v>
          </cell>
          <cell r="D16">
            <v>3327</v>
          </cell>
          <cell r="E16">
            <v>2786</v>
          </cell>
          <cell r="F16">
            <v>2155.2240000000002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3108</v>
          </cell>
          <cell r="M16">
            <v>-322</v>
          </cell>
          <cell r="O16">
            <v>0</v>
          </cell>
          <cell r="P16">
            <v>0</v>
          </cell>
          <cell r="Q16">
            <v>1400</v>
          </cell>
          <cell r="R16">
            <v>0</v>
          </cell>
          <cell r="S16">
            <v>0</v>
          </cell>
          <cell r="T16">
            <v>0</v>
          </cell>
          <cell r="U16">
            <v>2500</v>
          </cell>
          <cell r="V16">
            <v>557.20000000000005</v>
          </cell>
          <cell r="W16">
            <v>300</v>
          </cell>
          <cell r="X16">
            <v>300</v>
          </cell>
          <cell r="Y16" t="str">
            <v>промо июнь</v>
          </cell>
          <cell r="Z16">
            <v>11.405642498205312</v>
          </cell>
          <cell r="AA16">
            <v>3.8679540559942569</v>
          </cell>
          <cell r="AB16">
            <v>603.6</v>
          </cell>
          <cell r="AC16">
            <v>534.24919999999997</v>
          </cell>
          <cell r="AD16">
            <v>630.20000000000005</v>
          </cell>
          <cell r="AE16">
            <v>547.79999999999995</v>
          </cell>
          <cell r="AF16" t="str">
            <v>зв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B17" t="str">
            <v>шт</v>
          </cell>
          <cell r="C17">
            <v>26</v>
          </cell>
          <cell r="D17">
            <v>300</v>
          </cell>
          <cell r="E17">
            <v>85</v>
          </cell>
          <cell r="F17">
            <v>241</v>
          </cell>
          <cell r="G17" t="str">
            <v>P002290</v>
          </cell>
          <cell r="H17">
            <v>0.17</v>
          </cell>
          <cell r="I17">
            <v>180</v>
          </cell>
          <cell r="J17" t="str">
            <v>матрица</v>
          </cell>
          <cell r="L17">
            <v>86</v>
          </cell>
          <cell r="M17">
            <v>-1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17</v>
          </cell>
          <cell r="Y17">
            <v>0</v>
          </cell>
          <cell r="Z17">
            <v>14.176470588235293</v>
          </cell>
          <cell r="AA17">
            <v>14.176470588235293</v>
          </cell>
          <cell r="AB17">
            <v>14.8</v>
          </cell>
          <cell r="AC17">
            <v>14.8</v>
          </cell>
          <cell r="AD17">
            <v>35.4</v>
          </cell>
          <cell r="AE17">
            <v>24.2</v>
          </cell>
          <cell r="AF17" t="e">
            <v>#N/A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17</v>
          </cell>
          <cell r="D18">
            <v>1</v>
          </cell>
          <cell r="E18">
            <v>7</v>
          </cell>
          <cell r="F18">
            <v>6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62</v>
          </cell>
          <cell r="M18">
            <v>-55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40</v>
          </cell>
          <cell r="V18">
            <v>1.4</v>
          </cell>
          <cell r="Y18">
            <v>0</v>
          </cell>
          <cell r="Z18">
            <v>32.857142857142861</v>
          </cell>
          <cell r="AA18">
            <v>4.2857142857142856</v>
          </cell>
          <cell r="AB18">
            <v>7</v>
          </cell>
          <cell r="AC18">
            <v>6.2</v>
          </cell>
          <cell r="AD18">
            <v>7.4</v>
          </cell>
          <cell r="AE18">
            <v>6.4</v>
          </cell>
          <cell r="AF18">
            <v>0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351</v>
          </cell>
          <cell r="D19">
            <v>96</v>
          </cell>
          <cell r="E19">
            <v>219</v>
          </cell>
          <cell r="F19">
            <v>221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248</v>
          </cell>
          <cell r="M19">
            <v>-29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130</v>
          </cell>
          <cell r="V19">
            <v>43.8</v>
          </cell>
          <cell r="W19">
            <v>120</v>
          </cell>
          <cell r="Y19">
            <v>0</v>
          </cell>
          <cell r="Z19">
            <v>10.753424657534246</v>
          </cell>
          <cell r="AA19">
            <v>5.0456621004566209</v>
          </cell>
          <cell r="AB19">
            <v>44</v>
          </cell>
          <cell r="AC19">
            <v>46.6</v>
          </cell>
          <cell r="AD19">
            <v>48.4</v>
          </cell>
          <cell r="AE19">
            <v>39.6</v>
          </cell>
          <cell r="AF19" t="str">
            <v>Макс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6229.66</v>
          </cell>
          <cell r="D20">
            <v>2721.4810000000002</v>
          </cell>
          <cell r="E20">
            <v>4231.7209999999995</v>
          </cell>
          <cell r="F20">
            <v>4238.0659999999998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4737.1030000000001</v>
          </cell>
          <cell r="M20">
            <v>-505.38200000000052</v>
          </cell>
          <cell r="O20">
            <v>0</v>
          </cell>
          <cell r="P20">
            <v>0</v>
          </cell>
          <cell r="Q20">
            <v>180</v>
          </cell>
          <cell r="R20">
            <v>1000</v>
          </cell>
          <cell r="S20">
            <v>1000</v>
          </cell>
          <cell r="T20">
            <v>2000</v>
          </cell>
          <cell r="U20">
            <v>0</v>
          </cell>
          <cell r="V20">
            <v>846.34419999999989</v>
          </cell>
          <cell r="W20">
            <v>500</v>
          </cell>
          <cell r="Y20">
            <v>0</v>
          </cell>
          <cell r="Z20">
            <v>10.537162067158965</v>
          </cell>
          <cell r="AA20">
            <v>5.007496949822543</v>
          </cell>
          <cell r="AB20">
            <v>705.12139999999999</v>
          </cell>
          <cell r="AC20">
            <v>789.39300000000003</v>
          </cell>
          <cell r="AD20">
            <v>802.29679999999996</v>
          </cell>
          <cell r="AE20">
            <v>820.04920000000004</v>
          </cell>
          <cell r="AF20" t="str">
            <v>ТМА ПРОДОЛЖЕНИЕ Апрель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5641.89</v>
          </cell>
          <cell r="D21">
            <v>2503.4450000000002</v>
          </cell>
          <cell r="E21">
            <v>4331.4380000000001</v>
          </cell>
          <cell r="F21">
            <v>3042.1779999999999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5315.51</v>
          </cell>
          <cell r="M21">
            <v>-984.07200000000012</v>
          </cell>
          <cell r="O21">
            <v>0</v>
          </cell>
          <cell r="P21">
            <v>0</v>
          </cell>
          <cell r="Q21">
            <v>300</v>
          </cell>
          <cell r="R21">
            <v>1000</v>
          </cell>
          <cell r="S21">
            <v>1000</v>
          </cell>
          <cell r="T21">
            <v>2100</v>
          </cell>
          <cell r="U21">
            <v>0</v>
          </cell>
          <cell r="V21">
            <v>866.2876</v>
          </cell>
          <cell r="W21">
            <v>1700</v>
          </cell>
          <cell r="Y21">
            <v>0</v>
          </cell>
          <cell r="Z21">
            <v>10.553282766600837</v>
          </cell>
          <cell r="AA21">
            <v>3.5117413662621972</v>
          </cell>
          <cell r="AB21">
            <v>706.84280000000001</v>
          </cell>
          <cell r="AC21">
            <v>748.38280000000009</v>
          </cell>
          <cell r="AD21">
            <v>655.88239999999996</v>
          </cell>
          <cell r="AE21">
            <v>775.13319999999999</v>
          </cell>
          <cell r="AF21" t="str">
            <v>ТМА ПРОДОЛЖЕНИЕ Апрель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407.13</v>
          </cell>
          <cell r="D22">
            <v>7.96</v>
          </cell>
          <cell r="E22">
            <v>272.68299999999999</v>
          </cell>
          <cell r="F22">
            <v>134.81200000000001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260.75</v>
          </cell>
          <cell r="M22">
            <v>11.932999999999993</v>
          </cell>
          <cell r="O22">
            <v>0</v>
          </cell>
          <cell r="P22">
            <v>0</v>
          </cell>
          <cell r="Q22">
            <v>170</v>
          </cell>
          <cell r="R22">
            <v>0</v>
          </cell>
          <cell r="S22">
            <v>0</v>
          </cell>
          <cell r="T22">
            <v>0</v>
          </cell>
          <cell r="U22">
            <v>180</v>
          </cell>
          <cell r="V22">
            <v>54.5366</v>
          </cell>
          <cell r="W22">
            <v>100</v>
          </cell>
          <cell r="Y22">
            <v>0</v>
          </cell>
          <cell r="Z22">
            <v>10.723294081405882</v>
          </cell>
          <cell r="AA22">
            <v>2.4719546139656674</v>
          </cell>
          <cell r="AB22">
            <v>68.611000000000004</v>
          </cell>
          <cell r="AC22">
            <v>50.957799999999999</v>
          </cell>
          <cell r="AD22">
            <v>50.501199999999997</v>
          </cell>
          <cell r="AE22">
            <v>55.050800000000002</v>
          </cell>
          <cell r="AF22" t="str">
            <v>нужно увеличить продажи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2247.2399999999998</v>
          </cell>
          <cell r="D23">
            <v>34.633000000000003</v>
          </cell>
          <cell r="E23">
            <v>954.80499999999995</v>
          </cell>
          <cell r="F23">
            <v>1288.5160000000001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1000</v>
          </cell>
          <cell r="M23">
            <v>-45.19500000000005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100</v>
          </cell>
          <cell r="V23">
            <v>190.96099999999998</v>
          </cell>
          <cell r="W23">
            <v>620</v>
          </cell>
          <cell r="Y23">
            <v>0</v>
          </cell>
          <cell r="Z23">
            <v>10.51793821775127</v>
          </cell>
          <cell r="AA23">
            <v>6.7475348369562385</v>
          </cell>
          <cell r="AB23">
            <v>315.32100000000003</v>
          </cell>
          <cell r="AC23">
            <v>286.202</v>
          </cell>
          <cell r="AD23">
            <v>141.9708</v>
          </cell>
          <cell r="AE23">
            <v>164.84039999999999</v>
          </cell>
          <cell r="AF23" t="str">
            <v>увел продажи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18.706</v>
          </cell>
          <cell r="D24">
            <v>0.35199999999999998</v>
          </cell>
          <cell r="E24">
            <v>4.2240000000000002</v>
          </cell>
          <cell r="F24">
            <v>14.102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4.7409999999999997</v>
          </cell>
          <cell r="M24">
            <v>-0.51699999999999946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0.8448</v>
          </cell>
          <cell r="Y24">
            <v>0</v>
          </cell>
          <cell r="Z24">
            <v>16.692708333333332</v>
          </cell>
          <cell r="AA24">
            <v>16.692708333333332</v>
          </cell>
          <cell r="AB24">
            <v>1.0631999999999999</v>
          </cell>
          <cell r="AC24">
            <v>0.13979999999999998</v>
          </cell>
          <cell r="AD24">
            <v>0.50239999999999996</v>
          </cell>
          <cell r="AE24">
            <v>1.3557999999999999</v>
          </cell>
          <cell r="AF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4824.5079999999998</v>
          </cell>
          <cell r="D25">
            <v>2466.6680000000001</v>
          </cell>
          <cell r="E25">
            <v>4349.0810000000001</v>
          </cell>
          <cell r="F25">
            <v>2905.3739999999998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4229.45</v>
          </cell>
          <cell r="M25">
            <v>119.63100000000031</v>
          </cell>
          <cell r="O25">
            <v>1600</v>
          </cell>
          <cell r="P25">
            <v>1000</v>
          </cell>
          <cell r="Q25">
            <v>0</v>
          </cell>
          <cell r="R25">
            <v>1000</v>
          </cell>
          <cell r="S25">
            <v>1000</v>
          </cell>
          <cell r="T25">
            <v>2000</v>
          </cell>
          <cell r="U25">
            <v>0</v>
          </cell>
          <cell r="V25">
            <v>869.81619999999998</v>
          </cell>
          <cell r="W25">
            <v>700</v>
          </cell>
          <cell r="X25">
            <v>700</v>
          </cell>
          <cell r="Y25" t="str">
            <v>промо июнь</v>
          </cell>
          <cell r="Z25">
            <v>11.732793663764827</v>
          </cell>
          <cell r="AA25">
            <v>3.3402160134520371</v>
          </cell>
          <cell r="AB25">
            <v>875.15440000000001</v>
          </cell>
          <cell r="AC25">
            <v>870.96839999999997</v>
          </cell>
          <cell r="AD25">
            <v>923.96080000000006</v>
          </cell>
          <cell r="AE25">
            <v>848.45480000000009</v>
          </cell>
          <cell r="AF25" t="str">
            <v>ТМА Апрель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837.70899999999995</v>
          </cell>
          <cell r="D26">
            <v>14.954000000000001</v>
          </cell>
          <cell r="E26">
            <v>401.137</v>
          </cell>
          <cell r="F26">
            <v>436.11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486.35</v>
          </cell>
          <cell r="M26">
            <v>-85.213000000000022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230</v>
          </cell>
          <cell r="V26">
            <v>80.227400000000003</v>
          </cell>
          <cell r="W26">
            <v>400</v>
          </cell>
          <cell r="X26">
            <v>400</v>
          </cell>
          <cell r="Y26">
            <v>0</v>
          </cell>
          <cell r="Z26">
            <v>13.288602148393194</v>
          </cell>
          <cell r="AA26">
            <v>5.4359233877702628</v>
          </cell>
          <cell r="AB26">
            <v>91.848800000000011</v>
          </cell>
          <cell r="AC26">
            <v>109.94359999999999</v>
          </cell>
          <cell r="AD26">
            <v>85.954800000000006</v>
          </cell>
          <cell r="AE26">
            <v>76.566000000000003</v>
          </cell>
          <cell r="AF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1461.998</v>
          </cell>
          <cell r="D27">
            <v>875.524</v>
          </cell>
          <cell r="E27">
            <v>1303.123</v>
          </cell>
          <cell r="F27">
            <v>862.96299999999997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1652.7270000000001</v>
          </cell>
          <cell r="M27">
            <v>-349.60400000000004</v>
          </cell>
          <cell r="O27">
            <v>0</v>
          </cell>
          <cell r="P27">
            <v>0</v>
          </cell>
          <cell r="Q27">
            <v>370</v>
          </cell>
          <cell r="R27">
            <v>0</v>
          </cell>
          <cell r="S27">
            <v>0</v>
          </cell>
          <cell r="T27">
            <v>0</v>
          </cell>
          <cell r="U27">
            <v>1400</v>
          </cell>
          <cell r="V27">
            <v>260.62459999999999</v>
          </cell>
          <cell r="W27">
            <v>180</v>
          </cell>
          <cell r="Y27">
            <v>0</v>
          </cell>
          <cell r="Z27">
            <v>10.793159970317459</v>
          </cell>
          <cell r="AA27">
            <v>3.3111340986230768</v>
          </cell>
          <cell r="AB27">
            <v>231.08519999999999</v>
          </cell>
          <cell r="AC27">
            <v>233.071</v>
          </cell>
          <cell r="AD27">
            <v>257.7124</v>
          </cell>
          <cell r="AE27">
            <v>251.00020000000001</v>
          </cell>
          <cell r="AF27" t="str">
            <v>ТМА ПРОДОЛЖЕНИЕ Апрель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2613.0970000000002</v>
          </cell>
          <cell r="D28">
            <v>981.58299999999997</v>
          </cell>
          <cell r="E28">
            <v>2270.873</v>
          </cell>
          <cell r="F28">
            <v>1241.481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L28">
            <v>2245.88</v>
          </cell>
          <cell r="M28">
            <v>24.992999999999938</v>
          </cell>
          <cell r="O28">
            <v>0</v>
          </cell>
          <cell r="P28">
            <v>700</v>
          </cell>
          <cell r="Q28">
            <v>400</v>
          </cell>
          <cell r="R28">
            <v>300</v>
          </cell>
          <cell r="S28">
            <v>400</v>
          </cell>
          <cell r="T28">
            <v>400</v>
          </cell>
          <cell r="U28">
            <v>0</v>
          </cell>
          <cell r="V28">
            <v>454.1746</v>
          </cell>
          <cell r="W28">
            <v>1350</v>
          </cell>
          <cell r="Y28">
            <v>0</v>
          </cell>
          <cell r="Z28">
            <v>10.549865624365607</v>
          </cell>
          <cell r="AA28">
            <v>2.7334883985145799</v>
          </cell>
          <cell r="AB28">
            <v>425.32319999999999</v>
          </cell>
          <cell r="AC28">
            <v>412.91019999999997</v>
          </cell>
          <cell r="AD28">
            <v>446.06419999999997</v>
          </cell>
          <cell r="AE28">
            <v>403.29660000000001</v>
          </cell>
          <cell r="AF28" t="str">
            <v>ТМА ПРОДОЛЖЕНИЕ МАРТ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73.292000000000002</v>
          </cell>
          <cell r="E29">
            <v>58.055999999999997</v>
          </cell>
          <cell r="F29">
            <v>15.236000000000001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L29">
            <v>55.3</v>
          </cell>
          <cell r="M29">
            <v>2.7560000000000002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110</v>
          </cell>
          <cell r="V29">
            <v>11.6112</v>
          </cell>
          <cell r="Y29">
            <v>0</v>
          </cell>
          <cell r="Z29">
            <v>10.7857930274218</v>
          </cell>
          <cell r="AA29">
            <v>1.3121813421524047</v>
          </cell>
          <cell r="AB29">
            <v>0.58140000000000003</v>
          </cell>
          <cell r="AC29">
            <v>9.3971999999999998</v>
          </cell>
          <cell r="AD29">
            <v>6.6224000000000007</v>
          </cell>
          <cell r="AE29">
            <v>11.1754</v>
          </cell>
          <cell r="AF29" t="e">
            <v>#N/A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6047.3410000000003</v>
          </cell>
          <cell r="D30">
            <v>1657.2370000000001</v>
          </cell>
          <cell r="E30">
            <v>2851.5360000000001</v>
          </cell>
          <cell r="F30">
            <v>4660.5600000000004</v>
          </cell>
          <cell r="G30" t="str">
            <v>P002536</v>
          </cell>
          <cell r="H30">
            <v>1</v>
          </cell>
          <cell r="I30">
            <v>30</v>
          </cell>
          <cell r="J30" t="str">
            <v>матрица</v>
          </cell>
          <cell r="L30">
            <v>3165.5839999999998</v>
          </cell>
          <cell r="M30">
            <v>-314.04799999999977</v>
          </cell>
          <cell r="O30">
            <v>0</v>
          </cell>
          <cell r="P30">
            <v>0</v>
          </cell>
          <cell r="Q30">
            <v>0</v>
          </cell>
          <cell r="R30">
            <v>800</v>
          </cell>
          <cell r="S30">
            <v>800</v>
          </cell>
          <cell r="T30">
            <v>900</v>
          </cell>
          <cell r="U30">
            <v>0</v>
          </cell>
          <cell r="V30">
            <v>570.30719999999997</v>
          </cell>
          <cell r="Y30">
            <v>0</v>
          </cell>
          <cell r="Z30">
            <v>12.555619147014102</v>
          </cell>
          <cell r="AA30">
            <v>8.172016765701013</v>
          </cell>
          <cell r="AB30">
            <v>67.332399999999993</v>
          </cell>
          <cell r="AC30">
            <v>-3.8862000000000001</v>
          </cell>
          <cell r="AD30">
            <v>293.17079999999999</v>
          </cell>
          <cell r="AE30">
            <v>592.37</v>
          </cell>
          <cell r="AF30" t="str">
            <v>ТМА ПРОДОЛЖЕНИЕ Апрель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80.691000000000003</v>
          </cell>
          <cell r="D31">
            <v>18.599</v>
          </cell>
          <cell r="E31">
            <v>25.443999999999999</v>
          </cell>
          <cell r="F31">
            <v>59.137999999999998</v>
          </cell>
          <cell r="G31" t="str">
            <v>P002209</v>
          </cell>
          <cell r="H31">
            <v>1</v>
          </cell>
          <cell r="I31">
            <v>0</v>
          </cell>
          <cell r="J31">
            <v>0</v>
          </cell>
          <cell r="L31">
            <v>21.3</v>
          </cell>
          <cell r="M31">
            <v>4.1439999999999984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20</v>
          </cell>
          <cell r="V31">
            <v>5.0888</v>
          </cell>
          <cell r="Y31">
            <v>0</v>
          </cell>
          <cell r="Z31">
            <v>15.551407011476185</v>
          </cell>
          <cell r="AA31">
            <v>11.621207357333752</v>
          </cell>
          <cell r="AB31">
            <v>0.80719999999999992</v>
          </cell>
          <cell r="AC31">
            <v>9.4638000000000009</v>
          </cell>
          <cell r="AD31">
            <v>4.7930000000000001</v>
          </cell>
          <cell r="AE31">
            <v>6.9644000000000004</v>
          </cell>
          <cell r="AF31" t="e">
            <v>#N/A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9618.56</v>
          </cell>
          <cell r="D32">
            <v>8200.7870000000003</v>
          </cell>
          <cell r="E32">
            <v>8090.1509999999998</v>
          </cell>
          <cell r="F32">
            <v>7925.3519999999999</v>
          </cell>
          <cell r="G32" t="str">
            <v>P004844</v>
          </cell>
          <cell r="H32">
            <v>1</v>
          </cell>
          <cell r="I32">
            <v>0</v>
          </cell>
          <cell r="J32">
            <v>0</v>
          </cell>
          <cell r="L32">
            <v>9322.9030000000002</v>
          </cell>
          <cell r="M32">
            <v>-1232.7520000000004</v>
          </cell>
          <cell r="O32">
            <v>0</v>
          </cell>
          <cell r="P32">
            <v>1500</v>
          </cell>
          <cell r="Q32">
            <v>0</v>
          </cell>
          <cell r="R32">
            <v>3000</v>
          </cell>
          <cell r="S32">
            <v>1200</v>
          </cell>
          <cell r="T32">
            <v>4300</v>
          </cell>
          <cell r="U32">
            <v>0</v>
          </cell>
          <cell r="V32">
            <v>1618.0301999999999</v>
          </cell>
          <cell r="Y32">
            <v>0</v>
          </cell>
          <cell r="Z32">
            <v>11.078502737464357</v>
          </cell>
          <cell r="AA32">
            <v>4.898148378194672</v>
          </cell>
          <cell r="AB32">
            <v>0</v>
          </cell>
          <cell r="AC32">
            <v>1578.2022000000002</v>
          </cell>
          <cell r="AD32">
            <v>1492.6122</v>
          </cell>
          <cell r="AE32">
            <v>1763.4842000000001</v>
          </cell>
          <cell r="AF32" t="e">
            <v>#N/A</v>
          </cell>
        </row>
        <row r="33">
          <cell r="A33" t="str">
            <v xml:space="preserve"> 273  Сосиски Сочинки с сочной грудинкой, МГС 0.4кг,   ПОКОМ</v>
          </cell>
          <cell r="B33" t="str">
            <v>шт</v>
          </cell>
          <cell r="C33">
            <v>22</v>
          </cell>
          <cell r="D33">
            <v>13345</v>
          </cell>
          <cell r="E33">
            <v>4657</v>
          </cell>
          <cell r="F33">
            <v>8643</v>
          </cell>
          <cell r="G33" t="str">
            <v>P003957</v>
          </cell>
          <cell r="H33">
            <v>0.4</v>
          </cell>
          <cell r="I33">
            <v>45</v>
          </cell>
          <cell r="J33" t="str">
            <v>матрица</v>
          </cell>
          <cell r="L33">
            <v>4856</v>
          </cell>
          <cell r="M33">
            <v>-199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2500</v>
          </cell>
          <cell r="V33">
            <v>931.4</v>
          </cell>
          <cell r="Y33">
            <v>0</v>
          </cell>
          <cell r="Z33">
            <v>11.963710543268199</v>
          </cell>
          <cell r="AA33">
            <v>9.2795791281941167</v>
          </cell>
          <cell r="AB33">
            <v>824.4</v>
          </cell>
          <cell r="AC33">
            <v>789</v>
          </cell>
          <cell r="AD33">
            <v>1397.2</v>
          </cell>
          <cell r="AE33">
            <v>1094.4000000000001</v>
          </cell>
          <cell r="AF33" t="str">
            <v>ТМА ПРОДОЛЖЕНИЕ Апрель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 t="str">
            <v>шт</v>
          </cell>
          <cell r="C34">
            <v>569</v>
          </cell>
          <cell r="D34">
            <v>822</v>
          </cell>
          <cell r="E34">
            <v>493</v>
          </cell>
          <cell r="F34">
            <v>895</v>
          </cell>
          <cell r="G34" t="str">
            <v>P003103</v>
          </cell>
          <cell r="H34">
            <v>0.45</v>
          </cell>
          <cell r="I34">
            <v>50</v>
          </cell>
          <cell r="J34" t="str">
            <v>матрица</v>
          </cell>
          <cell r="L34">
            <v>496</v>
          </cell>
          <cell r="M34">
            <v>-3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98.6</v>
          </cell>
          <cell r="W34">
            <v>170</v>
          </cell>
          <cell r="Y34">
            <v>0</v>
          </cell>
          <cell r="Z34">
            <v>10.801217038539555</v>
          </cell>
          <cell r="AA34">
            <v>9.077079107505071</v>
          </cell>
          <cell r="AB34">
            <v>166</v>
          </cell>
          <cell r="AC34">
            <v>120.8</v>
          </cell>
          <cell r="AD34">
            <v>153.6</v>
          </cell>
          <cell r="AE34">
            <v>89.2</v>
          </cell>
          <cell r="AF34" t="str">
            <v>Мера</v>
          </cell>
        </row>
        <row r="35">
          <cell r="A35" t="str">
            <v xml:space="preserve"> 278  Сосиски Сочинки с сочным окороком, МГС 0.4кг,   ПОКОМ</v>
          </cell>
          <cell r="B35" t="str">
            <v>шт</v>
          </cell>
          <cell r="C35">
            <v>670</v>
          </cell>
          <cell r="D35">
            <v>957</v>
          </cell>
          <cell r="E35">
            <v>1114</v>
          </cell>
          <cell r="F35">
            <v>492</v>
          </cell>
          <cell r="G35" t="str">
            <v>P003958</v>
          </cell>
          <cell r="H35">
            <v>0.4</v>
          </cell>
          <cell r="I35">
            <v>45</v>
          </cell>
          <cell r="J35" t="str">
            <v>матрица</v>
          </cell>
          <cell r="L35">
            <v>1200</v>
          </cell>
          <cell r="M35">
            <v>-86</v>
          </cell>
          <cell r="O35">
            <v>0</v>
          </cell>
          <cell r="P35">
            <v>0</v>
          </cell>
          <cell r="Q35">
            <v>820</v>
          </cell>
          <cell r="R35">
            <v>0</v>
          </cell>
          <cell r="S35">
            <v>0</v>
          </cell>
          <cell r="T35">
            <v>0</v>
          </cell>
          <cell r="U35">
            <v>600</v>
          </cell>
          <cell r="V35">
            <v>222.8</v>
          </cell>
          <cell r="W35">
            <v>450</v>
          </cell>
          <cell r="Y35">
            <v>0</v>
          </cell>
          <cell r="Z35">
            <v>10.601436265709156</v>
          </cell>
          <cell r="AA35">
            <v>2.2082585278276481</v>
          </cell>
          <cell r="AB35">
            <v>204.4</v>
          </cell>
          <cell r="AC35">
            <v>183.2</v>
          </cell>
          <cell r="AD35">
            <v>200.6</v>
          </cell>
          <cell r="AE35">
            <v>219</v>
          </cell>
          <cell r="AF35">
            <v>0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 t="str">
            <v>шт</v>
          </cell>
          <cell r="C36">
            <v>168</v>
          </cell>
          <cell r="D36">
            <v>523</v>
          </cell>
          <cell r="E36">
            <v>374</v>
          </cell>
          <cell r="F36">
            <v>314</v>
          </cell>
          <cell r="G36" t="str">
            <v>P005198</v>
          </cell>
          <cell r="H36">
            <v>0.4</v>
          </cell>
          <cell r="I36">
            <v>40</v>
          </cell>
          <cell r="J36" t="str">
            <v>матрица</v>
          </cell>
          <cell r="L36">
            <v>544</v>
          </cell>
          <cell r="M36">
            <v>-170</v>
          </cell>
          <cell r="O36">
            <v>0</v>
          </cell>
          <cell r="P36">
            <v>0</v>
          </cell>
          <cell r="Q36">
            <v>110</v>
          </cell>
          <cell r="R36">
            <v>0</v>
          </cell>
          <cell r="S36">
            <v>0</v>
          </cell>
          <cell r="T36">
            <v>0</v>
          </cell>
          <cell r="U36">
            <v>250</v>
          </cell>
          <cell r="V36">
            <v>74.8</v>
          </cell>
          <cell r="W36">
            <v>120</v>
          </cell>
          <cell r="Y36">
            <v>0</v>
          </cell>
          <cell r="Z36">
            <v>10.614973262032086</v>
          </cell>
          <cell r="AA36">
            <v>4.1978609625668453</v>
          </cell>
          <cell r="AB36">
            <v>99.388999999999996</v>
          </cell>
          <cell r="AC36">
            <v>77.164000000000001</v>
          </cell>
          <cell r="AD36">
            <v>80.400000000000006</v>
          </cell>
          <cell r="AE36">
            <v>65.2</v>
          </cell>
          <cell r="AF36" t="str">
            <v>увел продажи</v>
          </cell>
        </row>
        <row r="37">
          <cell r="A37" t="str">
            <v xml:space="preserve"> 285  Паштет печеночный со слив.маслом ТМ Стародворье ламистер 0,1 кг  ПОКОМ</v>
          </cell>
          <cell r="B37" t="str">
            <v>шт</v>
          </cell>
          <cell r="C37">
            <v>309</v>
          </cell>
          <cell r="D37">
            <v>67</v>
          </cell>
          <cell r="E37">
            <v>192</v>
          </cell>
          <cell r="F37">
            <v>172</v>
          </cell>
          <cell r="G37" t="str">
            <v>P002648</v>
          </cell>
          <cell r="H37">
            <v>0.1</v>
          </cell>
          <cell r="I37">
            <v>730</v>
          </cell>
          <cell r="J37" t="str">
            <v>матрица</v>
          </cell>
          <cell r="L37">
            <v>204</v>
          </cell>
          <cell r="M37">
            <v>-12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200</v>
          </cell>
          <cell r="V37">
            <v>38.4</v>
          </cell>
          <cell r="Y37">
            <v>0</v>
          </cell>
          <cell r="Z37">
            <v>9.6875</v>
          </cell>
          <cell r="AA37">
            <v>4.479166666666667</v>
          </cell>
          <cell r="AB37">
            <v>33.200000000000003</v>
          </cell>
          <cell r="AC37">
            <v>46.8</v>
          </cell>
          <cell r="AD37">
            <v>35.6</v>
          </cell>
          <cell r="AE37">
            <v>38</v>
          </cell>
          <cell r="AF37">
            <v>0</v>
          </cell>
        </row>
        <row r="38">
          <cell r="A38" t="str">
            <v xml:space="preserve"> 296  Колбаса Мясорубская с рубленой грудинкой 0,35кг срез ТМ Стародворье  ПОКОМ</v>
          </cell>
          <cell r="B38" t="str">
            <v>шт</v>
          </cell>
          <cell r="C38">
            <v>99</v>
          </cell>
          <cell r="D38">
            <v>2</v>
          </cell>
          <cell r="E38">
            <v>77</v>
          </cell>
          <cell r="F38">
            <v>16</v>
          </cell>
          <cell r="G38" t="str">
            <v>P003256</v>
          </cell>
          <cell r="H38">
            <v>0.35</v>
          </cell>
          <cell r="I38">
            <v>40</v>
          </cell>
          <cell r="J38" t="str">
            <v>матрица</v>
          </cell>
          <cell r="L38">
            <v>107</v>
          </cell>
          <cell r="M38">
            <v>-30</v>
          </cell>
          <cell r="O38">
            <v>0</v>
          </cell>
          <cell r="P38">
            <v>0</v>
          </cell>
          <cell r="Q38">
            <v>220</v>
          </cell>
          <cell r="R38">
            <v>0</v>
          </cell>
          <cell r="S38">
            <v>0</v>
          </cell>
          <cell r="T38">
            <v>0</v>
          </cell>
          <cell r="U38">
            <v>90</v>
          </cell>
          <cell r="V38">
            <v>15.4</v>
          </cell>
          <cell r="Y38">
            <v>0</v>
          </cell>
          <cell r="Z38">
            <v>21.168831168831169</v>
          </cell>
          <cell r="AA38">
            <v>1.0389610389610389</v>
          </cell>
          <cell r="AB38">
            <v>18</v>
          </cell>
          <cell r="AC38">
            <v>26</v>
          </cell>
          <cell r="AD38">
            <v>14.8</v>
          </cell>
          <cell r="AE38">
            <v>31.6</v>
          </cell>
          <cell r="AF38" t="str">
            <v>Мера</v>
          </cell>
        </row>
        <row r="39">
          <cell r="A39" t="str">
            <v xml:space="preserve"> 297  Колбаса Мясорубская с рубленой грудинкой ВЕС ТМ Стародворье  ПОКОМ</v>
          </cell>
          <cell r="B39" t="str">
            <v>кг</v>
          </cell>
          <cell r="C39">
            <v>59.712000000000003</v>
          </cell>
          <cell r="E39">
            <v>16.931000000000001</v>
          </cell>
          <cell r="F39">
            <v>41.335000000000001</v>
          </cell>
          <cell r="G39" t="str">
            <v>P003179</v>
          </cell>
          <cell r="H39">
            <v>1</v>
          </cell>
          <cell r="I39">
            <v>40</v>
          </cell>
          <cell r="J39" t="str">
            <v>матрица</v>
          </cell>
          <cell r="L39">
            <v>18.8</v>
          </cell>
          <cell r="M39">
            <v>-1.8689999999999998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3.3862000000000001</v>
          </cell>
          <cell r="Y39">
            <v>0</v>
          </cell>
          <cell r="Z39">
            <v>12.206898588388164</v>
          </cell>
          <cell r="AA39">
            <v>12.206898588388164</v>
          </cell>
          <cell r="AB39">
            <v>4.8607999999999993</v>
          </cell>
          <cell r="AC39">
            <v>7.4049999999999994</v>
          </cell>
          <cell r="AD39">
            <v>4.3841999999999999</v>
          </cell>
          <cell r="AE39">
            <v>2.9196</v>
          </cell>
          <cell r="AF39">
            <v>0</v>
          </cell>
        </row>
        <row r="40">
          <cell r="A40" t="str">
            <v xml:space="preserve"> 301  Сосиски Сочинки по-баварски с сыром,  0.4кг, ТМ Стародворье  ПОКОМ</v>
          </cell>
          <cell r="B40" t="str">
            <v>шт</v>
          </cell>
          <cell r="C40">
            <v>351</v>
          </cell>
          <cell r="D40">
            <v>72</v>
          </cell>
          <cell r="E40">
            <v>235</v>
          </cell>
          <cell r="F40">
            <v>184</v>
          </cell>
          <cell r="G40" t="str">
            <v>P003475</v>
          </cell>
          <cell r="H40">
            <v>0.4</v>
          </cell>
          <cell r="I40">
            <v>40</v>
          </cell>
          <cell r="J40" t="str">
            <v>матрица</v>
          </cell>
          <cell r="L40">
            <v>283</v>
          </cell>
          <cell r="M40">
            <v>-48</v>
          </cell>
          <cell r="O40">
            <v>0</v>
          </cell>
          <cell r="P40">
            <v>0</v>
          </cell>
          <cell r="Q40">
            <v>450</v>
          </cell>
          <cell r="R40">
            <v>0</v>
          </cell>
          <cell r="S40">
            <v>0</v>
          </cell>
          <cell r="T40">
            <v>0</v>
          </cell>
          <cell r="U40">
            <v>40</v>
          </cell>
          <cell r="V40">
            <v>47</v>
          </cell>
          <cell r="Y40">
            <v>0</v>
          </cell>
          <cell r="Z40">
            <v>14.340425531914894</v>
          </cell>
          <cell r="AA40">
            <v>3.9148936170212765</v>
          </cell>
          <cell r="AB40">
            <v>42.6</v>
          </cell>
          <cell r="AC40">
            <v>61.4</v>
          </cell>
          <cell r="AD40">
            <v>48</v>
          </cell>
          <cell r="AE40">
            <v>66.599999999999994</v>
          </cell>
          <cell r="AF40" t="str">
            <v>увел продажи</v>
          </cell>
        </row>
        <row r="41">
          <cell r="A41" t="str">
            <v xml:space="preserve"> 302  Сосиски Сочинки по-баварски,  0.4кг, ТМ Стародворье  ПОКОМ</v>
          </cell>
          <cell r="B41" t="str">
            <v>шт</v>
          </cell>
          <cell r="C41">
            <v>169</v>
          </cell>
          <cell r="D41">
            <v>150</v>
          </cell>
          <cell r="E41">
            <v>203</v>
          </cell>
          <cell r="F41">
            <v>115</v>
          </cell>
          <cell r="G41" t="str">
            <v>P003217</v>
          </cell>
          <cell r="H41">
            <v>0.4</v>
          </cell>
          <cell r="I41">
            <v>45</v>
          </cell>
          <cell r="J41" t="str">
            <v>матрица</v>
          </cell>
          <cell r="L41">
            <v>216</v>
          </cell>
          <cell r="M41">
            <v>-13</v>
          </cell>
          <cell r="O41">
            <v>0</v>
          </cell>
          <cell r="P41">
            <v>0</v>
          </cell>
          <cell r="Q41">
            <v>200</v>
          </cell>
          <cell r="R41">
            <v>0</v>
          </cell>
          <cell r="S41">
            <v>0</v>
          </cell>
          <cell r="T41">
            <v>0</v>
          </cell>
          <cell r="U41">
            <v>50</v>
          </cell>
          <cell r="V41">
            <v>40.6</v>
          </cell>
          <cell r="Y41">
            <v>0</v>
          </cell>
          <cell r="Z41">
            <v>8.9901477832512313</v>
          </cell>
          <cell r="AA41">
            <v>2.8325123152709359</v>
          </cell>
          <cell r="AB41">
            <v>29.8</v>
          </cell>
          <cell r="AC41">
            <v>41.8</v>
          </cell>
          <cell r="AD41">
            <v>40.200000000000003</v>
          </cell>
          <cell r="AE41">
            <v>41.6</v>
          </cell>
          <cell r="AF41" t="str">
            <v>зв</v>
          </cell>
        </row>
        <row r="42">
          <cell r="A42" t="str">
            <v xml:space="preserve"> 305  Колбаса Сервелат Мясорубский с мелкорубленным окороком в/у  ТМ Стародворье ВЕС   ПОКОМ</v>
          </cell>
          <cell r="B42" t="str">
            <v>кг</v>
          </cell>
          <cell r="C42">
            <v>76.817999999999998</v>
          </cell>
          <cell r="D42">
            <v>1.456</v>
          </cell>
          <cell r="E42">
            <v>42.831000000000003</v>
          </cell>
          <cell r="F42">
            <v>31.818000000000001</v>
          </cell>
          <cell r="G42" t="str">
            <v>P003259</v>
          </cell>
          <cell r="H42">
            <v>1</v>
          </cell>
          <cell r="I42">
            <v>40</v>
          </cell>
          <cell r="J42" t="str">
            <v>матрица</v>
          </cell>
          <cell r="L42">
            <v>46.9</v>
          </cell>
          <cell r="M42">
            <v>-4.0689999999999955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40</v>
          </cell>
          <cell r="V42">
            <v>8.5662000000000003</v>
          </cell>
          <cell r="Y42">
            <v>0</v>
          </cell>
          <cell r="Z42">
            <v>8.3838808339753914</v>
          </cell>
          <cell r="AA42">
            <v>3.7143657631155005</v>
          </cell>
          <cell r="AB42">
            <v>12.0244</v>
          </cell>
          <cell r="AC42">
            <v>9.3468</v>
          </cell>
          <cell r="AD42">
            <v>10.954800000000001</v>
          </cell>
          <cell r="AE42">
            <v>7.3952</v>
          </cell>
          <cell r="AF42">
            <v>0</v>
          </cell>
        </row>
        <row r="43">
          <cell r="A43" t="str">
            <v xml:space="preserve"> 307  Колбаса Сервелат Мясорубский с мелкорубленным окороком 0,35 кг срез ТМ Стародворье   Поком</v>
          </cell>
          <cell r="B43" t="str">
            <v>шт</v>
          </cell>
          <cell r="C43">
            <v>967</v>
          </cell>
          <cell r="D43">
            <v>17</v>
          </cell>
          <cell r="E43">
            <v>538</v>
          </cell>
          <cell r="F43">
            <v>428</v>
          </cell>
          <cell r="G43" t="str">
            <v>P003260</v>
          </cell>
          <cell r="H43">
            <v>0.35</v>
          </cell>
          <cell r="I43">
            <v>40</v>
          </cell>
          <cell r="J43" t="str">
            <v>ВНИМАНИЕ / матрица</v>
          </cell>
          <cell r="L43">
            <v>563</v>
          </cell>
          <cell r="M43">
            <v>-25</v>
          </cell>
          <cell r="O43">
            <v>0</v>
          </cell>
          <cell r="P43">
            <v>0</v>
          </cell>
          <cell r="Q43">
            <v>160</v>
          </cell>
          <cell r="R43">
            <v>0</v>
          </cell>
          <cell r="S43">
            <v>0</v>
          </cell>
          <cell r="T43">
            <v>0</v>
          </cell>
          <cell r="U43">
            <v>430</v>
          </cell>
          <cell r="V43">
            <v>107.6</v>
          </cell>
          <cell r="W43">
            <v>120</v>
          </cell>
          <cell r="Y43">
            <v>0</v>
          </cell>
          <cell r="Z43">
            <v>10.576208178438662</v>
          </cell>
          <cell r="AA43">
            <v>3.9776951672862455</v>
          </cell>
          <cell r="AB43">
            <v>217.4</v>
          </cell>
          <cell r="AC43">
            <v>150.19999999999999</v>
          </cell>
          <cell r="AD43">
            <v>101.4</v>
          </cell>
          <cell r="AE43">
            <v>112.2</v>
          </cell>
          <cell r="AF43" t="str">
            <v>ТМА ПРОДОЛЖЕНИЕ Апрель</v>
          </cell>
        </row>
        <row r="44">
          <cell r="A44" t="str">
            <v xml:space="preserve"> 309  Сосиски Сочинки с сыром 0,4 кг ТМ Стародворье  ПОКОМ</v>
          </cell>
          <cell r="B44" t="str">
            <v>шт</v>
          </cell>
          <cell r="C44">
            <v>425</v>
          </cell>
          <cell r="D44">
            <v>262</v>
          </cell>
          <cell r="E44">
            <v>421</v>
          </cell>
          <cell r="F44">
            <v>249</v>
          </cell>
          <cell r="G44" t="str">
            <v>P004178</v>
          </cell>
          <cell r="H44">
            <v>0.4</v>
          </cell>
          <cell r="I44">
            <v>40</v>
          </cell>
          <cell r="J44" t="str">
            <v>матрица</v>
          </cell>
          <cell r="L44">
            <v>458</v>
          </cell>
          <cell r="M44">
            <v>-37</v>
          </cell>
          <cell r="O44">
            <v>0</v>
          </cell>
          <cell r="P44">
            <v>0</v>
          </cell>
          <cell r="Q44">
            <v>180</v>
          </cell>
          <cell r="R44">
            <v>0</v>
          </cell>
          <cell r="S44">
            <v>0</v>
          </cell>
          <cell r="T44">
            <v>0</v>
          </cell>
          <cell r="U44">
            <v>280</v>
          </cell>
          <cell r="V44">
            <v>84.2</v>
          </cell>
          <cell r="W44">
            <v>180</v>
          </cell>
          <cell r="Y44">
            <v>0</v>
          </cell>
          <cell r="Z44">
            <v>10.558194774346793</v>
          </cell>
          <cell r="AA44">
            <v>2.9572446555819476</v>
          </cell>
          <cell r="AB44">
            <v>81.599999999999994</v>
          </cell>
          <cell r="AC44">
            <v>86.4</v>
          </cell>
          <cell r="AD44">
            <v>80.2</v>
          </cell>
          <cell r="AE44">
            <v>81.599999999999994</v>
          </cell>
          <cell r="AF44" t="str">
            <v>Мера</v>
          </cell>
        </row>
        <row r="45">
          <cell r="A45" t="str">
            <v xml:space="preserve"> 312  Ветчина Филейская ВЕС ТМ  Вязанка ТС Столичная  ПОКОМ</v>
          </cell>
          <cell r="B45" t="str">
            <v>кг</v>
          </cell>
          <cell r="C45">
            <v>130.95099999999999</v>
          </cell>
          <cell r="D45">
            <v>379.68299999999999</v>
          </cell>
          <cell r="E45">
            <v>156.578</v>
          </cell>
          <cell r="F45">
            <v>285.44200000000001</v>
          </cell>
          <cell r="G45" t="str">
            <v>P003234</v>
          </cell>
          <cell r="H45">
            <v>1</v>
          </cell>
          <cell r="I45">
            <v>50</v>
          </cell>
          <cell r="J45" t="str">
            <v>матрица</v>
          </cell>
          <cell r="L45">
            <v>223.04</v>
          </cell>
          <cell r="M45">
            <v>-66.461999999999989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31.3156</v>
          </cell>
          <cell r="Y45">
            <v>0</v>
          </cell>
          <cell r="Z45">
            <v>9.1150097714876939</v>
          </cell>
          <cell r="AA45">
            <v>9.1150097714876939</v>
          </cell>
          <cell r="AB45">
            <v>16.0274</v>
          </cell>
          <cell r="AC45">
            <v>26.979399999999998</v>
          </cell>
          <cell r="AD45">
            <v>44.077399999999997</v>
          </cell>
          <cell r="AE45">
            <v>26.501999999999999</v>
          </cell>
          <cell r="AF45">
            <v>0</v>
          </cell>
        </row>
        <row r="46">
          <cell r="A46" t="str">
            <v xml:space="preserve"> 315  Колбаса вареная Молокуша ТМ Вязанка ВЕС, ПОКОМ</v>
          </cell>
          <cell r="B46" t="str">
            <v>кг</v>
          </cell>
          <cell r="C46">
            <v>397.36900000000003</v>
          </cell>
          <cell r="D46">
            <v>696.77499999999998</v>
          </cell>
          <cell r="E46">
            <v>479.55900000000003</v>
          </cell>
          <cell r="F46">
            <v>487.08</v>
          </cell>
          <cell r="G46" t="str">
            <v>P003239</v>
          </cell>
          <cell r="H46">
            <v>1</v>
          </cell>
          <cell r="I46">
            <v>50</v>
          </cell>
          <cell r="J46" t="str">
            <v>матрица</v>
          </cell>
          <cell r="L46">
            <v>594.50300000000004</v>
          </cell>
          <cell r="M46">
            <v>-114.94400000000002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340</v>
          </cell>
          <cell r="V46">
            <v>95.911799999999999</v>
          </cell>
          <cell r="W46">
            <v>180</v>
          </cell>
          <cell r="Y46">
            <v>0</v>
          </cell>
          <cell r="Z46">
            <v>10.500063600099256</v>
          </cell>
          <cell r="AA46">
            <v>5.0784157945112067</v>
          </cell>
          <cell r="AB46">
            <v>72.198800000000006</v>
          </cell>
          <cell r="AC46">
            <v>79.126999999999995</v>
          </cell>
          <cell r="AD46">
            <v>104.37840000000001</v>
          </cell>
          <cell r="AE46">
            <v>89.689599999999999</v>
          </cell>
          <cell r="AF46">
            <v>0</v>
          </cell>
        </row>
        <row r="47">
          <cell r="A47" t="str">
            <v xml:space="preserve"> 319  Колбаса вареная Филейская ТМ Вязанка ТС Классическая, 0,45 кг. ПОКОМ</v>
          </cell>
          <cell r="B47" t="str">
            <v>шт</v>
          </cell>
          <cell r="C47">
            <v>646.17700000000002</v>
          </cell>
          <cell r="D47">
            <v>5</v>
          </cell>
          <cell r="E47">
            <v>537.01599999999996</v>
          </cell>
          <cell r="F47">
            <v>107.161</v>
          </cell>
          <cell r="G47" t="str">
            <v>P003227</v>
          </cell>
          <cell r="H47">
            <v>0.45</v>
          </cell>
          <cell r="I47">
            <v>0</v>
          </cell>
          <cell r="J47" t="str">
            <v>матрица</v>
          </cell>
          <cell r="L47">
            <v>574</v>
          </cell>
          <cell r="M47">
            <v>-36.984000000000037</v>
          </cell>
          <cell r="O47">
            <v>0</v>
          </cell>
          <cell r="P47">
            <v>0</v>
          </cell>
          <cell r="Q47">
            <v>200</v>
          </cell>
          <cell r="R47">
            <v>0</v>
          </cell>
          <cell r="S47">
            <v>0</v>
          </cell>
          <cell r="T47">
            <v>0</v>
          </cell>
          <cell r="U47">
            <v>540</v>
          </cell>
          <cell r="V47">
            <v>107.4032</v>
          </cell>
          <cell r="W47">
            <v>280</v>
          </cell>
          <cell r="Y47">
            <v>0</v>
          </cell>
          <cell r="Z47">
            <v>10.494668687711354</v>
          </cell>
          <cell r="AA47">
            <v>0.99774494614685594</v>
          </cell>
          <cell r="AB47">
            <v>122.6</v>
          </cell>
          <cell r="AC47">
            <v>106.3646</v>
          </cell>
          <cell r="AD47">
            <v>74.2</v>
          </cell>
          <cell r="AE47">
            <v>95.6</v>
          </cell>
          <cell r="AF47" t="str">
            <v>ТМА ПРОДОЛЖЕНИЕ Апрель</v>
          </cell>
        </row>
        <row r="48">
          <cell r="A48" t="str">
            <v xml:space="preserve"> 322  Колбаса вареная Молокуша 0,45кг ТМ Вязанка  ПОКОМ</v>
          </cell>
          <cell r="B48" t="str">
            <v>шт</v>
          </cell>
          <cell r="C48">
            <v>289</v>
          </cell>
          <cell r="D48">
            <v>423</v>
          </cell>
          <cell r="E48">
            <v>489</v>
          </cell>
          <cell r="F48">
            <v>220</v>
          </cell>
          <cell r="G48" t="str">
            <v>P003228</v>
          </cell>
          <cell r="H48">
            <v>0.45</v>
          </cell>
          <cell r="I48">
            <v>50</v>
          </cell>
          <cell r="J48" t="str">
            <v>матрица</v>
          </cell>
          <cell r="L48">
            <v>616</v>
          </cell>
          <cell r="M48">
            <v>-127</v>
          </cell>
          <cell r="O48">
            <v>0</v>
          </cell>
          <cell r="P48">
            <v>0</v>
          </cell>
          <cell r="Q48">
            <v>300</v>
          </cell>
          <cell r="R48">
            <v>0</v>
          </cell>
          <cell r="S48">
            <v>0</v>
          </cell>
          <cell r="T48">
            <v>0</v>
          </cell>
          <cell r="U48">
            <v>170</v>
          </cell>
          <cell r="V48">
            <v>97.8</v>
          </cell>
          <cell r="W48">
            <v>340</v>
          </cell>
          <cell r="Y48">
            <v>0</v>
          </cell>
          <cell r="Z48">
            <v>10.531697341513294</v>
          </cell>
          <cell r="AA48">
            <v>2.2494887525562373</v>
          </cell>
          <cell r="AB48">
            <v>103</v>
          </cell>
          <cell r="AC48">
            <v>68.2</v>
          </cell>
          <cell r="AD48">
            <v>81.8</v>
          </cell>
          <cell r="AE48">
            <v>87.2</v>
          </cell>
          <cell r="AF48">
            <v>0</v>
          </cell>
        </row>
        <row r="49">
          <cell r="A49" t="str">
            <v xml:space="preserve"> 329  Сардельки Сочинки с сыром Стародворье ТМ, 0,4 кг. ПОКОМ</v>
          </cell>
          <cell r="B49" t="str">
            <v>шт</v>
          </cell>
          <cell r="C49">
            <v>89</v>
          </cell>
          <cell r="D49">
            <v>7</v>
          </cell>
          <cell r="E49">
            <v>20</v>
          </cell>
          <cell r="F49">
            <v>69</v>
          </cell>
          <cell r="G49" t="str">
            <v>P003961</v>
          </cell>
          <cell r="H49">
            <v>0.4</v>
          </cell>
          <cell r="I49">
            <v>40</v>
          </cell>
          <cell r="J49" t="str">
            <v>матрица</v>
          </cell>
          <cell r="L49">
            <v>29</v>
          </cell>
          <cell r="M49">
            <v>-9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4</v>
          </cell>
          <cell r="Y49">
            <v>0</v>
          </cell>
          <cell r="Z49">
            <v>17.25</v>
          </cell>
          <cell r="AA49">
            <v>17.25</v>
          </cell>
          <cell r="AB49">
            <v>13.8</v>
          </cell>
          <cell r="AC49">
            <v>6</v>
          </cell>
          <cell r="AD49">
            <v>7.6</v>
          </cell>
          <cell r="AE49">
            <v>3.6</v>
          </cell>
          <cell r="AF49" t="str">
            <v>ТМА декабрь_январь</v>
          </cell>
        </row>
        <row r="50">
          <cell r="A50" t="str">
            <v xml:space="preserve"> 330  Колбаса вареная Филейская ТМ Вязанка ТС Классическая ВЕС  ПОКОМ</v>
          </cell>
          <cell r="B50" t="str">
            <v>кг</v>
          </cell>
          <cell r="C50">
            <v>847.09699999999998</v>
          </cell>
          <cell r="D50">
            <v>143.21899999999999</v>
          </cell>
          <cell r="E50">
            <v>438.387</v>
          </cell>
          <cell r="F50">
            <v>546.976</v>
          </cell>
          <cell r="G50" t="str">
            <v>P003235</v>
          </cell>
          <cell r="H50">
            <v>1</v>
          </cell>
          <cell r="I50">
            <v>50</v>
          </cell>
          <cell r="J50" t="str">
            <v>матрица</v>
          </cell>
          <cell r="L50">
            <v>469.09899999999999</v>
          </cell>
          <cell r="M50">
            <v>-30.711999999999989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120</v>
          </cell>
          <cell r="V50">
            <v>87.677400000000006</v>
          </cell>
          <cell r="W50">
            <v>260</v>
          </cell>
          <cell r="Y50">
            <v>0</v>
          </cell>
          <cell r="Z50">
            <v>10.572576285336927</v>
          </cell>
          <cell r="AA50">
            <v>6.2385061600823013</v>
          </cell>
          <cell r="AB50">
            <v>84.755600000000001</v>
          </cell>
          <cell r="AC50">
            <v>107.6558</v>
          </cell>
          <cell r="AD50">
            <v>104.7816</v>
          </cell>
          <cell r="AE50">
            <v>77.586399999999998</v>
          </cell>
          <cell r="AF50" t="str">
            <v>ТМА ПРОДОЛЖЕНИЕ Апрель</v>
          </cell>
        </row>
        <row r="51">
          <cell r="A51" t="str">
            <v xml:space="preserve"> 334  Паштет Любительский ТМ Стародворье ламистер 0,1 кг  ПОКОМ</v>
          </cell>
          <cell r="B51" t="str">
            <v>шт</v>
          </cell>
          <cell r="C51">
            <v>187</v>
          </cell>
          <cell r="D51">
            <v>7</v>
          </cell>
          <cell r="E51">
            <v>122</v>
          </cell>
          <cell r="F51">
            <v>60</v>
          </cell>
          <cell r="G51" t="str">
            <v>P003253</v>
          </cell>
          <cell r="H51">
            <v>0.1</v>
          </cell>
          <cell r="I51">
            <v>730</v>
          </cell>
          <cell r="J51" t="str">
            <v>матрица</v>
          </cell>
          <cell r="L51">
            <v>134</v>
          </cell>
          <cell r="M51">
            <v>-12</v>
          </cell>
          <cell r="O51">
            <v>0</v>
          </cell>
          <cell r="P51">
            <v>0</v>
          </cell>
          <cell r="Q51">
            <v>130</v>
          </cell>
          <cell r="R51">
            <v>0</v>
          </cell>
          <cell r="S51">
            <v>0</v>
          </cell>
          <cell r="T51">
            <v>0</v>
          </cell>
          <cell r="U51">
            <v>70</v>
          </cell>
          <cell r="V51">
            <v>24.4</v>
          </cell>
          <cell r="Y51">
            <v>0</v>
          </cell>
          <cell r="Z51">
            <v>10.655737704918034</v>
          </cell>
          <cell r="AA51">
            <v>2.459016393442623</v>
          </cell>
          <cell r="AB51">
            <v>24</v>
          </cell>
          <cell r="AC51">
            <v>27.6</v>
          </cell>
          <cell r="AD51">
            <v>26.8</v>
          </cell>
          <cell r="AE51">
            <v>28.2</v>
          </cell>
          <cell r="AF51">
            <v>0</v>
          </cell>
        </row>
        <row r="52">
          <cell r="A52" t="str">
            <v xml:space="preserve"> 335  Колбаса Сливушка ТМ Вязанка. ВЕС.  ПОКОМ </v>
          </cell>
          <cell r="B52" t="str">
            <v>кг</v>
          </cell>
          <cell r="C52">
            <v>508.154</v>
          </cell>
          <cell r="D52">
            <v>844.52300000000002</v>
          </cell>
          <cell r="E52">
            <v>535.76199999999994</v>
          </cell>
          <cell r="F52">
            <v>692.73900000000003</v>
          </cell>
          <cell r="G52" t="str">
            <v>P003357</v>
          </cell>
          <cell r="H52">
            <v>1</v>
          </cell>
          <cell r="I52">
            <v>50</v>
          </cell>
          <cell r="J52" t="str">
            <v>матрица</v>
          </cell>
          <cell r="L52">
            <v>678.50199999999995</v>
          </cell>
          <cell r="M52">
            <v>-142.74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300</v>
          </cell>
          <cell r="V52">
            <v>107.15239999999999</v>
          </cell>
          <cell r="W52">
            <v>150</v>
          </cell>
          <cell r="Y52">
            <v>0</v>
          </cell>
          <cell r="Z52">
            <v>10.66461413836741</v>
          </cell>
          <cell r="AA52">
            <v>6.4649881850523192</v>
          </cell>
          <cell r="AB52">
            <v>78.435599999999994</v>
          </cell>
          <cell r="AC52">
            <v>86.919399999999996</v>
          </cell>
          <cell r="AD52">
            <v>118.1324</v>
          </cell>
          <cell r="AE52">
            <v>103.81320000000001</v>
          </cell>
          <cell r="AF52" t="str">
            <v>увел продажи</v>
          </cell>
        </row>
        <row r="53">
          <cell r="A53" t="str">
            <v xml:space="preserve"> 336  Ветчина Сливушка с индейкой ТМ Вязанка. ВЕС  ПОКОМ</v>
          </cell>
          <cell r="B53" t="str">
            <v>кг</v>
          </cell>
          <cell r="C53">
            <v>101.176</v>
          </cell>
          <cell r="E53">
            <v>35.582999999999998</v>
          </cell>
          <cell r="F53">
            <v>65.593000000000004</v>
          </cell>
          <cell r="G53" t="str">
            <v>P004607</v>
          </cell>
          <cell r="H53">
            <v>1</v>
          </cell>
          <cell r="I53">
            <v>50</v>
          </cell>
          <cell r="J53" t="str">
            <v>матрица</v>
          </cell>
          <cell r="L53">
            <v>33.299999999999997</v>
          </cell>
          <cell r="M53">
            <v>2.2830000000000013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7.1166</v>
          </cell>
          <cell r="Y53">
            <v>0</v>
          </cell>
          <cell r="Z53">
            <v>9.2169013292864577</v>
          </cell>
          <cell r="AA53">
            <v>9.2169013292864577</v>
          </cell>
          <cell r="AB53">
            <v>14.451599999999999</v>
          </cell>
          <cell r="AC53">
            <v>7.6686000000000005</v>
          </cell>
          <cell r="AD53">
            <v>5.4643999999999995</v>
          </cell>
          <cell r="AE53">
            <v>7.1104000000000003</v>
          </cell>
          <cell r="AF53" t="str">
            <v>увел продажи</v>
          </cell>
        </row>
        <row r="54">
          <cell r="A54" t="str">
            <v xml:space="preserve"> 338  Паштет печеночный с морковью ТМ Стародворье ламистер 0,1 кг.  ПОКОМ</v>
          </cell>
          <cell r="B54" t="str">
            <v>шт</v>
          </cell>
          <cell r="C54">
            <v>123</v>
          </cell>
          <cell r="D54">
            <v>2</v>
          </cell>
          <cell r="E54">
            <v>116</v>
          </cell>
          <cell r="F54">
            <v>7</v>
          </cell>
          <cell r="G54" t="str">
            <v>P003252</v>
          </cell>
          <cell r="H54">
            <v>0.1</v>
          </cell>
          <cell r="I54">
            <v>730</v>
          </cell>
          <cell r="J54" t="str">
            <v>матрица</v>
          </cell>
          <cell r="L54">
            <v>118</v>
          </cell>
          <cell r="M54">
            <v>-2</v>
          </cell>
          <cell r="O54">
            <v>0</v>
          </cell>
          <cell r="P54">
            <v>0</v>
          </cell>
          <cell r="Q54">
            <v>130</v>
          </cell>
          <cell r="R54">
            <v>0</v>
          </cell>
          <cell r="S54">
            <v>0</v>
          </cell>
          <cell r="T54">
            <v>0</v>
          </cell>
          <cell r="U54">
            <v>80</v>
          </cell>
          <cell r="V54">
            <v>23.2</v>
          </cell>
          <cell r="Y54">
            <v>0</v>
          </cell>
          <cell r="Z54">
            <v>9.3534482758620694</v>
          </cell>
          <cell r="AA54">
            <v>0.30172413793103448</v>
          </cell>
          <cell r="AB54">
            <v>23</v>
          </cell>
          <cell r="AC54">
            <v>23.6</v>
          </cell>
          <cell r="AD54">
            <v>20.8</v>
          </cell>
          <cell r="AE54">
            <v>23.6</v>
          </cell>
          <cell r="AF54">
            <v>0</v>
          </cell>
        </row>
        <row r="55">
          <cell r="A55" t="str">
            <v xml:space="preserve"> 339  Колбаса вареная Филейская ТМ Вязанка ТС Классическая, 0,40 кг.  ПОКОМ</v>
          </cell>
          <cell r="B55" t="str">
            <v>шт</v>
          </cell>
          <cell r="C55">
            <v>-4</v>
          </cell>
          <cell r="E55">
            <v>0</v>
          </cell>
          <cell r="F55">
            <v>-4</v>
          </cell>
          <cell r="G55" t="str">
            <v>P003243</v>
          </cell>
          <cell r="H55">
            <v>0.4</v>
          </cell>
          <cell r="I55">
            <v>50</v>
          </cell>
          <cell r="J55" t="str">
            <v>матрица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10</v>
          </cell>
          <cell r="V55">
            <v>0</v>
          </cell>
          <cell r="Y55">
            <v>0</v>
          </cell>
          <cell r="Z55" t="e">
            <v>#DIV/0!</v>
          </cell>
          <cell r="AA55" t="e">
            <v>#DIV/0!</v>
          </cell>
          <cell r="AB55">
            <v>0.2</v>
          </cell>
          <cell r="AC55">
            <v>1</v>
          </cell>
          <cell r="AD55">
            <v>0.8</v>
          </cell>
          <cell r="AE55">
            <v>0.6</v>
          </cell>
          <cell r="AF55" t="str">
            <v>увел продажи</v>
          </cell>
        </row>
        <row r="56">
          <cell r="A56" t="str">
            <v xml:space="preserve"> 340  Сосиски Сочинки Молочные ТМ Стародворье, ВЕС ПОКОМ</v>
          </cell>
          <cell r="B56" t="str">
            <v>кг</v>
          </cell>
          <cell r="C56">
            <v>132.92099999999999</v>
          </cell>
          <cell r="D56">
            <v>5.3390000000000004</v>
          </cell>
          <cell r="E56">
            <v>118.846</v>
          </cell>
          <cell r="F56">
            <v>10.236000000000001</v>
          </cell>
          <cell r="G56" t="str">
            <v>P003263</v>
          </cell>
          <cell r="H56">
            <v>1</v>
          </cell>
          <cell r="I56">
            <v>40</v>
          </cell>
          <cell r="J56" t="str">
            <v>матрица</v>
          </cell>
          <cell r="L56">
            <v>172.2</v>
          </cell>
          <cell r="M56">
            <v>-53.353999999999985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23.769200000000001</v>
          </cell>
          <cell r="W56">
            <v>240</v>
          </cell>
          <cell r="Y56">
            <v>0</v>
          </cell>
          <cell r="Z56">
            <v>10.527741783484508</v>
          </cell>
          <cell r="AA56">
            <v>0.43064133416353939</v>
          </cell>
          <cell r="AB56">
            <v>22.217199999999998</v>
          </cell>
          <cell r="AC56">
            <v>17.740400000000001</v>
          </cell>
          <cell r="AD56">
            <v>8.1560000000000006</v>
          </cell>
          <cell r="AE56">
            <v>6.88</v>
          </cell>
          <cell r="AF56">
            <v>0</v>
          </cell>
        </row>
        <row r="57">
          <cell r="A57" t="str">
            <v xml:space="preserve"> 341 Сосиски Сочинки Сливочные ТМ Стародворье ВЕС ПОКОМ</v>
          </cell>
          <cell r="B57" t="str">
            <v>кг</v>
          </cell>
          <cell r="C57">
            <v>65.131</v>
          </cell>
          <cell r="E57">
            <v>20.917999999999999</v>
          </cell>
          <cell r="F57">
            <v>44.213000000000001</v>
          </cell>
          <cell r="G57" t="str">
            <v>P003266</v>
          </cell>
          <cell r="H57">
            <v>1</v>
          </cell>
          <cell r="I57">
            <v>40</v>
          </cell>
          <cell r="J57" t="str">
            <v>матрица</v>
          </cell>
          <cell r="L57">
            <v>28.5</v>
          </cell>
          <cell r="M57">
            <v>-7.5820000000000007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4.1836000000000002</v>
          </cell>
          <cell r="Y57">
            <v>0</v>
          </cell>
          <cell r="Z57">
            <v>10.568170953246009</v>
          </cell>
          <cell r="AA57">
            <v>10.568170953246009</v>
          </cell>
          <cell r="AB57">
            <v>4.3975999999999997</v>
          </cell>
          <cell r="AC57">
            <v>3.7996000000000003</v>
          </cell>
          <cell r="AD57">
            <v>5.4703999999999997</v>
          </cell>
          <cell r="AE57">
            <v>2.8158000000000003</v>
          </cell>
          <cell r="AF57">
            <v>0</v>
          </cell>
        </row>
        <row r="58">
          <cell r="A58" t="str">
            <v xml:space="preserve"> 342 Сосиски Сочинки Молочные ТМ Стародворье 0,4 кг ПОКОМ</v>
          </cell>
          <cell r="B58" t="str">
            <v>шт</v>
          </cell>
          <cell r="C58">
            <v>551</v>
          </cell>
          <cell r="D58">
            <v>123</v>
          </cell>
          <cell r="E58">
            <v>600</v>
          </cell>
          <cell r="F58">
            <v>46</v>
          </cell>
          <cell r="G58" t="str">
            <v>P003262</v>
          </cell>
          <cell r="H58">
            <v>0.4</v>
          </cell>
          <cell r="I58">
            <v>40</v>
          </cell>
          <cell r="J58" t="str">
            <v>матрица</v>
          </cell>
          <cell r="L58">
            <v>635</v>
          </cell>
          <cell r="M58">
            <v>-35</v>
          </cell>
          <cell r="O58">
            <v>0</v>
          </cell>
          <cell r="P58">
            <v>0</v>
          </cell>
          <cell r="Q58">
            <v>350</v>
          </cell>
          <cell r="R58">
            <v>0</v>
          </cell>
          <cell r="S58">
            <v>0</v>
          </cell>
          <cell r="T58">
            <v>0</v>
          </cell>
          <cell r="U58">
            <v>180</v>
          </cell>
          <cell r="V58">
            <v>120</v>
          </cell>
          <cell r="W58">
            <v>700</v>
          </cell>
          <cell r="Y58">
            <v>0</v>
          </cell>
          <cell r="Z58">
            <v>10.633333333333333</v>
          </cell>
          <cell r="AA58">
            <v>0.38333333333333336</v>
          </cell>
          <cell r="AB58">
            <v>122.8</v>
          </cell>
          <cell r="AC58">
            <v>126</v>
          </cell>
          <cell r="AD58">
            <v>127.8</v>
          </cell>
          <cell r="AE58">
            <v>117.2</v>
          </cell>
          <cell r="AF58" t="str">
            <v>увел продажи</v>
          </cell>
        </row>
        <row r="59">
          <cell r="A59" t="str">
            <v xml:space="preserve"> 343 Сосиски Сочинки Сливочные ТМ Стародворье  0,4 кг ПОКОМ</v>
          </cell>
          <cell r="B59" t="str">
            <v>шт</v>
          </cell>
          <cell r="C59">
            <v>384</v>
          </cell>
          <cell r="D59">
            <v>381</v>
          </cell>
          <cell r="E59">
            <v>457</v>
          </cell>
          <cell r="F59">
            <v>277</v>
          </cell>
          <cell r="G59" t="str">
            <v>P003265</v>
          </cell>
          <cell r="H59">
            <v>0.4</v>
          </cell>
          <cell r="I59" t="e">
            <v>#N/A</v>
          </cell>
          <cell r="J59" t="e">
            <v>#N/A</v>
          </cell>
          <cell r="L59">
            <v>519</v>
          </cell>
          <cell r="M59">
            <v>-62</v>
          </cell>
          <cell r="O59">
            <v>0</v>
          </cell>
          <cell r="P59">
            <v>0</v>
          </cell>
          <cell r="Q59">
            <v>210</v>
          </cell>
          <cell r="R59">
            <v>0</v>
          </cell>
          <cell r="S59">
            <v>0</v>
          </cell>
          <cell r="T59">
            <v>0</v>
          </cell>
          <cell r="U59">
            <v>270</v>
          </cell>
          <cell r="V59">
            <v>91.4</v>
          </cell>
          <cell r="W59">
            <v>210</v>
          </cell>
          <cell r="Y59">
            <v>0</v>
          </cell>
          <cell r="Z59">
            <v>10.579868708971553</v>
          </cell>
          <cell r="AA59">
            <v>3.0306345733041575</v>
          </cell>
          <cell r="AB59">
            <v>89</v>
          </cell>
          <cell r="AC59">
            <v>88</v>
          </cell>
          <cell r="AD59">
            <v>87</v>
          </cell>
          <cell r="AE59">
            <v>87.2</v>
          </cell>
          <cell r="AF59" t="e">
            <v>#N/A</v>
          </cell>
        </row>
        <row r="60">
          <cell r="A60" t="str">
            <v xml:space="preserve"> 344  Колбаса Сочинка по-европейски с сочной грудинкой ТМ Стародворье, ВЕС ПОКОМ</v>
          </cell>
          <cell r="B60" t="str">
            <v>кг</v>
          </cell>
          <cell r="C60">
            <v>72.260999999999996</v>
          </cell>
          <cell r="D60">
            <v>69.923000000000002</v>
          </cell>
          <cell r="E60">
            <v>65.397999999999996</v>
          </cell>
          <cell r="F60">
            <v>14.143000000000001</v>
          </cell>
          <cell r="G60" t="str">
            <v>P003387</v>
          </cell>
          <cell r="H60">
            <v>1</v>
          </cell>
          <cell r="I60">
            <v>40</v>
          </cell>
          <cell r="J60" t="str">
            <v>матрица</v>
          </cell>
          <cell r="L60">
            <v>164.46100000000001</v>
          </cell>
          <cell r="M60">
            <v>-99.063000000000017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170</v>
          </cell>
          <cell r="V60">
            <v>13.079599999999999</v>
          </cell>
          <cell r="Y60">
            <v>0</v>
          </cell>
          <cell r="Z60">
            <v>14.078641548671214</v>
          </cell>
          <cell r="AA60">
            <v>1.0813021804948164</v>
          </cell>
          <cell r="AB60">
            <v>5.9652000000000003</v>
          </cell>
          <cell r="AC60">
            <v>10.678799999999999</v>
          </cell>
          <cell r="AD60">
            <v>7.9730000000000008</v>
          </cell>
          <cell r="AE60">
            <v>16.890599999999999</v>
          </cell>
          <cell r="AF60" t="str">
            <v>увел продажи</v>
          </cell>
        </row>
        <row r="61">
          <cell r="A61" t="str">
            <v xml:space="preserve"> 345  Колбаса Сочинка по-фински с сочным окроком ТМ Стародворье ВЕС ПОКОМ</v>
          </cell>
          <cell r="B61" t="str">
            <v>кг</v>
          </cell>
          <cell r="C61">
            <v>60.866999999999997</v>
          </cell>
          <cell r="D61">
            <v>113.627</v>
          </cell>
          <cell r="E61">
            <v>56.595999999999997</v>
          </cell>
          <cell r="F61">
            <v>92.608999999999995</v>
          </cell>
          <cell r="G61" t="str">
            <v>P003401</v>
          </cell>
          <cell r="H61">
            <v>1</v>
          </cell>
          <cell r="I61">
            <v>40</v>
          </cell>
          <cell r="J61" t="str">
            <v>матрица</v>
          </cell>
          <cell r="L61">
            <v>117.372</v>
          </cell>
          <cell r="M61">
            <v>-60.776000000000003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11.319199999999999</v>
          </cell>
          <cell r="Y61">
            <v>0</v>
          </cell>
          <cell r="Z61">
            <v>8.1815852710438914</v>
          </cell>
          <cell r="AA61">
            <v>8.1815852710438914</v>
          </cell>
          <cell r="AB61">
            <v>10.311199999999999</v>
          </cell>
          <cell r="AC61">
            <v>15.530799999999999</v>
          </cell>
          <cell r="AD61">
            <v>14.793600000000001</v>
          </cell>
          <cell r="AE61">
            <v>10.8622</v>
          </cell>
          <cell r="AF61" t="str">
            <v>зв</v>
          </cell>
        </row>
        <row r="62">
          <cell r="A62" t="str">
            <v xml:space="preserve"> 346  Колбаса Сочинка зернистая с сочной грудинкой ТМ Стародворье.ВЕС ПОКОМ</v>
          </cell>
          <cell r="B62" t="str">
            <v>кг</v>
          </cell>
          <cell r="C62">
            <v>425.404</v>
          </cell>
          <cell r="D62">
            <v>864.25300000000004</v>
          </cell>
          <cell r="E62">
            <v>663.88599999999997</v>
          </cell>
          <cell r="F62">
            <v>613.95399999999995</v>
          </cell>
          <cell r="G62" t="str">
            <v>P003383</v>
          </cell>
          <cell r="H62">
            <v>1</v>
          </cell>
          <cell r="I62">
            <v>0</v>
          </cell>
          <cell r="J62">
            <v>0</v>
          </cell>
          <cell r="L62">
            <v>653.1</v>
          </cell>
          <cell r="M62">
            <v>10.785999999999945</v>
          </cell>
          <cell r="O62">
            <v>0</v>
          </cell>
          <cell r="P62">
            <v>0</v>
          </cell>
          <cell r="Q62">
            <v>360</v>
          </cell>
          <cell r="R62">
            <v>0</v>
          </cell>
          <cell r="S62">
            <v>0</v>
          </cell>
          <cell r="T62">
            <v>0</v>
          </cell>
          <cell r="U62">
            <v>200</v>
          </cell>
          <cell r="V62">
            <v>132.77719999999999</v>
          </cell>
          <cell r="W62">
            <v>220</v>
          </cell>
          <cell r="Y62">
            <v>0</v>
          </cell>
          <cell r="Z62">
            <v>10.498444009965567</v>
          </cell>
          <cell r="AA62">
            <v>4.6239414598289468</v>
          </cell>
          <cell r="AB62">
            <v>168.12539999999998</v>
          </cell>
          <cell r="AC62">
            <v>125.84939999999999</v>
          </cell>
          <cell r="AD62">
            <v>147.98499999999999</v>
          </cell>
          <cell r="AE62">
            <v>131.74639999999999</v>
          </cell>
          <cell r="AF62" t="str">
            <v xml:space="preserve"> ТМА ПРОДОЛЖЕНИЕ Апрель</v>
          </cell>
        </row>
        <row r="63">
          <cell r="A63" t="str">
            <v xml:space="preserve"> 347  Колбаса Сочинка рубленая с сочным окороком ТМ Стародворье ВЕС ПОКОМ</v>
          </cell>
          <cell r="B63" t="str">
            <v>кг</v>
          </cell>
          <cell r="C63">
            <v>166.58799999999999</v>
          </cell>
          <cell r="D63">
            <v>32.649000000000001</v>
          </cell>
          <cell r="E63">
            <v>76.495999999999995</v>
          </cell>
          <cell r="F63">
            <v>89.191999999999993</v>
          </cell>
          <cell r="G63" t="str">
            <v>P003384</v>
          </cell>
          <cell r="H63">
            <v>1</v>
          </cell>
          <cell r="I63">
            <v>40</v>
          </cell>
          <cell r="J63" t="str">
            <v>матрица</v>
          </cell>
          <cell r="L63">
            <v>139.44900000000001</v>
          </cell>
          <cell r="M63">
            <v>-62.953000000000017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40</v>
          </cell>
          <cell r="V63">
            <v>15.299199999999999</v>
          </cell>
          <cell r="Y63">
            <v>0</v>
          </cell>
          <cell r="Z63">
            <v>8.4443631039531493</v>
          </cell>
          <cell r="AA63">
            <v>5.8298473122777663</v>
          </cell>
          <cell r="AB63">
            <v>17.030799999999999</v>
          </cell>
          <cell r="AC63">
            <v>13.987799999999998</v>
          </cell>
          <cell r="AD63">
            <v>7.6652000000000005</v>
          </cell>
          <cell r="AE63">
            <v>13.283799999999999</v>
          </cell>
          <cell r="AF63">
            <v>0</v>
          </cell>
        </row>
        <row r="64">
          <cell r="A64" t="str">
            <v xml:space="preserve"> 364  Сардельки Филейские Вязанка ВЕС NDX ТМ Вязанка  ПОКОМ</v>
          </cell>
          <cell r="B64" t="str">
            <v>кг</v>
          </cell>
          <cell r="C64">
            <v>0.124</v>
          </cell>
          <cell r="D64">
            <v>1923.0029999999999</v>
          </cell>
          <cell r="E64">
            <v>352.18200000000002</v>
          </cell>
          <cell r="F64">
            <v>1548.616</v>
          </cell>
          <cell r="G64" t="str">
            <v>P003883</v>
          </cell>
          <cell r="H64">
            <v>1</v>
          </cell>
          <cell r="I64">
            <v>0</v>
          </cell>
          <cell r="J64">
            <v>0</v>
          </cell>
          <cell r="L64">
            <v>363.8</v>
          </cell>
          <cell r="M64">
            <v>-11.617999999999995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70.436400000000006</v>
          </cell>
          <cell r="Y64">
            <v>0</v>
          </cell>
          <cell r="Z64">
            <v>21.986018592659477</v>
          </cell>
          <cell r="AA64">
            <v>21.986018592659477</v>
          </cell>
          <cell r="AB64">
            <v>100.8188</v>
          </cell>
          <cell r="AC64">
            <v>49.721199999999996</v>
          </cell>
          <cell r="AD64">
            <v>194.2208</v>
          </cell>
          <cell r="AE64">
            <v>53.8812</v>
          </cell>
          <cell r="AF64">
            <v>0</v>
          </cell>
        </row>
        <row r="65">
          <cell r="A65" t="str">
            <v xml:space="preserve"> 376  Колбаса Докторская Дугушка 0,6кг ГОСТ ТМ Стародворье  ПОКОМ </v>
          </cell>
          <cell r="B65" t="str">
            <v>шт</v>
          </cell>
          <cell r="C65">
            <v>57</v>
          </cell>
          <cell r="D65">
            <v>1320</v>
          </cell>
          <cell r="E65">
            <v>836</v>
          </cell>
          <cell r="F65">
            <v>541</v>
          </cell>
          <cell r="G65" t="str">
            <v>P004689</v>
          </cell>
          <cell r="H65">
            <v>0.6</v>
          </cell>
          <cell r="I65">
            <v>60</v>
          </cell>
          <cell r="J65" t="str">
            <v>ВНИМАНИЕ / матрица</v>
          </cell>
          <cell r="L65">
            <v>854</v>
          </cell>
          <cell r="M65">
            <v>-18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500</v>
          </cell>
          <cell r="V65">
            <v>167.2</v>
          </cell>
          <cell r="W65">
            <v>250</v>
          </cell>
          <cell r="X65">
            <v>150</v>
          </cell>
          <cell r="Y65" t="str">
            <v>в достатке</v>
          </cell>
          <cell r="Z65">
            <v>7.7212918660287091</v>
          </cell>
          <cell r="AA65">
            <v>3.2356459330143541</v>
          </cell>
          <cell r="AB65">
            <v>120.8</v>
          </cell>
          <cell r="AC65">
            <v>97.6</v>
          </cell>
          <cell r="AD65">
            <v>295</v>
          </cell>
          <cell r="AE65">
            <v>193.6</v>
          </cell>
          <cell r="AF65" t="str">
            <v>увел продажи</v>
          </cell>
        </row>
        <row r="66">
          <cell r="A66" t="str">
            <v xml:space="preserve"> 377  Колбаса Молочная Дугушка 0,6кг ТМ Стародворье  ПОКОМ</v>
          </cell>
          <cell r="B66" t="str">
            <v>шт</v>
          </cell>
          <cell r="C66">
            <v>427</v>
          </cell>
          <cell r="D66">
            <v>184</v>
          </cell>
          <cell r="E66">
            <v>566</v>
          </cell>
          <cell r="F66">
            <v>26</v>
          </cell>
          <cell r="G66" t="str">
            <v>P004688</v>
          </cell>
          <cell r="H66">
            <v>0.6</v>
          </cell>
          <cell r="I66">
            <v>60</v>
          </cell>
          <cell r="J66" t="str">
            <v>матрица</v>
          </cell>
          <cell r="L66">
            <v>627</v>
          </cell>
          <cell r="M66">
            <v>-61</v>
          </cell>
          <cell r="O66">
            <v>0</v>
          </cell>
          <cell r="P66">
            <v>0</v>
          </cell>
          <cell r="Q66">
            <v>350</v>
          </cell>
          <cell r="R66">
            <v>0</v>
          </cell>
          <cell r="S66">
            <v>0</v>
          </cell>
          <cell r="T66">
            <v>0</v>
          </cell>
          <cell r="U66">
            <v>490</v>
          </cell>
          <cell r="V66">
            <v>113.2</v>
          </cell>
          <cell r="W66">
            <v>330</v>
          </cell>
          <cell r="Y66">
            <v>0</v>
          </cell>
          <cell r="Z66">
            <v>10.565371024734983</v>
          </cell>
          <cell r="AA66">
            <v>0.22968197879858657</v>
          </cell>
          <cell r="AB66">
            <v>84.2</v>
          </cell>
          <cell r="AC66">
            <v>80.8</v>
          </cell>
          <cell r="AD66">
            <v>83</v>
          </cell>
          <cell r="AE66">
            <v>106.2</v>
          </cell>
          <cell r="AF66" t="str">
            <v>остатки?</v>
          </cell>
        </row>
        <row r="67">
          <cell r="A67" t="str">
            <v xml:space="preserve"> 394 Колбаса полукопченая Аль-Ислами халяль ТМ Вязанка оболочка фиброуз в в/у 0,35 кг  ПОКОМ</v>
          </cell>
          <cell r="B67" t="str">
            <v>шт</v>
          </cell>
          <cell r="D67">
            <v>104</v>
          </cell>
          <cell r="E67">
            <v>6</v>
          </cell>
          <cell r="F67">
            <v>98</v>
          </cell>
          <cell r="G67" t="str">
            <v>P003439</v>
          </cell>
          <cell r="H67">
            <v>0.35</v>
          </cell>
          <cell r="I67">
            <v>0</v>
          </cell>
          <cell r="J67" t="str">
            <v>матрица</v>
          </cell>
          <cell r="L67">
            <v>7</v>
          </cell>
          <cell r="M67">
            <v>-1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1.2</v>
          </cell>
          <cell r="Y67">
            <v>0</v>
          </cell>
          <cell r="Z67">
            <v>81.666666666666671</v>
          </cell>
          <cell r="AA67">
            <v>81.666666666666671</v>
          </cell>
          <cell r="AB67">
            <v>5.4</v>
          </cell>
          <cell r="AC67">
            <v>7.6</v>
          </cell>
          <cell r="AD67">
            <v>11.8</v>
          </cell>
          <cell r="AE67">
            <v>4.8</v>
          </cell>
          <cell r="AF67">
            <v>0</v>
          </cell>
        </row>
        <row r="68">
          <cell r="A68" t="str">
            <v xml:space="preserve"> 395  Колбаса Докторская ГОСТ ТМ Вязанка в оболочке полиамид 0,37 кг. ПОКОМ</v>
          </cell>
          <cell r="B68" t="str">
            <v>шт</v>
          </cell>
          <cell r="C68">
            <v>21</v>
          </cell>
          <cell r="D68">
            <v>280</v>
          </cell>
          <cell r="E68">
            <v>140</v>
          </cell>
          <cell r="F68">
            <v>161</v>
          </cell>
          <cell r="G68" t="str">
            <v>P003429</v>
          </cell>
          <cell r="H68">
            <v>0.37</v>
          </cell>
          <cell r="I68">
            <v>0</v>
          </cell>
          <cell r="J68" t="str">
            <v>матрица</v>
          </cell>
          <cell r="L68">
            <v>142</v>
          </cell>
          <cell r="M68">
            <v>-2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28</v>
          </cell>
          <cell r="W68">
            <v>140</v>
          </cell>
          <cell r="Y68">
            <v>0</v>
          </cell>
          <cell r="Z68">
            <v>10.75</v>
          </cell>
          <cell r="AA68">
            <v>5.75</v>
          </cell>
          <cell r="AB68">
            <v>21.4</v>
          </cell>
          <cell r="AC68">
            <v>22.4</v>
          </cell>
          <cell r="AD68">
            <v>30.2</v>
          </cell>
          <cell r="AE68">
            <v>14</v>
          </cell>
          <cell r="AF68">
            <v>0</v>
          </cell>
        </row>
        <row r="69">
          <cell r="A69" t="str">
            <v xml:space="preserve"> 397  Ветчина Дугушка ТМ Стародворье ТС Дугушка в полиамидной оболочке 0,6 кг. ПОКОМ</v>
          </cell>
          <cell r="B69" t="str">
            <v>шт</v>
          </cell>
          <cell r="C69">
            <v>618</v>
          </cell>
          <cell r="D69">
            <v>4</v>
          </cell>
          <cell r="E69">
            <v>116</v>
          </cell>
          <cell r="F69">
            <v>506</v>
          </cell>
          <cell r="G69" t="str">
            <v>P004923</v>
          </cell>
          <cell r="H69">
            <v>0.6</v>
          </cell>
          <cell r="I69">
            <v>55</v>
          </cell>
          <cell r="J69" t="str">
            <v>ВНИМАНИЕ / матрица</v>
          </cell>
          <cell r="L69">
            <v>140</v>
          </cell>
          <cell r="M69">
            <v>-24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23.2</v>
          </cell>
          <cell r="Y69">
            <v>0</v>
          </cell>
          <cell r="Z69">
            <v>21.810344827586206</v>
          </cell>
          <cell r="AA69">
            <v>21.810344827586206</v>
          </cell>
          <cell r="AB69">
            <v>112.8</v>
          </cell>
          <cell r="AC69">
            <v>42</v>
          </cell>
          <cell r="AD69">
            <v>61</v>
          </cell>
          <cell r="AE69">
            <v>15</v>
          </cell>
          <cell r="AF69" t="str">
            <v>остатки?</v>
          </cell>
        </row>
        <row r="70">
          <cell r="A70" t="str">
            <v xml:space="preserve"> 405  Сардельки Сливушки ТМ Вязанка в оболочке айпил 0,33 кг. ПОКОМ</v>
          </cell>
          <cell r="B70" t="str">
            <v>шт</v>
          </cell>
          <cell r="C70">
            <v>105</v>
          </cell>
          <cell r="E70">
            <v>90</v>
          </cell>
          <cell r="F70">
            <v>9</v>
          </cell>
          <cell r="G70" t="str">
            <v>P002644</v>
          </cell>
          <cell r="H70">
            <v>0.33</v>
          </cell>
          <cell r="I70">
            <v>0</v>
          </cell>
          <cell r="J70" t="str">
            <v>не матрица</v>
          </cell>
          <cell r="L70">
            <v>114</v>
          </cell>
          <cell r="M70">
            <v>-24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130</v>
          </cell>
          <cell r="V70">
            <v>18</v>
          </cell>
          <cell r="Y70">
            <v>0</v>
          </cell>
          <cell r="Z70">
            <v>7.7222222222222223</v>
          </cell>
          <cell r="AA70">
            <v>0.5</v>
          </cell>
          <cell r="AB70">
            <v>13.6</v>
          </cell>
          <cell r="AC70">
            <v>21</v>
          </cell>
          <cell r="AD70">
            <v>7</v>
          </cell>
          <cell r="AE70">
            <v>13.4</v>
          </cell>
          <cell r="AF70" t="e">
            <v>#N/A</v>
          </cell>
        </row>
        <row r="71">
          <cell r="A71" t="str">
            <v xml:space="preserve"> 408  Ветчина Сливушка с индейкой ТМ Вязанка, 0,4кг  ПОКОМ</v>
          </cell>
          <cell r="B71" t="str">
            <v>шт</v>
          </cell>
          <cell r="C71">
            <v>50</v>
          </cell>
          <cell r="E71">
            <v>38.74</v>
          </cell>
          <cell r="F71">
            <v>4.26</v>
          </cell>
          <cell r="G71" t="str">
            <v>P004586</v>
          </cell>
          <cell r="H71">
            <v>0.4</v>
          </cell>
          <cell r="I71">
            <v>50</v>
          </cell>
          <cell r="J71" t="str">
            <v>матрица</v>
          </cell>
          <cell r="L71">
            <v>45</v>
          </cell>
          <cell r="M71">
            <v>-6.259999999999998</v>
          </cell>
          <cell r="O71">
            <v>0</v>
          </cell>
          <cell r="P71">
            <v>0</v>
          </cell>
          <cell r="Q71">
            <v>90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7.7480000000000002</v>
          </cell>
          <cell r="Y71">
            <v>0</v>
          </cell>
          <cell r="Z71">
            <v>12.165720185854415</v>
          </cell>
          <cell r="AA71">
            <v>0.54981930820856995</v>
          </cell>
          <cell r="AB71">
            <v>10.6</v>
          </cell>
          <cell r="AC71">
            <v>12.2</v>
          </cell>
          <cell r="AD71">
            <v>11.8</v>
          </cell>
          <cell r="AE71">
            <v>9.6</v>
          </cell>
          <cell r="AF71" t="str">
            <v>увел продажи</v>
          </cell>
        </row>
        <row r="72">
          <cell r="A72" t="str">
            <v xml:space="preserve"> 410  Сосиски Баварские с сыром ТМ Стародворье 0,35 кг. ПОКОМ</v>
          </cell>
          <cell r="B72" t="str">
            <v>шт</v>
          </cell>
          <cell r="C72">
            <v>118</v>
          </cell>
          <cell r="D72">
            <v>127</v>
          </cell>
          <cell r="E72">
            <v>138</v>
          </cell>
          <cell r="F72">
            <v>87</v>
          </cell>
          <cell r="G72" t="str">
            <v>P003364</v>
          </cell>
          <cell r="H72">
            <v>0.35</v>
          </cell>
          <cell r="I72">
            <v>0</v>
          </cell>
          <cell r="J72" t="str">
            <v>матрица</v>
          </cell>
          <cell r="L72">
            <v>174</v>
          </cell>
          <cell r="M72">
            <v>-36</v>
          </cell>
          <cell r="O72">
            <v>0</v>
          </cell>
          <cell r="P72">
            <v>0</v>
          </cell>
          <cell r="Q72">
            <v>120</v>
          </cell>
          <cell r="R72">
            <v>0</v>
          </cell>
          <cell r="S72">
            <v>0</v>
          </cell>
          <cell r="T72">
            <v>0</v>
          </cell>
          <cell r="U72">
            <v>90</v>
          </cell>
          <cell r="V72">
            <v>27.6</v>
          </cell>
          <cell r="Y72">
            <v>0</v>
          </cell>
          <cell r="Z72">
            <v>10.760869565217391</v>
          </cell>
          <cell r="AA72">
            <v>3.152173913043478</v>
          </cell>
          <cell r="AB72">
            <v>42.2</v>
          </cell>
          <cell r="AC72">
            <v>31</v>
          </cell>
          <cell r="AD72">
            <v>28.6</v>
          </cell>
          <cell r="AE72">
            <v>31.6</v>
          </cell>
          <cell r="AF72" t="str">
            <v>новинка / ТМА февраль</v>
          </cell>
        </row>
        <row r="73">
          <cell r="A73" t="str">
            <v xml:space="preserve"> 412  Сосиски Баварские ТМ Стародворье 0,35 кг ПОКОМ</v>
          </cell>
          <cell r="B73" t="str">
            <v>шт</v>
          </cell>
          <cell r="C73">
            <v>296</v>
          </cell>
          <cell r="D73">
            <v>415</v>
          </cell>
          <cell r="E73">
            <v>392</v>
          </cell>
          <cell r="F73">
            <v>297</v>
          </cell>
          <cell r="G73" t="str">
            <v>P003363</v>
          </cell>
          <cell r="H73">
            <v>0.35</v>
          </cell>
          <cell r="I73">
            <v>0</v>
          </cell>
          <cell r="J73" t="str">
            <v>матрица</v>
          </cell>
          <cell r="L73">
            <v>630</v>
          </cell>
          <cell r="M73">
            <v>-238</v>
          </cell>
          <cell r="O73">
            <v>0</v>
          </cell>
          <cell r="P73">
            <v>0</v>
          </cell>
          <cell r="Q73">
            <v>340</v>
          </cell>
          <cell r="R73">
            <v>0</v>
          </cell>
          <cell r="S73">
            <v>0</v>
          </cell>
          <cell r="T73">
            <v>0</v>
          </cell>
          <cell r="U73">
            <v>320</v>
          </cell>
          <cell r="V73">
            <v>78.400000000000006</v>
          </cell>
          <cell r="Y73">
            <v>0</v>
          </cell>
          <cell r="Z73">
            <v>12.206632653061224</v>
          </cell>
          <cell r="AA73">
            <v>3.7882653061224487</v>
          </cell>
          <cell r="AB73">
            <v>79.400000000000006</v>
          </cell>
          <cell r="AC73">
            <v>79.400000000000006</v>
          </cell>
          <cell r="AD73">
            <v>84.2</v>
          </cell>
          <cell r="AE73">
            <v>95.6</v>
          </cell>
          <cell r="AF73" t="str">
            <v>ТМА ПРОДОЛЖЕНИЕ Апрель</v>
          </cell>
        </row>
        <row r="74">
          <cell r="A74" t="str">
            <v xml:space="preserve"> 430  Колбаса Стародворская с окороком 0,4 кг. ТМ Стародворье в оболочке полиамид  ПОКОМ</v>
          </cell>
          <cell r="B74" t="str">
            <v>шт</v>
          </cell>
          <cell r="C74">
            <v>26</v>
          </cell>
          <cell r="E74">
            <v>21</v>
          </cell>
          <cell r="F74">
            <v>5</v>
          </cell>
          <cell r="G74" t="str">
            <v>P003947</v>
          </cell>
          <cell r="H74">
            <v>0.4</v>
          </cell>
          <cell r="I74">
            <v>0</v>
          </cell>
          <cell r="J74">
            <v>0</v>
          </cell>
          <cell r="L74">
            <v>21</v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50</v>
          </cell>
          <cell r="V74">
            <v>4.2</v>
          </cell>
          <cell r="Y74">
            <v>0</v>
          </cell>
          <cell r="Z74">
            <v>13.095238095238095</v>
          </cell>
          <cell r="AA74">
            <v>1.1904761904761905</v>
          </cell>
          <cell r="AB74">
            <v>0</v>
          </cell>
          <cell r="AC74">
            <v>4.5999999999999996</v>
          </cell>
          <cell r="AD74">
            <v>3.4</v>
          </cell>
          <cell r="AE74">
            <v>5</v>
          </cell>
          <cell r="AF74" t="str">
            <v>0 заявок</v>
          </cell>
        </row>
        <row r="75">
          <cell r="A75" t="str">
            <v xml:space="preserve"> 433 Колбаса Стародворская со шпиком  в оболочке полиамид. ТМ Стародворье ВЕС ПОКОМ</v>
          </cell>
          <cell r="B75" t="str">
            <v>кг</v>
          </cell>
          <cell r="C75">
            <v>70.233999999999995</v>
          </cell>
          <cell r="D75">
            <v>5.78</v>
          </cell>
          <cell r="E75">
            <v>6.6580000000000004</v>
          </cell>
          <cell r="F75">
            <v>68.813999999999993</v>
          </cell>
          <cell r="G75" t="str">
            <v>P003950</v>
          </cell>
          <cell r="H75">
            <v>1</v>
          </cell>
          <cell r="I75">
            <v>0</v>
          </cell>
          <cell r="J75" t="e">
            <v>#N/A</v>
          </cell>
          <cell r="L75">
            <v>7.8</v>
          </cell>
          <cell r="M75">
            <v>-1.1419999999999995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1.3316000000000001</v>
          </cell>
          <cell r="Y75">
            <v>0</v>
          </cell>
          <cell r="Z75">
            <v>51.677680985280858</v>
          </cell>
          <cell r="AA75">
            <v>51.677680985280858</v>
          </cell>
          <cell r="AB75">
            <v>5.4164000000000003</v>
          </cell>
          <cell r="AC75">
            <v>0.78439999999999999</v>
          </cell>
          <cell r="AD75">
            <v>1.3715999999999999</v>
          </cell>
          <cell r="AE75">
            <v>0.46479999999999999</v>
          </cell>
          <cell r="AF75" t="e">
            <v>#N/A</v>
          </cell>
        </row>
        <row r="76">
          <cell r="A76" t="str">
            <v xml:space="preserve"> 449  Колбаса Дугушка Стародворская ВЕС ТС Дугушка ПОКОМ</v>
          </cell>
          <cell r="B76" t="str">
            <v>кг</v>
          </cell>
          <cell r="C76">
            <v>5764.6469999999999</v>
          </cell>
          <cell r="D76">
            <v>1932.797</v>
          </cell>
          <cell r="E76">
            <v>4051.3069999999998</v>
          </cell>
          <cell r="F76">
            <v>3613.835</v>
          </cell>
          <cell r="G76" t="str">
            <v>P002989</v>
          </cell>
          <cell r="H76">
            <v>1</v>
          </cell>
          <cell r="I76">
            <v>60</v>
          </cell>
          <cell r="J76" t="str">
            <v>матрица</v>
          </cell>
          <cell r="L76">
            <v>4233.58</v>
          </cell>
          <cell r="M76">
            <v>-182.27300000000014</v>
          </cell>
          <cell r="O76">
            <v>0</v>
          </cell>
          <cell r="P76">
            <v>700</v>
          </cell>
          <cell r="Q76">
            <v>500</v>
          </cell>
          <cell r="R76">
            <v>1500</v>
          </cell>
          <cell r="S76">
            <v>0</v>
          </cell>
          <cell r="T76">
            <v>1700</v>
          </cell>
          <cell r="U76">
            <v>300</v>
          </cell>
          <cell r="V76">
            <v>810.26139999999998</v>
          </cell>
          <cell r="W76">
            <v>500</v>
          </cell>
          <cell r="Y76">
            <v>0</v>
          </cell>
          <cell r="Z76">
            <v>10.877767347673231</v>
          </cell>
          <cell r="AA76">
            <v>4.4600853502338875</v>
          </cell>
          <cell r="AB76">
            <v>781.14059999999995</v>
          </cell>
          <cell r="AC76">
            <v>821.63319999999999</v>
          </cell>
          <cell r="AD76">
            <v>754.90499999999997</v>
          </cell>
          <cell r="AE76">
            <v>782.39779999999996</v>
          </cell>
          <cell r="AF76" t="str">
            <v>ТМА ПРОДОЛЖЕНИЕ МАРТ</v>
          </cell>
        </row>
        <row r="77">
          <cell r="A77" t="str">
            <v xml:space="preserve"> 451 Сосиски Филейские ТМ Вязанка в оболочке целлофан 0,3 кг. ПОКОМ</v>
          </cell>
          <cell r="B77" t="str">
            <v>шт</v>
          </cell>
          <cell r="C77">
            <v>20</v>
          </cell>
          <cell r="D77">
            <v>354</v>
          </cell>
          <cell r="E77">
            <v>173</v>
          </cell>
          <cell r="F77">
            <v>201</v>
          </cell>
          <cell r="G77" t="str">
            <v>P004554</v>
          </cell>
          <cell r="H77">
            <v>0.3</v>
          </cell>
          <cell r="I77">
            <v>0</v>
          </cell>
          <cell r="J77" t="e">
            <v>#N/A</v>
          </cell>
          <cell r="L77">
            <v>246</v>
          </cell>
          <cell r="M77">
            <v>-73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100</v>
          </cell>
          <cell r="V77">
            <v>34.6</v>
          </cell>
          <cell r="W77">
            <v>80</v>
          </cell>
          <cell r="Y77">
            <v>0</v>
          </cell>
          <cell r="Z77">
            <v>11.011560693641618</v>
          </cell>
          <cell r="AA77">
            <v>5.8092485549132942</v>
          </cell>
          <cell r="AB77">
            <v>21.2</v>
          </cell>
          <cell r="AC77">
            <v>3.6</v>
          </cell>
          <cell r="AD77">
            <v>38.200000000000003</v>
          </cell>
          <cell r="AE77">
            <v>6</v>
          </cell>
          <cell r="AF77" t="e">
            <v>#N/A</v>
          </cell>
        </row>
        <row r="78">
          <cell r="A78" t="str">
            <v xml:space="preserve"> 452  Колбаса Со шпиком ВЕС большой батон ТМ Особый рецепт  ПОКОМ</v>
          </cell>
          <cell r="B78" t="str">
            <v>кг</v>
          </cell>
          <cell r="C78">
            <v>2077.8330000000001</v>
          </cell>
          <cell r="D78">
            <v>447.517</v>
          </cell>
          <cell r="E78">
            <v>1607.3340000000001</v>
          </cell>
          <cell r="F78">
            <v>685.15099999999995</v>
          </cell>
          <cell r="G78" t="str">
            <v>P004257</v>
          </cell>
          <cell r="H78">
            <v>1</v>
          </cell>
          <cell r="I78">
            <v>60</v>
          </cell>
          <cell r="J78" t="str">
            <v>матрица</v>
          </cell>
          <cell r="L78">
            <v>1947.943</v>
          </cell>
          <cell r="M78">
            <v>-340.60899999999992</v>
          </cell>
          <cell r="O78">
            <v>0</v>
          </cell>
          <cell r="P78">
            <v>500</v>
          </cell>
          <cell r="Q78">
            <v>200</v>
          </cell>
          <cell r="R78">
            <v>900</v>
          </cell>
          <cell r="S78">
            <v>0</v>
          </cell>
          <cell r="T78">
            <v>1000</v>
          </cell>
          <cell r="U78">
            <v>0</v>
          </cell>
          <cell r="V78">
            <v>321.46680000000003</v>
          </cell>
          <cell r="W78">
            <v>300</v>
          </cell>
          <cell r="Y78">
            <v>0</v>
          </cell>
          <cell r="Z78">
            <v>11.15247670988108</v>
          </cell>
          <cell r="AA78">
            <v>2.1313274030164231</v>
          </cell>
          <cell r="AB78">
            <v>254.72840000000002</v>
          </cell>
          <cell r="AC78">
            <v>276.92240000000004</v>
          </cell>
          <cell r="AD78">
            <v>244.89420000000001</v>
          </cell>
          <cell r="AE78">
            <v>319.43420000000003</v>
          </cell>
          <cell r="AF78" t="str">
            <v>ТМА ПРОДОЛЖЕНИЕ Апрель</v>
          </cell>
        </row>
        <row r="79">
          <cell r="A79" t="str">
            <v xml:space="preserve"> 456  Колбаса Филейная ТМ Особый рецепт ВЕС большой батон  ПОКОМ</v>
          </cell>
          <cell r="B79" t="str">
            <v>кг</v>
          </cell>
          <cell r="C79">
            <v>3453.5920000000001</v>
          </cell>
          <cell r="D79">
            <v>4611.3149999999996</v>
          </cell>
          <cell r="E79">
            <v>4843.8149999999996</v>
          </cell>
          <cell r="F79">
            <v>2181.4690000000001</v>
          </cell>
          <cell r="G79" t="str">
            <v>P004252</v>
          </cell>
          <cell r="H79">
            <v>1</v>
          </cell>
          <cell r="I79">
            <v>60</v>
          </cell>
          <cell r="J79" t="str">
            <v>матрица</v>
          </cell>
          <cell r="L79">
            <v>6322.3320000000003</v>
          </cell>
          <cell r="M79">
            <v>-1478.5170000000007</v>
          </cell>
          <cell r="O79">
            <v>0</v>
          </cell>
          <cell r="P79">
            <v>500</v>
          </cell>
          <cell r="Q79">
            <v>500</v>
          </cell>
          <cell r="R79">
            <v>1700</v>
          </cell>
          <cell r="S79">
            <v>0</v>
          </cell>
          <cell r="T79">
            <v>1100</v>
          </cell>
          <cell r="U79">
            <v>3000</v>
          </cell>
          <cell r="V79">
            <v>968.76299999999992</v>
          </cell>
          <cell r="W79">
            <v>1500</v>
          </cell>
          <cell r="Y79">
            <v>0</v>
          </cell>
          <cell r="Z79">
            <v>10.819435713378816</v>
          </cell>
          <cell r="AA79">
            <v>2.2518087499212918</v>
          </cell>
          <cell r="AB79">
            <v>605.00379999999996</v>
          </cell>
          <cell r="AC79">
            <v>659.8646</v>
          </cell>
          <cell r="AD79">
            <v>643.58459999999991</v>
          </cell>
          <cell r="AE79">
            <v>892.06839999999988</v>
          </cell>
          <cell r="AF79" t="str">
            <v>ТМА ПРОДОЛЖЕНИЕ Апрель</v>
          </cell>
        </row>
        <row r="80">
          <cell r="A80" t="str">
            <v xml:space="preserve"> 457  Колбаса Молочная ТМ Особый рецепт ВЕС большой батон  ПОКОМ</v>
          </cell>
          <cell r="B80" t="str">
            <v>кг</v>
          </cell>
          <cell r="C80">
            <v>4424.22</v>
          </cell>
          <cell r="D80">
            <v>5460.6149999999998</v>
          </cell>
          <cell r="E80">
            <v>4501.9440000000004</v>
          </cell>
          <cell r="F80">
            <v>4590.3469999999998</v>
          </cell>
          <cell r="G80" t="str">
            <v>P004256</v>
          </cell>
          <cell r="H80">
            <v>1</v>
          </cell>
          <cell r="I80">
            <v>60</v>
          </cell>
          <cell r="J80" t="str">
            <v>матрица</v>
          </cell>
          <cell r="L80">
            <v>5339.9690000000001</v>
          </cell>
          <cell r="M80">
            <v>-838.02499999999964</v>
          </cell>
          <cell r="O80">
            <v>0</v>
          </cell>
          <cell r="P80">
            <v>0</v>
          </cell>
          <cell r="Q80">
            <v>600</v>
          </cell>
          <cell r="R80">
            <v>0</v>
          </cell>
          <cell r="S80">
            <v>0</v>
          </cell>
          <cell r="T80">
            <v>0</v>
          </cell>
          <cell r="U80">
            <v>4000</v>
          </cell>
          <cell r="V80">
            <v>900.38880000000006</v>
          </cell>
          <cell r="W80">
            <v>600</v>
          </cell>
          <cell r="Y80">
            <v>0</v>
          </cell>
          <cell r="Z80">
            <v>10.87346599602305</v>
          </cell>
          <cell r="AA80">
            <v>5.0981831404388851</v>
          </cell>
          <cell r="AB80">
            <v>670.39440000000002</v>
          </cell>
          <cell r="AC80">
            <v>796.82820000000004</v>
          </cell>
          <cell r="AD80">
            <v>814.63580000000002</v>
          </cell>
          <cell r="AE80">
            <v>890.33680000000004</v>
          </cell>
          <cell r="AF80" t="str">
            <v>ТМА ПРОДОЛЖЕНИЕ Апрель</v>
          </cell>
        </row>
        <row r="81">
          <cell r="A81" t="str">
            <v xml:space="preserve"> 460  Колбаса Стародворская Традиционная ВЕС ТМ Стародворье в оболочке полиамид. ПОКОМ</v>
          </cell>
          <cell r="B81" t="str">
            <v>кг</v>
          </cell>
          <cell r="C81">
            <v>30.013999999999999</v>
          </cell>
          <cell r="D81">
            <v>65.992999999999995</v>
          </cell>
          <cell r="E81">
            <v>28.564</v>
          </cell>
          <cell r="F81">
            <v>67.442999999999998</v>
          </cell>
          <cell r="G81" t="str">
            <v>P004210</v>
          </cell>
          <cell r="H81">
            <v>1</v>
          </cell>
          <cell r="I81">
            <v>0</v>
          </cell>
          <cell r="J81" t="e">
            <v>#N/A</v>
          </cell>
          <cell r="L81">
            <v>43.4</v>
          </cell>
          <cell r="M81">
            <v>-14.835999999999999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10</v>
          </cell>
          <cell r="V81">
            <v>5.7127999999999997</v>
          </cell>
          <cell r="Y81">
            <v>0</v>
          </cell>
          <cell r="Z81">
            <v>13.556049572888952</v>
          </cell>
          <cell r="AA81">
            <v>11.805594454558186</v>
          </cell>
          <cell r="AB81">
            <v>1.6126</v>
          </cell>
          <cell r="AC81">
            <v>5.6142000000000003</v>
          </cell>
          <cell r="AD81">
            <v>8.8628</v>
          </cell>
          <cell r="AE81">
            <v>6.5221999999999998</v>
          </cell>
          <cell r="AF81" t="e">
            <v>#N/A</v>
          </cell>
        </row>
        <row r="82">
          <cell r="A82" t="str">
            <v xml:space="preserve"> 463  Колбаса Молочная Традиционнаяв оболочке полиамид.ТМ Стародворье. ВЕС ПОКОМ</v>
          </cell>
          <cell r="B82" t="str">
            <v>кг</v>
          </cell>
          <cell r="C82">
            <v>41.081000000000003</v>
          </cell>
          <cell r="E82">
            <v>35.81</v>
          </cell>
          <cell r="F82">
            <v>5.2709999999999999</v>
          </cell>
          <cell r="G82" t="str">
            <v>P005138</v>
          </cell>
          <cell r="H82">
            <v>1</v>
          </cell>
          <cell r="I82" t="e">
            <v>#N/A</v>
          </cell>
          <cell r="J82" t="str">
            <v>?</v>
          </cell>
          <cell r="L82">
            <v>35.746000000000002</v>
          </cell>
          <cell r="M82">
            <v>6.4000000000000057E-2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80</v>
          </cell>
          <cell r="V82">
            <v>7.1620000000000008</v>
          </cell>
          <cell r="Y82">
            <v>0</v>
          </cell>
          <cell r="Z82">
            <v>11.906031834683048</v>
          </cell>
          <cell r="AA82">
            <v>0.73596760681373907</v>
          </cell>
          <cell r="AB82">
            <v>0</v>
          </cell>
          <cell r="AC82">
            <v>0</v>
          </cell>
          <cell r="AD82">
            <v>2.3890000000000002</v>
          </cell>
          <cell r="AE82">
            <v>9.5624000000000002</v>
          </cell>
          <cell r="AF82" t="e">
            <v>#N/A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182.87</v>
          </cell>
          <cell r="D83">
            <v>205.14</v>
          </cell>
          <cell r="E83">
            <v>0</v>
          </cell>
          <cell r="F83">
            <v>388.01</v>
          </cell>
          <cell r="G83">
            <v>0</v>
          </cell>
          <cell r="H83">
            <v>1</v>
          </cell>
          <cell r="I83" t="e">
            <v>#N/A</v>
          </cell>
          <cell r="J83" t="str">
            <v>?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Y83">
            <v>0</v>
          </cell>
          <cell r="Z83" t="e">
            <v>#DIV/0!</v>
          </cell>
          <cell r="AA83" t="e">
            <v>#DIV/0!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e">
            <v>#N/A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B84" t="str">
            <v>шт</v>
          </cell>
          <cell r="C84">
            <v>6</v>
          </cell>
          <cell r="D84">
            <v>234</v>
          </cell>
          <cell r="E84">
            <v>135</v>
          </cell>
          <cell r="F84">
            <v>103</v>
          </cell>
          <cell r="G84" t="str">
            <v>P003390</v>
          </cell>
          <cell r="H84">
            <v>0.3</v>
          </cell>
          <cell r="I84">
            <v>40</v>
          </cell>
          <cell r="J84" t="str">
            <v>матрица</v>
          </cell>
          <cell r="L84">
            <v>138</v>
          </cell>
          <cell r="M84">
            <v>-3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27</v>
          </cell>
          <cell r="W84">
            <v>190</v>
          </cell>
          <cell r="Y84">
            <v>0</v>
          </cell>
          <cell r="Z84">
            <v>10.851851851851851</v>
          </cell>
          <cell r="AA84">
            <v>3.8148148148148149</v>
          </cell>
          <cell r="AB84">
            <v>18.8</v>
          </cell>
          <cell r="AC84">
            <v>14.6</v>
          </cell>
          <cell r="AD84">
            <v>28.2</v>
          </cell>
          <cell r="AE84">
            <v>11.6</v>
          </cell>
          <cell r="AF84" t="str">
            <v>ТМА февраль</v>
          </cell>
        </row>
        <row r="85">
          <cell r="A85" t="str">
            <v xml:space="preserve"> 517  Сосиски С сыром ТМ Ядрена копоть 0,3кг  ПОКОМ</v>
          </cell>
          <cell r="B85" t="str">
            <v>шт</v>
          </cell>
          <cell r="C85">
            <v>68</v>
          </cell>
          <cell r="E85">
            <v>30</v>
          </cell>
          <cell r="F85">
            <v>38</v>
          </cell>
          <cell r="G85" t="str">
            <v>P004642</v>
          </cell>
          <cell r="H85">
            <v>0.3</v>
          </cell>
          <cell r="I85">
            <v>0</v>
          </cell>
          <cell r="J85" t="e">
            <v>#N/A</v>
          </cell>
          <cell r="L85">
            <v>30</v>
          </cell>
          <cell r="M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30</v>
          </cell>
          <cell r="V85">
            <v>6</v>
          </cell>
          <cell r="Y85">
            <v>0</v>
          </cell>
          <cell r="Z85">
            <v>11.333333333333334</v>
          </cell>
          <cell r="AA85">
            <v>6.333333333333333</v>
          </cell>
          <cell r="AB85">
            <v>1.4</v>
          </cell>
          <cell r="AC85">
            <v>7.4</v>
          </cell>
          <cell r="AD85">
            <v>3.4</v>
          </cell>
          <cell r="AE85">
            <v>6</v>
          </cell>
          <cell r="AF85" t="e">
            <v>#N/A</v>
          </cell>
        </row>
        <row r="86">
          <cell r="A86" t="str">
            <v xml:space="preserve"> 523  Колбаса Сальчичон нарезка 0,07кг ТМ Стародворье  ПОКОМ </v>
          </cell>
          <cell r="B86" t="str">
            <v>шт</v>
          </cell>
          <cell r="C86">
            <v>156</v>
          </cell>
          <cell r="E86">
            <v>74</v>
          </cell>
          <cell r="F86">
            <v>81</v>
          </cell>
          <cell r="G86" t="str">
            <v>P004978</v>
          </cell>
          <cell r="H86">
            <v>7.0000000000000007E-2</v>
          </cell>
          <cell r="I86">
            <v>90</v>
          </cell>
          <cell r="J86" t="str">
            <v>матрица</v>
          </cell>
          <cell r="L86">
            <v>75</v>
          </cell>
          <cell r="M86">
            <v>-1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50</v>
          </cell>
          <cell r="V86">
            <v>14.8</v>
          </cell>
          <cell r="Y86">
            <v>0</v>
          </cell>
          <cell r="Z86">
            <v>8.8513513513513509</v>
          </cell>
          <cell r="AA86">
            <v>5.4729729729729728</v>
          </cell>
          <cell r="AB86">
            <v>14.6</v>
          </cell>
          <cell r="AC86">
            <v>20.6</v>
          </cell>
          <cell r="AD86">
            <v>16.600000000000001</v>
          </cell>
          <cell r="AE86">
            <v>14.4</v>
          </cell>
          <cell r="AF86">
            <v>0</v>
          </cell>
        </row>
        <row r="87">
          <cell r="A87" t="str">
            <v xml:space="preserve"> 524  Колбаса Сервелат Ореховый нарезка 0,07кг ТМ Стародворье  ПОКОМ</v>
          </cell>
          <cell r="B87" t="str">
            <v>шт</v>
          </cell>
          <cell r="C87">
            <v>213</v>
          </cell>
          <cell r="E87">
            <v>87</v>
          </cell>
          <cell r="F87">
            <v>125</v>
          </cell>
          <cell r="G87" t="str">
            <v>P004979</v>
          </cell>
          <cell r="H87">
            <v>7.0000000000000007E-2</v>
          </cell>
          <cell r="I87">
            <v>90</v>
          </cell>
          <cell r="J87" t="str">
            <v>матрица</v>
          </cell>
          <cell r="L87">
            <v>88</v>
          </cell>
          <cell r="M87">
            <v>-1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17.399999999999999</v>
          </cell>
          <cell r="Y87">
            <v>0</v>
          </cell>
          <cell r="Z87">
            <v>7.1839080459770122</v>
          </cell>
          <cell r="AA87">
            <v>7.1839080459770122</v>
          </cell>
          <cell r="AB87">
            <v>18.399999999999999</v>
          </cell>
          <cell r="AC87">
            <v>30.6</v>
          </cell>
          <cell r="AD87">
            <v>19.2</v>
          </cell>
          <cell r="AE87">
            <v>15</v>
          </cell>
          <cell r="AF87">
            <v>0</v>
          </cell>
        </row>
        <row r="88">
          <cell r="A88" t="str">
            <v xml:space="preserve"> 525  Колбаса Фуэт нарезка 0,07кг ТМ Стародворье  ПОКОМ</v>
          </cell>
          <cell r="B88" t="str">
            <v>шт</v>
          </cell>
          <cell r="C88">
            <v>51</v>
          </cell>
          <cell r="D88">
            <v>108</v>
          </cell>
          <cell r="E88">
            <v>63</v>
          </cell>
          <cell r="F88">
            <v>95</v>
          </cell>
          <cell r="G88" t="str">
            <v>P004982</v>
          </cell>
          <cell r="H88">
            <v>7.0000000000000007E-2</v>
          </cell>
          <cell r="I88">
            <v>90</v>
          </cell>
          <cell r="J88" t="str">
            <v>матрица</v>
          </cell>
          <cell r="L88">
            <v>64</v>
          </cell>
          <cell r="M88">
            <v>-1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20</v>
          </cell>
          <cell r="V88">
            <v>12.6</v>
          </cell>
          <cell r="Y88">
            <v>0</v>
          </cell>
          <cell r="Z88">
            <v>9.1269841269841265</v>
          </cell>
          <cell r="AA88">
            <v>7.5396825396825395</v>
          </cell>
          <cell r="AB88">
            <v>14</v>
          </cell>
          <cell r="AC88">
            <v>15.2</v>
          </cell>
          <cell r="AD88">
            <v>16.600000000000001</v>
          </cell>
          <cell r="AE88">
            <v>12</v>
          </cell>
          <cell r="AF88">
            <v>0</v>
          </cell>
        </row>
        <row r="89">
          <cell r="A89" t="str">
            <v xml:space="preserve"> 526  Корейка вяленая выдержанная нарезка 0,05кг ТМ Стародворье  ПОКОМ</v>
          </cell>
          <cell r="B89" t="str">
            <v>шт</v>
          </cell>
          <cell r="C89">
            <v>66</v>
          </cell>
          <cell r="E89">
            <v>41</v>
          </cell>
          <cell r="F89">
            <v>22</v>
          </cell>
          <cell r="G89" t="str">
            <v>P005023</v>
          </cell>
          <cell r="H89">
            <v>0.05</v>
          </cell>
          <cell r="I89">
            <v>90</v>
          </cell>
          <cell r="J89" t="str">
            <v>матрица</v>
          </cell>
          <cell r="L89">
            <v>44</v>
          </cell>
          <cell r="M89">
            <v>-3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40</v>
          </cell>
          <cell r="V89">
            <v>8.1999999999999993</v>
          </cell>
          <cell r="Y89">
            <v>0</v>
          </cell>
          <cell r="Z89">
            <v>7.5609756097560981</v>
          </cell>
          <cell r="AA89">
            <v>2.6829268292682928</v>
          </cell>
          <cell r="AB89">
            <v>9.1999999999999993</v>
          </cell>
          <cell r="AC89">
            <v>10.6</v>
          </cell>
          <cell r="AD89">
            <v>6.4</v>
          </cell>
          <cell r="AE89">
            <v>7.6</v>
          </cell>
          <cell r="AF89">
            <v>0</v>
          </cell>
        </row>
        <row r="90">
          <cell r="A90" t="str">
            <v xml:space="preserve"> 527  Окорок Прошутто выдержанный нарезка 0,055кг ТМ Стародворье  ПОКОМ</v>
          </cell>
          <cell r="B90" t="str">
            <v>шт</v>
          </cell>
          <cell r="C90">
            <v>163</v>
          </cell>
          <cell r="E90">
            <v>27</v>
          </cell>
          <cell r="F90">
            <v>126</v>
          </cell>
          <cell r="G90" t="str">
            <v>P005022</v>
          </cell>
          <cell r="H90">
            <v>0.05</v>
          </cell>
          <cell r="I90">
            <v>90</v>
          </cell>
          <cell r="J90" t="str">
            <v>матрица</v>
          </cell>
          <cell r="L90">
            <v>39</v>
          </cell>
          <cell r="M90">
            <v>-12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5.4</v>
          </cell>
          <cell r="Y90">
            <v>0</v>
          </cell>
          <cell r="Z90">
            <v>23.333333333333332</v>
          </cell>
          <cell r="AA90">
            <v>23.333333333333332</v>
          </cell>
          <cell r="AB90">
            <v>9.8000000000000007</v>
          </cell>
          <cell r="AC90">
            <v>17.399999999999999</v>
          </cell>
          <cell r="AD90">
            <v>10.4</v>
          </cell>
          <cell r="AE90">
            <v>7.6</v>
          </cell>
          <cell r="AF90">
            <v>0</v>
          </cell>
        </row>
        <row r="91">
          <cell r="A91" t="str">
            <v xml:space="preserve"> 530  Окорок Хамон выдержанный нарезка 0,055кг ТМ Стародворье  ПОКОМ</v>
          </cell>
          <cell r="B91" t="str">
            <v>шт</v>
          </cell>
          <cell r="C91">
            <v>189</v>
          </cell>
          <cell r="E91">
            <v>43</v>
          </cell>
          <cell r="F91">
            <v>142</v>
          </cell>
          <cell r="G91" t="str">
            <v>P005021</v>
          </cell>
          <cell r="H91">
            <v>5.5E-2</v>
          </cell>
          <cell r="I91">
            <v>90</v>
          </cell>
          <cell r="J91" t="str">
            <v>матрица</v>
          </cell>
          <cell r="L91">
            <v>47</v>
          </cell>
          <cell r="M91">
            <v>-4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8.6</v>
          </cell>
          <cell r="Y91">
            <v>0</v>
          </cell>
          <cell r="Z91">
            <v>16.511627906976745</v>
          </cell>
          <cell r="AA91">
            <v>16.511627906976745</v>
          </cell>
          <cell r="AB91">
            <v>20.399999999999999</v>
          </cell>
          <cell r="AC91">
            <v>5.6</v>
          </cell>
          <cell r="AD91">
            <v>6.8</v>
          </cell>
          <cell r="AE91">
            <v>7.8</v>
          </cell>
          <cell r="AF91">
            <v>0</v>
          </cell>
        </row>
        <row r="92">
          <cell r="A92" t="str">
            <v xml:space="preserve"> 544  Сосиски Мясные для гриля ТС Ядрена копоть 0,3 кг  ПОКОМ</v>
          </cell>
          <cell r="B92" t="str">
            <v>шт</v>
          </cell>
          <cell r="C92">
            <v>17</v>
          </cell>
          <cell r="D92">
            <v>84</v>
          </cell>
          <cell r="E92">
            <v>9</v>
          </cell>
          <cell r="F92">
            <v>92</v>
          </cell>
          <cell r="G92" t="str">
            <v>P005150</v>
          </cell>
          <cell r="H92">
            <v>0.3</v>
          </cell>
          <cell r="I92">
            <v>0</v>
          </cell>
          <cell r="J92" t="e">
            <v>#N/A</v>
          </cell>
          <cell r="L92">
            <v>28</v>
          </cell>
          <cell r="M92">
            <v>-19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1.8</v>
          </cell>
          <cell r="Y92">
            <v>0</v>
          </cell>
          <cell r="Z92">
            <v>51.111111111111107</v>
          </cell>
          <cell r="AA92">
            <v>51.111111111111107</v>
          </cell>
          <cell r="AB92">
            <v>1.2</v>
          </cell>
          <cell r="AC92">
            <v>3.6</v>
          </cell>
          <cell r="AD92">
            <v>10.4</v>
          </cell>
          <cell r="AE92">
            <v>2</v>
          </cell>
          <cell r="AF92" t="e">
            <v>#N/A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35.341000000000001</v>
          </cell>
          <cell r="E93">
            <v>10.987</v>
          </cell>
          <cell r="F93">
            <v>24.353999999999999</v>
          </cell>
          <cell r="G93" t="str">
            <v>P005156</v>
          </cell>
          <cell r="H93">
            <v>1</v>
          </cell>
          <cell r="I93">
            <v>0</v>
          </cell>
          <cell r="J93" t="e">
            <v>#N/A</v>
          </cell>
          <cell r="L93">
            <v>9.1</v>
          </cell>
          <cell r="M93">
            <v>1.8870000000000005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2.1974</v>
          </cell>
          <cell r="Y93">
            <v>0</v>
          </cell>
          <cell r="Z93">
            <v>11.083098206971876</v>
          </cell>
          <cell r="AA93">
            <v>11.083098206971876</v>
          </cell>
          <cell r="AB93">
            <v>3.4671999999999996</v>
          </cell>
          <cell r="AC93">
            <v>4.1932</v>
          </cell>
          <cell r="AD93">
            <v>3.8694000000000002</v>
          </cell>
          <cell r="AE93">
            <v>1.2769999999999999</v>
          </cell>
          <cell r="AF93" t="e">
            <v>#N/A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10</v>
          </cell>
          <cell r="D94">
            <v>21</v>
          </cell>
          <cell r="E94">
            <v>10</v>
          </cell>
          <cell r="F94">
            <v>6</v>
          </cell>
          <cell r="G94" t="str">
            <v>P004758</v>
          </cell>
          <cell r="H94">
            <v>0.11</v>
          </cell>
          <cell r="I94">
            <v>0</v>
          </cell>
          <cell r="J94" t="str">
            <v>матрица</v>
          </cell>
          <cell r="L94">
            <v>32</v>
          </cell>
          <cell r="M94">
            <v>-22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40</v>
          </cell>
          <cell r="V94">
            <v>2</v>
          </cell>
          <cell r="Y94">
            <v>0</v>
          </cell>
          <cell r="Z94">
            <v>23</v>
          </cell>
          <cell r="AA94">
            <v>3</v>
          </cell>
          <cell r="AB94">
            <v>1.6</v>
          </cell>
          <cell r="AC94">
            <v>2.4</v>
          </cell>
          <cell r="AD94">
            <v>2.6</v>
          </cell>
          <cell r="AE94">
            <v>1.6</v>
          </cell>
          <cell r="AF94">
            <v>0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223</v>
          </cell>
          <cell r="D95">
            <v>123</v>
          </cell>
          <cell r="E95">
            <v>139</v>
          </cell>
          <cell r="F95">
            <v>199</v>
          </cell>
          <cell r="G95" t="str">
            <v>P005155</v>
          </cell>
          <cell r="H95">
            <v>0.08</v>
          </cell>
          <cell r="I95">
            <v>0</v>
          </cell>
          <cell r="J95" t="str">
            <v>матрица</v>
          </cell>
          <cell r="L95">
            <v>167</v>
          </cell>
          <cell r="M95">
            <v>-28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27.8</v>
          </cell>
          <cell r="W95">
            <v>100</v>
          </cell>
          <cell r="Y95">
            <v>0</v>
          </cell>
          <cell r="Z95">
            <v>10.755395683453237</v>
          </cell>
          <cell r="AA95">
            <v>7.1582733812949639</v>
          </cell>
          <cell r="AB95">
            <v>31</v>
          </cell>
          <cell r="AC95">
            <v>40.200000000000003</v>
          </cell>
          <cell r="AD95">
            <v>36.799999999999997</v>
          </cell>
          <cell r="AE95">
            <v>23.2</v>
          </cell>
          <cell r="AF95" t="str">
            <v>увел продажи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117</v>
          </cell>
          <cell r="D96">
            <v>84</v>
          </cell>
          <cell r="E96">
            <v>128</v>
          </cell>
          <cell r="F96">
            <v>68</v>
          </cell>
          <cell r="G96" t="str">
            <v>P003837</v>
          </cell>
          <cell r="H96">
            <v>0.08</v>
          </cell>
          <cell r="I96">
            <v>0</v>
          </cell>
          <cell r="J96" t="str">
            <v>матрица</v>
          </cell>
          <cell r="L96">
            <v>143</v>
          </cell>
          <cell r="M96">
            <v>-15</v>
          </cell>
          <cell r="O96">
            <v>0</v>
          </cell>
          <cell r="P96">
            <v>0</v>
          </cell>
          <cell r="Q96">
            <v>200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25.6</v>
          </cell>
          <cell r="Y96">
            <v>0</v>
          </cell>
          <cell r="Z96">
            <v>10.46875</v>
          </cell>
          <cell r="AA96">
            <v>2.65625</v>
          </cell>
          <cell r="AB96">
            <v>23</v>
          </cell>
          <cell r="AC96">
            <v>36.200000000000003</v>
          </cell>
          <cell r="AD96">
            <v>31.4</v>
          </cell>
          <cell r="AE96">
            <v>31.2</v>
          </cell>
          <cell r="AF96" t="e">
            <v>#N/A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55</v>
          </cell>
          <cell r="D97">
            <v>91</v>
          </cell>
          <cell r="E97">
            <v>35</v>
          </cell>
          <cell r="F97">
            <v>-4</v>
          </cell>
          <cell r="G97" t="str">
            <v>P002641</v>
          </cell>
          <cell r="H97">
            <v>0.17</v>
          </cell>
          <cell r="I97">
            <v>0</v>
          </cell>
          <cell r="J97" t="str">
            <v>матрица</v>
          </cell>
          <cell r="L97">
            <v>87</v>
          </cell>
          <cell r="M97">
            <v>-52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40</v>
          </cell>
          <cell r="V97">
            <v>7</v>
          </cell>
          <cell r="Y97">
            <v>0</v>
          </cell>
          <cell r="Z97">
            <v>5.1428571428571432</v>
          </cell>
          <cell r="AA97">
            <v>-0.5714285714285714</v>
          </cell>
          <cell r="AB97">
            <v>9.8000000000000007</v>
          </cell>
          <cell r="AC97">
            <v>6.4</v>
          </cell>
          <cell r="AD97">
            <v>1.2</v>
          </cell>
          <cell r="AE97">
            <v>3.2</v>
          </cell>
          <cell r="AF97" t="e">
            <v>#N/A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45.387999999999998</v>
          </cell>
          <cell r="D98">
            <v>436.16500000000002</v>
          </cell>
          <cell r="E98">
            <v>311.947</v>
          </cell>
          <cell r="F98">
            <v>156.55000000000001</v>
          </cell>
          <cell r="G98" t="str">
            <v>P005376</v>
          </cell>
          <cell r="H98">
            <v>1</v>
          </cell>
          <cell r="I98">
            <v>0</v>
          </cell>
          <cell r="J98" t="e">
            <v>#N/A</v>
          </cell>
          <cell r="L98">
            <v>329.7</v>
          </cell>
          <cell r="M98">
            <v>-17.752999999999986</v>
          </cell>
          <cell r="O98">
            <v>0</v>
          </cell>
          <cell r="P98">
            <v>0</v>
          </cell>
          <cell r="Q98">
            <v>140</v>
          </cell>
          <cell r="R98">
            <v>0</v>
          </cell>
          <cell r="S98">
            <v>0</v>
          </cell>
          <cell r="T98">
            <v>0</v>
          </cell>
          <cell r="U98">
            <v>290</v>
          </cell>
          <cell r="V98">
            <v>62.389400000000002</v>
          </cell>
          <cell r="W98">
            <v>100</v>
          </cell>
          <cell r="Y98">
            <v>0</v>
          </cell>
          <cell r="Z98">
            <v>11.004273161787097</v>
          </cell>
          <cell r="AA98">
            <v>2.5092403517264152</v>
          </cell>
          <cell r="AB98">
            <v>17.624600000000001</v>
          </cell>
          <cell r="AC98">
            <v>29.264800000000001</v>
          </cell>
          <cell r="AD98">
            <v>53.634</v>
          </cell>
          <cell r="AE98">
            <v>62.190800000000003</v>
          </cell>
          <cell r="AF98" t="e">
            <v>#N/A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321.73399999999998</v>
          </cell>
          <cell r="E99">
            <v>56.917999999999999</v>
          </cell>
          <cell r="F99">
            <v>264.81599999999997</v>
          </cell>
          <cell r="G99" t="str">
            <v>P005377</v>
          </cell>
          <cell r="H99">
            <v>1</v>
          </cell>
          <cell r="I99" t="e">
            <v>#N/A</v>
          </cell>
          <cell r="J99" t="e">
            <v>#N/A</v>
          </cell>
          <cell r="L99">
            <v>56.1</v>
          </cell>
          <cell r="M99">
            <v>0.81799999999999784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11.383599999999999</v>
          </cell>
          <cell r="Y99">
            <v>0</v>
          </cell>
          <cell r="Z99">
            <v>23.262939667591972</v>
          </cell>
          <cell r="AA99">
            <v>23.262939667591972</v>
          </cell>
          <cell r="AB99">
            <v>0</v>
          </cell>
          <cell r="AC99">
            <v>0.7268</v>
          </cell>
          <cell r="AD99">
            <v>2.4918</v>
          </cell>
          <cell r="AE99">
            <v>5.8328000000000007</v>
          </cell>
          <cell r="AF99" t="e">
            <v>#N/A</v>
          </cell>
        </row>
        <row r="100">
          <cell r="A100" t="str">
            <v xml:space="preserve"> 558  Колбаса Балыковая НОВАЯ ВЕС Вязанка фиброуз в/у ПОКОМ</v>
          </cell>
          <cell r="B100" t="str">
            <v>кг</v>
          </cell>
          <cell r="C100">
            <v>105.36</v>
          </cell>
          <cell r="D100">
            <v>324.71899999999999</v>
          </cell>
          <cell r="E100">
            <v>235.36199999999999</v>
          </cell>
          <cell r="F100">
            <v>163.09299999999999</v>
          </cell>
          <cell r="G100" t="str">
            <v>P005375</v>
          </cell>
          <cell r="H100">
            <v>1</v>
          </cell>
          <cell r="I100">
            <v>0</v>
          </cell>
          <cell r="J100" t="e">
            <v>#N/A</v>
          </cell>
          <cell r="L100">
            <v>255.78100000000001</v>
          </cell>
          <cell r="M100">
            <v>-20.419000000000011</v>
          </cell>
          <cell r="O100">
            <v>0</v>
          </cell>
          <cell r="P100">
            <v>0</v>
          </cell>
          <cell r="Q100">
            <v>100</v>
          </cell>
          <cell r="R100">
            <v>0</v>
          </cell>
          <cell r="S100">
            <v>0</v>
          </cell>
          <cell r="T100">
            <v>0</v>
          </cell>
          <cell r="U100">
            <v>230</v>
          </cell>
          <cell r="V100">
            <v>47.072400000000002</v>
          </cell>
          <cell r="Y100">
            <v>0</v>
          </cell>
          <cell r="Z100">
            <v>10.475204153601684</v>
          </cell>
          <cell r="AA100">
            <v>3.4647266763538718</v>
          </cell>
          <cell r="AB100">
            <v>16.330199999999998</v>
          </cell>
          <cell r="AC100">
            <v>25.382400000000001</v>
          </cell>
          <cell r="AD100">
            <v>45.130600000000001</v>
          </cell>
          <cell r="AE100">
            <v>50.688400000000001</v>
          </cell>
          <cell r="AF100" t="e">
            <v>#N/A</v>
          </cell>
        </row>
        <row r="101">
          <cell r="A101" t="str">
            <v xml:space="preserve"> 564  Сосиски Сочные 0,3 кг ТМ Вязанка  ПОКОМ</v>
          </cell>
          <cell r="B101" t="str">
            <v>шт</v>
          </cell>
          <cell r="C101">
            <v>38</v>
          </cell>
          <cell r="D101">
            <v>54</v>
          </cell>
          <cell r="E101">
            <v>50</v>
          </cell>
          <cell r="F101">
            <v>40</v>
          </cell>
          <cell r="G101" t="str">
            <v>P005187</v>
          </cell>
          <cell r="H101">
            <v>0.3</v>
          </cell>
          <cell r="I101" t="e">
            <v>#N/A</v>
          </cell>
          <cell r="J101" t="e">
            <v>#N/A</v>
          </cell>
          <cell r="L101">
            <v>91</v>
          </cell>
          <cell r="M101">
            <v>-41</v>
          </cell>
          <cell r="O101">
            <v>0</v>
          </cell>
          <cell r="P101">
            <v>0</v>
          </cell>
          <cell r="Q101">
            <v>60</v>
          </cell>
          <cell r="R101">
            <v>0</v>
          </cell>
          <cell r="S101">
            <v>0</v>
          </cell>
          <cell r="T101">
            <v>0</v>
          </cell>
          <cell r="U101">
            <v>20</v>
          </cell>
          <cell r="V101">
            <v>10</v>
          </cell>
          <cell r="Y101">
            <v>0</v>
          </cell>
          <cell r="Z101">
            <v>12</v>
          </cell>
          <cell r="AA101">
            <v>4</v>
          </cell>
          <cell r="AB101">
            <v>10.199999999999999</v>
          </cell>
          <cell r="AC101">
            <v>11.8</v>
          </cell>
          <cell r="AD101">
            <v>12.2</v>
          </cell>
          <cell r="AE101">
            <v>12.2</v>
          </cell>
          <cell r="AF101" t="e">
            <v>#N/A</v>
          </cell>
        </row>
        <row r="102">
          <cell r="A102" t="str">
            <v xml:space="preserve"> 567 Колбаса Со шпиком Стародворская ТМ Стародворье в оболочке полиамид ВЕС  ПОКОМ</v>
          </cell>
          <cell r="B102" t="str">
            <v>кг</v>
          </cell>
          <cell r="C102">
            <v>6.72</v>
          </cell>
          <cell r="E102">
            <v>0</v>
          </cell>
          <cell r="F102">
            <v>6.72</v>
          </cell>
          <cell r="G102" t="str">
            <v>P005136</v>
          </cell>
          <cell r="H102">
            <v>1</v>
          </cell>
          <cell r="I102">
            <v>0</v>
          </cell>
          <cell r="J102" t="e">
            <v>#N/A</v>
          </cell>
          <cell r="L102">
            <v>0</v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Y102">
            <v>0</v>
          </cell>
          <cell r="Z102" t="e">
            <v>#DIV/0!</v>
          </cell>
          <cell r="AA102" t="e">
            <v>#DIV/0!</v>
          </cell>
          <cell r="AB102">
            <v>0</v>
          </cell>
          <cell r="AC102">
            <v>1.645</v>
          </cell>
          <cell r="AD102">
            <v>0.26779999999999998</v>
          </cell>
          <cell r="AE102">
            <v>0.26900000000000002</v>
          </cell>
          <cell r="AF102" t="e">
            <v>#N/A</v>
          </cell>
        </row>
        <row r="103">
          <cell r="A103" t="str">
            <v xml:space="preserve"> 569  Колбаса Балыковая ТМ Вязанка в оболочке фиброуз в вакуумной упаковке 0,28 кг срез.  ПОКОМ</v>
          </cell>
          <cell r="B103" t="str">
            <v>шт</v>
          </cell>
          <cell r="C103">
            <v>380</v>
          </cell>
          <cell r="D103">
            <v>209</v>
          </cell>
          <cell r="E103">
            <v>363</v>
          </cell>
          <cell r="F103">
            <v>209</v>
          </cell>
          <cell r="G103" t="str">
            <v>P005163</v>
          </cell>
          <cell r="H103">
            <v>0.28000000000000003</v>
          </cell>
          <cell r="I103">
            <v>0</v>
          </cell>
          <cell r="J103" t="e">
            <v>#N/A</v>
          </cell>
          <cell r="L103">
            <v>416</v>
          </cell>
          <cell r="M103">
            <v>-53</v>
          </cell>
          <cell r="O103">
            <v>0</v>
          </cell>
          <cell r="P103">
            <v>0</v>
          </cell>
          <cell r="Q103">
            <v>300</v>
          </cell>
          <cell r="R103">
            <v>0</v>
          </cell>
          <cell r="S103">
            <v>0</v>
          </cell>
          <cell r="T103">
            <v>0</v>
          </cell>
          <cell r="U103">
            <v>180</v>
          </cell>
          <cell r="V103">
            <v>72.599999999999994</v>
          </cell>
          <cell r="W103">
            <v>110</v>
          </cell>
          <cell r="Y103">
            <v>0</v>
          </cell>
          <cell r="Z103">
            <v>11.00550964187328</v>
          </cell>
          <cell r="AA103">
            <v>2.8787878787878789</v>
          </cell>
          <cell r="AB103">
            <v>59.4</v>
          </cell>
          <cell r="AC103">
            <v>84.6</v>
          </cell>
          <cell r="AD103">
            <v>69</v>
          </cell>
          <cell r="AE103">
            <v>77.400000000000006</v>
          </cell>
          <cell r="AF103" t="e">
            <v>#N/A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B104" t="str">
            <v>шт</v>
          </cell>
          <cell r="C104">
            <v>445</v>
          </cell>
          <cell r="D104">
            <v>167</v>
          </cell>
          <cell r="E104">
            <v>411</v>
          </cell>
          <cell r="F104">
            <v>49</v>
          </cell>
          <cell r="G104" t="str">
            <v>P005166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459</v>
          </cell>
          <cell r="M104">
            <v>-48</v>
          </cell>
          <cell r="O104">
            <v>0</v>
          </cell>
          <cell r="P104">
            <v>0</v>
          </cell>
          <cell r="Q104">
            <v>400</v>
          </cell>
          <cell r="R104">
            <v>0</v>
          </cell>
          <cell r="S104">
            <v>0</v>
          </cell>
          <cell r="T104">
            <v>0</v>
          </cell>
          <cell r="U104">
            <v>380</v>
          </cell>
          <cell r="V104">
            <v>82.2</v>
          </cell>
          <cell r="Y104">
            <v>0</v>
          </cell>
          <cell r="Z104">
            <v>10.085158150851582</v>
          </cell>
          <cell r="AA104">
            <v>0.5961070559610705</v>
          </cell>
          <cell r="AB104">
            <v>68.8</v>
          </cell>
          <cell r="AC104">
            <v>91</v>
          </cell>
          <cell r="AD104">
            <v>65.8</v>
          </cell>
          <cell r="AE104">
            <v>91</v>
          </cell>
          <cell r="AF104" t="e">
            <v>#N/A</v>
          </cell>
        </row>
        <row r="105">
          <cell r="A105" t="str">
            <v xml:space="preserve"> 579  Колбаса Ветчинно-рубленая ТМ Особый рецепт в оболочке полиамид.ВЕС  ПОКОМ</v>
          </cell>
          <cell r="B105" t="str">
            <v>кг</v>
          </cell>
          <cell r="C105">
            <v>63.843000000000004</v>
          </cell>
          <cell r="D105">
            <v>138.45400000000001</v>
          </cell>
          <cell r="E105">
            <v>49.734999999999999</v>
          </cell>
          <cell r="F105">
            <v>151.96199999999999</v>
          </cell>
          <cell r="G105" t="str">
            <v>P005388</v>
          </cell>
          <cell r="H105">
            <v>1</v>
          </cell>
          <cell r="I105">
            <v>0</v>
          </cell>
          <cell r="J105" t="e">
            <v>#N/A</v>
          </cell>
          <cell r="L105">
            <v>50</v>
          </cell>
          <cell r="M105">
            <v>-0.26500000000000057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9.9469999999999992</v>
          </cell>
          <cell r="Y105">
            <v>0</v>
          </cell>
          <cell r="Z105">
            <v>15.277168995677089</v>
          </cell>
          <cell r="AA105">
            <v>15.277168995677089</v>
          </cell>
          <cell r="AB105">
            <v>8.6370000000000005</v>
          </cell>
          <cell r="AC105">
            <v>17.559000000000001</v>
          </cell>
          <cell r="AD105">
            <v>22.036200000000001</v>
          </cell>
          <cell r="AE105">
            <v>12.86</v>
          </cell>
          <cell r="AF105" t="e">
            <v>#N/A</v>
          </cell>
        </row>
        <row r="106">
          <cell r="A106" t="str">
            <v xml:space="preserve"> 580  Ветчина Нежная с индейкой ТМ Особый рецепт в оболочке полиамид.ВЕС  ПОКОМ</v>
          </cell>
          <cell r="B106" t="str">
            <v>кг</v>
          </cell>
          <cell r="C106">
            <v>121.88500000000001</v>
          </cell>
          <cell r="D106">
            <v>122.76</v>
          </cell>
          <cell r="E106">
            <v>56.183</v>
          </cell>
          <cell r="F106">
            <v>184.55699999999999</v>
          </cell>
          <cell r="G106" t="str">
            <v>P004675</v>
          </cell>
          <cell r="H106">
            <v>1</v>
          </cell>
          <cell r="I106">
            <v>0</v>
          </cell>
          <cell r="J106" t="e">
            <v>#N/A</v>
          </cell>
          <cell r="L106">
            <v>60</v>
          </cell>
          <cell r="M106">
            <v>-3.8170000000000002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11.236599999999999</v>
          </cell>
          <cell r="Y106">
            <v>0</v>
          </cell>
          <cell r="Z106">
            <v>16.424630226225016</v>
          </cell>
          <cell r="AA106">
            <v>16.424630226225016</v>
          </cell>
          <cell r="AB106">
            <v>6.492</v>
          </cell>
          <cell r="AC106">
            <v>11.9696</v>
          </cell>
          <cell r="AD106">
            <v>26.448</v>
          </cell>
          <cell r="AE106">
            <v>13.8512</v>
          </cell>
          <cell r="AF106" t="e">
            <v>#N/A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B107" t="str">
            <v>кг</v>
          </cell>
          <cell r="C107">
            <v>5.54</v>
          </cell>
          <cell r="E107">
            <v>0</v>
          </cell>
          <cell r="F107">
            <v>5.54</v>
          </cell>
          <cell r="G107" t="str">
            <v>P004212</v>
          </cell>
          <cell r="H107">
            <v>1</v>
          </cell>
          <cell r="I107" t="e">
            <v>#N/A</v>
          </cell>
          <cell r="J107" t="e">
            <v>#N/A</v>
          </cell>
          <cell r="L107">
            <v>20.100000000000001</v>
          </cell>
          <cell r="M107">
            <v>-20.100000000000001</v>
          </cell>
          <cell r="O107">
            <v>0</v>
          </cell>
          <cell r="P107">
            <v>0</v>
          </cell>
          <cell r="Q107">
            <v>300</v>
          </cell>
          <cell r="R107">
            <v>0</v>
          </cell>
          <cell r="S107">
            <v>0</v>
          </cell>
          <cell r="T107">
            <v>0</v>
          </cell>
          <cell r="U107">
            <v>400</v>
          </cell>
          <cell r="V107">
            <v>0</v>
          </cell>
          <cell r="Y107">
            <v>0</v>
          </cell>
          <cell r="Z107" t="e">
            <v>#DIV/0!</v>
          </cell>
          <cell r="AA107" t="e">
            <v>#DIV/0!</v>
          </cell>
          <cell r="AB107">
            <v>1.9238</v>
          </cell>
          <cell r="AC107">
            <v>15.334</v>
          </cell>
          <cell r="AD107">
            <v>10.6714</v>
          </cell>
          <cell r="AE107">
            <v>0</v>
          </cell>
          <cell r="AF107" t="e">
            <v>#N/A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B108" t="str">
            <v>кг</v>
          </cell>
          <cell r="C108">
            <v>217.6</v>
          </cell>
          <cell r="D108">
            <v>606.62800000000004</v>
          </cell>
          <cell r="E108">
            <v>612.68700000000001</v>
          </cell>
          <cell r="F108">
            <v>188.166</v>
          </cell>
          <cell r="G108" t="str">
            <v>P005361</v>
          </cell>
          <cell r="H108">
            <v>1</v>
          </cell>
          <cell r="I108">
            <v>0</v>
          </cell>
          <cell r="J108" t="e">
            <v>#N/A</v>
          </cell>
          <cell r="L108">
            <v>613.58199999999999</v>
          </cell>
          <cell r="M108">
            <v>-0.89499999999998181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700</v>
          </cell>
          <cell r="V108">
            <v>122.53740000000001</v>
          </cell>
          <cell r="W108">
            <v>400</v>
          </cell>
          <cell r="Y108">
            <v>0</v>
          </cell>
          <cell r="Z108">
            <v>10.512431306686773</v>
          </cell>
          <cell r="AA108">
            <v>1.53558015756822</v>
          </cell>
          <cell r="AB108">
            <v>43.247599999999998</v>
          </cell>
          <cell r="AC108">
            <v>66.809400000000011</v>
          </cell>
          <cell r="AD108">
            <v>66.981399999999994</v>
          </cell>
          <cell r="AE108">
            <v>119.91800000000001</v>
          </cell>
          <cell r="AF108" t="e">
            <v>#N/A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B109" t="str">
            <v>кг</v>
          </cell>
          <cell r="C109">
            <v>8.58</v>
          </cell>
          <cell r="D109">
            <v>9.4139999999999997</v>
          </cell>
          <cell r="E109">
            <v>17.978000000000002</v>
          </cell>
          <cell r="F109">
            <v>1.6E-2</v>
          </cell>
          <cell r="G109" t="str">
            <v>P005363</v>
          </cell>
          <cell r="H109">
            <v>1</v>
          </cell>
          <cell r="I109" t="e">
            <v>#N/A</v>
          </cell>
          <cell r="J109" t="e">
            <v>#N/A</v>
          </cell>
          <cell r="L109">
            <v>21.550999999999998</v>
          </cell>
          <cell r="M109">
            <v>-3.5729999999999968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3.5956000000000001</v>
          </cell>
          <cell r="W109">
            <v>40</v>
          </cell>
          <cell r="Y109">
            <v>0</v>
          </cell>
          <cell r="Z109">
            <v>11.129157859606185</v>
          </cell>
          <cell r="AA109">
            <v>4.4498831905662476E-3</v>
          </cell>
          <cell r="AB109">
            <v>1.3692</v>
          </cell>
          <cell r="AC109">
            <v>0.8276</v>
          </cell>
          <cell r="AD109">
            <v>1.8239999999999998</v>
          </cell>
          <cell r="AE109">
            <v>4.4535999999999998</v>
          </cell>
          <cell r="AF109" t="e">
            <v>#N/A</v>
          </cell>
        </row>
        <row r="110">
          <cell r="A110" t="str">
            <v>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43</v>
          </cell>
          <cell r="D110">
            <v>254</v>
          </cell>
          <cell r="E110">
            <v>174</v>
          </cell>
          <cell r="F110">
            <v>115</v>
          </cell>
          <cell r="G110" t="str">
            <v>P003386</v>
          </cell>
          <cell r="H110">
            <v>0.3</v>
          </cell>
          <cell r="I110">
            <v>40</v>
          </cell>
          <cell r="J110" t="str">
            <v>матрица</v>
          </cell>
          <cell r="L110">
            <v>183</v>
          </cell>
          <cell r="M110">
            <v>-9</v>
          </cell>
          <cell r="O110">
            <v>0</v>
          </cell>
          <cell r="P110">
            <v>0</v>
          </cell>
          <cell r="Q110">
            <v>100</v>
          </cell>
          <cell r="R110">
            <v>0</v>
          </cell>
          <cell r="S110">
            <v>0</v>
          </cell>
          <cell r="T110">
            <v>0</v>
          </cell>
          <cell r="U110">
            <v>40</v>
          </cell>
          <cell r="V110">
            <v>34.799999999999997</v>
          </cell>
          <cell r="W110">
            <v>120</v>
          </cell>
          <cell r="Y110">
            <v>0</v>
          </cell>
          <cell r="Z110">
            <v>10.775862068965518</v>
          </cell>
          <cell r="AA110">
            <v>3.3045977011494254</v>
          </cell>
          <cell r="AB110">
            <v>28.6</v>
          </cell>
          <cell r="AC110">
            <v>33.799999999999997</v>
          </cell>
          <cell r="AD110">
            <v>35.4</v>
          </cell>
          <cell r="AE110">
            <v>30.6</v>
          </cell>
          <cell r="AF110">
            <v>0</v>
          </cell>
        </row>
        <row r="111">
          <cell r="A111" t="str">
            <v>496  Колбаса Сочинка по-фински с сочным окроком 0,3кг ТМ Стародворье  ПОКОМ</v>
          </cell>
          <cell r="B111" t="str">
            <v>шт</v>
          </cell>
          <cell r="C111">
            <v>125</v>
          </cell>
          <cell r="D111">
            <v>32</v>
          </cell>
          <cell r="E111">
            <v>123</v>
          </cell>
          <cell r="F111">
            <v>25</v>
          </cell>
          <cell r="G111" t="str">
            <v>P003385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133</v>
          </cell>
          <cell r="M111">
            <v>-10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140</v>
          </cell>
          <cell r="V111">
            <v>24.6</v>
          </cell>
          <cell r="W111">
            <v>100</v>
          </cell>
          <cell r="Y111">
            <v>0</v>
          </cell>
          <cell r="Z111">
            <v>10.772357723577235</v>
          </cell>
          <cell r="AA111">
            <v>1.0162601626016259</v>
          </cell>
          <cell r="AB111">
            <v>17.399999999999999</v>
          </cell>
          <cell r="AC111">
            <v>24.6</v>
          </cell>
          <cell r="AD111">
            <v>19.8</v>
          </cell>
          <cell r="AE111">
            <v>20.6</v>
          </cell>
          <cell r="AF111" t="str">
            <v>23,01,25 в уценку 70шт.</v>
          </cell>
        </row>
        <row r="112">
          <cell r="A112" t="str">
            <v>503 Колбаса Филейская со шпиком ТМ Вязанка в оболочке полиамид.ПОКОМ</v>
          </cell>
          <cell r="B112" t="str">
            <v>кг</v>
          </cell>
          <cell r="C112">
            <v>70.558000000000007</v>
          </cell>
          <cell r="D112">
            <v>2.93</v>
          </cell>
          <cell r="E112">
            <v>73.629000000000005</v>
          </cell>
          <cell r="F112">
            <v>-0.14099999999999999</v>
          </cell>
          <cell r="G112" t="str">
            <v>P004621</v>
          </cell>
          <cell r="H112">
            <v>1</v>
          </cell>
          <cell r="I112">
            <v>50</v>
          </cell>
          <cell r="J112" t="str">
            <v>матрица</v>
          </cell>
          <cell r="L112">
            <v>70.7</v>
          </cell>
          <cell r="M112">
            <v>2.929000000000002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50</v>
          </cell>
          <cell r="V112">
            <v>14.725800000000001</v>
          </cell>
          <cell r="W112">
            <v>100</v>
          </cell>
          <cell r="Y112">
            <v>0</v>
          </cell>
          <cell r="Z112">
            <v>10.17662877398851</v>
          </cell>
          <cell r="AA112">
            <v>-9.5750315772317948E-3</v>
          </cell>
          <cell r="AB112">
            <v>9.9214000000000002</v>
          </cell>
          <cell r="AC112">
            <v>8.9459999999999997</v>
          </cell>
          <cell r="AD112">
            <v>7.6662000000000008</v>
          </cell>
          <cell r="AE112">
            <v>8.5355999999999987</v>
          </cell>
          <cell r="AF112">
            <v>0</v>
          </cell>
        </row>
        <row r="113">
          <cell r="A113" t="str">
            <v>515  Колбаса Сервелат Мясорубский Делюкс 0,3кг ТМ Стародворье  ПОКОМ</v>
          </cell>
          <cell r="B113" t="str">
            <v>шт</v>
          </cell>
          <cell r="C113">
            <v>35</v>
          </cell>
          <cell r="D113">
            <v>60</v>
          </cell>
          <cell r="E113">
            <v>52</v>
          </cell>
          <cell r="F113">
            <v>43</v>
          </cell>
          <cell r="G113" t="str">
            <v>P004890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52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20</v>
          </cell>
          <cell r="V113">
            <v>10.4</v>
          </cell>
          <cell r="Y113">
            <v>0</v>
          </cell>
          <cell r="Z113">
            <v>6.0576923076923075</v>
          </cell>
          <cell r="AA113">
            <v>4.1346153846153841</v>
          </cell>
          <cell r="AB113">
            <v>10.8</v>
          </cell>
          <cell r="AC113">
            <v>11.6</v>
          </cell>
          <cell r="AD113">
            <v>12.2</v>
          </cell>
          <cell r="AE113">
            <v>8.8000000000000007</v>
          </cell>
          <cell r="AF113">
            <v>0</v>
          </cell>
        </row>
        <row r="114">
          <cell r="A114" t="str">
            <v>519  Грудинка 0,12 кг нарезка ТМ Стародворье  ПОКОМ</v>
          </cell>
          <cell r="B114" t="str">
            <v>шт</v>
          </cell>
          <cell r="C114">
            <v>30</v>
          </cell>
          <cell r="D114">
            <v>1</v>
          </cell>
          <cell r="E114">
            <v>24</v>
          </cell>
          <cell r="F114">
            <v>4</v>
          </cell>
          <cell r="G114" t="str">
            <v>P005060</v>
          </cell>
          <cell r="H114">
            <v>0.12</v>
          </cell>
          <cell r="I114">
            <v>0</v>
          </cell>
          <cell r="J114">
            <v>0</v>
          </cell>
          <cell r="L114">
            <v>30</v>
          </cell>
          <cell r="M114">
            <v>-6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20</v>
          </cell>
          <cell r="V114">
            <v>4.8</v>
          </cell>
          <cell r="Y114">
            <v>0</v>
          </cell>
          <cell r="Z114">
            <v>5</v>
          </cell>
          <cell r="AA114">
            <v>0.83333333333333337</v>
          </cell>
          <cell r="AB114">
            <v>5.4</v>
          </cell>
          <cell r="AC114">
            <v>5.8</v>
          </cell>
          <cell r="AD114">
            <v>7.8</v>
          </cell>
          <cell r="AE114">
            <v>3.2</v>
          </cell>
          <cell r="AF11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ПОКОМ</v>
          </cell>
          <cell r="B7">
            <v>73752.400999999998</v>
          </cell>
        </row>
        <row r="8">
          <cell r="A8" t="str">
            <v>ПОКОМ Логистический Партнер</v>
          </cell>
          <cell r="B8">
            <v>73752.400999999998</v>
          </cell>
        </row>
        <row r="9">
          <cell r="A9" t="str">
            <v>Вязанка Логистический Партнер(Кг)</v>
          </cell>
          <cell r="B9">
            <v>9266.24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2777.6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979.6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2988.5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118.2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518.74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478.8</v>
          </cell>
        </row>
        <row r="16">
          <cell r="A16" t="str">
            <v xml:space="preserve"> 335  Колбаса Сливушка ТМ Вязанка. ВЕС.  ПОКОМ </v>
          </cell>
          <cell r="B16">
            <v>437.5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24.7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302.7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14.3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315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246.7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63.9</v>
          </cell>
        </row>
        <row r="23">
          <cell r="A23" t="str">
            <v>Вязанка Логистический Партнер(Шт)</v>
          </cell>
          <cell r="B23">
            <v>8453</v>
          </cell>
        </row>
        <row r="24">
          <cell r="A24" t="str">
            <v xml:space="preserve"> 023  Колбаса Докторская ГОСТ, Вязанка вектор, 0,4 кг, ПОКОМ</v>
          </cell>
          <cell r="B24">
            <v>29</v>
          </cell>
        </row>
        <row r="25">
          <cell r="A25" t="str">
            <v xml:space="preserve"> 030  Сосиски Вязанка Молочные, Вязанка вискофан МГС, 0.45кг, ПОКОМ</v>
          </cell>
          <cell r="B25">
            <v>1961</v>
          </cell>
        </row>
        <row r="26">
          <cell r="A26" t="str">
            <v xml:space="preserve"> 032  Сосиски Вязанка Сливочные, Вязанка амицел МГС, 0.45кг, ПОКОМ</v>
          </cell>
          <cell r="B26">
            <v>3117</v>
          </cell>
        </row>
        <row r="27">
          <cell r="A27" t="str">
            <v xml:space="preserve"> 276  Колбаса Сливушка ТМ Вязанка в оболочке полиамид 0,45 кг  ПОКОМ</v>
          </cell>
          <cell r="B27">
            <v>488</v>
          </cell>
        </row>
        <row r="28">
          <cell r="A28" t="str">
            <v xml:space="preserve"> 284  Сосиски Молокуши миникушай ТМ Вязанка, 0.45кг, ПОКОМ</v>
          </cell>
          <cell r="B28">
            <v>2</v>
          </cell>
        </row>
        <row r="29">
          <cell r="A29" t="str">
            <v xml:space="preserve"> 319  Колбаса вареная Филейская ТМ Вязанка ТС Классическая, 0,45 кг. ПОКОМ</v>
          </cell>
          <cell r="B29">
            <v>436</v>
          </cell>
        </row>
        <row r="30">
          <cell r="A30" t="str">
            <v xml:space="preserve"> 322  Колбаса вареная Молокуша 0,45кг ТМ Вязанка  ПОКОМ</v>
          </cell>
          <cell r="B30">
            <v>597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2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159</v>
          </cell>
        </row>
        <row r="34">
          <cell r="A34" t="str">
            <v xml:space="preserve"> 396  Сардельки Филейские Вязанка ТМ Вязанка в оболочке NDX  0,4 кг. ПОКОМ</v>
          </cell>
          <cell r="B34">
            <v>24</v>
          </cell>
        </row>
        <row r="35">
          <cell r="A35" t="str">
            <v xml:space="preserve"> 405  Сардельки Сливушки ТМ Вязанка в оболочке айпил 0,33 кг. ПОКОМ</v>
          </cell>
          <cell r="B35">
            <v>128</v>
          </cell>
        </row>
        <row r="36">
          <cell r="A36" t="str">
            <v xml:space="preserve"> 408  Ветчина Сливушка с индейкой ТМ Вязанка, 0,4кг  ПОКОМ</v>
          </cell>
          <cell r="B36">
            <v>64</v>
          </cell>
        </row>
        <row r="37">
          <cell r="A37" t="str">
            <v xml:space="preserve"> 451 Сосиски Филейские ТМ Вязанка в оболочке целлофан 0,3 кг. ПОКОМ</v>
          </cell>
          <cell r="B37">
            <v>277</v>
          </cell>
        </row>
        <row r="38">
          <cell r="A38" t="str">
            <v xml:space="preserve"> 489  Сосиски Филейские Рубленые 0,3кг ТМ Вязанка  ПОКОМ</v>
          </cell>
          <cell r="B38">
            <v>24</v>
          </cell>
        </row>
        <row r="39">
          <cell r="A39" t="str">
            <v xml:space="preserve"> 551  Колбаса Сливушка ТМ Вязанка в модифицированной газовой среде 0,11 кг нарезка  ПОКОМ</v>
          </cell>
          <cell r="B39">
            <v>22</v>
          </cell>
        </row>
        <row r="40">
          <cell r="A40" t="str">
            <v xml:space="preserve"> 555  Колбаса Молокуша ТМ Вязанка в модифицированной газовой среде 0,17 кг нарезка  ПОКОМ</v>
          </cell>
          <cell r="B40">
            <v>57</v>
          </cell>
        </row>
        <row r="41">
          <cell r="A41" t="str">
            <v xml:space="preserve"> 564  Сосиски Сочные 0,3 кг ТМ Вязанка  ПОКОМ</v>
          </cell>
          <cell r="B41">
            <v>82</v>
          </cell>
        </row>
        <row r="42">
          <cell r="A42" t="str">
            <v xml:space="preserve"> 569  Колбаса Балыковая ТМ Вязанка в оболочке фиброуз в вакуумной упаковке 0,28 кг срез.  ПОКОМ</v>
          </cell>
          <cell r="B42">
            <v>419</v>
          </cell>
        </row>
        <row r="43">
          <cell r="A43" t="str">
            <v xml:space="preserve"> 570  Колбаса Сервелат Финский ТМ Вязанка в оболочке фиброуз в вак. упаковке 0,28 кг срез  ПОКОМ</v>
          </cell>
          <cell r="B43">
            <v>102</v>
          </cell>
        </row>
        <row r="44">
          <cell r="A44" t="str">
            <v xml:space="preserve"> 571  Колбаса Сервелат Ореховый ТМ Вязанка в оболочке фиброуз в вак. упаковке 0,28 кг срез  ПОКОМ</v>
          </cell>
          <cell r="B44">
            <v>461</v>
          </cell>
        </row>
        <row r="45">
          <cell r="A45" t="str">
            <v>Логистический Партнер Кг</v>
          </cell>
          <cell r="B45">
            <v>42198.161</v>
          </cell>
        </row>
        <row r="46">
          <cell r="A46" t="str">
            <v xml:space="preserve"> 200  Ветчина Дугушка ТМ Стародворье, вектор в/у    ПОКОМ</v>
          </cell>
          <cell r="B46">
            <v>3901.4</v>
          </cell>
        </row>
        <row r="47">
          <cell r="A47" t="str">
            <v xml:space="preserve"> 201  Ветчина Нежная ТМ Особый рецепт, (2,5кг), ПОКОМ</v>
          </cell>
          <cell r="B47">
            <v>3649.28</v>
          </cell>
        </row>
        <row r="48">
          <cell r="A48" t="str">
            <v xml:space="preserve"> 215  Колбаса Докторская ГОСТ Дугушка, ВЕС, ТМ Стародворье ПОКОМ</v>
          </cell>
          <cell r="B48">
            <v>274.85000000000002</v>
          </cell>
        </row>
        <row r="49">
          <cell r="A49" t="str">
            <v xml:space="preserve"> 219  Колбаса Докторская Особая ТМ Особый рецепт, ВЕС  ПОКОМ</v>
          </cell>
          <cell r="B49">
            <v>1023.4</v>
          </cell>
        </row>
        <row r="50">
          <cell r="A50" t="str">
            <v xml:space="preserve"> 226  Колбаса Княжеская, с/к белков.обол в термоусад. пакете, ВЕС, ТМ Стародворье ПОКОМ</v>
          </cell>
          <cell r="B50">
            <v>8.08</v>
          </cell>
        </row>
        <row r="51">
          <cell r="A51" t="str">
            <v xml:space="preserve"> 229  Колбаса Молочная Дугушка, в/у, ВЕС, ТМ Стародворье   ПОКОМ</v>
          </cell>
          <cell r="B51">
            <v>4513.8919999999998</v>
          </cell>
        </row>
        <row r="52">
          <cell r="A52" t="str">
            <v xml:space="preserve"> 236  Колбаса Рубленая ЗАПЕЧ. Дугушка ТМ Стародворье, вектор, в/к    ПОКОМ</v>
          </cell>
          <cell r="B52">
            <v>436.45</v>
          </cell>
        </row>
        <row r="53">
          <cell r="A53" t="str">
            <v xml:space="preserve"> 239  Колбаса Салями запеч Дугушка, оболочка вектор, ВЕС, ТМ Стародворье  ПОКОМ</v>
          </cell>
          <cell r="B53">
            <v>1312.4</v>
          </cell>
        </row>
        <row r="54">
          <cell r="A54" t="str">
            <v xml:space="preserve"> 242  Колбаса Сервелат ЗАПЕЧ.Дугушка ТМ Стародворье, вектор, в/к     ПОКОМ</v>
          </cell>
          <cell r="B54">
            <v>2551.6460000000002</v>
          </cell>
        </row>
        <row r="55">
          <cell r="A55" t="str">
            <v xml:space="preserve"> 243  Колбаса Сервелат Зернистый, ВЕС.  ПОКОМ</v>
          </cell>
          <cell r="B55">
            <v>0.8</v>
          </cell>
        </row>
        <row r="56">
          <cell r="A56" t="str">
            <v xml:space="preserve"> 244  Колбаса Сервелат Кремлевский, ВЕС. ПОКОМ</v>
          </cell>
          <cell r="B56">
            <v>43.1</v>
          </cell>
        </row>
        <row r="57">
          <cell r="A57" t="str">
            <v xml:space="preserve"> 250  Сардельки стародворские с говядиной в обол. NDX, ВЕС. ПОКОМ</v>
          </cell>
          <cell r="B57">
            <v>2345.0219999999999</v>
          </cell>
        </row>
        <row r="58">
          <cell r="A58" t="str">
            <v xml:space="preserve"> 253  Сосиски Ганноверские   ПОКОМ</v>
          </cell>
          <cell r="B58">
            <v>51.3</v>
          </cell>
        </row>
        <row r="59">
          <cell r="A59" t="str">
            <v xml:space="preserve"> 255  Сосиски Молочные для завтрака ТМ Особый рецепт, п/а МГС, ВЕС, ТМ Стародворье  ПОКОМ</v>
          </cell>
          <cell r="B59">
            <v>6830.3040000000001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35.1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48.4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182.1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43.4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32.700000000000003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62.9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949.6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56.1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19.899999999999999</v>
          </cell>
        </row>
        <row r="69">
          <cell r="A69" t="str">
            <v xml:space="preserve"> 449  Колбаса Дугушка Стародворская ВЕС ТС Дугушка ПОКОМ</v>
          </cell>
          <cell r="B69">
            <v>3982.58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B70">
            <v>1540.4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B71">
            <v>3470.1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>
            <v>4017.8960000000002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B73">
            <v>85.1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B74">
            <v>23.5</v>
          </cell>
        </row>
        <row r="75">
          <cell r="A75" t="str">
            <v xml:space="preserve"> 557  Колбаса Сервелат Финский ТМ Вязанка в оболочке фиброуз в вакуумной упаковке, ВЕС  ПОКОМ</v>
          </cell>
          <cell r="B75">
            <v>69.5</v>
          </cell>
        </row>
        <row r="76">
          <cell r="A76" t="str">
            <v xml:space="preserve"> 567 Колбаса Со шпиком Стародворская ТМ Стародворье в оболочке полиамид ВЕС  ПОКОМ</v>
          </cell>
          <cell r="B76">
            <v>1</v>
          </cell>
        </row>
        <row r="77">
          <cell r="A77" t="str">
            <v xml:space="preserve"> 579  Колбаса Ветчинно-рубленая ТМ Особый рецепт в оболочке полиамид.ВЕС  ПОКОМ</v>
          </cell>
          <cell r="B77">
            <v>60</v>
          </cell>
        </row>
        <row r="78">
          <cell r="A78" t="str">
            <v xml:space="preserve"> 580  Ветчина Нежная с индейкой ТМ Особый рецепт в оболочке полиамид.ВЕС  ПОКОМ</v>
          </cell>
          <cell r="B78">
            <v>95</v>
          </cell>
        </row>
        <row r="79">
          <cell r="A79" t="str">
            <v xml:space="preserve"> 585  Колбаса Молочная ТМ Стародворье в оболочке вектор НД ВЕС.  ПОКОМ</v>
          </cell>
          <cell r="B79">
            <v>9.5</v>
          </cell>
        </row>
        <row r="80">
          <cell r="A80" t="str">
            <v xml:space="preserve"> 586  Колбаса Мясная ТМ Стародворье в оболочке вектор НД ВЕС.  ПОКОМ</v>
          </cell>
          <cell r="B80">
            <v>467.71</v>
          </cell>
        </row>
        <row r="81">
          <cell r="A81" t="str">
            <v xml:space="preserve"> 588 Колбаса Со шпиком ТМ Стародворье в оболочке вектор ВЕС  ПОКОМ</v>
          </cell>
          <cell r="B81">
            <v>3.7509999999999999</v>
          </cell>
        </row>
        <row r="82">
          <cell r="A82" t="str">
            <v>Логистический Партнер Шт</v>
          </cell>
          <cell r="B82">
            <v>13835</v>
          </cell>
        </row>
        <row r="83">
          <cell r="A83" t="str">
            <v xml:space="preserve"> 047  Кол Баварская, белков.обол. в термоусад. пакете 0.17 кг, ТМ Стародворье  ПОКОМ</v>
          </cell>
          <cell r="B83">
            <v>82</v>
          </cell>
        </row>
        <row r="84">
          <cell r="A84" t="str">
            <v xml:space="preserve"> 062  Колбаса Кракушка пряная с сальцем, 0.3кг в/у п/к, БАВАРУШКА ПОКОМ</v>
          </cell>
          <cell r="B84">
            <v>47</v>
          </cell>
        </row>
        <row r="85">
          <cell r="A85" t="str">
            <v xml:space="preserve"> 083  Колбаса Швейцарская 0,17 кг., ШТ., сырокопченая   ПОКОМ</v>
          </cell>
          <cell r="B85">
            <v>238</v>
          </cell>
        </row>
        <row r="86">
          <cell r="A86" t="str">
            <v xml:space="preserve"> 273  Сосиски Сочинки с сочной грудинкой, МГС 0.4кг,   ПОКОМ</v>
          </cell>
          <cell r="B86">
            <v>4911</v>
          </cell>
        </row>
        <row r="87">
          <cell r="A87" t="str">
            <v xml:space="preserve"> 278  Сосиски Сочинки с сочным окороком, МГС 0.4кг,   ПОКОМ</v>
          </cell>
          <cell r="B87">
            <v>1064</v>
          </cell>
        </row>
        <row r="88">
          <cell r="A88" t="str">
            <v xml:space="preserve"> 281  Сосиски Молочные для завтрака ТМ Особый рецепт, 0,4кг  ПОКОМ</v>
          </cell>
          <cell r="B88">
            <v>425</v>
          </cell>
        </row>
        <row r="89">
          <cell r="A89" t="str">
            <v xml:space="preserve"> 285  Паштет печеночный со слив.маслом ТМ Стародворье ламистер 0,1 кг  ПОКОМ</v>
          </cell>
          <cell r="B89">
            <v>217</v>
          </cell>
        </row>
        <row r="90">
          <cell r="A90" t="str">
            <v xml:space="preserve"> 296  Колбаса Мясорубская с рубленой грудинкой 0,35кг срез ТМ Стародворье  ПОКОМ</v>
          </cell>
          <cell r="B90">
            <v>109</v>
          </cell>
        </row>
        <row r="91">
          <cell r="A91" t="str">
            <v xml:space="preserve"> 301  Сосиски Сочинки по-баварски с сыром,  0.4кг, ТМ Стародворье  ПОКОМ</v>
          </cell>
          <cell r="B91">
            <v>295</v>
          </cell>
        </row>
        <row r="92">
          <cell r="A92" t="str">
            <v xml:space="preserve"> 302  Сосиски Сочинки по-баварски,  0.4кг, ТМ Стародворье  ПОКОМ</v>
          </cell>
          <cell r="B92">
            <v>281</v>
          </cell>
        </row>
        <row r="93">
          <cell r="A93" t="str">
            <v xml:space="preserve"> 307  Колбаса Сервелат Мясорубский с мелкорубленным окороком 0,35 кг срез ТМ Стародворье   Поком</v>
          </cell>
          <cell r="B93">
            <v>603</v>
          </cell>
        </row>
        <row r="94">
          <cell r="A94" t="str">
            <v xml:space="preserve"> 309  Сосиски Сочинки с сыром 0,4 кг ТМ Стародворье  ПОКОМ</v>
          </cell>
          <cell r="B94">
            <v>483</v>
          </cell>
        </row>
        <row r="95">
          <cell r="A95" t="str">
            <v xml:space="preserve"> 329  Сардельки Сочинки с сыром Стародворье ТМ, 0,4 кг. ПОКОМ</v>
          </cell>
          <cell r="B95">
            <v>38</v>
          </cell>
        </row>
        <row r="96">
          <cell r="A96" t="str">
            <v xml:space="preserve"> 334  Паштет Любительский ТМ Стародворье ламистер 0,1 кг  ПОКОМ</v>
          </cell>
          <cell r="B96">
            <v>131</v>
          </cell>
        </row>
        <row r="97">
          <cell r="A97" t="str">
            <v xml:space="preserve"> 338  Паштет печеночный с морковью ТМ Стародворье ламистер 0,1 кг.  ПОКОМ</v>
          </cell>
          <cell r="B97">
            <v>110</v>
          </cell>
        </row>
        <row r="98">
          <cell r="A98" t="str">
            <v xml:space="preserve"> 342 Сосиски Сочинки Молочные ТМ Стародворье 0,4 кг ПОКОМ</v>
          </cell>
          <cell r="B98">
            <v>637</v>
          </cell>
        </row>
        <row r="99">
          <cell r="A99" t="str">
            <v xml:space="preserve"> 343 Сосиски Сочинки Сливочные ТМ Стародворье  0,4 кг ПОКОМ</v>
          </cell>
          <cell r="B99">
            <v>464</v>
          </cell>
        </row>
        <row r="100">
          <cell r="A100" t="str">
            <v xml:space="preserve"> 376  Колбаса Докторская Дугушка 0,6кг ГОСТ ТМ Стародворье  ПОКОМ </v>
          </cell>
          <cell r="B100">
            <v>813</v>
          </cell>
        </row>
        <row r="101">
          <cell r="A101" t="str">
            <v xml:space="preserve"> 377  Колбаса Молочная Дугушка 0,6кг ТМ Стародворье  ПОКОМ</v>
          </cell>
          <cell r="B101">
            <v>565</v>
          </cell>
        </row>
        <row r="102">
          <cell r="A102" t="str">
            <v xml:space="preserve"> 394 Колбаса полукопченая Аль-Ислами халяль ТМ Вязанка оболочка фиброуз в в/у 0,35 кг  ПОКОМ</v>
          </cell>
          <cell r="B102">
            <v>58</v>
          </cell>
        </row>
        <row r="103">
          <cell r="A103" t="str">
            <v xml:space="preserve"> 397  Ветчина Дугушка ТМ Стародворье ТС Дугушка в полиамидной оболочке 0,6 кг. ПОКОМ</v>
          </cell>
          <cell r="B103">
            <v>141</v>
          </cell>
        </row>
        <row r="104">
          <cell r="A104" t="str">
            <v xml:space="preserve"> 410  Сосиски Баварские с сыром ТМ Стародворье 0,35 кг. ПОКОМ</v>
          </cell>
          <cell r="B104">
            <v>241</v>
          </cell>
        </row>
        <row r="105">
          <cell r="A105" t="str">
            <v xml:space="preserve"> 412  Сосиски Баварские ТМ Стародворье 0,35 кг ПОКОМ</v>
          </cell>
          <cell r="B105">
            <v>407</v>
          </cell>
        </row>
        <row r="106">
          <cell r="A106" t="str">
            <v xml:space="preserve"> 430  Колбаса Стародворская с окороком 0,4 кг. ТМ Стародворье в оболочке полиамид  ПОКОМ</v>
          </cell>
          <cell r="B106">
            <v>60</v>
          </cell>
        </row>
        <row r="107">
          <cell r="A107" t="str">
            <v xml:space="preserve"> 498  Колбаса Сочинка рубленая с сочным окороком 0,3кг ТМ Стародворье  ПОКОМ</v>
          </cell>
          <cell r="B107">
            <v>161</v>
          </cell>
        </row>
        <row r="108">
          <cell r="A108" t="str">
            <v xml:space="preserve"> 517  Сосиски С сыром ТМ Ядрена копоть 0,3кг  ПОКОМ</v>
          </cell>
          <cell r="B108">
            <v>41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>
            <v>83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>
            <v>119</v>
          </cell>
        </row>
        <row r="111">
          <cell r="A111" t="str">
            <v xml:space="preserve"> 525  Колбаса Фуэт нарезка 0,07кг ТМ Стародворье  ПОКОМ</v>
          </cell>
          <cell r="B111">
            <v>72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>
            <v>46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>
            <v>39</v>
          </cell>
        </row>
        <row r="114">
          <cell r="A114" t="str">
            <v xml:space="preserve"> 530  Окорок Хамон выдержанный нарезка 0,055кг ТМ Стародворье  ПОКОМ</v>
          </cell>
          <cell r="B114">
            <v>48</v>
          </cell>
        </row>
        <row r="115">
          <cell r="A115" t="str">
            <v xml:space="preserve"> 544  Сосиски Мясные для гриля ТС Ядрена копоть 0,3 кг  ПОКОМ</v>
          </cell>
          <cell r="B115">
            <v>36</v>
          </cell>
        </row>
        <row r="116">
          <cell r="A116" t="str">
            <v xml:space="preserve"> 553  Ассорти колбас Мясорубская коллекция: Сервелат Делюкс, С балыком 0,08 кг нарезка  ПОКОМ</v>
          </cell>
          <cell r="B116">
            <v>189</v>
          </cell>
        </row>
        <row r="117">
          <cell r="A117" t="str">
            <v xml:space="preserve"> 554  Колбаса Сервелат Мясорубский ТМ Стародворье в упаковке скин 0,08 кг нарезка  ПОКОМ</v>
          </cell>
          <cell r="B117">
            <v>159</v>
          </cell>
        </row>
        <row r="118">
          <cell r="A118" t="str">
            <v>495  Колбаса Сочинка по-европейски с сочной грудинкой 0,3кг ТМ Стародворье  ПОКОМ</v>
          </cell>
          <cell r="B118">
            <v>211</v>
          </cell>
        </row>
        <row r="119">
          <cell r="A119" t="str">
            <v>496  Колбаса Сочинка по-фински с сочным окроком 0,3кг ТМ Стародворье  ПОКОМ</v>
          </cell>
          <cell r="B119">
            <v>116</v>
          </cell>
        </row>
        <row r="120">
          <cell r="A120" t="str">
            <v>515  Колбаса Сервелат Мясорубский Делюкс 0,3кг ТМ Стародворье  ПОКОМ</v>
          </cell>
          <cell r="B120">
            <v>67</v>
          </cell>
        </row>
        <row r="121">
          <cell r="A121" t="str">
            <v>519  Грудинка 0,12 кг нарезка ТМ Стародворье  ПОКОМ</v>
          </cell>
          <cell r="B12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K316"/>
  <sheetViews>
    <sheetView tabSelected="1"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K124" sqref="K124"/>
    </sheetView>
  </sheetViews>
  <sheetFormatPr defaultColWidth="10.5" defaultRowHeight="11.45" customHeight="1" outlineLevelRow="1" x14ac:dyDescent="0.2"/>
  <cols>
    <col min="1" max="1" width="68.5" style="1" customWidth="1"/>
    <col min="2" max="2" width="4.6640625" style="1" customWidth="1"/>
    <col min="3" max="3" width="8.6640625" style="1" customWidth="1"/>
    <col min="4" max="5" width="9.1640625" style="1" bestFit="1" customWidth="1"/>
    <col min="6" max="6" width="9.33203125" style="1" customWidth="1"/>
    <col min="7" max="14" width="7.33203125" style="6" customWidth="1"/>
    <col min="15" max="15" width="7.5" style="6" customWidth="1"/>
    <col min="16" max="30" width="7.33203125" style="6" customWidth="1"/>
    <col min="31" max="31" width="8.33203125" style="6" customWidth="1"/>
    <col min="32" max="32" width="1.6640625" style="6" customWidth="1"/>
    <col min="33" max="16384" width="10.5" style="6"/>
  </cols>
  <sheetData>
    <row r="1" spans="1:89" s="1" customFormat="1" ht="9.9499999999999993" customHeight="1" x14ac:dyDescent="0.2"/>
    <row r="2" spans="1:89" ht="24.95" customHeight="1" x14ac:dyDescent="0.2">
      <c r="A2" s="2" t="s">
        <v>0</v>
      </c>
    </row>
    <row r="3" spans="1:89" s="1" customFormat="1" ht="9.9499999999999993" customHeight="1" x14ac:dyDescent="0.2"/>
    <row r="4" spans="1:89" ht="12.95" customHeight="1" outlineLevel="1" x14ac:dyDescent="0.2">
      <c r="A4" s="3" t="s">
        <v>1</v>
      </c>
      <c r="B4" s="3"/>
      <c r="C4" s="3"/>
    </row>
    <row r="5" spans="1:89" ht="12.95" customHeight="1" outlineLevel="1" x14ac:dyDescent="0.2">
      <c r="B5" s="3"/>
      <c r="C5" s="3"/>
    </row>
    <row r="6" spans="1:89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89" s="1" customFormat="1" ht="9.9499999999999993" customHeight="1" x14ac:dyDescent="0.2"/>
    <row r="8" spans="1:89" ht="12.95" customHeight="1" x14ac:dyDescent="0.25">
      <c r="A8" s="7" t="s">
        <v>3</v>
      </c>
      <c r="B8" s="7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3"/>
      <c r="H8" s="14" t="s">
        <v>115</v>
      </c>
      <c r="I8" s="15" t="s">
        <v>116</v>
      </c>
      <c r="J8" s="15" t="s">
        <v>117</v>
      </c>
      <c r="K8" s="15" t="s">
        <v>118</v>
      </c>
      <c r="L8" s="15" t="s">
        <v>119</v>
      </c>
      <c r="M8" s="15" t="s">
        <v>120</v>
      </c>
      <c r="N8" s="15" t="s">
        <v>121</v>
      </c>
      <c r="O8" s="15" t="s">
        <v>122</v>
      </c>
      <c r="P8" s="15" t="s">
        <v>122</v>
      </c>
      <c r="Q8" s="15" t="s">
        <v>122</v>
      </c>
      <c r="R8" s="15" t="s">
        <v>122</v>
      </c>
      <c r="S8" s="15" t="s">
        <v>122</v>
      </c>
      <c r="T8" s="15" t="s">
        <v>123</v>
      </c>
      <c r="U8" s="16" t="s">
        <v>124</v>
      </c>
      <c r="V8" s="17" t="s">
        <v>125</v>
      </c>
      <c r="W8" s="17" t="s">
        <v>126</v>
      </c>
      <c r="X8" s="15" t="s">
        <v>127</v>
      </c>
      <c r="Y8" s="15" t="s">
        <v>128</v>
      </c>
      <c r="Z8" s="15" t="s">
        <v>129</v>
      </c>
      <c r="AA8" s="15" t="s">
        <v>129</v>
      </c>
      <c r="AB8" s="15" t="s">
        <v>129</v>
      </c>
      <c r="AC8" s="15" t="s">
        <v>129</v>
      </c>
      <c r="AD8" s="15" t="s">
        <v>130</v>
      </c>
      <c r="AE8" s="15" t="s">
        <v>131</v>
      </c>
    </row>
    <row r="9" spans="1:89" ht="12.95" customHeight="1" x14ac:dyDescent="0.2">
      <c r="A9" s="7"/>
      <c r="B9" s="7"/>
      <c r="C9" s="5"/>
      <c r="D9" s="5"/>
      <c r="E9" s="5"/>
      <c r="F9" s="5"/>
      <c r="G9" s="18"/>
      <c r="H9" s="18"/>
      <c r="I9" s="18"/>
      <c r="J9" s="18"/>
      <c r="K9" s="18"/>
      <c r="L9" s="18"/>
      <c r="M9" s="18"/>
      <c r="N9" s="18"/>
      <c r="O9" s="18" t="s">
        <v>132</v>
      </c>
      <c r="P9" s="18" t="s">
        <v>132</v>
      </c>
      <c r="Q9" s="18" t="s">
        <v>132</v>
      </c>
      <c r="R9" s="18" t="s">
        <v>132</v>
      </c>
      <c r="S9" s="18" t="s">
        <v>133</v>
      </c>
      <c r="T9" s="18" t="s">
        <v>138</v>
      </c>
      <c r="U9" s="19" t="s">
        <v>139</v>
      </c>
      <c r="V9" s="18"/>
      <c r="W9" s="18"/>
      <c r="X9" s="18"/>
      <c r="Y9" s="18"/>
      <c r="Z9" s="18" t="s">
        <v>134</v>
      </c>
      <c r="AA9" s="18" t="s">
        <v>135</v>
      </c>
      <c r="AB9" s="18" t="s">
        <v>136</v>
      </c>
      <c r="AC9" s="18" t="s">
        <v>137</v>
      </c>
      <c r="AD9" s="18"/>
      <c r="AE9" s="18" t="s">
        <v>133</v>
      </c>
    </row>
    <row r="10" spans="1:89" ht="12.95" customHeight="1" x14ac:dyDescent="0.2">
      <c r="A10" s="7"/>
      <c r="B10" s="7"/>
      <c r="C10" s="20">
        <f>SUM(C11:C418)</f>
        <v>65874.839999999982</v>
      </c>
      <c r="D10" s="20">
        <f>SUM(D11:D418)</f>
        <v>67636.210999999996</v>
      </c>
      <c r="E10" s="20">
        <f>SUM(E11:E418)</f>
        <v>71698.352999999988</v>
      </c>
      <c r="F10" s="20">
        <f>SUM(F11:F418)</f>
        <v>60046.015000000014</v>
      </c>
      <c r="G10" s="18"/>
      <c r="H10" s="18"/>
      <c r="I10" s="18"/>
      <c r="J10" s="18"/>
      <c r="K10" s="18"/>
      <c r="L10" s="20">
        <f t="shared" ref="L10:V10" si="0">SUM(L11:L418)</f>
        <v>73595.60100000001</v>
      </c>
      <c r="M10" s="20">
        <f t="shared" si="0"/>
        <v>-1897.2479999999994</v>
      </c>
      <c r="N10" s="20">
        <f t="shared" si="0"/>
        <v>0</v>
      </c>
      <c r="O10" s="20">
        <f t="shared" si="0"/>
        <v>13000</v>
      </c>
      <c r="P10" s="20">
        <f t="shared" si="0"/>
        <v>7100</v>
      </c>
      <c r="Q10" s="20">
        <f t="shared" si="0"/>
        <v>17300</v>
      </c>
      <c r="R10" s="20">
        <f t="shared" si="0"/>
        <v>24440</v>
      </c>
      <c r="S10" s="20">
        <f t="shared" si="0"/>
        <v>19350</v>
      </c>
      <c r="T10" s="20">
        <f t="shared" si="0"/>
        <v>14339.670599999998</v>
      </c>
      <c r="U10" s="20">
        <f t="shared" si="0"/>
        <v>25403.408399999997</v>
      </c>
      <c r="V10" s="20">
        <f t="shared" si="0"/>
        <v>3680</v>
      </c>
      <c r="W10" s="18"/>
      <c r="X10" s="18"/>
      <c r="Y10" s="18"/>
      <c r="Z10" s="20">
        <f>SUM(Z11:Z418)</f>
        <v>12027.3902</v>
      </c>
      <c r="AA10" s="20">
        <f>SUM(AA11:AA418)</f>
        <v>13549.450000000012</v>
      </c>
      <c r="AB10" s="20">
        <f>SUM(AB11:AB418)</f>
        <v>14681.348400000004</v>
      </c>
      <c r="AC10" s="20">
        <f>SUM(AC11:AC418)</f>
        <v>14960.442600000015</v>
      </c>
      <c r="AD10" s="18"/>
      <c r="AE10" s="20">
        <f>SUM(AE11:AE418)</f>
        <v>18502.723599999994</v>
      </c>
    </row>
    <row r="11" spans="1:89" ht="11.1" customHeight="1" x14ac:dyDescent="0.2">
      <c r="A11" s="8" t="s">
        <v>9</v>
      </c>
      <c r="B11" s="8" t="s">
        <v>10</v>
      </c>
      <c r="C11" s="9">
        <v>3143.31</v>
      </c>
      <c r="D11" s="9">
        <v>1343.2190000000001</v>
      </c>
      <c r="E11" s="9">
        <v>2840.4789999999998</v>
      </c>
      <c r="F11" s="9">
        <v>1621.5719999999999</v>
      </c>
      <c r="G11" s="10" t="str">
        <f>VLOOKUP(A:A,[1]TDSheet!$A:$G,7,0)</f>
        <v>P003011</v>
      </c>
      <c r="H11" s="21">
        <f>VLOOKUP(A:A,[1]TDSheet!$A:$H,8,0)</f>
        <v>1</v>
      </c>
      <c r="I11" s="10">
        <f>VLOOKUP(A:A,[1]TDSheet!$A:$I,9,0)</f>
        <v>50</v>
      </c>
      <c r="J11" s="10" t="str">
        <f>VLOOKUP(A:A,[1]TDSheet!$A:$J,10,0)</f>
        <v>матрица</v>
      </c>
      <c r="K11" s="10"/>
      <c r="L11" s="10">
        <f>VLOOKUP(A:A,[2]TDSheet!$A:$B,2,0)</f>
        <v>2777.6</v>
      </c>
      <c r="M11" s="10">
        <f>E11-L11</f>
        <v>62.878999999999905</v>
      </c>
      <c r="N11" s="10"/>
      <c r="O11" s="10">
        <f>VLOOKUP(A:A,[1]TDSheet!$A:$R,18,0)</f>
        <v>800</v>
      </c>
      <c r="P11" s="10">
        <f>VLOOKUP(A:A,[1]TDSheet!$A:$S,19,0)</f>
        <v>800</v>
      </c>
      <c r="Q11" s="10">
        <f>VLOOKUP(A:A,[1]TDSheet!$A:$T,20,0)</f>
        <v>900</v>
      </c>
      <c r="R11" s="10">
        <f>VLOOKUP(A:A,[1]TDSheet!$A:$U,21,0)</f>
        <v>0</v>
      </c>
      <c r="S11" s="10">
        <f>VLOOKUP(A:A,[1]TDSheet!$A:$W,23,0)</f>
        <v>800</v>
      </c>
      <c r="T11" s="10">
        <f>E11/5</f>
        <v>568.09579999999994</v>
      </c>
      <c r="U11" s="22">
        <f>T11*11-F11-O11-P11-Q11-R11-S11</f>
        <v>1327.4817999999996</v>
      </c>
      <c r="V11" s="22"/>
      <c r="W11" s="10"/>
      <c r="X11" s="10">
        <f>(F11+O11+P11+Q11+R11+S11+U11)/T11</f>
        <v>11</v>
      </c>
      <c r="Y11" s="10">
        <f>F11/T11</f>
        <v>2.8543988531511766</v>
      </c>
      <c r="Z11" s="10">
        <f>VLOOKUP(A:A,[1]TDSheet!$A:$AB,28,0)</f>
        <v>541.78179999999998</v>
      </c>
      <c r="AA11" s="10">
        <f>VLOOKUP(A:A,[1]TDSheet!$A:$AC,29,0)</f>
        <v>554.71460000000002</v>
      </c>
      <c r="AB11" s="10">
        <f>VLOOKUP(A:A,[1]TDSheet!$A:$AD,30,0)</f>
        <v>479.79179999999997</v>
      </c>
      <c r="AC11" s="10">
        <f>VLOOKUP(A:A,[1]TDSheet!$A:$AE,31,0)</f>
        <v>563.93039999999996</v>
      </c>
      <c r="AD11" s="10" t="str">
        <f>VLOOKUP(A:A,[1]TDSheet!$A:$AF,32,0)</f>
        <v>ТМА ПРОДОЛЖЕНИЕ Апрель</v>
      </c>
      <c r="AE11" s="10">
        <f>U11*H11</f>
        <v>1327.4817999999996</v>
      </c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</row>
    <row r="12" spans="1:89" ht="11.1" customHeight="1" x14ac:dyDescent="0.2">
      <c r="A12" s="8" t="s">
        <v>11</v>
      </c>
      <c r="B12" s="8" t="s">
        <v>10</v>
      </c>
      <c r="C12" s="9">
        <v>658.01099999999997</v>
      </c>
      <c r="D12" s="9">
        <v>746.23500000000001</v>
      </c>
      <c r="E12" s="9">
        <v>1032.3140000000001</v>
      </c>
      <c r="F12" s="9">
        <v>364.88400000000001</v>
      </c>
      <c r="G12" s="10" t="str">
        <f>VLOOKUP(A:A,[1]TDSheet!$A:$G,7,0)</f>
        <v>P003986</v>
      </c>
      <c r="H12" s="21">
        <f>VLOOKUP(A:A,[1]TDSheet!$A:$H,8,0)</f>
        <v>1</v>
      </c>
      <c r="I12" s="10">
        <f>VLOOKUP(A:A,[1]TDSheet!$A:$I,9,0)</f>
        <v>45</v>
      </c>
      <c r="J12" s="10" t="str">
        <f>VLOOKUP(A:A,[1]TDSheet!$A:$J,10,0)</f>
        <v>матрица</v>
      </c>
      <c r="K12" s="10"/>
      <c r="L12" s="10">
        <f>VLOOKUP(A:A,[2]TDSheet!$A:$B,2,0)</f>
        <v>979.6</v>
      </c>
      <c r="M12" s="10">
        <f t="shared" ref="M12:M75" si="1">E12-L12</f>
        <v>52.714000000000055</v>
      </c>
      <c r="N12" s="10"/>
      <c r="O12" s="10">
        <f>VLOOKUP(A:A,[1]TDSheet!$A:$R,18,0)</f>
        <v>200</v>
      </c>
      <c r="P12" s="10">
        <f>VLOOKUP(A:A,[1]TDSheet!$A:$S,19,0)</f>
        <v>100</v>
      </c>
      <c r="Q12" s="10">
        <f>VLOOKUP(A:A,[1]TDSheet!$A:$T,20,0)</f>
        <v>100</v>
      </c>
      <c r="R12" s="10">
        <f>VLOOKUP(A:A,[1]TDSheet!$A:$U,21,0)</f>
        <v>0</v>
      </c>
      <c r="S12" s="10">
        <f>VLOOKUP(A:A,[1]TDSheet!$A:$W,23,0)</f>
        <v>400</v>
      </c>
      <c r="T12" s="10">
        <f t="shared" ref="T12:T75" si="2">E12/5</f>
        <v>206.46280000000002</v>
      </c>
      <c r="U12" s="22">
        <f t="shared" ref="U12:U73" si="3">T12*11-F12-O12-P12-Q12-R12-S12</f>
        <v>1106.2067999999999</v>
      </c>
      <c r="V12" s="22"/>
      <c r="W12" s="10"/>
      <c r="X12" s="10">
        <f t="shared" ref="X12:X75" si="4">(F12+O12+P12+Q12+R12+S12+U12)/T12</f>
        <v>10.999999999999998</v>
      </c>
      <c r="Y12" s="10">
        <f t="shared" ref="Y12:Y75" si="5">F12/T12</f>
        <v>1.7673111088292903</v>
      </c>
      <c r="Z12" s="10">
        <f>VLOOKUP(A:A,[1]TDSheet!$A:$AB,28,0)</f>
        <v>142.0986</v>
      </c>
      <c r="AA12" s="10">
        <f>VLOOKUP(A:A,[1]TDSheet!$A:$AC,29,0)</f>
        <v>157.10640000000001</v>
      </c>
      <c r="AB12" s="10">
        <f>VLOOKUP(A:A,[1]TDSheet!$A:$AD,30,0)</f>
        <v>162.0754</v>
      </c>
      <c r="AC12" s="10">
        <f>VLOOKUP(A:A,[1]TDSheet!$A:$AE,31,0)</f>
        <v>150.274</v>
      </c>
      <c r="AD12" s="10" t="str">
        <f>VLOOKUP(A:A,[1]TDSheet!$A:$AF,32,0)</f>
        <v>ТМА ПРОДОЛЖЕНИЕ Апрель</v>
      </c>
      <c r="AE12" s="10">
        <f t="shared" ref="AE12:AE75" si="6">U12*H12</f>
        <v>1106.2067999999999</v>
      </c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</row>
    <row r="13" spans="1:89" ht="11.1" customHeight="1" x14ac:dyDescent="0.2">
      <c r="A13" s="8" t="s">
        <v>12</v>
      </c>
      <c r="B13" s="8" t="s">
        <v>10</v>
      </c>
      <c r="C13" s="9">
        <v>2220.654</v>
      </c>
      <c r="D13" s="9">
        <v>1042.6020000000001</v>
      </c>
      <c r="E13" s="9">
        <v>2924.2620000000002</v>
      </c>
      <c r="F13" s="9">
        <v>300.89600000000002</v>
      </c>
      <c r="G13" s="10" t="str">
        <f>VLOOKUP(A:A,[1]TDSheet!$A:$G,7,0)</f>
        <v>P003988</v>
      </c>
      <c r="H13" s="21">
        <f>VLOOKUP(A:A,[1]TDSheet!$A:$H,8,0)</f>
        <v>1</v>
      </c>
      <c r="I13" s="10">
        <f>VLOOKUP(A:A,[1]TDSheet!$A:$I,9,0)</f>
        <v>45</v>
      </c>
      <c r="J13" s="10" t="str">
        <f>VLOOKUP(A:A,[1]TDSheet!$A:$J,10,0)</f>
        <v>матрица</v>
      </c>
      <c r="K13" s="10"/>
      <c r="L13" s="10">
        <f>VLOOKUP(A:A,[2]TDSheet!$A:$B,2,0)</f>
        <v>2988.5</v>
      </c>
      <c r="M13" s="10">
        <f t="shared" si="1"/>
        <v>-64.237999999999829</v>
      </c>
      <c r="N13" s="10"/>
      <c r="O13" s="10">
        <f>VLOOKUP(A:A,[1]TDSheet!$A:$R,18,0)</f>
        <v>800</v>
      </c>
      <c r="P13" s="10">
        <f>VLOOKUP(A:A,[1]TDSheet!$A:$S,19,0)</f>
        <v>800</v>
      </c>
      <c r="Q13" s="10">
        <f>VLOOKUP(A:A,[1]TDSheet!$A:$T,20,0)</f>
        <v>800</v>
      </c>
      <c r="R13" s="10">
        <f>VLOOKUP(A:A,[1]TDSheet!$A:$U,21,0)</f>
        <v>0</v>
      </c>
      <c r="S13" s="10">
        <f>VLOOKUP(A:A,[1]TDSheet!$A:$W,23,0)</f>
        <v>3100</v>
      </c>
      <c r="T13" s="10">
        <f t="shared" si="2"/>
        <v>584.85239999999999</v>
      </c>
      <c r="U13" s="22">
        <f t="shared" si="3"/>
        <v>632.48040000000037</v>
      </c>
      <c r="V13" s="22"/>
      <c r="W13" s="10"/>
      <c r="X13" s="10">
        <f t="shared" si="4"/>
        <v>11</v>
      </c>
      <c r="Y13" s="10">
        <f t="shared" si="5"/>
        <v>0.51448194450428864</v>
      </c>
      <c r="Z13" s="10">
        <f>VLOOKUP(A:A,[1]TDSheet!$A:$AB,28,0)</f>
        <v>581.0992</v>
      </c>
      <c r="AA13" s="10">
        <f>VLOOKUP(A:A,[1]TDSheet!$A:$AC,29,0)</f>
        <v>595.59080000000006</v>
      </c>
      <c r="AB13" s="10">
        <f>VLOOKUP(A:A,[1]TDSheet!$A:$AD,30,0)</f>
        <v>611.73599999999999</v>
      </c>
      <c r="AC13" s="10">
        <f>VLOOKUP(A:A,[1]TDSheet!$A:$AE,31,0)</f>
        <v>646.25780000000009</v>
      </c>
      <c r="AD13" s="10" t="str">
        <f>VLOOKUP(A:A,[1]TDSheet!$A:$AF,32,0)</f>
        <v>ТМА ПРОДОЛЖЕНИЕ Апрель</v>
      </c>
      <c r="AE13" s="10">
        <f t="shared" si="6"/>
        <v>632.48040000000037</v>
      </c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</row>
    <row r="14" spans="1:89" ht="11.1" customHeight="1" x14ac:dyDescent="0.2">
      <c r="A14" s="8" t="s">
        <v>13</v>
      </c>
      <c r="B14" s="8" t="s">
        <v>14</v>
      </c>
      <c r="C14" s="9">
        <v>30</v>
      </c>
      <c r="D14" s="9"/>
      <c r="E14" s="9">
        <v>29</v>
      </c>
      <c r="F14" s="9">
        <v>1</v>
      </c>
      <c r="G14" s="10" t="str">
        <f>VLOOKUP(A:A,[1]TDSheet!$A:$G,7,0)</f>
        <v>P003008</v>
      </c>
      <c r="H14" s="21">
        <f>VLOOKUP(A:A,[1]TDSheet!$A:$H,8,0)</f>
        <v>0.4</v>
      </c>
      <c r="I14" s="10">
        <f>VLOOKUP(A:A,[1]TDSheet!$A:$I,9,0)</f>
        <v>0</v>
      </c>
      <c r="J14" s="10">
        <f>VLOOKUP(A:A,[1]TDSheet!$A:$J,10,0)</f>
        <v>0</v>
      </c>
      <c r="K14" s="10"/>
      <c r="L14" s="10">
        <f>VLOOKUP(A:A,[2]TDSheet!$A:$B,2,0)</f>
        <v>29</v>
      </c>
      <c r="M14" s="10">
        <f t="shared" si="1"/>
        <v>0</v>
      </c>
      <c r="N14" s="10"/>
      <c r="O14" s="10">
        <f>VLOOKUP(A:A,[1]TDSheet!$A:$R,18,0)</f>
        <v>0</v>
      </c>
      <c r="P14" s="10">
        <f>VLOOKUP(A:A,[1]TDSheet!$A:$S,19,0)</f>
        <v>0</v>
      </c>
      <c r="Q14" s="10">
        <f>VLOOKUP(A:A,[1]TDSheet!$A:$T,20,0)</f>
        <v>0</v>
      </c>
      <c r="R14" s="10">
        <f>VLOOKUP(A:A,[1]TDSheet!$A:$U,21,0)</f>
        <v>0</v>
      </c>
      <c r="S14" s="10">
        <f>VLOOKUP(A:A,[1]TDSheet!$A:$W,23,0)</f>
        <v>0</v>
      </c>
      <c r="T14" s="10">
        <f t="shared" si="2"/>
        <v>5.8</v>
      </c>
      <c r="U14" s="22">
        <f t="shared" si="3"/>
        <v>62.8</v>
      </c>
      <c r="V14" s="22"/>
      <c r="W14" s="10"/>
      <c r="X14" s="10">
        <f t="shared" si="4"/>
        <v>11</v>
      </c>
      <c r="Y14" s="10">
        <f t="shared" si="5"/>
        <v>0.17241379310344829</v>
      </c>
      <c r="Z14" s="10">
        <f>VLOOKUP(A:A,[1]TDSheet!$A:$AB,28,0)</f>
        <v>4.4000000000000004</v>
      </c>
      <c r="AA14" s="10">
        <f>VLOOKUP(A:A,[1]TDSheet!$A:$AC,29,0)</f>
        <v>4.4000000000000004</v>
      </c>
      <c r="AB14" s="10">
        <f>VLOOKUP(A:A,[1]TDSheet!$A:$AD,30,0)</f>
        <v>2</v>
      </c>
      <c r="AC14" s="10">
        <f>VLOOKUP(A:A,[1]TDSheet!$A:$AE,31,0)</f>
        <v>3.2</v>
      </c>
      <c r="AD14" s="10" t="e">
        <f>VLOOKUP(A:A,[1]TDSheet!$A:$AF,32,0)</f>
        <v>#N/A</v>
      </c>
      <c r="AE14" s="10">
        <f t="shared" si="6"/>
        <v>25.12</v>
      </c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</row>
    <row r="15" spans="1:89" ht="11.1" customHeight="1" x14ac:dyDescent="0.2">
      <c r="A15" s="8" t="s">
        <v>15</v>
      </c>
      <c r="B15" s="8" t="s">
        <v>14</v>
      </c>
      <c r="C15" s="9">
        <v>1354</v>
      </c>
      <c r="D15" s="9">
        <v>2019</v>
      </c>
      <c r="E15" s="9">
        <v>1883</v>
      </c>
      <c r="F15" s="9">
        <v>1485</v>
      </c>
      <c r="G15" s="10" t="str">
        <f>VLOOKUP(A:A,[1]TDSheet!$A:$G,7,0)</f>
        <v>P003985</v>
      </c>
      <c r="H15" s="21">
        <f>VLOOKUP(A:A,[1]TDSheet!$A:$H,8,0)</f>
        <v>0.45</v>
      </c>
      <c r="I15" s="10">
        <f>VLOOKUP(A:A,[1]TDSheet!$A:$I,9,0)</f>
        <v>45</v>
      </c>
      <c r="J15" s="10" t="str">
        <f>VLOOKUP(A:A,[1]TDSheet!$A:$J,10,0)</f>
        <v>матрица</v>
      </c>
      <c r="K15" s="10"/>
      <c r="L15" s="10">
        <f>VLOOKUP(A:A,[2]TDSheet!$A:$B,2,0)</f>
        <v>1961</v>
      </c>
      <c r="M15" s="10">
        <f t="shared" si="1"/>
        <v>-78</v>
      </c>
      <c r="N15" s="10"/>
      <c r="O15" s="10">
        <f>VLOOKUP(A:A,[1]TDSheet!$A:$R,18,0)</f>
        <v>0</v>
      </c>
      <c r="P15" s="10">
        <f>VLOOKUP(A:A,[1]TDSheet!$A:$S,19,0)</f>
        <v>0</v>
      </c>
      <c r="Q15" s="10">
        <f>VLOOKUP(A:A,[1]TDSheet!$A:$T,20,0)</f>
        <v>0</v>
      </c>
      <c r="R15" s="10">
        <f>VLOOKUP(A:A,[1]TDSheet!$A:$U,21,0)</f>
        <v>1000</v>
      </c>
      <c r="S15" s="10">
        <f>VLOOKUP(A:A,[1]TDSheet!$A:$W,23,0)</f>
        <v>500</v>
      </c>
      <c r="T15" s="10">
        <f t="shared" si="2"/>
        <v>376.6</v>
      </c>
      <c r="U15" s="22">
        <f t="shared" si="3"/>
        <v>1157.6000000000004</v>
      </c>
      <c r="V15" s="22"/>
      <c r="W15" s="10"/>
      <c r="X15" s="10">
        <f t="shared" si="4"/>
        <v>11</v>
      </c>
      <c r="Y15" s="10">
        <f t="shared" si="5"/>
        <v>3.9431757833244818</v>
      </c>
      <c r="Z15" s="10">
        <f>VLOOKUP(A:A,[1]TDSheet!$A:$AB,28,0)</f>
        <v>460</v>
      </c>
      <c r="AA15" s="10">
        <f>VLOOKUP(A:A,[1]TDSheet!$A:$AC,29,0)</f>
        <v>328.2</v>
      </c>
      <c r="AB15" s="10">
        <f>VLOOKUP(A:A,[1]TDSheet!$A:$AD,30,0)</f>
        <v>407</v>
      </c>
      <c r="AC15" s="10">
        <f>VLOOKUP(A:A,[1]TDSheet!$A:$AE,31,0)</f>
        <v>312.60000000000002</v>
      </c>
      <c r="AD15" s="10" t="str">
        <f>VLOOKUP(A:A,[1]TDSheet!$A:$AF,32,0)</f>
        <v>Мера</v>
      </c>
      <c r="AE15" s="10">
        <f t="shared" si="6"/>
        <v>520.92000000000019</v>
      </c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</row>
    <row r="16" spans="1:89" ht="11.1" customHeight="1" x14ac:dyDescent="0.2">
      <c r="A16" s="8" t="s">
        <v>16</v>
      </c>
      <c r="B16" s="8" t="s">
        <v>14</v>
      </c>
      <c r="C16" s="9">
        <v>1533.2239999999999</v>
      </c>
      <c r="D16" s="9">
        <v>3382</v>
      </c>
      <c r="E16" s="9">
        <v>2919</v>
      </c>
      <c r="F16" s="9">
        <v>1926.2239999999999</v>
      </c>
      <c r="G16" s="10" t="str">
        <f>VLOOKUP(A:A,[1]TDSheet!$A:$G,7,0)</f>
        <v>P003989</v>
      </c>
      <c r="H16" s="21">
        <f>VLOOKUP(A:A,[1]TDSheet!$A:$H,8,0)</f>
        <v>0.45</v>
      </c>
      <c r="I16" s="10">
        <f>VLOOKUP(A:A,[1]TDSheet!$A:$I,9,0)</f>
        <v>45</v>
      </c>
      <c r="J16" s="10" t="str">
        <f>VLOOKUP(A:A,[1]TDSheet!$A:$J,10,0)</f>
        <v>матрица</v>
      </c>
      <c r="K16" s="10"/>
      <c r="L16" s="10">
        <f>VLOOKUP(A:A,[2]TDSheet!$A:$B,2,0)</f>
        <v>3117</v>
      </c>
      <c r="M16" s="10">
        <f t="shared" si="1"/>
        <v>-198</v>
      </c>
      <c r="N16" s="10"/>
      <c r="O16" s="10">
        <f>VLOOKUP(A:A,[1]TDSheet!$A:$R,18,0)</f>
        <v>0</v>
      </c>
      <c r="P16" s="10">
        <f>VLOOKUP(A:A,[1]TDSheet!$A:$S,19,0)</f>
        <v>0</v>
      </c>
      <c r="Q16" s="10">
        <f>VLOOKUP(A:A,[1]TDSheet!$A:$T,20,0)</f>
        <v>0</v>
      </c>
      <c r="R16" s="10">
        <f>VLOOKUP(A:A,[1]TDSheet!$A:$U,21,0)</f>
        <v>2500</v>
      </c>
      <c r="S16" s="10">
        <f>VLOOKUP(A:A,[1]TDSheet!$A:$W,23,0)</f>
        <v>300</v>
      </c>
      <c r="T16" s="10">
        <f t="shared" si="2"/>
        <v>583.79999999999995</v>
      </c>
      <c r="U16" s="22">
        <f t="shared" si="3"/>
        <v>1695.5759999999991</v>
      </c>
      <c r="V16" s="22"/>
      <c r="W16" s="10"/>
      <c r="X16" s="10">
        <f t="shared" si="4"/>
        <v>11</v>
      </c>
      <c r="Y16" s="10">
        <f t="shared" si="5"/>
        <v>3.2994587187392943</v>
      </c>
      <c r="Z16" s="10">
        <f>VLOOKUP(A:A,[1]TDSheet!$A:$AB,28,0)</f>
        <v>603.6</v>
      </c>
      <c r="AA16" s="10">
        <f>VLOOKUP(A:A,[1]TDSheet!$A:$AC,29,0)</f>
        <v>534.24919999999997</v>
      </c>
      <c r="AB16" s="10">
        <f>VLOOKUP(A:A,[1]TDSheet!$A:$AD,30,0)</f>
        <v>630.20000000000005</v>
      </c>
      <c r="AC16" s="10">
        <f>VLOOKUP(A:A,[1]TDSheet!$A:$AE,31,0)</f>
        <v>547.79999999999995</v>
      </c>
      <c r="AD16" s="10" t="str">
        <f>VLOOKUP(A:A,[1]TDSheet!$A:$AF,32,0)</f>
        <v>зв</v>
      </c>
      <c r="AE16" s="10">
        <f t="shared" si="6"/>
        <v>763.00919999999962</v>
      </c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</row>
    <row r="17" spans="1:89" ht="21.95" customHeight="1" x14ac:dyDescent="0.2">
      <c r="A17" s="8" t="s">
        <v>17</v>
      </c>
      <c r="B17" s="8" t="s">
        <v>14</v>
      </c>
      <c r="C17" s="9">
        <v>282</v>
      </c>
      <c r="D17" s="9"/>
      <c r="E17" s="9">
        <v>81</v>
      </c>
      <c r="F17" s="9">
        <v>201</v>
      </c>
      <c r="G17" s="10" t="str">
        <f>VLOOKUP(A:A,[1]TDSheet!$A:$G,7,0)</f>
        <v>P002290</v>
      </c>
      <c r="H17" s="21">
        <f>VLOOKUP(A:A,[1]TDSheet!$A:$H,8,0)</f>
        <v>0.17</v>
      </c>
      <c r="I17" s="10">
        <f>VLOOKUP(A:A,[1]TDSheet!$A:$I,9,0)</f>
        <v>180</v>
      </c>
      <c r="J17" s="10" t="str">
        <f>VLOOKUP(A:A,[1]TDSheet!$A:$J,10,0)</f>
        <v>матрица</v>
      </c>
      <c r="K17" s="10"/>
      <c r="L17" s="10">
        <f>VLOOKUP(A:A,[2]TDSheet!$A:$B,2,0)</f>
        <v>82</v>
      </c>
      <c r="M17" s="10">
        <f t="shared" si="1"/>
        <v>-1</v>
      </c>
      <c r="N17" s="10"/>
      <c r="O17" s="10">
        <f>VLOOKUP(A:A,[1]TDSheet!$A:$R,18,0)</f>
        <v>0</v>
      </c>
      <c r="P17" s="10">
        <f>VLOOKUP(A:A,[1]TDSheet!$A:$S,19,0)</f>
        <v>0</v>
      </c>
      <c r="Q17" s="10">
        <f>VLOOKUP(A:A,[1]TDSheet!$A:$T,20,0)</f>
        <v>0</v>
      </c>
      <c r="R17" s="10">
        <f>VLOOKUP(A:A,[1]TDSheet!$A:$U,21,0)</f>
        <v>0</v>
      </c>
      <c r="S17" s="10">
        <f>VLOOKUP(A:A,[1]TDSheet!$A:$W,23,0)</f>
        <v>0</v>
      </c>
      <c r="T17" s="10">
        <f t="shared" si="2"/>
        <v>16.2</v>
      </c>
      <c r="U17" s="22"/>
      <c r="V17" s="22"/>
      <c r="W17" s="10"/>
      <c r="X17" s="10">
        <f t="shared" si="4"/>
        <v>12.407407407407408</v>
      </c>
      <c r="Y17" s="10">
        <f t="shared" si="5"/>
        <v>12.407407407407408</v>
      </c>
      <c r="Z17" s="10">
        <f>VLOOKUP(A:A,[1]TDSheet!$A:$AB,28,0)</f>
        <v>14.8</v>
      </c>
      <c r="AA17" s="10">
        <f>VLOOKUP(A:A,[1]TDSheet!$A:$AC,29,0)</f>
        <v>14.8</v>
      </c>
      <c r="AB17" s="10">
        <f>VLOOKUP(A:A,[1]TDSheet!$A:$AD,30,0)</f>
        <v>35.4</v>
      </c>
      <c r="AC17" s="10">
        <f>VLOOKUP(A:A,[1]TDSheet!$A:$AE,31,0)</f>
        <v>24.2</v>
      </c>
      <c r="AD17" s="10" t="e">
        <f>VLOOKUP(A:A,[1]TDSheet!$A:$AF,32,0)</f>
        <v>#N/A</v>
      </c>
      <c r="AE17" s="10">
        <f t="shared" si="6"/>
        <v>0</v>
      </c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</row>
    <row r="18" spans="1:89" ht="11.1" customHeight="1" x14ac:dyDescent="0.2">
      <c r="A18" s="8" t="s">
        <v>18</v>
      </c>
      <c r="B18" s="8" t="s">
        <v>14</v>
      </c>
      <c r="C18" s="9">
        <v>8</v>
      </c>
      <c r="D18" s="9">
        <v>45</v>
      </c>
      <c r="E18" s="9">
        <v>-2</v>
      </c>
      <c r="F18" s="9"/>
      <c r="G18" s="10" t="str">
        <f>VLOOKUP(A:A,[1]TDSheet!$A:$G,7,0)</f>
        <v>P002461</v>
      </c>
      <c r="H18" s="21">
        <f>VLOOKUP(A:A,[1]TDSheet!$A:$H,8,0)</f>
        <v>0.3</v>
      </c>
      <c r="I18" s="10">
        <f>VLOOKUP(A:A,[1]TDSheet!$A:$I,9,0)</f>
        <v>40</v>
      </c>
      <c r="J18" s="10" t="str">
        <f>VLOOKUP(A:A,[1]TDSheet!$A:$J,10,0)</f>
        <v>матрица</v>
      </c>
      <c r="K18" s="10"/>
      <c r="L18" s="10">
        <f>VLOOKUP(A:A,[2]TDSheet!$A:$B,2,0)</f>
        <v>47</v>
      </c>
      <c r="M18" s="10">
        <f t="shared" si="1"/>
        <v>-49</v>
      </c>
      <c r="N18" s="10"/>
      <c r="O18" s="10">
        <f>VLOOKUP(A:A,[1]TDSheet!$A:$R,18,0)</f>
        <v>0</v>
      </c>
      <c r="P18" s="10">
        <f>VLOOKUP(A:A,[1]TDSheet!$A:$S,19,0)</f>
        <v>0</v>
      </c>
      <c r="Q18" s="10">
        <f>VLOOKUP(A:A,[1]TDSheet!$A:$T,20,0)</f>
        <v>0</v>
      </c>
      <c r="R18" s="10">
        <f>VLOOKUP(A:A,[1]TDSheet!$A:$U,21,0)</f>
        <v>40</v>
      </c>
      <c r="S18" s="10">
        <f>VLOOKUP(A:A,[1]TDSheet!$A:$W,23,0)</f>
        <v>0</v>
      </c>
      <c r="T18" s="10">
        <f t="shared" si="2"/>
        <v>-0.4</v>
      </c>
      <c r="U18" s="22"/>
      <c r="V18" s="22"/>
      <c r="W18" s="10"/>
      <c r="X18" s="10">
        <f t="shared" si="4"/>
        <v>-100</v>
      </c>
      <c r="Y18" s="10">
        <f t="shared" si="5"/>
        <v>0</v>
      </c>
      <c r="Z18" s="10">
        <f>VLOOKUP(A:A,[1]TDSheet!$A:$AB,28,0)</f>
        <v>7</v>
      </c>
      <c r="AA18" s="10">
        <f>VLOOKUP(A:A,[1]TDSheet!$A:$AC,29,0)</f>
        <v>6.2</v>
      </c>
      <c r="AB18" s="10">
        <f>VLOOKUP(A:A,[1]TDSheet!$A:$AD,30,0)</f>
        <v>7.4</v>
      </c>
      <c r="AC18" s="10">
        <f>VLOOKUP(A:A,[1]TDSheet!$A:$AE,31,0)</f>
        <v>6.4</v>
      </c>
      <c r="AD18" s="10">
        <f>VLOOKUP(A:A,[1]TDSheet!$A:$AF,32,0)</f>
        <v>0</v>
      </c>
      <c r="AE18" s="10">
        <f t="shared" si="6"/>
        <v>0</v>
      </c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</row>
    <row r="19" spans="1:89" ht="11.1" customHeight="1" x14ac:dyDescent="0.2">
      <c r="A19" s="8" t="s">
        <v>19</v>
      </c>
      <c r="B19" s="8" t="s">
        <v>14</v>
      </c>
      <c r="C19" s="9">
        <v>222</v>
      </c>
      <c r="D19" s="9">
        <v>90</v>
      </c>
      <c r="E19" s="9">
        <v>216</v>
      </c>
      <c r="F19" s="9">
        <v>95</v>
      </c>
      <c r="G19" s="10" t="str">
        <f>VLOOKUP(A:A,[1]TDSheet!$A:$G,7,0)</f>
        <v>P001909</v>
      </c>
      <c r="H19" s="21">
        <f>VLOOKUP(A:A,[1]TDSheet!$A:$H,8,0)</f>
        <v>0.17</v>
      </c>
      <c r="I19" s="10">
        <f>VLOOKUP(A:A,[1]TDSheet!$A:$I,9,0)</f>
        <v>180</v>
      </c>
      <c r="J19" s="10" t="str">
        <f>VLOOKUP(A:A,[1]TDSheet!$A:$J,10,0)</f>
        <v>матрица</v>
      </c>
      <c r="K19" s="10"/>
      <c r="L19" s="10">
        <f>VLOOKUP(A:A,[2]TDSheet!$A:$B,2,0)</f>
        <v>238</v>
      </c>
      <c r="M19" s="10">
        <f t="shared" si="1"/>
        <v>-22</v>
      </c>
      <c r="N19" s="10"/>
      <c r="O19" s="10">
        <f>VLOOKUP(A:A,[1]TDSheet!$A:$R,18,0)</f>
        <v>0</v>
      </c>
      <c r="P19" s="10">
        <f>VLOOKUP(A:A,[1]TDSheet!$A:$S,19,0)</f>
        <v>0</v>
      </c>
      <c r="Q19" s="10">
        <f>VLOOKUP(A:A,[1]TDSheet!$A:$T,20,0)</f>
        <v>0</v>
      </c>
      <c r="R19" s="10">
        <f>VLOOKUP(A:A,[1]TDSheet!$A:$U,21,0)</f>
        <v>130</v>
      </c>
      <c r="S19" s="10">
        <f>VLOOKUP(A:A,[1]TDSheet!$A:$W,23,0)</f>
        <v>120</v>
      </c>
      <c r="T19" s="10">
        <f t="shared" si="2"/>
        <v>43.2</v>
      </c>
      <c r="U19" s="22">
        <f t="shared" si="3"/>
        <v>130.20000000000005</v>
      </c>
      <c r="V19" s="22"/>
      <c r="W19" s="10"/>
      <c r="X19" s="10">
        <f t="shared" si="4"/>
        <v>11</v>
      </c>
      <c r="Y19" s="10">
        <f t="shared" si="5"/>
        <v>2.199074074074074</v>
      </c>
      <c r="Z19" s="10">
        <f>VLOOKUP(A:A,[1]TDSheet!$A:$AB,28,0)</f>
        <v>44</v>
      </c>
      <c r="AA19" s="10">
        <f>VLOOKUP(A:A,[1]TDSheet!$A:$AC,29,0)</f>
        <v>46.6</v>
      </c>
      <c r="AB19" s="10">
        <f>VLOOKUP(A:A,[1]TDSheet!$A:$AD,30,0)</f>
        <v>48.4</v>
      </c>
      <c r="AC19" s="10">
        <f>VLOOKUP(A:A,[1]TDSheet!$A:$AE,31,0)</f>
        <v>39.6</v>
      </c>
      <c r="AD19" s="10" t="str">
        <f>VLOOKUP(A:A,[1]TDSheet!$A:$AF,32,0)</f>
        <v>Макс</v>
      </c>
      <c r="AE19" s="10">
        <f t="shared" si="6"/>
        <v>22.134000000000011</v>
      </c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</row>
    <row r="20" spans="1:89" ht="11.1" customHeight="1" x14ac:dyDescent="0.2">
      <c r="A20" s="8" t="s">
        <v>20</v>
      </c>
      <c r="B20" s="8" t="s">
        <v>10</v>
      </c>
      <c r="C20" s="9">
        <v>3621.4929999999999</v>
      </c>
      <c r="D20" s="9">
        <v>4452.8280000000004</v>
      </c>
      <c r="E20" s="9">
        <v>4066.4560000000001</v>
      </c>
      <c r="F20" s="9">
        <v>3976.6460000000002</v>
      </c>
      <c r="G20" s="10" t="str">
        <f>VLOOKUP(A:A,[1]TDSheet!$A:$G,7,0)</f>
        <v>P004460</v>
      </c>
      <c r="H20" s="21">
        <f>VLOOKUP(A:A,[1]TDSheet!$A:$H,8,0)</f>
        <v>1</v>
      </c>
      <c r="I20" s="10">
        <f>VLOOKUP(A:A,[1]TDSheet!$A:$I,9,0)</f>
        <v>55</v>
      </c>
      <c r="J20" s="10" t="str">
        <f>VLOOKUP(A:A,[1]TDSheet!$A:$J,10,0)</f>
        <v>матрица</v>
      </c>
      <c r="K20" s="10"/>
      <c r="L20" s="10">
        <f>VLOOKUP(A:A,[2]TDSheet!$A:$B,2,0)</f>
        <v>3901.4</v>
      </c>
      <c r="M20" s="10">
        <f t="shared" si="1"/>
        <v>165.05600000000004</v>
      </c>
      <c r="N20" s="10"/>
      <c r="O20" s="10">
        <f>VLOOKUP(A:A,[1]TDSheet!$A:$R,18,0)</f>
        <v>1000</v>
      </c>
      <c r="P20" s="10">
        <f>VLOOKUP(A:A,[1]TDSheet!$A:$S,19,0)</f>
        <v>1000</v>
      </c>
      <c r="Q20" s="10">
        <f>VLOOKUP(A:A,[1]TDSheet!$A:$T,20,0)</f>
        <v>2000</v>
      </c>
      <c r="R20" s="10">
        <f>VLOOKUP(A:A,[1]TDSheet!$A:$U,21,0)</f>
        <v>0</v>
      </c>
      <c r="S20" s="10">
        <f>VLOOKUP(A:A,[1]TDSheet!$A:$W,23,0)</f>
        <v>500</v>
      </c>
      <c r="T20" s="10">
        <f t="shared" si="2"/>
        <v>813.2912</v>
      </c>
      <c r="U20" s="22">
        <f t="shared" si="3"/>
        <v>469.55719999999928</v>
      </c>
      <c r="V20" s="22"/>
      <c r="W20" s="10"/>
      <c r="X20" s="10">
        <f t="shared" si="4"/>
        <v>11</v>
      </c>
      <c r="Y20" s="10">
        <f t="shared" si="5"/>
        <v>4.8895721483276837</v>
      </c>
      <c r="Z20" s="10">
        <f>VLOOKUP(A:A,[1]TDSheet!$A:$AB,28,0)</f>
        <v>705.12139999999999</v>
      </c>
      <c r="AA20" s="10">
        <f>VLOOKUP(A:A,[1]TDSheet!$A:$AC,29,0)</f>
        <v>789.39300000000003</v>
      </c>
      <c r="AB20" s="10">
        <f>VLOOKUP(A:A,[1]TDSheet!$A:$AD,30,0)</f>
        <v>802.29679999999996</v>
      </c>
      <c r="AC20" s="10">
        <f>VLOOKUP(A:A,[1]TDSheet!$A:$AE,31,0)</f>
        <v>820.04920000000004</v>
      </c>
      <c r="AD20" s="10" t="str">
        <f>VLOOKUP(A:A,[1]TDSheet!$A:$AF,32,0)</f>
        <v>ТМА ПРОДОЛЖЕНИЕ Апрель</v>
      </c>
      <c r="AE20" s="10">
        <f t="shared" si="6"/>
        <v>469.55719999999928</v>
      </c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</row>
    <row r="21" spans="1:89" ht="11.1" customHeight="1" x14ac:dyDescent="0.2">
      <c r="A21" s="8" t="s">
        <v>21</v>
      </c>
      <c r="B21" s="8" t="s">
        <v>10</v>
      </c>
      <c r="C21" s="9">
        <v>3834.2919999999999</v>
      </c>
      <c r="D21" s="9">
        <v>3259.9459999999999</v>
      </c>
      <c r="E21" s="9">
        <v>3614.2310000000002</v>
      </c>
      <c r="F21" s="9">
        <v>3451.7179999999998</v>
      </c>
      <c r="G21" s="10" t="str">
        <f>VLOOKUP(A:A,[1]TDSheet!$A:$G,7,0)</f>
        <v>P002555</v>
      </c>
      <c r="H21" s="21">
        <f>VLOOKUP(A:A,[1]TDSheet!$A:$H,8,0)</f>
        <v>1</v>
      </c>
      <c r="I21" s="10">
        <f>VLOOKUP(A:A,[1]TDSheet!$A:$I,9,0)</f>
        <v>50</v>
      </c>
      <c r="J21" s="10" t="str">
        <f>VLOOKUP(A:A,[1]TDSheet!$A:$J,10,0)</f>
        <v>матрица</v>
      </c>
      <c r="K21" s="10"/>
      <c r="L21" s="10">
        <f>VLOOKUP(A:A,[2]TDSheet!$A:$B,2,0)</f>
        <v>3649.28</v>
      </c>
      <c r="M21" s="10">
        <f t="shared" si="1"/>
        <v>-35.048999999999978</v>
      </c>
      <c r="N21" s="10"/>
      <c r="O21" s="10">
        <f>VLOOKUP(A:A,[1]TDSheet!$A:$R,18,0)</f>
        <v>1000</v>
      </c>
      <c r="P21" s="10">
        <f>VLOOKUP(A:A,[1]TDSheet!$A:$S,19,0)</f>
        <v>1000</v>
      </c>
      <c r="Q21" s="10">
        <f>VLOOKUP(A:A,[1]TDSheet!$A:$T,20,0)</f>
        <v>2100</v>
      </c>
      <c r="R21" s="10">
        <f>VLOOKUP(A:A,[1]TDSheet!$A:$U,21,0)</f>
        <v>0</v>
      </c>
      <c r="S21" s="10">
        <f>VLOOKUP(A:A,[1]TDSheet!$A:$W,23,0)</f>
        <v>1700</v>
      </c>
      <c r="T21" s="10">
        <f t="shared" si="2"/>
        <v>722.84620000000007</v>
      </c>
      <c r="U21" s="22"/>
      <c r="V21" s="22"/>
      <c r="W21" s="10"/>
      <c r="X21" s="10">
        <f t="shared" si="4"/>
        <v>12.799013123400247</v>
      </c>
      <c r="Y21" s="10">
        <f t="shared" si="5"/>
        <v>4.7751762408102847</v>
      </c>
      <c r="Z21" s="10">
        <f>VLOOKUP(A:A,[1]TDSheet!$A:$AB,28,0)</f>
        <v>706.84280000000001</v>
      </c>
      <c r="AA21" s="10">
        <f>VLOOKUP(A:A,[1]TDSheet!$A:$AC,29,0)</f>
        <v>748.38280000000009</v>
      </c>
      <c r="AB21" s="10">
        <f>VLOOKUP(A:A,[1]TDSheet!$A:$AD,30,0)</f>
        <v>655.88239999999996</v>
      </c>
      <c r="AC21" s="10">
        <f>VLOOKUP(A:A,[1]TDSheet!$A:$AE,31,0)</f>
        <v>775.13319999999999</v>
      </c>
      <c r="AD21" s="10" t="str">
        <f>VLOOKUP(A:A,[1]TDSheet!$A:$AF,32,0)</f>
        <v>ТМА ПРОДОЛЖЕНИЕ Апрель</v>
      </c>
      <c r="AE21" s="10">
        <f t="shared" si="6"/>
        <v>0</v>
      </c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</row>
    <row r="22" spans="1:89" ht="11.1" customHeight="1" x14ac:dyDescent="0.2">
      <c r="A22" s="8" t="s">
        <v>22</v>
      </c>
      <c r="B22" s="8" t="s">
        <v>10</v>
      </c>
      <c r="C22" s="9">
        <v>256.786</v>
      </c>
      <c r="D22" s="9">
        <v>181.142</v>
      </c>
      <c r="E22" s="9">
        <v>278.58600000000001</v>
      </c>
      <c r="F22" s="9">
        <v>149.08199999999999</v>
      </c>
      <c r="G22" s="10" t="str">
        <f>VLOOKUP(A:A,[1]TDSheet!$A:$G,7,0)</f>
        <v>P004028</v>
      </c>
      <c r="H22" s="21">
        <f>VLOOKUP(A:A,[1]TDSheet!$A:$H,8,0)</f>
        <v>1</v>
      </c>
      <c r="I22" s="10">
        <f>VLOOKUP(A:A,[1]TDSheet!$A:$I,9,0)</f>
        <v>60</v>
      </c>
      <c r="J22" s="10" t="str">
        <f>VLOOKUP(A:A,[1]TDSheet!$A:$J,10,0)</f>
        <v>матрица</v>
      </c>
      <c r="K22" s="10"/>
      <c r="L22" s="10">
        <f>VLOOKUP(A:A,[2]TDSheet!$A:$B,2,0)</f>
        <v>274.85000000000002</v>
      </c>
      <c r="M22" s="10">
        <f t="shared" si="1"/>
        <v>3.73599999999999</v>
      </c>
      <c r="N22" s="10"/>
      <c r="O22" s="10">
        <f>VLOOKUP(A:A,[1]TDSheet!$A:$R,18,0)</f>
        <v>0</v>
      </c>
      <c r="P22" s="10">
        <f>VLOOKUP(A:A,[1]TDSheet!$A:$S,19,0)</f>
        <v>0</v>
      </c>
      <c r="Q22" s="10">
        <f>VLOOKUP(A:A,[1]TDSheet!$A:$T,20,0)</f>
        <v>0</v>
      </c>
      <c r="R22" s="10">
        <f>VLOOKUP(A:A,[1]TDSheet!$A:$U,21,0)</f>
        <v>180</v>
      </c>
      <c r="S22" s="10">
        <f>VLOOKUP(A:A,[1]TDSheet!$A:$W,23,0)</f>
        <v>100</v>
      </c>
      <c r="T22" s="10">
        <f t="shared" si="2"/>
        <v>55.717200000000005</v>
      </c>
      <c r="U22" s="22">
        <f t="shared" si="3"/>
        <v>183.80720000000008</v>
      </c>
      <c r="V22" s="22"/>
      <c r="W22" s="10"/>
      <c r="X22" s="10">
        <f t="shared" si="4"/>
        <v>11</v>
      </c>
      <c r="Y22" s="10">
        <f t="shared" si="5"/>
        <v>2.6756908100191676</v>
      </c>
      <c r="Z22" s="10">
        <f>VLOOKUP(A:A,[1]TDSheet!$A:$AB,28,0)</f>
        <v>68.611000000000004</v>
      </c>
      <c r="AA22" s="10">
        <f>VLOOKUP(A:A,[1]TDSheet!$A:$AC,29,0)</f>
        <v>50.957799999999999</v>
      </c>
      <c r="AB22" s="10">
        <f>VLOOKUP(A:A,[1]TDSheet!$A:$AD,30,0)</f>
        <v>50.501199999999997</v>
      </c>
      <c r="AC22" s="10">
        <f>VLOOKUP(A:A,[1]TDSheet!$A:$AE,31,0)</f>
        <v>55.050800000000002</v>
      </c>
      <c r="AD22" s="10" t="str">
        <f>VLOOKUP(A:A,[1]TDSheet!$A:$AF,32,0)</f>
        <v>нужно увеличить продажи</v>
      </c>
      <c r="AE22" s="10">
        <f t="shared" si="6"/>
        <v>183.80720000000008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</row>
    <row r="23" spans="1:89" ht="11.1" customHeight="1" x14ac:dyDescent="0.2">
      <c r="A23" s="8" t="s">
        <v>23</v>
      </c>
      <c r="B23" s="8" t="s">
        <v>10</v>
      </c>
      <c r="C23" s="9">
        <v>1713.43</v>
      </c>
      <c r="D23" s="9">
        <v>10</v>
      </c>
      <c r="E23" s="9">
        <v>996.44600000000003</v>
      </c>
      <c r="F23" s="9">
        <v>720.61599999999999</v>
      </c>
      <c r="G23" s="10" t="str">
        <f>VLOOKUP(A:A,[1]TDSheet!$A:$G,7,0)</f>
        <v>P005077</v>
      </c>
      <c r="H23" s="21">
        <f>VLOOKUP(A:A,[1]TDSheet!$A:$H,8,0)</f>
        <v>1</v>
      </c>
      <c r="I23" s="10">
        <f>VLOOKUP(A:A,[1]TDSheet!$A:$I,9,0)</f>
        <v>60</v>
      </c>
      <c r="J23" s="10" t="str">
        <f>VLOOKUP(A:A,[1]TDSheet!$A:$J,10,0)</f>
        <v>матрица</v>
      </c>
      <c r="K23" s="10"/>
      <c r="L23" s="10">
        <f>VLOOKUP(A:A,[2]TDSheet!$A:$B,2,0)</f>
        <v>1023.4</v>
      </c>
      <c r="M23" s="10">
        <f t="shared" si="1"/>
        <v>-26.953999999999951</v>
      </c>
      <c r="N23" s="10"/>
      <c r="O23" s="10">
        <f>VLOOKUP(A:A,[1]TDSheet!$A:$R,18,0)</f>
        <v>0</v>
      </c>
      <c r="P23" s="10">
        <f>VLOOKUP(A:A,[1]TDSheet!$A:$S,19,0)</f>
        <v>0</v>
      </c>
      <c r="Q23" s="10">
        <f>VLOOKUP(A:A,[1]TDSheet!$A:$T,20,0)</f>
        <v>0</v>
      </c>
      <c r="R23" s="10">
        <f>VLOOKUP(A:A,[1]TDSheet!$A:$U,21,0)</f>
        <v>100</v>
      </c>
      <c r="S23" s="10">
        <f>VLOOKUP(A:A,[1]TDSheet!$A:$W,23,0)</f>
        <v>620</v>
      </c>
      <c r="T23" s="10">
        <f t="shared" si="2"/>
        <v>199.28919999999999</v>
      </c>
      <c r="U23" s="22">
        <f t="shared" si="3"/>
        <v>751.5652</v>
      </c>
      <c r="V23" s="22"/>
      <c r="W23" s="10"/>
      <c r="X23" s="10">
        <f t="shared" si="4"/>
        <v>11</v>
      </c>
      <c r="Y23" s="10">
        <f t="shared" si="5"/>
        <v>3.615931018840961</v>
      </c>
      <c r="Z23" s="10">
        <f>VLOOKUP(A:A,[1]TDSheet!$A:$AB,28,0)</f>
        <v>315.32100000000003</v>
      </c>
      <c r="AA23" s="10">
        <f>VLOOKUP(A:A,[1]TDSheet!$A:$AC,29,0)</f>
        <v>286.202</v>
      </c>
      <c r="AB23" s="10">
        <f>VLOOKUP(A:A,[1]TDSheet!$A:$AD,30,0)</f>
        <v>141.9708</v>
      </c>
      <c r="AC23" s="10">
        <f>VLOOKUP(A:A,[1]TDSheet!$A:$AE,31,0)</f>
        <v>164.84039999999999</v>
      </c>
      <c r="AD23" s="10" t="str">
        <f>VLOOKUP(A:A,[1]TDSheet!$A:$AF,32,0)</f>
        <v>увел продажи</v>
      </c>
      <c r="AE23" s="10">
        <f t="shared" si="6"/>
        <v>751.5652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</row>
    <row r="24" spans="1:89" ht="21.95" customHeight="1" x14ac:dyDescent="0.2">
      <c r="A24" s="8" t="s">
        <v>24</v>
      </c>
      <c r="B24" s="8" t="s">
        <v>10</v>
      </c>
      <c r="C24" s="9">
        <v>14.458</v>
      </c>
      <c r="D24" s="9"/>
      <c r="E24" s="9">
        <v>3.0819999999999999</v>
      </c>
      <c r="F24" s="9">
        <v>5.7460000000000004</v>
      </c>
      <c r="G24" s="10" t="str">
        <f>VLOOKUP(A:A,[1]TDSheet!$A:$G,7,0)</f>
        <v>P001900</v>
      </c>
      <c r="H24" s="21">
        <f>VLOOKUP(A:A,[1]TDSheet!$A:$H,8,0)</f>
        <v>1</v>
      </c>
      <c r="I24" s="10">
        <f>VLOOKUP(A:A,[1]TDSheet!$A:$I,9,0)</f>
        <v>180</v>
      </c>
      <c r="J24" s="10" t="str">
        <f>VLOOKUP(A:A,[1]TDSheet!$A:$J,10,0)</f>
        <v>матрица</v>
      </c>
      <c r="K24" s="10"/>
      <c r="L24" s="10">
        <f>VLOOKUP(A:A,[2]TDSheet!$A:$B,2,0)</f>
        <v>8.08</v>
      </c>
      <c r="M24" s="10">
        <f t="shared" si="1"/>
        <v>-4.9980000000000002</v>
      </c>
      <c r="N24" s="10"/>
      <c r="O24" s="10">
        <f>VLOOKUP(A:A,[1]TDSheet!$A:$R,18,0)</f>
        <v>0</v>
      </c>
      <c r="P24" s="10">
        <f>VLOOKUP(A:A,[1]TDSheet!$A:$S,19,0)</f>
        <v>0</v>
      </c>
      <c r="Q24" s="10">
        <f>VLOOKUP(A:A,[1]TDSheet!$A:$T,20,0)</f>
        <v>0</v>
      </c>
      <c r="R24" s="10">
        <f>VLOOKUP(A:A,[1]TDSheet!$A:$U,21,0)</f>
        <v>0</v>
      </c>
      <c r="S24" s="10">
        <f>VLOOKUP(A:A,[1]TDSheet!$A:$W,23,0)</f>
        <v>0</v>
      </c>
      <c r="T24" s="10">
        <f t="shared" si="2"/>
        <v>0.61639999999999995</v>
      </c>
      <c r="U24" s="22"/>
      <c r="V24" s="22"/>
      <c r="W24" s="10"/>
      <c r="X24" s="10">
        <f t="shared" si="4"/>
        <v>9.3218689162881265</v>
      </c>
      <c r="Y24" s="10">
        <f t="shared" si="5"/>
        <v>9.3218689162881265</v>
      </c>
      <c r="Z24" s="10">
        <f>VLOOKUP(A:A,[1]TDSheet!$A:$AB,28,0)</f>
        <v>1.0631999999999999</v>
      </c>
      <c r="AA24" s="10">
        <f>VLOOKUP(A:A,[1]TDSheet!$A:$AC,29,0)</f>
        <v>0.13979999999999998</v>
      </c>
      <c r="AB24" s="10">
        <f>VLOOKUP(A:A,[1]TDSheet!$A:$AD,30,0)</f>
        <v>0.50239999999999996</v>
      </c>
      <c r="AC24" s="10">
        <f>VLOOKUP(A:A,[1]TDSheet!$A:$AE,31,0)</f>
        <v>1.3557999999999999</v>
      </c>
      <c r="AD24" s="10">
        <f>VLOOKUP(A:A,[1]TDSheet!$A:$AF,32,0)</f>
        <v>0</v>
      </c>
      <c r="AE24" s="10">
        <f t="shared" si="6"/>
        <v>0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</row>
    <row r="25" spans="1:89" ht="11.1" customHeight="1" x14ac:dyDescent="0.2">
      <c r="A25" s="8" t="s">
        <v>25</v>
      </c>
      <c r="B25" s="8" t="s">
        <v>10</v>
      </c>
      <c r="C25" s="9">
        <v>3471.7640000000001</v>
      </c>
      <c r="D25" s="9">
        <v>5876.4139999999998</v>
      </c>
      <c r="E25" s="9">
        <v>4633.2420000000002</v>
      </c>
      <c r="F25" s="9">
        <v>4683.2020000000002</v>
      </c>
      <c r="G25" s="10" t="str">
        <f>VLOOKUP(A:A,[1]TDSheet!$A:$G,7,0)</f>
        <v>P004030</v>
      </c>
      <c r="H25" s="21">
        <f>VLOOKUP(A:A,[1]TDSheet!$A:$H,8,0)</f>
        <v>1</v>
      </c>
      <c r="I25" s="10">
        <f>VLOOKUP(A:A,[1]TDSheet!$A:$I,9,0)</f>
        <v>60</v>
      </c>
      <c r="J25" s="10" t="str">
        <f>VLOOKUP(A:A,[1]TDSheet!$A:$J,10,0)</f>
        <v>матрица</v>
      </c>
      <c r="K25" s="10"/>
      <c r="L25" s="10">
        <f>VLOOKUP(A:A,[2]TDSheet!$A:$B,2,0)</f>
        <v>4513.8919999999998</v>
      </c>
      <c r="M25" s="10">
        <f t="shared" si="1"/>
        <v>119.35000000000036</v>
      </c>
      <c r="N25" s="10"/>
      <c r="O25" s="10">
        <f>VLOOKUP(A:A,[1]TDSheet!$A:$R,18,0)</f>
        <v>1000</v>
      </c>
      <c r="P25" s="10">
        <f>VLOOKUP(A:A,[1]TDSheet!$A:$S,19,0)</f>
        <v>1000</v>
      </c>
      <c r="Q25" s="10">
        <f>VLOOKUP(A:A,[1]TDSheet!$A:$T,20,0)</f>
        <v>2000</v>
      </c>
      <c r="R25" s="10">
        <f>VLOOKUP(A:A,[1]TDSheet!$A:$U,21,0)</f>
        <v>0</v>
      </c>
      <c r="S25" s="10">
        <f>VLOOKUP(A:A,[1]TDSheet!$A:$W,23,0)</f>
        <v>700</v>
      </c>
      <c r="T25" s="10">
        <f t="shared" si="2"/>
        <v>926.64840000000004</v>
      </c>
      <c r="U25" s="22">
        <f t="shared" si="3"/>
        <v>809.93040000000019</v>
      </c>
      <c r="V25" s="22"/>
      <c r="W25" s="10"/>
      <c r="X25" s="10">
        <f t="shared" si="4"/>
        <v>11.000000000000002</v>
      </c>
      <c r="Y25" s="10">
        <f t="shared" si="5"/>
        <v>5.0539147318443547</v>
      </c>
      <c r="Z25" s="10">
        <f>VLOOKUP(A:A,[1]TDSheet!$A:$AB,28,0)</f>
        <v>875.15440000000001</v>
      </c>
      <c r="AA25" s="10">
        <f>VLOOKUP(A:A,[1]TDSheet!$A:$AC,29,0)</f>
        <v>870.96839999999997</v>
      </c>
      <c r="AB25" s="10">
        <f>VLOOKUP(A:A,[1]TDSheet!$A:$AD,30,0)</f>
        <v>923.96080000000006</v>
      </c>
      <c r="AC25" s="10">
        <f>VLOOKUP(A:A,[1]TDSheet!$A:$AE,31,0)</f>
        <v>848.45480000000009</v>
      </c>
      <c r="AD25" s="10" t="str">
        <f>VLOOKUP(A:A,[1]TDSheet!$A:$AF,32,0)</f>
        <v>ТМА Апрель</v>
      </c>
      <c r="AE25" s="10">
        <f t="shared" si="6"/>
        <v>809.93040000000019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</row>
    <row r="26" spans="1:89" ht="11.1" customHeight="1" x14ac:dyDescent="0.2">
      <c r="A26" s="8" t="s">
        <v>26</v>
      </c>
      <c r="B26" s="8" t="s">
        <v>10</v>
      </c>
      <c r="C26" s="9">
        <v>612.76900000000001</v>
      </c>
      <c r="D26" s="9">
        <v>3.5550000000000002</v>
      </c>
      <c r="E26" s="9">
        <v>446.459</v>
      </c>
      <c r="F26" s="9">
        <v>165.858</v>
      </c>
      <c r="G26" s="10" t="str">
        <f>VLOOKUP(A:A,[1]TDSheet!$A:$G,7,0)</f>
        <v>P004465</v>
      </c>
      <c r="H26" s="21">
        <f>VLOOKUP(A:A,[1]TDSheet!$A:$H,8,0)</f>
        <v>1</v>
      </c>
      <c r="I26" s="10">
        <f>VLOOKUP(A:A,[1]TDSheet!$A:$I,9,0)</f>
        <v>60</v>
      </c>
      <c r="J26" s="10" t="str">
        <f>VLOOKUP(A:A,[1]TDSheet!$A:$J,10,0)</f>
        <v>матрица</v>
      </c>
      <c r="K26" s="10"/>
      <c r="L26" s="10">
        <f>VLOOKUP(A:A,[2]TDSheet!$A:$B,2,0)</f>
        <v>436.45</v>
      </c>
      <c r="M26" s="10">
        <f t="shared" si="1"/>
        <v>10.009000000000015</v>
      </c>
      <c r="N26" s="10"/>
      <c r="O26" s="10">
        <f>VLOOKUP(A:A,[1]TDSheet!$A:$R,18,0)</f>
        <v>0</v>
      </c>
      <c r="P26" s="10">
        <f>VLOOKUP(A:A,[1]TDSheet!$A:$S,19,0)</f>
        <v>0</v>
      </c>
      <c r="Q26" s="10">
        <f>VLOOKUP(A:A,[1]TDSheet!$A:$T,20,0)</f>
        <v>0</v>
      </c>
      <c r="R26" s="10">
        <f>VLOOKUP(A:A,[1]TDSheet!$A:$U,21,0)</f>
        <v>230</v>
      </c>
      <c r="S26" s="10">
        <f>VLOOKUP(A:A,[1]TDSheet!$A:$W,23,0)</f>
        <v>400</v>
      </c>
      <c r="T26" s="10">
        <f t="shared" si="2"/>
        <v>89.291799999999995</v>
      </c>
      <c r="U26" s="22">
        <f t="shared" si="3"/>
        <v>186.35179999999991</v>
      </c>
      <c r="V26" s="22"/>
      <c r="W26" s="10"/>
      <c r="X26" s="10">
        <f t="shared" si="4"/>
        <v>10.999999999999998</v>
      </c>
      <c r="Y26" s="10">
        <f t="shared" si="5"/>
        <v>1.857482993959132</v>
      </c>
      <c r="Z26" s="10">
        <f>VLOOKUP(A:A,[1]TDSheet!$A:$AB,28,0)</f>
        <v>91.848800000000011</v>
      </c>
      <c r="AA26" s="10">
        <f>VLOOKUP(A:A,[1]TDSheet!$A:$AC,29,0)</f>
        <v>109.94359999999999</v>
      </c>
      <c r="AB26" s="10">
        <f>VLOOKUP(A:A,[1]TDSheet!$A:$AD,30,0)</f>
        <v>85.954800000000006</v>
      </c>
      <c r="AC26" s="10">
        <f>VLOOKUP(A:A,[1]TDSheet!$A:$AE,31,0)</f>
        <v>76.566000000000003</v>
      </c>
      <c r="AD26" s="10">
        <f>VLOOKUP(A:A,[1]TDSheet!$A:$AF,32,0)</f>
        <v>0</v>
      </c>
      <c r="AE26" s="10">
        <f t="shared" si="6"/>
        <v>186.35179999999991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</row>
    <row r="27" spans="1:89" ht="21.95" customHeight="1" x14ac:dyDescent="0.2">
      <c r="A27" s="8" t="s">
        <v>27</v>
      </c>
      <c r="B27" s="8" t="s">
        <v>10</v>
      </c>
      <c r="C27" s="9">
        <v>1196.1510000000001</v>
      </c>
      <c r="D27" s="9">
        <v>1299.011</v>
      </c>
      <c r="E27" s="9">
        <v>1348.3679999999999</v>
      </c>
      <c r="F27" s="9">
        <v>1127.48</v>
      </c>
      <c r="G27" s="10" t="str">
        <f>VLOOKUP(A:A,[1]TDSheet!$A:$G,7,0)</f>
        <v>P004466</v>
      </c>
      <c r="H27" s="21">
        <f>VLOOKUP(A:A,[1]TDSheet!$A:$H,8,0)</f>
        <v>1</v>
      </c>
      <c r="I27" s="10">
        <f>VLOOKUP(A:A,[1]TDSheet!$A:$I,9,0)</f>
        <v>60</v>
      </c>
      <c r="J27" s="10" t="str">
        <f>VLOOKUP(A:A,[1]TDSheet!$A:$J,10,0)</f>
        <v>матрица</v>
      </c>
      <c r="K27" s="10"/>
      <c r="L27" s="10">
        <f>VLOOKUP(A:A,[2]TDSheet!$A:$B,2,0)</f>
        <v>1312.4</v>
      </c>
      <c r="M27" s="10">
        <f t="shared" si="1"/>
        <v>35.967999999999847</v>
      </c>
      <c r="N27" s="10"/>
      <c r="O27" s="10">
        <f>VLOOKUP(A:A,[1]TDSheet!$A:$R,18,0)</f>
        <v>0</v>
      </c>
      <c r="P27" s="10">
        <f>VLOOKUP(A:A,[1]TDSheet!$A:$S,19,0)</f>
        <v>0</v>
      </c>
      <c r="Q27" s="10">
        <f>VLOOKUP(A:A,[1]TDSheet!$A:$T,20,0)</f>
        <v>0</v>
      </c>
      <c r="R27" s="10">
        <f>VLOOKUP(A:A,[1]TDSheet!$A:$U,21,0)</f>
        <v>1400</v>
      </c>
      <c r="S27" s="10">
        <f>VLOOKUP(A:A,[1]TDSheet!$A:$W,23,0)</f>
        <v>180</v>
      </c>
      <c r="T27" s="10">
        <f t="shared" si="2"/>
        <v>269.67359999999996</v>
      </c>
      <c r="U27" s="22">
        <f t="shared" si="3"/>
        <v>258.92959999999948</v>
      </c>
      <c r="V27" s="22"/>
      <c r="W27" s="10"/>
      <c r="X27" s="10">
        <f t="shared" si="4"/>
        <v>11</v>
      </c>
      <c r="Y27" s="10">
        <f t="shared" si="5"/>
        <v>4.1809061027849967</v>
      </c>
      <c r="Z27" s="10">
        <f>VLOOKUP(A:A,[1]TDSheet!$A:$AB,28,0)</f>
        <v>231.08519999999999</v>
      </c>
      <c r="AA27" s="10">
        <f>VLOOKUP(A:A,[1]TDSheet!$A:$AC,29,0)</f>
        <v>233.071</v>
      </c>
      <c r="AB27" s="10">
        <f>VLOOKUP(A:A,[1]TDSheet!$A:$AD,30,0)</f>
        <v>257.7124</v>
      </c>
      <c r="AC27" s="10">
        <f>VLOOKUP(A:A,[1]TDSheet!$A:$AE,31,0)</f>
        <v>251.00020000000001</v>
      </c>
      <c r="AD27" s="10" t="str">
        <f>VLOOKUP(A:A,[1]TDSheet!$A:$AF,32,0)</f>
        <v>ТМА ПРОДОЛЖЕНИЕ Апрель</v>
      </c>
      <c r="AE27" s="10">
        <f t="shared" si="6"/>
        <v>258.92959999999948</v>
      </c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</row>
    <row r="28" spans="1:89" ht="11.1" customHeight="1" x14ac:dyDescent="0.2">
      <c r="A28" s="8" t="s">
        <v>28</v>
      </c>
      <c r="B28" s="8" t="s">
        <v>10</v>
      </c>
      <c r="C28" s="9">
        <v>1761.62</v>
      </c>
      <c r="D28" s="9">
        <v>1462.9490000000001</v>
      </c>
      <c r="E28" s="9">
        <v>2509.3049999999998</v>
      </c>
      <c r="F28" s="9">
        <v>568.43799999999999</v>
      </c>
      <c r="G28" s="10" t="str">
        <f>VLOOKUP(A:A,[1]TDSheet!$A:$G,7,0)</f>
        <v>P004470</v>
      </c>
      <c r="H28" s="21">
        <f>VLOOKUP(A:A,[1]TDSheet!$A:$H,8,0)</f>
        <v>1</v>
      </c>
      <c r="I28" s="10">
        <f>VLOOKUP(A:A,[1]TDSheet!$A:$I,9,0)</f>
        <v>60</v>
      </c>
      <c r="J28" s="10" t="str">
        <f>VLOOKUP(A:A,[1]TDSheet!$A:$J,10,0)</f>
        <v>матрица</v>
      </c>
      <c r="K28" s="10"/>
      <c r="L28" s="10">
        <f>VLOOKUP(A:A,[2]TDSheet!$A:$B,2,0)</f>
        <v>2551.6460000000002</v>
      </c>
      <c r="M28" s="10">
        <f t="shared" si="1"/>
        <v>-42.341000000000349</v>
      </c>
      <c r="N28" s="10"/>
      <c r="O28" s="10">
        <f>VLOOKUP(A:A,[1]TDSheet!$A:$R,18,0)</f>
        <v>300</v>
      </c>
      <c r="P28" s="10">
        <f>VLOOKUP(A:A,[1]TDSheet!$A:$S,19,0)</f>
        <v>400</v>
      </c>
      <c r="Q28" s="10">
        <f>VLOOKUP(A:A,[1]TDSheet!$A:$T,20,0)</f>
        <v>400</v>
      </c>
      <c r="R28" s="10">
        <f>VLOOKUP(A:A,[1]TDSheet!$A:$U,21,0)</f>
        <v>0</v>
      </c>
      <c r="S28" s="10">
        <f>VLOOKUP(A:A,[1]TDSheet!$A:$W,23,0)</f>
        <v>1350</v>
      </c>
      <c r="T28" s="10">
        <f t="shared" si="2"/>
        <v>501.86099999999999</v>
      </c>
      <c r="U28" s="22">
        <f t="shared" si="3"/>
        <v>2502.0329999999994</v>
      </c>
      <c r="V28" s="22"/>
      <c r="W28" s="10"/>
      <c r="X28" s="10">
        <f t="shared" si="4"/>
        <v>11</v>
      </c>
      <c r="Y28" s="10">
        <f t="shared" si="5"/>
        <v>1.1326602385919606</v>
      </c>
      <c r="Z28" s="10">
        <f>VLOOKUP(A:A,[1]TDSheet!$A:$AB,28,0)</f>
        <v>425.32319999999999</v>
      </c>
      <c r="AA28" s="10">
        <f>VLOOKUP(A:A,[1]TDSheet!$A:$AC,29,0)</f>
        <v>412.91019999999997</v>
      </c>
      <c r="AB28" s="10">
        <f>VLOOKUP(A:A,[1]TDSheet!$A:$AD,30,0)</f>
        <v>446.06419999999997</v>
      </c>
      <c r="AC28" s="10">
        <f>VLOOKUP(A:A,[1]TDSheet!$A:$AE,31,0)</f>
        <v>403.29660000000001</v>
      </c>
      <c r="AD28" s="10" t="str">
        <f>VLOOKUP(A:A,[1]TDSheet!$A:$AF,32,0)</f>
        <v>ТМА ПРОДОЛЖЕНИЕ МАРТ</v>
      </c>
      <c r="AE28" s="10">
        <f t="shared" si="6"/>
        <v>2502.0329999999994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</row>
    <row r="29" spans="1:89" ht="11.1" customHeight="1" x14ac:dyDescent="0.2">
      <c r="A29" s="8" t="s">
        <v>29</v>
      </c>
      <c r="B29" s="8" t="s">
        <v>10</v>
      </c>
      <c r="C29" s="9">
        <v>18.138000000000002</v>
      </c>
      <c r="D29" s="9">
        <v>2.9020000000000001</v>
      </c>
      <c r="E29" s="9">
        <v>13.069000000000001</v>
      </c>
      <c r="F29" s="9">
        <v>3.222</v>
      </c>
      <c r="G29" s="10" t="str">
        <f>VLOOKUP(A:A,[1]TDSheet!$A:$G,7,0)</f>
        <v>P003013</v>
      </c>
      <c r="H29" s="21">
        <f>VLOOKUP(A:A,[1]TDSheet!$A:$H,8,0)</f>
        <v>1</v>
      </c>
      <c r="I29" s="10">
        <f>VLOOKUP(A:A,[1]TDSheet!$A:$I,9,0)</f>
        <v>0</v>
      </c>
      <c r="J29" s="10">
        <f>VLOOKUP(A:A,[1]TDSheet!$A:$J,10,0)</f>
        <v>0</v>
      </c>
      <c r="K29" s="10"/>
      <c r="L29" s="10">
        <f>VLOOKUP(A:A,[2]TDSheet!$A:$B,2,0)</f>
        <v>43.1</v>
      </c>
      <c r="M29" s="10">
        <f t="shared" si="1"/>
        <v>-30.030999999999999</v>
      </c>
      <c r="N29" s="10"/>
      <c r="O29" s="10">
        <f>VLOOKUP(A:A,[1]TDSheet!$A:$R,18,0)</f>
        <v>0</v>
      </c>
      <c r="P29" s="10">
        <f>VLOOKUP(A:A,[1]TDSheet!$A:$S,19,0)</f>
        <v>0</v>
      </c>
      <c r="Q29" s="10">
        <f>VLOOKUP(A:A,[1]TDSheet!$A:$T,20,0)</f>
        <v>0</v>
      </c>
      <c r="R29" s="10">
        <f>VLOOKUP(A:A,[1]TDSheet!$A:$U,21,0)</f>
        <v>110</v>
      </c>
      <c r="S29" s="10">
        <f>VLOOKUP(A:A,[1]TDSheet!$A:$W,23,0)</f>
        <v>0</v>
      </c>
      <c r="T29" s="10">
        <f t="shared" si="2"/>
        <v>2.6138000000000003</v>
      </c>
      <c r="U29" s="22"/>
      <c r="V29" s="22"/>
      <c r="W29" s="10"/>
      <c r="X29" s="10">
        <f t="shared" si="4"/>
        <v>43.317009717652454</v>
      </c>
      <c r="Y29" s="10">
        <f t="shared" si="5"/>
        <v>1.2326880404009486</v>
      </c>
      <c r="Z29" s="10">
        <f>VLOOKUP(A:A,[1]TDSheet!$A:$AB,28,0)</f>
        <v>0.58140000000000003</v>
      </c>
      <c r="AA29" s="10">
        <f>VLOOKUP(A:A,[1]TDSheet!$A:$AC,29,0)</f>
        <v>9.3971999999999998</v>
      </c>
      <c r="AB29" s="10">
        <f>VLOOKUP(A:A,[1]TDSheet!$A:$AD,30,0)</f>
        <v>6.6224000000000007</v>
      </c>
      <c r="AC29" s="10">
        <f>VLOOKUP(A:A,[1]TDSheet!$A:$AE,31,0)</f>
        <v>11.1754</v>
      </c>
      <c r="AD29" s="10" t="e">
        <f>VLOOKUP(A:A,[1]TDSheet!$A:$AF,32,0)</f>
        <v>#N/A</v>
      </c>
      <c r="AE29" s="10">
        <f t="shared" si="6"/>
        <v>0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</row>
    <row r="30" spans="1:89" ht="11.1" customHeight="1" x14ac:dyDescent="0.2">
      <c r="A30" s="8" t="s">
        <v>30</v>
      </c>
      <c r="B30" s="8" t="s">
        <v>10</v>
      </c>
      <c r="C30" s="9">
        <v>4035.4110000000001</v>
      </c>
      <c r="D30" s="9">
        <v>2410.3510000000001</v>
      </c>
      <c r="E30" s="9">
        <v>2193.7800000000002</v>
      </c>
      <c r="F30" s="9">
        <v>4198.9759999999997</v>
      </c>
      <c r="G30" s="10" t="str">
        <f>VLOOKUP(A:A,[1]TDSheet!$A:$G,7,0)</f>
        <v>P002536</v>
      </c>
      <c r="H30" s="21">
        <f>VLOOKUP(A:A,[1]TDSheet!$A:$H,8,0)</f>
        <v>1</v>
      </c>
      <c r="I30" s="10">
        <f>VLOOKUP(A:A,[1]TDSheet!$A:$I,9,0)</f>
        <v>30</v>
      </c>
      <c r="J30" s="10" t="str">
        <f>VLOOKUP(A:A,[1]TDSheet!$A:$J,10,0)</f>
        <v>матрица</v>
      </c>
      <c r="K30" s="10"/>
      <c r="L30" s="10">
        <f>VLOOKUP(A:A,[2]TDSheet!$A:$B,2,0)</f>
        <v>2345.0219999999999</v>
      </c>
      <c r="M30" s="10">
        <f t="shared" si="1"/>
        <v>-151.24199999999973</v>
      </c>
      <c r="N30" s="10"/>
      <c r="O30" s="10">
        <f>VLOOKUP(A:A,[1]TDSheet!$A:$R,18,0)</f>
        <v>800</v>
      </c>
      <c r="P30" s="10">
        <f>VLOOKUP(A:A,[1]TDSheet!$A:$S,19,0)</f>
        <v>800</v>
      </c>
      <c r="Q30" s="10">
        <f>VLOOKUP(A:A,[1]TDSheet!$A:$T,20,0)</f>
        <v>900</v>
      </c>
      <c r="R30" s="10">
        <f>VLOOKUP(A:A,[1]TDSheet!$A:$U,21,0)</f>
        <v>0</v>
      </c>
      <c r="S30" s="10">
        <f>VLOOKUP(A:A,[1]TDSheet!$A:$W,23,0)</f>
        <v>0</v>
      </c>
      <c r="T30" s="10">
        <f t="shared" si="2"/>
        <v>438.75600000000003</v>
      </c>
      <c r="U30" s="22"/>
      <c r="V30" s="22"/>
      <c r="W30" s="10"/>
      <c r="X30" s="10">
        <f t="shared" si="4"/>
        <v>15.268112572819515</v>
      </c>
      <c r="Y30" s="10">
        <f t="shared" si="5"/>
        <v>9.5701847951936827</v>
      </c>
      <c r="Z30" s="10">
        <f>VLOOKUP(A:A,[1]TDSheet!$A:$AB,28,0)</f>
        <v>67.332399999999993</v>
      </c>
      <c r="AA30" s="10">
        <f>VLOOKUP(A:A,[1]TDSheet!$A:$AC,29,0)</f>
        <v>-3.8862000000000001</v>
      </c>
      <c r="AB30" s="10">
        <f>VLOOKUP(A:A,[1]TDSheet!$A:$AD,30,0)</f>
        <v>293.17079999999999</v>
      </c>
      <c r="AC30" s="10">
        <f>VLOOKUP(A:A,[1]TDSheet!$A:$AE,31,0)</f>
        <v>592.37</v>
      </c>
      <c r="AD30" s="10" t="str">
        <f>VLOOKUP(A:A,[1]TDSheet!$A:$AF,32,0)</f>
        <v>ТМА ПРОДОЛЖЕНИЕ Апрель</v>
      </c>
      <c r="AE30" s="10">
        <f t="shared" si="6"/>
        <v>0</v>
      </c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</row>
    <row r="31" spans="1:89" ht="11.1" customHeight="1" x14ac:dyDescent="0.2">
      <c r="A31" s="8" t="s">
        <v>31</v>
      </c>
      <c r="B31" s="8" t="s">
        <v>10</v>
      </c>
      <c r="C31" s="9">
        <v>59.137999999999998</v>
      </c>
      <c r="D31" s="9"/>
      <c r="E31" s="9">
        <v>43.844000000000001</v>
      </c>
      <c r="F31" s="9">
        <v>7.6619999999999999</v>
      </c>
      <c r="G31" s="10" t="str">
        <f>VLOOKUP(A:A,[1]TDSheet!$A:$G,7,0)</f>
        <v>P002209</v>
      </c>
      <c r="H31" s="21">
        <f>VLOOKUP(A:A,[1]TDSheet!$A:$H,8,0)</f>
        <v>1</v>
      </c>
      <c r="I31" s="10">
        <f>VLOOKUP(A:A,[1]TDSheet!$A:$I,9,0)</f>
        <v>0</v>
      </c>
      <c r="J31" s="10">
        <f>VLOOKUP(A:A,[1]TDSheet!$A:$J,10,0)</f>
        <v>0</v>
      </c>
      <c r="K31" s="10"/>
      <c r="L31" s="10">
        <f>VLOOKUP(A:A,[2]TDSheet!$A:$B,2,0)</f>
        <v>51.3</v>
      </c>
      <c r="M31" s="10">
        <f t="shared" si="1"/>
        <v>-7.455999999999996</v>
      </c>
      <c r="N31" s="10"/>
      <c r="O31" s="10">
        <f>VLOOKUP(A:A,[1]TDSheet!$A:$R,18,0)</f>
        <v>0</v>
      </c>
      <c r="P31" s="10">
        <f>VLOOKUP(A:A,[1]TDSheet!$A:$S,19,0)</f>
        <v>0</v>
      </c>
      <c r="Q31" s="10">
        <f>VLOOKUP(A:A,[1]TDSheet!$A:$T,20,0)</f>
        <v>0</v>
      </c>
      <c r="R31" s="10">
        <f>VLOOKUP(A:A,[1]TDSheet!$A:$U,21,0)</f>
        <v>20</v>
      </c>
      <c r="S31" s="10">
        <f>VLOOKUP(A:A,[1]TDSheet!$A:$W,23,0)</f>
        <v>0</v>
      </c>
      <c r="T31" s="10">
        <f t="shared" si="2"/>
        <v>8.7688000000000006</v>
      </c>
      <c r="U31" s="22">
        <f t="shared" si="3"/>
        <v>68.794799999999995</v>
      </c>
      <c r="V31" s="22"/>
      <c r="W31" s="10"/>
      <c r="X31" s="10">
        <f t="shared" si="4"/>
        <v>10.999999999999998</v>
      </c>
      <c r="Y31" s="10">
        <f t="shared" si="5"/>
        <v>0.87377976462001639</v>
      </c>
      <c r="Z31" s="10">
        <f>VLOOKUP(A:A,[1]TDSheet!$A:$AB,28,0)</f>
        <v>0.80719999999999992</v>
      </c>
      <c r="AA31" s="10">
        <f>VLOOKUP(A:A,[1]TDSheet!$A:$AC,29,0)</f>
        <v>9.4638000000000009</v>
      </c>
      <c r="AB31" s="10">
        <f>VLOOKUP(A:A,[1]TDSheet!$A:$AD,30,0)</f>
        <v>4.7930000000000001</v>
      </c>
      <c r="AC31" s="10">
        <f>VLOOKUP(A:A,[1]TDSheet!$A:$AE,31,0)</f>
        <v>6.9644000000000004</v>
      </c>
      <c r="AD31" s="10" t="e">
        <f>VLOOKUP(A:A,[1]TDSheet!$A:$AF,32,0)</f>
        <v>#N/A</v>
      </c>
      <c r="AE31" s="10">
        <f t="shared" si="6"/>
        <v>68.794799999999995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</row>
    <row r="32" spans="1:89" ht="21.95" customHeight="1" x14ac:dyDescent="0.2">
      <c r="A32" s="8" t="s">
        <v>32</v>
      </c>
      <c r="B32" s="8" t="s">
        <v>10</v>
      </c>
      <c r="C32" s="9">
        <v>5873.2839999999997</v>
      </c>
      <c r="D32" s="9">
        <v>8056.7690000000002</v>
      </c>
      <c r="E32" s="9">
        <v>7373.5770000000002</v>
      </c>
      <c r="F32" s="9">
        <v>6504.7240000000002</v>
      </c>
      <c r="G32" s="10" t="str">
        <f>VLOOKUP(A:A,[1]TDSheet!$A:$G,7,0)</f>
        <v>P004844</v>
      </c>
      <c r="H32" s="21">
        <f>VLOOKUP(A:A,[1]TDSheet!$A:$H,8,0)</f>
        <v>1</v>
      </c>
      <c r="I32" s="10">
        <f>VLOOKUP(A:A,[1]TDSheet!$A:$I,9,0)</f>
        <v>0</v>
      </c>
      <c r="J32" s="10">
        <f>VLOOKUP(A:A,[1]TDSheet!$A:$J,10,0)</f>
        <v>0</v>
      </c>
      <c r="K32" s="10"/>
      <c r="L32" s="10">
        <f>VLOOKUP(A:A,[2]TDSheet!$A:$B,2,0)</f>
        <v>6830.3040000000001</v>
      </c>
      <c r="M32" s="10">
        <f t="shared" si="1"/>
        <v>543.27300000000014</v>
      </c>
      <c r="N32" s="10"/>
      <c r="O32" s="10">
        <f>VLOOKUP(A:A,[1]TDSheet!$A:$R,18,0)</f>
        <v>3000</v>
      </c>
      <c r="P32" s="10">
        <f>VLOOKUP(A:A,[1]TDSheet!$A:$S,19,0)</f>
        <v>1200</v>
      </c>
      <c r="Q32" s="10">
        <f>VLOOKUP(A:A,[1]TDSheet!$A:$T,20,0)</f>
        <v>4300</v>
      </c>
      <c r="R32" s="10">
        <f>VLOOKUP(A:A,[1]TDSheet!$A:$U,21,0)</f>
        <v>0</v>
      </c>
      <c r="S32" s="10">
        <f>VLOOKUP(A:A,[1]TDSheet!$A:$W,23,0)</f>
        <v>0</v>
      </c>
      <c r="T32" s="10">
        <f t="shared" si="2"/>
        <v>1474.7154</v>
      </c>
      <c r="U32" s="22">
        <f t="shared" si="3"/>
        <v>1217.1453999999994</v>
      </c>
      <c r="V32" s="22"/>
      <c r="W32" s="10"/>
      <c r="X32" s="10">
        <f t="shared" si="4"/>
        <v>11</v>
      </c>
      <c r="Y32" s="10">
        <f t="shared" si="5"/>
        <v>4.4108334394555042</v>
      </c>
      <c r="Z32" s="10">
        <f>VLOOKUP(A:A,[1]TDSheet!$A:$AB,28,0)</f>
        <v>0</v>
      </c>
      <c r="AA32" s="10">
        <f>VLOOKUP(A:A,[1]TDSheet!$A:$AC,29,0)</f>
        <v>1578.2022000000002</v>
      </c>
      <c r="AB32" s="10">
        <f>VLOOKUP(A:A,[1]TDSheet!$A:$AD,30,0)</f>
        <v>1492.6122</v>
      </c>
      <c r="AC32" s="10">
        <f>VLOOKUP(A:A,[1]TDSheet!$A:$AE,31,0)</f>
        <v>1763.4842000000001</v>
      </c>
      <c r="AD32" s="10" t="e">
        <f>VLOOKUP(A:A,[1]TDSheet!$A:$AF,32,0)</f>
        <v>#N/A</v>
      </c>
      <c r="AE32" s="10">
        <f t="shared" si="6"/>
        <v>1217.1453999999994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</row>
    <row r="33" spans="1:89" ht="11.1" customHeight="1" x14ac:dyDescent="0.2">
      <c r="A33" s="8" t="s">
        <v>33</v>
      </c>
      <c r="B33" s="8" t="s">
        <v>14</v>
      </c>
      <c r="C33" s="9">
        <v>5562</v>
      </c>
      <c r="D33" s="9">
        <v>5403</v>
      </c>
      <c r="E33" s="9">
        <v>4673</v>
      </c>
      <c r="F33" s="9">
        <v>6168</v>
      </c>
      <c r="G33" s="10" t="str">
        <f>VLOOKUP(A:A,[1]TDSheet!$A:$G,7,0)</f>
        <v>P003957</v>
      </c>
      <c r="H33" s="21">
        <f>VLOOKUP(A:A,[1]TDSheet!$A:$H,8,0)</f>
        <v>0.4</v>
      </c>
      <c r="I33" s="10">
        <f>VLOOKUP(A:A,[1]TDSheet!$A:$I,9,0)</f>
        <v>45</v>
      </c>
      <c r="J33" s="10" t="str">
        <f>VLOOKUP(A:A,[1]TDSheet!$A:$J,10,0)</f>
        <v>матрица</v>
      </c>
      <c r="K33" s="10"/>
      <c r="L33" s="10">
        <f>VLOOKUP(A:A,[2]TDSheet!$A:$B,2,0)</f>
        <v>4911</v>
      </c>
      <c r="M33" s="10">
        <f t="shared" si="1"/>
        <v>-238</v>
      </c>
      <c r="N33" s="10"/>
      <c r="O33" s="10">
        <f>VLOOKUP(A:A,[1]TDSheet!$A:$R,18,0)</f>
        <v>0</v>
      </c>
      <c r="P33" s="10">
        <f>VLOOKUP(A:A,[1]TDSheet!$A:$S,19,0)</f>
        <v>0</v>
      </c>
      <c r="Q33" s="10">
        <f>VLOOKUP(A:A,[1]TDSheet!$A:$T,20,0)</f>
        <v>0</v>
      </c>
      <c r="R33" s="10">
        <f>VLOOKUP(A:A,[1]TDSheet!$A:$U,21,0)</f>
        <v>2500</v>
      </c>
      <c r="S33" s="10">
        <f>VLOOKUP(A:A,[1]TDSheet!$A:$W,23,0)</f>
        <v>0</v>
      </c>
      <c r="T33" s="10">
        <f t="shared" si="2"/>
        <v>934.6</v>
      </c>
      <c r="U33" s="22">
        <f t="shared" si="3"/>
        <v>1612.6000000000004</v>
      </c>
      <c r="V33" s="22"/>
      <c r="W33" s="10"/>
      <c r="X33" s="10">
        <f t="shared" si="4"/>
        <v>11</v>
      </c>
      <c r="Y33" s="10">
        <f t="shared" si="5"/>
        <v>6.5996148084742137</v>
      </c>
      <c r="Z33" s="10">
        <f>VLOOKUP(A:A,[1]TDSheet!$A:$AB,28,0)</f>
        <v>824.4</v>
      </c>
      <c r="AA33" s="10">
        <f>VLOOKUP(A:A,[1]TDSheet!$A:$AC,29,0)</f>
        <v>789</v>
      </c>
      <c r="AB33" s="10">
        <f>VLOOKUP(A:A,[1]TDSheet!$A:$AD,30,0)</f>
        <v>1397.2</v>
      </c>
      <c r="AC33" s="10">
        <f>VLOOKUP(A:A,[1]TDSheet!$A:$AE,31,0)</f>
        <v>1094.4000000000001</v>
      </c>
      <c r="AD33" s="10" t="str">
        <f>VLOOKUP(A:A,[1]TDSheet!$A:$AF,32,0)</f>
        <v>ТМА ПРОДОЛЖЕНИЕ Апрель</v>
      </c>
      <c r="AE33" s="10">
        <f t="shared" si="6"/>
        <v>645.04000000000019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</row>
    <row r="34" spans="1:89" ht="11.1" customHeight="1" x14ac:dyDescent="0.2">
      <c r="A34" s="8" t="s">
        <v>34</v>
      </c>
      <c r="B34" s="8" t="s">
        <v>14</v>
      </c>
      <c r="C34" s="9">
        <v>950</v>
      </c>
      <c r="D34" s="9">
        <v>232</v>
      </c>
      <c r="E34" s="9">
        <v>471</v>
      </c>
      <c r="F34" s="9">
        <v>698</v>
      </c>
      <c r="G34" s="10" t="str">
        <f>VLOOKUP(A:A,[1]TDSheet!$A:$G,7,0)</f>
        <v>P003103</v>
      </c>
      <c r="H34" s="21">
        <f>VLOOKUP(A:A,[1]TDSheet!$A:$H,8,0)</f>
        <v>0.45</v>
      </c>
      <c r="I34" s="10">
        <f>VLOOKUP(A:A,[1]TDSheet!$A:$I,9,0)</f>
        <v>50</v>
      </c>
      <c r="J34" s="10" t="str">
        <f>VLOOKUP(A:A,[1]TDSheet!$A:$J,10,0)</f>
        <v>матрица</v>
      </c>
      <c r="K34" s="10"/>
      <c r="L34" s="10">
        <f>VLOOKUP(A:A,[2]TDSheet!$A:$B,2,0)</f>
        <v>488</v>
      </c>
      <c r="M34" s="10">
        <f t="shared" si="1"/>
        <v>-17</v>
      </c>
      <c r="N34" s="10"/>
      <c r="O34" s="10">
        <f>VLOOKUP(A:A,[1]TDSheet!$A:$R,18,0)</f>
        <v>0</v>
      </c>
      <c r="P34" s="10">
        <f>VLOOKUP(A:A,[1]TDSheet!$A:$S,19,0)</f>
        <v>0</v>
      </c>
      <c r="Q34" s="10">
        <f>VLOOKUP(A:A,[1]TDSheet!$A:$T,20,0)</f>
        <v>0</v>
      </c>
      <c r="R34" s="10">
        <f>VLOOKUP(A:A,[1]TDSheet!$A:$U,21,0)</f>
        <v>0</v>
      </c>
      <c r="S34" s="10">
        <f>VLOOKUP(A:A,[1]TDSheet!$A:$W,23,0)</f>
        <v>170</v>
      </c>
      <c r="T34" s="10">
        <f t="shared" si="2"/>
        <v>94.2</v>
      </c>
      <c r="U34" s="22">
        <f t="shared" si="3"/>
        <v>168.20000000000005</v>
      </c>
      <c r="V34" s="27">
        <v>1000</v>
      </c>
      <c r="W34" s="10" t="s">
        <v>142</v>
      </c>
      <c r="X34" s="10">
        <f t="shared" si="4"/>
        <v>11</v>
      </c>
      <c r="Y34" s="10">
        <f t="shared" si="5"/>
        <v>7.4097664543524413</v>
      </c>
      <c r="Z34" s="10">
        <f>VLOOKUP(A:A,[1]TDSheet!$A:$AB,28,0)</f>
        <v>166</v>
      </c>
      <c r="AA34" s="10">
        <f>VLOOKUP(A:A,[1]TDSheet!$A:$AC,29,0)</f>
        <v>120.8</v>
      </c>
      <c r="AB34" s="10">
        <f>VLOOKUP(A:A,[1]TDSheet!$A:$AD,30,0)</f>
        <v>153.6</v>
      </c>
      <c r="AC34" s="10">
        <f>VLOOKUP(A:A,[1]TDSheet!$A:$AE,31,0)</f>
        <v>89.2</v>
      </c>
      <c r="AD34" s="10" t="str">
        <f>VLOOKUP(A:A,[1]TDSheet!$A:$AF,32,0)</f>
        <v>Мера</v>
      </c>
      <c r="AE34" s="10">
        <f t="shared" si="6"/>
        <v>75.690000000000026</v>
      </c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</row>
    <row r="35" spans="1:89" ht="11.1" customHeight="1" x14ac:dyDescent="0.2">
      <c r="A35" s="8" t="s">
        <v>35</v>
      </c>
      <c r="B35" s="8" t="s">
        <v>14</v>
      </c>
      <c r="C35" s="9">
        <v>609</v>
      </c>
      <c r="D35" s="9">
        <v>1317</v>
      </c>
      <c r="E35" s="9">
        <v>991</v>
      </c>
      <c r="F35" s="9">
        <v>927</v>
      </c>
      <c r="G35" s="10" t="str">
        <f>VLOOKUP(A:A,[1]TDSheet!$A:$G,7,0)</f>
        <v>P003958</v>
      </c>
      <c r="H35" s="21">
        <f>VLOOKUP(A:A,[1]TDSheet!$A:$H,8,0)</f>
        <v>0.4</v>
      </c>
      <c r="I35" s="10">
        <f>VLOOKUP(A:A,[1]TDSheet!$A:$I,9,0)</f>
        <v>45</v>
      </c>
      <c r="J35" s="10" t="str">
        <f>VLOOKUP(A:A,[1]TDSheet!$A:$J,10,0)</f>
        <v>матрица</v>
      </c>
      <c r="K35" s="10"/>
      <c r="L35" s="10">
        <f>VLOOKUP(A:A,[2]TDSheet!$A:$B,2,0)</f>
        <v>1064</v>
      </c>
      <c r="M35" s="10">
        <f t="shared" si="1"/>
        <v>-73</v>
      </c>
      <c r="N35" s="10"/>
      <c r="O35" s="10">
        <f>VLOOKUP(A:A,[1]TDSheet!$A:$R,18,0)</f>
        <v>0</v>
      </c>
      <c r="P35" s="10">
        <f>VLOOKUP(A:A,[1]TDSheet!$A:$S,19,0)</f>
        <v>0</v>
      </c>
      <c r="Q35" s="10">
        <f>VLOOKUP(A:A,[1]TDSheet!$A:$T,20,0)</f>
        <v>0</v>
      </c>
      <c r="R35" s="10">
        <f>VLOOKUP(A:A,[1]TDSheet!$A:$U,21,0)</f>
        <v>600</v>
      </c>
      <c r="S35" s="10">
        <f>VLOOKUP(A:A,[1]TDSheet!$A:$W,23,0)</f>
        <v>450</v>
      </c>
      <c r="T35" s="10">
        <f t="shared" si="2"/>
        <v>198.2</v>
      </c>
      <c r="U35" s="22">
        <f t="shared" si="3"/>
        <v>203.19999999999982</v>
      </c>
      <c r="V35" s="22"/>
      <c r="W35" s="10"/>
      <c r="X35" s="10">
        <f t="shared" si="4"/>
        <v>11</v>
      </c>
      <c r="Y35" s="10">
        <f t="shared" si="5"/>
        <v>4.677093844601413</v>
      </c>
      <c r="Z35" s="10">
        <f>VLOOKUP(A:A,[1]TDSheet!$A:$AB,28,0)</f>
        <v>204.4</v>
      </c>
      <c r="AA35" s="10">
        <f>VLOOKUP(A:A,[1]TDSheet!$A:$AC,29,0)</f>
        <v>183.2</v>
      </c>
      <c r="AB35" s="10">
        <f>VLOOKUP(A:A,[1]TDSheet!$A:$AD,30,0)</f>
        <v>200.6</v>
      </c>
      <c r="AC35" s="10">
        <f>VLOOKUP(A:A,[1]TDSheet!$A:$AE,31,0)</f>
        <v>219</v>
      </c>
      <c r="AD35" s="10">
        <f>VLOOKUP(A:A,[1]TDSheet!$A:$AF,32,0)</f>
        <v>0</v>
      </c>
      <c r="AE35" s="10">
        <f t="shared" si="6"/>
        <v>81.27999999999993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</row>
    <row r="36" spans="1:89" ht="11.1" customHeight="1" x14ac:dyDescent="0.2">
      <c r="A36" s="8" t="s">
        <v>36</v>
      </c>
      <c r="B36" s="8" t="s">
        <v>14</v>
      </c>
      <c r="C36" s="9">
        <v>89</v>
      </c>
      <c r="D36" s="9">
        <v>535</v>
      </c>
      <c r="E36" s="9">
        <v>409</v>
      </c>
      <c r="F36" s="9">
        <v>213</v>
      </c>
      <c r="G36" s="10" t="str">
        <f>VLOOKUP(A:A,[1]TDSheet!$A:$G,7,0)</f>
        <v>P005198</v>
      </c>
      <c r="H36" s="21">
        <f>VLOOKUP(A:A,[1]TDSheet!$A:$H,8,0)</f>
        <v>0.4</v>
      </c>
      <c r="I36" s="10">
        <f>VLOOKUP(A:A,[1]TDSheet!$A:$I,9,0)</f>
        <v>40</v>
      </c>
      <c r="J36" s="10" t="str">
        <f>VLOOKUP(A:A,[1]TDSheet!$A:$J,10,0)</f>
        <v>матрица</v>
      </c>
      <c r="K36" s="10"/>
      <c r="L36" s="10">
        <f>VLOOKUP(A:A,[2]TDSheet!$A:$B,2,0)</f>
        <v>425</v>
      </c>
      <c r="M36" s="10">
        <f t="shared" si="1"/>
        <v>-16</v>
      </c>
      <c r="N36" s="10"/>
      <c r="O36" s="10">
        <f>VLOOKUP(A:A,[1]TDSheet!$A:$R,18,0)</f>
        <v>0</v>
      </c>
      <c r="P36" s="10">
        <f>VLOOKUP(A:A,[1]TDSheet!$A:$S,19,0)</f>
        <v>0</v>
      </c>
      <c r="Q36" s="10">
        <f>VLOOKUP(A:A,[1]TDSheet!$A:$T,20,0)</f>
        <v>0</v>
      </c>
      <c r="R36" s="10">
        <f>VLOOKUP(A:A,[1]TDSheet!$A:$U,21,0)</f>
        <v>250</v>
      </c>
      <c r="S36" s="10">
        <f>VLOOKUP(A:A,[1]TDSheet!$A:$W,23,0)</f>
        <v>120</v>
      </c>
      <c r="T36" s="10">
        <f t="shared" si="2"/>
        <v>81.8</v>
      </c>
      <c r="U36" s="22">
        <f t="shared" si="3"/>
        <v>316.79999999999995</v>
      </c>
      <c r="V36" s="22"/>
      <c r="W36" s="10"/>
      <c r="X36" s="10">
        <f t="shared" si="4"/>
        <v>11</v>
      </c>
      <c r="Y36" s="10">
        <f t="shared" si="5"/>
        <v>2.6039119804400981</v>
      </c>
      <c r="Z36" s="10">
        <f>VLOOKUP(A:A,[1]TDSheet!$A:$AB,28,0)</f>
        <v>99.388999999999996</v>
      </c>
      <c r="AA36" s="10">
        <f>VLOOKUP(A:A,[1]TDSheet!$A:$AC,29,0)</f>
        <v>77.164000000000001</v>
      </c>
      <c r="AB36" s="10">
        <f>VLOOKUP(A:A,[1]TDSheet!$A:$AD,30,0)</f>
        <v>80.400000000000006</v>
      </c>
      <c r="AC36" s="10">
        <f>VLOOKUP(A:A,[1]TDSheet!$A:$AE,31,0)</f>
        <v>65.2</v>
      </c>
      <c r="AD36" s="10" t="str">
        <f>VLOOKUP(A:A,[1]TDSheet!$A:$AF,32,0)</f>
        <v>увел продажи</v>
      </c>
      <c r="AE36" s="10">
        <f t="shared" si="6"/>
        <v>126.71999999999998</v>
      </c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</row>
    <row r="37" spans="1:89" ht="11.1" customHeight="1" x14ac:dyDescent="0.2">
      <c r="A37" s="8" t="s">
        <v>37</v>
      </c>
      <c r="B37" s="8" t="s">
        <v>14</v>
      </c>
      <c r="C37" s="9">
        <v>237</v>
      </c>
      <c r="D37" s="9">
        <v>4</v>
      </c>
      <c r="E37" s="9">
        <v>212</v>
      </c>
      <c r="F37" s="9">
        <v>27</v>
      </c>
      <c r="G37" s="10" t="str">
        <f>VLOOKUP(A:A,[1]TDSheet!$A:$G,7,0)</f>
        <v>P002648</v>
      </c>
      <c r="H37" s="21">
        <f>VLOOKUP(A:A,[1]TDSheet!$A:$H,8,0)</f>
        <v>0.1</v>
      </c>
      <c r="I37" s="10">
        <f>VLOOKUP(A:A,[1]TDSheet!$A:$I,9,0)</f>
        <v>730</v>
      </c>
      <c r="J37" s="10" t="str">
        <f>VLOOKUP(A:A,[1]TDSheet!$A:$J,10,0)</f>
        <v>матрица</v>
      </c>
      <c r="K37" s="10"/>
      <c r="L37" s="10">
        <f>VLOOKUP(A:A,[2]TDSheet!$A:$B,2,0)</f>
        <v>217</v>
      </c>
      <c r="M37" s="10">
        <f t="shared" si="1"/>
        <v>-5</v>
      </c>
      <c r="N37" s="10"/>
      <c r="O37" s="10">
        <f>VLOOKUP(A:A,[1]TDSheet!$A:$R,18,0)</f>
        <v>0</v>
      </c>
      <c r="P37" s="10">
        <f>VLOOKUP(A:A,[1]TDSheet!$A:$S,19,0)</f>
        <v>0</v>
      </c>
      <c r="Q37" s="10">
        <f>VLOOKUP(A:A,[1]TDSheet!$A:$T,20,0)</f>
        <v>0</v>
      </c>
      <c r="R37" s="10">
        <f>VLOOKUP(A:A,[1]TDSheet!$A:$U,21,0)</f>
        <v>200</v>
      </c>
      <c r="S37" s="10">
        <f>VLOOKUP(A:A,[1]TDSheet!$A:$W,23,0)</f>
        <v>0</v>
      </c>
      <c r="T37" s="10">
        <f t="shared" si="2"/>
        <v>42.4</v>
      </c>
      <c r="U37" s="22">
        <f t="shared" si="3"/>
        <v>239.39999999999998</v>
      </c>
      <c r="V37" s="22"/>
      <c r="W37" s="10"/>
      <c r="X37" s="10">
        <f t="shared" si="4"/>
        <v>11</v>
      </c>
      <c r="Y37" s="10">
        <f t="shared" si="5"/>
        <v>0.6367924528301887</v>
      </c>
      <c r="Z37" s="10">
        <f>VLOOKUP(A:A,[1]TDSheet!$A:$AB,28,0)</f>
        <v>33.200000000000003</v>
      </c>
      <c r="AA37" s="10">
        <f>VLOOKUP(A:A,[1]TDSheet!$A:$AC,29,0)</f>
        <v>46.8</v>
      </c>
      <c r="AB37" s="10">
        <f>VLOOKUP(A:A,[1]TDSheet!$A:$AD,30,0)</f>
        <v>35.6</v>
      </c>
      <c r="AC37" s="10">
        <f>VLOOKUP(A:A,[1]TDSheet!$A:$AE,31,0)</f>
        <v>38</v>
      </c>
      <c r="AD37" s="10">
        <f>VLOOKUP(A:A,[1]TDSheet!$A:$AF,32,0)</f>
        <v>0</v>
      </c>
      <c r="AE37" s="10">
        <f t="shared" si="6"/>
        <v>23.939999999999998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</row>
    <row r="38" spans="1:89" ht="21.95" customHeight="1" x14ac:dyDescent="0.2">
      <c r="A38" s="8" t="s">
        <v>38</v>
      </c>
      <c r="B38" s="8" t="s">
        <v>14</v>
      </c>
      <c r="C38" s="9">
        <v>37</v>
      </c>
      <c r="D38" s="9">
        <v>223</v>
      </c>
      <c r="E38" s="9">
        <v>75</v>
      </c>
      <c r="F38" s="9">
        <v>179</v>
      </c>
      <c r="G38" s="10" t="str">
        <f>VLOOKUP(A:A,[1]TDSheet!$A:$G,7,0)</f>
        <v>P003256</v>
      </c>
      <c r="H38" s="21">
        <f>VLOOKUP(A:A,[1]TDSheet!$A:$H,8,0)</f>
        <v>0.35</v>
      </c>
      <c r="I38" s="10">
        <f>VLOOKUP(A:A,[1]TDSheet!$A:$I,9,0)</f>
        <v>40</v>
      </c>
      <c r="J38" s="10" t="str">
        <f>VLOOKUP(A:A,[1]TDSheet!$A:$J,10,0)</f>
        <v>матрица</v>
      </c>
      <c r="K38" s="10"/>
      <c r="L38" s="10">
        <f>VLOOKUP(A:A,[2]TDSheet!$A:$B,2,0)</f>
        <v>109</v>
      </c>
      <c r="M38" s="10">
        <f t="shared" si="1"/>
        <v>-34</v>
      </c>
      <c r="N38" s="10"/>
      <c r="O38" s="10">
        <f>VLOOKUP(A:A,[1]TDSheet!$A:$R,18,0)</f>
        <v>0</v>
      </c>
      <c r="P38" s="10">
        <f>VLOOKUP(A:A,[1]TDSheet!$A:$S,19,0)</f>
        <v>0</v>
      </c>
      <c r="Q38" s="10">
        <f>VLOOKUP(A:A,[1]TDSheet!$A:$T,20,0)</f>
        <v>0</v>
      </c>
      <c r="R38" s="10">
        <f>VLOOKUP(A:A,[1]TDSheet!$A:$U,21,0)</f>
        <v>90</v>
      </c>
      <c r="S38" s="10">
        <f>VLOOKUP(A:A,[1]TDSheet!$A:$W,23,0)</f>
        <v>0</v>
      </c>
      <c r="T38" s="10">
        <f t="shared" si="2"/>
        <v>15</v>
      </c>
      <c r="U38" s="22"/>
      <c r="V38" s="22"/>
      <c r="W38" s="10"/>
      <c r="X38" s="10">
        <f t="shared" si="4"/>
        <v>17.933333333333334</v>
      </c>
      <c r="Y38" s="10">
        <f t="shared" si="5"/>
        <v>11.933333333333334</v>
      </c>
      <c r="Z38" s="10">
        <f>VLOOKUP(A:A,[1]TDSheet!$A:$AB,28,0)</f>
        <v>18</v>
      </c>
      <c r="AA38" s="10">
        <f>VLOOKUP(A:A,[1]TDSheet!$A:$AC,29,0)</f>
        <v>26</v>
      </c>
      <c r="AB38" s="10">
        <f>VLOOKUP(A:A,[1]TDSheet!$A:$AD,30,0)</f>
        <v>14.8</v>
      </c>
      <c r="AC38" s="10">
        <f>VLOOKUP(A:A,[1]TDSheet!$A:$AE,31,0)</f>
        <v>31.6</v>
      </c>
      <c r="AD38" s="10" t="str">
        <f>VLOOKUP(A:A,[1]TDSheet!$A:$AF,32,0)</f>
        <v>Мера</v>
      </c>
      <c r="AE38" s="10">
        <f t="shared" si="6"/>
        <v>0</v>
      </c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</row>
    <row r="39" spans="1:89" ht="11.1" customHeight="1" x14ac:dyDescent="0.2">
      <c r="A39" s="8" t="s">
        <v>39</v>
      </c>
      <c r="B39" s="8" t="s">
        <v>10</v>
      </c>
      <c r="C39" s="9">
        <v>53.145000000000003</v>
      </c>
      <c r="D39" s="9">
        <v>5.04</v>
      </c>
      <c r="E39" s="9">
        <v>23.271999999999998</v>
      </c>
      <c r="F39" s="9">
        <v>25.436</v>
      </c>
      <c r="G39" s="10" t="str">
        <f>VLOOKUP(A:A,[1]TDSheet!$A:$G,7,0)</f>
        <v>P003179</v>
      </c>
      <c r="H39" s="21">
        <f>VLOOKUP(A:A,[1]TDSheet!$A:$H,8,0)</f>
        <v>1</v>
      </c>
      <c r="I39" s="10">
        <f>VLOOKUP(A:A,[1]TDSheet!$A:$I,9,0)</f>
        <v>40</v>
      </c>
      <c r="J39" s="10" t="str">
        <f>VLOOKUP(A:A,[1]TDSheet!$A:$J,10,0)</f>
        <v>матрица</v>
      </c>
      <c r="K39" s="10"/>
      <c r="L39" s="10">
        <f>VLOOKUP(A:A,[2]TDSheet!$A:$B,2,0)</f>
        <v>35.1</v>
      </c>
      <c r="M39" s="10">
        <f t="shared" si="1"/>
        <v>-11.828000000000003</v>
      </c>
      <c r="N39" s="10"/>
      <c r="O39" s="10">
        <f>VLOOKUP(A:A,[1]TDSheet!$A:$R,18,0)</f>
        <v>0</v>
      </c>
      <c r="P39" s="10">
        <f>VLOOKUP(A:A,[1]TDSheet!$A:$S,19,0)</f>
        <v>0</v>
      </c>
      <c r="Q39" s="10">
        <f>VLOOKUP(A:A,[1]TDSheet!$A:$T,20,0)</f>
        <v>0</v>
      </c>
      <c r="R39" s="10">
        <f>VLOOKUP(A:A,[1]TDSheet!$A:$U,21,0)</f>
        <v>0</v>
      </c>
      <c r="S39" s="10">
        <f>VLOOKUP(A:A,[1]TDSheet!$A:$W,23,0)</f>
        <v>0</v>
      </c>
      <c r="T39" s="10">
        <f t="shared" si="2"/>
        <v>4.6543999999999999</v>
      </c>
      <c r="U39" s="22"/>
      <c r="V39" s="22"/>
      <c r="W39" s="10"/>
      <c r="X39" s="10">
        <f t="shared" si="4"/>
        <v>5.4649364042626329</v>
      </c>
      <c r="Y39" s="10">
        <f t="shared" si="5"/>
        <v>5.4649364042626329</v>
      </c>
      <c r="Z39" s="10">
        <f>VLOOKUP(A:A,[1]TDSheet!$A:$AB,28,0)</f>
        <v>4.8607999999999993</v>
      </c>
      <c r="AA39" s="10">
        <f>VLOOKUP(A:A,[1]TDSheet!$A:$AC,29,0)</f>
        <v>7.4049999999999994</v>
      </c>
      <c r="AB39" s="10">
        <f>VLOOKUP(A:A,[1]TDSheet!$A:$AD,30,0)</f>
        <v>4.3841999999999999</v>
      </c>
      <c r="AC39" s="10">
        <f>VLOOKUP(A:A,[1]TDSheet!$A:$AE,31,0)</f>
        <v>2.9196</v>
      </c>
      <c r="AD39" s="10">
        <f>VLOOKUP(A:A,[1]TDSheet!$A:$AF,32,0)</f>
        <v>0</v>
      </c>
      <c r="AE39" s="10">
        <f t="shared" si="6"/>
        <v>0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</row>
    <row r="40" spans="1:89" ht="11.1" customHeight="1" x14ac:dyDescent="0.2">
      <c r="A40" s="8" t="s">
        <v>40</v>
      </c>
      <c r="B40" s="8" t="s">
        <v>14</v>
      </c>
      <c r="C40" s="9">
        <v>244</v>
      </c>
      <c r="D40" s="9">
        <v>522</v>
      </c>
      <c r="E40" s="9">
        <v>202</v>
      </c>
      <c r="F40" s="9">
        <v>561</v>
      </c>
      <c r="G40" s="10" t="str">
        <f>VLOOKUP(A:A,[1]TDSheet!$A:$G,7,0)</f>
        <v>P003475</v>
      </c>
      <c r="H40" s="21">
        <f>VLOOKUP(A:A,[1]TDSheet!$A:$H,8,0)</f>
        <v>0.4</v>
      </c>
      <c r="I40" s="10">
        <f>VLOOKUP(A:A,[1]TDSheet!$A:$I,9,0)</f>
        <v>40</v>
      </c>
      <c r="J40" s="10" t="str">
        <f>VLOOKUP(A:A,[1]TDSheet!$A:$J,10,0)</f>
        <v>матрица</v>
      </c>
      <c r="K40" s="10"/>
      <c r="L40" s="10">
        <f>VLOOKUP(A:A,[2]TDSheet!$A:$B,2,0)</f>
        <v>295</v>
      </c>
      <c r="M40" s="10">
        <f t="shared" si="1"/>
        <v>-93</v>
      </c>
      <c r="N40" s="10"/>
      <c r="O40" s="10">
        <f>VLOOKUP(A:A,[1]TDSheet!$A:$R,18,0)</f>
        <v>0</v>
      </c>
      <c r="P40" s="10">
        <f>VLOOKUP(A:A,[1]TDSheet!$A:$S,19,0)</f>
        <v>0</v>
      </c>
      <c r="Q40" s="10">
        <f>VLOOKUP(A:A,[1]TDSheet!$A:$T,20,0)</f>
        <v>0</v>
      </c>
      <c r="R40" s="10">
        <f>VLOOKUP(A:A,[1]TDSheet!$A:$U,21,0)</f>
        <v>40</v>
      </c>
      <c r="S40" s="10">
        <f>VLOOKUP(A:A,[1]TDSheet!$A:$W,23,0)</f>
        <v>0</v>
      </c>
      <c r="T40" s="10">
        <f t="shared" si="2"/>
        <v>40.4</v>
      </c>
      <c r="U40" s="22"/>
      <c r="V40" s="22"/>
      <c r="W40" s="10"/>
      <c r="X40" s="10">
        <f t="shared" si="4"/>
        <v>14.876237623762377</v>
      </c>
      <c r="Y40" s="10">
        <f t="shared" si="5"/>
        <v>13.886138613861387</v>
      </c>
      <c r="Z40" s="10">
        <f>VLOOKUP(A:A,[1]TDSheet!$A:$AB,28,0)</f>
        <v>42.6</v>
      </c>
      <c r="AA40" s="10">
        <f>VLOOKUP(A:A,[1]TDSheet!$A:$AC,29,0)</f>
        <v>61.4</v>
      </c>
      <c r="AB40" s="10">
        <f>VLOOKUP(A:A,[1]TDSheet!$A:$AD,30,0)</f>
        <v>48</v>
      </c>
      <c r="AC40" s="10">
        <f>VLOOKUP(A:A,[1]TDSheet!$A:$AE,31,0)</f>
        <v>66.599999999999994</v>
      </c>
      <c r="AD40" s="10" t="str">
        <f>VLOOKUP(A:A,[1]TDSheet!$A:$AF,32,0)</f>
        <v>увел продажи</v>
      </c>
      <c r="AE40" s="10">
        <f t="shared" si="6"/>
        <v>0</v>
      </c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</row>
    <row r="41" spans="1:89" ht="11.1" customHeight="1" x14ac:dyDescent="0.2">
      <c r="A41" s="8" t="s">
        <v>41</v>
      </c>
      <c r="B41" s="8" t="s">
        <v>14</v>
      </c>
      <c r="C41" s="9">
        <v>60</v>
      </c>
      <c r="D41" s="9">
        <v>360</v>
      </c>
      <c r="E41" s="9">
        <v>268</v>
      </c>
      <c r="F41" s="9">
        <v>151</v>
      </c>
      <c r="G41" s="10" t="str">
        <f>VLOOKUP(A:A,[1]TDSheet!$A:$G,7,0)</f>
        <v>P003217</v>
      </c>
      <c r="H41" s="21">
        <f>VLOOKUP(A:A,[1]TDSheet!$A:$H,8,0)</f>
        <v>0.4</v>
      </c>
      <c r="I41" s="10">
        <f>VLOOKUP(A:A,[1]TDSheet!$A:$I,9,0)</f>
        <v>45</v>
      </c>
      <c r="J41" s="10" t="str">
        <f>VLOOKUP(A:A,[1]TDSheet!$A:$J,10,0)</f>
        <v>матрица</v>
      </c>
      <c r="K41" s="10"/>
      <c r="L41" s="10">
        <f>VLOOKUP(A:A,[2]TDSheet!$A:$B,2,0)</f>
        <v>281</v>
      </c>
      <c r="M41" s="10">
        <f t="shared" si="1"/>
        <v>-13</v>
      </c>
      <c r="N41" s="10"/>
      <c r="O41" s="10">
        <f>VLOOKUP(A:A,[1]TDSheet!$A:$R,18,0)</f>
        <v>0</v>
      </c>
      <c r="P41" s="10">
        <f>VLOOKUP(A:A,[1]TDSheet!$A:$S,19,0)</f>
        <v>0</v>
      </c>
      <c r="Q41" s="10">
        <f>VLOOKUP(A:A,[1]TDSheet!$A:$T,20,0)</f>
        <v>0</v>
      </c>
      <c r="R41" s="10">
        <f>VLOOKUP(A:A,[1]TDSheet!$A:$U,21,0)</f>
        <v>50</v>
      </c>
      <c r="S41" s="10">
        <f>VLOOKUP(A:A,[1]TDSheet!$A:$W,23,0)</f>
        <v>0</v>
      </c>
      <c r="T41" s="10">
        <f t="shared" si="2"/>
        <v>53.6</v>
      </c>
      <c r="U41" s="22">
        <f t="shared" si="3"/>
        <v>388.6</v>
      </c>
      <c r="V41" s="22"/>
      <c r="W41" s="10"/>
      <c r="X41" s="10">
        <f t="shared" si="4"/>
        <v>11</v>
      </c>
      <c r="Y41" s="10">
        <f t="shared" si="5"/>
        <v>2.8171641791044775</v>
      </c>
      <c r="Z41" s="10">
        <f>VLOOKUP(A:A,[1]TDSheet!$A:$AB,28,0)</f>
        <v>29.8</v>
      </c>
      <c r="AA41" s="10">
        <f>VLOOKUP(A:A,[1]TDSheet!$A:$AC,29,0)</f>
        <v>41.8</v>
      </c>
      <c r="AB41" s="10">
        <f>VLOOKUP(A:A,[1]TDSheet!$A:$AD,30,0)</f>
        <v>40.200000000000003</v>
      </c>
      <c r="AC41" s="10">
        <f>VLOOKUP(A:A,[1]TDSheet!$A:$AE,31,0)</f>
        <v>41.6</v>
      </c>
      <c r="AD41" s="10" t="str">
        <f>VLOOKUP(A:A,[1]TDSheet!$A:$AF,32,0)</f>
        <v>зв</v>
      </c>
      <c r="AE41" s="10">
        <f t="shared" si="6"/>
        <v>155.44000000000003</v>
      </c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</row>
    <row r="42" spans="1:89" ht="21.95" customHeight="1" x14ac:dyDescent="0.2">
      <c r="A42" s="8" t="s">
        <v>42</v>
      </c>
      <c r="B42" s="8" t="s">
        <v>10</v>
      </c>
      <c r="C42" s="9">
        <v>47.076999999999998</v>
      </c>
      <c r="D42" s="9"/>
      <c r="E42" s="9">
        <v>33.953000000000003</v>
      </c>
      <c r="F42" s="9">
        <v>10.872</v>
      </c>
      <c r="G42" s="10" t="str">
        <f>VLOOKUP(A:A,[1]TDSheet!$A:$G,7,0)</f>
        <v>P003259</v>
      </c>
      <c r="H42" s="21">
        <f>VLOOKUP(A:A,[1]TDSheet!$A:$H,8,0)</f>
        <v>1</v>
      </c>
      <c r="I42" s="10">
        <f>VLOOKUP(A:A,[1]TDSheet!$A:$I,9,0)</f>
        <v>40</v>
      </c>
      <c r="J42" s="10" t="str">
        <f>VLOOKUP(A:A,[1]TDSheet!$A:$J,10,0)</f>
        <v>матрица</v>
      </c>
      <c r="K42" s="10"/>
      <c r="L42" s="10">
        <f>VLOOKUP(A:A,[2]TDSheet!$A:$B,2,0)</f>
        <v>48.4</v>
      </c>
      <c r="M42" s="10">
        <f t="shared" si="1"/>
        <v>-14.446999999999996</v>
      </c>
      <c r="N42" s="10"/>
      <c r="O42" s="10">
        <f>VLOOKUP(A:A,[1]TDSheet!$A:$R,18,0)</f>
        <v>0</v>
      </c>
      <c r="P42" s="10">
        <f>VLOOKUP(A:A,[1]TDSheet!$A:$S,19,0)</f>
        <v>0</v>
      </c>
      <c r="Q42" s="10">
        <f>VLOOKUP(A:A,[1]TDSheet!$A:$T,20,0)</f>
        <v>0</v>
      </c>
      <c r="R42" s="10">
        <f>VLOOKUP(A:A,[1]TDSheet!$A:$U,21,0)</f>
        <v>40</v>
      </c>
      <c r="S42" s="10">
        <f>VLOOKUP(A:A,[1]TDSheet!$A:$W,23,0)</f>
        <v>0</v>
      </c>
      <c r="T42" s="10">
        <f t="shared" si="2"/>
        <v>6.7906000000000004</v>
      </c>
      <c r="U42" s="22"/>
      <c r="V42" s="22"/>
      <c r="W42" s="10"/>
      <c r="X42" s="10">
        <f t="shared" si="4"/>
        <v>7.4915324124525071</v>
      </c>
      <c r="Y42" s="10">
        <f t="shared" si="5"/>
        <v>1.6010367272405972</v>
      </c>
      <c r="Z42" s="10">
        <f>VLOOKUP(A:A,[1]TDSheet!$A:$AB,28,0)</f>
        <v>12.0244</v>
      </c>
      <c r="AA42" s="10">
        <f>VLOOKUP(A:A,[1]TDSheet!$A:$AC,29,0)</f>
        <v>9.3468</v>
      </c>
      <c r="AB42" s="10">
        <f>VLOOKUP(A:A,[1]TDSheet!$A:$AD,30,0)</f>
        <v>10.954800000000001</v>
      </c>
      <c r="AC42" s="10">
        <f>VLOOKUP(A:A,[1]TDSheet!$A:$AE,31,0)</f>
        <v>7.3952</v>
      </c>
      <c r="AD42" s="10">
        <f>VLOOKUP(A:A,[1]TDSheet!$A:$AF,32,0)</f>
        <v>0</v>
      </c>
      <c r="AE42" s="10">
        <f t="shared" si="6"/>
        <v>0</v>
      </c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</row>
    <row r="43" spans="1:89" ht="21.95" customHeight="1" x14ac:dyDescent="0.2">
      <c r="A43" s="8" t="s">
        <v>43</v>
      </c>
      <c r="B43" s="8" t="s">
        <v>14</v>
      </c>
      <c r="C43" s="9">
        <v>647</v>
      </c>
      <c r="D43" s="9">
        <v>163</v>
      </c>
      <c r="E43" s="9">
        <v>590</v>
      </c>
      <c r="F43" s="9">
        <v>216</v>
      </c>
      <c r="G43" s="10" t="str">
        <f>VLOOKUP(A:A,[1]TDSheet!$A:$G,7,0)</f>
        <v>P003260</v>
      </c>
      <c r="H43" s="21">
        <f>VLOOKUP(A:A,[1]TDSheet!$A:$H,8,0)</f>
        <v>0.35</v>
      </c>
      <c r="I43" s="10">
        <f>VLOOKUP(A:A,[1]TDSheet!$A:$I,9,0)</f>
        <v>40</v>
      </c>
      <c r="J43" s="10" t="str">
        <f>VLOOKUP(A:A,[1]TDSheet!$A:$J,10,0)</f>
        <v>ВНИМАНИЕ / матрица</v>
      </c>
      <c r="K43" s="10"/>
      <c r="L43" s="10">
        <f>VLOOKUP(A:A,[2]TDSheet!$A:$B,2,0)</f>
        <v>603</v>
      </c>
      <c r="M43" s="10">
        <f t="shared" si="1"/>
        <v>-13</v>
      </c>
      <c r="N43" s="10"/>
      <c r="O43" s="10">
        <f>VLOOKUP(A:A,[1]TDSheet!$A:$R,18,0)</f>
        <v>0</v>
      </c>
      <c r="P43" s="10">
        <f>VLOOKUP(A:A,[1]TDSheet!$A:$S,19,0)</f>
        <v>0</v>
      </c>
      <c r="Q43" s="10">
        <f>VLOOKUP(A:A,[1]TDSheet!$A:$T,20,0)</f>
        <v>0</v>
      </c>
      <c r="R43" s="10">
        <f>VLOOKUP(A:A,[1]TDSheet!$A:$U,21,0)</f>
        <v>430</v>
      </c>
      <c r="S43" s="10">
        <f>VLOOKUP(A:A,[1]TDSheet!$A:$W,23,0)</f>
        <v>120</v>
      </c>
      <c r="T43" s="10">
        <f t="shared" si="2"/>
        <v>118</v>
      </c>
      <c r="U43" s="22">
        <f t="shared" si="3"/>
        <v>532</v>
      </c>
      <c r="V43" s="27">
        <v>2300</v>
      </c>
      <c r="W43" s="10" t="s">
        <v>143</v>
      </c>
      <c r="X43" s="10">
        <f t="shared" si="4"/>
        <v>11</v>
      </c>
      <c r="Y43" s="10">
        <f t="shared" si="5"/>
        <v>1.8305084745762712</v>
      </c>
      <c r="Z43" s="10">
        <f>VLOOKUP(A:A,[1]TDSheet!$A:$AB,28,0)</f>
        <v>217.4</v>
      </c>
      <c r="AA43" s="10">
        <f>VLOOKUP(A:A,[1]TDSheet!$A:$AC,29,0)</f>
        <v>150.19999999999999</v>
      </c>
      <c r="AB43" s="10">
        <f>VLOOKUP(A:A,[1]TDSheet!$A:$AD,30,0)</f>
        <v>101.4</v>
      </c>
      <c r="AC43" s="10">
        <f>VLOOKUP(A:A,[1]TDSheet!$A:$AE,31,0)</f>
        <v>112.2</v>
      </c>
      <c r="AD43" s="10" t="str">
        <f>VLOOKUP(A:A,[1]TDSheet!$A:$AF,32,0)</f>
        <v>ТМА ПРОДОЛЖЕНИЕ Апрель</v>
      </c>
      <c r="AE43" s="10">
        <f t="shared" si="6"/>
        <v>186.2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</row>
    <row r="44" spans="1:89" ht="11.1" customHeight="1" x14ac:dyDescent="0.2">
      <c r="A44" s="8" t="s">
        <v>44</v>
      </c>
      <c r="B44" s="8" t="s">
        <v>14</v>
      </c>
      <c r="C44" s="9">
        <v>338</v>
      </c>
      <c r="D44" s="9">
        <v>296</v>
      </c>
      <c r="E44" s="9">
        <v>457</v>
      </c>
      <c r="F44" s="9">
        <v>172</v>
      </c>
      <c r="G44" s="10" t="str">
        <f>VLOOKUP(A:A,[1]TDSheet!$A:$G,7,0)</f>
        <v>P004178</v>
      </c>
      <c r="H44" s="21">
        <f>VLOOKUP(A:A,[1]TDSheet!$A:$H,8,0)</f>
        <v>0.4</v>
      </c>
      <c r="I44" s="10">
        <f>VLOOKUP(A:A,[1]TDSheet!$A:$I,9,0)</f>
        <v>40</v>
      </c>
      <c r="J44" s="10" t="str">
        <f>VLOOKUP(A:A,[1]TDSheet!$A:$J,10,0)</f>
        <v>матрица</v>
      </c>
      <c r="K44" s="10"/>
      <c r="L44" s="10">
        <f>VLOOKUP(A:A,[2]TDSheet!$A:$B,2,0)</f>
        <v>483</v>
      </c>
      <c r="M44" s="10">
        <f t="shared" si="1"/>
        <v>-26</v>
      </c>
      <c r="N44" s="10"/>
      <c r="O44" s="10">
        <f>VLOOKUP(A:A,[1]TDSheet!$A:$R,18,0)</f>
        <v>0</v>
      </c>
      <c r="P44" s="10">
        <f>VLOOKUP(A:A,[1]TDSheet!$A:$S,19,0)</f>
        <v>0</v>
      </c>
      <c r="Q44" s="10">
        <f>VLOOKUP(A:A,[1]TDSheet!$A:$T,20,0)</f>
        <v>0</v>
      </c>
      <c r="R44" s="10">
        <f>VLOOKUP(A:A,[1]TDSheet!$A:$U,21,0)</f>
        <v>280</v>
      </c>
      <c r="S44" s="10">
        <f>VLOOKUP(A:A,[1]TDSheet!$A:$W,23,0)</f>
        <v>180</v>
      </c>
      <c r="T44" s="10">
        <f t="shared" si="2"/>
        <v>91.4</v>
      </c>
      <c r="U44" s="22">
        <f t="shared" si="3"/>
        <v>373.40000000000009</v>
      </c>
      <c r="V44" s="22"/>
      <c r="W44" s="10"/>
      <c r="X44" s="10">
        <f t="shared" si="4"/>
        <v>11</v>
      </c>
      <c r="Y44" s="10">
        <f t="shared" si="5"/>
        <v>1.8818380743982492</v>
      </c>
      <c r="Z44" s="10">
        <f>VLOOKUP(A:A,[1]TDSheet!$A:$AB,28,0)</f>
        <v>81.599999999999994</v>
      </c>
      <c r="AA44" s="10">
        <f>VLOOKUP(A:A,[1]TDSheet!$A:$AC,29,0)</f>
        <v>86.4</v>
      </c>
      <c r="AB44" s="10">
        <f>VLOOKUP(A:A,[1]TDSheet!$A:$AD,30,0)</f>
        <v>80.2</v>
      </c>
      <c r="AC44" s="10">
        <f>VLOOKUP(A:A,[1]TDSheet!$A:$AE,31,0)</f>
        <v>81.599999999999994</v>
      </c>
      <c r="AD44" s="10" t="str">
        <f>VLOOKUP(A:A,[1]TDSheet!$A:$AF,32,0)</f>
        <v>Мера</v>
      </c>
      <c r="AE44" s="10">
        <f t="shared" si="6"/>
        <v>149.36000000000004</v>
      </c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</row>
    <row r="45" spans="1:89" ht="11.1" customHeight="1" x14ac:dyDescent="0.2">
      <c r="A45" s="8" t="s">
        <v>45</v>
      </c>
      <c r="B45" s="8" t="s">
        <v>10</v>
      </c>
      <c r="C45" s="9">
        <v>351.93400000000003</v>
      </c>
      <c r="D45" s="9">
        <v>2.7149999999999999</v>
      </c>
      <c r="E45" s="9">
        <v>114.393</v>
      </c>
      <c r="F45" s="9">
        <v>236.81</v>
      </c>
      <c r="G45" s="10" t="str">
        <f>VLOOKUP(A:A,[1]TDSheet!$A:$G,7,0)</f>
        <v>P003234</v>
      </c>
      <c r="H45" s="21">
        <f>VLOOKUP(A:A,[1]TDSheet!$A:$H,8,0)</f>
        <v>1</v>
      </c>
      <c r="I45" s="10">
        <f>VLOOKUP(A:A,[1]TDSheet!$A:$I,9,0)</f>
        <v>50</v>
      </c>
      <c r="J45" s="10" t="str">
        <f>VLOOKUP(A:A,[1]TDSheet!$A:$J,10,0)</f>
        <v>матрица</v>
      </c>
      <c r="K45" s="10"/>
      <c r="L45" s="10">
        <f>VLOOKUP(A:A,[2]TDSheet!$A:$B,2,0)</f>
        <v>118.2</v>
      </c>
      <c r="M45" s="10">
        <f t="shared" si="1"/>
        <v>-3.8070000000000022</v>
      </c>
      <c r="N45" s="10"/>
      <c r="O45" s="10">
        <f>VLOOKUP(A:A,[1]TDSheet!$A:$R,18,0)</f>
        <v>0</v>
      </c>
      <c r="P45" s="10">
        <f>VLOOKUP(A:A,[1]TDSheet!$A:$S,19,0)</f>
        <v>0</v>
      </c>
      <c r="Q45" s="10">
        <f>VLOOKUP(A:A,[1]TDSheet!$A:$T,20,0)</f>
        <v>0</v>
      </c>
      <c r="R45" s="10">
        <f>VLOOKUP(A:A,[1]TDSheet!$A:$U,21,0)</f>
        <v>0</v>
      </c>
      <c r="S45" s="10">
        <f>VLOOKUP(A:A,[1]TDSheet!$A:$W,23,0)</f>
        <v>0</v>
      </c>
      <c r="T45" s="10">
        <f t="shared" si="2"/>
        <v>22.878599999999999</v>
      </c>
      <c r="U45" s="22"/>
      <c r="V45" s="22"/>
      <c r="W45" s="10"/>
      <c r="X45" s="10">
        <f t="shared" si="4"/>
        <v>10.35072076088572</v>
      </c>
      <c r="Y45" s="10">
        <f t="shared" si="5"/>
        <v>10.35072076088572</v>
      </c>
      <c r="Z45" s="10">
        <f>VLOOKUP(A:A,[1]TDSheet!$A:$AB,28,0)</f>
        <v>16.0274</v>
      </c>
      <c r="AA45" s="10">
        <f>VLOOKUP(A:A,[1]TDSheet!$A:$AC,29,0)</f>
        <v>26.979399999999998</v>
      </c>
      <c r="AB45" s="10">
        <f>VLOOKUP(A:A,[1]TDSheet!$A:$AD,30,0)</f>
        <v>44.077399999999997</v>
      </c>
      <c r="AC45" s="10">
        <f>VLOOKUP(A:A,[1]TDSheet!$A:$AE,31,0)</f>
        <v>26.501999999999999</v>
      </c>
      <c r="AD45" s="10">
        <f>VLOOKUP(A:A,[1]TDSheet!$A:$AF,32,0)</f>
        <v>0</v>
      </c>
      <c r="AE45" s="10">
        <f t="shared" si="6"/>
        <v>0</v>
      </c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</row>
    <row r="46" spans="1:89" ht="11.1" customHeight="1" x14ac:dyDescent="0.2">
      <c r="A46" s="8" t="s">
        <v>46</v>
      </c>
      <c r="B46" s="8" t="s">
        <v>10</v>
      </c>
      <c r="C46" s="9">
        <v>548.53499999999997</v>
      </c>
      <c r="D46" s="9">
        <v>203.91900000000001</v>
      </c>
      <c r="E46" s="9">
        <v>442.54899999999998</v>
      </c>
      <c r="F46" s="9">
        <v>216.446</v>
      </c>
      <c r="G46" s="10" t="str">
        <f>VLOOKUP(A:A,[1]TDSheet!$A:$G,7,0)</f>
        <v>P003239</v>
      </c>
      <c r="H46" s="21">
        <f>VLOOKUP(A:A,[1]TDSheet!$A:$H,8,0)</f>
        <v>1</v>
      </c>
      <c r="I46" s="10">
        <f>VLOOKUP(A:A,[1]TDSheet!$A:$I,9,0)</f>
        <v>50</v>
      </c>
      <c r="J46" s="10" t="str">
        <f>VLOOKUP(A:A,[1]TDSheet!$A:$J,10,0)</f>
        <v>матрица</v>
      </c>
      <c r="K46" s="10"/>
      <c r="L46" s="10">
        <f>VLOOKUP(A:A,[2]TDSheet!$A:$B,2,0)</f>
        <v>518.74</v>
      </c>
      <c r="M46" s="10">
        <f t="shared" si="1"/>
        <v>-76.191000000000031</v>
      </c>
      <c r="N46" s="10"/>
      <c r="O46" s="10">
        <f>VLOOKUP(A:A,[1]TDSheet!$A:$R,18,0)</f>
        <v>0</v>
      </c>
      <c r="P46" s="10">
        <f>VLOOKUP(A:A,[1]TDSheet!$A:$S,19,0)</f>
        <v>0</v>
      </c>
      <c r="Q46" s="10">
        <f>VLOOKUP(A:A,[1]TDSheet!$A:$T,20,0)</f>
        <v>0</v>
      </c>
      <c r="R46" s="10">
        <f>VLOOKUP(A:A,[1]TDSheet!$A:$U,21,0)</f>
        <v>340</v>
      </c>
      <c r="S46" s="10">
        <f>VLOOKUP(A:A,[1]TDSheet!$A:$W,23,0)</f>
        <v>180</v>
      </c>
      <c r="T46" s="10">
        <f t="shared" si="2"/>
        <v>88.509799999999998</v>
      </c>
      <c r="U46" s="22">
        <f t="shared" si="3"/>
        <v>237.16179999999997</v>
      </c>
      <c r="V46" s="22"/>
      <c r="W46" s="10"/>
      <c r="X46" s="10">
        <f t="shared" si="4"/>
        <v>11</v>
      </c>
      <c r="Y46" s="10">
        <f t="shared" si="5"/>
        <v>2.4454467188944049</v>
      </c>
      <c r="Z46" s="10">
        <f>VLOOKUP(A:A,[1]TDSheet!$A:$AB,28,0)</f>
        <v>72.198800000000006</v>
      </c>
      <c r="AA46" s="10">
        <f>VLOOKUP(A:A,[1]TDSheet!$A:$AC,29,0)</f>
        <v>79.126999999999995</v>
      </c>
      <c r="AB46" s="10">
        <f>VLOOKUP(A:A,[1]TDSheet!$A:$AD,30,0)</f>
        <v>104.37840000000001</v>
      </c>
      <c r="AC46" s="10">
        <f>VLOOKUP(A:A,[1]TDSheet!$A:$AE,31,0)</f>
        <v>89.689599999999999</v>
      </c>
      <c r="AD46" s="10">
        <f>VLOOKUP(A:A,[1]TDSheet!$A:$AF,32,0)</f>
        <v>0</v>
      </c>
      <c r="AE46" s="10">
        <f t="shared" si="6"/>
        <v>237.16179999999997</v>
      </c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</row>
    <row r="47" spans="1:89" ht="11.1" customHeight="1" x14ac:dyDescent="0.2">
      <c r="A47" s="8" t="s">
        <v>47</v>
      </c>
      <c r="B47" s="8" t="s">
        <v>14</v>
      </c>
      <c r="C47" s="9">
        <v>319.17700000000002</v>
      </c>
      <c r="D47" s="9">
        <v>206</v>
      </c>
      <c r="E47" s="9">
        <v>406.01600000000002</v>
      </c>
      <c r="F47" s="9">
        <v>99.161000000000001</v>
      </c>
      <c r="G47" s="10" t="str">
        <f>VLOOKUP(A:A,[1]TDSheet!$A:$G,7,0)</f>
        <v>P003227</v>
      </c>
      <c r="H47" s="21">
        <f>VLOOKUP(A:A,[1]TDSheet!$A:$H,8,0)</f>
        <v>0.45</v>
      </c>
      <c r="I47" s="10">
        <f>VLOOKUP(A:A,[1]TDSheet!$A:$I,9,0)</f>
        <v>0</v>
      </c>
      <c r="J47" s="10" t="str">
        <f>VLOOKUP(A:A,[1]TDSheet!$A:$J,10,0)</f>
        <v>матрица</v>
      </c>
      <c r="K47" s="10"/>
      <c r="L47" s="10">
        <f>VLOOKUP(A:A,[2]TDSheet!$A:$B,2,0)</f>
        <v>436</v>
      </c>
      <c r="M47" s="10">
        <f t="shared" si="1"/>
        <v>-29.98399999999998</v>
      </c>
      <c r="N47" s="10"/>
      <c r="O47" s="10">
        <f>VLOOKUP(A:A,[1]TDSheet!$A:$R,18,0)</f>
        <v>0</v>
      </c>
      <c r="P47" s="10">
        <f>VLOOKUP(A:A,[1]TDSheet!$A:$S,19,0)</f>
        <v>0</v>
      </c>
      <c r="Q47" s="10">
        <f>VLOOKUP(A:A,[1]TDSheet!$A:$T,20,0)</f>
        <v>0</v>
      </c>
      <c r="R47" s="10">
        <f>VLOOKUP(A:A,[1]TDSheet!$A:$U,21,0)</f>
        <v>540</v>
      </c>
      <c r="S47" s="10">
        <f>VLOOKUP(A:A,[1]TDSheet!$A:$W,23,0)</f>
        <v>280</v>
      </c>
      <c r="T47" s="10">
        <f t="shared" si="2"/>
        <v>81.20320000000001</v>
      </c>
      <c r="U47" s="22"/>
      <c r="V47" s="22"/>
      <c r="W47" s="10"/>
      <c r="X47" s="10">
        <f t="shared" si="4"/>
        <v>11.319270669136191</v>
      </c>
      <c r="Y47" s="10">
        <f t="shared" si="5"/>
        <v>1.2211464572824715</v>
      </c>
      <c r="Z47" s="10">
        <f>VLOOKUP(A:A,[1]TDSheet!$A:$AB,28,0)</f>
        <v>122.6</v>
      </c>
      <c r="AA47" s="10">
        <f>VLOOKUP(A:A,[1]TDSheet!$A:$AC,29,0)</f>
        <v>106.3646</v>
      </c>
      <c r="AB47" s="10">
        <f>VLOOKUP(A:A,[1]TDSheet!$A:$AD,30,0)</f>
        <v>74.2</v>
      </c>
      <c r="AC47" s="10">
        <f>VLOOKUP(A:A,[1]TDSheet!$A:$AE,31,0)</f>
        <v>95.6</v>
      </c>
      <c r="AD47" s="10" t="str">
        <f>VLOOKUP(A:A,[1]TDSheet!$A:$AF,32,0)</f>
        <v>ТМА ПРОДОЛЖЕНИЕ Апрель</v>
      </c>
      <c r="AE47" s="10">
        <f t="shared" si="6"/>
        <v>0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</row>
    <row r="48" spans="1:89" ht="11.1" customHeight="1" x14ac:dyDescent="0.2">
      <c r="A48" s="8" t="s">
        <v>48</v>
      </c>
      <c r="B48" s="8" t="s">
        <v>14</v>
      </c>
      <c r="C48" s="9">
        <v>215</v>
      </c>
      <c r="D48" s="9">
        <v>583</v>
      </c>
      <c r="E48" s="9">
        <v>493</v>
      </c>
      <c r="F48" s="9">
        <v>302</v>
      </c>
      <c r="G48" s="10" t="str">
        <f>VLOOKUP(A:A,[1]TDSheet!$A:$G,7,0)</f>
        <v>P003228</v>
      </c>
      <c r="H48" s="21">
        <f>VLOOKUP(A:A,[1]TDSheet!$A:$H,8,0)</f>
        <v>0.45</v>
      </c>
      <c r="I48" s="10">
        <f>VLOOKUP(A:A,[1]TDSheet!$A:$I,9,0)</f>
        <v>50</v>
      </c>
      <c r="J48" s="10" t="str">
        <f>VLOOKUP(A:A,[1]TDSheet!$A:$J,10,0)</f>
        <v>матрица</v>
      </c>
      <c r="K48" s="10"/>
      <c r="L48" s="10">
        <f>VLOOKUP(A:A,[2]TDSheet!$A:$B,2,0)</f>
        <v>597</v>
      </c>
      <c r="M48" s="10">
        <f t="shared" si="1"/>
        <v>-104</v>
      </c>
      <c r="N48" s="10"/>
      <c r="O48" s="10">
        <f>VLOOKUP(A:A,[1]TDSheet!$A:$R,18,0)</f>
        <v>0</v>
      </c>
      <c r="P48" s="10">
        <f>VLOOKUP(A:A,[1]TDSheet!$A:$S,19,0)</f>
        <v>0</v>
      </c>
      <c r="Q48" s="10">
        <f>VLOOKUP(A:A,[1]TDSheet!$A:$T,20,0)</f>
        <v>0</v>
      </c>
      <c r="R48" s="10">
        <f>VLOOKUP(A:A,[1]TDSheet!$A:$U,21,0)</f>
        <v>170</v>
      </c>
      <c r="S48" s="10">
        <f>VLOOKUP(A:A,[1]TDSheet!$A:$W,23,0)</f>
        <v>340</v>
      </c>
      <c r="T48" s="10">
        <f t="shared" si="2"/>
        <v>98.6</v>
      </c>
      <c r="U48" s="22">
        <f t="shared" si="3"/>
        <v>272.59999999999991</v>
      </c>
      <c r="V48" s="22"/>
      <c r="W48" s="10"/>
      <c r="X48" s="10">
        <f t="shared" si="4"/>
        <v>11</v>
      </c>
      <c r="Y48" s="10">
        <f t="shared" si="5"/>
        <v>3.0628803245436109</v>
      </c>
      <c r="Z48" s="10">
        <f>VLOOKUP(A:A,[1]TDSheet!$A:$AB,28,0)</f>
        <v>103</v>
      </c>
      <c r="AA48" s="10">
        <f>VLOOKUP(A:A,[1]TDSheet!$A:$AC,29,0)</f>
        <v>68.2</v>
      </c>
      <c r="AB48" s="10">
        <f>VLOOKUP(A:A,[1]TDSheet!$A:$AD,30,0)</f>
        <v>81.8</v>
      </c>
      <c r="AC48" s="10">
        <f>VLOOKUP(A:A,[1]TDSheet!$A:$AE,31,0)</f>
        <v>87.2</v>
      </c>
      <c r="AD48" s="10">
        <f>VLOOKUP(A:A,[1]TDSheet!$A:$AF,32,0)</f>
        <v>0</v>
      </c>
      <c r="AE48" s="10">
        <f t="shared" si="6"/>
        <v>122.66999999999996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</row>
    <row r="49" spans="1:89" ht="11.1" customHeight="1" x14ac:dyDescent="0.2">
      <c r="A49" s="8" t="s">
        <v>49</v>
      </c>
      <c r="B49" s="8" t="s">
        <v>14</v>
      </c>
      <c r="C49" s="9">
        <v>86</v>
      </c>
      <c r="D49" s="9"/>
      <c r="E49" s="9">
        <v>31</v>
      </c>
      <c r="F49" s="9">
        <v>53</v>
      </c>
      <c r="G49" s="10" t="str">
        <f>VLOOKUP(A:A,[1]TDSheet!$A:$G,7,0)</f>
        <v>P003961</v>
      </c>
      <c r="H49" s="21">
        <f>VLOOKUP(A:A,[1]TDSheet!$A:$H,8,0)</f>
        <v>0.4</v>
      </c>
      <c r="I49" s="10">
        <f>VLOOKUP(A:A,[1]TDSheet!$A:$I,9,0)</f>
        <v>40</v>
      </c>
      <c r="J49" s="10" t="str">
        <f>VLOOKUP(A:A,[1]TDSheet!$A:$J,10,0)</f>
        <v>матрица</v>
      </c>
      <c r="K49" s="10"/>
      <c r="L49" s="10">
        <f>VLOOKUP(A:A,[2]TDSheet!$A:$B,2,0)</f>
        <v>38</v>
      </c>
      <c r="M49" s="10">
        <f t="shared" si="1"/>
        <v>-7</v>
      </c>
      <c r="N49" s="10"/>
      <c r="O49" s="10">
        <f>VLOOKUP(A:A,[1]TDSheet!$A:$R,18,0)</f>
        <v>0</v>
      </c>
      <c r="P49" s="10">
        <f>VLOOKUP(A:A,[1]TDSheet!$A:$S,19,0)</f>
        <v>0</v>
      </c>
      <c r="Q49" s="10">
        <f>VLOOKUP(A:A,[1]TDSheet!$A:$T,20,0)</f>
        <v>0</v>
      </c>
      <c r="R49" s="10">
        <f>VLOOKUP(A:A,[1]TDSheet!$A:$U,21,0)</f>
        <v>0</v>
      </c>
      <c r="S49" s="10">
        <f>VLOOKUP(A:A,[1]TDSheet!$A:$W,23,0)</f>
        <v>0</v>
      </c>
      <c r="T49" s="10">
        <f t="shared" si="2"/>
        <v>6.2</v>
      </c>
      <c r="U49" s="22"/>
      <c r="V49" s="22"/>
      <c r="W49" s="10"/>
      <c r="X49" s="10">
        <f t="shared" si="4"/>
        <v>8.5483870967741939</v>
      </c>
      <c r="Y49" s="10">
        <f t="shared" si="5"/>
        <v>8.5483870967741939</v>
      </c>
      <c r="Z49" s="10">
        <f>VLOOKUP(A:A,[1]TDSheet!$A:$AB,28,0)</f>
        <v>13.8</v>
      </c>
      <c r="AA49" s="10">
        <f>VLOOKUP(A:A,[1]TDSheet!$A:$AC,29,0)</f>
        <v>6</v>
      </c>
      <c r="AB49" s="10">
        <f>VLOOKUP(A:A,[1]TDSheet!$A:$AD,30,0)</f>
        <v>7.6</v>
      </c>
      <c r="AC49" s="10">
        <f>VLOOKUP(A:A,[1]TDSheet!$A:$AE,31,0)</f>
        <v>3.6</v>
      </c>
      <c r="AD49" s="10" t="str">
        <f>VLOOKUP(A:A,[1]TDSheet!$A:$AF,32,0)</f>
        <v>ТМА декабрь_январь</v>
      </c>
      <c r="AE49" s="10">
        <f t="shared" si="6"/>
        <v>0</v>
      </c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</row>
    <row r="50" spans="1:89" ht="11.1" customHeight="1" x14ac:dyDescent="0.2">
      <c r="A50" s="8" t="s">
        <v>50</v>
      </c>
      <c r="B50" s="8" t="s">
        <v>10</v>
      </c>
      <c r="C50" s="9">
        <v>611.34799999999996</v>
      </c>
      <c r="D50" s="9">
        <v>139.47900000000001</v>
      </c>
      <c r="E50" s="9">
        <v>493.01299999999998</v>
      </c>
      <c r="F50" s="9">
        <v>255.066</v>
      </c>
      <c r="G50" s="10" t="str">
        <f>VLOOKUP(A:A,[1]TDSheet!$A:$G,7,0)</f>
        <v>P003235</v>
      </c>
      <c r="H50" s="21">
        <f>VLOOKUP(A:A,[1]TDSheet!$A:$H,8,0)</f>
        <v>1</v>
      </c>
      <c r="I50" s="10">
        <f>VLOOKUP(A:A,[1]TDSheet!$A:$I,9,0)</f>
        <v>50</v>
      </c>
      <c r="J50" s="10" t="str">
        <f>VLOOKUP(A:A,[1]TDSheet!$A:$J,10,0)</f>
        <v>матрица</v>
      </c>
      <c r="K50" s="10"/>
      <c r="L50" s="10">
        <f>VLOOKUP(A:A,[2]TDSheet!$A:$B,2,0)</f>
        <v>478.8</v>
      </c>
      <c r="M50" s="10">
        <f t="shared" si="1"/>
        <v>14.212999999999965</v>
      </c>
      <c r="N50" s="10"/>
      <c r="O50" s="10">
        <f>VLOOKUP(A:A,[1]TDSheet!$A:$R,18,0)</f>
        <v>0</v>
      </c>
      <c r="P50" s="10">
        <f>VLOOKUP(A:A,[1]TDSheet!$A:$S,19,0)</f>
        <v>0</v>
      </c>
      <c r="Q50" s="10">
        <f>VLOOKUP(A:A,[1]TDSheet!$A:$T,20,0)</f>
        <v>0</v>
      </c>
      <c r="R50" s="10">
        <f>VLOOKUP(A:A,[1]TDSheet!$A:$U,21,0)</f>
        <v>120</v>
      </c>
      <c r="S50" s="10">
        <f>VLOOKUP(A:A,[1]TDSheet!$A:$W,23,0)</f>
        <v>260</v>
      </c>
      <c r="T50" s="10">
        <f t="shared" si="2"/>
        <v>98.602599999999995</v>
      </c>
      <c r="U50" s="22">
        <f t="shared" si="3"/>
        <v>449.56259999999997</v>
      </c>
      <c r="V50" s="22"/>
      <c r="W50" s="10"/>
      <c r="X50" s="10">
        <f t="shared" si="4"/>
        <v>11</v>
      </c>
      <c r="Y50" s="10">
        <f t="shared" si="5"/>
        <v>2.5868080557713489</v>
      </c>
      <c r="Z50" s="10">
        <f>VLOOKUP(A:A,[1]TDSheet!$A:$AB,28,0)</f>
        <v>84.755600000000001</v>
      </c>
      <c r="AA50" s="10">
        <f>VLOOKUP(A:A,[1]TDSheet!$A:$AC,29,0)</f>
        <v>107.6558</v>
      </c>
      <c r="AB50" s="10">
        <f>VLOOKUP(A:A,[1]TDSheet!$A:$AD,30,0)</f>
        <v>104.7816</v>
      </c>
      <c r="AC50" s="10">
        <f>VLOOKUP(A:A,[1]TDSheet!$A:$AE,31,0)</f>
        <v>77.586399999999998</v>
      </c>
      <c r="AD50" s="10" t="str">
        <f>VLOOKUP(A:A,[1]TDSheet!$A:$AF,32,0)</f>
        <v>ТМА ПРОДОЛЖЕНИЕ Апрель</v>
      </c>
      <c r="AE50" s="10">
        <f t="shared" si="6"/>
        <v>449.56259999999997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</row>
    <row r="51" spans="1:89" ht="11.1" customHeight="1" x14ac:dyDescent="0.2">
      <c r="A51" s="8" t="s">
        <v>51</v>
      </c>
      <c r="B51" s="8" t="s">
        <v>14</v>
      </c>
      <c r="C51" s="9">
        <v>106</v>
      </c>
      <c r="D51" s="9">
        <v>144</v>
      </c>
      <c r="E51" s="9">
        <v>108</v>
      </c>
      <c r="F51" s="9">
        <v>140</v>
      </c>
      <c r="G51" s="10" t="str">
        <f>VLOOKUP(A:A,[1]TDSheet!$A:$G,7,0)</f>
        <v>P003253</v>
      </c>
      <c r="H51" s="21">
        <f>VLOOKUP(A:A,[1]TDSheet!$A:$H,8,0)</f>
        <v>0.1</v>
      </c>
      <c r="I51" s="10">
        <f>VLOOKUP(A:A,[1]TDSheet!$A:$I,9,0)</f>
        <v>730</v>
      </c>
      <c r="J51" s="10" t="str">
        <f>VLOOKUP(A:A,[1]TDSheet!$A:$J,10,0)</f>
        <v>матрица</v>
      </c>
      <c r="K51" s="10"/>
      <c r="L51" s="10">
        <f>VLOOKUP(A:A,[2]TDSheet!$A:$B,2,0)</f>
        <v>131</v>
      </c>
      <c r="M51" s="10">
        <f t="shared" si="1"/>
        <v>-23</v>
      </c>
      <c r="N51" s="10"/>
      <c r="O51" s="10">
        <f>VLOOKUP(A:A,[1]TDSheet!$A:$R,18,0)</f>
        <v>0</v>
      </c>
      <c r="P51" s="10">
        <f>VLOOKUP(A:A,[1]TDSheet!$A:$S,19,0)</f>
        <v>0</v>
      </c>
      <c r="Q51" s="10">
        <f>VLOOKUP(A:A,[1]TDSheet!$A:$T,20,0)</f>
        <v>0</v>
      </c>
      <c r="R51" s="10">
        <f>VLOOKUP(A:A,[1]TDSheet!$A:$U,21,0)</f>
        <v>70</v>
      </c>
      <c r="S51" s="10">
        <f>VLOOKUP(A:A,[1]TDSheet!$A:$W,23,0)</f>
        <v>0</v>
      </c>
      <c r="T51" s="10">
        <f t="shared" si="2"/>
        <v>21.6</v>
      </c>
      <c r="U51" s="22"/>
      <c r="V51" s="22"/>
      <c r="W51" s="10"/>
      <c r="X51" s="10">
        <f t="shared" si="4"/>
        <v>9.7222222222222214</v>
      </c>
      <c r="Y51" s="10">
        <f t="shared" si="5"/>
        <v>6.481481481481481</v>
      </c>
      <c r="Z51" s="10">
        <f>VLOOKUP(A:A,[1]TDSheet!$A:$AB,28,0)</f>
        <v>24</v>
      </c>
      <c r="AA51" s="10">
        <f>VLOOKUP(A:A,[1]TDSheet!$A:$AC,29,0)</f>
        <v>27.6</v>
      </c>
      <c r="AB51" s="10">
        <f>VLOOKUP(A:A,[1]TDSheet!$A:$AD,30,0)</f>
        <v>26.8</v>
      </c>
      <c r="AC51" s="10">
        <f>VLOOKUP(A:A,[1]TDSheet!$A:$AE,31,0)</f>
        <v>28.2</v>
      </c>
      <c r="AD51" s="10">
        <f>VLOOKUP(A:A,[1]TDSheet!$A:$AF,32,0)</f>
        <v>0</v>
      </c>
      <c r="AE51" s="10">
        <f t="shared" si="6"/>
        <v>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</row>
    <row r="52" spans="1:89" ht="11.1" customHeight="1" x14ac:dyDescent="0.2">
      <c r="A52" s="8" t="s">
        <v>52</v>
      </c>
      <c r="B52" s="8" t="s">
        <v>10</v>
      </c>
      <c r="C52" s="9">
        <v>836.07600000000002</v>
      </c>
      <c r="D52" s="9">
        <v>5.4050000000000002</v>
      </c>
      <c r="E52" s="9">
        <v>447.74099999999999</v>
      </c>
      <c r="F52" s="9">
        <v>390.24200000000002</v>
      </c>
      <c r="G52" s="10" t="str">
        <f>VLOOKUP(A:A,[1]TDSheet!$A:$G,7,0)</f>
        <v>P003357</v>
      </c>
      <c r="H52" s="21">
        <f>VLOOKUP(A:A,[1]TDSheet!$A:$H,8,0)</f>
        <v>1</v>
      </c>
      <c r="I52" s="10">
        <f>VLOOKUP(A:A,[1]TDSheet!$A:$I,9,0)</f>
        <v>50</v>
      </c>
      <c r="J52" s="10" t="str">
        <f>VLOOKUP(A:A,[1]TDSheet!$A:$J,10,0)</f>
        <v>матрица</v>
      </c>
      <c r="K52" s="10"/>
      <c r="L52" s="10">
        <f>VLOOKUP(A:A,[2]TDSheet!$A:$B,2,0)</f>
        <v>437.5</v>
      </c>
      <c r="M52" s="10">
        <f t="shared" si="1"/>
        <v>10.240999999999985</v>
      </c>
      <c r="N52" s="10"/>
      <c r="O52" s="10">
        <f>VLOOKUP(A:A,[1]TDSheet!$A:$R,18,0)</f>
        <v>0</v>
      </c>
      <c r="P52" s="10">
        <f>VLOOKUP(A:A,[1]TDSheet!$A:$S,19,0)</f>
        <v>0</v>
      </c>
      <c r="Q52" s="10">
        <f>VLOOKUP(A:A,[1]TDSheet!$A:$T,20,0)</f>
        <v>0</v>
      </c>
      <c r="R52" s="10">
        <f>VLOOKUP(A:A,[1]TDSheet!$A:$U,21,0)</f>
        <v>300</v>
      </c>
      <c r="S52" s="10">
        <f>VLOOKUP(A:A,[1]TDSheet!$A:$W,23,0)</f>
        <v>150</v>
      </c>
      <c r="T52" s="10">
        <f t="shared" si="2"/>
        <v>89.548199999999994</v>
      </c>
      <c r="U52" s="22">
        <f t="shared" si="3"/>
        <v>144.78819999999996</v>
      </c>
      <c r="V52" s="22"/>
      <c r="W52" s="10"/>
      <c r="X52" s="10">
        <f t="shared" si="4"/>
        <v>11</v>
      </c>
      <c r="Y52" s="10">
        <f t="shared" si="5"/>
        <v>4.3578988745725766</v>
      </c>
      <c r="Z52" s="10">
        <f>VLOOKUP(A:A,[1]TDSheet!$A:$AB,28,0)</f>
        <v>78.435599999999994</v>
      </c>
      <c r="AA52" s="10">
        <f>VLOOKUP(A:A,[1]TDSheet!$A:$AC,29,0)</f>
        <v>86.919399999999996</v>
      </c>
      <c r="AB52" s="10">
        <f>VLOOKUP(A:A,[1]TDSheet!$A:$AD,30,0)</f>
        <v>118.1324</v>
      </c>
      <c r="AC52" s="10">
        <f>VLOOKUP(A:A,[1]TDSheet!$A:$AE,31,0)</f>
        <v>103.81320000000001</v>
      </c>
      <c r="AD52" s="10" t="str">
        <f>VLOOKUP(A:A,[1]TDSheet!$A:$AF,32,0)</f>
        <v>увел продажи</v>
      </c>
      <c r="AE52" s="10">
        <f t="shared" si="6"/>
        <v>144.78819999999996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</row>
    <row r="53" spans="1:89" ht="11.1" customHeight="1" x14ac:dyDescent="0.2">
      <c r="A53" s="8" t="s">
        <v>53</v>
      </c>
      <c r="B53" s="8" t="s">
        <v>10</v>
      </c>
      <c r="C53" s="9">
        <v>76.566999999999993</v>
      </c>
      <c r="D53" s="9"/>
      <c r="E53" s="9">
        <v>26.047000000000001</v>
      </c>
      <c r="F53" s="9">
        <v>50.52</v>
      </c>
      <c r="G53" s="10" t="str">
        <f>VLOOKUP(A:A,[1]TDSheet!$A:$G,7,0)</f>
        <v>P004607</v>
      </c>
      <c r="H53" s="21">
        <f>VLOOKUP(A:A,[1]TDSheet!$A:$H,8,0)</f>
        <v>1</v>
      </c>
      <c r="I53" s="10">
        <f>VLOOKUP(A:A,[1]TDSheet!$A:$I,9,0)</f>
        <v>50</v>
      </c>
      <c r="J53" s="10" t="str">
        <f>VLOOKUP(A:A,[1]TDSheet!$A:$J,10,0)</f>
        <v>матрица</v>
      </c>
      <c r="K53" s="10"/>
      <c r="L53" s="10">
        <f>VLOOKUP(A:A,[2]TDSheet!$A:$B,2,0)</f>
        <v>24.7</v>
      </c>
      <c r="M53" s="10">
        <f t="shared" si="1"/>
        <v>1.3470000000000013</v>
      </c>
      <c r="N53" s="10"/>
      <c r="O53" s="10">
        <f>VLOOKUP(A:A,[1]TDSheet!$A:$R,18,0)</f>
        <v>0</v>
      </c>
      <c r="P53" s="10">
        <f>VLOOKUP(A:A,[1]TDSheet!$A:$S,19,0)</f>
        <v>0</v>
      </c>
      <c r="Q53" s="10">
        <f>VLOOKUP(A:A,[1]TDSheet!$A:$T,20,0)</f>
        <v>0</v>
      </c>
      <c r="R53" s="10">
        <f>VLOOKUP(A:A,[1]TDSheet!$A:$U,21,0)</f>
        <v>0</v>
      </c>
      <c r="S53" s="10">
        <f>VLOOKUP(A:A,[1]TDSheet!$A:$W,23,0)</f>
        <v>0</v>
      </c>
      <c r="T53" s="10">
        <f t="shared" si="2"/>
        <v>5.2094000000000005</v>
      </c>
      <c r="U53" s="22"/>
      <c r="V53" s="22"/>
      <c r="W53" s="10"/>
      <c r="X53" s="10">
        <f t="shared" si="4"/>
        <v>9.6978538795254732</v>
      </c>
      <c r="Y53" s="10">
        <f t="shared" si="5"/>
        <v>9.6978538795254732</v>
      </c>
      <c r="Z53" s="10">
        <f>VLOOKUP(A:A,[1]TDSheet!$A:$AB,28,0)</f>
        <v>14.451599999999999</v>
      </c>
      <c r="AA53" s="10">
        <f>VLOOKUP(A:A,[1]TDSheet!$A:$AC,29,0)</f>
        <v>7.6686000000000005</v>
      </c>
      <c r="AB53" s="10">
        <f>VLOOKUP(A:A,[1]TDSheet!$A:$AD,30,0)</f>
        <v>5.4643999999999995</v>
      </c>
      <c r="AC53" s="10">
        <f>VLOOKUP(A:A,[1]TDSheet!$A:$AE,31,0)</f>
        <v>7.1104000000000003</v>
      </c>
      <c r="AD53" s="10" t="str">
        <f>VLOOKUP(A:A,[1]TDSheet!$A:$AF,32,0)</f>
        <v>увел продажи</v>
      </c>
      <c r="AE53" s="10">
        <f t="shared" si="6"/>
        <v>0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</row>
    <row r="54" spans="1:89" ht="11.1" customHeight="1" x14ac:dyDescent="0.2">
      <c r="A54" s="8" t="s">
        <v>54</v>
      </c>
      <c r="B54" s="8" t="s">
        <v>14</v>
      </c>
      <c r="C54" s="9">
        <v>49</v>
      </c>
      <c r="D54" s="9">
        <v>144</v>
      </c>
      <c r="E54" s="9">
        <v>98</v>
      </c>
      <c r="F54" s="9">
        <v>93</v>
      </c>
      <c r="G54" s="10" t="str">
        <f>VLOOKUP(A:A,[1]TDSheet!$A:$G,7,0)</f>
        <v>P003252</v>
      </c>
      <c r="H54" s="21">
        <f>VLOOKUP(A:A,[1]TDSheet!$A:$H,8,0)</f>
        <v>0.1</v>
      </c>
      <c r="I54" s="10">
        <f>VLOOKUP(A:A,[1]TDSheet!$A:$I,9,0)</f>
        <v>730</v>
      </c>
      <c r="J54" s="10" t="str">
        <f>VLOOKUP(A:A,[1]TDSheet!$A:$J,10,0)</f>
        <v>матрица</v>
      </c>
      <c r="K54" s="10"/>
      <c r="L54" s="10">
        <f>VLOOKUP(A:A,[2]TDSheet!$A:$B,2,0)</f>
        <v>110</v>
      </c>
      <c r="M54" s="10">
        <f t="shared" si="1"/>
        <v>-12</v>
      </c>
      <c r="N54" s="10"/>
      <c r="O54" s="10">
        <f>VLOOKUP(A:A,[1]TDSheet!$A:$R,18,0)</f>
        <v>0</v>
      </c>
      <c r="P54" s="10">
        <f>VLOOKUP(A:A,[1]TDSheet!$A:$S,19,0)</f>
        <v>0</v>
      </c>
      <c r="Q54" s="10">
        <f>VLOOKUP(A:A,[1]TDSheet!$A:$T,20,0)</f>
        <v>0</v>
      </c>
      <c r="R54" s="10">
        <f>VLOOKUP(A:A,[1]TDSheet!$A:$U,21,0)</f>
        <v>80</v>
      </c>
      <c r="S54" s="10">
        <f>VLOOKUP(A:A,[1]TDSheet!$A:$W,23,0)</f>
        <v>0</v>
      </c>
      <c r="T54" s="10">
        <f t="shared" si="2"/>
        <v>19.600000000000001</v>
      </c>
      <c r="U54" s="22"/>
      <c r="V54" s="22"/>
      <c r="W54" s="10"/>
      <c r="X54" s="10">
        <f t="shared" si="4"/>
        <v>8.8265306122448965</v>
      </c>
      <c r="Y54" s="10">
        <f t="shared" si="5"/>
        <v>4.7448979591836729</v>
      </c>
      <c r="Z54" s="10">
        <f>VLOOKUP(A:A,[1]TDSheet!$A:$AB,28,0)</f>
        <v>23</v>
      </c>
      <c r="AA54" s="10">
        <f>VLOOKUP(A:A,[1]TDSheet!$A:$AC,29,0)</f>
        <v>23.6</v>
      </c>
      <c r="AB54" s="10">
        <f>VLOOKUP(A:A,[1]TDSheet!$A:$AD,30,0)</f>
        <v>20.8</v>
      </c>
      <c r="AC54" s="10">
        <f>VLOOKUP(A:A,[1]TDSheet!$A:$AE,31,0)</f>
        <v>23.6</v>
      </c>
      <c r="AD54" s="10">
        <f>VLOOKUP(A:A,[1]TDSheet!$A:$AF,32,0)</f>
        <v>0</v>
      </c>
      <c r="AE54" s="10">
        <f t="shared" si="6"/>
        <v>0</v>
      </c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</row>
    <row r="55" spans="1:89" ht="11.1" customHeight="1" x14ac:dyDescent="0.2">
      <c r="A55" s="8" t="s">
        <v>55</v>
      </c>
      <c r="B55" s="8" t="s">
        <v>14</v>
      </c>
      <c r="C55" s="9">
        <v>-4</v>
      </c>
      <c r="D55" s="9">
        <v>4</v>
      </c>
      <c r="E55" s="9">
        <v>0</v>
      </c>
      <c r="F55" s="9"/>
      <c r="G55" s="10" t="str">
        <f>VLOOKUP(A:A,[1]TDSheet!$A:$G,7,0)</f>
        <v>P003243</v>
      </c>
      <c r="H55" s="21">
        <f>VLOOKUP(A:A,[1]TDSheet!$A:$H,8,0)</f>
        <v>0.4</v>
      </c>
      <c r="I55" s="10">
        <f>VLOOKUP(A:A,[1]TDSheet!$A:$I,9,0)</f>
        <v>50</v>
      </c>
      <c r="J55" s="10" t="str">
        <f>VLOOKUP(A:A,[1]TDSheet!$A:$J,10,0)</f>
        <v>матрица</v>
      </c>
      <c r="K55" s="10"/>
      <c r="L55" s="10">
        <v>0</v>
      </c>
      <c r="M55" s="10">
        <f t="shared" si="1"/>
        <v>0</v>
      </c>
      <c r="N55" s="10"/>
      <c r="O55" s="10">
        <f>VLOOKUP(A:A,[1]TDSheet!$A:$R,18,0)</f>
        <v>0</v>
      </c>
      <c r="P55" s="10">
        <f>VLOOKUP(A:A,[1]TDSheet!$A:$S,19,0)</f>
        <v>0</v>
      </c>
      <c r="Q55" s="10">
        <f>VLOOKUP(A:A,[1]TDSheet!$A:$T,20,0)</f>
        <v>0</v>
      </c>
      <c r="R55" s="10">
        <f>VLOOKUP(A:A,[1]TDSheet!$A:$U,21,0)</f>
        <v>10</v>
      </c>
      <c r="S55" s="10">
        <f>VLOOKUP(A:A,[1]TDSheet!$A:$W,23,0)</f>
        <v>0</v>
      </c>
      <c r="T55" s="10">
        <f t="shared" si="2"/>
        <v>0</v>
      </c>
      <c r="U55" s="22"/>
      <c r="V55" s="22"/>
      <c r="W55" s="10"/>
      <c r="X55" s="10" t="e">
        <f t="shared" si="4"/>
        <v>#DIV/0!</v>
      </c>
      <c r="Y55" s="10" t="e">
        <f t="shared" si="5"/>
        <v>#DIV/0!</v>
      </c>
      <c r="Z55" s="10">
        <f>VLOOKUP(A:A,[1]TDSheet!$A:$AB,28,0)</f>
        <v>0.2</v>
      </c>
      <c r="AA55" s="10">
        <f>VLOOKUP(A:A,[1]TDSheet!$A:$AC,29,0)</f>
        <v>1</v>
      </c>
      <c r="AB55" s="10">
        <f>VLOOKUP(A:A,[1]TDSheet!$A:$AD,30,0)</f>
        <v>0.8</v>
      </c>
      <c r="AC55" s="10">
        <f>VLOOKUP(A:A,[1]TDSheet!$A:$AE,31,0)</f>
        <v>0.6</v>
      </c>
      <c r="AD55" s="10" t="str">
        <f>VLOOKUP(A:A,[1]TDSheet!$A:$AF,32,0)</f>
        <v>увел продажи</v>
      </c>
      <c r="AE55" s="10">
        <f t="shared" si="6"/>
        <v>0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</row>
    <row r="56" spans="1:89" ht="11.1" customHeight="1" x14ac:dyDescent="0.2">
      <c r="A56" s="8" t="s">
        <v>56</v>
      </c>
      <c r="B56" s="8" t="s">
        <v>10</v>
      </c>
      <c r="C56" s="9">
        <v>108.74</v>
      </c>
      <c r="D56" s="9">
        <v>83.159000000000006</v>
      </c>
      <c r="E56" s="9">
        <v>122.955</v>
      </c>
      <c r="F56" s="9">
        <v>3.9790000000000001</v>
      </c>
      <c r="G56" s="10" t="str">
        <f>VLOOKUP(A:A,[1]TDSheet!$A:$G,7,0)</f>
        <v>P003263</v>
      </c>
      <c r="H56" s="21">
        <f>VLOOKUP(A:A,[1]TDSheet!$A:$H,8,0)</f>
        <v>1</v>
      </c>
      <c r="I56" s="10">
        <f>VLOOKUP(A:A,[1]TDSheet!$A:$I,9,0)</f>
        <v>40</v>
      </c>
      <c r="J56" s="10" t="str">
        <f>VLOOKUP(A:A,[1]TDSheet!$A:$J,10,0)</f>
        <v>матрица</v>
      </c>
      <c r="K56" s="10"/>
      <c r="L56" s="10">
        <f>VLOOKUP(A:A,[2]TDSheet!$A:$B,2,0)</f>
        <v>182.1</v>
      </c>
      <c r="M56" s="10">
        <f t="shared" si="1"/>
        <v>-59.144999999999996</v>
      </c>
      <c r="N56" s="10"/>
      <c r="O56" s="10">
        <f>VLOOKUP(A:A,[1]TDSheet!$A:$R,18,0)</f>
        <v>0</v>
      </c>
      <c r="P56" s="10">
        <f>VLOOKUP(A:A,[1]TDSheet!$A:$S,19,0)</f>
        <v>0</v>
      </c>
      <c r="Q56" s="10">
        <f>VLOOKUP(A:A,[1]TDSheet!$A:$T,20,0)</f>
        <v>0</v>
      </c>
      <c r="R56" s="10">
        <f>VLOOKUP(A:A,[1]TDSheet!$A:$U,21,0)</f>
        <v>0</v>
      </c>
      <c r="S56" s="10">
        <f>VLOOKUP(A:A,[1]TDSheet!$A:$W,23,0)</f>
        <v>240</v>
      </c>
      <c r="T56" s="10">
        <f t="shared" si="2"/>
        <v>24.591000000000001</v>
      </c>
      <c r="U56" s="22"/>
      <c r="V56" s="22"/>
      <c r="W56" s="10"/>
      <c r="X56" s="10">
        <f t="shared" si="4"/>
        <v>9.9214753365052264</v>
      </c>
      <c r="Y56" s="10">
        <f t="shared" si="5"/>
        <v>0.16180716522304908</v>
      </c>
      <c r="Z56" s="10">
        <f>VLOOKUP(A:A,[1]TDSheet!$A:$AB,28,0)</f>
        <v>22.217199999999998</v>
      </c>
      <c r="AA56" s="10">
        <f>VLOOKUP(A:A,[1]TDSheet!$A:$AC,29,0)</f>
        <v>17.740400000000001</v>
      </c>
      <c r="AB56" s="10">
        <f>VLOOKUP(A:A,[1]TDSheet!$A:$AD,30,0)</f>
        <v>8.1560000000000006</v>
      </c>
      <c r="AC56" s="10">
        <f>VLOOKUP(A:A,[1]TDSheet!$A:$AE,31,0)</f>
        <v>6.88</v>
      </c>
      <c r="AD56" s="10">
        <f>VLOOKUP(A:A,[1]TDSheet!$A:$AF,32,0)</f>
        <v>0</v>
      </c>
      <c r="AE56" s="10">
        <f t="shared" si="6"/>
        <v>0</v>
      </c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</row>
    <row r="57" spans="1:89" ht="11.1" customHeight="1" x14ac:dyDescent="0.2">
      <c r="A57" s="8" t="s">
        <v>57</v>
      </c>
      <c r="B57" s="8" t="s">
        <v>10</v>
      </c>
      <c r="C57" s="9">
        <v>58.107999999999997</v>
      </c>
      <c r="D57" s="9">
        <v>0.56000000000000005</v>
      </c>
      <c r="E57" s="9">
        <v>35.932000000000002</v>
      </c>
      <c r="F57" s="9">
        <v>18.693000000000001</v>
      </c>
      <c r="G57" s="10" t="str">
        <f>VLOOKUP(A:A,[1]TDSheet!$A:$G,7,0)</f>
        <v>P003266</v>
      </c>
      <c r="H57" s="21">
        <f>VLOOKUP(A:A,[1]TDSheet!$A:$H,8,0)</f>
        <v>1</v>
      </c>
      <c r="I57" s="10">
        <f>VLOOKUP(A:A,[1]TDSheet!$A:$I,9,0)</f>
        <v>40</v>
      </c>
      <c r="J57" s="10" t="str">
        <f>VLOOKUP(A:A,[1]TDSheet!$A:$J,10,0)</f>
        <v>матрица</v>
      </c>
      <c r="K57" s="10"/>
      <c r="L57" s="10">
        <f>VLOOKUP(A:A,[2]TDSheet!$A:$B,2,0)</f>
        <v>43.4</v>
      </c>
      <c r="M57" s="10">
        <f t="shared" si="1"/>
        <v>-7.4679999999999964</v>
      </c>
      <c r="N57" s="10"/>
      <c r="O57" s="10">
        <f>VLOOKUP(A:A,[1]TDSheet!$A:$R,18,0)</f>
        <v>0</v>
      </c>
      <c r="P57" s="10">
        <f>VLOOKUP(A:A,[1]TDSheet!$A:$S,19,0)</f>
        <v>0</v>
      </c>
      <c r="Q57" s="10">
        <f>VLOOKUP(A:A,[1]TDSheet!$A:$T,20,0)</f>
        <v>0</v>
      </c>
      <c r="R57" s="10">
        <f>VLOOKUP(A:A,[1]TDSheet!$A:$U,21,0)</f>
        <v>0</v>
      </c>
      <c r="S57" s="10">
        <f>VLOOKUP(A:A,[1]TDSheet!$A:$W,23,0)</f>
        <v>0</v>
      </c>
      <c r="T57" s="10">
        <f t="shared" si="2"/>
        <v>7.1864000000000008</v>
      </c>
      <c r="U57" s="22"/>
      <c r="V57" s="22"/>
      <c r="W57" s="10"/>
      <c r="X57" s="10">
        <f t="shared" si="4"/>
        <v>2.6011633084715573</v>
      </c>
      <c r="Y57" s="10">
        <f t="shared" si="5"/>
        <v>2.6011633084715573</v>
      </c>
      <c r="Z57" s="10">
        <f>VLOOKUP(A:A,[1]TDSheet!$A:$AB,28,0)</f>
        <v>4.3975999999999997</v>
      </c>
      <c r="AA57" s="10">
        <f>VLOOKUP(A:A,[1]TDSheet!$A:$AC,29,0)</f>
        <v>3.7996000000000003</v>
      </c>
      <c r="AB57" s="10">
        <f>VLOOKUP(A:A,[1]TDSheet!$A:$AD,30,0)</f>
        <v>5.4703999999999997</v>
      </c>
      <c r="AC57" s="10">
        <f>VLOOKUP(A:A,[1]TDSheet!$A:$AE,31,0)</f>
        <v>2.8158000000000003</v>
      </c>
      <c r="AD57" s="10">
        <f>VLOOKUP(A:A,[1]TDSheet!$A:$AF,32,0)</f>
        <v>0</v>
      </c>
      <c r="AE57" s="10">
        <f t="shared" si="6"/>
        <v>0</v>
      </c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</row>
    <row r="58" spans="1:89" ht="11.1" customHeight="1" x14ac:dyDescent="0.2">
      <c r="A58" s="8" t="s">
        <v>58</v>
      </c>
      <c r="B58" s="8" t="s">
        <v>14</v>
      </c>
      <c r="C58" s="9">
        <v>315</v>
      </c>
      <c r="D58" s="9">
        <v>2</v>
      </c>
      <c r="E58" s="9">
        <v>296</v>
      </c>
      <c r="F58" s="9">
        <v>13</v>
      </c>
      <c r="G58" s="10" t="str">
        <f>VLOOKUP(A:A,[1]TDSheet!$A:$G,7,0)</f>
        <v>P003262</v>
      </c>
      <c r="H58" s="21">
        <f>VLOOKUP(A:A,[1]TDSheet!$A:$H,8,0)</f>
        <v>0.4</v>
      </c>
      <c r="I58" s="10">
        <f>VLOOKUP(A:A,[1]TDSheet!$A:$I,9,0)</f>
        <v>40</v>
      </c>
      <c r="J58" s="10" t="str">
        <f>VLOOKUP(A:A,[1]TDSheet!$A:$J,10,0)</f>
        <v>матрица</v>
      </c>
      <c r="K58" s="10"/>
      <c r="L58" s="10">
        <f>VLOOKUP(A:A,[2]TDSheet!$A:$B,2,0)</f>
        <v>637</v>
      </c>
      <c r="M58" s="10">
        <f t="shared" si="1"/>
        <v>-341</v>
      </c>
      <c r="N58" s="10"/>
      <c r="O58" s="10">
        <f>VLOOKUP(A:A,[1]TDSheet!$A:$R,18,0)</f>
        <v>0</v>
      </c>
      <c r="P58" s="10">
        <f>VLOOKUP(A:A,[1]TDSheet!$A:$S,19,0)</f>
        <v>0</v>
      </c>
      <c r="Q58" s="10">
        <f>VLOOKUP(A:A,[1]TDSheet!$A:$T,20,0)</f>
        <v>0</v>
      </c>
      <c r="R58" s="10">
        <f>VLOOKUP(A:A,[1]TDSheet!$A:$U,21,0)</f>
        <v>180</v>
      </c>
      <c r="S58" s="10">
        <f>VLOOKUP(A:A,[1]TDSheet!$A:$W,23,0)</f>
        <v>700</v>
      </c>
      <c r="T58" s="10">
        <f t="shared" si="2"/>
        <v>59.2</v>
      </c>
      <c r="U58" s="22"/>
      <c r="V58" s="22"/>
      <c r="W58" s="10"/>
      <c r="X58" s="10">
        <f t="shared" si="4"/>
        <v>15.084459459459458</v>
      </c>
      <c r="Y58" s="10">
        <f t="shared" si="5"/>
        <v>0.21959459459459457</v>
      </c>
      <c r="Z58" s="10">
        <f>VLOOKUP(A:A,[1]TDSheet!$A:$AB,28,0)</f>
        <v>122.8</v>
      </c>
      <c r="AA58" s="10">
        <f>VLOOKUP(A:A,[1]TDSheet!$A:$AC,29,0)</f>
        <v>126</v>
      </c>
      <c r="AB58" s="10">
        <f>VLOOKUP(A:A,[1]TDSheet!$A:$AD,30,0)</f>
        <v>127.8</v>
      </c>
      <c r="AC58" s="10">
        <f>VLOOKUP(A:A,[1]TDSheet!$A:$AE,31,0)</f>
        <v>117.2</v>
      </c>
      <c r="AD58" s="10" t="str">
        <f>VLOOKUP(A:A,[1]TDSheet!$A:$AF,32,0)</f>
        <v>увел продажи</v>
      </c>
      <c r="AE58" s="10">
        <f t="shared" si="6"/>
        <v>0</v>
      </c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</row>
    <row r="59" spans="1:89" ht="11.1" customHeight="1" x14ac:dyDescent="0.2">
      <c r="A59" s="8" t="s">
        <v>59</v>
      </c>
      <c r="B59" s="8" t="s">
        <v>14</v>
      </c>
      <c r="C59" s="9">
        <v>435</v>
      </c>
      <c r="D59" s="9">
        <v>268</v>
      </c>
      <c r="E59" s="9">
        <v>428</v>
      </c>
      <c r="F59" s="9">
        <v>268</v>
      </c>
      <c r="G59" s="10" t="str">
        <f>VLOOKUP(A:A,[1]TDSheet!$A:$G,7,0)</f>
        <v>P003265</v>
      </c>
      <c r="H59" s="21">
        <f>VLOOKUP(A:A,[1]TDSheet!$A:$H,8,0)</f>
        <v>0.4</v>
      </c>
      <c r="I59" s="10" t="e">
        <f>VLOOKUP(A:A,[1]TDSheet!$A:$I,9,0)</f>
        <v>#N/A</v>
      </c>
      <c r="J59" s="10" t="e">
        <f>VLOOKUP(A:A,[1]TDSheet!$A:$J,10,0)</f>
        <v>#N/A</v>
      </c>
      <c r="K59" s="10"/>
      <c r="L59" s="10">
        <f>VLOOKUP(A:A,[2]TDSheet!$A:$B,2,0)</f>
        <v>464</v>
      </c>
      <c r="M59" s="10">
        <f t="shared" si="1"/>
        <v>-36</v>
      </c>
      <c r="N59" s="10"/>
      <c r="O59" s="10">
        <f>VLOOKUP(A:A,[1]TDSheet!$A:$R,18,0)</f>
        <v>0</v>
      </c>
      <c r="P59" s="10">
        <f>VLOOKUP(A:A,[1]TDSheet!$A:$S,19,0)</f>
        <v>0</v>
      </c>
      <c r="Q59" s="10">
        <f>VLOOKUP(A:A,[1]TDSheet!$A:$T,20,0)</f>
        <v>0</v>
      </c>
      <c r="R59" s="10">
        <f>VLOOKUP(A:A,[1]TDSheet!$A:$U,21,0)</f>
        <v>270</v>
      </c>
      <c r="S59" s="10">
        <f>VLOOKUP(A:A,[1]TDSheet!$A:$W,23,0)</f>
        <v>210</v>
      </c>
      <c r="T59" s="10">
        <f t="shared" si="2"/>
        <v>85.6</v>
      </c>
      <c r="U59" s="22">
        <f t="shared" si="3"/>
        <v>193.59999999999991</v>
      </c>
      <c r="V59" s="22"/>
      <c r="W59" s="10"/>
      <c r="X59" s="10">
        <f t="shared" si="4"/>
        <v>11</v>
      </c>
      <c r="Y59" s="10">
        <f t="shared" si="5"/>
        <v>3.1308411214953273</v>
      </c>
      <c r="Z59" s="10">
        <f>VLOOKUP(A:A,[1]TDSheet!$A:$AB,28,0)</f>
        <v>89</v>
      </c>
      <c r="AA59" s="10">
        <f>VLOOKUP(A:A,[1]TDSheet!$A:$AC,29,0)</f>
        <v>88</v>
      </c>
      <c r="AB59" s="10">
        <f>VLOOKUP(A:A,[1]TDSheet!$A:$AD,30,0)</f>
        <v>87</v>
      </c>
      <c r="AC59" s="10">
        <f>VLOOKUP(A:A,[1]TDSheet!$A:$AE,31,0)</f>
        <v>87.2</v>
      </c>
      <c r="AD59" s="10" t="e">
        <f>VLOOKUP(A:A,[1]TDSheet!$A:$AF,32,0)</f>
        <v>#N/A</v>
      </c>
      <c r="AE59" s="10">
        <f t="shared" si="6"/>
        <v>77.439999999999969</v>
      </c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</row>
    <row r="60" spans="1:89" ht="21.95" customHeight="1" x14ac:dyDescent="0.2">
      <c r="A60" s="8" t="s">
        <v>60</v>
      </c>
      <c r="B60" s="8" t="s">
        <v>10</v>
      </c>
      <c r="C60" s="9">
        <v>14.143000000000001</v>
      </c>
      <c r="D60" s="9">
        <v>1.9730000000000001</v>
      </c>
      <c r="E60" s="9">
        <v>-0.90100000000000002</v>
      </c>
      <c r="F60" s="9"/>
      <c r="G60" s="10" t="str">
        <f>VLOOKUP(A:A,[1]TDSheet!$A:$G,7,0)</f>
        <v>P003387</v>
      </c>
      <c r="H60" s="21">
        <f>VLOOKUP(A:A,[1]TDSheet!$A:$H,8,0)</f>
        <v>1</v>
      </c>
      <c r="I60" s="10">
        <f>VLOOKUP(A:A,[1]TDSheet!$A:$I,9,0)</f>
        <v>40</v>
      </c>
      <c r="J60" s="10" t="str">
        <f>VLOOKUP(A:A,[1]TDSheet!$A:$J,10,0)</f>
        <v>матрица</v>
      </c>
      <c r="K60" s="10"/>
      <c r="L60" s="10">
        <f>VLOOKUP(A:A,[2]TDSheet!$A:$B,2,0)</f>
        <v>32.700000000000003</v>
      </c>
      <c r="M60" s="10">
        <f t="shared" si="1"/>
        <v>-33.601000000000006</v>
      </c>
      <c r="N60" s="10"/>
      <c r="O60" s="10">
        <f>VLOOKUP(A:A,[1]TDSheet!$A:$R,18,0)</f>
        <v>0</v>
      </c>
      <c r="P60" s="10">
        <f>VLOOKUP(A:A,[1]TDSheet!$A:$S,19,0)</f>
        <v>0</v>
      </c>
      <c r="Q60" s="10">
        <f>VLOOKUP(A:A,[1]TDSheet!$A:$T,20,0)</f>
        <v>0</v>
      </c>
      <c r="R60" s="10">
        <f>VLOOKUP(A:A,[1]TDSheet!$A:$U,21,0)</f>
        <v>170</v>
      </c>
      <c r="S60" s="10">
        <f>VLOOKUP(A:A,[1]TDSheet!$A:$W,23,0)</f>
        <v>0</v>
      </c>
      <c r="T60" s="10">
        <f t="shared" si="2"/>
        <v>-0.1802</v>
      </c>
      <c r="U60" s="22"/>
      <c r="V60" s="22"/>
      <c r="W60" s="10"/>
      <c r="X60" s="10">
        <f t="shared" si="4"/>
        <v>-943.39622641509436</v>
      </c>
      <c r="Y60" s="10">
        <f t="shared" si="5"/>
        <v>0</v>
      </c>
      <c r="Z60" s="10">
        <f>VLOOKUP(A:A,[1]TDSheet!$A:$AB,28,0)</f>
        <v>5.9652000000000003</v>
      </c>
      <c r="AA60" s="10">
        <f>VLOOKUP(A:A,[1]TDSheet!$A:$AC,29,0)</f>
        <v>10.678799999999999</v>
      </c>
      <c r="AB60" s="10">
        <f>VLOOKUP(A:A,[1]TDSheet!$A:$AD,30,0)</f>
        <v>7.9730000000000008</v>
      </c>
      <c r="AC60" s="10">
        <f>VLOOKUP(A:A,[1]TDSheet!$A:$AE,31,0)</f>
        <v>16.890599999999999</v>
      </c>
      <c r="AD60" s="10" t="str">
        <f>VLOOKUP(A:A,[1]TDSheet!$A:$AF,32,0)</f>
        <v>увел продажи</v>
      </c>
      <c r="AE60" s="10">
        <f t="shared" si="6"/>
        <v>0</v>
      </c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</row>
    <row r="61" spans="1:89" ht="11.1" customHeight="1" x14ac:dyDescent="0.2">
      <c r="A61" s="8" t="s">
        <v>61</v>
      </c>
      <c r="B61" s="8" t="s">
        <v>10</v>
      </c>
      <c r="C61" s="9">
        <v>23.817</v>
      </c>
      <c r="D61" s="9">
        <v>91.974999999999994</v>
      </c>
      <c r="E61" s="9">
        <v>64.144000000000005</v>
      </c>
      <c r="F61" s="9">
        <v>42.902000000000001</v>
      </c>
      <c r="G61" s="10" t="str">
        <f>VLOOKUP(A:A,[1]TDSheet!$A:$G,7,0)</f>
        <v>P003401</v>
      </c>
      <c r="H61" s="21">
        <f>VLOOKUP(A:A,[1]TDSheet!$A:$H,8,0)</f>
        <v>1</v>
      </c>
      <c r="I61" s="10">
        <f>VLOOKUP(A:A,[1]TDSheet!$A:$I,9,0)</f>
        <v>40</v>
      </c>
      <c r="J61" s="10" t="str">
        <f>VLOOKUP(A:A,[1]TDSheet!$A:$J,10,0)</f>
        <v>матрица</v>
      </c>
      <c r="K61" s="10"/>
      <c r="L61" s="10">
        <f>VLOOKUP(A:A,[2]TDSheet!$A:$B,2,0)</f>
        <v>62.9</v>
      </c>
      <c r="M61" s="10">
        <f t="shared" si="1"/>
        <v>1.2440000000000069</v>
      </c>
      <c r="N61" s="10"/>
      <c r="O61" s="10">
        <f>VLOOKUP(A:A,[1]TDSheet!$A:$R,18,0)</f>
        <v>0</v>
      </c>
      <c r="P61" s="10">
        <f>VLOOKUP(A:A,[1]TDSheet!$A:$S,19,0)</f>
        <v>0</v>
      </c>
      <c r="Q61" s="10">
        <f>VLOOKUP(A:A,[1]TDSheet!$A:$T,20,0)</f>
        <v>0</v>
      </c>
      <c r="R61" s="10">
        <f>VLOOKUP(A:A,[1]TDSheet!$A:$U,21,0)</f>
        <v>0</v>
      </c>
      <c r="S61" s="10">
        <f>VLOOKUP(A:A,[1]TDSheet!$A:$W,23,0)</f>
        <v>0</v>
      </c>
      <c r="T61" s="10">
        <f t="shared" si="2"/>
        <v>12.828800000000001</v>
      </c>
      <c r="U61" s="22">
        <f t="shared" si="3"/>
        <v>98.214800000000011</v>
      </c>
      <c r="V61" s="22"/>
      <c r="W61" s="10"/>
      <c r="X61" s="10">
        <f t="shared" si="4"/>
        <v>11</v>
      </c>
      <c r="Y61" s="10">
        <f t="shared" si="5"/>
        <v>3.3441943127962084</v>
      </c>
      <c r="Z61" s="10">
        <f>VLOOKUP(A:A,[1]TDSheet!$A:$AB,28,0)</f>
        <v>10.311199999999999</v>
      </c>
      <c r="AA61" s="10">
        <f>VLOOKUP(A:A,[1]TDSheet!$A:$AC,29,0)</f>
        <v>15.530799999999999</v>
      </c>
      <c r="AB61" s="10">
        <f>VLOOKUP(A:A,[1]TDSheet!$A:$AD,30,0)</f>
        <v>14.793600000000001</v>
      </c>
      <c r="AC61" s="10">
        <f>VLOOKUP(A:A,[1]TDSheet!$A:$AE,31,0)</f>
        <v>10.8622</v>
      </c>
      <c r="AD61" s="10" t="str">
        <f>VLOOKUP(A:A,[1]TDSheet!$A:$AF,32,0)</f>
        <v>зв</v>
      </c>
      <c r="AE61" s="10">
        <f t="shared" si="6"/>
        <v>98.214800000000011</v>
      </c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</row>
    <row r="62" spans="1:89" ht="11.1" customHeight="1" x14ac:dyDescent="0.2">
      <c r="A62" s="8" t="s">
        <v>62</v>
      </c>
      <c r="B62" s="8" t="s">
        <v>10</v>
      </c>
      <c r="C62" s="9">
        <v>239.52</v>
      </c>
      <c r="D62" s="9">
        <v>1016.581</v>
      </c>
      <c r="E62" s="9">
        <v>1000.978</v>
      </c>
      <c r="F62" s="9">
        <v>248.80199999999999</v>
      </c>
      <c r="G62" s="10" t="str">
        <f>VLOOKUP(A:A,[1]TDSheet!$A:$G,7,0)</f>
        <v>P003383</v>
      </c>
      <c r="H62" s="21">
        <f>VLOOKUP(A:A,[1]TDSheet!$A:$H,8,0)</f>
        <v>1</v>
      </c>
      <c r="I62" s="10">
        <f>VLOOKUP(A:A,[1]TDSheet!$A:$I,9,0)</f>
        <v>0</v>
      </c>
      <c r="J62" s="10">
        <f>VLOOKUP(A:A,[1]TDSheet!$A:$J,10,0)</f>
        <v>0</v>
      </c>
      <c r="K62" s="10"/>
      <c r="L62" s="10">
        <f>VLOOKUP(A:A,[2]TDSheet!$A:$B,2,0)</f>
        <v>949.6</v>
      </c>
      <c r="M62" s="10">
        <f t="shared" si="1"/>
        <v>51.377999999999929</v>
      </c>
      <c r="N62" s="10"/>
      <c r="O62" s="10">
        <f>VLOOKUP(A:A,[1]TDSheet!$A:$R,18,0)</f>
        <v>0</v>
      </c>
      <c r="P62" s="10">
        <f>VLOOKUP(A:A,[1]TDSheet!$A:$S,19,0)</f>
        <v>0</v>
      </c>
      <c r="Q62" s="10">
        <f>VLOOKUP(A:A,[1]TDSheet!$A:$T,20,0)</f>
        <v>0</v>
      </c>
      <c r="R62" s="10">
        <f>VLOOKUP(A:A,[1]TDSheet!$A:$U,21,0)</f>
        <v>200</v>
      </c>
      <c r="S62" s="10">
        <f>VLOOKUP(A:A,[1]TDSheet!$A:$W,23,0)</f>
        <v>220</v>
      </c>
      <c r="T62" s="10">
        <f t="shared" si="2"/>
        <v>200.19559999999998</v>
      </c>
      <c r="U62" s="22">
        <f t="shared" si="3"/>
        <v>1533.3495999999998</v>
      </c>
      <c r="V62" s="22"/>
      <c r="W62" s="10"/>
      <c r="X62" s="10">
        <f t="shared" si="4"/>
        <v>11</v>
      </c>
      <c r="Y62" s="10">
        <f t="shared" si="5"/>
        <v>1.2427945469330994</v>
      </c>
      <c r="Z62" s="10">
        <f>VLOOKUP(A:A,[1]TDSheet!$A:$AB,28,0)</f>
        <v>168.12539999999998</v>
      </c>
      <c r="AA62" s="10">
        <f>VLOOKUP(A:A,[1]TDSheet!$A:$AC,29,0)</f>
        <v>125.84939999999999</v>
      </c>
      <c r="AB62" s="10">
        <f>VLOOKUP(A:A,[1]TDSheet!$A:$AD,30,0)</f>
        <v>147.98499999999999</v>
      </c>
      <c r="AC62" s="10">
        <f>VLOOKUP(A:A,[1]TDSheet!$A:$AE,31,0)</f>
        <v>131.74639999999999</v>
      </c>
      <c r="AD62" s="10" t="str">
        <f>VLOOKUP(A:A,[1]TDSheet!$A:$AF,32,0)</f>
        <v xml:space="preserve"> ТМА ПРОДОЛЖЕНИЕ Апрель</v>
      </c>
      <c r="AE62" s="10">
        <f t="shared" si="6"/>
        <v>1533.3495999999998</v>
      </c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</row>
    <row r="63" spans="1:89" ht="11.1" customHeight="1" x14ac:dyDescent="0.2">
      <c r="A63" s="8" t="s">
        <v>63</v>
      </c>
      <c r="B63" s="8" t="s">
        <v>10</v>
      </c>
      <c r="C63" s="9">
        <v>111.127</v>
      </c>
      <c r="D63" s="9">
        <v>5.4710000000000001</v>
      </c>
      <c r="E63" s="9">
        <v>46.609000000000002</v>
      </c>
      <c r="F63" s="9">
        <v>63.618000000000002</v>
      </c>
      <c r="G63" s="10" t="str">
        <f>VLOOKUP(A:A,[1]TDSheet!$A:$G,7,0)</f>
        <v>P003384</v>
      </c>
      <c r="H63" s="21">
        <f>VLOOKUP(A:A,[1]TDSheet!$A:$H,8,0)</f>
        <v>1</v>
      </c>
      <c r="I63" s="10">
        <f>VLOOKUP(A:A,[1]TDSheet!$A:$I,9,0)</f>
        <v>40</v>
      </c>
      <c r="J63" s="10" t="str">
        <f>VLOOKUP(A:A,[1]TDSheet!$A:$J,10,0)</f>
        <v>матрица</v>
      </c>
      <c r="K63" s="10"/>
      <c r="L63" s="10">
        <f>VLOOKUP(A:A,[2]TDSheet!$A:$B,2,0)</f>
        <v>56.1</v>
      </c>
      <c r="M63" s="10">
        <f t="shared" si="1"/>
        <v>-9.4909999999999997</v>
      </c>
      <c r="N63" s="10"/>
      <c r="O63" s="10">
        <f>VLOOKUP(A:A,[1]TDSheet!$A:$R,18,0)</f>
        <v>0</v>
      </c>
      <c r="P63" s="10">
        <f>VLOOKUP(A:A,[1]TDSheet!$A:$S,19,0)</f>
        <v>0</v>
      </c>
      <c r="Q63" s="10">
        <f>VLOOKUP(A:A,[1]TDSheet!$A:$T,20,0)</f>
        <v>0</v>
      </c>
      <c r="R63" s="10">
        <f>VLOOKUP(A:A,[1]TDSheet!$A:$U,21,0)</f>
        <v>40</v>
      </c>
      <c r="S63" s="10">
        <f>VLOOKUP(A:A,[1]TDSheet!$A:$W,23,0)</f>
        <v>0</v>
      </c>
      <c r="T63" s="10">
        <f t="shared" si="2"/>
        <v>9.3217999999999996</v>
      </c>
      <c r="U63" s="22"/>
      <c r="V63" s="22"/>
      <c r="W63" s="10"/>
      <c r="X63" s="10">
        <f t="shared" si="4"/>
        <v>11.115664356669313</v>
      </c>
      <c r="Y63" s="10">
        <f t="shared" si="5"/>
        <v>6.8246476002488796</v>
      </c>
      <c r="Z63" s="10">
        <f>VLOOKUP(A:A,[1]TDSheet!$A:$AB,28,0)</f>
        <v>17.030799999999999</v>
      </c>
      <c r="AA63" s="10">
        <f>VLOOKUP(A:A,[1]TDSheet!$A:$AC,29,0)</f>
        <v>13.987799999999998</v>
      </c>
      <c r="AB63" s="10">
        <f>VLOOKUP(A:A,[1]TDSheet!$A:$AD,30,0)</f>
        <v>7.6652000000000005</v>
      </c>
      <c r="AC63" s="10">
        <f>VLOOKUP(A:A,[1]TDSheet!$A:$AE,31,0)</f>
        <v>13.283799999999999</v>
      </c>
      <c r="AD63" s="10">
        <f>VLOOKUP(A:A,[1]TDSheet!$A:$AF,32,0)</f>
        <v>0</v>
      </c>
      <c r="AE63" s="10">
        <f t="shared" si="6"/>
        <v>0</v>
      </c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</row>
    <row r="64" spans="1:89" ht="11.1" customHeight="1" x14ac:dyDescent="0.2">
      <c r="A64" s="8" t="s">
        <v>64</v>
      </c>
      <c r="B64" s="8" t="s">
        <v>10</v>
      </c>
      <c r="C64" s="9">
        <v>441.06200000000001</v>
      </c>
      <c r="D64" s="9">
        <v>1219.278</v>
      </c>
      <c r="E64" s="9">
        <v>279.05599999999998</v>
      </c>
      <c r="F64" s="9">
        <v>1355.146</v>
      </c>
      <c r="G64" s="10" t="str">
        <f>VLOOKUP(A:A,[1]TDSheet!$A:$G,7,0)</f>
        <v>P003883</v>
      </c>
      <c r="H64" s="21">
        <f>VLOOKUP(A:A,[1]TDSheet!$A:$H,8,0)</f>
        <v>1</v>
      </c>
      <c r="I64" s="10">
        <f>VLOOKUP(A:A,[1]TDSheet!$A:$I,9,0)</f>
        <v>0</v>
      </c>
      <c r="J64" s="10">
        <f>VLOOKUP(A:A,[1]TDSheet!$A:$J,10,0)</f>
        <v>0</v>
      </c>
      <c r="K64" s="10"/>
      <c r="L64" s="10">
        <f>VLOOKUP(A:A,[2]TDSheet!$A:$B,2,0)</f>
        <v>302.7</v>
      </c>
      <c r="M64" s="10">
        <f t="shared" si="1"/>
        <v>-23.644000000000005</v>
      </c>
      <c r="N64" s="10"/>
      <c r="O64" s="10">
        <f>VLOOKUP(A:A,[1]TDSheet!$A:$R,18,0)</f>
        <v>0</v>
      </c>
      <c r="P64" s="10">
        <f>VLOOKUP(A:A,[1]TDSheet!$A:$S,19,0)</f>
        <v>0</v>
      </c>
      <c r="Q64" s="10">
        <f>VLOOKUP(A:A,[1]TDSheet!$A:$T,20,0)</f>
        <v>0</v>
      </c>
      <c r="R64" s="10">
        <f>VLOOKUP(A:A,[1]TDSheet!$A:$U,21,0)</f>
        <v>0</v>
      </c>
      <c r="S64" s="10">
        <f>VLOOKUP(A:A,[1]TDSheet!$A:$W,23,0)</f>
        <v>0</v>
      </c>
      <c r="T64" s="10">
        <f t="shared" si="2"/>
        <v>55.811199999999999</v>
      </c>
      <c r="U64" s="22"/>
      <c r="V64" s="22"/>
      <c r="W64" s="10"/>
      <c r="X64" s="10">
        <f t="shared" si="4"/>
        <v>24.280897024253196</v>
      </c>
      <c r="Y64" s="10">
        <f t="shared" si="5"/>
        <v>24.280897024253196</v>
      </c>
      <c r="Z64" s="10">
        <f>VLOOKUP(A:A,[1]TDSheet!$A:$AB,28,0)</f>
        <v>100.8188</v>
      </c>
      <c r="AA64" s="10">
        <f>VLOOKUP(A:A,[1]TDSheet!$A:$AC,29,0)</f>
        <v>49.721199999999996</v>
      </c>
      <c r="AB64" s="10">
        <f>VLOOKUP(A:A,[1]TDSheet!$A:$AD,30,0)</f>
        <v>194.2208</v>
      </c>
      <c r="AC64" s="10">
        <f>VLOOKUP(A:A,[1]TDSheet!$A:$AE,31,0)</f>
        <v>53.8812</v>
      </c>
      <c r="AD64" s="10">
        <f>VLOOKUP(A:A,[1]TDSheet!$A:$AF,32,0)</f>
        <v>0</v>
      </c>
      <c r="AE64" s="10">
        <f t="shared" si="6"/>
        <v>0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</row>
    <row r="65" spans="1:89" ht="11.1" customHeight="1" x14ac:dyDescent="0.2">
      <c r="A65" s="8" t="s">
        <v>65</v>
      </c>
      <c r="B65" s="8" t="s">
        <v>14</v>
      </c>
      <c r="C65" s="9">
        <v>784</v>
      </c>
      <c r="D65" s="9">
        <v>304</v>
      </c>
      <c r="E65" s="9">
        <v>795</v>
      </c>
      <c r="F65" s="9">
        <v>293</v>
      </c>
      <c r="G65" s="10" t="str">
        <f>VLOOKUP(A:A,[1]TDSheet!$A:$G,7,0)</f>
        <v>P004689</v>
      </c>
      <c r="H65" s="21">
        <f>VLOOKUP(A:A,[1]TDSheet!$A:$H,8,0)</f>
        <v>0.6</v>
      </c>
      <c r="I65" s="10">
        <f>VLOOKUP(A:A,[1]TDSheet!$A:$I,9,0)</f>
        <v>60</v>
      </c>
      <c r="J65" s="10" t="str">
        <f>VLOOKUP(A:A,[1]TDSheet!$A:$J,10,0)</f>
        <v>ВНИМАНИЕ / матрица</v>
      </c>
      <c r="K65" s="10"/>
      <c r="L65" s="10">
        <f>VLOOKUP(A:A,[2]TDSheet!$A:$B,2,0)</f>
        <v>813</v>
      </c>
      <c r="M65" s="10">
        <f t="shared" si="1"/>
        <v>-18</v>
      </c>
      <c r="N65" s="10"/>
      <c r="O65" s="10">
        <f>VLOOKUP(A:A,[1]TDSheet!$A:$R,18,0)</f>
        <v>0</v>
      </c>
      <c r="P65" s="10">
        <f>VLOOKUP(A:A,[1]TDSheet!$A:$S,19,0)</f>
        <v>0</v>
      </c>
      <c r="Q65" s="10">
        <f>VLOOKUP(A:A,[1]TDSheet!$A:$T,20,0)</f>
        <v>0</v>
      </c>
      <c r="R65" s="10">
        <f>VLOOKUP(A:A,[1]TDSheet!$A:$U,21,0)</f>
        <v>500</v>
      </c>
      <c r="S65" s="10">
        <f>VLOOKUP(A:A,[1]TDSheet!$A:$W,23,0)</f>
        <v>250</v>
      </c>
      <c r="T65" s="10">
        <f t="shared" si="2"/>
        <v>159</v>
      </c>
      <c r="U65" s="22">
        <f t="shared" si="3"/>
        <v>706</v>
      </c>
      <c r="V65" s="22"/>
      <c r="W65" s="10"/>
      <c r="X65" s="10">
        <f t="shared" si="4"/>
        <v>11</v>
      </c>
      <c r="Y65" s="10">
        <f t="shared" si="5"/>
        <v>1.8427672955974843</v>
      </c>
      <c r="Z65" s="10">
        <f>VLOOKUP(A:A,[1]TDSheet!$A:$AB,28,0)</f>
        <v>120.8</v>
      </c>
      <c r="AA65" s="10">
        <f>VLOOKUP(A:A,[1]TDSheet!$A:$AC,29,0)</f>
        <v>97.6</v>
      </c>
      <c r="AB65" s="10">
        <f>VLOOKUP(A:A,[1]TDSheet!$A:$AD,30,0)</f>
        <v>295</v>
      </c>
      <c r="AC65" s="10">
        <f>VLOOKUP(A:A,[1]TDSheet!$A:$AE,31,0)</f>
        <v>193.6</v>
      </c>
      <c r="AD65" s="10" t="str">
        <f>VLOOKUP(A:A,[1]TDSheet!$A:$AF,32,0)</f>
        <v>увел продажи</v>
      </c>
      <c r="AE65" s="10">
        <f t="shared" si="6"/>
        <v>423.59999999999997</v>
      </c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</row>
    <row r="66" spans="1:89" ht="11.1" customHeight="1" x14ac:dyDescent="0.2">
      <c r="A66" s="8" t="s">
        <v>66</v>
      </c>
      <c r="B66" s="8" t="s">
        <v>14</v>
      </c>
      <c r="C66" s="9">
        <v>151</v>
      </c>
      <c r="D66" s="9">
        <v>536</v>
      </c>
      <c r="E66" s="9">
        <v>376</v>
      </c>
      <c r="F66" s="9">
        <v>311</v>
      </c>
      <c r="G66" s="10" t="str">
        <f>VLOOKUP(A:A,[1]TDSheet!$A:$G,7,0)</f>
        <v>P004688</v>
      </c>
      <c r="H66" s="21">
        <f>VLOOKUP(A:A,[1]TDSheet!$A:$H,8,0)</f>
        <v>0.6</v>
      </c>
      <c r="I66" s="10">
        <f>VLOOKUP(A:A,[1]TDSheet!$A:$I,9,0)</f>
        <v>60</v>
      </c>
      <c r="J66" s="10" t="str">
        <f>VLOOKUP(A:A,[1]TDSheet!$A:$J,10,0)</f>
        <v>матрица</v>
      </c>
      <c r="K66" s="10"/>
      <c r="L66" s="10">
        <f>VLOOKUP(A:A,[2]TDSheet!$A:$B,2,0)</f>
        <v>565</v>
      </c>
      <c r="M66" s="10">
        <f t="shared" si="1"/>
        <v>-189</v>
      </c>
      <c r="N66" s="10"/>
      <c r="O66" s="10">
        <f>VLOOKUP(A:A,[1]TDSheet!$A:$R,18,0)</f>
        <v>0</v>
      </c>
      <c r="P66" s="10">
        <f>VLOOKUP(A:A,[1]TDSheet!$A:$S,19,0)</f>
        <v>0</v>
      </c>
      <c r="Q66" s="10">
        <f>VLOOKUP(A:A,[1]TDSheet!$A:$T,20,0)</f>
        <v>0</v>
      </c>
      <c r="R66" s="10">
        <f>VLOOKUP(A:A,[1]TDSheet!$A:$U,21,0)</f>
        <v>490</v>
      </c>
      <c r="S66" s="10">
        <f>VLOOKUP(A:A,[1]TDSheet!$A:$W,23,0)</f>
        <v>330</v>
      </c>
      <c r="T66" s="10">
        <f t="shared" si="2"/>
        <v>75.2</v>
      </c>
      <c r="U66" s="22"/>
      <c r="V66" s="22"/>
      <c r="W66" s="10"/>
      <c r="X66" s="10">
        <f t="shared" si="4"/>
        <v>15.039893617021276</v>
      </c>
      <c r="Y66" s="10">
        <f t="shared" si="5"/>
        <v>4.1356382978723403</v>
      </c>
      <c r="Z66" s="10">
        <f>VLOOKUP(A:A,[1]TDSheet!$A:$AB,28,0)</f>
        <v>84.2</v>
      </c>
      <c r="AA66" s="10">
        <f>VLOOKUP(A:A,[1]TDSheet!$A:$AC,29,0)</f>
        <v>80.8</v>
      </c>
      <c r="AB66" s="10">
        <f>VLOOKUP(A:A,[1]TDSheet!$A:$AD,30,0)</f>
        <v>83</v>
      </c>
      <c r="AC66" s="10">
        <f>VLOOKUP(A:A,[1]TDSheet!$A:$AE,31,0)</f>
        <v>106.2</v>
      </c>
      <c r="AD66" s="10" t="str">
        <f>VLOOKUP(A:A,[1]TDSheet!$A:$AF,32,0)</f>
        <v>остатки?</v>
      </c>
      <c r="AE66" s="10">
        <f t="shared" si="6"/>
        <v>0</v>
      </c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</row>
    <row r="67" spans="1:89" ht="21.95" customHeight="1" x14ac:dyDescent="0.2">
      <c r="A67" s="8" t="s">
        <v>67</v>
      </c>
      <c r="B67" s="8" t="s">
        <v>14</v>
      </c>
      <c r="C67" s="11"/>
      <c r="D67" s="9">
        <v>104</v>
      </c>
      <c r="E67" s="9">
        <v>55</v>
      </c>
      <c r="F67" s="9">
        <v>48</v>
      </c>
      <c r="G67" s="10" t="str">
        <f>VLOOKUP(A:A,[1]TDSheet!$A:$G,7,0)</f>
        <v>P003439</v>
      </c>
      <c r="H67" s="21">
        <f>VLOOKUP(A:A,[1]TDSheet!$A:$H,8,0)</f>
        <v>0.35</v>
      </c>
      <c r="I67" s="10">
        <f>VLOOKUP(A:A,[1]TDSheet!$A:$I,9,0)</f>
        <v>0</v>
      </c>
      <c r="J67" s="10" t="str">
        <f>VLOOKUP(A:A,[1]TDSheet!$A:$J,10,0)</f>
        <v>матрица</v>
      </c>
      <c r="K67" s="10"/>
      <c r="L67" s="10">
        <f>VLOOKUP(A:A,[2]TDSheet!$A:$B,2,0)</f>
        <v>58</v>
      </c>
      <c r="M67" s="10">
        <f t="shared" si="1"/>
        <v>-3</v>
      </c>
      <c r="N67" s="10"/>
      <c r="O67" s="10">
        <f>VLOOKUP(A:A,[1]TDSheet!$A:$R,18,0)</f>
        <v>0</v>
      </c>
      <c r="P67" s="10">
        <f>VLOOKUP(A:A,[1]TDSheet!$A:$S,19,0)</f>
        <v>0</v>
      </c>
      <c r="Q67" s="10">
        <f>VLOOKUP(A:A,[1]TDSheet!$A:$T,20,0)</f>
        <v>0</v>
      </c>
      <c r="R67" s="10">
        <f>VLOOKUP(A:A,[1]TDSheet!$A:$U,21,0)</f>
        <v>0</v>
      </c>
      <c r="S67" s="10">
        <f>VLOOKUP(A:A,[1]TDSheet!$A:$W,23,0)</f>
        <v>0</v>
      </c>
      <c r="T67" s="10">
        <f t="shared" si="2"/>
        <v>11</v>
      </c>
      <c r="U67" s="22">
        <f t="shared" si="3"/>
        <v>73</v>
      </c>
      <c r="V67" s="22"/>
      <c r="W67" s="10"/>
      <c r="X67" s="10">
        <f t="shared" si="4"/>
        <v>11</v>
      </c>
      <c r="Y67" s="10">
        <f t="shared" si="5"/>
        <v>4.3636363636363633</v>
      </c>
      <c r="Z67" s="10">
        <f>VLOOKUP(A:A,[1]TDSheet!$A:$AB,28,0)</f>
        <v>5.4</v>
      </c>
      <c r="AA67" s="10">
        <f>VLOOKUP(A:A,[1]TDSheet!$A:$AC,29,0)</f>
        <v>7.6</v>
      </c>
      <c r="AB67" s="10">
        <f>VLOOKUP(A:A,[1]TDSheet!$A:$AD,30,0)</f>
        <v>11.8</v>
      </c>
      <c r="AC67" s="10">
        <f>VLOOKUP(A:A,[1]TDSheet!$A:$AE,31,0)</f>
        <v>4.8</v>
      </c>
      <c r="AD67" s="10">
        <f>VLOOKUP(A:A,[1]TDSheet!$A:$AF,32,0)</f>
        <v>0</v>
      </c>
      <c r="AE67" s="10">
        <f t="shared" si="6"/>
        <v>25.549999999999997</v>
      </c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</row>
    <row r="68" spans="1:89" ht="11.1" customHeight="1" x14ac:dyDescent="0.2">
      <c r="A68" s="8" t="s">
        <v>68</v>
      </c>
      <c r="B68" s="8" t="s">
        <v>14</v>
      </c>
      <c r="C68" s="9">
        <v>265</v>
      </c>
      <c r="D68" s="9">
        <v>1</v>
      </c>
      <c r="E68" s="9">
        <v>155</v>
      </c>
      <c r="F68" s="9">
        <v>110</v>
      </c>
      <c r="G68" s="10" t="str">
        <f>VLOOKUP(A:A,[1]TDSheet!$A:$G,7,0)</f>
        <v>P003429</v>
      </c>
      <c r="H68" s="21">
        <f>VLOOKUP(A:A,[1]TDSheet!$A:$H,8,0)</f>
        <v>0.37</v>
      </c>
      <c r="I68" s="10">
        <f>VLOOKUP(A:A,[1]TDSheet!$A:$I,9,0)</f>
        <v>0</v>
      </c>
      <c r="J68" s="10" t="str">
        <f>VLOOKUP(A:A,[1]TDSheet!$A:$J,10,0)</f>
        <v>матрица</v>
      </c>
      <c r="K68" s="10"/>
      <c r="L68" s="10">
        <f>VLOOKUP(A:A,[2]TDSheet!$A:$B,2,0)</f>
        <v>159</v>
      </c>
      <c r="M68" s="10">
        <f t="shared" si="1"/>
        <v>-4</v>
      </c>
      <c r="N68" s="10"/>
      <c r="O68" s="10">
        <f>VLOOKUP(A:A,[1]TDSheet!$A:$R,18,0)</f>
        <v>0</v>
      </c>
      <c r="P68" s="10">
        <f>VLOOKUP(A:A,[1]TDSheet!$A:$S,19,0)</f>
        <v>0</v>
      </c>
      <c r="Q68" s="10">
        <f>VLOOKUP(A:A,[1]TDSheet!$A:$T,20,0)</f>
        <v>0</v>
      </c>
      <c r="R68" s="10">
        <f>VLOOKUP(A:A,[1]TDSheet!$A:$U,21,0)</f>
        <v>0</v>
      </c>
      <c r="S68" s="10">
        <f>VLOOKUP(A:A,[1]TDSheet!$A:$W,23,0)</f>
        <v>140</v>
      </c>
      <c r="T68" s="10">
        <f t="shared" si="2"/>
        <v>31</v>
      </c>
      <c r="U68" s="22">
        <f t="shared" si="3"/>
        <v>91</v>
      </c>
      <c r="V68" s="22"/>
      <c r="W68" s="10"/>
      <c r="X68" s="10">
        <f t="shared" si="4"/>
        <v>11</v>
      </c>
      <c r="Y68" s="10">
        <f t="shared" si="5"/>
        <v>3.5483870967741935</v>
      </c>
      <c r="Z68" s="10">
        <f>VLOOKUP(A:A,[1]TDSheet!$A:$AB,28,0)</f>
        <v>21.4</v>
      </c>
      <c r="AA68" s="10">
        <f>VLOOKUP(A:A,[1]TDSheet!$A:$AC,29,0)</f>
        <v>22.4</v>
      </c>
      <c r="AB68" s="10">
        <f>VLOOKUP(A:A,[1]TDSheet!$A:$AD,30,0)</f>
        <v>30.2</v>
      </c>
      <c r="AC68" s="10">
        <f>VLOOKUP(A:A,[1]TDSheet!$A:$AE,31,0)</f>
        <v>14</v>
      </c>
      <c r="AD68" s="10">
        <f>VLOOKUP(A:A,[1]TDSheet!$A:$AF,32,0)</f>
        <v>0</v>
      </c>
      <c r="AE68" s="10">
        <f t="shared" si="6"/>
        <v>33.67</v>
      </c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</row>
    <row r="69" spans="1:89" ht="21.95" customHeight="1" x14ac:dyDescent="0.2">
      <c r="A69" s="23" t="s">
        <v>69</v>
      </c>
      <c r="B69" s="23" t="s">
        <v>14</v>
      </c>
      <c r="C69" s="24">
        <v>578</v>
      </c>
      <c r="D69" s="24"/>
      <c r="E69" s="24">
        <v>114</v>
      </c>
      <c r="F69" s="24">
        <v>464</v>
      </c>
      <c r="G69" s="25" t="str">
        <f>VLOOKUP(A:A,[1]TDSheet!$A:$G,7,0)</f>
        <v>P004923</v>
      </c>
      <c r="H69" s="26">
        <f>VLOOKUP(A:A,[1]TDSheet!$A:$H,8,0)</f>
        <v>0.6</v>
      </c>
      <c r="I69" s="25">
        <f>VLOOKUP(A:A,[1]TDSheet!$A:$I,9,0)</f>
        <v>55</v>
      </c>
      <c r="J69" s="25" t="str">
        <f>VLOOKUP(A:A,[1]TDSheet!$A:$J,10,0)</f>
        <v>ВНИМАНИЕ / матрица</v>
      </c>
      <c r="K69" s="25"/>
      <c r="L69" s="10">
        <f>VLOOKUP(A:A,[2]TDSheet!$A:$B,2,0)</f>
        <v>141</v>
      </c>
      <c r="M69" s="10">
        <f t="shared" si="1"/>
        <v>-27</v>
      </c>
      <c r="N69" s="10"/>
      <c r="O69" s="10">
        <f>VLOOKUP(A:A,[1]TDSheet!$A:$R,18,0)</f>
        <v>0</v>
      </c>
      <c r="P69" s="10">
        <f>VLOOKUP(A:A,[1]TDSheet!$A:$S,19,0)</f>
        <v>0</v>
      </c>
      <c r="Q69" s="10">
        <f>VLOOKUP(A:A,[1]TDSheet!$A:$T,20,0)</f>
        <v>0</v>
      </c>
      <c r="R69" s="10">
        <f>VLOOKUP(A:A,[1]TDSheet!$A:$U,21,0)</f>
        <v>0</v>
      </c>
      <c r="S69" s="10">
        <f>VLOOKUP(A:A,[1]TDSheet!$A:$W,23,0)</f>
        <v>0</v>
      </c>
      <c r="T69" s="10">
        <f t="shared" si="2"/>
        <v>22.8</v>
      </c>
      <c r="U69" s="22"/>
      <c r="V69" s="22"/>
      <c r="W69" s="10"/>
      <c r="X69" s="10">
        <f t="shared" si="4"/>
        <v>20.350877192982455</v>
      </c>
      <c r="Y69" s="10">
        <f t="shared" si="5"/>
        <v>20.350877192982455</v>
      </c>
      <c r="Z69" s="10">
        <f>VLOOKUP(A:A,[1]TDSheet!$A:$AB,28,0)</f>
        <v>112.8</v>
      </c>
      <c r="AA69" s="10">
        <f>VLOOKUP(A:A,[1]TDSheet!$A:$AC,29,0)</f>
        <v>42</v>
      </c>
      <c r="AB69" s="10">
        <f>VLOOKUP(A:A,[1]TDSheet!$A:$AD,30,0)</f>
        <v>61</v>
      </c>
      <c r="AC69" s="10">
        <f>VLOOKUP(A:A,[1]TDSheet!$A:$AE,31,0)</f>
        <v>15</v>
      </c>
      <c r="AD69" s="10" t="str">
        <f>VLOOKUP(A:A,[1]TDSheet!$A:$AF,32,0)</f>
        <v>остатки?</v>
      </c>
      <c r="AE69" s="10">
        <f t="shared" si="6"/>
        <v>0</v>
      </c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</row>
    <row r="70" spans="1:89" ht="11.1" customHeight="1" x14ac:dyDescent="0.2">
      <c r="A70" s="8" t="s">
        <v>70</v>
      </c>
      <c r="B70" s="8" t="s">
        <v>14</v>
      </c>
      <c r="C70" s="9">
        <v>54</v>
      </c>
      <c r="D70" s="9">
        <v>56</v>
      </c>
      <c r="E70" s="9">
        <v>60</v>
      </c>
      <c r="F70" s="9"/>
      <c r="G70" s="10" t="str">
        <f>VLOOKUP(A:A,[1]TDSheet!$A:$G,7,0)</f>
        <v>P002644</v>
      </c>
      <c r="H70" s="21">
        <f>VLOOKUP(A:A,[1]TDSheet!$A:$H,8,0)</f>
        <v>0.33</v>
      </c>
      <c r="I70" s="10">
        <f>VLOOKUP(A:A,[1]TDSheet!$A:$I,9,0)</f>
        <v>0</v>
      </c>
      <c r="J70" s="10" t="str">
        <f>VLOOKUP(A:A,[1]TDSheet!$A:$J,10,0)</f>
        <v>не матрица</v>
      </c>
      <c r="K70" s="10"/>
      <c r="L70" s="10">
        <f>VLOOKUP(A:A,[2]TDSheet!$A:$B,2,0)</f>
        <v>128</v>
      </c>
      <c r="M70" s="10">
        <f t="shared" si="1"/>
        <v>-68</v>
      </c>
      <c r="N70" s="10"/>
      <c r="O70" s="10">
        <f>VLOOKUP(A:A,[1]TDSheet!$A:$R,18,0)</f>
        <v>0</v>
      </c>
      <c r="P70" s="10">
        <f>VLOOKUP(A:A,[1]TDSheet!$A:$S,19,0)</f>
        <v>0</v>
      </c>
      <c r="Q70" s="10">
        <f>VLOOKUP(A:A,[1]TDSheet!$A:$T,20,0)</f>
        <v>0</v>
      </c>
      <c r="R70" s="10">
        <f>VLOOKUP(A:A,[1]TDSheet!$A:$U,21,0)</f>
        <v>130</v>
      </c>
      <c r="S70" s="10">
        <f>VLOOKUP(A:A,[1]TDSheet!$A:$W,23,0)</f>
        <v>0</v>
      </c>
      <c r="T70" s="10">
        <f t="shared" si="2"/>
        <v>12</v>
      </c>
      <c r="U70" s="22"/>
      <c r="V70" s="22"/>
      <c r="W70" s="10"/>
      <c r="X70" s="10">
        <f t="shared" si="4"/>
        <v>10.833333333333334</v>
      </c>
      <c r="Y70" s="10">
        <f t="shared" si="5"/>
        <v>0</v>
      </c>
      <c r="Z70" s="10">
        <f>VLOOKUP(A:A,[1]TDSheet!$A:$AB,28,0)</f>
        <v>13.6</v>
      </c>
      <c r="AA70" s="10">
        <f>VLOOKUP(A:A,[1]TDSheet!$A:$AC,29,0)</f>
        <v>21</v>
      </c>
      <c r="AB70" s="10">
        <f>VLOOKUP(A:A,[1]TDSheet!$A:$AD,30,0)</f>
        <v>7</v>
      </c>
      <c r="AC70" s="10">
        <f>VLOOKUP(A:A,[1]TDSheet!$A:$AE,31,0)</f>
        <v>13.4</v>
      </c>
      <c r="AD70" s="10" t="e">
        <f>VLOOKUP(A:A,[1]TDSheet!$A:$AF,32,0)</f>
        <v>#N/A</v>
      </c>
      <c r="AE70" s="10">
        <f t="shared" si="6"/>
        <v>0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</row>
    <row r="71" spans="1:89" ht="11.1" customHeight="1" x14ac:dyDescent="0.2">
      <c r="A71" s="8" t="s">
        <v>71</v>
      </c>
      <c r="B71" s="8" t="s">
        <v>14</v>
      </c>
      <c r="C71" s="9">
        <v>34</v>
      </c>
      <c r="D71" s="9">
        <v>96</v>
      </c>
      <c r="E71" s="9">
        <v>50.74</v>
      </c>
      <c r="F71" s="9">
        <v>70.260000000000005</v>
      </c>
      <c r="G71" s="10" t="str">
        <f>VLOOKUP(A:A,[1]TDSheet!$A:$G,7,0)</f>
        <v>P004586</v>
      </c>
      <c r="H71" s="21">
        <f>VLOOKUP(A:A,[1]TDSheet!$A:$H,8,0)</f>
        <v>0.4</v>
      </c>
      <c r="I71" s="10">
        <f>VLOOKUP(A:A,[1]TDSheet!$A:$I,9,0)</f>
        <v>50</v>
      </c>
      <c r="J71" s="10" t="str">
        <f>VLOOKUP(A:A,[1]TDSheet!$A:$J,10,0)</f>
        <v>матрица</v>
      </c>
      <c r="K71" s="10"/>
      <c r="L71" s="10">
        <f>VLOOKUP(A:A,[2]TDSheet!$A:$B,2,0)</f>
        <v>64</v>
      </c>
      <c r="M71" s="10">
        <f t="shared" si="1"/>
        <v>-13.259999999999998</v>
      </c>
      <c r="N71" s="10"/>
      <c r="O71" s="10">
        <f>VLOOKUP(A:A,[1]TDSheet!$A:$R,18,0)</f>
        <v>0</v>
      </c>
      <c r="P71" s="10">
        <f>VLOOKUP(A:A,[1]TDSheet!$A:$S,19,0)</f>
        <v>0</v>
      </c>
      <c r="Q71" s="10">
        <f>VLOOKUP(A:A,[1]TDSheet!$A:$T,20,0)</f>
        <v>0</v>
      </c>
      <c r="R71" s="10">
        <f>VLOOKUP(A:A,[1]TDSheet!$A:$U,21,0)</f>
        <v>0</v>
      </c>
      <c r="S71" s="10">
        <f>VLOOKUP(A:A,[1]TDSheet!$A:$W,23,0)</f>
        <v>0</v>
      </c>
      <c r="T71" s="10">
        <f t="shared" si="2"/>
        <v>10.148</v>
      </c>
      <c r="U71" s="22"/>
      <c r="V71" s="22"/>
      <c r="W71" s="10"/>
      <c r="X71" s="10">
        <f t="shared" si="4"/>
        <v>6.9235317303902253</v>
      </c>
      <c r="Y71" s="10">
        <f t="shared" si="5"/>
        <v>6.9235317303902253</v>
      </c>
      <c r="Z71" s="10">
        <f>VLOOKUP(A:A,[1]TDSheet!$A:$AB,28,0)</f>
        <v>10.6</v>
      </c>
      <c r="AA71" s="10">
        <f>VLOOKUP(A:A,[1]TDSheet!$A:$AC,29,0)</f>
        <v>12.2</v>
      </c>
      <c r="AB71" s="10">
        <f>VLOOKUP(A:A,[1]TDSheet!$A:$AD,30,0)</f>
        <v>11.8</v>
      </c>
      <c r="AC71" s="10">
        <f>VLOOKUP(A:A,[1]TDSheet!$A:$AE,31,0)</f>
        <v>9.6</v>
      </c>
      <c r="AD71" s="10" t="str">
        <f>VLOOKUP(A:A,[1]TDSheet!$A:$AF,32,0)</f>
        <v>увел продажи</v>
      </c>
      <c r="AE71" s="10">
        <f t="shared" si="6"/>
        <v>0</v>
      </c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</row>
    <row r="72" spans="1:89" ht="11.1" customHeight="1" x14ac:dyDescent="0.2">
      <c r="A72" s="8" t="s">
        <v>72</v>
      </c>
      <c r="B72" s="8" t="s">
        <v>14</v>
      </c>
      <c r="C72" s="9">
        <v>27</v>
      </c>
      <c r="D72" s="9">
        <v>249</v>
      </c>
      <c r="E72" s="9">
        <v>238</v>
      </c>
      <c r="F72" s="9">
        <v>35</v>
      </c>
      <c r="G72" s="10" t="str">
        <f>VLOOKUP(A:A,[1]TDSheet!$A:$G,7,0)</f>
        <v>P003364</v>
      </c>
      <c r="H72" s="21">
        <f>VLOOKUP(A:A,[1]TDSheet!$A:$H,8,0)</f>
        <v>0.35</v>
      </c>
      <c r="I72" s="10">
        <f>VLOOKUP(A:A,[1]TDSheet!$A:$I,9,0)</f>
        <v>0</v>
      </c>
      <c r="J72" s="10" t="str">
        <f>VLOOKUP(A:A,[1]TDSheet!$A:$J,10,0)</f>
        <v>матрица</v>
      </c>
      <c r="K72" s="10"/>
      <c r="L72" s="10">
        <f>VLOOKUP(A:A,[2]TDSheet!$A:$B,2,0)</f>
        <v>241</v>
      </c>
      <c r="M72" s="10">
        <f t="shared" si="1"/>
        <v>-3</v>
      </c>
      <c r="N72" s="10"/>
      <c r="O72" s="10">
        <f>VLOOKUP(A:A,[1]TDSheet!$A:$R,18,0)</f>
        <v>0</v>
      </c>
      <c r="P72" s="10">
        <f>VLOOKUP(A:A,[1]TDSheet!$A:$S,19,0)</f>
        <v>0</v>
      </c>
      <c r="Q72" s="10">
        <f>VLOOKUP(A:A,[1]TDSheet!$A:$T,20,0)</f>
        <v>0</v>
      </c>
      <c r="R72" s="10">
        <f>VLOOKUP(A:A,[1]TDSheet!$A:$U,21,0)</f>
        <v>90</v>
      </c>
      <c r="S72" s="10">
        <f>VLOOKUP(A:A,[1]TDSheet!$A:$W,23,0)</f>
        <v>0</v>
      </c>
      <c r="T72" s="10">
        <f t="shared" si="2"/>
        <v>47.6</v>
      </c>
      <c r="U72" s="22">
        <f t="shared" si="3"/>
        <v>398.6</v>
      </c>
      <c r="V72" s="22"/>
      <c r="W72" s="10"/>
      <c r="X72" s="10">
        <f t="shared" si="4"/>
        <v>11</v>
      </c>
      <c r="Y72" s="10">
        <f t="shared" si="5"/>
        <v>0.73529411764705876</v>
      </c>
      <c r="Z72" s="10">
        <f>VLOOKUP(A:A,[1]TDSheet!$A:$AB,28,0)</f>
        <v>42.2</v>
      </c>
      <c r="AA72" s="10">
        <f>VLOOKUP(A:A,[1]TDSheet!$A:$AC,29,0)</f>
        <v>31</v>
      </c>
      <c r="AB72" s="10">
        <f>VLOOKUP(A:A,[1]TDSheet!$A:$AD,30,0)</f>
        <v>28.6</v>
      </c>
      <c r="AC72" s="10">
        <f>VLOOKUP(A:A,[1]TDSheet!$A:$AE,31,0)</f>
        <v>31.6</v>
      </c>
      <c r="AD72" s="10" t="str">
        <f>VLOOKUP(A:A,[1]TDSheet!$A:$AF,32,0)</f>
        <v>новинка / ТМА февраль</v>
      </c>
      <c r="AE72" s="10">
        <f t="shared" si="6"/>
        <v>139.51</v>
      </c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</row>
    <row r="73" spans="1:89" ht="11.1" customHeight="1" x14ac:dyDescent="0.2">
      <c r="A73" s="8" t="s">
        <v>73</v>
      </c>
      <c r="B73" s="8" t="s">
        <v>14</v>
      </c>
      <c r="C73" s="9">
        <v>1</v>
      </c>
      <c r="D73" s="9">
        <v>751</v>
      </c>
      <c r="E73" s="9">
        <v>379</v>
      </c>
      <c r="F73" s="9">
        <v>357</v>
      </c>
      <c r="G73" s="10" t="str">
        <f>VLOOKUP(A:A,[1]TDSheet!$A:$G,7,0)</f>
        <v>P003363</v>
      </c>
      <c r="H73" s="21">
        <f>VLOOKUP(A:A,[1]TDSheet!$A:$H,8,0)</f>
        <v>0.35</v>
      </c>
      <c r="I73" s="10">
        <f>VLOOKUP(A:A,[1]TDSheet!$A:$I,9,0)</f>
        <v>0</v>
      </c>
      <c r="J73" s="10" t="str">
        <f>VLOOKUP(A:A,[1]TDSheet!$A:$J,10,0)</f>
        <v>матрица</v>
      </c>
      <c r="K73" s="10"/>
      <c r="L73" s="10">
        <f>VLOOKUP(A:A,[2]TDSheet!$A:$B,2,0)</f>
        <v>407</v>
      </c>
      <c r="M73" s="10">
        <f t="shared" si="1"/>
        <v>-28</v>
      </c>
      <c r="N73" s="10"/>
      <c r="O73" s="10">
        <f>VLOOKUP(A:A,[1]TDSheet!$A:$R,18,0)</f>
        <v>0</v>
      </c>
      <c r="P73" s="10">
        <f>VLOOKUP(A:A,[1]TDSheet!$A:$S,19,0)</f>
        <v>0</v>
      </c>
      <c r="Q73" s="10">
        <f>VLOOKUP(A:A,[1]TDSheet!$A:$T,20,0)</f>
        <v>0</v>
      </c>
      <c r="R73" s="10">
        <f>VLOOKUP(A:A,[1]TDSheet!$A:$U,21,0)</f>
        <v>320</v>
      </c>
      <c r="S73" s="10">
        <f>VLOOKUP(A:A,[1]TDSheet!$A:$W,23,0)</f>
        <v>0</v>
      </c>
      <c r="T73" s="10">
        <f t="shared" si="2"/>
        <v>75.8</v>
      </c>
      <c r="U73" s="22">
        <f t="shared" si="3"/>
        <v>156.79999999999995</v>
      </c>
      <c r="V73" s="22"/>
      <c r="W73" s="10"/>
      <c r="X73" s="10">
        <f t="shared" si="4"/>
        <v>11</v>
      </c>
      <c r="Y73" s="10">
        <f t="shared" si="5"/>
        <v>4.7097625329815305</v>
      </c>
      <c r="Z73" s="10">
        <f>VLOOKUP(A:A,[1]TDSheet!$A:$AB,28,0)</f>
        <v>79.400000000000006</v>
      </c>
      <c r="AA73" s="10">
        <f>VLOOKUP(A:A,[1]TDSheet!$A:$AC,29,0)</f>
        <v>79.400000000000006</v>
      </c>
      <c r="AB73" s="10">
        <f>VLOOKUP(A:A,[1]TDSheet!$A:$AD,30,0)</f>
        <v>84.2</v>
      </c>
      <c r="AC73" s="10">
        <f>VLOOKUP(A:A,[1]TDSheet!$A:$AE,31,0)</f>
        <v>95.6</v>
      </c>
      <c r="AD73" s="10" t="str">
        <f>VLOOKUP(A:A,[1]TDSheet!$A:$AF,32,0)</f>
        <v>ТМА ПРОДОЛЖЕНИЕ Апрель</v>
      </c>
      <c r="AE73" s="10">
        <f t="shared" si="6"/>
        <v>54.879999999999981</v>
      </c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</row>
    <row r="74" spans="1:89" ht="21.95" customHeight="1" x14ac:dyDescent="0.2">
      <c r="A74" s="8" t="s">
        <v>74</v>
      </c>
      <c r="B74" s="8" t="s">
        <v>14</v>
      </c>
      <c r="C74" s="9">
        <v>5</v>
      </c>
      <c r="D74" s="9"/>
      <c r="E74" s="9">
        <v>5</v>
      </c>
      <c r="F74" s="9"/>
      <c r="G74" s="10" t="str">
        <f>VLOOKUP(A:A,[1]TDSheet!$A:$G,7,0)</f>
        <v>P003947</v>
      </c>
      <c r="H74" s="21">
        <f>VLOOKUP(A:A,[1]TDSheet!$A:$H,8,0)</f>
        <v>0.4</v>
      </c>
      <c r="I74" s="10">
        <f>VLOOKUP(A:A,[1]TDSheet!$A:$I,9,0)</f>
        <v>0</v>
      </c>
      <c r="J74" s="10">
        <f>VLOOKUP(A:A,[1]TDSheet!$A:$J,10,0)</f>
        <v>0</v>
      </c>
      <c r="K74" s="10"/>
      <c r="L74" s="10">
        <f>VLOOKUP(A:A,[2]TDSheet!$A:$B,2,0)</f>
        <v>60</v>
      </c>
      <c r="M74" s="10">
        <f t="shared" si="1"/>
        <v>-55</v>
      </c>
      <c r="N74" s="10"/>
      <c r="O74" s="10">
        <f>VLOOKUP(A:A,[1]TDSheet!$A:$R,18,0)</f>
        <v>0</v>
      </c>
      <c r="P74" s="10">
        <f>VLOOKUP(A:A,[1]TDSheet!$A:$S,19,0)</f>
        <v>0</v>
      </c>
      <c r="Q74" s="10">
        <f>VLOOKUP(A:A,[1]TDSheet!$A:$T,20,0)</f>
        <v>0</v>
      </c>
      <c r="R74" s="10">
        <f>VLOOKUP(A:A,[1]TDSheet!$A:$U,21,0)</f>
        <v>50</v>
      </c>
      <c r="S74" s="10">
        <f>VLOOKUP(A:A,[1]TDSheet!$A:$W,23,0)</f>
        <v>0</v>
      </c>
      <c r="T74" s="10">
        <f t="shared" si="2"/>
        <v>1</v>
      </c>
      <c r="U74" s="22"/>
      <c r="V74" s="22"/>
      <c r="W74" s="10"/>
      <c r="X74" s="10">
        <f t="shared" si="4"/>
        <v>50</v>
      </c>
      <c r="Y74" s="10">
        <f t="shared" si="5"/>
        <v>0</v>
      </c>
      <c r="Z74" s="10">
        <f>VLOOKUP(A:A,[1]TDSheet!$A:$AB,28,0)</f>
        <v>0</v>
      </c>
      <c r="AA74" s="10">
        <f>VLOOKUP(A:A,[1]TDSheet!$A:$AC,29,0)</f>
        <v>4.5999999999999996</v>
      </c>
      <c r="AB74" s="10">
        <f>VLOOKUP(A:A,[1]TDSheet!$A:$AD,30,0)</f>
        <v>3.4</v>
      </c>
      <c r="AC74" s="10">
        <f>VLOOKUP(A:A,[1]TDSheet!$A:$AE,31,0)</f>
        <v>5</v>
      </c>
      <c r="AD74" s="10" t="str">
        <f>VLOOKUP(A:A,[1]TDSheet!$A:$AF,32,0)</f>
        <v>0 заявок</v>
      </c>
      <c r="AE74" s="10">
        <f t="shared" si="6"/>
        <v>0</v>
      </c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</row>
    <row r="75" spans="1:89" ht="21.95" customHeight="1" x14ac:dyDescent="0.2">
      <c r="A75" s="8" t="s">
        <v>75</v>
      </c>
      <c r="B75" s="8" t="s">
        <v>10</v>
      </c>
      <c r="C75" s="9">
        <v>74.578000000000003</v>
      </c>
      <c r="D75" s="9"/>
      <c r="E75" s="9">
        <v>20.251000000000001</v>
      </c>
      <c r="F75" s="9">
        <v>54.326999999999998</v>
      </c>
      <c r="G75" s="10" t="str">
        <f>VLOOKUP(A:A,[1]TDSheet!$A:$G,7,0)</f>
        <v>P003950</v>
      </c>
      <c r="H75" s="21">
        <f>VLOOKUP(A:A,[1]TDSheet!$A:$H,8,0)</f>
        <v>1</v>
      </c>
      <c r="I75" s="10">
        <f>VLOOKUP(A:A,[1]TDSheet!$A:$I,9,0)</f>
        <v>0</v>
      </c>
      <c r="J75" s="10" t="e">
        <f>VLOOKUP(A:A,[1]TDSheet!$A:$J,10,0)</f>
        <v>#N/A</v>
      </c>
      <c r="K75" s="10"/>
      <c r="L75" s="10">
        <f>VLOOKUP(A:A,[2]TDSheet!$A:$B,2,0)</f>
        <v>19.899999999999999</v>
      </c>
      <c r="M75" s="10">
        <f t="shared" si="1"/>
        <v>0.35100000000000264</v>
      </c>
      <c r="N75" s="10"/>
      <c r="O75" s="10">
        <f>VLOOKUP(A:A,[1]TDSheet!$A:$R,18,0)</f>
        <v>0</v>
      </c>
      <c r="P75" s="10">
        <f>VLOOKUP(A:A,[1]TDSheet!$A:$S,19,0)</f>
        <v>0</v>
      </c>
      <c r="Q75" s="10">
        <f>VLOOKUP(A:A,[1]TDSheet!$A:$T,20,0)</f>
        <v>0</v>
      </c>
      <c r="R75" s="10">
        <f>VLOOKUP(A:A,[1]TDSheet!$A:$U,21,0)</f>
        <v>0</v>
      </c>
      <c r="S75" s="10">
        <f>VLOOKUP(A:A,[1]TDSheet!$A:$W,23,0)</f>
        <v>0</v>
      </c>
      <c r="T75" s="10">
        <f t="shared" si="2"/>
        <v>4.0502000000000002</v>
      </c>
      <c r="U75" s="22"/>
      <c r="V75" s="22"/>
      <c r="W75" s="10"/>
      <c r="X75" s="10">
        <f t="shared" si="4"/>
        <v>13.41341168337366</v>
      </c>
      <c r="Y75" s="10">
        <f t="shared" si="5"/>
        <v>13.41341168337366</v>
      </c>
      <c r="Z75" s="10">
        <f>VLOOKUP(A:A,[1]TDSheet!$A:$AB,28,0)</f>
        <v>5.4164000000000003</v>
      </c>
      <c r="AA75" s="10">
        <f>VLOOKUP(A:A,[1]TDSheet!$A:$AC,29,0)</f>
        <v>0.78439999999999999</v>
      </c>
      <c r="AB75" s="10">
        <f>VLOOKUP(A:A,[1]TDSheet!$A:$AD,30,0)</f>
        <v>1.3715999999999999</v>
      </c>
      <c r="AC75" s="10">
        <f>VLOOKUP(A:A,[1]TDSheet!$A:$AE,31,0)</f>
        <v>0.46479999999999999</v>
      </c>
      <c r="AD75" s="10" t="e">
        <f>VLOOKUP(A:A,[1]TDSheet!$A:$AF,32,0)</f>
        <v>#N/A</v>
      </c>
      <c r="AE75" s="10">
        <f t="shared" si="6"/>
        <v>0</v>
      </c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</row>
    <row r="76" spans="1:89" ht="11.1" customHeight="1" x14ac:dyDescent="0.2">
      <c r="A76" s="8" t="s">
        <v>76</v>
      </c>
      <c r="B76" s="8" t="s">
        <v>10</v>
      </c>
      <c r="C76" s="9">
        <v>3487.3139999999999</v>
      </c>
      <c r="D76" s="9">
        <v>4840.4530000000004</v>
      </c>
      <c r="E76" s="9">
        <v>3997.44</v>
      </c>
      <c r="F76" s="9">
        <v>4310.6689999999999</v>
      </c>
      <c r="G76" s="10" t="str">
        <f>VLOOKUP(A:A,[1]TDSheet!$A:$G,7,0)</f>
        <v>P002989</v>
      </c>
      <c r="H76" s="21">
        <f>VLOOKUP(A:A,[1]TDSheet!$A:$H,8,0)</f>
        <v>1</v>
      </c>
      <c r="I76" s="10">
        <f>VLOOKUP(A:A,[1]TDSheet!$A:$I,9,0)</f>
        <v>60</v>
      </c>
      <c r="J76" s="10" t="str">
        <f>VLOOKUP(A:A,[1]TDSheet!$A:$J,10,0)</f>
        <v>матрица</v>
      </c>
      <c r="K76" s="10"/>
      <c r="L76" s="10">
        <f>VLOOKUP(A:A,[2]TDSheet!$A:$B,2,0)</f>
        <v>3982.58</v>
      </c>
      <c r="M76" s="10">
        <f t="shared" ref="M76:M114" si="7">E76-L76</f>
        <v>14.860000000000127</v>
      </c>
      <c r="N76" s="10"/>
      <c r="O76" s="10">
        <f>VLOOKUP(A:A,[1]TDSheet!$A:$R,18,0)</f>
        <v>1500</v>
      </c>
      <c r="P76" s="10">
        <f>VLOOKUP(A:A,[1]TDSheet!$A:$S,19,0)</f>
        <v>0</v>
      </c>
      <c r="Q76" s="10">
        <f>VLOOKUP(A:A,[1]TDSheet!$A:$T,20,0)</f>
        <v>1700</v>
      </c>
      <c r="R76" s="10">
        <f>VLOOKUP(A:A,[1]TDSheet!$A:$U,21,0)</f>
        <v>300</v>
      </c>
      <c r="S76" s="10">
        <f>VLOOKUP(A:A,[1]TDSheet!$A:$W,23,0)</f>
        <v>500</v>
      </c>
      <c r="T76" s="10">
        <f t="shared" ref="T76:T114" si="8">E76/5</f>
        <v>799.48800000000006</v>
      </c>
      <c r="U76" s="22">
        <f t="shared" ref="U76:U113" si="9">T76*11-F76-O76-P76-Q76-R76-S76</f>
        <v>483.69900000000052</v>
      </c>
      <c r="V76" s="22"/>
      <c r="W76" s="10"/>
      <c r="X76" s="10">
        <f t="shared" ref="X76:X114" si="10">(F76+O76+P76+Q76+R76+S76+U76)/T76</f>
        <v>11</v>
      </c>
      <c r="Y76" s="10">
        <f t="shared" ref="Y76:Y114" si="11">F76/T76</f>
        <v>5.3917869936759519</v>
      </c>
      <c r="Z76" s="10">
        <f>VLOOKUP(A:A,[1]TDSheet!$A:$AB,28,0)</f>
        <v>781.14059999999995</v>
      </c>
      <c r="AA76" s="10">
        <f>VLOOKUP(A:A,[1]TDSheet!$A:$AC,29,0)</f>
        <v>821.63319999999999</v>
      </c>
      <c r="AB76" s="10">
        <f>VLOOKUP(A:A,[1]TDSheet!$A:$AD,30,0)</f>
        <v>754.90499999999997</v>
      </c>
      <c r="AC76" s="10">
        <f>VLOOKUP(A:A,[1]TDSheet!$A:$AE,31,0)</f>
        <v>782.39779999999996</v>
      </c>
      <c r="AD76" s="10" t="str">
        <f>VLOOKUP(A:A,[1]TDSheet!$A:$AF,32,0)</f>
        <v>ТМА ПРОДОЛЖЕНИЕ МАРТ</v>
      </c>
      <c r="AE76" s="10">
        <f t="shared" ref="AE76:AE114" si="12">U76*H76</f>
        <v>483.69900000000052</v>
      </c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</row>
    <row r="77" spans="1:89" ht="11.1" customHeight="1" x14ac:dyDescent="0.2">
      <c r="A77" s="8" t="s">
        <v>77</v>
      </c>
      <c r="B77" s="8" t="s">
        <v>14</v>
      </c>
      <c r="C77" s="9">
        <v>276</v>
      </c>
      <c r="D77" s="9">
        <v>90</v>
      </c>
      <c r="E77" s="9">
        <v>265</v>
      </c>
      <c r="F77" s="9">
        <v>101</v>
      </c>
      <c r="G77" s="10" t="str">
        <f>VLOOKUP(A:A,[1]TDSheet!$A:$G,7,0)</f>
        <v>P004554</v>
      </c>
      <c r="H77" s="21">
        <f>VLOOKUP(A:A,[1]TDSheet!$A:$H,8,0)</f>
        <v>0.3</v>
      </c>
      <c r="I77" s="10">
        <f>VLOOKUP(A:A,[1]TDSheet!$A:$I,9,0)</f>
        <v>0</v>
      </c>
      <c r="J77" s="10" t="e">
        <f>VLOOKUP(A:A,[1]TDSheet!$A:$J,10,0)</f>
        <v>#N/A</v>
      </c>
      <c r="K77" s="10"/>
      <c r="L77" s="10">
        <f>VLOOKUP(A:A,[2]TDSheet!$A:$B,2,0)</f>
        <v>277</v>
      </c>
      <c r="M77" s="10">
        <f t="shared" si="7"/>
        <v>-12</v>
      </c>
      <c r="N77" s="10"/>
      <c r="O77" s="10">
        <f>VLOOKUP(A:A,[1]TDSheet!$A:$R,18,0)</f>
        <v>0</v>
      </c>
      <c r="P77" s="10">
        <f>VLOOKUP(A:A,[1]TDSheet!$A:$S,19,0)</f>
        <v>0</v>
      </c>
      <c r="Q77" s="10">
        <f>VLOOKUP(A:A,[1]TDSheet!$A:$T,20,0)</f>
        <v>0</v>
      </c>
      <c r="R77" s="10">
        <f>VLOOKUP(A:A,[1]TDSheet!$A:$U,21,0)</f>
        <v>100</v>
      </c>
      <c r="S77" s="10">
        <f>VLOOKUP(A:A,[1]TDSheet!$A:$W,23,0)</f>
        <v>80</v>
      </c>
      <c r="T77" s="10">
        <f t="shared" si="8"/>
        <v>53</v>
      </c>
      <c r="U77" s="22">
        <f t="shared" si="9"/>
        <v>302</v>
      </c>
      <c r="V77" s="22"/>
      <c r="W77" s="10"/>
      <c r="X77" s="10">
        <f t="shared" si="10"/>
        <v>11</v>
      </c>
      <c r="Y77" s="10">
        <f t="shared" si="11"/>
        <v>1.9056603773584906</v>
      </c>
      <c r="Z77" s="10">
        <f>VLOOKUP(A:A,[1]TDSheet!$A:$AB,28,0)</f>
        <v>21.2</v>
      </c>
      <c r="AA77" s="10">
        <f>VLOOKUP(A:A,[1]TDSheet!$A:$AC,29,0)</f>
        <v>3.6</v>
      </c>
      <c r="AB77" s="10">
        <f>VLOOKUP(A:A,[1]TDSheet!$A:$AD,30,0)</f>
        <v>38.200000000000003</v>
      </c>
      <c r="AC77" s="10">
        <f>VLOOKUP(A:A,[1]TDSheet!$A:$AE,31,0)</f>
        <v>6</v>
      </c>
      <c r="AD77" s="10" t="e">
        <f>VLOOKUP(A:A,[1]TDSheet!$A:$AF,32,0)</f>
        <v>#N/A</v>
      </c>
      <c r="AE77" s="10">
        <f t="shared" si="12"/>
        <v>90.6</v>
      </c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</row>
    <row r="78" spans="1:89" ht="11.1" customHeight="1" x14ac:dyDescent="0.2">
      <c r="A78" s="8" t="s">
        <v>78</v>
      </c>
      <c r="B78" s="8" t="s">
        <v>10</v>
      </c>
      <c r="C78" s="9">
        <v>984.48199999999997</v>
      </c>
      <c r="D78" s="9">
        <v>1946.499</v>
      </c>
      <c r="E78" s="9">
        <v>1507.35</v>
      </c>
      <c r="F78" s="9">
        <v>1400.2429999999999</v>
      </c>
      <c r="G78" s="10" t="str">
        <f>VLOOKUP(A:A,[1]TDSheet!$A:$G,7,0)</f>
        <v>P004257</v>
      </c>
      <c r="H78" s="21">
        <f>VLOOKUP(A:A,[1]TDSheet!$A:$H,8,0)</f>
        <v>1</v>
      </c>
      <c r="I78" s="10">
        <f>VLOOKUP(A:A,[1]TDSheet!$A:$I,9,0)</f>
        <v>60</v>
      </c>
      <c r="J78" s="10" t="str">
        <f>VLOOKUP(A:A,[1]TDSheet!$A:$J,10,0)</f>
        <v>матрица</v>
      </c>
      <c r="K78" s="10"/>
      <c r="L78" s="10">
        <f>VLOOKUP(A:A,[2]TDSheet!$A:$B,2,0)</f>
        <v>1540.4</v>
      </c>
      <c r="M78" s="10">
        <f t="shared" si="7"/>
        <v>-33.050000000000182</v>
      </c>
      <c r="N78" s="10"/>
      <c r="O78" s="10">
        <f>VLOOKUP(A:A,[1]TDSheet!$A:$R,18,0)</f>
        <v>900</v>
      </c>
      <c r="P78" s="10">
        <f>VLOOKUP(A:A,[1]TDSheet!$A:$S,19,0)</f>
        <v>0</v>
      </c>
      <c r="Q78" s="10">
        <f>VLOOKUP(A:A,[1]TDSheet!$A:$T,20,0)</f>
        <v>1000</v>
      </c>
      <c r="R78" s="10">
        <f>VLOOKUP(A:A,[1]TDSheet!$A:$U,21,0)</f>
        <v>0</v>
      </c>
      <c r="S78" s="10">
        <f>VLOOKUP(A:A,[1]TDSheet!$A:$W,23,0)</f>
        <v>300</v>
      </c>
      <c r="T78" s="10">
        <f t="shared" si="8"/>
        <v>301.46999999999997</v>
      </c>
      <c r="U78" s="22"/>
      <c r="V78" s="22"/>
      <c r="W78" s="10"/>
      <c r="X78" s="10">
        <f t="shared" si="10"/>
        <v>11.942292765449299</v>
      </c>
      <c r="Y78" s="10">
        <f t="shared" si="11"/>
        <v>4.6447175506683918</v>
      </c>
      <c r="Z78" s="10">
        <f>VLOOKUP(A:A,[1]TDSheet!$A:$AB,28,0)</f>
        <v>254.72840000000002</v>
      </c>
      <c r="AA78" s="10">
        <f>VLOOKUP(A:A,[1]TDSheet!$A:$AC,29,0)</f>
        <v>276.92240000000004</v>
      </c>
      <c r="AB78" s="10">
        <f>VLOOKUP(A:A,[1]TDSheet!$A:$AD,30,0)</f>
        <v>244.89420000000001</v>
      </c>
      <c r="AC78" s="10">
        <f>VLOOKUP(A:A,[1]TDSheet!$A:$AE,31,0)</f>
        <v>319.43420000000003</v>
      </c>
      <c r="AD78" s="10" t="str">
        <f>VLOOKUP(A:A,[1]TDSheet!$A:$AF,32,0)</f>
        <v>ТМА ПРОДОЛЖЕНИЕ Апрель</v>
      </c>
      <c r="AE78" s="10">
        <f t="shared" si="12"/>
        <v>0</v>
      </c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</row>
    <row r="79" spans="1:89" ht="11.1" customHeight="1" x14ac:dyDescent="0.2">
      <c r="A79" s="8" t="s">
        <v>79</v>
      </c>
      <c r="B79" s="8" t="s">
        <v>10</v>
      </c>
      <c r="C79" s="9">
        <v>1840.192</v>
      </c>
      <c r="D79" s="9">
        <v>3943.6759999999999</v>
      </c>
      <c r="E79" s="9">
        <v>3433.5920000000001</v>
      </c>
      <c r="F79" s="9">
        <v>2339.4059999999999</v>
      </c>
      <c r="G79" s="10" t="str">
        <f>VLOOKUP(A:A,[1]TDSheet!$A:$G,7,0)</f>
        <v>P004252</v>
      </c>
      <c r="H79" s="21">
        <f>VLOOKUP(A:A,[1]TDSheet!$A:$H,8,0)</f>
        <v>1</v>
      </c>
      <c r="I79" s="10">
        <f>VLOOKUP(A:A,[1]TDSheet!$A:$I,9,0)</f>
        <v>60</v>
      </c>
      <c r="J79" s="10" t="str">
        <f>VLOOKUP(A:A,[1]TDSheet!$A:$J,10,0)</f>
        <v>матрица</v>
      </c>
      <c r="K79" s="10"/>
      <c r="L79" s="10">
        <f>VLOOKUP(A:A,[2]TDSheet!$A:$B,2,0)</f>
        <v>3470.1</v>
      </c>
      <c r="M79" s="10">
        <f t="shared" si="7"/>
        <v>-36.507999999999811</v>
      </c>
      <c r="N79" s="10"/>
      <c r="O79" s="10">
        <f>VLOOKUP(A:A,[1]TDSheet!$A:$R,18,0)</f>
        <v>1700</v>
      </c>
      <c r="P79" s="10">
        <f>VLOOKUP(A:A,[1]TDSheet!$A:$S,19,0)</f>
        <v>0</v>
      </c>
      <c r="Q79" s="10">
        <f>VLOOKUP(A:A,[1]TDSheet!$A:$T,20,0)</f>
        <v>1100</v>
      </c>
      <c r="R79" s="10">
        <f>VLOOKUP(A:A,[1]TDSheet!$A:$U,21,0)</f>
        <v>3000</v>
      </c>
      <c r="S79" s="10">
        <f>VLOOKUP(A:A,[1]TDSheet!$A:$W,23,0)</f>
        <v>1500</v>
      </c>
      <c r="T79" s="10">
        <f t="shared" si="8"/>
        <v>686.71839999999997</v>
      </c>
      <c r="U79" s="22"/>
      <c r="V79" s="22"/>
      <c r="W79" s="10"/>
      <c r="X79" s="10">
        <f t="shared" si="10"/>
        <v>14.036912364660681</v>
      </c>
      <c r="Y79" s="10">
        <f t="shared" si="11"/>
        <v>3.4066452857532288</v>
      </c>
      <c r="Z79" s="10">
        <f>VLOOKUP(A:A,[1]TDSheet!$A:$AB,28,0)</f>
        <v>605.00379999999996</v>
      </c>
      <c r="AA79" s="10">
        <f>VLOOKUP(A:A,[1]TDSheet!$A:$AC,29,0)</f>
        <v>659.8646</v>
      </c>
      <c r="AB79" s="10">
        <f>VLOOKUP(A:A,[1]TDSheet!$A:$AD,30,0)</f>
        <v>643.58459999999991</v>
      </c>
      <c r="AC79" s="10">
        <f>VLOOKUP(A:A,[1]TDSheet!$A:$AE,31,0)</f>
        <v>892.06839999999988</v>
      </c>
      <c r="AD79" s="10" t="str">
        <f>VLOOKUP(A:A,[1]TDSheet!$A:$AF,32,0)</f>
        <v>ТМА ПРОДОЛЖЕНИЕ Апрель</v>
      </c>
      <c r="AE79" s="10">
        <f t="shared" si="12"/>
        <v>0</v>
      </c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</row>
    <row r="80" spans="1:89" ht="11.1" customHeight="1" x14ac:dyDescent="0.2">
      <c r="A80" s="8" t="s">
        <v>80</v>
      </c>
      <c r="B80" s="8" t="s">
        <v>10</v>
      </c>
      <c r="C80" s="9">
        <v>4490.95</v>
      </c>
      <c r="D80" s="9">
        <v>2423.6849999999999</v>
      </c>
      <c r="E80" s="9">
        <v>3969.299</v>
      </c>
      <c r="F80" s="9">
        <v>2920.6010000000001</v>
      </c>
      <c r="G80" s="10" t="str">
        <f>VLOOKUP(A:A,[1]TDSheet!$A:$G,7,0)</f>
        <v>P004256</v>
      </c>
      <c r="H80" s="21">
        <f>VLOOKUP(A:A,[1]TDSheet!$A:$H,8,0)</f>
        <v>1</v>
      </c>
      <c r="I80" s="10">
        <f>VLOOKUP(A:A,[1]TDSheet!$A:$I,9,0)</f>
        <v>60</v>
      </c>
      <c r="J80" s="10" t="str">
        <f>VLOOKUP(A:A,[1]TDSheet!$A:$J,10,0)</f>
        <v>матрица</v>
      </c>
      <c r="K80" s="10"/>
      <c r="L80" s="10">
        <f>VLOOKUP(A:A,[2]TDSheet!$A:$B,2,0)</f>
        <v>4017.8960000000002</v>
      </c>
      <c r="M80" s="10">
        <f t="shared" si="7"/>
        <v>-48.597000000000207</v>
      </c>
      <c r="N80" s="10"/>
      <c r="O80" s="10">
        <f>VLOOKUP(A:A,[1]TDSheet!$A:$R,18,0)</f>
        <v>0</v>
      </c>
      <c r="P80" s="10">
        <f>VLOOKUP(A:A,[1]TDSheet!$A:$S,19,0)</f>
        <v>0</v>
      </c>
      <c r="Q80" s="10">
        <f>VLOOKUP(A:A,[1]TDSheet!$A:$T,20,0)</f>
        <v>0</v>
      </c>
      <c r="R80" s="10">
        <f>VLOOKUP(A:A,[1]TDSheet!$A:$U,21,0)</f>
        <v>4000</v>
      </c>
      <c r="S80" s="10">
        <f>VLOOKUP(A:A,[1]TDSheet!$A:$W,23,0)</f>
        <v>600</v>
      </c>
      <c r="T80" s="10">
        <f t="shared" si="8"/>
        <v>793.85979999999995</v>
      </c>
      <c r="U80" s="22">
        <f t="shared" si="9"/>
        <v>1211.8567999999996</v>
      </c>
      <c r="V80" s="22"/>
      <c r="W80" s="10"/>
      <c r="X80" s="10">
        <f t="shared" si="10"/>
        <v>11</v>
      </c>
      <c r="Y80" s="10">
        <f t="shared" si="11"/>
        <v>3.67898840576132</v>
      </c>
      <c r="Z80" s="10">
        <f>VLOOKUP(A:A,[1]TDSheet!$A:$AB,28,0)</f>
        <v>670.39440000000002</v>
      </c>
      <c r="AA80" s="10">
        <f>VLOOKUP(A:A,[1]TDSheet!$A:$AC,29,0)</f>
        <v>796.82820000000004</v>
      </c>
      <c r="AB80" s="10">
        <f>VLOOKUP(A:A,[1]TDSheet!$A:$AD,30,0)</f>
        <v>814.63580000000002</v>
      </c>
      <c r="AC80" s="10">
        <f>VLOOKUP(A:A,[1]TDSheet!$A:$AE,31,0)</f>
        <v>890.33680000000004</v>
      </c>
      <c r="AD80" s="10" t="str">
        <f>VLOOKUP(A:A,[1]TDSheet!$A:$AF,32,0)</f>
        <v>ТМА ПРОДОЛЖЕНИЕ Апрель</v>
      </c>
      <c r="AE80" s="10">
        <f t="shared" si="12"/>
        <v>1211.8567999999996</v>
      </c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</row>
    <row r="81" spans="1:89" ht="21.95" customHeight="1" x14ac:dyDescent="0.2">
      <c r="A81" s="8" t="s">
        <v>81</v>
      </c>
      <c r="B81" s="8" t="s">
        <v>10</v>
      </c>
      <c r="C81" s="9">
        <v>1.45</v>
      </c>
      <c r="D81" s="9">
        <v>67.373999999999995</v>
      </c>
      <c r="E81" s="9">
        <v>67.331999999999994</v>
      </c>
      <c r="F81" s="9">
        <v>0.111</v>
      </c>
      <c r="G81" s="10" t="str">
        <f>VLOOKUP(A:A,[1]TDSheet!$A:$G,7,0)</f>
        <v>P004210</v>
      </c>
      <c r="H81" s="21">
        <f>VLOOKUP(A:A,[1]TDSheet!$A:$H,8,0)</f>
        <v>1</v>
      </c>
      <c r="I81" s="10">
        <f>VLOOKUP(A:A,[1]TDSheet!$A:$I,9,0)</f>
        <v>0</v>
      </c>
      <c r="J81" s="10" t="e">
        <f>VLOOKUP(A:A,[1]TDSheet!$A:$J,10,0)</f>
        <v>#N/A</v>
      </c>
      <c r="K81" s="10"/>
      <c r="L81" s="10">
        <f>VLOOKUP(A:A,[2]TDSheet!$A:$B,2,0)</f>
        <v>85.1</v>
      </c>
      <c r="M81" s="10">
        <f t="shared" si="7"/>
        <v>-17.768000000000001</v>
      </c>
      <c r="N81" s="10"/>
      <c r="O81" s="10">
        <f>VLOOKUP(A:A,[1]TDSheet!$A:$R,18,0)</f>
        <v>0</v>
      </c>
      <c r="P81" s="10">
        <f>VLOOKUP(A:A,[1]TDSheet!$A:$S,19,0)</f>
        <v>0</v>
      </c>
      <c r="Q81" s="10">
        <f>VLOOKUP(A:A,[1]TDSheet!$A:$T,20,0)</f>
        <v>0</v>
      </c>
      <c r="R81" s="10">
        <f>VLOOKUP(A:A,[1]TDSheet!$A:$U,21,0)</f>
        <v>10</v>
      </c>
      <c r="S81" s="10">
        <f>VLOOKUP(A:A,[1]TDSheet!$A:$W,23,0)</f>
        <v>0</v>
      </c>
      <c r="T81" s="10">
        <f t="shared" si="8"/>
        <v>13.466399999999998</v>
      </c>
      <c r="U81" s="22">
        <f t="shared" si="9"/>
        <v>138.01939999999999</v>
      </c>
      <c r="V81" s="22"/>
      <c r="W81" s="10"/>
      <c r="X81" s="10">
        <f t="shared" si="10"/>
        <v>11</v>
      </c>
      <c r="Y81" s="10">
        <f t="shared" si="11"/>
        <v>8.2427374799500987E-3</v>
      </c>
      <c r="Z81" s="10">
        <f>VLOOKUP(A:A,[1]TDSheet!$A:$AB,28,0)</f>
        <v>1.6126</v>
      </c>
      <c r="AA81" s="10">
        <f>VLOOKUP(A:A,[1]TDSheet!$A:$AC,29,0)</f>
        <v>5.6142000000000003</v>
      </c>
      <c r="AB81" s="10">
        <f>VLOOKUP(A:A,[1]TDSheet!$A:$AD,30,0)</f>
        <v>8.8628</v>
      </c>
      <c r="AC81" s="10">
        <f>VLOOKUP(A:A,[1]TDSheet!$A:$AE,31,0)</f>
        <v>6.5221999999999998</v>
      </c>
      <c r="AD81" s="10" t="e">
        <f>VLOOKUP(A:A,[1]TDSheet!$A:$AF,32,0)</f>
        <v>#N/A</v>
      </c>
      <c r="AE81" s="10">
        <f t="shared" si="12"/>
        <v>138.01939999999999</v>
      </c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</row>
    <row r="82" spans="1:89" ht="21.95" customHeight="1" x14ac:dyDescent="0.2">
      <c r="A82" s="8" t="s">
        <v>82</v>
      </c>
      <c r="B82" s="8" t="s">
        <v>10</v>
      </c>
      <c r="C82" s="9">
        <v>26.448</v>
      </c>
      <c r="D82" s="9"/>
      <c r="E82" s="9">
        <v>23.837</v>
      </c>
      <c r="F82" s="9">
        <v>1.3360000000000001</v>
      </c>
      <c r="G82" s="10" t="str">
        <f>VLOOKUP(A:A,[1]TDSheet!$A:$G,7,0)</f>
        <v>P005138</v>
      </c>
      <c r="H82" s="21">
        <f>VLOOKUP(A:A,[1]TDSheet!$A:$H,8,0)</f>
        <v>1</v>
      </c>
      <c r="I82" s="10" t="e">
        <f>VLOOKUP(A:A,[1]TDSheet!$A:$I,9,0)</f>
        <v>#N/A</v>
      </c>
      <c r="J82" s="10" t="str">
        <f>VLOOKUP(A:A,[1]TDSheet!$A:$J,10,0)</f>
        <v>?</v>
      </c>
      <c r="K82" s="10"/>
      <c r="L82" s="10">
        <f>VLOOKUP(A:A,[2]TDSheet!$A:$B,2,0)</f>
        <v>23.5</v>
      </c>
      <c r="M82" s="10">
        <f t="shared" si="7"/>
        <v>0.33699999999999974</v>
      </c>
      <c r="N82" s="10"/>
      <c r="O82" s="10">
        <f>VLOOKUP(A:A,[1]TDSheet!$A:$R,18,0)</f>
        <v>0</v>
      </c>
      <c r="P82" s="10">
        <f>VLOOKUP(A:A,[1]TDSheet!$A:$S,19,0)</f>
        <v>0</v>
      </c>
      <c r="Q82" s="10">
        <f>VLOOKUP(A:A,[1]TDSheet!$A:$T,20,0)</f>
        <v>0</v>
      </c>
      <c r="R82" s="10">
        <f>VLOOKUP(A:A,[1]TDSheet!$A:$U,21,0)</f>
        <v>80</v>
      </c>
      <c r="S82" s="10">
        <f>VLOOKUP(A:A,[1]TDSheet!$A:$W,23,0)</f>
        <v>0</v>
      </c>
      <c r="T82" s="10">
        <f t="shared" si="8"/>
        <v>4.7674000000000003</v>
      </c>
      <c r="U82" s="22"/>
      <c r="V82" s="22"/>
      <c r="W82" s="10"/>
      <c r="X82" s="10">
        <f t="shared" si="10"/>
        <v>17.060871753995887</v>
      </c>
      <c r="Y82" s="10">
        <f t="shared" si="11"/>
        <v>0.28023660695557329</v>
      </c>
      <c r="Z82" s="10">
        <f>VLOOKUP(A:A,[1]TDSheet!$A:$AB,28,0)</f>
        <v>0</v>
      </c>
      <c r="AA82" s="10">
        <f>VLOOKUP(A:A,[1]TDSheet!$A:$AC,29,0)</f>
        <v>0</v>
      </c>
      <c r="AB82" s="10">
        <f>VLOOKUP(A:A,[1]TDSheet!$A:$AD,30,0)</f>
        <v>2.3890000000000002</v>
      </c>
      <c r="AC82" s="10">
        <f>VLOOKUP(A:A,[1]TDSheet!$A:$AE,31,0)</f>
        <v>9.5624000000000002</v>
      </c>
      <c r="AD82" s="10" t="e">
        <f>VLOOKUP(A:A,[1]TDSheet!$A:$AF,32,0)</f>
        <v>#N/A</v>
      </c>
      <c r="AE82" s="10">
        <f t="shared" si="12"/>
        <v>0</v>
      </c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</row>
    <row r="83" spans="1:89" ht="21.95" customHeight="1" x14ac:dyDescent="0.2">
      <c r="A83" s="8" t="s">
        <v>83</v>
      </c>
      <c r="B83" s="8" t="s">
        <v>10</v>
      </c>
      <c r="C83" s="9">
        <v>182.87</v>
      </c>
      <c r="D83" s="9">
        <v>511.13499999999999</v>
      </c>
      <c r="E83" s="9">
        <v>0</v>
      </c>
      <c r="F83" s="9">
        <v>694.005</v>
      </c>
      <c r="G83" s="10">
        <f>VLOOKUP(A:A,[1]TDSheet!$A:$G,7,0)</f>
        <v>0</v>
      </c>
      <c r="H83" s="21">
        <f>VLOOKUP(A:A,[1]TDSheet!$A:$H,8,0)</f>
        <v>1</v>
      </c>
      <c r="I83" s="10" t="e">
        <f>VLOOKUP(A:A,[1]TDSheet!$A:$I,9,0)</f>
        <v>#N/A</v>
      </c>
      <c r="J83" s="10" t="str">
        <f>VLOOKUP(A:A,[1]TDSheet!$A:$J,10,0)</f>
        <v>?</v>
      </c>
      <c r="K83" s="10"/>
      <c r="L83" s="10">
        <v>0</v>
      </c>
      <c r="M83" s="10">
        <f t="shared" si="7"/>
        <v>0</v>
      </c>
      <c r="N83" s="10"/>
      <c r="O83" s="10">
        <f>VLOOKUP(A:A,[1]TDSheet!$A:$R,18,0)</f>
        <v>0</v>
      </c>
      <c r="P83" s="10">
        <f>VLOOKUP(A:A,[1]TDSheet!$A:$S,19,0)</f>
        <v>0</v>
      </c>
      <c r="Q83" s="10">
        <f>VLOOKUP(A:A,[1]TDSheet!$A:$T,20,0)</f>
        <v>0</v>
      </c>
      <c r="R83" s="10">
        <f>VLOOKUP(A:A,[1]TDSheet!$A:$U,21,0)</f>
        <v>0</v>
      </c>
      <c r="S83" s="10">
        <f>VLOOKUP(A:A,[1]TDSheet!$A:$W,23,0)</f>
        <v>0</v>
      </c>
      <c r="T83" s="10">
        <f t="shared" si="8"/>
        <v>0</v>
      </c>
      <c r="U83" s="22"/>
      <c r="V83" s="22"/>
      <c r="W83" s="10"/>
      <c r="X83" s="10" t="e">
        <f t="shared" si="10"/>
        <v>#DIV/0!</v>
      </c>
      <c r="Y83" s="10" t="e">
        <f t="shared" si="11"/>
        <v>#DIV/0!</v>
      </c>
      <c r="Z83" s="10">
        <f>VLOOKUP(A:A,[1]TDSheet!$A:$AB,28,0)</f>
        <v>0</v>
      </c>
      <c r="AA83" s="10">
        <f>VLOOKUP(A:A,[1]TDSheet!$A:$AC,29,0)</f>
        <v>0</v>
      </c>
      <c r="AB83" s="10">
        <f>VLOOKUP(A:A,[1]TDSheet!$A:$AD,30,0)</f>
        <v>0</v>
      </c>
      <c r="AC83" s="10">
        <f>VLOOKUP(A:A,[1]TDSheet!$A:$AE,31,0)</f>
        <v>0</v>
      </c>
      <c r="AD83" s="10" t="e">
        <f>VLOOKUP(A:A,[1]TDSheet!$A:$AF,32,0)</f>
        <v>#N/A</v>
      </c>
      <c r="AE83" s="10">
        <f t="shared" si="12"/>
        <v>0</v>
      </c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</row>
    <row r="84" spans="1:89" ht="11.1" customHeight="1" x14ac:dyDescent="0.2">
      <c r="A84" s="8" t="s">
        <v>84</v>
      </c>
      <c r="B84" s="8" t="s">
        <v>14</v>
      </c>
      <c r="C84" s="9">
        <v>197</v>
      </c>
      <c r="D84" s="9">
        <v>1</v>
      </c>
      <c r="E84" s="9">
        <v>159</v>
      </c>
      <c r="F84" s="9">
        <v>37</v>
      </c>
      <c r="G84" s="10" t="str">
        <f>VLOOKUP(A:A,[1]TDSheet!$A:$G,7,0)</f>
        <v>P003390</v>
      </c>
      <c r="H84" s="21">
        <f>VLOOKUP(A:A,[1]TDSheet!$A:$H,8,0)</f>
        <v>0.3</v>
      </c>
      <c r="I84" s="10">
        <f>VLOOKUP(A:A,[1]TDSheet!$A:$I,9,0)</f>
        <v>40</v>
      </c>
      <c r="J84" s="10" t="str">
        <f>VLOOKUP(A:A,[1]TDSheet!$A:$J,10,0)</f>
        <v>матрица</v>
      </c>
      <c r="K84" s="10"/>
      <c r="L84" s="10">
        <f>VLOOKUP(A:A,[2]TDSheet!$A:$B,2,0)</f>
        <v>161</v>
      </c>
      <c r="M84" s="10">
        <f t="shared" si="7"/>
        <v>-2</v>
      </c>
      <c r="N84" s="10"/>
      <c r="O84" s="10">
        <f>VLOOKUP(A:A,[1]TDSheet!$A:$R,18,0)</f>
        <v>0</v>
      </c>
      <c r="P84" s="10">
        <f>VLOOKUP(A:A,[1]TDSheet!$A:$S,19,0)</f>
        <v>0</v>
      </c>
      <c r="Q84" s="10">
        <f>VLOOKUP(A:A,[1]TDSheet!$A:$T,20,0)</f>
        <v>0</v>
      </c>
      <c r="R84" s="10">
        <f>VLOOKUP(A:A,[1]TDSheet!$A:$U,21,0)</f>
        <v>0</v>
      </c>
      <c r="S84" s="10">
        <f>VLOOKUP(A:A,[1]TDSheet!$A:$W,23,0)</f>
        <v>190</v>
      </c>
      <c r="T84" s="10">
        <f t="shared" si="8"/>
        <v>31.8</v>
      </c>
      <c r="U84" s="22">
        <f t="shared" si="9"/>
        <v>122.80000000000001</v>
      </c>
      <c r="V84" s="22"/>
      <c r="W84" s="10"/>
      <c r="X84" s="10">
        <f t="shared" si="10"/>
        <v>11</v>
      </c>
      <c r="Y84" s="10">
        <f t="shared" si="11"/>
        <v>1.1635220125786163</v>
      </c>
      <c r="Z84" s="10">
        <f>VLOOKUP(A:A,[1]TDSheet!$A:$AB,28,0)</f>
        <v>18.8</v>
      </c>
      <c r="AA84" s="10">
        <f>VLOOKUP(A:A,[1]TDSheet!$A:$AC,29,0)</f>
        <v>14.6</v>
      </c>
      <c r="AB84" s="10">
        <f>VLOOKUP(A:A,[1]TDSheet!$A:$AD,30,0)</f>
        <v>28.2</v>
      </c>
      <c r="AC84" s="10">
        <f>VLOOKUP(A:A,[1]TDSheet!$A:$AE,31,0)</f>
        <v>11.6</v>
      </c>
      <c r="AD84" s="10" t="str">
        <f>VLOOKUP(A:A,[1]TDSheet!$A:$AF,32,0)</f>
        <v>ТМА февраль</v>
      </c>
      <c r="AE84" s="10">
        <f t="shared" si="12"/>
        <v>36.840000000000003</v>
      </c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</row>
    <row r="85" spans="1:89" ht="11.1" customHeight="1" x14ac:dyDescent="0.2">
      <c r="A85" s="8" t="s">
        <v>85</v>
      </c>
      <c r="B85" s="8" t="s">
        <v>14</v>
      </c>
      <c r="C85" s="9">
        <v>40</v>
      </c>
      <c r="D85" s="9"/>
      <c r="E85" s="9">
        <v>41</v>
      </c>
      <c r="F85" s="9">
        <v>-1</v>
      </c>
      <c r="G85" s="10" t="str">
        <f>VLOOKUP(A:A,[1]TDSheet!$A:$G,7,0)</f>
        <v>P004642</v>
      </c>
      <c r="H85" s="21">
        <f>VLOOKUP(A:A,[1]TDSheet!$A:$H,8,0)</f>
        <v>0.3</v>
      </c>
      <c r="I85" s="10">
        <f>VLOOKUP(A:A,[1]TDSheet!$A:$I,9,0)</f>
        <v>0</v>
      </c>
      <c r="J85" s="10" t="e">
        <f>VLOOKUP(A:A,[1]TDSheet!$A:$J,10,0)</f>
        <v>#N/A</v>
      </c>
      <c r="K85" s="10"/>
      <c r="L85" s="10">
        <f>VLOOKUP(A:A,[2]TDSheet!$A:$B,2,0)</f>
        <v>41</v>
      </c>
      <c r="M85" s="10">
        <f t="shared" si="7"/>
        <v>0</v>
      </c>
      <c r="N85" s="10"/>
      <c r="O85" s="10">
        <f>VLOOKUP(A:A,[1]TDSheet!$A:$R,18,0)</f>
        <v>0</v>
      </c>
      <c r="P85" s="10">
        <f>VLOOKUP(A:A,[1]TDSheet!$A:$S,19,0)</f>
        <v>0</v>
      </c>
      <c r="Q85" s="10">
        <f>VLOOKUP(A:A,[1]TDSheet!$A:$T,20,0)</f>
        <v>0</v>
      </c>
      <c r="R85" s="10">
        <f>VLOOKUP(A:A,[1]TDSheet!$A:$U,21,0)</f>
        <v>30</v>
      </c>
      <c r="S85" s="10">
        <f>VLOOKUP(A:A,[1]TDSheet!$A:$W,23,0)</f>
        <v>0</v>
      </c>
      <c r="T85" s="10">
        <f t="shared" si="8"/>
        <v>8.1999999999999993</v>
      </c>
      <c r="U85" s="22">
        <f t="shared" si="9"/>
        <v>61.199999999999989</v>
      </c>
      <c r="V85" s="22"/>
      <c r="W85" s="10"/>
      <c r="X85" s="10">
        <f t="shared" si="10"/>
        <v>11</v>
      </c>
      <c r="Y85" s="10">
        <f t="shared" si="11"/>
        <v>-0.12195121951219513</v>
      </c>
      <c r="Z85" s="10">
        <f>VLOOKUP(A:A,[1]TDSheet!$A:$AB,28,0)</f>
        <v>1.4</v>
      </c>
      <c r="AA85" s="10">
        <f>VLOOKUP(A:A,[1]TDSheet!$A:$AC,29,0)</f>
        <v>7.4</v>
      </c>
      <c r="AB85" s="10">
        <f>VLOOKUP(A:A,[1]TDSheet!$A:$AD,30,0)</f>
        <v>3.4</v>
      </c>
      <c r="AC85" s="10">
        <f>VLOOKUP(A:A,[1]TDSheet!$A:$AE,31,0)</f>
        <v>6</v>
      </c>
      <c r="AD85" s="10" t="e">
        <f>VLOOKUP(A:A,[1]TDSheet!$A:$AF,32,0)</f>
        <v>#N/A</v>
      </c>
      <c r="AE85" s="10">
        <f t="shared" si="12"/>
        <v>18.359999999999996</v>
      </c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</row>
    <row r="86" spans="1:89" ht="11.1" customHeight="1" x14ac:dyDescent="0.2">
      <c r="A86" s="8" t="s">
        <v>86</v>
      </c>
      <c r="B86" s="8" t="s">
        <v>14</v>
      </c>
      <c r="C86" s="9">
        <v>114</v>
      </c>
      <c r="D86" s="9">
        <v>1</v>
      </c>
      <c r="E86" s="9">
        <v>82</v>
      </c>
      <c r="F86" s="9">
        <v>32</v>
      </c>
      <c r="G86" s="10" t="str">
        <f>VLOOKUP(A:A,[1]TDSheet!$A:$G,7,0)</f>
        <v>P004978</v>
      </c>
      <c r="H86" s="21">
        <f>VLOOKUP(A:A,[1]TDSheet!$A:$H,8,0)</f>
        <v>7.0000000000000007E-2</v>
      </c>
      <c r="I86" s="10">
        <f>VLOOKUP(A:A,[1]TDSheet!$A:$I,9,0)</f>
        <v>90</v>
      </c>
      <c r="J86" s="10" t="str">
        <f>VLOOKUP(A:A,[1]TDSheet!$A:$J,10,0)</f>
        <v>матрица</v>
      </c>
      <c r="K86" s="10"/>
      <c r="L86" s="10">
        <f>VLOOKUP(A:A,[2]TDSheet!$A:$B,2,0)</f>
        <v>83</v>
      </c>
      <c r="M86" s="10">
        <f t="shared" si="7"/>
        <v>-1</v>
      </c>
      <c r="N86" s="10"/>
      <c r="O86" s="10">
        <f>VLOOKUP(A:A,[1]TDSheet!$A:$R,18,0)</f>
        <v>0</v>
      </c>
      <c r="P86" s="10">
        <f>VLOOKUP(A:A,[1]TDSheet!$A:$S,19,0)</f>
        <v>0</v>
      </c>
      <c r="Q86" s="10">
        <f>VLOOKUP(A:A,[1]TDSheet!$A:$T,20,0)</f>
        <v>0</v>
      </c>
      <c r="R86" s="10">
        <f>VLOOKUP(A:A,[1]TDSheet!$A:$U,21,0)</f>
        <v>50</v>
      </c>
      <c r="S86" s="10">
        <f>VLOOKUP(A:A,[1]TDSheet!$A:$W,23,0)</f>
        <v>0</v>
      </c>
      <c r="T86" s="10">
        <f t="shared" si="8"/>
        <v>16.399999999999999</v>
      </c>
      <c r="U86" s="22">
        <f t="shared" si="9"/>
        <v>98.399999999999977</v>
      </c>
      <c r="V86" s="22"/>
      <c r="W86" s="10"/>
      <c r="X86" s="10">
        <f t="shared" si="10"/>
        <v>11</v>
      </c>
      <c r="Y86" s="10">
        <f t="shared" si="11"/>
        <v>1.9512195121951221</v>
      </c>
      <c r="Z86" s="10">
        <f>VLOOKUP(A:A,[1]TDSheet!$A:$AB,28,0)</f>
        <v>14.6</v>
      </c>
      <c r="AA86" s="10">
        <f>VLOOKUP(A:A,[1]TDSheet!$A:$AC,29,0)</f>
        <v>20.6</v>
      </c>
      <c r="AB86" s="10">
        <f>VLOOKUP(A:A,[1]TDSheet!$A:$AD,30,0)</f>
        <v>16.600000000000001</v>
      </c>
      <c r="AC86" s="10">
        <f>VLOOKUP(A:A,[1]TDSheet!$A:$AE,31,0)</f>
        <v>14.4</v>
      </c>
      <c r="AD86" s="10">
        <f>VLOOKUP(A:A,[1]TDSheet!$A:$AF,32,0)</f>
        <v>0</v>
      </c>
      <c r="AE86" s="10">
        <f t="shared" si="12"/>
        <v>6.887999999999999</v>
      </c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</row>
    <row r="87" spans="1:89" ht="11.1" customHeight="1" x14ac:dyDescent="0.2">
      <c r="A87" s="8" t="s">
        <v>87</v>
      </c>
      <c r="B87" s="8" t="s">
        <v>14</v>
      </c>
      <c r="C87" s="9">
        <v>170</v>
      </c>
      <c r="D87" s="9">
        <v>1</v>
      </c>
      <c r="E87" s="9">
        <v>118</v>
      </c>
      <c r="F87" s="9">
        <v>52</v>
      </c>
      <c r="G87" s="10" t="str">
        <f>VLOOKUP(A:A,[1]TDSheet!$A:$G,7,0)</f>
        <v>P004979</v>
      </c>
      <c r="H87" s="21">
        <f>VLOOKUP(A:A,[1]TDSheet!$A:$H,8,0)</f>
        <v>7.0000000000000007E-2</v>
      </c>
      <c r="I87" s="10">
        <f>VLOOKUP(A:A,[1]TDSheet!$A:$I,9,0)</f>
        <v>90</v>
      </c>
      <c r="J87" s="10" t="str">
        <f>VLOOKUP(A:A,[1]TDSheet!$A:$J,10,0)</f>
        <v>матрица</v>
      </c>
      <c r="K87" s="10"/>
      <c r="L87" s="10">
        <f>VLOOKUP(A:A,[2]TDSheet!$A:$B,2,0)</f>
        <v>119</v>
      </c>
      <c r="M87" s="10">
        <f t="shared" si="7"/>
        <v>-1</v>
      </c>
      <c r="N87" s="10"/>
      <c r="O87" s="10">
        <f>VLOOKUP(A:A,[1]TDSheet!$A:$R,18,0)</f>
        <v>0</v>
      </c>
      <c r="P87" s="10">
        <f>VLOOKUP(A:A,[1]TDSheet!$A:$S,19,0)</f>
        <v>0</v>
      </c>
      <c r="Q87" s="10">
        <f>VLOOKUP(A:A,[1]TDSheet!$A:$T,20,0)</f>
        <v>0</v>
      </c>
      <c r="R87" s="10">
        <f>VLOOKUP(A:A,[1]TDSheet!$A:$U,21,0)</f>
        <v>0</v>
      </c>
      <c r="S87" s="10">
        <f>VLOOKUP(A:A,[1]TDSheet!$A:$W,23,0)</f>
        <v>0</v>
      </c>
      <c r="T87" s="10">
        <f t="shared" si="8"/>
        <v>23.6</v>
      </c>
      <c r="U87" s="22">
        <f t="shared" si="9"/>
        <v>207.60000000000002</v>
      </c>
      <c r="V87" s="22"/>
      <c r="W87" s="10"/>
      <c r="X87" s="10">
        <f t="shared" si="10"/>
        <v>11</v>
      </c>
      <c r="Y87" s="10">
        <f t="shared" si="11"/>
        <v>2.2033898305084745</v>
      </c>
      <c r="Z87" s="10">
        <f>VLOOKUP(A:A,[1]TDSheet!$A:$AB,28,0)</f>
        <v>18.399999999999999</v>
      </c>
      <c r="AA87" s="10">
        <f>VLOOKUP(A:A,[1]TDSheet!$A:$AC,29,0)</f>
        <v>30.6</v>
      </c>
      <c r="AB87" s="10">
        <f>VLOOKUP(A:A,[1]TDSheet!$A:$AD,30,0)</f>
        <v>19.2</v>
      </c>
      <c r="AC87" s="10">
        <f>VLOOKUP(A:A,[1]TDSheet!$A:$AE,31,0)</f>
        <v>15</v>
      </c>
      <c r="AD87" s="10">
        <f>VLOOKUP(A:A,[1]TDSheet!$A:$AF,32,0)</f>
        <v>0</v>
      </c>
      <c r="AE87" s="10">
        <f t="shared" si="12"/>
        <v>14.532000000000004</v>
      </c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</row>
    <row r="88" spans="1:89" ht="11.1" customHeight="1" x14ac:dyDescent="0.2">
      <c r="A88" s="8" t="s">
        <v>88</v>
      </c>
      <c r="B88" s="8" t="s">
        <v>14</v>
      </c>
      <c r="C88" s="9">
        <v>15</v>
      </c>
      <c r="D88" s="9">
        <v>109</v>
      </c>
      <c r="E88" s="9">
        <v>69</v>
      </c>
      <c r="F88" s="9">
        <v>52</v>
      </c>
      <c r="G88" s="10" t="str">
        <f>VLOOKUP(A:A,[1]TDSheet!$A:$G,7,0)</f>
        <v>P004982</v>
      </c>
      <c r="H88" s="21">
        <f>VLOOKUP(A:A,[1]TDSheet!$A:$H,8,0)</f>
        <v>7.0000000000000007E-2</v>
      </c>
      <c r="I88" s="10">
        <f>VLOOKUP(A:A,[1]TDSheet!$A:$I,9,0)</f>
        <v>90</v>
      </c>
      <c r="J88" s="10" t="str">
        <f>VLOOKUP(A:A,[1]TDSheet!$A:$J,10,0)</f>
        <v>матрица</v>
      </c>
      <c r="K88" s="10"/>
      <c r="L88" s="10">
        <f>VLOOKUP(A:A,[2]TDSheet!$A:$B,2,0)</f>
        <v>72</v>
      </c>
      <c r="M88" s="10">
        <f t="shared" si="7"/>
        <v>-3</v>
      </c>
      <c r="N88" s="10"/>
      <c r="O88" s="10">
        <f>VLOOKUP(A:A,[1]TDSheet!$A:$R,18,0)</f>
        <v>0</v>
      </c>
      <c r="P88" s="10">
        <f>VLOOKUP(A:A,[1]TDSheet!$A:$S,19,0)</f>
        <v>0</v>
      </c>
      <c r="Q88" s="10">
        <f>VLOOKUP(A:A,[1]TDSheet!$A:$T,20,0)</f>
        <v>0</v>
      </c>
      <c r="R88" s="10">
        <f>VLOOKUP(A:A,[1]TDSheet!$A:$U,21,0)</f>
        <v>20</v>
      </c>
      <c r="S88" s="10">
        <f>VLOOKUP(A:A,[1]TDSheet!$A:$W,23,0)</f>
        <v>0</v>
      </c>
      <c r="T88" s="10">
        <f t="shared" si="8"/>
        <v>13.8</v>
      </c>
      <c r="U88" s="22">
        <f t="shared" si="9"/>
        <v>79.800000000000011</v>
      </c>
      <c r="V88" s="22"/>
      <c r="W88" s="10"/>
      <c r="X88" s="10">
        <f t="shared" si="10"/>
        <v>11</v>
      </c>
      <c r="Y88" s="10">
        <f t="shared" si="11"/>
        <v>3.7681159420289854</v>
      </c>
      <c r="Z88" s="10">
        <f>VLOOKUP(A:A,[1]TDSheet!$A:$AB,28,0)</f>
        <v>14</v>
      </c>
      <c r="AA88" s="10">
        <f>VLOOKUP(A:A,[1]TDSheet!$A:$AC,29,0)</f>
        <v>15.2</v>
      </c>
      <c r="AB88" s="10">
        <f>VLOOKUP(A:A,[1]TDSheet!$A:$AD,30,0)</f>
        <v>16.600000000000001</v>
      </c>
      <c r="AC88" s="10">
        <f>VLOOKUP(A:A,[1]TDSheet!$A:$AE,31,0)</f>
        <v>12</v>
      </c>
      <c r="AD88" s="10">
        <f>VLOOKUP(A:A,[1]TDSheet!$A:$AF,32,0)</f>
        <v>0</v>
      </c>
      <c r="AE88" s="10">
        <f t="shared" si="12"/>
        <v>5.5860000000000012</v>
      </c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</row>
    <row r="89" spans="1:89" ht="11.1" customHeight="1" x14ac:dyDescent="0.2">
      <c r="A89" s="8" t="s">
        <v>89</v>
      </c>
      <c r="B89" s="8" t="s">
        <v>14</v>
      </c>
      <c r="C89" s="9">
        <v>45</v>
      </c>
      <c r="D89" s="9">
        <v>1</v>
      </c>
      <c r="E89" s="9">
        <v>42</v>
      </c>
      <c r="F89" s="9"/>
      <c r="G89" s="10" t="str">
        <f>VLOOKUP(A:A,[1]TDSheet!$A:$G,7,0)</f>
        <v>P005023</v>
      </c>
      <c r="H89" s="21">
        <f>VLOOKUP(A:A,[1]TDSheet!$A:$H,8,0)</f>
        <v>0.05</v>
      </c>
      <c r="I89" s="10">
        <f>VLOOKUP(A:A,[1]TDSheet!$A:$I,9,0)</f>
        <v>90</v>
      </c>
      <c r="J89" s="10" t="str">
        <f>VLOOKUP(A:A,[1]TDSheet!$A:$J,10,0)</f>
        <v>матрица</v>
      </c>
      <c r="K89" s="10"/>
      <c r="L89" s="10">
        <f>VLOOKUP(A:A,[2]TDSheet!$A:$B,2,0)</f>
        <v>46</v>
      </c>
      <c r="M89" s="10">
        <f t="shared" si="7"/>
        <v>-4</v>
      </c>
      <c r="N89" s="10"/>
      <c r="O89" s="10">
        <f>VLOOKUP(A:A,[1]TDSheet!$A:$R,18,0)</f>
        <v>0</v>
      </c>
      <c r="P89" s="10">
        <f>VLOOKUP(A:A,[1]TDSheet!$A:$S,19,0)</f>
        <v>0</v>
      </c>
      <c r="Q89" s="10">
        <f>VLOOKUP(A:A,[1]TDSheet!$A:$T,20,0)</f>
        <v>0</v>
      </c>
      <c r="R89" s="10">
        <f>VLOOKUP(A:A,[1]TDSheet!$A:$U,21,0)</f>
        <v>40</v>
      </c>
      <c r="S89" s="10">
        <f>VLOOKUP(A:A,[1]TDSheet!$A:$W,23,0)</f>
        <v>0</v>
      </c>
      <c r="T89" s="10">
        <f t="shared" si="8"/>
        <v>8.4</v>
      </c>
      <c r="U89" s="22"/>
      <c r="V89" s="22"/>
      <c r="W89" s="10"/>
      <c r="X89" s="10">
        <f t="shared" si="10"/>
        <v>4.7619047619047619</v>
      </c>
      <c r="Y89" s="10">
        <f t="shared" si="11"/>
        <v>0</v>
      </c>
      <c r="Z89" s="10">
        <f>VLOOKUP(A:A,[1]TDSheet!$A:$AB,28,0)</f>
        <v>9.1999999999999993</v>
      </c>
      <c r="AA89" s="10">
        <f>VLOOKUP(A:A,[1]TDSheet!$A:$AC,29,0)</f>
        <v>10.6</v>
      </c>
      <c r="AB89" s="10">
        <f>VLOOKUP(A:A,[1]TDSheet!$A:$AD,30,0)</f>
        <v>6.4</v>
      </c>
      <c r="AC89" s="10">
        <f>VLOOKUP(A:A,[1]TDSheet!$A:$AE,31,0)</f>
        <v>7.6</v>
      </c>
      <c r="AD89" s="10">
        <f>VLOOKUP(A:A,[1]TDSheet!$A:$AF,32,0)</f>
        <v>0</v>
      </c>
      <c r="AE89" s="10">
        <f t="shared" si="12"/>
        <v>0</v>
      </c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</row>
    <row r="90" spans="1:89" ht="11.1" customHeight="1" x14ac:dyDescent="0.2">
      <c r="A90" s="23" t="s">
        <v>90</v>
      </c>
      <c r="B90" s="23" t="s">
        <v>14</v>
      </c>
      <c r="C90" s="24">
        <v>140</v>
      </c>
      <c r="D90" s="24"/>
      <c r="E90" s="24">
        <v>28</v>
      </c>
      <c r="F90" s="24">
        <v>101</v>
      </c>
      <c r="G90" s="25" t="str">
        <f>VLOOKUP(A:A,[1]TDSheet!$A:$G,7,0)</f>
        <v>P005022</v>
      </c>
      <c r="H90" s="26">
        <f>VLOOKUP(A:A,[1]TDSheet!$A:$H,8,0)</f>
        <v>0.05</v>
      </c>
      <c r="I90" s="25">
        <f>VLOOKUP(A:A,[1]TDSheet!$A:$I,9,0)</f>
        <v>90</v>
      </c>
      <c r="J90" s="25" t="str">
        <f>VLOOKUP(A:A,[1]TDSheet!$A:$J,10,0)</f>
        <v>матрица</v>
      </c>
      <c r="K90" s="10"/>
      <c r="L90" s="10">
        <f>VLOOKUP(A:A,[2]TDSheet!$A:$B,2,0)</f>
        <v>39</v>
      </c>
      <c r="M90" s="10">
        <f t="shared" si="7"/>
        <v>-11</v>
      </c>
      <c r="N90" s="10"/>
      <c r="O90" s="10">
        <f>VLOOKUP(A:A,[1]TDSheet!$A:$R,18,0)</f>
        <v>0</v>
      </c>
      <c r="P90" s="10">
        <f>VLOOKUP(A:A,[1]TDSheet!$A:$S,19,0)</f>
        <v>0</v>
      </c>
      <c r="Q90" s="10">
        <f>VLOOKUP(A:A,[1]TDSheet!$A:$T,20,0)</f>
        <v>0</v>
      </c>
      <c r="R90" s="10">
        <f>VLOOKUP(A:A,[1]TDSheet!$A:$U,21,0)</f>
        <v>0</v>
      </c>
      <c r="S90" s="10">
        <f>VLOOKUP(A:A,[1]TDSheet!$A:$W,23,0)</f>
        <v>0</v>
      </c>
      <c r="T90" s="10">
        <f t="shared" si="8"/>
        <v>5.6</v>
      </c>
      <c r="U90" s="22"/>
      <c r="V90" s="22"/>
      <c r="W90" s="10"/>
      <c r="X90" s="10">
        <f t="shared" si="10"/>
        <v>18.035714285714288</v>
      </c>
      <c r="Y90" s="10">
        <f t="shared" si="11"/>
        <v>18.035714285714288</v>
      </c>
      <c r="Z90" s="10">
        <f>VLOOKUP(A:A,[1]TDSheet!$A:$AB,28,0)</f>
        <v>9.8000000000000007</v>
      </c>
      <c r="AA90" s="10">
        <f>VLOOKUP(A:A,[1]TDSheet!$A:$AC,29,0)</f>
        <v>17.399999999999999</v>
      </c>
      <c r="AB90" s="10">
        <f>VLOOKUP(A:A,[1]TDSheet!$A:$AD,30,0)</f>
        <v>10.4</v>
      </c>
      <c r="AC90" s="10">
        <f>VLOOKUP(A:A,[1]TDSheet!$A:$AE,31,0)</f>
        <v>7.6</v>
      </c>
      <c r="AD90" s="10">
        <f>VLOOKUP(A:A,[1]TDSheet!$A:$AF,32,0)</f>
        <v>0</v>
      </c>
      <c r="AE90" s="10">
        <f t="shared" si="12"/>
        <v>0</v>
      </c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</row>
    <row r="91" spans="1:89" ht="11.1" customHeight="1" x14ac:dyDescent="0.2">
      <c r="A91" s="23" t="s">
        <v>91</v>
      </c>
      <c r="B91" s="23" t="s">
        <v>14</v>
      </c>
      <c r="C91" s="24">
        <v>158</v>
      </c>
      <c r="D91" s="24"/>
      <c r="E91" s="24">
        <v>44</v>
      </c>
      <c r="F91" s="24">
        <v>110</v>
      </c>
      <c r="G91" s="25" t="str">
        <f>VLOOKUP(A:A,[1]TDSheet!$A:$G,7,0)</f>
        <v>P005021</v>
      </c>
      <c r="H91" s="26">
        <f>VLOOKUP(A:A,[1]TDSheet!$A:$H,8,0)</f>
        <v>5.5E-2</v>
      </c>
      <c r="I91" s="25">
        <f>VLOOKUP(A:A,[1]TDSheet!$A:$I,9,0)</f>
        <v>90</v>
      </c>
      <c r="J91" s="25" t="str">
        <f>VLOOKUP(A:A,[1]TDSheet!$A:$J,10,0)</f>
        <v>матрица</v>
      </c>
      <c r="K91" s="10"/>
      <c r="L91" s="10">
        <f>VLOOKUP(A:A,[2]TDSheet!$A:$B,2,0)</f>
        <v>48</v>
      </c>
      <c r="M91" s="10">
        <f t="shared" si="7"/>
        <v>-4</v>
      </c>
      <c r="N91" s="10"/>
      <c r="O91" s="10">
        <f>VLOOKUP(A:A,[1]TDSheet!$A:$R,18,0)</f>
        <v>0</v>
      </c>
      <c r="P91" s="10">
        <f>VLOOKUP(A:A,[1]TDSheet!$A:$S,19,0)</f>
        <v>0</v>
      </c>
      <c r="Q91" s="10">
        <f>VLOOKUP(A:A,[1]TDSheet!$A:$T,20,0)</f>
        <v>0</v>
      </c>
      <c r="R91" s="10">
        <f>VLOOKUP(A:A,[1]TDSheet!$A:$U,21,0)</f>
        <v>0</v>
      </c>
      <c r="S91" s="10">
        <f>VLOOKUP(A:A,[1]TDSheet!$A:$W,23,0)</f>
        <v>0</v>
      </c>
      <c r="T91" s="10">
        <f t="shared" si="8"/>
        <v>8.8000000000000007</v>
      </c>
      <c r="U91" s="22"/>
      <c r="V91" s="22"/>
      <c r="W91" s="10"/>
      <c r="X91" s="10">
        <f t="shared" si="10"/>
        <v>12.499999999999998</v>
      </c>
      <c r="Y91" s="10">
        <f t="shared" si="11"/>
        <v>12.499999999999998</v>
      </c>
      <c r="Z91" s="10">
        <f>VLOOKUP(A:A,[1]TDSheet!$A:$AB,28,0)</f>
        <v>20.399999999999999</v>
      </c>
      <c r="AA91" s="10">
        <f>VLOOKUP(A:A,[1]TDSheet!$A:$AC,29,0)</f>
        <v>5.6</v>
      </c>
      <c r="AB91" s="10">
        <f>VLOOKUP(A:A,[1]TDSheet!$A:$AD,30,0)</f>
        <v>6.8</v>
      </c>
      <c r="AC91" s="10">
        <f>VLOOKUP(A:A,[1]TDSheet!$A:$AE,31,0)</f>
        <v>7.8</v>
      </c>
      <c r="AD91" s="10">
        <f>VLOOKUP(A:A,[1]TDSheet!$A:$AF,32,0)</f>
        <v>0</v>
      </c>
      <c r="AE91" s="10">
        <f t="shared" si="12"/>
        <v>0</v>
      </c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</row>
    <row r="92" spans="1:89" ht="11.1" customHeight="1" x14ac:dyDescent="0.2">
      <c r="A92" s="8" t="s">
        <v>92</v>
      </c>
      <c r="B92" s="8" t="s">
        <v>14</v>
      </c>
      <c r="C92" s="9">
        <v>9</v>
      </c>
      <c r="D92" s="9">
        <v>84</v>
      </c>
      <c r="E92" s="9">
        <v>36</v>
      </c>
      <c r="F92" s="9">
        <v>57</v>
      </c>
      <c r="G92" s="10" t="str">
        <f>VLOOKUP(A:A,[1]TDSheet!$A:$G,7,0)</f>
        <v>P005150</v>
      </c>
      <c r="H92" s="21">
        <f>VLOOKUP(A:A,[1]TDSheet!$A:$H,8,0)</f>
        <v>0.3</v>
      </c>
      <c r="I92" s="10">
        <f>VLOOKUP(A:A,[1]TDSheet!$A:$I,9,0)</f>
        <v>0</v>
      </c>
      <c r="J92" s="10" t="e">
        <f>VLOOKUP(A:A,[1]TDSheet!$A:$J,10,0)</f>
        <v>#N/A</v>
      </c>
      <c r="K92" s="10"/>
      <c r="L92" s="10">
        <f>VLOOKUP(A:A,[2]TDSheet!$A:$B,2,0)</f>
        <v>36</v>
      </c>
      <c r="M92" s="10">
        <f t="shared" si="7"/>
        <v>0</v>
      </c>
      <c r="N92" s="10"/>
      <c r="O92" s="10">
        <f>VLOOKUP(A:A,[1]TDSheet!$A:$R,18,0)</f>
        <v>0</v>
      </c>
      <c r="P92" s="10">
        <f>VLOOKUP(A:A,[1]TDSheet!$A:$S,19,0)</f>
        <v>0</v>
      </c>
      <c r="Q92" s="10">
        <f>VLOOKUP(A:A,[1]TDSheet!$A:$T,20,0)</f>
        <v>0</v>
      </c>
      <c r="R92" s="10">
        <f>VLOOKUP(A:A,[1]TDSheet!$A:$U,21,0)</f>
        <v>0</v>
      </c>
      <c r="S92" s="10">
        <f>VLOOKUP(A:A,[1]TDSheet!$A:$W,23,0)</f>
        <v>0</v>
      </c>
      <c r="T92" s="10">
        <f t="shared" si="8"/>
        <v>7.2</v>
      </c>
      <c r="U92" s="22"/>
      <c r="V92" s="22"/>
      <c r="W92" s="10"/>
      <c r="X92" s="10">
        <f t="shared" si="10"/>
        <v>7.9166666666666661</v>
      </c>
      <c r="Y92" s="10">
        <f t="shared" si="11"/>
        <v>7.9166666666666661</v>
      </c>
      <c r="Z92" s="10">
        <f>VLOOKUP(A:A,[1]TDSheet!$A:$AB,28,0)</f>
        <v>1.2</v>
      </c>
      <c r="AA92" s="10">
        <f>VLOOKUP(A:A,[1]TDSheet!$A:$AC,29,0)</f>
        <v>3.6</v>
      </c>
      <c r="AB92" s="10">
        <f>VLOOKUP(A:A,[1]TDSheet!$A:$AD,30,0)</f>
        <v>10.4</v>
      </c>
      <c r="AC92" s="10">
        <f>VLOOKUP(A:A,[1]TDSheet!$A:$AE,31,0)</f>
        <v>2</v>
      </c>
      <c r="AD92" s="10" t="e">
        <f>VLOOKUP(A:A,[1]TDSheet!$A:$AF,32,0)</f>
        <v>#N/A</v>
      </c>
      <c r="AE92" s="10">
        <f t="shared" si="12"/>
        <v>0</v>
      </c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</row>
    <row r="93" spans="1:89" ht="11.1" customHeight="1" x14ac:dyDescent="0.2">
      <c r="A93" s="8" t="s">
        <v>93</v>
      </c>
      <c r="B93" s="8" t="s">
        <v>10</v>
      </c>
      <c r="C93" s="9">
        <v>32.136000000000003</v>
      </c>
      <c r="D93" s="9">
        <v>6.0709999999999997</v>
      </c>
      <c r="E93" s="9">
        <v>17.391999999999999</v>
      </c>
      <c r="F93" s="9">
        <v>20.815000000000001</v>
      </c>
      <c r="G93" s="10" t="str">
        <f>VLOOKUP(A:A,[1]TDSheet!$A:$G,7,0)</f>
        <v>P005156</v>
      </c>
      <c r="H93" s="21">
        <f>VLOOKUP(A:A,[1]TDSheet!$A:$H,8,0)</f>
        <v>1</v>
      </c>
      <c r="I93" s="10">
        <f>VLOOKUP(A:A,[1]TDSheet!$A:$I,9,0)</f>
        <v>0</v>
      </c>
      <c r="J93" s="10" t="e">
        <f>VLOOKUP(A:A,[1]TDSheet!$A:$J,10,0)</f>
        <v>#N/A</v>
      </c>
      <c r="K93" s="10"/>
      <c r="L93" s="10">
        <f>VLOOKUP(A:A,[2]TDSheet!$A:$B,2,0)</f>
        <v>14.3</v>
      </c>
      <c r="M93" s="10">
        <f t="shared" si="7"/>
        <v>3.0919999999999987</v>
      </c>
      <c r="N93" s="10"/>
      <c r="O93" s="10">
        <f>VLOOKUP(A:A,[1]TDSheet!$A:$R,18,0)</f>
        <v>0</v>
      </c>
      <c r="P93" s="10">
        <f>VLOOKUP(A:A,[1]TDSheet!$A:$S,19,0)</f>
        <v>0</v>
      </c>
      <c r="Q93" s="10">
        <f>VLOOKUP(A:A,[1]TDSheet!$A:$T,20,0)</f>
        <v>0</v>
      </c>
      <c r="R93" s="10">
        <f>VLOOKUP(A:A,[1]TDSheet!$A:$U,21,0)</f>
        <v>0</v>
      </c>
      <c r="S93" s="10">
        <f>VLOOKUP(A:A,[1]TDSheet!$A:$W,23,0)</f>
        <v>0</v>
      </c>
      <c r="T93" s="10">
        <f t="shared" si="8"/>
        <v>3.4783999999999997</v>
      </c>
      <c r="U93" s="22"/>
      <c r="V93" s="22"/>
      <c r="W93" s="10"/>
      <c r="X93" s="10">
        <f t="shared" si="10"/>
        <v>5.9840731370745175</v>
      </c>
      <c r="Y93" s="10">
        <f t="shared" si="11"/>
        <v>5.9840731370745175</v>
      </c>
      <c r="Z93" s="10">
        <f>VLOOKUP(A:A,[1]TDSheet!$A:$AB,28,0)</f>
        <v>3.4671999999999996</v>
      </c>
      <c r="AA93" s="10">
        <f>VLOOKUP(A:A,[1]TDSheet!$A:$AC,29,0)</f>
        <v>4.1932</v>
      </c>
      <c r="AB93" s="10">
        <f>VLOOKUP(A:A,[1]TDSheet!$A:$AD,30,0)</f>
        <v>3.8694000000000002</v>
      </c>
      <c r="AC93" s="10">
        <f>VLOOKUP(A:A,[1]TDSheet!$A:$AE,31,0)</f>
        <v>1.2769999999999999</v>
      </c>
      <c r="AD93" s="10" t="e">
        <f>VLOOKUP(A:A,[1]TDSheet!$A:$AF,32,0)</f>
        <v>#N/A</v>
      </c>
      <c r="AE93" s="10">
        <f t="shared" si="12"/>
        <v>0</v>
      </c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</row>
    <row r="94" spans="1:89" ht="21.95" customHeight="1" x14ac:dyDescent="0.2">
      <c r="A94" s="8" t="s">
        <v>94</v>
      </c>
      <c r="B94" s="8" t="s">
        <v>14</v>
      </c>
      <c r="C94" s="9">
        <v>6</v>
      </c>
      <c r="D94" s="9"/>
      <c r="E94" s="9">
        <v>0</v>
      </c>
      <c r="F94" s="9">
        <v>5</v>
      </c>
      <c r="G94" s="10" t="str">
        <f>VLOOKUP(A:A,[1]TDSheet!$A:$G,7,0)</f>
        <v>P004758</v>
      </c>
      <c r="H94" s="21">
        <f>VLOOKUP(A:A,[1]TDSheet!$A:$H,8,0)</f>
        <v>0.11</v>
      </c>
      <c r="I94" s="10">
        <f>VLOOKUP(A:A,[1]TDSheet!$A:$I,9,0)</f>
        <v>0</v>
      </c>
      <c r="J94" s="10" t="str">
        <f>VLOOKUP(A:A,[1]TDSheet!$A:$J,10,0)</f>
        <v>матрица</v>
      </c>
      <c r="K94" s="10"/>
      <c r="L94" s="10">
        <f>VLOOKUP(A:A,[2]TDSheet!$A:$B,2,0)</f>
        <v>22</v>
      </c>
      <c r="M94" s="10">
        <f t="shared" si="7"/>
        <v>-22</v>
      </c>
      <c r="N94" s="10"/>
      <c r="O94" s="10">
        <f>VLOOKUP(A:A,[1]TDSheet!$A:$R,18,0)</f>
        <v>0</v>
      </c>
      <c r="P94" s="10">
        <f>VLOOKUP(A:A,[1]TDSheet!$A:$S,19,0)</f>
        <v>0</v>
      </c>
      <c r="Q94" s="10">
        <f>VLOOKUP(A:A,[1]TDSheet!$A:$T,20,0)</f>
        <v>0</v>
      </c>
      <c r="R94" s="10">
        <f>VLOOKUP(A:A,[1]TDSheet!$A:$U,21,0)</f>
        <v>40</v>
      </c>
      <c r="S94" s="10">
        <f>VLOOKUP(A:A,[1]TDSheet!$A:$W,23,0)</f>
        <v>0</v>
      </c>
      <c r="T94" s="10">
        <f t="shared" si="8"/>
        <v>0</v>
      </c>
      <c r="U94" s="22"/>
      <c r="V94" s="22"/>
      <c r="W94" s="10"/>
      <c r="X94" s="10" t="e">
        <f t="shared" si="10"/>
        <v>#DIV/0!</v>
      </c>
      <c r="Y94" s="10" t="e">
        <f t="shared" si="11"/>
        <v>#DIV/0!</v>
      </c>
      <c r="Z94" s="10">
        <f>VLOOKUP(A:A,[1]TDSheet!$A:$AB,28,0)</f>
        <v>1.6</v>
      </c>
      <c r="AA94" s="10">
        <f>VLOOKUP(A:A,[1]TDSheet!$A:$AC,29,0)</f>
        <v>2.4</v>
      </c>
      <c r="AB94" s="10">
        <f>VLOOKUP(A:A,[1]TDSheet!$A:$AD,30,0)</f>
        <v>2.6</v>
      </c>
      <c r="AC94" s="10">
        <f>VLOOKUP(A:A,[1]TDSheet!$A:$AE,31,0)</f>
        <v>1.6</v>
      </c>
      <c r="AD94" s="10">
        <f>VLOOKUP(A:A,[1]TDSheet!$A:$AF,32,0)</f>
        <v>0</v>
      </c>
      <c r="AE94" s="10">
        <f t="shared" si="12"/>
        <v>0</v>
      </c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</row>
    <row r="95" spans="1:89" ht="21.95" customHeight="1" x14ac:dyDescent="0.2">
      <c r="A95" s="8" t="s">
        <v>95</v>
      </c>
      <c r="B95" s="8" t="s">
        <v>14</v>
      </c>
      <c r="C95" s="9">
        <v>200</v>
      </c>
      <c r="D95" s="9">
        <v>86</v>
      </c>
      <c r="E95" s="9">
        <v>128</v>
      </c>
      <c r="F95" s="9">
        <v>118</v>
      </c>
      <c r="G95" s="10" t="str">
        <f>VLOOKUP(A:A,[1]TDSheet!$A:$G,7,0)</f>
        <v>P005155</v>
      </c>
      <c r="H95" s="21">
        <f>VLOOKUP(A:A,[1]TDSheet!$A:$H,8,0)</f>
        <v>0.08</v>
      </c>
      <c r="I95" s="10">
        <f>VLOOKUP(A:A,[1]TDSheet!$A:$I,9,0)</f>
        <v>0</v>
      </c>
      <c r="J95" s="10" t="str">
        <f>VLOOKUP(A:A,[1]TDSheet!$A:$J,10,0)</f>
        <v>матрица</v>
      </c>
      <c r="K95" s="10"/>
      <c r="L95" s="10">
        <f>VLOOKUP(A:A,[2]TDSheet!$A:$B,2,0)</f>
        <v>189</v>
      </c>
      <c r="M95" s="10">
        <f t="shared" si="7"/>
        <v>-61</v>
      </c>
      <c r="N95" s="10"/>
      <c r="O95" s="10">
        <f>VLOOKUP(A:A,[1]TDSheet!$A:$R,18,0)</f>
        <v>0</v>
      </c>
      <c r="P95" s="10">
        <f>VLOOKUP(A:A,[1]TDSheet!$A:$S,19,0)</f>
        <v>0</v>
      </c>
      <c r="Q95" s="10">
        <f>VLOOKUP(A:A,[1]TDSheet!$A:$T,20,0)</f>
        <v>0</v>
      </c>
      <c r="R95" s="10">
        <f>VLOOKUP(A:A,[1]TDSheet!$A:$U,21,0)</f>
        <v>0</v>
      </c>
      <c r="S95" s="10">
        <f>VLOOKUP(A:A,[1]TDSheet!$A:$W,23,0)</f>
        <v>100</v>
      </c>
      <c r="T95" s="10">
        <f t="shared" si="8"/>
        <v>25.6</v>
      </c>
      <c r="U95" s="22"/>
      <c r="V95" s="22"/>
      <c r="W95" s="10"/>
      <c r="X95" s="10">
        <f t="shared" si="10"/>
        <v>8.515625</v>
      </c>
      <c r="Y95" s="10">
        <f t="shared" si="11"/>
        <v>4.609375</v>
      </c>
      <c r="Z95" s="10">
        <f>VLOOKUP(A:A,[1]TDSheet!$A:$AB,28,0)</f>
        <v>31</v>
      </c>
      <c r="AA95" s="10">
        <f>VLOOKUP(A:A,[1]TDSheet!$A:$AC,29,0)</f>
        <v>40.200000000000003</v>
      </c>
      <c r="AB95" s="10">
        <f>VLOOKUP(A:A,[1]TDSheet!$A:$AD,30,0)</f>
        <v>36.799999999999997</v>
      </c>
      <c r="AC95" s="10">
        <f>VLOOKUP(A:A,[1]TDSheet!$A:$AE,31,0)</f>
        <v>23.2</v>
      </c>
      <c r="AD95" s="10" t="str">
        <f>VLOOKUP(A:A,[1]TDSheet!$A:$AF,32,0)</f>
        <v>увел продажи</v>
      </c>
      <c r="AE95" s="10">
        <f t="shared" si="12"/>
        <v>0</v>
      </c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</row>
    <row r="96" spans="1:89" ht="21.95" customHeight="1" x14ac:dyDescent="0.2">
      <c r="A96" s="8" t="s">
        <v>96</v>
      </c>
      <c r="B96" s="8" t="s">
        <v>14</v>
      </c>
      <c r="C96" s="9">
        <v>163</v>
      </c>
      <c r="D96" s="9">
        <v>4</v>
      </c>
      <c r="E96" s="9">
        <v>143</v>
      </c>
      <c r="F96" s="9">
        <v>18</v>
      </c>
      <c r="G96" s="10" t="str">
        <f>VLOOKUP(A:A,[1]TDSheet!$A:$G,7,0)</f>
        <v>P003837</v>
      </c>
      <c r="H96" s="21">
        <f>VLOOKUP(A:A,[1]TDSheet!$A:$H,8,0)</f>
        <v>0.08</v>
      </c>
      <c r="I96" s="10">
        <f>VLOOKUP(A:A,[1]TDSheet!$A:$I,9,0)</f>
        <v>0</v>
      </c>
      <c r="J96" s="10" t="str">
        <f>VLOOKUP(A:A,[1]TDSheet!$A:$J,10,0)</f>
        <v>матрица</v>
      </c>
      <c r="K96" s="10"/>
      <c r="L96" s="10">
        <f>VLOOKUP(A:A,[2]TDSheet!$A:$B,2,0)</f>
        <v>159</v>
      </c>
      <c r="M96" s="10">
        <f t="shared" si="7"/>
        <v>-16</v>
      </c>
      <c r="N96" s="10"/>
      <c r="O96" s="10">
        <f>VLOOKUP(A:A,[1]TDSheet!$A:$R,18,0)</f>
        <v>0</v>
      </c>
      <c r="P96" s="10">
        <f>VLOOKUP(A:A,[1]TDSheet!$A:$S,19,0)</f>
        <v>0</v>
      </c>
      <c r="Q96" s="10">
        <f>VLOOKUP(A:A,[1]TDSheet!$A:$T,20,0)</f>
        <v>0</v>
      </c>
      <c r="R96" s="10">
        <f>VLOOKUP(A:A,[1]TDSheet!$A:$U,21,0)</f>
        <v>0</v>
      </c>
      <c r="S96" s="10">
        <f>VLOOKUP(A:A,[1]TDSheet!$A:$W,23,0)</f>
        <v>0</v>
      </c>
      <c r="T96" s="10">
        <f t="shared" si="8"/>
        <v>28.6</v>
      </c>
      <c r="U96" s="22">
        <f t="shared" si="9"/>
        <v>296.60000000000002</v>
      </c>
      <c r="V96" s="22"/>
      <c r="W96" s="10"/>
      <c r="X96" s="10">
        <f t="shared" si="10"/>
        <v>11</v>
      </c>
      <c r="Y96" s="10">
        <f t="shared" si="11"/>
        <v>0.62937062937062938</v>
      </c>
      <c r="Z96" s="10">
        <f>VLOOKUP(A:A,[1]TDSheet!$A:$AB,28,0)</f>
        <v>23</v>
      </c>
      <c r="AA96" s="10">
        <f>VLOOKUP(A:A,[1]TDSheet!$A:$AC,29,0)</f>
        <v>36.200000000000003</v>
      </c>
      <c r="AB96" s="10">
        <f>VLOOKUP(A:A,[1]TDSheet!$A:$AD,30,0)</f>
        <v>31.4</v>
      </c>
      <c r="AC96" s="10">
        <f>VLOOKUP(A:A,[1]TDSheet!$A:$AE,31,0)</f>
        <v>31.2</v>
      </c>
      <c r="AD96" s="10" t="e">
        <f>VLOOKUP(A:A,[1]TDSheet!$A:$AF,32,0)</f>
        <v>#N/A</v>
      </c>
      <c r="AE96" s="10">
        <f t="shared" si="12"/>
        <v>23.728000000000002</v>
      </c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</row>
    <row r="97" spans="1:89" ht="21.95" customHeight="1" x14ac:dyDescent="0.2">
      <c r="A97" s="23" t="s">
        <v>97</v>
      </c>
      <c r="B97" s="23" t="s">
        <v>14</v>
      </c>
      <c r="C97" s="24">
        <v>32</v>
      </c>
      <c r="D97" s="24">
        <v>15</v>
      </c>
      <c r="E97" s="24">
        <v>6</v>
      </c>
      <c r="F97" s="24">
        <v>11</v>
      </c>
      <c r="G97" s="25" t="str">
        <f>VLOOKUP(A:A,[1]TDSheet!$A:$G,7,0)</f>
        <v>P002641</v>
      </c>
      <c r="H97" s="26">
        <f>VLOOKUP(A:A,[1]TDSheet!$A:$H,8,0)</f>
        <v>0.17</v>
      </c>
      <c r="I97" s="25">
        <f>VLOOKUP(A:A,[1]TDSheet!$A:$I,9,0)</f>
        <v>0</v>
      </c>
      <c r="J97" s="25" t="str">
        <f>VLOOKUP(A:A,[1]TDSheet!$A:$J,10,0)</f>
        <v>матрица</v>
      </c>
      <c r="K97" s="10"/>
      <c r="L97" s="10">
        <f>VLOOKUP(A:A,[2]TDSheet!$A:$B,2,0)</f>
        <v>57</v>
      </c>
      <c r="M97" s="10">
        <f t="shared" si="7"/>
        <v>-51</v>
      </c>
      <c r="N97" s="10"/>
      <c r="O97" s="10">
        <f>VLOOKUP(A:A,[1]TDSheet!$A:$R,18,0)</f>
        <v>0</v>
      </c>
      <c r="P97" s="10">
        <f>VLOOKUP(A:A,[1]TDSheet!$A:$S,19,0)</f>
        <v>0</v>
      </c>
      <c r="Q97" s="10">
        <f>VLOOKUP(A:A,[1]TDSheet!$A:$T,20,0)</f>
        <v>0</v>
      </c>
      <c r="R97" s="10">
        <f>VLOOKUP(A:A,[1]TDSheet!$A:$U,21,0)</f>
        <v>40</v>
      </c>
      <c r="S97" s="10">
        <f>VLOOKUP(A:A,[1]TDSheet!$A:$W,23,0)</f>
        <v>0</v>
      </c>
      <c r="T97" s="10">
        <f t="shared" si="8"/>
        <v>1.2</v>
      </c>
      <c r="U97" s="22"/>
      <c r="V97" s="27">
        <v>20</v>
      </c>
      <c r="W97" s="10" t="s">
        <v>144</v>
      </c>
      <c r="X97" s="10">
        <f t="shared" si="10"/>
        <v>42.5</v>
      </c>
      <c r="Y97" s="10">
        <f t="shared" si="11"/>
        <v>9.1666666666666679</v>
      </c>
      <c r="Z97" s="10">
        <f>VLOOKUP(A:A,[1]TDSheet!$A:$AB,28,0)</f>
        <v>9.8000000000000007</v>
      </c>
      <c r="AA97" s="10">
        <f>VLOOKUP(A:A,[1]TDSheet!$A:$AC,29,0)</f>
        <v>6.4</v>
      </c>
      <c r="AB97" s="10">
        <f>VLOOKUP(A:A,[1]TDSheet!$A:$AD,30,0)</f>
        <v>1.2</v>
      </c>
      <c r="AC97" s="10">
        <f>VLOOKUP(A:A,[1]TDSheet!$A:$AE,31,0)</f>
        <v>3.2</v>
      </c>
      <c r="AD97" s="10" t="e">
        <f>VLOOKUP(A:A,[1]TDSheet!$A:$AF,32,0)</f>
        <v>#N/A</v>
      </c>
      <c r="AE97" s="10">
        <f t="shared" si="12"/>
        <v>0</v>
      </c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</row>
    <row r="98" spans="1:89" ht="21.95" customHeight="1" x14ac:dyDescent="0.2">
      <c r="A98" s="8" t="s">
        <v>98</v>
      </c>
      <c r="B98" s="8" t="s">
        <v>10</v>
      </c>
      <c r="C98" s="9">
        <v>32.450000000000003</v>
      </c>
      <c r="D98" s="9">
        <v>363.86599999999999</v>
      </c>
      <c r="E98" s="9">
        <v>317.55900000000003</v>
      </c>
      <c r="F98" s="9">
        <v>75.887</v>
      </c>
      <c r="G98" s="10" t="str">
        <f>VLOOKUP(A:A,[1]TDSheet!$A:$G,7,0)</f>
        <v>P005376</v>
      </c>
      <c r="H98" s="21">
        <f>VLOOKUP(A:A,[1]TDSheet!$A:$H,8,0)</f>
        <v>1</v>
      </c>
      <c r="I98" s="10">
        <f>VLOOKUP(A:A,[1]TDSheet!$A:$I,9,0)</f>
        <v>0</v>
      </c>
      <c r="J98" s="10" t="e">
        <f>VLOOKUP(A:A,[1]TDSheet!$A:$J,10,0)</f>
        <v>#N/A</v>
      </c>
      <c r="K98" s="10"/>
      <c r="L98" s="10">
        <f>VLOOKUP(A:A,[2]TDSheet!$A:$B,2,0)</f>
        <v>315</v>
      </c>
      <c r="M98" s="10">
        <f t="shared" si="7"/>
        <v>2.5590000000000259</v>
      </c>
      <c r="N98" s="10"/>
      <c r="O98" s="10">
        <f>VLOOKUP(A:A,[1]TDSheet!$A:$R,18,0)</f>
        <v>0</v>
      </c>
      <c r="P98" s="10">
        <f>VLOOKUP(A:A,[1]TDSheet!$A:$S,19,0)</f>
        <v>0</v>
      </c>
      <c r="Q98" s="10">
        <f>VLOOKUP(A:A,[1]TDSheet!$A:$T,20,0)</f>
        <v>0</v>
      </c>
      <c r="R98" s="10">
        <f>VLOOKUP(A:A,[1]TDSheet!$A:$U,21,0)</f>
        <v>290</v>
      </c>
      <c r="S98" s="10">
        <f>VLOOKUP(A:A,[1]TDSheet!$A:$W,23,0)</f>
        <v>100</v>
      </c>
      <c r="T98" s="10">
        <f t="shared" si="8"/>
        <v>63.511800000000008</v>
      </c>
      <c r="U98" s="22">
        <f t="shared" si="9"/>
        <v>232.74279999999999</v>
      </c>
      <c r="V98" s="22"/>
      <c r="W98" s="10"/>
      <c r="X98" s="10">
        <f t="shared" si="10"/>
        <v>10.999999999999998</v>
      </c>
      <c r="Y98" s="10">
        <f t="shared" si="11"/>
        <v>1.1948488312408085</v>
      </c>
      <c r="Z98" s="10">
        <f>VLOOKUP(A:A,[1]TDSheet!$A:$AB,28,0)</f>
        <v>17.624600000000001</v>
      </c>
      <c r="AA98" s="10">
        <f>VLOOKUP(A:A,[1]TDSheet!$A:$AC,29,0)</f>
        <v>29.264800000000001</v>
      </c>
      <c r="AB98" s="10">
        <f>VLOOKUP(A:A,[1]TDSheet!$A:$AD,30,0)</f>
        <v>53.634</v>
      </c>
      <c r="AC98" s="10">
        <f>VLOOKUP(A:A,[1]TDSheet!$A:$AE,31,0)</f>
        <v>62.190800000000003</v>
      </c>
      <c r="AD98" s="10" t="e">
        <f>VLOOKUP(A:A,[1]TDSheet!$A:$AF,32,0)</f>
        <v>#N/A</v>
      </c>
      <c r="AE98" s="10">
        <f t="shared" si="12"/>
        <v>232.74279999999999</v>
      </c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</row>
    <row r="99" spans="1:89" ht="21.95" customHeight="1" x14ac:dyDescent="0.2">
      <c r="A99" s="8" t="s">
        <v>99</v>
      </c>
      <c r="B99" s="8" t="s">
        <v>10</v>
      </c>
      <c r="C99" s="9">
        <v>309.43200000000002</v>
      </c>
      <c r="D99" s="9"/>
      <c r="E99" s="9">
        <v>70.114000000000004</v>
      </c>
      <c r="F99" s="9">
        <v>239.31800000000001</v>
      </c>
      <c r="G99" s="10" t="str">
        <f>VLOOKUP(A:A,[1]TDSheet!$A:$G,7,0)</f>
        <v>P005377</v>
      </c>
      <c r="H99" s="21">
        <f>VLOOKUP(A:A,[1]TDSheet!$A:$H,8,0)</f>
        <v>1</v>
      </c>
      <c r="I99" s="10" t="e">
        <f>VLOOKUP(A:A,[1]TDSheet!$A:$I,9,0)</f>
        <v>#N/A</v>
      </c>
      <c r="J99" s="10" t="e">
        <f>VLOOKUP(A:A,[1]TDSheet!$A:$J,10,0)</f>
        <v>#N/A</v>
      </c>
      <c r="K99" s="10"/>
      <c r="L99" s="10">
        <f>VLOOKUP(A:A,[2]TDSheet!$A:$B,2,0)</f>
        <v>69.5</v>
      </c>
      <c r="M99" s="10">
        <f t="shared" si="7"/>
        <v>0.61400000000000432</v>
      </c>
      <c r="N99" s="10"/>
      <c r="O99" s="10">
        <f>VLOOKUP(A:A,[1]TDSheet!$A:$R,18,0)</f>
        <v>0</v>
      </c>
      <c r="P99" s="10">
        <f>VLOOKUP(A:A,[1]TDSheet!$A:$S,19,0)</f>
        <v>0</v>
      </c>
      <c r="Q99" s="10">
        <f>VLOOKUP(A:A,[1]TDSheet!$A:$T,20,0)</f>
        <v>0</v>
      </c>
      <c r="R99" s="10">
        <f>VLOOKUP(A:A,[1]TDSheet!$A:$U,21,0)</f>
        <v>0</v>
      </c>
      <c r="S99" s="10">
        <f>VLOOKUP(A:A,[1]TDSheet!$A:$W,23,0)</f>
        <v>0</v>
      </c>
      <c r="T99" s="10">
        <f t="shared" si="8"/>
        <v>14.0228</v>
      </c>
      <c r="U99" s="22"/>
      <c r="V99" s="22"/>
      <c r="W99" s="10"/>
      <c r="X99" s="10">
        <f t="shared" si="10"/>
        <v>17.066349088627092</v>
      </c>
      <c r="Y99" s="10">
        <f t="shared" si="11"/>
        <v>17.066349088627092</v>
      </c>
      <c r="Z99" s="10">
        <f>VLOOKUP(A:A,[1]TDSheet!$A:$AB,28,0)</f>
        <v>0</v>
      </c>
      <c r="AA99" s="10">
        <f>VLOOKUP(A:A,[1]TDSheet!$A:$AC,29,0)</f>
        <v>0.7268</v>
      </c>
      <c r="AB99" s="10">
        <f>VLOOKUP(A:A,[1]TDSheet!$A:$AD,30,0)</f>
        <v>2.4918</v>
      </c>
      <c r="AC99" s="10">
        <f>VLOOKUP(A:A,[1]TDSheet!$A:$AE,31,0)</f>
        <v>5.8328000000000007</v>
      </c>
      <c r="AD99" s="10" t="e">
        <f>VLOOKUP(A:A,[1]TDSheet!$A:$AF,32,0)</f>
        <v>#N/A</v>
      </c>
      <c r="AE99" s="10">
        <f t="shared" si="12"/>
        <v>0</v>
      </c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</row>
    <row r="100" spans="1:89" ht="11.1" customHeight="1" x14ac:dyDescent="0.2">
      <c r="A100" s="8" t="s">
        <v>100</v>
      </c>
      <c r="B100" s="8" t="s">
        <v>10</v>
      </c>
      <c r="C100" s="9">
        <v>5.8760000000000003</v>
      </c>
      <c r="D100" s="9">
        <v>324.55099999999999</v>
      </c>
      <c r="E100" s="9">
        <v>239.96700000000001</v>
      </c>
      <c r="F100" s="9">
        <v>86.227000000000004</v>
      </c>
      <c r="G100" s="10" t="str">
        <f>VLOOKUP(A:A,[1]TDSheet!$A:$G,7,0)</f>
        <v>P005375</v>
      </c>
      <c r="H100" s="21">
        <f>VLOOKUP(A:A,[1]TDSheet!$A:$H,8,0)</f>
        <v>1</v>
      </c>
      <c r="I100" s="10">
        <f>VLOOKUP(A:A,[1]TDSheet!$A:$I,9,0)</f>
        <v>0</v>
      </c>
      <c r="J100" s="10" t="e">
        <f>VLOOKUP(A:A,[1]TDSheet!$A:$J,10,0)</f>
        <v>#N/A</v>
      </c>
      <c r="K100" s="10"/>
      <c r="L100" s="10">
        <f>VLOOKUP(A:A,[2]TDSheet!$A:$B,2,0)</f>
        <v>246.7</v>
      </c>
      <c r="M100" s="10">
        <f t="shared" si="7"/>
        <v>-6.7329999999999757</v>
      </c>
      <c r="N100" s="10"/>
      <c r="O100" s="10">
        <f>VLOOKUP(A:A,[1]TDSheet!$A:$R,18,0)</f>
        <v>0</v>
      </c>
      <c r="P100" s="10">
        <f>VLOOKUP(A:A,[1]TDSheet!$A:$S,19,0)</f>
        <v>0</v>
      </c>
      <c r="Q100" s="10">
        <f>VLOOKUP(A:A,[1]TDSheet!$A:$T,20,0)</f>
        <v>0</v>
      </c>
      <c r="R100" s="10">
        <f>VLOOKUP(A:A,[1]TDSheet!$A:$U,21,0)</f>
        <v>230</v>
      </c>
      <c r="S100" s="10">
        <f>VLOOKUP(A:A,[1]TDSheet!$A:$W,23,0)</f>
        <v>0</v>
      </c>
      <c r="T100" s="10">
        <f t="shared" si="8"/>
        <v>47.993400000000001</v>
      </c>
      <c r="U100" s="22">
        <f t="shared" si="9"/>
        <v>211.70040000000006</v>
      </c>
      <c r="V100" s="22"/>
      <c r="W100" s="10"/>
      <c r="X100" s="10">
        <f t="shared" si="10"/>
        <v>11</v>
      </c>
      <c r="Y100" s="10">
        <f t="shared" si="11"/>
        <v>1.7966428717281959</v>
      </c>
      <c r="Z100" s="10">
        <f>VLOOKUP(A:A,[1]TDSheet!$A:$AB,28,0)</f>
        <v>16.330199999999998</v>
      </c>
      <c r="AA100" s="10">
        <f>VLOOKUP(A:A,[1]TDSheet!$A:$AC,29,0)</f>
        <v>25.382400000000001</v>
      </c>
      <c r="AB100" s="10">
        <f>VLOOKUP(A:A,[1]TDSheet!$A:$AD,30,0)</f>
        <v>45.130600000000001</v>
      </c>
      <c r="AC100" s="10">
        <f>VLOOKUP(A:A,[1]TDSheet!$A:$AE,31,0)</f>
        <v>50.688400000000001</v>
      </c>
      <c r="AD100" s="10" t="e">
        <f>VLOOKUP(A:A,[1]TDSheet!$A:$AF,32,0)</f>
        <v>#N/A</v>
      </c>
      <c r="AE100" s="10">
        <f t="shared" si="12"/>
        <v>211.70040000000006</v>
      </c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</row>
    <row r="101" spans="1:89" ht="11.1" customHeight="1" x14ac:dyDescent="0.2">
      <c r="A101" s="8" t="s">
        <v>101</v>
      </c>
      <c r="B101" s="8" t="s">
        <v>14</v>
      </c>
      <c r="C101" s="9">
        <v>63</v>
      </c>
      <c r="D101" s="9">
        <v>20</v>
      </c>
      <c r="E101" s="9">
        <v>44</v>
      </c>
      <c r="F101" s="9">
        <v>13</v>
      </c>
      <c r="G101" s="10" t="str">
        <f>VLOOKUP(A:A,[1]TDSheet!$A:$G,7,0)</f>
        <v>P005187</v>
      </c>
      <c r="H101" s="21">
        <f>VLOOKUP(A:A,[1]TDSheet!$A:$H,8,0)</f>
        <v>0.3</v>
      </c>
      <c r="I101" s="10" t="e">
        <f>VLOOKUP(A:A,[1]TDSheet!$A:$I,9,0)</f>
        <v>#N/A</v>
      </c>
      <c r="J101" s="10" t="e">
        <f>VLOOKUP(A:A,[1]TDSheet!$A:$J,10,0)</f>
        <v>#N/A</v>
      </c>
      <c r="K101" s="10"/>
      <c r="L101" s="10">
        <f>VLOOKUP(A:A,[2]TDSheet!$A:$B,2,0)</f>
        <v>82</v>
      </c>
      <c r="M101" s="10">
        <f t="shared" si="7"/>
        <v>-38</v>
      </c>
      <c r="N101" s="10"/>
      <c r="O101" s="10">
        <f>VLOOKUP(A:A,[1]TDSheet!$A:$R,18,0)</f>
        <v>0</v>
      </c>
      <c r="P101" s="10">
        <f>VLOOKUP(A:A,[1]TDSheet!$A:$S,19,0)</f>
        <v>0</v>
      </c>
      <c r="Q101" s="10">
        <f>VLOOKUP(A:A,[1]TDSheet!$A:$T,20,0)</f>
        <v>0</v>
      </c>
      <c r="R101" s="10">
        <f>VLOOKUP(A:A,[1]TDSheet!$A:$U,21,0)</f>
        <v>20</v>
      </c>
      <c r="S101" s="10">
        <f>VLOOKUP(A:A,[1]TDSheet!$A:$W,23,0)</f>
        <v>0</v>
      </c>
      <c r="T101" s="10">
        <f t="shared" si="8"/>
        <v>8.8000000000000007</v>
      </c>
      <c r="U101" s="22">
        <f t="shared" si="9"/>
        <v>63.800000000000011</v>
      </c>
      <c r="V101" s="22"/>
      <c r="W101" s="10"/>
      <c r="X101" s="10">
        <f t="shared" si="10"/>
        <v>11</v>
      </c>
      <c r="Y101" s="10">
        <f t="shared" si="11"/>
        <v>1.4772727272727271</v>
      </c>
      <c r="Z101" s="10">
        <f>VLOOKUP(A:A,[1]TDSheet!$A:$AB,28,0)</f>
        <v>10.199999999999999</v>
      </c>
      <c r="AA101" s="10">
        <f>VLOOKUP(A:A,[1]TDSheet!$A:$AC,29,0)</f>
        <v>11.8</v>
      </c>
      <c r="AB101" s="10">
        <f>VLOOKUP(A:A,[1]TDSheet!$A:$AD,30,0)</f>
        <v>12.2</v>
      </c>
      <c r="AC101" s="10">
        <f>VLOOKUP(A:A,[1]TDSheet!$A:$AE,31,0)</f>
        <v>12.2</v>
      </c>
      <c r="AD101" s="10" t="e">
        <f>VLOOKUP(A:A,[1]TDSheet!$A:$AF,32,0)</f>
        <v>#N/A</v>
      </c>
      <c r="AE101" s="10">
        <f t="shared" si="12"/>
        <v>19.140000000000004</v>
      </c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</row>
    <row r="102" spans="1:89" ht="21.95" customHeight="1" x14ac:dyDescent="0.2">
      <c r="A102" s="8" t="s">
        <v>102</v>
      </c>
      <c r="B102" s="8" t="s">
        <v>10</v>
      </c>
      <c r="C102" s="9">
        <v>6.72</v>
      </c>
      <c r="D102" s="9"/>
      <c r="E102" s="9">
        <v>0</v>
      </c>
      <c r="F102" s="9"/>
      <c r="G102" s="10" t="str">
        <f>VLOOKUP(A:A,[1]TDSheet!$A:$G,7,0)</f>
        <v>P005136</v>
      </c>
      <c r="H102" s="21">
        <f>VLOOKUP(A:A,[1]TDSheet!$A:$H,8,0)</f>
        <v>1</v>
      </c>
      <c r="I102" s="10">
        <f>VLOOKUP(A:A,[1]TDSheet!$A:$I,9,0)</f>
        <v>0</v>
      </c>
      <c r="J102" s="10" t="e">
        <f>VLOOKUP(A:A,[1]TDSheet!$A:$J,10,0)</f>
        <v>#N/A</v>
      </c>
      <c r="K102" s="10"/>
      <c r="L102" s="10">
        <f>VLOOKUP(A:A,[2]TDSheet!$A:$B,2,0)</f>
        <v>1</v>
      </c>
      <c r="M102" s="10">
        <f t="shared" si="7"/>
        <v>-1</v>
      </c>
      <c r="N102" s="10"/>
      <c r="O102" s="10">
        <f>VLOOKUP(A:A,[1]TDSheet!$A:$R,18,0)</f>
        <v>0</v>
      </c>
      <c r="P102" s="10">
        <f>VLOOKUP(A:A,[1]TDSheet!$A:$S,19,0)</f>
        <v>0</v>
      </c>
      <c r="Q102" s="10">
        <f>VLOOKUP(A:A,[1]TDSheet!$A:$T,20,0)</f>
        <v>0</v>
      </c>
      <c r="R102" s="10">
        <f>VLOOKUP(A:A,[1]TDSheet!$A:$U,21,0)</f>
        <v>0</v>
      </c>
      <c r="S102" s="10">
        <f>VLOOKUP(A:A,[1]TDSheet!$A:$W,23,0)</f>
        <v>0</v>
      </c>
      <c r="T102" s="10">
        <f t="shared" si="8"/>
        <v>0</v>
      </c>
      <c r="U102" s="22"/>
      <c r="V102" s="22"/>
      <c r="W102" s="10"/>
      <c r="X102" s="10" t="e">
        <f t="shared" si="10"/>
        <v>#DIV/0!</v>
      </c>
      <c r="Y102" s="10" t="e">
        <f t="shared" si="11"/>
        <v>#DIV/0!</v>
      </c>
      <c r="Z102" s="10">
        <f>VLOOKUP(A:A,[1]TDSheet!$A:$AB,28,0)</f>
        <v>0</v>
      </c>
      <c r="AA102" s="10">
        <f>VLOOKUP(A:A,[1]TDSheet!$A:$AC,29,0)</f>
        <v>1.645</v>
      </c>
      <c r="AB102" s="10">
        <f>VLOOKUP(A:A,[1]TDSheet!$A:$AD,30,0)</f>
        <v>0.26779999999999998</v>
      </c>
      <c r="AC102" s="10">
        <f>VLOOKUP(A:A,[1]TDSheet!$A:$AE,31,0)</f>
        <v>0.26900000000000002</v>
      </c>
      <c r="AD102" s="10" t="e">
        <f>VLOOKUP(A:A,[1]TDSheet!$A:$AF,32,0)</f>
        <v>#N/A</v>
      </c>
      <c r="AE102" s="10">
        <f t="shared" si="12"/>
        <v>0</v>
      </c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</row>
    <row r="103" spans="1:89" ht="21.95" customHeight="1" x14ac:dyDescent="0.2">
      <c r="A103" s="8" t="s">
        <v>103</v>
      </c>
      <c r="B103" s="8" t="s">
        <v>14</v>
      </c>
      <c r="C103" s="9">
        <v>278</v>
      </c>
      <c r="D103" s="9">
        <v>394</v>
      </c>
      <c r="E103" s="9">
        <v>401</v>
      </c>
      <c r="F103" s="9">
        <v>262</v>
      </c>
      <c r="G103" s="10" t="str">
        <f>VLOOKUP(A:A,[1]TDSheet!$A:$G,7,0)</f>
        <v>P005163</v>
      </c>
      <c r="H103" s="21">
        <f>VLOOKUP(A:A,[1]TDSheet!$A:$H,8,0)</f>
        <v>0.28000000000000003</v>
      </c>
      <c r="I103" s="10">
        <f>VLOOKUP(A:A,[1]TDSheet!$A:$I,9,0)</f>
        <v>0</v>
      </c>
      <c r="J103" s="10" t="e">
        <f>VLOOKUP(A:A,[1]TDSheet!$A:$J,10,0)</f>
        <v>#N/A</v>
      </c>
      <c r="K103" s="10"/>
      <c r="L103" s="10">
        <f>VLOOKUP(A:A,[2]TDSheet!$A:$B,2,0)</f>
        <v>419</v>
      </c>
      <c r="M103" s="10">
        <f t="shared" si="7"/>
        <v>-18</v>
      </c>
      <c r="N103" s="10"/>
      <c r="O103" s="10">
        <f>VLOOKUP(A:A,[1]TDSheet!$A:$R,18,0)</f>
        <v>0</v>
      </c>
      <c r="P103" s="10">
        <f>VLOOKUP(A:A,[1]TDSheet!$A:$S,19,0)</f>
        <v>0</v>
      </c>
      <c r="Q103" s="10">
        <f>VLOOKUP(A:A,[1]TDSheet!$A:$T,20,0)</f>
        <v>0</v>
      </c>
      <c r="R103" s="10">
        <f>VLOOKUP(A:A,[1]TDSheet!$A:$U,21,0)</f>
        <v>180</v>
      </c>
      <c r="S103" s="10">
        <f>VLOOKUP(A:A,[1]TDSheet!$A:$W,23,0)</f>
        <v>110</v>
      </c>
      <c r="T103" s="10">
        <f t="shared" si="8"/>
        <v>80.2</v>
      </c>
      <c r="U103" s="22">
        <f t="shared" si="9"/>
        <v>330.20000000000005</v>
      </c>
      <c r="V103" s="22"/>
      <c r="W103" s="10"/>
      <c r="X103" s="10">
        <f t="shared" si="10"/>
        <v>11</v>
      </c>
      <c r="Y103" s="10">
        <f t="shared" si="11"/>
        <v>3.2668329177057354</v>
      </c>
      <c r="Z103" s="10">
        <f>VLOOKUP(A:A,[1]TDSheet!$A:$AB,28,0)</f>
        <v>59.4</v>
      </c>
      <c r="AA103" s="10">
        <f>VLOOKUP(A:A,[1]TDSheet!$A:$AC,29,0)</f>
        <v>84.6</v>
      </c>
      <c r="AB103" s="10">
        <f>VLOOKUP(A:A,[1]TDSheet!$A:$AD,30,0)</f>
        <v>69</v>
      </c>
      <c r="AC103" s="10">
        <f>VLOOKUP(A:A,[1]TDSheet!$A:$AE,31,0)</f>
        <v>77.400000000000006</v>
      </c>
      <c r="AD103" s="10" t="e">
        <f>VLOOKUP(A:A,[1]TDSheet!$A:$AF,32,0)</f>
        <v>#N/A</v>
      </c>
      <c r="AE103" s="10">
        <f t="shared" si="12"/>
        <v>92.456000000000017</v>
      </c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</row>
    <row r="104" spans="1:89" ht="21.95" customHeight="1" x14ac:dyDescent="0.2">
      <c r="A104" s="8" t="s">
        <v>104</v>
      </c>
      <c r="B104" s="8" t="s">
        <v>14</v>
      </c>
      <c r="C104" s="9">
        <v>215</v>
      </c>
      <c r="D104" s="9">
        <v>407</v>
      </c>
      <c r="E104" s="9">
        <v>443</v>
      </c>
      <c r="F104" s="9">
        <v>164</v>
      </c>
      <c r="G104" s="10" t="str">
        <f>VLOOKUP(A:A,[1]TDSheet!$A:$G,7,0)</f>
        <v>P005166</v>
      </c>
      <c r="H104" s="21">
        <f>VLOOKUP(A:A,[1]TDSheet!$A:$H,8,0)</f>
        <v>0.28000000000000003</v>
      </c>
      <c r="I104" s="10">
        <f>VLOOKUP(A:A,[1]TDSheet!$A:$I,9,0)</f>
        <v>0</v>
      </c>
      <c r="J104" s="10" t="e">
        <f>VLOOKUP(A:A,[1]TDSheet!$A:$J,10,0)</f>
        <v>#N/A</v>
      </c>
      <c r="K104" s="10"/>
      <c r="L104" s="10">
        <f>VLOOKUP(A:A,[2]TDSheet!$A:$B,2,0)</f>
        <v>461</v>
      </c>
      <c r="M104" s="10">
        <f t="shared" si="7"/>
        <v>-18</v>
      </c>
      <c r="N104" s="10"/>
      <c r="O104" s="10">
        <f>VLOOKUP(A:A,[1]TDSheet!$A:$R,18,0)</f>
        <v>0</v>
      </c>
      <c r="P104" s="10">
        <f>VLOOKUP(A:A,[1]TDSheet!$A:$S,19,0)</f>
        <v>0</v>
      </c>
      <c r="Q104" s="10">
        <f>VLOOKUP(A:A,[1]TDSheet!$A:$T,20,0)</f>
        <v>0</v>
      </c>
      <c r="R104" s="10">
        <f>VLOOKUP(A:A,[1]TDSheet!$A:$U,21,0)</f>
        <v>380</v>
      </c>
      <c r="S104" s="10">
        <f>VLOOKUP(A:A,[1]TDSheet!$A:$W,23,0)</f>
        <v>0</v>
      </c>
      <c r="T104" s="10">
        <f t="shared" si="8"/>
        <v>88.6</v>
      </c>
      <c r="U104" s="22">
        <f t="shared" si="9"/>
        <v>430.59999999999991</v>
      </c>
      <c r="V104" s="22"/>
      <c r="W104" s="10"/>
      <c r="X104" s="10">
        <f t="shared" si="10"/>
        <v>11</v>
      </c>
      <c r="Y104" s="10">
        <f t="shared" si="11"/>
        <v>1.851015801354402</v>
      </c>
      <c r="Z104" s="10">
        <f>VLOOKUP(A:A,[1]TDSheet!$A:$AB,28,0)</f>
        <v>68.8</v>
      </c>
      <c r="AA104" s="10">
        <f>VLOOKUP(A:A,[1]TDSheet!$A:$AC,29,0)</f>
        <v>91</v>
      </c>
      <c r="AB104" s="10">
        <f>VLOOKUP(A:A,[1]TDSheet!$A:$AD,30,0)</f>
        <v>65.8</v>
      </c>
      <c r="AC104" s="10">
        <f>VLOOKUP(A:A,[1]TDSheet!$A:$AE,31,0)</f>
        <v>91</v>
      </c>
      <c r="AD104" s="10" t="e">
        <f>VLOOKUP(A:A,[1]TDSheet!$A:$AF,32,0)</f>
        <v>#N/A</v>
      </c>
      <c r="AE104" s="10">
        <f t="shared" si="12"/>
        <v>120.56799999999998</v>
      </c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</row>
    <row r="105" spans="1:89" ht="21.95" customHeight="1" x14ac:dyDescent="0.2">
      <c r="A105" s="8" t="s">
        <v>105</v>
      </c>
      <c r="B105" s="8" t="s">
        <v>10</v>
      </c>
      <c r="C105" s="9">
        <v>63.774000000000001</v>
      </c>
      <c r="D105" s="9">
        <v>108.282</v>
      </c>
      <c r="E105" s="9">
        <v>60.298999999999999</v>
      </c>
      <c r="F105" s="9">
        <v>111.75700000000001</v>
      </c>
      <c r="G105" s="10" t="str">
        <f>VLOOKUP(A:A,[1]TDSheet!$A:$G,7,0)</f>
        <v>P005388</v>
      </c>
      <c r="H105" s="21">
        <f>VLOOKUP(A:A,[1]TDSheet!$A:$H,8,0)</f>
        <v>1</v>
      </c>
      <c r="I105" s="10">
        <f>VLOOKUP(A:A,[1]TDSheet!$A:$I,9,0)</f>
        <v>0</v>
      </c>
      <c r="J105" s="10" t="e">
        <f>VLOOKUP(A:A,[1]TDSheet!$A:$J,10,0)</f>
        <v>#N/A</v>
      </c>
      <c r="K105" s="10"/>
      <c r="L105" s="10">
        <f>VLOOKUP(A:A,[2]TDSheet!$A:$B,2,0)</f>
        <v>60</v>
      </c>
      <c r="M105" s="10">
        <f t="shared" si="7"/>
        <v>0.29899999999999949</v>
      </c>
      <c r="N105" s="10"/>
      <c r="O105" s="10">
        <f>VLOOKUP(A:A,[1]TDSheet!$A:$R,18,0)</f>
        <v>0</v>
      </c>
      <c r="P105" s="10">
        <f>VLOOKUP(A:A,[1]TDSheet!$A:$S,19,0)</f>
        <v>0</v>
      </c>
      <c r="Q105" s="10">
        <f>VLOOKUP(A:A,[1]TDSheet!$A:$T,20,0)</f>
        <v>0</v>
      </c>
      <c r="R105" s="10">
        <f>VLOOKUP(A:A,[1]TDSheet!$A:$U,21,0)</f>
        <v>0</v>
      </c>
      <c r="S105" s="10">
        <f>VLOOKUP(A:A,[1]TDSheet!$A:$W,23,0)</f>
        <v>0</v>
      </c>
      <c r="T105" s="10">
        <f t="shared" si="8"/>
        <v>12.059799999999999</v>
      </c>
      <c r="U105" s="22"/>
      <c r="V105" s="22"/>
      <c r="W105" s="10"/>
      <c r="X105" s="10">
        <f t="shared" si="10"/>
        <v>9.2669032653941201</v>
      </c>
      <c r="Y105" s="10">
        <f t="shared" si="11"/>
        <v>9.2669032653941201</v>
      </c>
      <c r="Z105" s="10">
        <f>VLOOKUP(A:A,[1]TDSheet!$A:$AB,28,0)</f>
        <v>8.6370000000000005</v>
      </c>
      <c r="AA105" s="10">
        <f>VLOOKUP(A:A,[1]TDSheet!$A:$AC,29,0)</f>
        <v>17.559000000000001</v>
      </c>
      <c r="AB105" s="10">
        <f>VLOOKUP(A:A,[1]TDSheet!$A:$AD,30,0)</f>
        <v>22.036200000000001</v>
      </c>
      <c r="AC105" s="10">
        <f>VLOOKUP(A:A,[1]TDSheet!$A:$AE,31,0)</f>
        <v>12.86</v>
      </c>
      <c r="AD105" s="10" t="e">
        <f>VLOOKUP(A:A,[1]TDSheet!$A:$AF,32,0)</f>
        <v>#N/A</v>
      </c>
      <c r="AE105" s="10">
        <f t="shared" si="12"/>
        <v>0</v>
      </c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</row>
    <row r="106" spans="1:89" ht="21.95" customHeight="1" x14ac:dyDescent="0.2">
      <c r="A106" s="8" t="s">
        <v>106</v>
      </c>
      <c r="B106" s="8" t="s">
        <v>10</v>
      </c>
      <c r="C106" s="9">
        <v>91.83</v>
      </c>
      <c r="D106" s="9">
        <v>120.265</v>
      </c>
      <c r="E106" s="9">
        <v>87.787000000000006</v>
      </c>
      <c r="F106" s="9">
        <v>119.47799999999999</v>
      </c>
      <c r="G106" s="10" t="str">
        <f>VLOOKUP(A:A,[1]TDSheet!$A:$G,7,0)</f>
        <v>P004675</v>
      </c>
      <c r="H106" s="21">
        <f>VLOOKUP(A:A,[1]TDSheet!$A:$H,8,0)</f>
        <v>1</v>
      </c>
      <c r="I106" s="10">
        <f>VLOOKUP(A:A,[1]TDSheet!$A:$I,9,0)</f>
        <v>0</v>
      </c>
      <c r="J106" s="10" t="e">
        <f>VLOOKUP(A:A,[1]TDSheet!$A:$J,10,0)</f>
        <v>#N/A</v>
      </c>
      <c r="K106" s="10"/>
      <c r="L106" s="10">
        <f>VLOOKUP(A:A,[2]TDSheet!$A:$B,2,0)</f>
        <v>95</v>
      </c>
      <c r="M106" s="10">
        <f t="shared" si="7"/>
        <v>-7.2129999999999939</v>
      </c>
      <c r="N106" s="10"/>
      <c r="O106" s="10">
        <f>VLOOKUP(A:A,[1]TDSheet!$A:$R,18,0)</f>
        <v>0</v>
      </c>
      <c r="P106" s="10">
        <f>VLOOKUP(A:A,[1]TDSheet!$A:$S,19,0)</f>
        <v>0</v>
      </c>
      <c r="Q106" s="10">
        <f>VLOOKUP(A:A,[1]TDSheet!$A:$T,20,0)</f>
        <v>0</v>
      </c>
      <c r="R106" s="10">
        <f>VLOOKUP(A:A,[1]TDSheet!$A:$U,21,0)</f>
        <v>0</v>
      </c>
      <c r="S106" s="10">
        <f>VLOOKUP(A:A,[1]TDSheet!$A:$W,23,0)</f>
        <v>0</v>
      </c>
      <c r="T106" s="10">
        <f t="shared" si="8"/>
        <v>17.557400000000001</v>
      </c>
      <c r="U106" s="22">
        <f t="shared" si="9"/>
        <v>73.653400000000019</v>
      </c>
      <c r="V106" s="22"/>
      <c r="W106" s="10"/>
      <c r="X106" s="10">
        <f t="shared" si="10"/>
        <v>11</v>
      </c>
      <c r="Y106" s="10">
        <f t="shared" si="11"/>
        <v>6.8049939057035775</v>
      </c>
      <c r="Z106" s="10">
        <f>VLOOKUP(A:A,[1]TDSheet!$A:$AB,28,0)</f>
        <v>6.492</v>
      </c>
      <c r="AA106" s="10">
        <f>VLOOKUP(A:A,[1]TDSheet!$A:$AC,29,0)</f>
        <v>11.9696</v>
      </c>
      <c r="AB106" s="10">
        <f>VLOOKUP(A:A,[1]TDSheet!$A:$AD,30,0)</f>
        <v>26.448</v>
      </c>
      <c r="AC106" s="10">
        <f>VLOOKUP(A:A,[1]TDSheet!$A:$AE,31,0)</f>
        <v>13.8512</v>
      </c>
      <c r="AD106" s="10" t="e">
        <f>VLOOKUP(A:A,[1]TDSheet!$A:$AF,32,0)</f>
        <v>#N/A</v>
      </c>
      <c r="AE106" s="10">
        <f t="shared" si="12"/>
        <v>73.653400000000019</v>
      </c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</row>
    <row r="107" spans="1:89" ht="11.1" customHeight="1" x14ac:dyDescent="0.2">
      <c r="A107" s="8" t="s">
        <v>107</v>
      </c>
      <c r="B107" s="8" t="s">
        <v>10</v>
      </c>
      <c r="C107" s="9">
        <v>5.54</v>
      </c>
      <c r="D107" s="9">
        <v>1.4019999999999999</v>
      </c>
      <c r="E107" s="9">
        <v>0</v>
      </c>
      <c r="F107" s="9"/>
      <c r="G107" s="10" t="str">
        <f>VLOOKUP(A:A,[1]TDSheet!$A:$G,7,0)</f>
        <v>P004212</v>
      </c>
      <c r="H107" s="21">
        <f>VLOOKUP(A:A,[1]TDSheet!$A:$H,8,0)</f>
        <v>1</v>
      </c>
      <c r="I107" s="10" t="e">
        <f>VLOOKUP(A:A,[1]TDSheet!$A:$I,9,0)</f>
        <v>#N/A</v>
      </c>
      <c r="J107" s="10" t="e">
        <f>VLOOKUP(A:A,[1]TDSheet!$A:$J,10,0)</f>
        <v>#N/A</v>
      </c>
      <c r="K107" s="10"/>
      <c r="L107" s="10">
        <f>VLOOKUP(A:A,[2]TDSheet!$A:$B,2,0)</f>
        <v>9.5</v>
      </c>
      <c r="M107" s="10">
        <f t="shared" si="7"/>
        <v>-9.5</v>
      </c>
      <c r="N107" s="10"/>
      <c r="O107" s="10">
        <f>VLOOKUP(A:A,[1]TDSheet!$A:$R,18,0)</f>
        <v>0</v>
      </c>
      <c r="P107" s="10">
        <f>VLOOKUP(A:A,[1]TDSheet!$A:$S,19,0)</f>
        <v>0</v>
      </c>
      <c r="Q107" s="10">
        <f>VLOOKUP(A:A,[1]TDSheet!$A:$T,20,0)</f>
        <v>0</v>
      </c>
      <c r="R107" s="10">
        <f>VLOOKUP(A:A,[1]TDSheet!$A:$U,21,0)</f>
        <v>400</v>
      </c>
      <c r="S107" s="10">
        <f>VLOOKUP(A:A,[1]TDSheet!$A:$W,23,0)</f>
        <v>0</v>
      </c>
      <c r="T107" s="10">
        <f t="shared" si="8"/>
        <v>0</v>
      </c>
      <c r="U107" s="22"/>
      <c r="V107" s="22"/>
      <c r="W107" s="10"/>
      <c r="X107" s="10" t="e">
        <f t="shared" si="10"/>
        <v>#DIV/0!</v>
      </c>
      <c r="Y107" s="10" t="e">
        <f t="shared" si="11"/>
        <v>#DIV/0!</v>
      </c>
      <c r="Z107" s="10">
        <f>VLOOKUP(A:A,[1]TDSheet!$A:$AB,28,0)</f>
        <v>1.9238</v>
      </c>
      <c r="AA107" s="10">
        <f>VLOOKUP(A:A,[1]TDSheet!$A:$AC,29,0)</f>
        <v>15.334</v>
      </c>
      <c r="AB107" s="10">
        <f>VLOOKUP(A:A,[1]TDSheet!$A:$AD,30,0)</f>
        <v>10.6714</v>
      </c>
      <c r="AC107" s="10">
        <f>VLOOKUP(A:A,[1]TDSheet!$A:$AE,31,0)</f>
        <v>0</v>
      </c>
      <c r="AD107" s="10" t="e">
        <f>VLOOKUP(A:A,[1]TDSheet!$A:$AF,32,0)</f>
        <v>#N/A</v>
      </c>
      <c r="AE107" s="10">
        <f t="shared" si="12"/>
        <v>0</v>
      </c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</row>
    <row r="108" spans="1:89" ht="11.1" customHeight="1" x14ac:dyDescent="0.2">
      <c r="A108" s="8" t="s">
        <v>108</v>
      </c>
      <c r="B108" s="8" t="s">
        <v>10</v>
      </c>
      <c r="C108" s="9">
        <v>207.05500000000001</v>
      </c>
      <c r="D108" s="9">
        <v>454.32799999999997</v>
      </c>
      <c r="E108" s="9">
        <v>397.04300000000001</v>
      </c>
      <c r="F108" s="9">
        <v>-5.8999999999999997E-2</v>
      </c>
      <c r="G108" s="10" t="str">
        <f>VLOOKUP(A:A,[1]TDSheet!$A:$G,7,0)</f>
        <v>P005361</v>
      </c>
      <c r="H108" s="21">
        <f>VLOOKUP(A:A,[1]TDSheet!$A:$H,8,0)</f>
        <v>1</v>
      </c>
      <c r="I108" s="10">
        <f>VLOOKUP(A:A,[1]TDSheet!$A:$I,9,0)</f>
        <v>0</v>
      </c>
      <c r="J108" s="10" t="e">
        <f>VLOOKUP(A:A,[1]TDSheet!$A:$J,10,0)</f>
        <v>#N/A</v>
      </c>
      <c r="K108" s="10"/>
      <c r="L108" s="10">
        <f>VLOOKUP(A:A,[2]TDSheet!$A:$B,2,0)</f>
        <v>467.71</v>
      </c>
      <c r="M108" s="10">
        <f t="shared" si="7"/>
        <v>-70.666999999999973</v>
      </c>
      <c r="N108" s="10"/>
      <c r="O108" s="10">
        <f>VLOOKUP(A:A,[1]TDSheet!$A:$R,18,0)</f>
        <v>0</v>
      </c>
      <c r="P108" s="10">
        <f>VLOOKUP(A:A,[1]TDSheet!$A:$S,19,0)</f>
        <v>0</v>
      </c>
      <c r="Q108" s="10">
        <f>VLOOKUP(A:A,[1]TDSheet!$A:$T,20,0)</f>
        <v>0</v>
      </c>
      <c r="R108" s="10">
        <f>VLOOKUP(A:A,[1]TDSheet!$A:$U,21,0)</f>
        <v>700</v>
      </c>
      <c r="S108" s="10">
        <f>VLOOKUP(A:A,[1]TDSheet!$A:$W,23,0)</f>
        <v>400</v>
      </c>
      <c r="T108" s="10">
        <f t="shared" si="8"/>
        <v>79.408600000000007</v>
      </c>
      <c r="U108" s="22"/>
      <c r="V108" s="22"/>
      <c r="W108" s="10"/>
      <c r="X108" s="10">
        <f t="shared" si="10"/>
        <v>13.851660903227106</v>
      </c>
      <c r="Y108" s="10">
        <f t="shared" si="11"/>
        <v>-7.4299257259289285E-4</v>
      </c>
      <c r="Z108" s="10">
        <f>VLOOKUP(A:A,[1]TDSheet!$A:$AB,28,0)</f>
        <v>43.247599999999998</v>
      </c>
      <c r="AA108" s="10">
        <f>VLOOKUP(A:A,[1]TDSheet!$A:$AC,29,0)</f>
        <v>66.809400000000011</v>
      </c>
      <c r="AB108" s="10">
        <f>VLOOKUP(A:A,[1]TDSheet!$A:$AD,30,0)</f>
        <v>66.981399999999994</v>
      </c>
      <c r="AC108" s="10">
        <f>VLOOKUP(A:A,[1]TDSheet!$A:$AE,31,0)</f>
        <v>119.91800000000001</v>
      </c>
      <c r="AD108" s="10" t="e">
        <f>VLOOKUP(A:A,[1]TDSheet!$A:$AF,32,0)</f>
        <v>#N/A</v>
      </c>
      <c r="AE108" s="10">
        <f t="shared" si="12"/>
        <v>0</v>
      </c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</row>
    <row r="109" spans="1:89" ht="11.1" customHeight="1" x14ac:dyDescent="0.2">
      <c r="A109" s="8" t="s">
        <v>109</v>
      </c>
      <c r="B109" s="8" t="s">
        <v>10</v>
      </c>
      <c r="C109" s="9">
        <v>2.7509999999999999</v>
      </c>
      <c r="D109" s="9"/>
      <c r="E109" s="9">
        <v>2.7349999999999999</v>
      </c>
      <c r="F109" s="9"/>
      <c r="G109" s="10" t="str">
        <f>VLOOKUP(A:A,[1]TDSheet!$A:$G,7,0)</f>
        <v>P005363</v>
      </c>
      <c r="H109" s="21">
        <f>VLOOKUP(A:A,[1]TDSheet!$A:$H,8,0)</f>
        <v>1</v>
      </c>
      <c r="I109" s="10" t="e">
        <f>VLOOKUP(A:A,[1]TDSheet!$A:$I,9,0)</f>
        <v>#N/A</v>
      </c>
      <c r="J109" s="10" t="e">
        <f>VLOOKUP(A:A,[1]TDSheet!$A:$J,10,0)</f>
        <v>#N/A</v>
      </c>
      <c r="K109" s="10"/>
      <c r="L109" s="10">
        <f>VLOOKUP(A:A,[2]TDSheet!$A:$B,2,0)</f>
        <v>3.7509999999999999</v>
      </c>
      <c r="M109" s="10">
        <f t="shared" si="7"/>
        <v>-1.016</v>
      </c>
      <c r="N109" s="10"/>
      <c r="O109" s="10">
        <f>VLOOKUP(A:A,[1]TDSheet!$A:$R,18,0)</f>
        <v>0</v>
      </c>
      <c r="P109" s="10">
        <f>VLOOKUP(A:A,[1]TDSheet!$A:$S,19,0)</f>
        <v>0</v>
      </c>
      <c r="Q109" s="10">
        <f>VLOOKUP(A:A,[1]TDSheet!$A:$T,20,0)</f>
        <v>0</v>
      </c>
      <c r="R109" s="10">
        <f>VLOOKUP(A:A,[1]TDSheet!$A:$U,21,0)</f>
        <v>0</v>
      </c>
      <c r="S109" s="10">
        <f>VLOOKUP(A:A,[1]TDSheet!$A:$W,23,0)</f>
        <v>40</v>
      </c>
      <c r="T109" s="10">
        <f t="shared" si="8"/>
        <v>0.54699999999999993</v>
      </c>
      <c r="U109" s="22"/>
      <c r="V109" s="22"/>
      <c r="W109" s="10"/>
      <c r="X109" s="10">
        <f t="shared" si="10"/>
        <v>73.126142595978067</v>
      </c>
      <c r="Y109" s="10">
        <f t="shared" si="11"/>
        <v>0</v>
      </c>
      <c r="Z109" s="10">
        <f>VLOOKUP(A:A,[1]TDSheet!$A:$AB,28,0)</f>
        <v>1.3692</v>
      </c>
      <c r="AA109" s="10">
        <f>VLOOKUP(A:A,[1]TDSheet!$A:$AC,29,0)</f>
        <v>0.8276</v>
      </c>
      <c r="AB109" s="10">
        <f>VLOOKUP(A:A,[1]TDSheet!$A:$AD,30,0)</f>
        <v>1.8239999999999998</v>
      </c>
      <c r="AC109" s="10">
        <f>VLOOKUP(A:A,[1]TDSheet!$A:$AE,31,0)</f>
        <v>4.4535999999999998</v>
      </c>
      <c r="AD109" s="10" t="e">
        <f>VLOOKUP(A:A,[1]TDSheet!$A:$AF,32,0)</f>
        <v>#N/A</v>
      </c>
      <c r="AE109" s="10">
        <f t="shared" si="12"/>
        <v>0</v>
      </c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</row>
    <row r="110" spans="1:89" ht="21.95" customHeight="1" x14ac:dyDescent="0.2">
      <c r="A110" s="8" t="s">
        <v>110</v>
      </c>
      <c r="B110" s="8" t="s">
        <v>14</v>
      </c>
      <c r="C110" s="9">
        <v>45</v>
      </c>
      <c r="D110" s="9">
        <v>253</v>
      </c>
      <c r="E110" s="9">
        <v>200</v>
      </c>
      <c r="F110" s="9">
        <v>90</v>
      </c>
      <c r="G110" s="10" t="str">
        <f>VLOOKUP(A:A,[1]TDSheet!$A:$G,7,0)</f>
        <v>P003386</v>
      </c>
      <c r="H110" s="21">
        <f>VLOOKUP(A:A,[1]TDSheet!$A:$H,8,0)</f>
        <v>0.3</v>
      </c>
      <c r="I110" s="10">
        <f>VLOOKUP(A:A,[1]TDSheet!$A:$I,9,0)</f>
        <v>40</v>
      </c>
      <c r="J110" s="10" t="str">
        <f>VLOOKUP(A:A,[1]TDSheet!$A:$J,10,0)</f>
        <v>матрица</v>
      </c>
      <c r="K110" s="10"/>
      <c r="L110" s="10">
        <f>VLOOKUP(A:A,[2]TDSheet!$A:$B,2,0)</f>
        <v>211</v>
      </c>
      <c r="M110" s="10">
        <f t="shared" si="7"/>
        <v>-11</v>
      </c>
      <c r="N110" s="10"/>
      <c r="O110" s="10">
        <f>VLOOKUP(A:A,[1]TDSheet!$A:$R,18,0)</f>
        <v>0</v>
      </c>
      <c r="P110" s="10">
        <f>VLOOKUP(A:A,[1]TDSheet!$A:$S,19,0)</f>
        <v>0</v>
      </c>
      <c r="Q110" s="10">
        <f>VLOOKUP(A:A,[1]TDSheet!$A:$T,20,0)</f>
        <v>0</v>
      </c>
      <c r="R110" s="10">
        <f>VLOOKUP(A:A,[1]TDSheet!$A:$U,21,0)</f>
        <v>40</v>
      </c>
      <c r="S110" s="10">
        <f>VLOOKUP(A:A,[1]TDSheet!$A:$W,23,0)</f>
        <v>120</v>
      </c>
      <c r="T110" s="10">
        <f t="shared" si="8"/>
        <v>40</v>
      </c>
      <c r="U110" s="22">
        <f t="shared" si="9"/>
        <v>190</v>
      </c>
      <c r="V110" s="22"/>
      <c r="W110" s="10"/>
      <c r="X110" s="10">
        <f t="shared" si="10"/>
        <v>11</v>
      </c>
      <c r="Y110" s="10">
        <f t="shared" si="11"/>
        <v>2.25</v>
      </c>
      <c r="Z110" s="10">
        <f>VLOOKUP(A:A,[1]TDSheet!$A:$AB,28,0)</f>
        <v>28.6</v>
      </c>
      <c r="AA110" s="10">
        <f>VLOOKUP(A:A,[1]TDSheet!$A:$AC,29,0)</f>
        <v>33.799999999999997</v>
      </c>
      <c r="AB110" s="10">
        <f>VLOOKUP(A:A,[1]TDSheet!$A:$AD,30,0)</f>
        <v>35.4</v>
      </c>
      <c r="AC110" s="10">
        <f>VLOOKUP(A:A,[1]TDSheet!$A:$AE,31,0)</f>
        <v>30.6</v>
      </c>
      <c r="AD110" s="10">
        <f>VLOOKUP(A:A,[1]TDSheet!$A:$AF,32,0)</f>
        <v>0</v>
      </c>
      <c r="AE110" s="10">
        <f t="shared" si="12"/>
        <v>57</v>
      </c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</row>
    <row r="111" spans="1:89" ht="11.1" customHeight="1" x14ac:dyDescent="0.2">
      <c r="A111" s="8" t="s">
        <v>111</v>
      </c>
      <c r="B111" s="8" t="s">
        <v>14</v>
      </c>
      <c r="C111" s="9">
        <v>84</v>
      </c>
      <c r="D111" s="9">
        <v>65</v>
      </c>
      <c r="E111" s="9">
        <v>80</v>
      </c>
      <c r="F111" s="9"/>
      <c r="G111" s="10" t="str">
        <f>VLOOKUP(A:A,[1]TDSheet!$A:$G,7,0)</f>
        <v>P003385</v>
      </c>
      <c r="H111" s="21">
        <f>VLOOKUP(A:A,[1]TDSheet!$A:$H,8,0)</f>
        <v>0.3</v>
      </c>
      <c r="I111" s="10">
        <f>VLOOKUP(A:A,[1]TDSheet!$A:$I,9,0)</f>
        <v>40</v>
      </c>
      <c r="J111" s="10" t="str">
        <f>VLOOKUP(A:A,[1]TDSheet!$A:$J,10,0)</f>
        <v>матрица</v>
      </c>
      <c r="K111" s="10"/>
      <c r="L111" s="10">
        <f>VLOOKUP(A:A,[2]TDSheet!$A:$B,2,0)</f>
        <v>116</v>
      </c>
      <c r="M111" s="10">
        <f t="shared" si="7"/>
        <v>-36</v>
      </c>
      <c r="N111" s="10"/>
      <c r="O111" s="10">
        <f>VLOOKUP(A:A,[1]TDSheet!$A:$R,18,0)</f>
        <v>0</v>
      </c>
      <c r="P111" s="10">
        <f>VLOOKUP(A:A,[1]TDSheet!$A:$S,19,0)</f>
        <v>0</v>
      </c>
      <c r="Q111" s="10">
        <f>VLOOKUP(A:A,[1]TDSheet!$A:$T,20,0)</f>
        <v>0</v>
      </c>
      <c r="R111" s="10">
        <f>VLOOKUP(A:A,[1]TDSheet!$A:$U,21,0)</f>
        <v>140</v>
      </c>
      <c r="S111" s="10">
        <f>VLOOKUP(A:A,[1]TDSheet!$A:$W,23,0)</f>
        <v>100</v>
      </c>
      <c r="T111" s="10">
        <f t="shared" si="8"/>
        <v>16</v>
      </c>
      <c r="U111" s="22"/>
      <c r="V111" s="22"/>
      <c r="W111" s="10"/>
      <c r="X111" s="10">
        <f t="shared" si="10"/>
        <v>15</v>
      </c>
      <c r="Y111" s="10">
        <f t="shared" si="11"/>
        <v>0</v>
      </c>
      <c r="Z111" s="10">
        <f>VLOOKUP(A:A,[1]TDSheet!$A:$AB,28,0)</f>
        <v>17.399999999999999</v>
      </c>
      <c r="AA111" s="10">
        <f>VLOOKUP(A:A,[1]TDSheet!$A:$AC,29,0)</f>
        <v>24.6</v>
      </c>
      <c r="AB111" s="10">
        <f>VLOOKUP(A:A,[1]TDSheet!$A:$AD,30,0)</f>
        <v>19.8</v>
      </c>
      <c r="AC111" s="10">
        <f>VLOOKUP(A:A,[1]TDSheet!$A:$AE,31,0)</f>
        <v>20.6</v>
      </c>
      <c r="AD111" s="10" t="str">
        <f>VLOOKUP(A:A,[1]TDSheet!$A:$AF,32,0)</f>
        <v>23,01,25 в уценку 70шт.</v>
      </c>
      <c r="AE111" s="10">
        <f t="shared" si="12"/>
        <v>0</v>
      </c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</row>
    <row r="112" spans="1:89" ht="11.1" customHeight="1" x14ac:dyDescent="0.2">
      <c r="A112" s="8" t="s">
        <v>112</v>
      </c>
      <c r="B112" s="8" t="s">
        <v>10</v>
      </c>
      <c r="C112" s="9">
        <v>48.683</v>
      </c>
      <c r="D112" s="9">
        <v>31.146000000000001</v>
      </c>
      <c r="E112" s="9">
        <v>62.359000000000002</v>
      </c>
      <c r="F112" s="9">
        <v>-5.0000000000000001E-3</v>
      </c>
      <c r="G112" s="10" t="str">
        <f>VLOOKUP(A:A,[1]TDSheet!$A:$G,7,0)</f>
        <v>P004621</v>
      </c>
      <c r="H112" s="21">
        <f>VLOOKUP(A:A,[1]TDSheet!$A:$H,8,0)</f>
        <v>1</v>
      </c>
      <c r="I112" s="10">
        <f>VLOOKUP(A:A,[1]TDSheet!$A:$I,9,0)</f>
        <v>50</v>
      </c>
      <c r="J112" s="10" t="str">
        <f>VLOOKUP(A:A,[1]TDSheet!$A:$J,10,0)</f>
        <v>матрица</v>
      </c>
      <c r="K112" s="10"/>
      <c r="L112" s="10">
        <f>VLOOKUP(A:A,[2]TDSheet!$A:$B,2,0)</f>
        <v>63.9</v>
      </c>
      <c r="M112" s="10">
        <f t="shared" si="7"/>
        <v>-1.5409999999999968</v>
      </c>
      <c r="N112" s="10"/>
      <c r="O112" s="10">
        <f>VLOOKUP(A:A,[1]TDSheet!$A:$R,18,0)</f>
        <v>0</v>
      </c>
      <c r="P112" s="10">
        <f>VLOOKUP(A:A,[1]TDSheet!$A:$S,19,0)</f>
        <v>0</v>
      </c>
      <c r="Q112" s="10">
        <f>VLOOKUP(A:A,[1]TDSheet!$A:$T,20,0)</f>
        <v>0</v>
      </c>
      <c r="R112" s="10">
        <f>VLOOKUP(A:A,[1]TDSheet!$A:$U,21,0)</f>
        <v>50</v>
      </c>
      <c r="S112" s="10">
        <f>VLOOKUP(A:A,[1]TDSheet!$A:$W,23,0)</f>
        <v>100</v>
      </c>
      <c r="T112" s="10">
        <f t="shared" si="8"/>
        <v>12.4718</v>
      </c>
      <c r="U112" s="22"/>
      <c r="V112" s="22"/>
      <c r="W112" s="10"/>
      <c r="X112" s="10">
        <f t="shared" si="10"/>
        <v>12.026732308087045</v>
      </c>
      <c r="Y112" s="10">
        <f t="shared" si="11"/>
        <v>-4.0090444041758207E-4</v>
      </c>
      <c r="Z112" s="10">
        <f>VLOOKUP(A:A,[1]TDSheet!$A:$AB,28,0)</f>
        <v>9.9214000000000002</v>
      </c>
      <c r="AA112" s="10">
        <f>VLOOKUP(A:A,[1]TDSheet!$A:$AC,29,0)</f>
        <v>8.9459999999999997</v>
      </c>
      <c r="AB112" s="10">
        <f>VLOOKUP(A:A,[1]TDSheet!$A:$AD,30,0)</f>
        <v>7.6662000000000008</v>
      </c>
      <c r="AC112" s="10">
        <f>VLOOKUP(A:A,[1]TDSheet!$A:$AE,31,0)</f>
        <v>8.5355999999999987</v>
      </c>
      <c r="AD112" s="10">
        <f>VLOOKUP(A:A,[1]TDSheet!$A:$AF,32,0)</f>
        <v>0</v>
      </c>
      <c r="AE112" s="10">
        <f t="shared" si="12"/>
        <v>0</v>
      </c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</row>
    <row r="113" spans="1:89" ht="11.1" customHeight="1" x14ac:dyDescent="0.2">
      <c r="A113" s="8" t="s">
        <v>113</v>
      </c>
      <c r="B113" s="8" t="s">
        <v>14</v>
      </c>
      <c r="C113" s="9">
        <v>75</v>
      </c>
      <c r="D113" s="9"/>
      <c r="E113" s="9">
        <v>67</v>
      </c>
      <c r="F113" s="9">
        <v>8</v>
      </c>
      <c r="G113" s="10" t="str">
        <f>VLOOKUP(A:A,[1]TDSheet!$A:$G,7,0)</f>
        <v>P004890</v>
      </c>
      <c r="H113" s="21">
        <f>VLOOKUP(A:A,[1]TDSheet!$A:$H,8,0)</f>
        <v>0.3</v>
      </c>
      <c r="I113" s="10">
        <f>VLOOKUP(A:A,[1]TDSheet!$A:$I,9,0)</f>
        <v>40</v>
      </c>
      <c r="J113" s="10" t="str">
        <f>VLOOKUP(A:A,[1]TDSheet!$A:$J,10,0)</f>
        <v>матрица</v>
      </c>
      <c r="K113" s="10"/>
      <c r="L113" s="10">
        <f>VLOOKUP(A:A,[2]TDSheet!$A:$B,2,0)</f>
        <v>67</v>
      </c>
      <c r="M113" s="10">
        <f t="shared" si="7"/>
        <v>0</v>
      </c>
      <c r="N113" s="10"/>
      <c r="O113" s="10">
        <f>VLOOKUP(A:A,[1]TDSheet!$A:$R,18,0)</f>
        <v>0</v>
      </c>
      <c r="P113" s="10">
        <f>VLOOKUP(A:A,[1]TDSheet!$A:$S,19,0)</f>
        <v>0</v>
      </c>
      <c r="Q113" s="10">
        <f>VLOOKUP(A:A,[1]TDSheet!$A:$T,20,0)</f>
        <v>0</v>
      </c>
      <c r="R113" s="10">
        <f>VLOOKUP(A:A,[1]TDSheet!$A:$U,21,0)</f>
        <v>20</v>
      </c>
      <c r="S113" s="10">
        <f>VLOOKUP(A:A,[1]TDSheet!$A:$W,23,0)</f>
        <v>0</v>
      </c>
      <c r="T113" s="10">
        <f t="shared" si="8"/>
        <v>13.4</v>
      </c>
      <c r="U113" s="22">
        <f t="shared" si="9"/>
        <v>119.4</v>
      </c>
      <c r="V113" s="22"/>
      <c r="W113" s="10"/>
      <c r="X113" s="10">
        <f t="shared" si="10"/>
        <v>11</v>
      </c>
      <c r="Y113" s="10">
        <f t="shared" si="11"/>
        <v>0.59701492537313428</v>
      </c>
      <c r="Z113" s="10">
        <f>VLOOKUP(A:A,[1]TDSheet!$A:$AB,28,0)</f>
        <v>10.8</v>
      </c>
      <c r="AA113" s="10">
        <f>VLOOKUP(A:A,[1]TDSheet!$A:$AC,29,0)</f>
        <v>11.6</v>
      </c>
      <c r="AB113" s="10">
        <f>VLOOKUP(A:A,[1]TDSheet!$A:$AD,30,0)</f>
        <v>12.2</v>
      </c>
      <c r="AC113" s="10">
        <f>VLOOKUP(A:A,[1]TDSheet!$A:$AE,31,0)</f>
        <v>8.8000000000000007</v>
      </c>
      <c r="AD113" s="10">
        <f>VLOOKUP(A:A,[1]TDSheet!$A:$AF,32,0)</f>
        <v>0</v>
      </c>
      <c r="AE113" s="10">
        <f t="shared" si="12"/>
        <v>35.82</v>
      </c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</row>
    <row r="114" spans="1:89" ht="11.1" customHeight="1" x14ac:dyDescent="0.2">
      <c r="A114" s="8" t="s">
        <v>114</v>
      </c>
      <c r="B114" s="8" t="s">
        <v>14</v>
      </c>
      <c r="C114" s="9">
        <v>21</v>
      </c>
      <c r="D114" s="9"/>
      <c r="E114" s="9">
        <v>19</v>
      </c>
      <c r="F114" s="9">
        <v>-4</v>
      </c>
      <c r="G114" s="10" t="str">
        <f>VLOOKUP(A:A,[1]TDSheet!$A:$G,7,0)</f>
        <v>P005060</v>
      </c>
      <c r="H114" s="21">
        <f>VLOOKUP(A:A,[1]TDSheet!$A:$H,8,0)</f>
        <v>0.12</v>
      </c>
      <c r="I114" s="10">
        <f>VLOOKUP(A:A,[1]TDSheet!$A:$I,9,0)</f>
        <v>0</v>
      </c>
      <c r="J114" s="10">
        <f>VLOOKUP(A:A,[1]TDSheet!$A:$J,10,0)</f>
        <v>0</v>
      </c>
      <c r="K114" s="10"/>
      <c r="L114" s="10">
        <f>VLOOKUP(A:A,[2]TDSheet!$A:$B,2,0)</f>
        <v>28</v>
      </c>
      <c r="M114" s="10">
        <f t="shared" si="7"/>
        <v>-9</v>
      </c>
      <c r="N114" s="10"/>
      <c r="O114" s="10">
        <f>VLOOKUP(A:A,[1]TDSheet!$A:$R,18,0)</f>
        <v>0</v>
      </c>
      <c r="P114" s="10">
        <f>VLOOKUP(A:A,[1]TDSheet!$A:$S,19,0)</f>
        <v>0</v>
      </c>
      <c r="Q114" s="10">
        <f>VLOOKUP(A:A,[1]TDSheet!$A:$T,20,0)</f>
        <v>0</v>
      </c>
      <c r="R114" s="10">
        <f>VLOOKUP(A:A,[1]TDSheet!$A:$U,21,0)</f>
        <v>20</v>
      </c>
      <c r="S114" s="10">
        <f>VLOOKUP(A:A,[1]TDSheet!$A:$W,23,0)</f>
        <v>0</v>
      </c>
      <c r="T114" s="10">
        <f t="shared" si="8"/>
        <v>3.8</v>
      </c>
      <c r="U114" s="22"/>
      <c r="V114" s="22"/>
      <c r="W114" s="10"/>
      <c r="X114" s="10">
        <f t="shared" si="10"/>
        <v>4.2105263157894735</v>
      </c>
      <c r="Y114" s="10">
        <f t="shared" si="11"/>
        <v>-1.0526315789473684</v>
      </c>
      <c r="Z114" s="10">
        <f>VLOOKUP(A:A,[1]TDSheet!$A:$AB,28,0)</f>
        <v>5.4</v>
      </c>
      <c r="AA114" s="10">
        <f>VLOOKUP(A:A,[1]TDSheet!$A:$AC,29,0)</f>
        <v>5.8</v>
      </c>
      <c r="AB114" s="10">
        <f>VLOOKUP(A:A,[1]TDSheet!$A:$AD,30,0)</f>
        <v>7.8</v>
      </c>
      <c r="AC114" s="10">
        <f>VLOOKUP(A:A,[1]TDSheet!$A:$AE,31,0)</f>
        <v>3.2</v>
      </c>
      <c r="AD114" s="10">
        <f>VLOOKUP(A:A,[1]TDSheet!$A:$AF,32,0)</f>
        <v>0</v>
      </c>
      <c r="AE114" s="10">
        <f t="shared" si="12"/>
        <v>0</v>
      </c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</row>
    <row r="115" spans="1:89" ht="11.45" customHeight="1" x14ac:dyDescent="0.2">
      <c r="A115" s="1" t="s">
        <v>140</v>
      </c>
      <c r="C115" s="12"/>
      <c r="D115" s="12"/>
      <c r="E115" s="12"/>
      <c r="F115" s="1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25">
        <v>300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</row>
    <row r="116" spans="1:89" ht="11.45" customHeight="1" x14ac:dyDescent="0.2">
      <c r="A116" s="28" t="s">
        <v>145</v>
      </c>
      <c r="B116" s="28"/>
      <c r="C116" s="29"/>
      <c r="D116" s="29"/>
      <c r="E116" s="29"/>
      <c r="F116" s="1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25">
        <v>20</v>
      </c>
      <c r="W116" s="10" t="s">
        <v>141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</row>
    <row r="117" spans="1:89" ht="11.45" customHeight="1" x14ac:dyDescent="0.2">
      <c r="A117" s="30" t="s">
        <v>146</v>
      </c>
      <c r="B117" s="30"/>
      <c r="C117" s="30"/>
      <c r="D117" s="30"/>
      <c r="E117" s="30"/>
      <c r="F117" s="1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25">
        <v>20</v>
      </c>
      <c r="W117" s="10" t="s">
        <v>141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</row>
    <row r="118" spans="1:89" ht="11.45" customHeight="1" x14ac:dyDescent="0.2">
      <c r="A118" s="28" t="s">
        <v>147</v>
      </c>
      <c r="B118" s="28"/>
      <c r="C118" s="29"/>
      <c r="D118" s="29"/>
      <c r="E118" s="29"/>
      <c r="F118" s="1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25">
        <v>20</v>
      </c>
      <c r="W118" s="10" t="s">
        <v>141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</row>
    <row r="119" spans="1:89" ht="11.45" customHeight="1" x14ac:dyDescent="0.2">
      <c r="C119" s="12"/>
      <c r="D119" s="12"/>
      <c r="E119" s="12"/>
      <c r="F119" s="1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</row>
    <row r="120" spans="1:89" ht="11.45" customHeight="1" x14ac:dyDescent="0.2">
      <c r="C120" s="12"/>
      <c r="D120" s="12"/>
      <c r="E120" s="12"/>
      <c r="F120" s="1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</row>
    <row r="121" spans="1:89" ht="11.45" customHeight="1" x14ac:dyDescent="0.2">
      <c r="C121" s="12"/>
      <c r="D121" s="12"/>
      <c r="E121" s="12"/>
      <c r="F121" s="1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</row>
    <row r="122" spans="1:89" ht="11.45" customHeight="1" x14ac:dyDescent="0.2">
      <c r="C122" s="12"/>
      <c r="D122" s="12"/>
      <c r="E122" s="12"/>
      <c r="F122" s="1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</row>
    <row r="123" spans="1:89" ht="11.45" customHeight="1" x14ac:dyDescent="0.2">
      <c r="C123" s="12"/>
      <c r="D123" s="12"/>
      <c r="E123" s="12"/>
      <c r="F123" s="1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</row>
    <row r="124" spans="1:89" ht="11.45" customHeight="1" x14ac:dyDescent="0.2">
      <c r="C124" s="12"/>
      <c r="D124" s="12"/>
      <c r="E124" s="12"/>
      <c r="F124" s="1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</row>
    <row r="125" spans="1:89" ht="11.45" customHeight="1" x14ac:dyDescent="0.2">
      <c r="C125" s="12"/>
      <c r="D125" s="12"/>
      <c r="E125" s="12"/>
      <c r="F125" s="1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</row>
    <row r="126" spans="1:89" ht="11.45" customHeight="1" x14ac:dyDescent="0.2">
      <c r="C126" s="12"/>
      <c r="D126" s="12"/>
      <c r="E126" s="12"/>
      <c r="F126" s="1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</row>
    <row r="127" spans="1:89" ht="11.45" customHeight="1" x14ac:dyDescent="0.2">
      <c r="C127" s="12"/>
      <c r="D127" s="12"/>
      <c r="E127" s="12"/>
      <c r="F127" s="1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</row>
    <row r="128" spans="1:89" ht="11.45" customHeight="1" x14ac:dyDescent="0.2">
      <c r="C128" s="12"/>
      <c r="D128" s="12"/>
      <c r="E128" s="12"/>
      <c r="F128" s="1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</row>
    <row r="129" spans="3:89" ht="11.45" customHeight="1" x14ac:dyDescent="0.2">
      <c r="C129" s="12"/>
      <c r="D129" s="12"/>
      <c r="E129" s="12"/>
      <c r="F129" s="1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</row>
    <row r="130" spans="3:89" ht="11.45" customHeight="1" x14ac:dyDescent="0.2">
      <c r="C130" s="12"/>
      <c r="D130" s="12"/>
      <c r="E130" s="12"/>
      <c r="F130" s="1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</row>
    <row r="131" spans="3:89" ht="11.45" customHeight="1" x14ac:dyDescent="0.2">
      <c r="C131" s="12"/>
      <c r="D131" s="12"/>
      <c r="E131" s="12"/>
      <c r="F131" s="1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</row>
    <row r="132" spans="3:89" ht="11.45" customHeight="1" x14ac:dyDescent="0.2">
      <c r="C132" s="12"/>
      <c r="D132" s="12"/>
      <c r="E132" s="12"/>
      <c r="F132" s="1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</row>
    <row r="133" spans="3:89" ht="11.45" customHeight="1" x14ac:dyDescent="0.2">
      <c r="C133" s="12"/>
      <c r="D133" s="12"/>
      <c r="E133" s="12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</row>
    <row r="134" spans="3:89" ht="11.45" customHeight="1" x14ac:dyDescent="0.2">
      <c r="C134" s="12"/>
      <c r="D134" s="12"/>
      <c r="E134" s="12"/>
      <c r="F134" s="1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</row>
    <row r="135" spans="3:89" ht="11.45" customHeight="1" x14ac:dyDescent="0.2">
      <c r="C135" s="12"/>
      <c r="D135" s="12"/>
      <c r="E135" s="12"/>
      <c r="F135" s="1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</row>
    <row r="136" spans="3:89" ht="11.45" customHeight="1" x14ac:dyDescent="0.2">
      <c r="C136" s="12"/>
      <c r="D136" s="12"/>
      <c r="E136" s="12"/>
      <c r="F136" s="1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</row>
    <row r="137" spans="3:89" ht="11.45" customHeight="1" x14ac:dyDescent="0.2">
      <c r="C137" s="12"/>
      <c r="D137" s="12"/>
      <c r="E137" s="12"/>
      <c r="F137" s="1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</row>
    <row r="138" spans="3:89" ht="11.45" customHeight="1" x14ac:dyDescent="0.2">
      <c r="C138" s="12"/>
      <c r="D138" s="12"/>
      <c r="E138" s="12"/>
      <c r="F138" s="1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</row>
    <row r="139" spans="3:89" ht="11.45" customHeight="1" x14ac:dyDescent="0.2">
      <c r="C139" s="12"/>
      <c r="D139" s="12"/>
      <c r="E139" s="12"/>
      <c r="F139" s="1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</row>
    <row r="140" spans="3:89" ht="11.45" customHeight="1" x14ac:dyDescent="0.2">
      <c r="C140" s="12"/>
      <c r="D140" s="12"/>
      <c r="E140" s="12"/>
      <c r="F140" s="1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</row>
    <row r="141" spans="3:89" ht="11.45" customHeight="1" x14ac:dyDescent="0.2">
      <c r="C141" s="12"/>
      <c r="D141" s="12"/>
      <c r="E141" s="12"/>
      <c r="F141" s="1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</row>
    <row r="142" spans="3:89" ht="11.45" customHeight="1" x14ac:dyDescent="0.2">
      <c r="C142" s="12"/>
      <c r="D142" s="12"/>
      <c r="E142" s="12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</row>
    <row r="143" spans="3:89" ht="11.45" customHeight="1" x14ac:dyDescent="0.2">
      <c r="C143" s="12"/>
      <c r="D143" s="12"/>
      <c r="E143" s="12"/>
      <c r="F143" s="1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</row>
    <row r="144" spans="3:89" ht="11.45" customHeight="1" x14ac:dyDescent="0.2">
      <c r="C144" s="12"/>
      <c r="D144" s="12"/>
      <c r="E144" s="12"/>
      <c r="F144" s="1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</row>
    <row r="145" spans="3:89" ht="11.45" customHeight="1" x14ac:dyDescent="0.2">
      <c r="C145" s="12"/>
      <c r="D145" s="12"/>
      <c r="E145" s="12"/>
      <c r="F145" s="1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</row>
    <row r="146" spans="3:89" ht="11.45" customHeight="1" x14ac:dyDescent="0.2">
      <c r="C146" s="12"/>
      <c r="D146" s="12"/>
      <c r="E146" s="12"/>
      <c r="F146" s="1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</row>
    <row r="147" spans="3:89" ht="11.45" customHeight="1" x14ac:dyDescent="0.2">
      <c r="C147" s="12"/>
      <c r="D147" s="12"/>
      <c r="E147" s="12"/>
      <c r="F147" s="1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</row>
    <row r="148" spans="3:89" ht="11.45" customHeight="1" x14ac:dyDescent="0.2">
      <c r="C148" s="12"/>
      <c r="D148" s="12"/>
      <c r="E148" s="12"/>
      <c r="F148" s="1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</row>
    <row r="149" spans="3:89" ht="11.45" customHeight="1" x14ac:dyDescent="0.2">
      <c r="C149" s="12"/>
      <c r="D149" s="12"/>
      <c r="E149" s="12"/>
      <c r="F149" s="1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</row>
    <row r="150" spans="3:89" ht="11.45" customHeight="1" x14ac:dyDescent="0.2">
      <c r="C150" s="12"/>
      <c r="D150" s="12"/>
      <c r="E150" s="12"/>
      <c r="F150" s="1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</row>
    <row r="151" spans="3:89" ht="11.45" customHeight="1" x14ac:dyDescent="0.2">
      <c r="C151" s="12"/>
      <c r="D151" s="12"/>
      <c r="E151" s="12"/>
      <c r="F151" s="1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</row>
    <row r="152" spans="3:89" ht="11.45" customHeight="1" x14ac:dyDescent="0.2">
      <c r="C152" s="12"/>
      <c r="D152" s="12"/>
      <c r="E152" s="12"/>
      <c r="F152" s="1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</row>
    <row r="153" spans="3:89" ht="11.45" customHeight="1" x14ac:dyDescent="0.2">
      <c r="C153" s="12"/>
      <c r="D153" s="12"/>
      <c r="E153" s="12"/>
      <c r="F153" s="1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</row>
    <row r="154" spans="3:89" ht="11.45" customHeight="1" x14ac:dyDescent="0.2">
      <c r="C154" s="12"/>
      <c r="D154" s="12"/>
      <c r="E154" s="12"/>
      <c r="F154" s="1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</row>
    <row r="155" spans="3:89" ht="11.45" customHeight="1" x14ac:dyDescent="0.2">
      <c r="C155" s="12"/>
      <c r="D155" s="12"/>
      <c r="E155" s="12"/>
      <c r="F155" s="1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</row>
    <row r="156" spans="3:89" ht="11.45" customHeight="1" x14ac:dyDescent="0.2">
      <c r="C156" s="12"/>
      <c r="D156" s="12"/>
      <c r="E156" s="12"/>
      <c r="F156" s="1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3:89" ht="11.45" customHeight="1" x14ac:dyDescent="0.2">
      <c r="C157" s="12"/>
      <c r="D157" s="12"/>
      <c r="E157" s="12"/>
      <c r="F157" s="1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3:89" ht="11.45" customHeight="1" x14ac:dyDescent="0.2">
      <c r="C158" s="12"/>
      <c r="D158" s="12"/>
      <c r="E158" s="12"/>
      <c r="F158" s="1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3:89" ht="11.45" customHeight="1" x14ac:dyDescent="0.2">
      <c r="C159" s="12"/>
      <c r="D159" s="12"/>
      <c r="E159" s="12"/>
      <c r="F159" s="1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</row>
    <row r="160" spans="3:89" ht="11.45" customHeight="1" x14ac:dyDescent="0.2">
      <c r="C160" s="12"/>
      <c r="D160" s="12"/>
      <c r="E160" s="12"/>
      <c r="F160" s="1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</row>
    <row r="161" spans="3:89" ht="11.45" customHeight="1" x14ac:dyDescent="0.2">
      <c r="C161" s="12"/>
      <c r="D161" s="12"/>
      <c r="E161" s="12"/>
      <c r="F161" s="1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</row>
    <row r="162" spans="3:89" ht="11.45" customHeight="1" x14ac:dyDescent="0.2">
      <c r="C162" s="12"/>
      <c r="D162" s="12"/>
      <c r="E162" s="12"/>
      <c r="F162" s="1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</row>
    <row r="163" spans="3:89" ht="11.45" customHeight="1" x14ac:dyDescent="0.2">
      <c r="C163" s="12"/>
      <c r="D163" s="12"/>
      <c r="E163" s="12"/>
      <c r="F163" s="1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</row>
    <row r="164" spans="3:89" ht="11.45" customHeight="1" x14ac:dyDescent="0.2">
      <c r="C164" s="12"/>
      <c r="D164" s="12"/>
      <c r="E164" s="12"/>
      <c r="F164" s="1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</row>
    <row r="165" spans="3:89" ht="11.45" customHeight="1" x14ac:dyDescent="0.2">
      <c r="C165" s="12"/>
      <c r="D165" s="12"/>
      <c r="E165" s="12"/>
      <c r="F165" s="1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</row>
    <row r="166" spans="3:89" ht="11.45" customHeight="1" x14ac:dyDescent="0.2">
      <c r="C166" s="12"/>
      <c r="D166" s="12"/>
      <c r="E166" s="12"/>
      <c r="F166" s="1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</row>
    <row r="167" spans="3:89" ht="11.45" customHeight="1" x14ac:dyDescent="0.2">
      <c r="C167" s="12"/>
      <c r="D167" s="12"/>
      <c r="E167" s="12"/>
      <c r="F167" s="1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</row>
    <row r="168" spans="3:89" ht="11.45" customHeight="1" x14ac:dyDescent="0.2">
      <c r="C168" s="12"/>
      <c r="D168" s="12"/>
      <c r="E168" s="12"/>
      <c r="F168" s="1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</row>
    <row r="169" spans="3:89" ht="11.45" customHeight="1" x14ac:dyDescent="0.2">
      <c r="C169" s="12"/>
      <c r="D169" s="12"/>
      <c r="E169" s="12"/>
      <c r="F169" s="1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</row>
    <row r="170" spans="3:89" ht="11.45" customHeight="1" x14ac:dyDescent="0.2">
      <c r="C170" s="12"/>
      <c r="D170" s="12"/>
      <c r="E170" s="12"/>
      <c r="F170" s="1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</row>
    <row r="171" spans="3:89" ht="11.45" customHeight="1" x14ac:dyDescent="0.2">
      <c r="C171" s="12"/>
      <c r="D171" s="12"/>
      <c r="E171" s="12"/>
      <c r="F171" s="1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</row>
    <row r="172" spans="3:89" ht="11.45" customHeight="1" x14ac:dyDescent="0.2">
      <c r="C172" s="12"/>
      <c r="D172" s="12"/>
      <c r="E172" s="12"/>
      <c r="F172" s="1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</row>
    <row r="173" spans="3:89" ht="11.45" customHeight="1" x14ac:dyDescent="0.2">
      <c r="C173" s="12"/>
      <c r="D173" s="12"/>
      <c r="E173" s="12"/>
      <c r="F173" s="1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</row>
    <row r="174" spans="3:89" ht="11.45" customHeight="1" x14ac:dyDescent="0.2">
      <c r="C174" s="12"/>
      <c r="D174" s="12"/>
      <c r="E174" s="12"/>
      <c r="F174" s="1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</row>
    <row r="175" spans="3:89" ht="11.45" customHeight="1" x14ac:dyDescent="0.2">
      <c r="C175" s="12"/>
      <c r="D175" s="12"/>
      <c r="E175" s="12"/>
      <c r="F175" s="1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</row>
    <row r="176" spans="3:89" ht="11.45" customHeight="1" x14ac:dyDescent="0.2">
      <c r="C176" s="12"/>
      <c r="D176" s="12"/>
      <c r="E176" s="12"/>
      <c r="F176" s="1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</row>
    <row r="177" spans="3:89" ht="11.45" customHeight="1" x14ac:dyDescent="0.2">
      <c r="C177" s="12"/>
      <c r="D177" s="12"/>
      <c r="E177" s="12"/>
      <c r="F177" s="1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</row>
    <row r="178" spans="3:89" ht="11.45" customHeight="1" x14ac:dyDescent="0.2">
      <c r="C178" s="12"/>
      <c r="D178" s="12"/>
      <c r="E178" s="12"/>
      <c r="F178" s="1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</row>
    <row r="179" spans="3:89" ht="11.45" customHeight="1" x14ac:dyDescent="0.2">
      <c r="C179" s="12"/>
      <c r="D179" s="12"/>
      <c r="E179" s="12"/>
      <c r="F179" s="1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</row>
    <row r="180" spans="3:89" ht="11.45" customHeight="1" x14ac:dyDescent="0.2">
      <c r="C180" s="12"/>
      <c r="D180" s="12"/>
      <c r="E180" s="12"/>
      <c r="F180" s="1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</row>
    <row r="181" spans="3:89" ht="11.45" customHeight="1" x14ac:dyDescent="0.2">
      <c r="C181" s="12"/>
      <c r="D181" s="12"/>
      <c r="E181" s="12"/>
      <c r="F181" s="1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</row>
    <row r="182" spans="3:89" ht="11.45" customHeight="1" x14ac:dyDescent="0.2">
      <c r="C182" s="12"/>
      <c r="D182" s="12"/>
      <c r="E182" s="12"/>
      <c r="F182" s="1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</row>
    <row r="183" spans="3:89" ht="11.45" customHeight="1" x14ac:dyDescent="0.2">
      <c r="C183" s="12"/>
      <c r="D183" s="12"/>
      <c r="E183" s="12"/>
      <c r="F183" s="1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</row>
    <row r="184" spans="3:89" ht="11.45" customHeight="1" x14ac:dyDescent="0.2">
      <c r="C184" s="12"/>
      <c r="D184" s="12"/>
      <c r="E184" s="12"/>
      <c r="F184" s="1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</row>
    <row r="185" spans="3:89" ht="11.45" customHeight="1" x14ac:dyDescent="0.2">
      <c r="C185" s="12"/>
      <c r="D185" s="12"/>
      <c r="E185" s="12"/>
      <c r="F185" s="1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</row>
    <row r="186" spans="3:89" ht="11.45" customHeight="1" x14ac:dyDescent="0.2">
      <c r="C186" s="12"/>
      <c r="D186" s="12"/>
      <c r="E186" s="12"/>
      <c r="F186" s="1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</row>
    <row r="187" spans="3:89" ht="11.45" customHeight="1" x14ac:dyDescent="0.2">
      <c r="C187" s="12"/>
      <c r="D187" s="12"/>
      <c r="E187" s="12"/>
      <c r="F187" s="1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</row>
    <row r="188" spans="3:89" ht="11.45" customHeight="1" x14ac:dyDescent="0.2">
      <c r="C188" s="12"/>
      <c r="D188" s="12"/>
      <c r="E188" s="12"/>
      <c r="F188" s="1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</row>
    <row r="189" spans="3:89" ht="11.45" customHeight="1" x14ac:dyDescent="0.2">
      <c r="C189" s="12"/>
      <c r="D189" s="12"/>
      <c r="E189" s="12"/>
      <c r="F189" s="1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</row>
    <row r="190" spans="3:89" ht="11.45" customHeight="1" x14ac:dyDescent="0.2">
      <c r="C190" s="12"/>
      <c r="D190" s="12"/>
      <c r="E190" s="12"/>
      <c r="F190" s="1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</row>
    <row r="191" spans="3:89" ht="11.45" customHeight="1" x14ac:dyDescent="0.2">
      <c r="C191" s="12"/>
      <c r="D191" s="12"/>
      <c r="E191" s="12"/>
      <c r="F191" s="1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</row>
    <row r="192" spans="3:89" ht="11.45" customHeight="1" x14ac:dyDescent="0.2">
      <c r="C192" s="12"/>
      <c r="D192" s="12"/>
      <c r="E192" s="12"/>
      <c r="F192" s="1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</row>
    <row r="193" spans="3:89" ht="11.45" customHeight="1" x14ac:dyDescent="0.2">
      <c r="C193" s="12"/>
      <c r="D193" s="12"/>
      <c r="E193" s="12"/>
      <c r="F193" s="1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</row>
    <row r="194" spans="3:89" ht="11.45" customHeight="1" x14ac:dyDescent="0.2">
      <c r="C194" s="12"/>
      <c r="D194" s="12"/>
      <c r="E194" s="12"/>
      <c r="F194" s="1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</row>
    <row r="195" spans="3:89" ht="11.45" customHeight="1" x14ac:dyDescent="0.2">
      <c r="C195" s="12"/>
      <c r="D195" s="12"/>
      <c r="E195" s="12"/>
      <c r="F195" s="1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</row>
    <row r="196" spans="3:89" ht="11.45" customHeight="1" x14ac:dyDescent="0.2">
      <c r="C196" s="12"/>
      <c r="D196" s="12"/>
      <c r="E196" s="12"/>
      <c r="F196" s="1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</row>
    <row r="197" spans="3:89" ht="11.45" customHeight="1" x14ac:dyDescent="0.2">
      <c r="C197" s="12"/>
      <c r="D197" s="12"/>
      <c r="E197" s="12"/>
      <c r="F197" s="1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</row>
    <row r="198" spans="3:89" ht="11.45" customHeight="1" x14ac:dyDescent="0.2">
      <c r="C198" s="12"/>
      <c r="D198" s="12"/>
      <c r="E198" s="12"/>
      <c r="F198" s="1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</row>
    <row r="199" spans="3:89" ht="11.45" customHeight="1" x14ac:dyDescent="0.2">
      <c r="C199" s="12"/>
      <c r="D199" s="12"/>
      <c r="E199" s="12"/>
      <c r="F199" s="1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</row>
    <row r="200" spans="3:89" ht="11.45" customHeight="1" x14ac:dyDescent="0.2">
      <c r="C200" s="12"/>
      <c r="D200" s="12"/>
      <c r="E200" s="12"/>
      <c r="F200" s="1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</row>
    <row r="201" spans="3:89" ht="11.45" customHeight="1" x14ac:dyDescent="0.2">
      <c r="C201" s="12"/>
      <c r="D201" s="12"/>
      <c r="E201" s="12"/>
      <c r="F201" s="1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</row>
    <row r="202" spans="3:89" ht="11.45" customHeight="1" x14ac:dyDescent="0.2">
      <c r="C202" s="12"/>
      <c r="D202" s="12"/>
      <c r="E202" s="12"/>
      <c r="F202" s="1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</row>
    <row r="203" spans="3:89" ht="11.45" customHeight="1" x14ac:dyDescent="0.2">
      <c r="C203" s="12"/>
      <c r="D203" s="12"/>
      <c r="E203" s="12"/>
      <c r="F203" s="1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</row>
    <row r="204" spans="3:89" ht="11.45" customHeight="1" x14ac:dyDescent="0.2">
      <c r="C204" s="12"/>
      <c r="D204" s="12"/>
      <c r="E204" s="12"/>
      <c r="F204" s="1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</row>
    <row r="205" spans="3:89" ht="11.45" customHeight="1" x14ac:dyDescent="0.2">
      <c r="C205" s="12"/>
      <c r="D205" s="12"/>
      <c r="E205" s="12"/>
      <c r="F205" s="1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</row>
    <row r="206" spans="3:89" ht="11.45" customHeight="1" x14ac:dyDescent="0.2">
      <c r="C206" s="12"/>
      <c r="D206" s="12"/>
      <c r="E206" s="12"/>
      <c r="F206" s="1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</row>
    <row r="207" spans="3:89" ht="11.45" customHeight="1" x14ac:dyDescent="0.2">
      <c r="C207" s="12"/>
      <c r="D207" s="12"/>
      <c r="E207" s="12"/>
      <c r="F207" s="1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</row>
    <row r="208" spans="3:89" ht="11.45" customHeight="1" x14ac:dyDescent="0.2">
      <c r="C208" s="12"/>
      <c r="D208" s="12"/>
      <c r="E208" s="12"/>
      <c r="F208" s="1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</row>
    <row r="209" spans="3:89" ht="11.45" customHeight="1" x14ac:dyDescent="0.2">
      <c r="C209" s="12"/>
      <c r="D209" s="12"/>
      <c r="E209" s="12"/>
      <c r="F209" s="1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</row>
    <row r="210" spans="3:89" ht="11.45" customHeight="1" x14ac:dyDescent="0.2">
      <c r="C210" s="12"/>
      <c r="D210" s="12"/>
      <c r="E210" s="12"/>
      <c r="F210" s="1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</row>
    <row r="211" spans="3:89" ht="11.45" customHeight="1" x14ac:dyDescent="0.2">
      <c r="C211" s="12"/>
      <c r="D211" s="12"/>
      <c r="E211" s="12"/>
      <c r="F211" s="1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</row>
    <row r="212" spans="3:89" ht="11.45" customHeight="1" x14ac:dyDescent="0.2">
      <c r="C212" s="12"/>
      <c r="D212" s="12"/>
      <c r="E212" s="12"/>
      <c r="F212" s="1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</row>
    <row r="213" spans="3:89" ht="11.45" customHeight="1" x14ac:dyDescent="0.2">
      <c r="C213" s="12"/>
      <c r="D213" s="12"/>
      <c r="E213" s="12"/>
      <c r="F213" s="1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</row>
    <row r="214" spans="3:89" ht="11.45" customHeight="1" x14ac:dyDescent="0.2">
      <c r="C214" s="12"/>
      <c r="D214" s="12"/>
      <c r="E214" s="12"/>
      <c r="F214" s="1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</row>
    <row r="215" spans="3:89" ht="11.45" customHeight="1" x14ac:dyDescent="0.2">
      <c r="C215" s="12"/>
      <c r="D215" s="12"/>
      <c r="E215" s="12"/>
      <c r="F215" s="1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</row>
    <row r="216" spans="3:89" ht="11.45" customHeight="1" x14ac:dyDescent="0.2">
      <c r="C216" s="12"/>
      <c r="D216" s="12"/>
      <c r="E216" s="12"/>
      <c r="F216" s="1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</row>
    <row r="217" spans="3:89" ht="11.45" customHeight="1" x14ac:dyDescent="0.2">
      <c r="C217" s="12"/>
      <c r="D217" s="12"/>
      <c r="E217" s="12"/>
      <c r="F217" s="1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</row>
    <row r="218" spans="3:89" ht="11.45" customHeight="1" x14ac:dyDescent="0.2">
      <c r="C218" s="12"/>
      <c r="D218" s="12"/>
      <c r="E218" s="12"/>
      <c r="F218" s="1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</row>
    <row r="219" spans="3:89" ht="11.45" customHeight="1" x14ac:dyDescent="0.2">
      <c r="C219" s="12"/>
      <c r="D219" s="12"/>
      <c r="E219" s="12"/>
      <c r="F219" s="1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</row>
    <row r="220" spans="3:89" ht="11.45" customHeight="1" x14ac:dyDescent="0.2">
      <c r="C220" s="12"/>
      <c r="D220" s="12"/>
      <c r="E220" s="12"/>
      <c r="F220" s="1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</row>
    <row r="221" spans="3:89" ht="11.45" customHeight="1" x14ac:dyDescent="0.2">
      <c r="C221" s="12"/>
      <c r="D221" s="12"/>
      <c r="E221" s="12"/>
      <c r="F221" s="1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</row>
    <row r="222" spans="3:89" ht="11.45" customHeight="1" x14ac:dyDescent="0.2">
      <c r="C222" s="12"/>
      <c r="D222" s="12"/>
      <c r="E222" s="12"/>
      <c r="F222" s="1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</row>
    <row r="223" spans="3:89" ht="11.45" customHeight="1" x14ac:dyDescent="0.2">
      <c r="C223" s="12"/>
      <c r="D223" s="12"/>
      <c r="E223" s="12"/>
      <c r="F223" s="1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</row>
    <row r="224" spans="3:89" ht="11.45" customHeight="1" x14ac:dyDescent="0.2">
      <c r="C224" s="12"/>
      <c r="D224" s="12"/>
      <c r="E224" s="12"/>
      <c r="F224" s="1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</row>
    <row r="225" spans="3:89" ht="11.45" customHeight="1" x14ac:dyDescent="0.2">
      <c r="C225" s="12"/>
      <c r="D225" s="12"/>
      <c r="E225" s="12"/>
      <c r="F225" s="1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</row>
    <row r="226" spans="3:89" ht="11.45" customHeight="1" x14ac:dyDescent="0.2">
      <c r="C226" s="12"/>
      <c r="D226" s="12"/>
      <c r="E226" s="12"/>
      <c r="F226" s="1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</row>
    <row r="227" spans="3:89" ht="11.45" customHeight="1" x14ac:dyDescent="0.2">
      <c r="C227" s="12"/>
      <c r="D227" s="12"/>
      <c r="E227" s="12"/>
      <c r="F227" s="1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</row>
    <row r="228" spans="3:89" ht="11.45" customHeight="1" x14ac:dyDescent="0.2">
      <c r="C228" s="12"/>
      <c r="D228" s="12"/>
      <c r="E228" s="12"/>
      <c r="F228" s="1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</row>
    <row r="229" spans="3:89" ht="11.45" customHeight="1" x14ac:dyDescent="0.2">
      <c r="C229" s="12"/>
      <c r="D229" s="12"/>
      <c r="E229" s="12"/>
      <c r="F229" s="1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</row>
    <row r="230" spans="3:89" ht="11.45" customHeight="1" x14ac:dyDescent="0.2">
      <c r="C230" s="12"/>
      <c r="D230" s="12"/>
      <c r="E230" s="12"/>
      <c r="F230" s="1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</row>
    <row r="231" spans="3:89" ht="11.45" customHeight="1" x14ac:dyDescent="0.2">
      <c r="C231" s="12"/>
      <c r="D231" s="12"/>
      <c r="E231" s="12"/>
      <c r="F231" s="1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</row>
    <row r="232" spans="3:89" ht="11.45" customHeight="1" x14ac:dyDescent="0.2">
      <c r="C232" s="12"/>
      <c r="D232" s="12"/>
      <c r="E232" s="12"/>
      <c r="F232" s="1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</row>
    <row r="233" spans="3:89" ht="11.45" customHeight="1" x14ac:dyDescent="0.2">
      <c r="C233" s="12"/>
      <c r="D233" s="12"/>
      <c r="E233" s="12"/>
      <c r="F233" s="1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</row>
    <row r="234" spans="3:89" ht="11.45" customHeight="1" x14ac:dyDescent="0.2">
      <c r="C234" s="12"/>
      <c r="D234" s="12"/>
      <c r="E234" s="12"/>
      <c r="F234" s="1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</row>
    <row r="235" spans="3:89" ht="11.45" customHeight="1" x14ac:dyDescent="0.2">
      <c r="C235" s="12"/>
      <c r="D235" s="12"/>
      <c r="E235" s="12"/>
      <c r="F235" s="1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</row>
    <row r="236" spans="3:89" ht="11.45" customHeight="1" x14ac:dyDescent="0.2">
      <c r="C236" s="12"/>
      <c r="D236" s="12"/>
      <c r="E236" s="12"/>
      <c r="F236" s="1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</row>
    <row r="237" spans="3:89" ht="11.45" customHeight="1" x14ac:dyDescent="0.2">
      <c r="C237" s="12"/>
      <c r="D237" s="12"/>
      <c r="E237" s="12"/>
      <c r="F237" s="1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</row>
    <row r="238" spans="3:89" ht="11.45" customHeight="1" x14ac:dyDescent="0.2">
      <c r="C238" s="12"/>
      <c r="D238" s="12"/>
      <c r="E238" s="12"/>
      <c r="F238" s="1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</row>
    <row r="239" spans="3:89" ht="11.45" customHeight="1" x14ac:dyDescent="0.2">
      <c r="C239" s="12"/>
      <c r="D239" s="12"/>
      <c r="E239" s="12"/>
      <c r="F239" s="1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</row>
    <row r="240" spans="3:89" ht="11.45" customHeight="1" x14ac:dyDescent="0.2">
      <c r="C240" s="12"/>
      <c r="D240" s="12"/>
      <c r="E240" s="12"/>
      <c r="F240" s="1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</row>
    <row r="241" spans="3:89" ht="11.45" customHeight="1" x14ac:dyDescent="0.2">
      <c r="C241" s="12"/>
      <c r="D241" s="12"/>
      <c r="E241" s="12"/>
      <c r="F241" s="1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</row>
    <row r="242" spans="3:89" ht="11.45" customHeight="1" x14ac:dyDescent="0.2">
      <c r="C242" s="12"/>
      <c r="D242" s="12"/>
      <c r="E242" s="12"/>
      <c r="F242" s="1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</row>
    <row r="243" spans="3:89" ht="11.45" customHeight="1" x14ac:dyDescent="0.2">
      <c r="C243" s="12"/>
      <c r="D243" s="12"/>
      <c r="E243" s="12"/>
      <c r="F243" s="1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</row>
    <row r="244" spans="3:89" ht="11.45" customHeight="1" x14ac:dyDescent="0.2">
      <c r="C244" s="12"/>
      <c r="D244" s="12"/>
      <c r="E244" s="12"/>
      <c r="F244" s="1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</row>
    <row r="245" spans="3:89" ht="11.45" customHeight="1" x14ac:dyDescent="0.2">
      <c r="C245" s="12"/>
      <c r="D245" s="12"/>
      <c r="E245" s="12"/>
      <c r="F245" s="1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</row>
    <row r="246" spans="3:89" ht="11.45" customHeight="1" x14ac:dyDescent="0.2">
      <c r="C246" s="12"/>
      <c r="D246" s="12"/>
      <c r="E246" s="12"/>
      <c r="F246" s="1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</row>
    <row r="247" spans="3:89" ht="11.45" customHeight="1" x14ac:dyDescent="0.2">
      <c r="C247" s="12"/>
      <c r="D247" s="12"/>
      <c r="E247" s="12"/>
      <c r="F247" s="1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</row>
    <row r="248" spans="3:89" ht="11.45" customHeight="1" x14ac:dyDescent="0.2">
      <c r="C248" s="12"/>
      <c r="D248" s="12"/>
      <c r="E248" s="12"/>
      <c r="F248" s="1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</row>
    <row r="249" spans="3:89" ht="11.45" customHeight="1" x14ac:dyDescent="0.2">
      <c r="C249" s="12"/>
      <c r="D249" s="12"/>
      <c r="E249" s="12"/>
      <c r="F249" s="1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</row>
    <row r="250" spans="3:89" ht="11.45" customHeight="1" x14ac:dyDescent="0.2">
      <c r="C250" s="12"/>
      <c r="D250" s="12"/>
      <c r="E250" s="12"/>
      <c r="F250" s="1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</row>
    <row r="251" spans="3:89" ht="11.45" customHeight="1" x14ac:dyDescent="0.2">
      <c r="C251" s="12"/>
      <c r="D251" s="12"/>
      <c r="E251" s="12"/>
      <c r="F251" s="1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</row>
    <row r="252" spans="3:89" ht="11.45" customHeight="1" x14ac:dyDescent="0.2">
      <c r="C252" s="12"/>
      <c r="D252" s="12"/>
      <c r="E252" s="12"/>
      <c r="F252" s="1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</row>
    <row r="253" spans="3:89" ht="11.45" customHeight="1" x14ac:dyDescent="0.2">
      <c r="C253" s="12"/>
      <c r="D253" s="12"/>
      <c r="E253" s="12"/>
      <c r="F253" s="1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</row>
    <row r="254" spans="3:89" ht="11.45" customHeight="1" x14ac:dyDescent="0.2">
      <c r="C254" s="12"/>
      <c r="D254" s="12"/>
      <c r="E254" s="12"/>
      <c r="F254" s="1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</row>
    <row r="255" spans="3:89" ht="11.45" customHeight="1" x14ac:dyDescent="0.2">
      <c r="C255" s="12"/>
      <c r="D255" s="12"/>
      <c r="E255" s="12"/>
      <c r="F255" s="1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</row>
    <row r="256" spans="3:89" ht="11.45" customHeight="1" x14ac:dyDescent="0.2">
      <c r="C256" s="12"/>
      <c r="D256" s="12"/>
      <c r="E256" s="12"/>
      <c r="F256" s="1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</row>
    <row r="257" spans="3:89" ht="11.45" customHeight="1" x14ac:dyDescent="0.2">
      <c r="C257" s="12"/>
      <c r="D257" s="12"/>
      <c r="E257" s="12"/>
      <c r="F257" s="1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</row>
    <row r="258" spans="3:89" ht="11.45" customHeight="1" x14ac:dyDescent="0.2">
      <c r="C258" s="12"/>
      <c r="D258" s="12"/>
      <c r="E258" s="12"/>
      <c r="F258" s="1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</row>
    <row r="259" spans="3:89" ht="11.45" customHeight="1" x14ac:dyDescent="0.2">
      <c r="C259" s="12"/>
      <c r="D259" s="12"/>
      <c r="E259" s="12"/>
      <c r="F259" s="1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</row>
    <row r="260" spans="3:89" ht="11.45" customHeight="1" x14ac:dyDescent="0.2">
      <c r="C260" s="12"/>
      <c r="D260" s="12"/>
      <c r="E260" s="12"/>
      <c r="F260" s="1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</row>
    <row r="261" spans="3:89" ht="11.45" customHeight="1" x14ac:dyDescent="0.2">
      <c r="C261" s="12"/>
      <c r="D261" s="12"/>
      <c r="E261" s="12"/>
      <c r="F261" s="1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</row>
    <row r="262" spans="3:89" ht="11.45" customHeight="1" x14ac:dyDescent="0.2">
      <c r="C262" s="12"/>
      <c r="D262" s="12"/>
      <c r="E262" s="12"/>
      <c r="F262" s="1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</row>
    <row r="263" spans="3:89" ht="11.45" customHeight="1" x14ac:dyDescent="0.2">
      <c r="C263" s="12"/>
      <c r="D263" s="12"/>
      <c r="E263" s="12"/>
      <c r="F263" s="1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</row>
    <row r="264" spans="3:89" ht="11.45" customHeight="1" x14ac:dyDescent="0.2">
      <c r="C264" s="12"/>
      <c r="D264" s="12"/>
      <c r="E264" s="12"/>
      <c r="F264" s="1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</row>
    <row r="265" spans="3:89" ht="11.45" customHeight="1" x14ac:dyDescent="0.2">
      <c r="C265" s="12"/>
      <c r="D265" s="12"/>
      <c r="E265" s="12"/>
      <c r="F265" s="1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</row>
    <row r="266" spans="3:89" ht="11.45" customHeight="1" x14ac:dyDescent="0.2">
      <c r="C266" s="12"/>
      <c r="D266" s="12"/>
      <c r="E266" s="12"/>
      <c r="F266" s="1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</row>
    <row r="267" spans="3:89" ht="11.45" customHeight="1" x14ac:dyDescent="0.2">
      <c r="C267" s="12"/>
      <c r="D267" s="12"/>
      <c r="E267" s="12"/>
      <c r="F267" s="1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</row>
    <row r="268" spans="3:89" ht="11.45" customHeight="1" x14ac:dyDescent="0.2">
      <c r="C268" s="12"/>
      <c r="D268" s="12"/>
      <c r="E268" s="12"/>
      <c r="F268" s="1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</row>
    <row r="269" spans="3:89" ht="11.45" customHeight="1" x14ac:dyDescent="0.2">
      <c r="C269" s="12"/>
      <c r="D269" s="12"/>
      <c r="E269" s="12"/>
      <c r="F269" s="1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</row>
    <row r="270" spans="3:89" ht="11.45" customHeight="1" x14ac:dyDescent="0.2">
      <c r="C270" s="12"/>
      <c r="D270" s="12"/>
      <c r="E270" s="12"/>
      <c r="F270" s="1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</row>
    <row r="271" spans="3:89" ht="11.45" customHeight="1" x14ac:dyDescent="0.2">
      <c r="C271" s="12"/>
      <c r="D271" s="12"/>
      <c r="E271" s="12"/>
      <c r="F271" s="1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</row>
    <row r="272" spans="3:89" ht="11.45" customHeight="1" x14ac:dyDescent="0.2">
      <c r="C272" s="12"/>
      <c r="D272" s="12"/>
      <c r="E272" s="12"/>
      <c r="F272" s="1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</row>
    <row r="273" spans="3:89" ht="11.45" customHeight="1" x14ac:dyDescent="0.2">
      <c r="C273" s="12"/>
      <c r="D273" s="12"/>
      <c r="E273" s="12"/>
      <c r="F273" s="1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</row>
    <row r="274" spans="3:89" ht="11.45" customHeight="1" x14ac:dyDescent="0.2">
      <c r="C274" s="12"/>
      <c r="D274" s="12"/>
      <c r="E274" s="12"/>
      <c r="F274" s="1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</row>
    <row r="275" spans="3:89" ht="11.45" customHeight="1" x14ac:dyDescent="0.2">
      <c r="C275" s="12"/>
      <c r="D275" s="12"/>
      <c r="E275" s="12"/>
      <c r="F275" s="1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</row>
    <row r="276" spans="3:89" ht="11.45" customHeight="1" x14ac:dyDescent="0.2">
      <c r="C276" s="12"/>
      <c r="D276" s="12"/>
      <c r="E276" s="12"/>
      <c r="F276" s="1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</row>
    <row r="277" spans="3:89" ht="11.45" customHeight="1" x14ac:dyDescent="0.2">
      <c r="C277" s="12"/>
      <c r="D277" s="12"/>
      <c r="E277" s="12"/>
      <c r="F277" s="1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</row>
    <row r="278" spans="3:89" ht="11.45" customHeight="1" x14ac:dyDescent="0.2">
      <c r="C278" s="12"/>
      <c r="D278" s="12"/>
      <c r="E278" s="12"/>
      <c r="F278" s="1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</row>
    <row r="279" spans="3:89" ht="11.45" customHeight="1" x14ac:dyDescent="0.2">
      <c r="C279" s="12"/>
      <c r="D279" s="12"/>
      <c r="E279" s="12"/>
      <c r="F279" s="1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</row>
    <row r="280" spans="3:89" ht="11.45" customHeight="1" x14ac:dyDescent="0.2">
      <c r="C280" s="12"/>
      <c r="D280" s="12"/>
      <c r="E280" s="12"/>
      <c r="F280" s="1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</row>
    <row r="281" spans="3:89" ht="11.45" customHeight="1" x14ac:dyDescent="0.2">
      <c r="C281" s="12"/>
      <c r="D281" s="12"/>
      <c r="E281" s="12"/>
      <c r="F281" s="1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</row>
    <row r="282" spans="3:89" ht="11.45" customHeight="1" x14ac:dyDescent="0.2">
      <c r="C282" s="12"/>
      <c r="D282" s="12"/>
      <c r="E282" s="12"/>
      <c r="F282" s="1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</row>
    <row r="283" spans="3:89" ht="11.45" customHeight="1" x14ac:dyDescent="0.2">
      <c r="C283" s="12"/>
      <c r="D283" s="12"/>
      <c r="E283" s="12"/>
      <c r="F283" s="1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</row>
    <row r="284" spans="3:89" ht="11.45" customHeight="1" x14ac:dyDescent="0.2">
      <c r="C284" s="12"/>
      <c r="D284" s="12"/>
      <c r="E284" s="12"/>
      <c r="F284" s="1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</row>
    <row r="285" spans="3:89" ht="11.45" customHeight="1" x14ac:dyDescent="0.2">
      <c r="C285" s="12"/>
      <c r="D285" s="12"/>
      <c r="E285" s="12"/>
      <c r="F285" s="1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</row>
    <row r="286" spans="3:89" ht="11.45" customHeight="1" x14ac:dyDescent="0.2">
      <c r="C286" s="12"/>
      <c r="D286" s="12"/>
      <c r="E286" s="12"/>
      <c r="F286" s="1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</row>
    <row r="287" spans="3:89" ht="11.45" customHeight="1" x14ac:dyDescent="0.2">
      <c r="C287" s="12"/>
      <c r="D287" s="12"/>
      <c r="E287" s="12"/>
      <c r="F287" s="1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</row>
    <row r="288" spans="3:89" ht="11.45" customHeight="1" x14ac:dyDescent="0.2">
      <c r="C288" s="12"/>
      <c r="D288" s="12"/>
      <c r="E288" s="12"/>
      <c r="F288" s="1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</row>
    <row r="289" spans="3:89" ht="11.45" customHeight="1" x14ac:dyDescent="0.2">
      <c r="C289" s="12"/>
      <c r="D289" s="12"/>
      <c r="E289" s="12"/>
      <c r="F289" s="1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</row>
    <row r="290" spans="3:89" ht="11.45" customHeight="1" x14ac:dyDescent="0.2">
      <c r="C290" s="12"/>
      <c r="D290" s="12"/>
      <c r="E290" s="12"/>
      <c r="F290" s="1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</row>
    <row r="291" spans="3:89" ht="11.45" customHeight="1" x14ac:dyDescent="0.2">
      <c r="C291" s="12"/>
      <c r="D291" s="12"/>
      <c r="E291" s="12"/>
      <c r="F291" s="1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</row>
    <row r="292" spans="3:89" ht="11.45" customHeight="1" x14ac:dyDescent="0.2">
      <c r="C292" s="12"/>
      <c r="D292" s="12"/>
      <c r="E292" s="12"/>
      <c r="F292" s="1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</row>
    <row r="293" spans="3:89" ht="11.45" customHeight="1" x14ac:dyDescent="0.2">
      <c r="C293" s="12"/>
      <c r="D293" s="12"/>
      <c r="E293" s="12"/>
      <c r="F293" s="1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</row>
    <row r="294" spans="3:89" ht="11.45" customHeight="1" x14ac:dyDescent="0.2">
      <c r="C294" s="12"/>
      <c r="D294" s="12"/>
      <c r="E294" s="12"/>
      <c r="F294" s="1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</row>
    <row r="295" spans="3:89" ht="11.45" customHeight="1" x14ac:dyDescent="0.2">
      <c r="C295" s="12"/>
      <c r="D295" s="12"/>
      <c r="E295" s="12"/>
      <c r="F295" s="1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</row>
    <row r="296" spans="3:89" ht="11.45" customHeight="1" x14ac:dyDescent="0.2">
      <c r="C296" s="12"/>
      <c r="D296" s="12"/>
      <c r="E296" s="12"/>
      <c r="F296" s="1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</row>
    <row r="297" spans="3:89" ht="11.45" customHeight="1" x14ac:dyDescent="0.2">
      <c r="C297" s="12"/>
      <c r="D297" s="12"/>
      <c r="E297" s="12"/>
      <c r="F297" s="1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</row>
    <row r="298" spans="3:89" ht="11.45" customHeight="1" x14ac:dyDescent="0.2">
      <c r="C298" s="12"/>
      <c r="D298" s="12"/>
      <c r="E298" s="12"/>
      <c r="F298" s="1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</row>
    <row r="299" spans="3:89" ht="11.45" customHeight="1" x14ac:dyDescent="0.2">
      <c r="C299" s="12"/>
      <c r="D299" s="12"/>
      <c r="E299" s="12"/>
      <c r="F299" s="1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</row>
    <row r="300" spans="3:89" ht="11.45" customHeight="1" x14ac:dyDescent="0.2">
      <c r="C300" s="12"/>
      <c r="D300" s="12"/>
      <c r="E300" s="12"/>
      <c r="F300" s="1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</row>
    <row r="301" spans="3:89" ht="11.45" customHeight="1" x14ac:dyDescent="0.2">
      <c r="C301" s="12"/>
      <c r="D301" s="12"/>
      <c r="E301" s="12"/>
      <c r="F301" s="1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</row>
    <row r="302" spans="3:89" ht="11.45" customHeight="1" x14ac:dyDescent="0.2">
      <c r="C302" s="12"/>
      <c r="D302" s="12"/>
      <c r="E302" s="12"/>
      <c r="F302" s="1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</row>
    <row r="303" spans="3:89" ht="11.45" customHeight="1" x14ac:dyDescent="0.2">
      <c r="C303" s="12"/>
      <c r="D303" s="12"/>
      <c r="E303" s="12"/>
      <c r="F303" s="1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</row>
    <row r="304" spans="3:89" ht="11.45" customHeight="1" x14ac:dyDescent="0.2">
      <c r="C304" s="12"/>
      <c r="D304" s="12"/>
      <c r="E304" s="12"/>
      <c r="F304" s="1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</row>
    <row r="305" spans="3:89" ht="11.45" customHeight="1" x14ac:dyDescent="0.2">
      <c r="C305" s="12"/>
      <c r="D305" s="12"/>
      <c r="E305" s="12"/>
      <c r="F305" s="1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</row>
    <row r="306" spans="3:89" ht="11.45" customHeight="1" x14ac:dyDescent="0.2">
      <c r="C306" s="12"/>
      <c r="D306" s="12"/>
      <c r="E306" s="12"/>
      <c r="F306" s="1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</row>
    <row r="307" spans="3:89" ht="11.45" customHeight="1" x14ac:dyDescent="0.2">
      <c r="C307" s="12"/>
      <c r="D307" s="12"/>
      <c r="E307" s="12"/>
      <c r="F307" s="1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</row>
    <row r="308" spans="3:89" ht="11.45" customHeight="1" x14ac:dyDescent="0.2">
      <c r="C308" s="12"/>
      <c r="D308" s="12"/>
      <c r="E308" s="12"/>
      <c r="F308" s="1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</row>
    <row r="309" spans="3:89" ht="11.45" customHeight="1" x14ac:dyDescent="0.2">
      <c r="C309" s="12"/>
      <c r="D309" s="12"/>
      <c r="E309" s="12"/>
      <c r="F309" s="1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</row>
    <row r="310" spans="3:89" ht="11.45" customHeight="1" x14ac:dyDescent="0.2">
      <c r="C310" s="12"/>
      <c r="D310" s="12"/>
      <c r="E310" s="12"/>
      <c r="F310" s="1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</row>
    <row r="311" spans="3:89" ht="11.45" customHeight="1" x14ac:dyDescent="0.2">
      <c r="C311" s="12"/>
      <c r="D311" s="12"/>
      <c r="E311" s="12"/>
      <c r="F311" s="1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</row>
    <row r="312" spans="3:89" ht="11.45" customHeight="1" x14ac:dyDescent="0.2">
      <c r="C312" s="12"/>
      <c r="D312" s="12"/>
      <c r="E312" s="12"/>
      <c r="F312" s="1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</row>
    <row r="313" spans="3:89" ht="11.45" customHeight="1" x14ac:dyDescent="0.2">
      <c r="C313" s="12"/>
      <c r="D313" s="12"/>
      <c r="E313" s="12"/>
      <c r="F313" s="1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</row>
    <row r="314" spans="3:89" ht="11.45" customHeight="1" x14ac:dyDescent="0.2">
      <c r="C314" s="12"/>
      <c r="D314" s="12"/>
      <c r="E314" s="12"/>
      <c r="F314" s="1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</row>
    <row r="315" spans="3:89" ht="11.45" customHeight="1" x14ac:dyDescent="0.2">
      <c r="C315" s="12"/>
      <c r="D315" s="12"/>
      <c r="E315" s="12"/>
      <c r="F315" s="1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</row>
    <row r="316" spans="3:89" ht="11.45" customHeight="1" x14ac:dyDescent="0.2">
      <c r="C316" s="12"/>
      <c r="D316" s="12"/>
      <c r="E316" s="12"/>
      <c r="F316" s="1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</row>
  </sheetData>
  <pageMargins left="0.75" right="1" top="0.75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2026-06-24T08:55:33Z</dcterms:modified>
</cp:coreProperties>
</file>