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DBF84AA1-11B2-476B-A08B-2567CD707DA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N512" i="2"/>
  <c r="BM512" i="2"/>
  <c r="Z512" i="2"/>
  <c r="Y512" i="2"/>
  <c r="BP512" i="2" s="1"/>
  <c r="P512" i="2"/>
  <c r="X510" i="2"/>
  <c r="X509" i="2"/>
  <c r="BO508" i="2"/>
  <c r="BM508" i="2"/>
  <c r="Y508" i="2"/>
  <c r="Y510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Y477" i="2"/>
  <c r="P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P474" i="2"/>
  <c r="X470" i="2"/>
  <c r="X469" i="2"/>
  <c r="BO468" i="2"/>
  <c r="BM468" i="2"/>
  <c r="Y468" i="2"/>
  <c r="Z468" i="2" s="1"/>
  <c r="P468" i="2"/>
  <c r="BO467" i="2"/>
  <c r="BM467" i="2"/>
  <c r="Y467" i="2"/>
  <c r="P467" i="2"/>
  <c r="BO466" i="2"/>
  <c r="BM466" i="2"/>
  <c r="Y466" i="2"/>
  <c r="BP466" i="2" s="1"/>
  <c r="P466" i="2"/>
  <c r="X464" i="2"/>
  <c r="X463" i="2"/>
  <c r="BO462" i="2"/>
  <c r="BM462" i="2"/>
  <c r="Y462" i="2"/>
  <c r="Y464" i="2" s="1"/>
  <c r="P462" i="2"/>
  <c r="X459" i="2"/>
  <c r="X458" i="2"/>
  <c r="BO457" i="2"/>
  <c r="BM457" i="2"/>
  <c r="Y457" i="2"/>
  <c r="P457" i="2"/>
  <c r="BO456" i="2"/>
  <c r="BM456" i="2"/>
  <c r="Y456" i="2"/>
  <c r="BP456" i="2" s="1"/>
  <c r="P456" i="2"/>
  <c r="X454" i="2"/>
  <c r="X453" i="2"/>
  <c r="BO452" i="2"/>
  <c r="BM452" i="2"/>
  <c r="Y452" i="2"/>
  <c r="P452" i="2"/>
  <c r="BO451" i="2"/>
  <c r="BM451" i="2"/>
  <c r="Y451" i="2"/>
  <c r="BN451" i="2" s="1"/>
  <c r="P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Y443" i="2" s="1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Y433" i="2" s="1"/>
  <c r="P430" i="2"/>
  <c r="X427" i="2"/>
  <c r="X426" i="2"/>
  <c r="BO425" i="2"/>
  <c r="BM425" i="2"/>
  <c r="Y425" i="2"/>
  <c r="Y427" i="2" s="1"/>
  <c r="P425" i="2"/>
  <c r="X423" i="2"/>
  <c r="X422" i="2"/>
  <c r="BO421" i="2"/>
  <c r="BM421" i="2"/>
  <c r="Y421" i="2"/>
  <c r="P421" i="2"/>
  <c r="BO420" i="2"/>
  <c r="BM420" i="2"/>
  <c r="Y420" i="2"/>
  <c r="Z420" i="2" s="1"/>
  <c r="P420" i="2"/>
  <c r="X418" i="2"/>
  <c r="X417" i="2"/>
  <c r="BO416" i="2"/>
  <c r="BM416" i="2"/>
  <c r="Y416" i="2"/>
  <c r="P416" i="2"/>
  <c r="BO415" i="2"/>
  <c r="BM415" i="2"/>
  <c r="Y415" i="2"/>
  <c r="BP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P395" i="2"/>
  <c r="X392" i="2"/>
  <c r="X391" i="2"/>
  <c r="BO390" i="2"/>
  <c r="BM390" i="2"/>
  <c r="Y390" i="2"/>
  <c r="P390" i="2"/>
  <c r="BO389" i="2"/>
  <c r="BM389" i="2"/>
  <c r="Y389" i="2"/>
  <c r="P389" i="2"/>
  <c r="BO388" i="2"/>
  <c r="BM388" i="2"/>
  <c r="Y388" i="2"/>
  <c r="BP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N381" i="2" s="1"/>
  <c r="P381" i="2"/>
  <c r="X379" i="2"/>
  <c r="X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X373" i="2"/>
  <c r="X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BP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BP350" i="2" s="1"/>
  <c r="P350" i="2"/>
  <c r="X347" i="2"/>
  <c r="X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X340" i="2"/>
  <c r="X339" i="2"/>
  <c r="BO338" i="2"/>
  <c r="BM338" i="2"/>
  <c r="Y338" i="2"/>
  <c r="Z338" i="2" s="1"/>
  <c r="P338" i="2"/>
  <c r="BO337" i="2"/>
  <c r="BM337" i="2"/>
  <c r="Y337" i="2"/>
  <c r="BN337" i="2" s="1"/>
  <c r="P337" i="2"/>
  <c r="X335" i="2"/>
  <c r="X334" i="2"/>
  <c r="BO333" i="2"/>
  <c r="BM333" i="2"/>
  <c r="Y333" i="2"/>
  <c r="Z333" i="2" s="1"/>
  <c r="P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X310" i="2"/>
  <c r="X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Z305" i="2" s="1"/>
  <c r="P305" i="2"/>
  <c r="BO304" i="2"/>
  <c r="BM304" i="2"/>
  <c r="Y304" i="2"/>
  <c r="BP304" i="2" s="1"/>
  <c r="P304" i="2"/>
  <c r="X302" i="2"/>
  <c r="X301" i="2"/>
  <c r="BO300" i="2"/>
  <c r="BM300" i="2"/>
  <c r="Y300" i="2"/>
  <c r="P300" i="2"/>
  <c r="X298" i="2"/>
  <c r="X297" i="2"/>
  <c r="BO296" i="2"/>
  <c r="BM296" i="2"/>
  <c r="Y296" i="2"/>
  <c r="Z296" i="2" s="1"/>
  <c r="Z297" i="2" s="1"/>
  <c r="P296" i="2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X283" i="2"/>
  <c r="X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BO265" i="2"/>
  <c r="BM265" i="2"/>
  <c r="Y265" i="2"/>
  <c r="Z265" i="2" s="1"/>
  <c r="P265" i="2"/>
  <c r="X263" i="2"/>
  <c r="X262" i="2"/>
  <c r="BO261" i="2"/>
  <c r="BM261" i="2"/>
  <c r="Y261" i="2"/>
  <c r="Z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Z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7" i="2"/>
  <c r="X246" i="2"/>
  <c r="BO245" i="2"/>
  <c r="BM245" i="2"/>
  <c r="Y245" i="2"/>
  <c r="P245" i="2"/>
  <c r="BO244" i="2"/>
  <c r="BM244" i="2"/>
  <c r="Y244" i="2"/>
  <c r="Y246" i="2" s="1"/>
  <c r="P244" i="2"/>
  <c r="X241" i="2"/>
  <c r="X240" i="2"/>
  <c r="BO239" i="2"/>
  <c r="BM239" i="2"/>
  <c r="Y239" i="2"/>
  <c r="Y241" i="2" s="1"/>
  <c r="P239" i="2"/>
  <c r="X237" i="2"/>
  <c r="X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X231" i="2"/>
  <c r="X230" i="2"/>
  <c r="BO229" i="2"/>
  <c r="BM229" i="2"/>
  <c r="Y229" i="2"/>
  <c r="BP229" i="2" s="1"/>
  <c r="P229" i="2"/>
  <c r="BO228" i="2"/>
  <c r="BM228" i="2"/>
  <c r="Y228" i="2"/>
  <c r="BN228" i="2" s="1"/>
  <c r="P228" i="2"/>
  <c r="X226" i="2"/>
  <c r="X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Z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Z211" i="2" s="1"/>
  <c r="P211" i="2"/>
  <c r="X209" i="2"/>
  <c r="X208" i="2"/>
  <c r="BO207" i="2"/>
  <c r="BM207" i="2"/>
  <c r="Y207" i="2"/>
  <c r="Y209" i="2" s="1"/>
  <c r="P207" i="2"/>
  <c r="X204" i="2"/>
  <c r="X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BP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Y167" i="2" s="1"/>
  <c r="P165" i="2"/>
  <c r="X163" i="2"/>
  <c r="X162" i="2"/>
  <c r="BO161" i="2"/>
  <c r="BM161" i="2"/>
  <c r="Y161" i="2"/>
  <c r="BP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Z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X149" i="2"/>
  <c r="X148" i="2"/>
  <c r="BO147" i="2"/>
  <c r="BM147" i="2"/>
  <c r="Y147" i="2"/>
  <c r="P147" i="2"/>
  <c r="BO146" i="2"/>
  <c r="BM146" i="2"/>
  <c r="Y146" i="2"/>
  <c r="Z146" i="2" s="1"/>
  <c r="P146" i="2"/>
  <c r="X144" i="2"/>
  <c r="X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Z137" i="2" s="1"/>
  <c r="P137" i="2"/>
  <c r="BO136" i="2"/>
  <c r="BM136" i="2"/>
  <c r="Y136" i="2"/>
  <c r="BN136" i="2" s="1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BP124" i="2" s="1"/>
  <c r="P124" i="2"/>
  <c r="X122" i="2"/>
  <c r="X121" i="2"/>
  <c r="BO120" i="2"/>
  <c r="BM120" i="2"/>
  <c r="Y120" i="2"/>
  <c r="Z120" i="2" s="1"/>
  <c r="P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BN98" i="2" s="1"/>
  <c r="P98" i="2"/>
  <c r="X96" i="2"/>
  <c r="X95" i="2"/>
  <c r="BO94" i="2"/>
  <c r="BM94" i="2"/>
  <c r="Y94" i="2"/>
  <c r="BN94" i="2" s="1"/>
  <c r="P94" i="2"/>
  <c r="BO93" i="2"/>
  <c r="BM93" i="2"/>
  <c r="Y93" i="2"/>
  <c r="BN93" i="2" s="1"/>
  <c r="P93" i="2"/>
  <c r="BO92" i="2"/>
  <c r="BM92" i="2"/>
  <c r="Y92" i="2"/>
  <c r="BP92" i="2" s="1"/>
  <c r="P92" i="2"/>
  <c r="BO91" i="2"/>
  <c r="BM91" i="2"/>
  <c r="Y91" i="2"/>
  <c r="P91" i="2"/>
  <c r="X88" i="2"/>
  <c r="X87" i="2"/>
  <c r="BO86" i="2"/>
  <c r="BM86" i="2"/>
  <c r="Y86" i="2"/>
  <c r="BP86" i="2" s="1"/>
  <c r="P86" i="2"/>
  <c r="BO85" i="2"/>
  <c r="BM85" i="2"/>
  <c r="Y85" i="2"/>
  <c r="Y88" i="2" s="1"/>
  <c r="P85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N63" i="2" s="1"/>
  <c r="P63" i="2"/>
  <c r="X60" i="2"/>
  <c r="X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Z55" i="2" s="1"/>
  <c r="P55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BN46" i="2" s="1"/>
  <c r="P46" i="2"/>
  <c r="X42" i="2"/>
  <c r="X41" i="2"/>
  <c r="BO40" i="2"/>
  <c r="BM40" i="2"/>
  <c r="Y40" i="2"/>
  <c r="BP40" i="2" s="1"/>
  <c r="P40" i="2"/>
  <c r="X38" i="2"/>
  <c r="X37" i="2"/>
  <c r="BO36" i="2"/>
  <c r="BM36" i="2"/>
  <c r="Y36" i="2"/>
  <c r="BP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P28" i="2"/>
  <c r="X26" i="2"/>
  <c r="X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92" i="2" l="1"/>
  <c r="BN92" i="2"/>
  <c r="BP337" i="2"/>
  <c r="Z169" i="2"/>
  <c r="Z441" i="2"/>
  <c r="Z31" i="2"/>
  <c r="Z101" i="2"/>
  <c r="Z274" i="2"/>
  <c r="Z329" i="2"/>
  <c r="BN329" i="2"/>
  <c r="Z368" i="2"/>
  <c r="BN368" i="2"/>
  <c r="Z488" i="2"/>
  <c r="Y509" i="2"/>
  <c r="Z56" i="2"/>
  <c r="BP98" i="2"/>
  <c r="Z152" i="2"/>
  <c r="BN152" i="2"/>
  <c r="BP165" i="2"/>
  <c r="Y252" i="2"/>
  <c r="Z307" i="2"/>
  <c r="Z361" i="2"/>
  <c r="BP381" i="2"/>
  <c r="Z479" i="2"/>
  <c r="BN22" i="2"/>
  <c r="Y26" i="2"/>
  <c r="X531" i="2"/>
  <c r="Y42" i="2"/>
  <c r="Z58" i="2"/>
  <c r="BN85" i="2"/>
  <c r="Y96" i="2"/>
  <c r="BP93" i="2"/>
  <c r="Z100" i="2"/>
  <c r="Z126" i="2"/>
  <c r="BN127" i="2"/>
  <c r="BN141" i="2"/>
  <c r="Y156" i="2"/>
  <c r="Z161" i="2"/>
  <c r="BN183" i="2"/>
  <c r="BP211" i="2"/>
  <c r="BN212" i="2"/>
  <c r="BN216" i="2"/>
  <c r="BN235" i="2"/>
  <c r="BN258" i="2"/>
  <c r="BP274" i="2"/>
  <c r="BN286" i="2"/>
  <c r="BN290" i="2"/>
  <c r="Y297" i="2"/>
  <c r="Z304" i="2"/>
  <c r="BP307" i="2"/>
  <c r="Z351" i="2"/>
  <c r="BN354" i="2"/>
  <c r="Z358" i="2"/>
  <c r="BN358" i="2"/>
  <c r="Y373" i="2"/>
  <c r="Z383" i="2"/>
  <c r="BN383" i="2"/>
  <c r="BN384" i="2"/>
  <c r="Z388" i="2"/>
  <c r="BN388" i="2"/>
  <c r="BP396" i="2"/>
  <c r="BN397" i="2"/>
  <c r="Z403" i="2"/>
  <c r="BN403" i="2"/>
  <c r="BN404" i="2"/>
  <c r="BN414" i="2"/>
  <c r="Y426" i="2"/>
  <c r="BP439" i="2"/>
  <c r="BP441" i="2"/>
  <c r="Y454" i="2"/>
  <c r="BN448" i="2"/>
  <c r="Z450" i="2"/>
  <c r="BP451" i="2"/>
  <c r="BN456" i="2"/>
  <c r="Z462" i="2"/>
  <c r="Z463" i="2" s="1"/>
  <c r="BN462" i="2"/>
  <c r="BP462" i="2"/>
  <c r="Y463" i="2"/>
  <c r="BN466" i="2"/>
  <c r="BP479" i="2"/>
  <c r="BN480" i="2"/>
  <c r="BP488" i="2"/>
  <c r="Y500" i="2"/>
  <c r="BN495" i="2"/>
  <c r="BN508" i="2"/>
  <c r="BN513" i="2"/>
  <c r="Y518" i="2"/>
  <c r="BN49" i="2"/>
  <c r="BP58" i="2"/>
  <c r="BN74" i="2"/>
  <c r="BN118" i="2"/>
  <c r="BN146" i="2"/>
  <c r="BN155" i="2"/>
  <c r="BN175" i="2"/>
  <c r="Y191" i="2"/>
  <c r="BN220" i="2"/>
  <c r="Y247" i="2"/>
  <c r="BN249" i="2"/>
  <c r="Z254" i="2"/>
  <c r="BN254" i="2"/>
  <c r="BN255" i="2"/>
  <c r="Z256" i="2"/>
  <c r="BN257" i="2"/>
  <c r="BN265" i="2"/>
  <c r="BN269" i="2"/>
  <c r="BN296" i="2"/>
  <c r="BN317" i="2"/>
  <c r="BN324" i="2"/>
  <c r="BN330" i="2"/>
  <c r="BN364" i="2"/>
  <c r="BN369" i="2"/>
  <c r="BN407" i="2"/>
  <c r="BN425" i="2"/>
  <c r="BP450" i="2"/>
  <c r="BN468" i="2"/>
  <c r="BN498" i="2"/>
  <c r="BN517" i="2"/>
  <c r="Z32" i="2"/>
  <c r="BN32" i="2"/>
  <c r="BN57" i="2"/>
  <c r="Z57" i="2"/>
  <c r="BP160" i="2"/>
  <c r="BP219" i="2"/>
  <c r="Z219" i="2"/>
  <c r="BP371" i="2"/>
  <c r="Z371" i="2"/>
  <c r="BP409" i="2"/>
  <c r="Z409" i="2"/>
  <c r="BN409" i="2"/>
  <c r="BP475" i="2"/>
  <c r="Z475" i="2"/>
  <c r="BN475" i="2"/>
  <c r="BP478" i="2"/>
  <c r="Z478" i="2"/>
  <c r="BN478" i="2"/>
  <c r="BP69" i="2"/>
  <c r="Z69" i="2"/>
  <c r="Z160" i="2"/>
  <c r="Z162" i="2" s="1"/>
  <c r="Z268" i="2"/>
  <c r="BN268" i="2"/>
  <c r="BP292" i="2"/>
  <c r="Z292" i="2"/>
  <c r="Y470" i="2"/>
  <c r="BP467" i="2"/>
  <c r="Z467" i="2"/>
  <c r="BN467" i="2"/>
  <c r="BP136" i="2"/>
  <c r="BP178" i="2"/>
  <c r="Z178" i="2"/>
  <c r="Z199" i="2"/>
  <c r="BN199" i="2"/>
  <c r="Z266" i="2"/>
  <c r="BN363" i="2"/>
  <c r="BP363" i="2"/>
  <c r="BP390" i="2"/>
  <c r="Z390" i="2"/>
  <c r="BN390" i="2"/>
  <c r="X532" i="2"/>
  <c r="Y25" i="2"/>
  <c r="Y38" i="2"/>
  <c r="Z29" i="2"/>
  <c r="BP29" i="2"/>
  <c r="Y51" i="2"/>
  <c r="BP47" i="2"/>
  <c r="Y87" i="2"/>
  <c r="BP116" i="2"/>
  <c r="BN116" i="2"/>
  <c r="Z136" i="2"/>
  <c r="Z138" i="2" s="1"/>
  <c r="BP153" i="2"/>
  <c r="Z153" i="2"/>
  <c r="Z165" i="2"/>
  <c r="Z166" i="2" s="1"/>
  <c r="Y166" i="2"/>
  <c r="BN165" i="2"/>
  <c r="BN213" i="2"/>
  <c r="BP213" i="2"/>
  <c r="Z215" i="2"/>
  <c r="BN215" i="2"/>
  <c r="BP224" i="2"/>
  <c r="Z224" i="2"/>
  <c r="Z313" i="2"/>
  <c r="Y319" i="2"/>
  <c r="BN313" i="2"/>
  <c r="Z323" i="2"/>
  <c r="BN323" i="2"/>
  <c r="Z331" i="2"/>
  <c r="BN331" i="2"/>
  <c r="BN353" i="2"/>
  <c r="BP353" i="2"/>
  <c r="BP32" i="2"/>
  <c r="BP57" i="2"/>
  <c r="BN69" i="2"/>
  <c r="Z86" i="2"/>
  <c r="BN86" i="2"/>
  <c r="BP101" i="2"/>
  <c r="Z108" i="2"/>
  <c r="BN108" i="2"/>
  <c r="Z119" i="2"/>
  <c r="BN119" i="2"/>
  <c r="Z154" i="2"/>
  <c r="BN154" i="2"/>
  <c r="Y162" i="2"/>
  <c r="Z170" i="2"/>
  <c r="BN170" i="2"/>
  <c r="BN178" i="2"/>
  <c r="BP189" i="2"/>
  <c r="Z189" i="2"/>
  <c r="BP256" i="2"/>
  <c r="Z259" i="2"/>
  <c r="BN259" i="2"/>
  <c r="Z273" i="2"/>
  <c r="BN273" i="2"/>
  <c r="Y294" i="2"/>
  <c r="Z289" i="2"/>
  <c r="BN289" i="2"/>
  <c r="BP416" i="2"/>
  <c r="Z416" i="2"/>
  <c r="BN431" i="2"/>
  <c r="BP431" i="2"/>
  <c r="Z46" i="2"/>
  <c r="BP46" i="2"/>
  <c r="Z49" i="2"/>
  <c r="Z85" i="2"/>
  <c r="Z87" i="2" s="1"/>
  <c r="BP85" i="2"/>
  <c r="Z112" i="2"/>
  <c r="BP175" i="2"/>
  <c r="Y226" i="2"/>
  <c r="BP216" i="2"/>
  <c r="BP235" i="2"/>
  <c r="BP258" i="2"/>
  <c r="BP269" i="2"/>
  <c r="BP296" i="2"/>
  <c r="Y298" i="2"/>
  <c r="BN306" i="2"/>
  <c r="Z315" i="2"/>
  <c r="BP317" i="2"/>
  <c r="BN359" i="2"/>
  <c r="BN375" i="2"/>
  <c r="Z397" i="2"/>
  <c r="V540" i="2"/>
  <c r="Z404" i="2"/>
  <c r="Y418" i="2"/>
  <c r="BN420" i="2"/>
  <c r="BP468" i="2"/>
  <c r="BN493" i="2"/>
  <c r="Z495" i="2"/>
  <c r="Z498" i="2"/>
  <c r="Z508" i="2"/>
  <c r="Z509" i="2" s="1"/>
  <c r="BP508" i="2"/>
  <c r="Z513" i="2"/>
  <c r="BP496" i="2"/>
  <c r="Z517" i="2"/>
  <c r="Z518" i="2" s="1"/>
  <c r="Y519" i="2"/>
  <c r="Y524" i="2"/>
  <c r="BP306" i="2"/>
  <c r="S540" i="2"/>
  <c r="Y347" i="2"/>
  <c r="BP359" i="2"/>
  <c r="Y372" i="2"/>
  <c r="BP375" i="2"/>
  <c r="Y412" i="2"/>
  <c r="Y417" i="2"/>
  <c r="BP420" i="2"/>
  <c r="Y469" i="2"/>
  <c r="Z493" i="2"/>
  <c r="Z514" i="2"/>
  <c r="BP35" i="2"/>
  <c r="Y41" i="2"/>
  <c r="BP74" i="2"/>
  <c r="Y78" i="2"/>
  <c r="BP118" i="2"/>
  <c r="Y129" i="2"/>
  <c r="BP141" i="2"/>
  <c r="BP146" i="2"/>
  <c r="I540" i="2"/>
  <c r="BP155" i="2"/>
  <c r="Y157" i="2"/>
  <c r="BN169" i="2"/>
  <c r="BN211" i="2"/>
  <c r="BP212" i="2"/>
  <c r="BP220" i="2"/>
  <c r="BP249" i="2"/>
  <c r="BP255" i="2"/>
  <c r="BP265" i="2"/>
  <c r="BP286" i="2"/>
  <c r="BP290" i="2"/>
  <c r="BP324" i="2"/>
  <c r="Y334" i="2"/>
  <c r="Z330" i="2"/>
  <c r="Z343" i="2"/>
  <c r="BP343" i="2"/>
  <c r="Z354" i="2"/>
  <c r="Z364" i="2"/>
  <c r="Z369" i="2"/>
  <c r="Z384" i="2"/>
  <c r="Z406" i="2"/>
  <c r="BP408" i="2"/>
  <c r="Z414" i="2"/>
  <c r="Z425" i="2"/>
  <c r="Z426" i="2" s="1"/>
  <c r="BP425" i="2"/>
  <c r="Z448" i="2"/>
  <c r="Z456" i="2"/>
  <c r="Y540" i="2"/>
  <c r="Z466" i="2"/>
  <c r="BP476" i="2"/>
  <c r="BP480" i="2"/>
  <c r="Y523" i="2"/>
  <c r="Z111" i="2"/>
  <c r="Z202" i="2"/>
  <c r="BN287" i="2"/>
  <c r="Z287" i="2"/>
  <c r="O540" i="2"/>
  <c r="Y365" i="2"/>
  <c r="BP382" i="2"/>
  <c r="BN382" i="2"/>
  <c r="BP487" i="2"/>
  <c r="BN487" i="2"/>
  <c r="Z147" i="2"/>
  <c r="Z148" i="2" s="1"/>
  <c r="Y149" i="2"/>
  <c r="Z184" i="2"/>
  <c r="Z223" i="2"/>
  <c r="Z234" i="2"/>
  <c r="Z272" i="2"/>
  <c r="BP275" i="2"/>
  <c r="BN275" i="2"/>
  <c r="Z275" i="2"/>
  <c r="Z362" i="2"/>
  <c r="BN376" i="2"/>
  <c r="Z376" i="2"/>
  <c r="Y379" i="2"/>
  <c r="Y378" i="2"/>
  <c r="Z382" i="2"/>
  <c r="X540" i="2"/>
  <c r="Y453" i="2"/>
  <c r="BP447" i="2"/>
  <c r="BN447" i="2"/>
  <c r="Z447" i="2"/>
  <c r="BN481" i="2"/>
  <c r="Z481" i="2"/>
  <c r="Z487" i="2"/>
  <c r="BN202" i="2"/>
  <c r="BP260" i="2"/>
  <c r="BN260" i="2"/>
  <c r="Z260" i="2"/>
  <c r="BP281" i="2"/>
  <c r="BN281" i="2"/>
  <c r="BN91" i="2"/>
  <c r="Z142" i="2"/>
  <c r="Z143" i="2" s="1"/>
  <c r="BN147" i="2"/>
  <c r="Z173" i="2"/>
  <c r="Z176" i="2"/>
  <c r="Y179" i="2"/>
  <c r="BN184" i="2"/>
  <c r="BP217" i="2"/>
  <c r="BN217" i="2"/>
  <c r="Z217" i="2"/>
  <c r="BN223" i="2"/>
  <c r="BN234" i="2"/>
  <c r="Z257" i="2"/>
  <c r="BN272" i="2"/>
  <c r="Z281" i="2"/>
  <c r="BP287" i="2"/>
  <c r="BN362" i="2"/>
  <c r="BP440" i="2"/>
  <c r="BN440" i="2"/>
  <c r="BP30" i="2"/>
  <c r="BN36" i="2"/>
  <c r="BN64" i="2"/>
  <c r="Z75" i="2"/>
  <c r="BN80" i="2"/>
  <c r="BP111" i="2"/>
  <c r="Z117" i="2"/>
  <c r="BP120" i="2"/>
  <c r="BN120" i="2"/>
  <c r="Z131" i="2"/>
  <c r="Z132" i="2" s="1"/>
  <c r="BN137" i="2"/>
  <c r="Y139" i="2"/>
  <c r="Z214" i="2"/>
  <c r="Z229" i="2"/>
  <c r="BP376" i="2"/>
  <c r="Z440" i="2"/>
  <c r="BP481" i="2"/>
  <c r="Z94" i="2"/>
  <c r="C540" i="2"/>
  <c r="BP106" i="2"/>
  <c r="G540" i="2"/>
  <c r="Y114" i="2"/>
  <c r="Y113" i="2"/>
  <c r="BN176" i="2"/>
  <c r="K540" i="2"/>
  <c r="Z23" i="2"/>
  <c r="BP64" i="2"/>
  <c r="BN75" i="2"/>
  <c r="BP80" i="2"/>
  <c r="BP94" i="2"/>
  <c r="Z106" i="2"/>
  <c r="Z109" i="2"/>
  <c r="BN117" i="2"/>
  <c r="BN131" i="2"/>
  <c r="Y180" i="2"/>
  <c r="Z200" i="2"/>
  <c r="Y203" i="2"/>
  <c r="BN214" i="2"/>
  <c r="BN229" i="2"/>
  <c r="Z244" i="2"/>
  <c r="M540" i="2"/>
  <c r="BP261" i="2"/>
  <c r="BN261" i="2"/>
  <c r="Z276" i="2"/>
  <c r="Z288" i="2"/>
  <c r="Y310" i="2"/>
  <c r="BP305" i="2"/>
  <c r="BP377" i="2"/>
  <c r="BN377" i="2"/>
  <c r="U540" i="2"/>
  <c r="Y399" i="2"/>
  <c r="BP395" i="2"/>
  <c r="Y398" i="2"/>
  <c r="BP482" i="2"/>
  <c r="BN482" i="2"/>
  <c r="AA540" i="2"/>
  <c r="Y506" i="2"/>
  <c r="Y505" i="2"/>
  <c r="BP504" i="2"/>
  <c r="BN504" i="2"/>
  <c r="Z504" i="2"/>
  <c r="Z505" i="2" s="1"/>
  <c r="Y186" i="2"/>
  <c r="BN193" i="2"/>
  <c r="Y195" i="2"/>
  <c r="Y282" i="2"/>
  <c r="BP308" i="2"/>
  <c r="BN308" i="2"/>
  <c r="Z308" i="2"/>
  <c r="BP344" i="2"/>
  <c r="BN344" i="2"/>
  <c r="Z344" i="2"/>
  <c r="Z377" i="2"/>
  <c r="Z395" i="2"/>
  <c r="Z482" i="2"/>
  <c r="Z30" i="2"/>
  <c r="BP33" i="2"/>
  <c r="BN67" i="2"/>
  <c r="BP142" i="2"/>
  <c r="BP81" i="2"/>
  <c r="Z81" i="2"/>
  <c r="Z82" i="2" s="1"/>
  <c r="BN106" i="2"/>
  <c r="BN109" i="2"/>
  <c r="BP131" i="2"/>
  <c r="BP137" i="2"/>
  <c r="BP182" i="2"/>
  <c r="Y185" i="2"/>
  <c r="BN182" i="2"/>
  <c r="Z182" i="2"/>
  <c r="Z193" i="2"/>
  <c r="Z194" i="2" s="1"/>
  <c r="BN200" i="2"/>
  <c r="Z218" i="2"/>
  <c r="BN244" i="2"/>
  <c r="BP266" i="2"/>
  <c r="BN276" i="2"/>
  <c r="BN288" i="2"/>
  <c r="Y326" i="2"/>
  <c r="BP322" i="2"/>
  <c r="Q540" i="2"/>
  <c r="Y325" i="2"/>
  <c r="BN322" i="2"/>
  <c r="Y459" i="2"/>
  <c r="Y458" i="2"/>
  <c r="BP457" i="2"/>
  <c r="BN457" i="2"/>
  <c r="Z457" i="2"/>
  <c r="BP497" i="2"/>
  <c r="BN497" i="2"/>
  <c r="Y59" i="2"/>
  <c r="Z65" i="2"/>
  <c r="BN100" i="2"/>
  <c r="BN112" i="2"/>
  <c r="Y121" i="2"/>
  <c r="BN126" i="2"/>
  <c r="Y143" i="2"/>
  <c r="Z174" i="2"/>
  <c r="BP177" i="2"/>
  <c r="BN177" i="2"/>
  <c r="Y204" i="2"/>
  <c r="BN221" i="2"/>
  <c r="BN224" i="2"/>
  <c r="BN305" i="2"/>
  <c r="Z322" i="2"/>
  <c r="Y392" i="2"/>
  <c r="Y391" i="2"/>
  <c r="BP389" i="2"/>
  <c r="BN395" i="2"/>
  <c r="Y437" i="2"/>
  <c r="Y436" i="2"/>
  <c r="BP435" i="2"/>
  <c r="BN435" i="2"/>
  <c r="Z494" i="2"/>
  <c r="Z497" i="2"/>
  <c r="Z68" i="2"/>
  <c r="Z73" i="2"/>
  <c r="Z77" i="2" s="1"/>
  <c r="BP76" i="2"/>
  <c r="BN76" i="2"/>
  <c r="BN81" i="2"/>
  <c r="Y132" i="2"/>
  <c r="Y138" i="2"/>
  <c r="Z177" i="2"/>
  <c r="Z188" i="2"/>
  <c r="BP200" i="2"/>
  <c r="BN218" i="2"/>
  <c r="Y231" i="2"/>
  <c r="BP244" i="2"/>
  <c r="BP250" i="2"/>
  <c r="BN250" i="2"/>
  <c r="Z250" i="2"/>
  <c r="Z251" i="2" s="1"/>
  <c r="BP267" i="2"/>
  <c r="BN267" i="2"/>
  <c r="Y283" i="2"/>
  <c r="BP338" i="2"/>
  <c r="BN338" i="2"/>
  <c r="Z389" i="2"/>
  <c r="Z435" i="2"/>
  <c r="Z436" i="2" s="1"/>
  <c r="F540" i="2"/>
  <c r="Y95" i="2"/>
  <c r="X530" i="2"/>
  <c r="BP125" i="2"/>
  <c r="BN125" i="2"/>
  <c r="Z125" i="2"/>
  <c r="Y37" i="2"/>
  <c r="BP67" i="2"/>
  <c r="BP28" i="2"/>
  <c r="BN56" i="2"/>
  <c r="BP23" i="2"/>
  <c r="BN174" i="2"/>
  <c r="BP193" i="2"/>
  <c r="BP207" i="2"/>
  <c r="BN207" i="2"/>
  <c r="Z207" i="2"/>
  <c r="Z208" i="2" s="1"/>
  <c r="L540" i="2"/>
  <c r="BP221" i="2"/>
  <c r="Y262" i="2"/>
  <c r="Z267" i="2"/>
  <c r="Y277" i="2"/>
  <c r="Y302" i="2"/>
  <c r="Y301" i="2"/>
  <c r="BP300" i="2"/>
  <c r="Y309" i="2"/>
  <c r="BP316" i="2"/>
  <c r="P540" i="2"/>
  <c r="BN332" i="2"/>
  <c r="Z332" i="2"/>
  <c r="Y335" i="2"/>
  <c r="Y355" i="2"/>
  <c r="BN421" i="2"/>
  <c r="Z421" i="2"/>
  <c r="Z422" i="2" s="1"/>
  <c r="Y423" i="2"/>
  <c r="BP452" i="2"/>
  <c r="BN452" i="2"/>
  <c r="BN494" i="2"/>
  <c r="B540" i="2"/>
  <c r="Z33" i="2"/>
  <c r="Z48" i="2"/>
  <c r="BP48" i="2"/>
  <c r="Y70" i="2"/>
  <c r="BP91" i="2"/>
  <c r="BN173" i="2"/>
  <c r="Y148" i="2"/>
  <c r="BN31" i="2"/>
  <c r="H9" i="2"/>
  <c r="Z40" i="2"/>
  <c r="Z41" i="2" s="1"/>
  <c r="Y60" i="2"/>
  <c r="BN68" i="2"/>
  <c r="BN73" i="2"/>
  <c r="Y103" i="2"/>
  <c r="Y102" i="2"/>
  <c r="Z107" i="2"/>
  <c r="BP110" i="2"/>
  <c r="BN110" i="2"/>
  <c r="Y122" i="2"/>
  <c r="BN171" i="2"/>
  <c r="BN188" i="2"/>
  <c r="BP201" i="2"/>
  <c r="BN201" i="2"/>
  <c r="Y236" i="2"/>
  <c r="BN233" i="2"/>
  <c r="BP245" i="2"/>
  <c r="BN245" i="2"/>
  <c r="Z300" i="2"/>
  <c r="Z301" i="2" s="1"/>
  <c r="Z316" i="2"/>
  <c r="Z352" i="2"/>
  <c r="BN389" i="2"/>
  <c r="Z449" i="2"/>
  <c r="Z452" i="2"/>
  <c r="Z540" i="2"/>
  <c r="Y484" i="2"/>
  <c r="Y483" i="2"/>
  <c r="BP474" i="2"/>
  <c r="BP477" i="2"/>
  <c r="BN477" i="2"/>
  <c r="Z36" i="2"/>
  <c r="BP24" i="2"/>
  <c r="Z24" i="2"/>
  <c r="J9" i="2"/>
  <c r="Z35" i="2"/>
  <c r="Z47" i="2"/>
  <c r="BP65" i="2"/>
  <c r="Y82" i="2"/>
  <c r="Z98" i="2"/>
  <c r="Z110" i="2"/>
  <c r="Z127" i="2"/>
  <c r="BN161" i="2"/>
  <c r="Y163" i="2"/>
  <c r="J540" i="2"/>
  <c r="Z183" i="2"/>
  <c r="Y194" i="2"/>
  <c r="Z201" i="2"/>
  <c r="BP222" i="2"/>
  <c r="BN222" i="2"/>
  <c r="Z233" i="2"/>
  <c r="Y237" i="2"/>
  <c r="Z245" i="2"/>
  <c r="BP271" i="2"/>
  <c r="BN271" i="2"/>
  <c r="Y432" i="2"/>
  <c r="W540" i="2"/>
  <c r="BP430" i="2"/>
  <c r="Z474" i="2"/>
  <c r="Z477" i="2"/>
  <c r="Y489" i="2"/>
  <c r="D540" i="2"/>
  <c r="BP55" i="2"/>
  <c r="BN55" i="2"/>
  <c r="Z91" i="2"/>
  <c r="Z28" i="2"/>
  <c r="BN28" i="2"/>
  <c r="Y50" i="2"/>
  <c r="Y71" i="2"/>
  <c r="E540" i="2"/>
  <c r="BP63" i="2"/>
  <c r="BN107" i="2"/>
  <c r="Z124" i="2"/>
  <c r="Y128" i="2"/>
  <c r="BP171" i="2"/>
  <c r="BP188" i="2"/>
  <c r="Y251" i="2"/>
  <c r="Y263" i="2"/>
  <c r="Z271" i="2"/>
  <c r="Y278" i="2"/>
  <c r="Y293" i="2"/>
  <c r="BN300" i="2"/>
  <c r="BN316" i="2"/>
  <c r="BP332" i="2"/>
  <c r="BN352" i="2"/>
  <c r="Y366" i="2"/>
  <c r="BP410" i="2"/>
  <c r="BN410" i="2"/>
  <c r="Z410" i="2"/>
  <c r="BP421" i="2"/>
  <c r="Z430" i="2"/>
  <c r="BN449" i="2"/>
  <c r="Y490" i="2"/>
  <c r="BP34" i="2"/>
  <c r="Z34" i="2"/>
  <c r="F9" i="2"/>
  <c r="BN40" i="2"/>
  <c r="H540" i="2"/>
  <c r="Y208" i="2"/>
  <c r="BP228" i="2"/>
  <c r="Y230" i="2"/>
  <c r="Y240" i="2"/>
  <c r="BP239" i="2"/>
  <c r="BN239" i="2"/>
  <c r="Y346" i="2"/>
  <c r="Z407" i="2"/>
  <c r="BN474" i="2"/>
  <c r="BP99" i="2"/>
  <c r="BN99" i="2"/>
  <c r="BP147" i="2"/>
  <c r="A10" i="2"/>
  <c r="Z63" i="2"/>
  <c r="BP66" i="2"/>
  <c r="BN66" i="2"/>
  <c r="Y77" i="2"/>
  <c r="Z93" i="2"/>
  <c r="X534" i="2"/>
  <c r="Z66" i="2"/>
  <c r="Y83" i="2"/>
  <c r="Z116" i="2"/>
  <c r="BN124" i="2"/>
  <c r="BP172" i="2"/>
  <c r="BN172" i="2"/>
  <c r="Z172" i="2"/>
  <c r="Z213" i="2"/>
  <c r="BN219" i="2"/>
  <c r="Z228" i="2"/>
  <c r="BP233" i="2"/>
  <c r="Z239" i="2"/>
  <c r="Z240" i="2" s="1"/>
  <c r="BP333" i="2"/>
  <c r="BN333" i="2"/>
  <c r="Y340" i="2"/>
  <c r="Y411" i="2"/>
  <c r="Y422" i="2"/>
  <c r="BN430" i="2"/>
  <c r="Y442" i="2"/>
  <c r="Y499" i="2"/>
  <c r="BP492" i="2"/>
  <c r="BN492" i="2"/>
  <c r="Z492" i="2"/>
  <c r="Z270" i="2"/>
  <c r="Z280" i="2"/>
  <c r="Z291" i="2"/>
  <c r="Z314" i="2"/>
  <c r="Z350" i="2"/>
  <c r="Z360" i="2"/>
  <c r="Z370" i="2"/>
  <c r="Y385" i="2"/>
  <c r="Z405" i="2"/>
  <c r="Z415" i="2"/>
  <c r="Y514" i="2"/>
  <c r="Z521" i="2"/>
  <c r="Y144" i="2"/>
  <c r="Y225" i="2"/>
  <c r="Y356" i="2"/>
  <c r="Z527" i="2"/>
  <c r="Z528" i="2" s="1"/>
  <c r="R540" i="2"/>
  <c r="BN270" i="2"/>
  <c r="BN280" i="2"/>
  <c r="BN291" i="2"/>
  <c r="BN314" i="2"/>
  <c r="BN350" i="2"/>
  <c r="BN360" i="2"/>
  <c r="BN370" i="2"/>
  <c r="BN405" i="2"/>
  <c r="BN415" i="2"/>
  <c r="BN521" i="2"/>
  <c r="Z353" i="2"/>
  <c r="Z363" i="2"/>
  <c r="Y386" i="2"/>
  <c r="Z396" i="2"/>
  <c r="Z408" i="2"/>
  <c r="Z431" i="2"/>
  <c r="Y515" i="2"/>
  <c r="BN527" i="2"/>
  <c r="T540" i="2"/>
  <c r="Z22" i="2"/>
  <c r="Y339" i="2"/>
  <c r="BP405" i="2"/>
  <c r="BP527" i="2"/>
  <c r="Z345" i="2"/>
  <c r="Z522" i="2"/>
  <c r="Y528" i="2"/>
  <c r="BN345" i="2"/>
  <c r="BN292" i="2"/>
  <c r="BN304" i="2"/>
  <c r="BN315" i="2"/>
  <c r="Y318" i="2"/>
  <c r="Z337" i="2"/>
  <c r="Z339" i="2" s="1"/>
  <c r="BN351" i="2"/>
  <c r="BN361" i="2"/>
  <c r="BN371" i="2"/>
  <c r="Z381" i="2"/>
  <c r="BN406" i="2"/>
  <c r="BN416" i="2"/>
  <c r="Z439" i="2"/>
  <c r="Z451" i="2"/>
  <c r="Z476" i="2"/>
  <c r="Z486" i="2"/>
  <c r="Z496" i="2"/>
  <c r="BN522" i="2"/>
  <c r="Y529" i="2"/>
  <c r="BN439" i="2"/>
  <c r="BN486" i="2"/>
  <c r="Z282" i="2" l="1"/>
  <c r="Z59" i="2"/>
  <c r="Z236" i="2"/>
  <c r="Z334" i="2"/>
  <c r="Z325" i="2"/>
  <c r="Z309" i="2"/>
  <c r="Z378" i="2"/>
  <c r="Z385" i="2"/>
  <c r="Z25" i="2"/>
  <c r="Z411" i="2"/>
  <c r="Z230" i="2"/>
  <c r="Z225" i="2"/>
  <c r="Z102" i="2"/>
  <c r="Z190" i="2"/>
  <c r="Z469" i="2"/>
  <c r="X533" i="2"/>
  <c r="Z156" i="2"/>
  <c r="Z417" i="2"/>
  <c r="Z179" i="2"/>
  <c r="Z391" i="2"/>
  <c r="Z365" i="2"/>
  <c r="Z432" i="2"/>
  <c r="Y531" i="2"/>
  <c r="Z50" i="2"/>
  <c r="Y532" i="2"/>
  <c r="Z203" i="2"/>
  <c r="Z121" i="2"/>
  <c r="Z70" i="2"/>
  <c r="Z95" i="2"/>
  <c r="Y530" i="2"/>
  <c r="Z458" i="2"/>
  <c r="Z262" i="2"/>
  <c r="Z293" i="2"/>
  <c r="Z318" i="2"/>
  <c r="Z489" i="2"/>
  <c r="Z372" i="2"/>
  <c r="Y534" i="2"/>
  <c r="Z277" i="2"/>
  <c r="Y533" i="2"/>
  <c r="Z185" i="2"/>
  <c r="Z113" i="2"/>
  <c r="Z483" i="2"/>
  <c r="Z355" i="2"/>
  <c r="Z246" i="2"/>
  <c r="Z453" i="2"/>
  <c r="Z128" i="2"/>
  <c r="Z37" i="2"/>
  <c r="Z398" i="2"/>
  <c r="Z442" i="2"/>
  <c r="Z499" i="2"/>
  <c r="Z523" i="2"/>
  <c r="Z346" i="2"/>
  <c r="Z535" i="2" l="1"/>
</calcChain>
</file>

<file path=xl/sharedStrings.xml><?xml version="1.0" encoding="utf-8"?>
<sst xmlns="http://schemas.openxmlformats.org/spreadsheetml/2006/main" count="4026" uniqueCount="869">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</sst>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topLeftCell="A508" zoomScaleNormal="100" zoomScaleSheetLayoutView="100" workbookViewId="0">
      <selection activeCell="X536" sqref="X5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67</v>
      </c>
      <c r="H1" s="608" t="s">
        <v>47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68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2" t="s">
        <v>8</v>
      </c>
      <c r="B5" s="612"/>
      <c r="C5" s="612"/>
      <c r="D5" s="613"/>
      <c r="E5" s="613"/>
      <c r="F5" s="614" t="s">
        <v>14</v>
      </c>
      <c r="G5" s="614"/>
      <c r="H5" s="613"/>
      <c r="I5" s="613"/>
      <c r="J5" s="613"/>
      <c r="K5" s="613"/>
      <c r="L5" s="613"/>
      <c r="M5" s="613"/>
      <c r="N5" s="72"/>
      <c r="P5" s="27" t="s">
        <v>4</v>
      </c>
      <c r="Q5" s="615">
        <v>46195</v>
      </c>
      <c r="R5" s="615"/>
      <c r="T5" s="616" t="s">
        <v>3</v>
      </c>
      <c r="U5" s="617"/>
      <c r="V5" s="618" t="s">
        <v>829</v>
      </c>
      <c r="W5" s="619"/>
      <c r="AB5" s="59"/>
      <c r="AC5" s="59"/>
      <c r="AD5" s="59"/>
      <c r="AE5" s="59"/>
    </row>
    <row r="6" spans="1:32" s="17" customFormat="1" ht="24" customHeight="1" x14ac:dyDescent="0.2">
      <c r="A6" s="612" t="s">
        <v>1</v>
      </c>
      <c r="B6" s="612"/>
      <c r="C6" s="612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73"/>
      <c r="P6" s="27" t="s">
        <v>27</v>
      </c>
      <c r="Q6" s="621" t="str">
        <f>IF(Q5=0," ",CHOOSE(WEEKDAY(Q5,2),"Понедельник","Вторник","Среда","Четверг","Пятница","Суббота","Воскресенье"))</f>
        <v>Понедельник</v>
      </c>
      <c r="R6" s="621"/>
      <c r="T6" s="622" t="s">
        <v>5</v>
      </c>
      <c r="U6" s="623"/>
      <c r="V6" s="624" t="s">
        <v>70</v>
      </c>
      <c r="W6" s="6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0">
        <f>IFERROR(VLOOKUP(DeliveryAddress,Table,3,0),1)</f>
        <v>1</v>
      </c>
      <c r="E7" s="631"/>
      <c r="F7" s="631"/>
      <c r="G7" s="631"/>
      <c r="H7" s="631"/>
      <c r="I7" s="631"/>
      <c r="J7" s="631"/>
      <c r="K7" s="631"/>
      <c r="L7" s="631"/>
      <c r="M7" s="632"/>
      <c r="N7" s="74"/>
      <c r="P7" s="29"/>
      <c r="Q7" s="48"/>
      <c r="R7" s="48"/>
      <c r="T7" s="622"/>
      <c r="U7" s="623"/>
      <c r="V7" s="626"/>
      <c r="W7" s="627"/>
      <c r="AB7" s="59"/>
      <c r="AC7" s="59"/>
      <c r="AD7" s="59"/>
      <c r="AE7" s="59"/>
    </row>
    <row r="8" spans="1:32" s="17" customFormat="1" ht="25.5" customHeight="1" x14ac:dyDescent="0.2">
      <c r="A8" s="633" t="s">
        <v>58</v>
      </c>
      <c r="B8" s="633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75"/>
      <c r="P8" s="27" t="s">
        <v>11</v>
      </c>
      <c r="Q8" s="635">
        <v>0.41666666666666669</v>
      </c>
      <c r="R8" s="635"/>
      <c r="T8" s="622"/>
      <c r="U8" s="623"/>
      <c r="V8" s="626"/>
      <c r="W8" s="627"/>
      <c r="AB8" s="59"/>
      <c r="AC8" s="59"/>
      <c r="AD8" s="59"/>
      <c r="AE8" s="59"/>
    </row>
    <row r="9" spans="1:32" s="17" customFormat="1" ht="39.950000000000003" customHeight="1" x14ac:dyDescent="0.2">
      <c r="A9" s="6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6"/>
      <c r="C9" s="636"/>
      <c r="D9" s="637" t="s">
        <v>46</v>
      </c>
      <c r="E9" s="638"/>
      <c r="F9" s="6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6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70"/>
      <c r="P9" s="31" t="s">
        <v>15</v>
      </c>
      <c r="Q9" s="640"/>
      <c r="R9" s="640"/>
      <c r="T9" s="622"/>
      <c r="U9" s="623"/>
      <c r="V9" s="628"/>
      <c r="W9" s="6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6"/>
      <c r="C10" s="636"/>
      <c r="D10" s="637"/>
      <c r="E10" s="638"/>
      <c r="F10" s="6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6"/>
      <c r="H10" s="641" t="str">
        <f>IFERROR(VLOOKUP($D$10,Proxy,2,FALSE),"")</f>
        <v/>
      </c>
      <c r="I10" s="641"/>
      <c r="J10" s="641"/>
      <c r="K10" s="641"/>
      <c r="L10" s="641"/>
      <c r="M10" s="641"/>
      <c r="N10" s="71"/>
      <c r="P10" s="31" t="s">
        <v>32</v>
      </c>
      <c r="Q10" s="642"/>
      <c r="R10" s="642"/>
      <c r="U10" s="29" t="s">
        <v>12</v>
      </c>
      <c r="V10" s="643" t="s">
        <v>71</v>
      </c>
      <c r="W10" s="64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5"/>
      <c r="R11" s="645"/>
      <c r="U11" s="29" t="s">
        <v>28</v>
      </c>
      <c r="V11" s="646" t="s">
        <v>55</v>
      </c>
      <c r="W11" s="64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7" t="s">
        <v>72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76"/>
      <c r="P12" s="27" t="s">
        <v>30</v>
      </c>
      <c r="Q12" s="635"/>
      <c r="R12" s="635"/>
      <c r="S12" s="28"/>
      <c r="T12"/>
      <c r="U12" s="29" t="s">
        <v>46</v>
      </c>
      <c r="V12" s="648"/>
      <c r="W12" s="648"/>
      <c r="X12"/>
      <c r="AB12" s="59"/>
      <c r="AC12" s="59"/>
      <c r="AD12" s="59"/>
      <c r="AE12" s="59"/>
    </row>
    <row r="13" spans="1:32" s="17" customFormat="1" ht="23.25" customHeight="1" x14ac:dyDescent="0.2">
      <c r="A13" s="647" t="s">
        <v>73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76"/>
      <c r="O13" s="31"/>
      <c r="P13" s="31" t="s">
        <v>31</v>
      </c>
      <c r="Q13" s="646"/>
      <c r="R13" s="64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7" t="s">
        <v>74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9" t="s">
        <v>75</v>
      </c>
      <c r="B15" s="649"/>
      <c r="C15" s="649"/>
      <c r="D15" s="649"/>
      <c r="E15" s="649"/>
      <c r="F15" s="649"/>
      <c r="G15" s="649"/>
      <c r="H15" s="649"/>
      <c r="I15" s="649"/>
      <c r="J15" s="649"/>
      <c r="K15" s="649"/>
      <c r="L15" s="649"/>
      <c r="M15" s="649"/>
      <c r="N15" s="77"/>
      <c r="O15"/>
      <c r="P15" s="650" t="s">
        <v>61</v>
      </c>
      <c r="Q15" s="650"/>
      <c r="R15" s="650"/>
      <c r="S15" s="650"/>
      <c r="T15" s="6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1"/>
      <c r="Q16" s="651"/>
      <c r="R16" s="651"/>
      <c r="S16" s="651"/>
      <c r="T16" s="6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4" t="s">
        <v>59</v>
      </c>
      <c r="B17" s="654" t="s">
        <v>49</v>
      </c>
      <c r="C17" s="656" t="s">
        <v>48</v>
      </c>
      <c r="D17" s="658" t="s">
        <v>50</v>
      </c>
      <c r="E17" s="659"/>
      <c r="F17" s="654" t="s">
        <v>21</v>
      </c>
      <c r="G17" s="654" t="s">
        <v>24</v>
      </c>
      <c r="H17" s="654" t="s">
        <v>22</v>
      </c>
      <c r="I17" s="654" t="s">
        <v>23</v>
      </c>
      <c r="J17" s="654" t="s">
        <v>16</v>
      </c>
      <c r="K17" s="654" t="s">
        <v>66</v>
      </c>
      <c r="L17" s="654" t="s">
        <v>64</v>
      </c>
      <c r="M17" s="654" t="s">
        <v>2</v>
      </c>
      <c r="N17" s="654" t="s">
        <v>63</v>
      </c>
      <c r="O17" s="654" t="s">
        <v>25</v>
      </c>
      <c r="P17" s="658" t="s">
        <v>17</v>
      </c>
      <c r="Q17" s="662"/>
      <c r="R17" s="662"/>
      <c r="S17" s="662"/>
      <c r="T17" s="659"/>
      <c r="U17" s="652" t="s">
        <v>56</v>
      </c>
      <c r="V17" s="653"/>
      <c r="W17" s="654" t="s">
        <v>6</v>
      </c>
      <c r="X17" s="654" t="s">
        <v>41</v>
      </c>
      <c r="Y17" s="664" t="s">
        <v>54</v>
      </c>
      <c r="Z17" s="666" t="s">
        <v>18</v>
      </c>
      <c r="AA17" s="668" t="s">
        <v>60</v>
      </c>
      <c r="AB17" s="668" t="s">
        <v>19</v>
      </c>
      <c r="AC17" s="668" t="s">
        <v>65</v>
      </c>
      <c r="AD17" s="670" t="s">
        <v>57</v>
      </c>
      <c r="AE17" s="671"/>
      <c r="AF17" s="672"/>
      <c r="AG17" s="82"/>
      <c r="BD17" s="81" t="s">
        <v>62</v>
      </c>
    </row>
    <row r="18" spans="1:68" ht="14.25" customHeight="1" x14ac:dyDescent="0.2">
      <c r="A18" s="655"/>
      <c r="B18" s="655"/>
      <c r="C18" s="657"/>
      <c r="D18" s="660"/>
      <c r="E18" s="661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60"/>
      <c r="Q18" s="663"/>
      <c r="R18" s="663"/>
      <c r="S18" s="663"/>
      <c r="T18" s="661"/>
      <c r="U18" s="83" t="s">
        <v>44</v>
      </c>
      <c r="V18" s="83" t="s">
        <v>43</v>
      </c>
      <c r="W18" s="655"/>
      <c r="X18" s="655"/>
      <c r="Y18" s="665"/>
      <c r="Z18" s="667"/>
      <c r="AA18" s="669"/>
      <c r="AB18" s="669"/>
      <c r="AC18" s="669"/>
      <c r="AD18" s="673"/>
      <c r="AE18" s="674"/>
      <c r="AF18" s="675"/>
      <c r="AG18" s="82"/>
      <c r="BD18" s="81"/>
    </row>
    <row r="19" spans="1:68" ht="27.75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customHeight="1" x14ac:dyDescent="0.25">
      <c r="A20" s="677" t="s">
        <v>76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"/>
      <c r="AB20" s="65"/>
      <c r="AC20" s="79"/>
    </row>
    <row r="21" spans="1:68" ht="14.25" customHeight="1" x14ac:dyDescent="0.25">
      <c r="A21" s="678" t="s">
        <v>77</v>
      </c>
      <c r="B21" s="678"/>
      <c r="C21" s="678"/>
      <c r="D21" s="678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79">
        <v>4680115887510</v>
      </c>
      <c r="E22" s="679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81"/>
      <c r="R22" s="681"/>
      <c r="S22" s="681"/>
      <c r="T22" s="68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79">
        <v>4680115886643</v>
      </c>
      <c r="E23" s="679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8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81"/>
      <c r="R23" s="681"/>
      <c r="S23" s="681"/>
      <c r="T23" s="68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79">
        <v>4680115889071</v>
      </c>
      <c r="E24" s="679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68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81"/>
      <c r="R24" s="681"/>
      <c r="S24" s="681"/>
      <c r="T24" s="68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">
      <c r="A25" s="688"/>
      <c r="B25" s="688"/>
      <c r="C25" s="688"/>
      <c r="D25" s="688"/>
      <c r="E25" s="688"/>
      <c r="F25" s="688"/>
      <c r="G25" s="688"/>
      <c r="H25" s="688"/>
      <c r="I25" s="688"/>
      <c r="J25" s="688"/>
      <c r="K25" s="688"/>
      <c r="L25" s="688"/>
      <c r="M25" s="688"/>
      <c r="N25" s="688"/>
      <c r="O25" s="689"/>
      <c r="P25" s="685" t="s">
        <v>40</v>
      </c>
      <c r="Q25" s="686"/>
      <c r="R25" s="686"/>
      <c r="S25" s="686"/>
      <c r="T25" s="686"/>
      <c r="U25" s="686"/>
      <c r="V25" s="687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">
      <c r="A26" s="688"/>
      <c r="B26" s="688"/>
      <c r="C26" s="688"/>
      <c r="D26" s="688"/>
      <c r="E26" s="688"/>
      <c r="F26" s="688"/>
      <c r="G26" s="688"/>
      <c r="H26" s="688"/>
      <c r="I26" s="688"/>
      <c r="J26" s="688"/>
      <c r="K26" s="688"/>
      <c r="L26" s="688"/>
      <c r="M26" s="688"/>
      <c r="N26" s="688"/>
      <c r="O26" s="689"/>
      <c r="P26" s="685" t="s">
        <v>40</v>
      </c>
      <c r="Q26" s="686"/>
      <c r="R26" s="686"/>
      <c r="S26" s="686"/>
      <c r="T26" s="686"/>
      <c r="U26" s="686"/>
      <c r="V26" s="687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78" t="s">
        <v>90</v>
      </c>
      <c r="B27" s="678"/>
      <c r="C27" s="678"/>
      <c r="D27" s="678"/>
      <c r="E27" s="678"/>
      <c r="F27" s="678"/>
      <c r="G27" s="678"/>
      <c r="H27" s="678"/>
      <c r="I27" s="678"/>
      <c r="J27" s="678"/>
      <c r="K27" s="678"/>
      <c r="L27" s="678"/>
      <c r="M27" s="678"/>
      <c r="N27" s="678"/>
      <c r="O27" s="678"/>
      <c r="P27" s="678"/>
      <c r="Q27" s="678"/>
      <c r="R27" s="678"/>
      <c r="S27" s="678"/>
      <c r="T27" s="678"/>
      <c r="U27" s="678"/>
      <c r="V27" s="678"/>
      <c r="W27" s="678"/>
      <c r="X27" s="678"/>
      <c r="Y27" s="678"/>
      <c r="Z27" s="678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79">
        <v>4680115885912</v>
      </c>
      <c r="E28" s="67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69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81"/>
      <c r="R28" s="681"/>
      <c r="S28" s="681"/>
      <c r="T28" s="682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79">
        <v>4607091388237</v>
      </c>
      <c r="E29" s="679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6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81"/>
      <c r="R29" s="681"/>
      <c r="S29" s="681"/>
      <c r="T29" s="682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79">
        <v>4680115887350</v>
      </c>
      <c r="E30" s="67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69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81"/>
      <c r="R30" s="681"/>
      <c r="S30" s="681"/>
      <c r="T30" s="682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79">
        <v>4680115886230</v>
      </c>
      <c r="E31" s="679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693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81"/>
      <c r="R31" s="681"/>
      <c r="S31" s="681"/>
      <c r="T31" s="682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79">
        <v>4680115886278</v>
      </c>
      <c r="E32" s="679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694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81"/>
      <c r="R32" s="681"/>
      <c r="S32" s="681"/>
      <c r="T32" s="682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79">
        <v>4680115886247</v>
      </c>
      <c r="E33" s="679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695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81"/>
      <c r="R33" s="681"/>
      <c r="S33" s="681"/>
      <c r="T33" s="682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79">
        <v>4680115885905</v>
      </c>
      <c r="E34" s="679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81"/>
      <c r="R34" s="681"/>
      <c r="S34" s="681"/>
      <c r="T34" s="682"/>
      <c r="U34" s="39" t="s">
        <v>46</v>
      </c>
      <c r="V34" s="39" t="s">
        <v>46</v>
      </c>
      <c r="W34" s="40" t="s">
        <v>0</v>
      </c>
      <c r="X34" s="58">
        <v>0</v>
      </c>
      <c r="Y34" s="55">
        <f t="shared" si="0"/>
        <v>0</v>
      </c>
      <c r="Z34" s="41" t="str">
        <f t="shared" si="1"/>
        <v/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0</v>
      </c>
      <c r="BN34" s="78">
        <f t="shared" si="3"/>
        <v>0</v>
      </c>
      <c r="BO34" s="78">
        <f t="shared" si="4"/>
        <v>0</v>
      </c>
      <c r="BP34" s="78">
        <f t="shared" si="5"/>
        <v>0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79">
        <v>4680115887657</v>
      </c>
      <c r="E35" s="679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6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81"/>
      <c r="R35" s="681"/>
      <c r="S35" s="681"/>
      <c r="T35" s="682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79">
        <v>4680115887619</v>
      </c>
      <c r="E36" s="679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69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81"/>
      <c r="R36" s="681"/>
      <c r="S36" s="681"/>
      <c r="T36" s="682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">
      <c r="A37" s="688"/>
      <c r="B37" s="688"/>
      <c r="C37" s="688"/>
      <c r="D37" s="688"/>
      <c r="E37" s="688"/>
      <c r="F37" s="688"/>
      <c r="G37" s="688"/>
      <c r="H37" s="688"/>
      <c r="I37" s="688"/>
      <c r="J37" s="688"/>
      <c r="K37" s="688"/>
      <c r="L37" s="688"/>
      <c r="M37" s="688"/>
      <c r="N37" s="688"/>
      <c r="O37" s="689"/>
      <c r="P37" s="685" t="s">
        <v>40</v>
      </c>
      <c r="Q37" s="686"/>
      <c r="R37" s="686"/>
      <c r="S37" s="686"/>
      <c r="T37" s="686"/>
      <c r="U37" s="686"/>
      <c r="V37" s="687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0</v>
      </c>
      <c r="Y37" s="43">
        <f>IFERROR(Y28/H28,"0")+IFERROR(Y29/H29,"0")+IFERROR(Y30/H30,"0")+IFERROR(Y31/H31,"0")+IFERROR(Y32/H32,"0")+IFERROR(Y33/H33,"0")+IFERROR(Y34/H34,"0")+IFERROR(Y35/H35,"0")+IFERROR(Y36/H36,"0")</f>
        <v>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688"/>
      <c r="B38" s="688"/>
      <c r="C38" s="688"/>
      <c r="D38" s="688"/>
      <c r="E38" s="688"/>
      <c r="F38" s="688"/>
      <c r="G38" s="688"/>
      <c r="H38" s="688"/>
      <c r="I38" s="688"/>
      <c r="J38" s="688"/>
      <c r="K38" s="688"/>
      <c r="L38" s="688"/>
      <c r="M38" s="688"/>
      <c r="N38" s="688"/>
      <c r="O38" s="689"/>
      <c r="P38" s="685" t="s">
        <v>40</v>
      </c>
      <c r="Q38" s="686"/>
      <c r="R38" s="686"/>
      <c r="S38" s="686"/>
      <c r="T38" s="686"/>
      <c r="U38" s="686"/>
      <c r="V38" s="687"/>
      <c r="W38" s="42" t="s">
        <v>0</v>
      </c>
      <c r="X38" s="43">
        <f>IFERROR(SUM(X28:X36),"0")</f>
        <v>0</v>
      </c>
      <c r="Y38" s="43">
        <f>IFERROR(SUM(Y28:Y36),"0")</f>
        <v>0</v>
      </c>
      <c r="Z38" s="42"/>
      <c r="AA38" s="67"/>
      <c r="AB38" s="67"/>
      <c r="AC38" s="67"/>
    </row>
    <row r="39" spans="1:68" ht="14.25" customHeight="1" x14ac:dyDescent="0.25">
      <c r="A39" s="678" t="s">
        <v>118</v>
      </c>
      <c r="B39" s="678"/>
      <c r="C39" s="678"/>
      <c r="D39" s="678"/>
      <c r="E39" s="678"/>
      <c r="F39" s="678"/>
      <c r="G39" s="678"/>
      <c r="H39" s="678"/>
      <c r="I39" s="678"/>
      <c r="J39" s="678"/>
      <c r="K39" s="678"/>
      <c r="L39" s="678"/>
      <c r="M39" s="678"/>
      <c r="N39" s="678"/>
      <c r="O39" s="678"/>
      <c r="P39" s="678"/>
      <c r="Q39" s="678"/>
      <c r="R39" s="678"/>
      <c r="S39" s="678"/>
      <c r="T39" s="678"/>
      <c r="U39" s="678"/>
      <c r="V39" s="678"/>
      <c r="W39" s="678"/>
      <c r="X39" s="678"/>
      <c r="Y39" s="678"/>
      <c r="Z39" s="678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79">
        <v>4607091388503</v>
      </c>
      <c r="E40" s="679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6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81"/>
      <c r="R40" s="681"/>
      <c r="S40" s="681"/>
      <c r="T40" s="68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88"/>
      <c r="B41" s="688"/>
      <c r="C41" s="688"/>
      <c r="D41" s="688"/>
      <c r="E41" s="688"/>
      <c r="F41" s="688"/>
      <c r="G41" s="688"/>
      <c r="H41" s="688"/>
      <c r="I41" s="688"/>
      <c r="J41" s="688"/>
      <c r="K41" s="688"/>
      <c r="L41" s="688"/>
      <c r="M41" s="688"/>
      <c r="N41" s="688"/>
      <c r="O41" s="689"/>
      <c r="P41" s="685" t="s">
        <v>40</v>
      </c>
      <c r="Q41" s="686"/>
      <c r="R41" s="686"/>
      <c r="S41" s="686"/>
      <c r="T41" s="686"/>
      <c r="U41" s="686"/>
      <c r="V41" s="687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">
      <c r="A42" s="688"/>
      <c r="B42" s="688"/>
      <c r="C42" s="688"/>
      <c r="D42" s="688"/>
      <c r="E42" s="688"/>
      <c r="F42" s="688"/>
      <c r="G42" s="688"/>
      <c r="H42" s="688"/>
      <c r="I42" s="688"/>
      <c r="J42" s="688"/>
      <c r="K42" s="688"/>
      <c r="L42" s="688"/>
      <c r="M42" s="688"/>
      <c r="N42" s="688"/>
      <c r="O42" s="689"/>
      <c r="P42" s="685" t="s">
        <v>40</v>
      </c>
      <c r="Q42" s="686"/>
      <c r="R42" s="686"/>
      <c r="S42" s="686"/>
      <c r="T42" s="686"/>
      <c r="U42" s="686"/>
      <c r="V42" s="687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">
      <c r="A43" s="676" t="s">
        <v>45</v>
      </c>
      <c r="B43" s="676"/>
      <c r="C43" s="676"/>
      <c r="D43" s="676"/>
      <c r="E43" s="676"/>
      <c r="F43" s="676"/>
      <c r="G43" s="676"/>
      <c r="H43" s="676"/>
      <c r="I43" s="676"/>
      <c r="J43" s="676"/>
      <c r="K43" s="676"/>
      <c r="L43" s="676"/>
      <c r="M43" s="676"/>
      <c r="N43" s="676"/>
      <c r="O43" s="676"/>
      <c r="P43" s="676"/>
      <c r="Q43" s="676"/>
      <c r="R43" s="676"/>
      <c r="S43" s="676"/>
      <c r="T43" s="676"/>
      <c r="U43" s="676"/>
      <c r="V43" s="676"/>
      <c r="W43" s="676"/>
      <c r="X43" s="676"/>
      <c r="Y43" s="676"/>
      <c r="Z43" s="676"/>
      <c r="AA43" s="54"/>
      <c r="AB43" s="54"/>
      <c r="AC43" s="54"/>
    </row>
    <row r="44" spans="1:68" ht="16.5" customHeight="1" x14ac:dyDescent="0.25">
      <c r="A44" s="677" t="s">
        <v>124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65"/>
      <c r="AB44" s="65"/>
      <c r="AC44" s="79"/>
    </row>
    <row r="45" spans="1:68" ht="14.25" customHeight="1" x14ac:dyDescent="0.25">
      <c r="A45" s="678" t="s">
        <v>90</v>
      </c>
      <c r="B45" s="678"/>
      <c r="C45" s="678"/>
      <c r="D45" s="678"/>
      <c r="E45" s="678"/>
      <c r="F45" s="678"/>
      <c r="G45" s="678"/>
      <c r="H45" s="678"/>
      <c r="I45" s="678"/>
      <c r="J45" s="678"/>
      <c r="K45" s="678"/>
      <c r="L45" s="678"/>
      <c r="M45" s="678"/>
      <c r="N45" s="678"/>
      <c r="O45" s="678"/>
      <c r="P45" s="678"/>
      <c r="Q45" s="678"/>
      <c r="R45" s="678"/>
      <c r="S45" s="678"/>
      <c r="T45" s="678"/>
      <c r="U45" s="678"/>
      <c r="V45" s="678"/>
      <c r="W45" s="678"/>
      <c r="X45" s="678"/>
      <c r="Y45" s="678"/>
      <c r="Z45" s="678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79">
        <v>4680115888463</v>
      </c>
      <c r="E46" s="679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70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81"/>
      <c r="R46" s="681"/>
      <c r="S46" s="681"/>
      <c r="T46" s="682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79">
        <v>4680115888494</v>
      </c>
      <c r="E47" s="679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70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81"/>
      <c r="R47" s="681"/>
      <c r="S47" s="681"/>
      <c r="T47" s="68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79">
        <v>4680115888272</v>
      </c>
      <c r="E48" s="679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7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81"/>
      <c r="R48" s="681"/>
      <c r="S48" s="681"/>
      <c r="T48" s="68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79">
        <v>4680115888364</v>
      </c>
      <c r="E49" s="679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7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81"/>
      <c r="R49" s="681"/>
      <c r="S49" s="681"/>
      <c r="T49" s="68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88"/>
      <c r="B50" s="688"/>
      <c r="C50" s="688"/>
      <c r="D50" s="688"/>
      <c r="E50" s="688"/>
      <c r="F50" s="688"/>
      <c r="G50" s="688"/>
      <c r="H50" s="688"/>
      <c r="I50" s="688"/>
      <c r="J50" s="688"/>
      <c r="K50" s="688"/>
      <c r="L50" s="688"/>
      <c r="M50" s="688"/>
      <c r="N50" s="688"/>
      <c r="O50" s="689"/>
      <c r="P50" s="685" t="s">
        <v>40</v>
      </c>
      <c r="Q50" s="686"/>
      <c r="R50" s="686"/>
      <c r="S50" s="686"/>
      <c r="T50" s="686"/>
      <c r="U50" s="686"/>
      <c r="V50" s="687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688"/>
      <c r="B51" s="688"/>
      <c r="C51" s="688"/>
      <c r="D51" s="688"/>
      <c r="E51" s="688"/>
      <c r="F51" s="688"/>
      <c r="G51" s="688"/>
      <c r="H51" s="688"/>
      <c r="I51" s="688"/>
      <c r="J51" s="688"/>
      <c r="K51" s="688"/>
      <c r="L51" s="688"/>
      <c r="M51" s="688"/>
      <c r="N51" s="688"/>
      <c r="O51" s="689"/>
      <c r="P51" s="685" t="s">
        <v>40</v>
      </c>
      <c r="Q51" s="686"/>
      <c r="R51" s="686"/>
      <c r="S51" s="686"/>
      <c r="T51" s="686"/>
      <c r="U51" s="686"/>
      <c r="V51" s="687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">
      <c r="A52" s="676" t="s">
        <v>137</v>
      </c>
      <c r="B52" s="676"/>
      <c r="C52" s="676"/>
      <c r="D52" s="676"/>
      <c r="E52" s="676"/>
      <c r="F52" s="676"/>
      <c r="G52" s="676"/>
      <c r="H52" s="676"/>
      <c r="I52" s="676"/>
      <c r="J52" s="676"/>
      <c r="K52" s="676"/>
      <c r="L52" s="676"/>
      <c r="M52" s="676"/>
      <c r="N52" s="676"/>
      <c r="O52" s="676"/>
      <c r="P52" s="676"/>
      <c r="Q52" s="676"/>
      <c r="R52" s="676"/>
      <c r="S52" s="676"/>
      <c r="T52" s="676"/>
      <c r="U52" s="676"/>
      <c r="V52" s="676"/>
      <c r="W52" s="676"/>
      <c r="X52" s="676"/>
      <c r="Y52" s="676"/>
      <c r="Z52" s="676"/>
      <c r="AA52" s="54"/>
      <c r="AB52" s="54"/>
      <c r="AC52" s="54"/>
    </row>
    <row r="53" spans="1:68" ht="16.5" customHeight="1" x14ac:dyDescent="0.25">
      <c r="A53" s="677" t="s">
        <v>138</v>
      </c>
      <c r="B53" s="677"/>
      <c r="C53" s="677"/>
      <c r="D53" s="677"/>
      <c r="E53" s="677"/>
      <c r="F53" s="677"/>
      <c r="G53" s="677"/>
      <c r="H53" s="677"/>
      <c r="I53" s="677"/>
      <c r="J53" s="677"/>
      <c r="K53" s="677"/>
      <c r="L53" s="677"/>
      <c r="M53" s="677"/>
      <c r="N53" s="677"/>
      <c r="O53" s="677"/>
      <c r="P53" s="677"/>
      <c r="Q53" s="677"/>
      <c r="R53" s="677"/>
      <c r="S53" s="677"/>
      <c r="T53" s="677"/>
      <c r="U53" s="677"/>
      <c r="V53" s="677"/>
      <c r="W53" s="677"/>
      <c r="X53" s="677"/>
      <c r="Y53" s="677"/>
      <c r="Z53" s="677"/>
      <c r="AA53" s="65"/>
      <c r="AB53" s="65"/>
      <c r="AC53" s="79"/>
    </row>
    <row r="54" spans="1:68" ht="14.25" customHeight="1" x14ac:dyDescent="0.25">
      <c r="A54" s="678" t="s">
        <v>139</v>
      </c>
      <c r="B54" s="678"/>
      <c r="C54" s="678"/>
      <c r="D54" s="678"/>
      <c r="E54" s="678"/>
      <c r="F54" s="678"/>
      <c r="G54" s="678"/>
      <c r="H54" s="678"/>
      <c r="I54" s="678"/>
      <c r="J54" s="678"/>
      <c r="K54" s="678"/>
      <c r="L54" s="678"/>
      <c r="M54" s="678"/>
      <c r="N54" s="678"/>
      <c r="O54" s="678"/>
      <c r="P54" s="678"/>
      <c r="Q54" s="678"/>
      <c r="R54" s="678"/>
      <c r="S54" s="678"/>
      <c r="T54" s="678"/>
      <c r="U54" s="678"/>
      <c r="V54" s="678"/>
      <c r="W54" s="678"/>
      <c r="X54" s="678"/>
      <c r="Y54" s="678"/>
      <c r="Z54" s="678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79">
        <v>4607091385670</v>
      </c>
      <c r="E55" s="67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81"/>
      <c r="R55" s="681"/>
      <c r="S55" s="681"/>
      <c r="T55" s="682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79">
        <v>4680115887725</v>
      </c>
      <c r="E56" s="679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70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81"/>
      <c r="R56" s="681"/>
      <c r="S56" s="681"/>
      <c r="T56" s="682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79">
        <v>4607091385687</v>
      </c>
      <c r="E57" s="679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7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81"/>
      <c r="R57" s="681"/>
      <c r="S57" s="681"/>
      <c r="T57" s="682"/>
      <c r="U57" s="39" t="s">
        <v>46</v>
      </c>
      <c r="V57" s="39" t="s">
        <v>46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79">
        <v>4680115882539</v>
      </c>
      <c r="E58" s="679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7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81"/>
      <c r="R58" s="681"/>
      <c r="S58" s="681"/>
      <c r="T58" s="682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">
      <c r="A59" s="688"/>
      <c r="B59" s="688"/>
      <c r="C59" s="688"/>
      <c r="D59" s="688"/>
      <c r="E59" s="688"/>
      <c r="F59" s="688"/>
      <c r="G59" s="688"/>
      <c r="H59" s="688"/>
      <c r="I59" s="688"/>
      <c r="J59" s="688"/>
      <c r="K59" s="688"/>
      <c r="L59" s="688"/>
      <c r="M59" s="688"/>
      <c r="N59" s="688"/>
      <c r="O59" s="689"/>
      <c r="P59" s="685" t="s">
        <v>40</v>
      </c>
      <c r="Q59" s="686"/>
      <c r="R59" s="686"/>
      <c r="S59" s="686"/>
      <c r="T59" s="686"/>
      <c r="U59" s="686"/>
      <c r="V59" s="687"/>
      <c r="W59" s="42" t="s">
        <v>39</v>
      </c>
      <c r="X59" s="43">
        <f>IFERROR(X55/H55,"0")+IFERROR(X56/H56,"0")+IFERROR(X57/H57,"0")+IFERROR(X58/H58,"0")</f>
        <v>0</v>
      </c>
      <c r="Y59" s="43">
        <f>IFERROR(Y55/H55,"0")+IFERROR(Y56/H56,"0")+IFERROR(Y57/H57,"0")+IFERROR(Y58/H58,"0")</f>
        <v>0</v>
      </c>
      <c r="Z59" s="43">
        <f>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688"/>
      <c r="B60" s="688"/>
      <c r="C60" s="688"/>
      <c r="D60" s="688"/>
      <c r="E60" s="688"/>
      <c r="F60" s="688"/>
      <c r="G60" s="688"/>
      <c r="H60" s="688"/>
      <c r="I60" s="688"/>
      <c r="J60" s="688"/>
      <c r="K60" s="688"/>
      <c r="L60" s="688"/>
      <c r="M60" s="688"/>
      <c r="N60" s="688"/>
      <c r="O60" s="689"/>
      <c r="P60" s="685" t="s">
        <v>40</v>
      </c>
      <c r="Q60" s="686"/>
      <c r="R60" s="686"/>
      <c r="S60" s="686"/>
      <c r="T60" s="686"/>
      <c r="U60" s="686"/>
      <c r="V60" s="687"/>
      <c r="W60" s="42" t="s">
        <v>0</v>
      </c>
      <c r="X60" s="43">
        <f>IFERROR(SUM(X55:X58),"0")</f>
        <v>0</v>
      </c>
      <c r="Y60" s="43">
        <f>IFERROR(SUM(Y55:Y58),"0")</f>
        <v>0</v>
      </c>
      <c r="Z60" s="42"/>
      <c r="AA60" s="67"/>
      <c r="AB60" s="67"/>
      <c r="AC60" s="67"/>
    </row>
    <row r="61" spans="1:68" ht="16.5" customHeight="1" x14ac:dyDescent="0.25">
      <c r="A61" s="677" t="s">
        <v>154</v>
      </c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7"/>
      <c r="R61" s="677"/>
      <c r="S61" s="677"/>
      <c r="T61" s="677"/>
      <c r="U61" s="677"/>
      <c r="V61" s="677"/>
      <c r="W61" s="677"/>
      <c r="X61" s="677"/>
      <c r="Y61" s="677"/>
      <c r="Z61" s="677"/>
      <c r="AA61" s="65"/>
      <c r="AB61" s="65"/>
      <c r="AC61" s="79"/>
    </row>
    <row r="62" spans="1:68" ht="14.25" customHeight="1" x14ac:dyDescent="0.25">
      <c r="A62" s="678" t="s">
        <v>139</v>
      </c>
      <c r="B62" s="678"/>
      <c r="C62" s="678"/>
      <c r="D62" s="678"/>
      <c r="E62" s="678"/>
      <c r="F62" s="678"/>
      <c r="G62" s="678"/>
      <c r="H62" s="678"/>
      <c r="I62" s="678"/>
      <c r="J62" s="678"/>
      <c r="K62" s="678"/>
      <c r="L62" s="678"/>
      <c r="M62" s="678"/>
      <c r="N62" s="678"/>
      <c r="O62" s="678"/>
      <c r="P62" s="678"/>
      <c r="Q62" s="678"/>
      <c r="R62" s="678"/>
      <c r="S62" s="678"/>
      <c r="T62" s="678"/>
      <c r="U62" s="678"/>
      <c r="V62" s="678"/>
      <c r="W62" s="678"/>
      <c r="X62" s="678"/>
      <c r="Y62" s="678"/>
      <c r="Z62" s="678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79">
        <v>4680115885882</v>
      </c>
      <c r="E63" s="679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7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81"/>
      <c r="R63" s="681"/>
      <c r="S63" s="681"/>
      <c r="T63" s="68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79">
        <v>4680115885882</v>
      </c>
      <c r="E64" s="679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70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81"/>
      <c r="R64" s="681"/>
      <c r="S64" s="681"/>
      <c r="T64" s="68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79">
        <v>4680115881426</v>
      </c>
      <c r="E65" s="67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71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81"/>
      <c r="R65" s="681"/>
      <c r="S65" s="681"/>
      <c r="T65" s="68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79">
        <v>4680115880283</v>
      </c>
      <c r="E66" s="679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71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81"/>
      <c r="R66" s="681"/>
      <c r="S66" s="681"/>
      <c r="T66" s="68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79">
        <v>4680115881525</v>
      </c>
      <c r="E67" s="679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7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81"/>
      <c r="R67" s="681"/>
      <c r="S67" s="681"/>
      <c r="T67" s="682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79">
        <v>4680115885899</v>
      </c>
      <c r="E68" s="679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7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81"/>
      <c r="R68" s="681"/>
      <c r="S68" s="681"/>
      <c r="T68" s="682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79">
        <v>4680115881419</v>
      </c>
      <c r="E69" s="679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7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81"/>
      <c r="R69" s="681"/>
      <c r="S69" s="681"/>
      <c r="T69" s="682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">
      <c r="A70" s="688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9"/>
      <c r="P70" s="685" t="s">
        <v>40</v>
      </c>
      <c r="Q70" s="686"/>
      <c r="R70" s="686"/>
      <c r="S70" s="686"/>
      <c r="T70" s="686"/>
      <c r="U70" s="686"/>
      <c r="V70" s="687"/>
      <c r="W70" s="42" t="s">
        <v>39</v>
      </c>
      <c r="X70" s="43">
        <f>IFERROR(X63/H63,"0")+IFERROR(X64/H64,"0")+IFERROR(X65/H65,"0")+IFERROR(X66/H66,"0")+IFERROR(X67/H67,"0")+IFERROR(X68/H68,"0")+IFERROR(X69/H69,"0")</f>
        <v>0</v>
      </c>
      <c r="Y70" s="43">
        <f>IFERROR(Y63/H63,"0")+IFERROR(Y64/H64,"0")+IFERROR(Y65/H65,"0")+IFERROR(Y66/H66,"0")+IFERROR(Y67/H67,"0")+IFERROR(Y68/H68,"0")+IFERROR(Y69/H69,"0")</f>
        <v>0</v>
      </c>
      <c r="Z70" s="43">
        <f>IFERROR(IF(Z63="",0,Z63),"0")+IFERROR(IF(Z64="",0,Z64),"0")+IFERROR(IF(Z65="",0,Z65),"0")+IFERROR(IF(Z66="",0,Z66),"0")+IFERROR(IF(Z67="",0,Z67),"0")+IFERROR(IF(Z68="",0,Z68),"0")+IFERROR(IF(Z69="",0,Z69),"0")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88"/>
      <c r="B71" s="688"/>
      <c r="C71" s="688"/>
      <c r="D71" s="688"/>
      <c r="E71" s="688"/>
      <c r="F71" s="688"/>
      <c r="G71" s="688"/>
      <c r="H71" s="688"/>
      <c r="I71" s="688"/>
      <c r="J71" s="688"/>
      <c r="K71" s="688"/>
      <c r="L71" s="688"/>
      <c r="M71" s="688"/>
      <c r="N71" s="688"/>
      <c r="O71" s="689"/>
      <c r="P71" s="685" t="s">
        <v>40</v>
      </c>
      <c r="Q71" s="686"/>
      <c r="R71" s="686"/>
      <c r="S71" s="686"/>
      <c r="T71" s="686"/>
      <c r="U71" s="686"/>
      <c r="V71" s="687"/>
      <c r="W71" s="42" t="s">
        <v>0</v>
      </c>
      <c r="X71" s="43">
        <f>IFERROR(SUM(X63:X69),"0")</f>
        <v>0</v>
      </c>
      <c r="Y71" s="43">
        <f>IFERROR(SUM(Y63:Y69),"0")</f>
        <v>0</v>
      </c>
      <c r="Z71" s="42"/>
      <c r="AA71" s="67"/>
      <c r="AB71" s="67"/>
      <c r="AC71" s="67"/>
    </row>
    <row r="72" spans="1:68" ht="14.25" customHeight="1" x14ac:dyDescent="0.25">
      <c r="A72" s="678" t="s">
        <v>174</v>
      </c>
      <c r="B72" s="678"/>
      <c r="C72" s="678"/>
      <c r="D72" s="678"/>
      <c r="E72" s="678"/>
      <c r="F72" s="678"/>
      <c r="G72" s="678"/>
      <c r="H72" s="678"/>
      <c r="I72" s="678"/>
      <c r="J72" s="678"/>
      <c r="K72" s="678"/>
      <c r="L72" s="678"/>
      <c r="M72" s="678"/>
      <c r="N72" s="678"/>
      <c r="O72" s="678"/>
      <c r="P72" s="678"/>
      <c r="Q72" s="678"/>
      <c r="R72" s="678"/>
      <c r="S72" s="678"/>
      <c r="T72" s="678"/>
      <c r="U72" s="678"/>
      <c r="V72" s="678"/>
      <c r="W72" s="678"/>
      <c r="X72" s="678"/>
      <c r="Y72" s="678"/>
      <c r="Z72" s="678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79">
        <v>4680115881440</v>
      </c>
      <c r="E73" s="679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71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81"/>
      <c r="R73" s="681"/>
      <c r="S73" s="681"/>
      <c r="T73" s="68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79">
        <v>4680115885950</v>
      </c>
      <c r="E74" s="679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7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81"/>
      <c r="R74" s="681"/>
      <c r="S74" s="681"/>
      <c r="T74" s="68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79">
        <v>4680115887688</v>
      </c>
      <c r="E75" s="679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71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81"/>
      <c r="R75" s="681"/>
      <c r="S75" s="681"/>
      <c r="T75" s="682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79">
        <v>4680115881433</v>
      </c>
      <c r="E76" s="679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7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81"/>
      <c r="R76" s="681"/>
      <c r="S76" s="681"/>
      <c r="T76" s="682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88"/>
      <c r="B77" s="688"/>
      <c r="C77" s="688"/>
      <c r="D77" s="688"/>
      <c r="E77" s="688"/>
      <c r="F77" s="688"/>
      <c r="G77" s="688"/>
      <c r="H77" s="688"/>
      <c r="I77" s="688"/>
      <c r="J77" s="688"/>
      <c r="K77" s="688"/>
      <c r="L77" s="688"/>
      <c r="M77" s="688"/>
      <c r="N77" s="688"/>
      <c r="O77" s="689"/>
      <c r="P77" s="685" t="s">
        <v>40</v>
      </c>
      <c r="Q77" s="686"/>
      <c r="R77" s="686"/>
      <c r="S77" s="686"/>
      <c r="T77" s="686"/>
      <c r="U77" s="686"/>
      <c r="V77" s="687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88"/>
      <c r="B78" s="688"/>
      <c r="C78" s="688"/>
      <c r="D78" s="688"/>
      <c r="E78" s="688"/>
      <c r="F78" s="688"/>
      <c r="G78" s="688"/>
      <c r="H78" s="688"/>
      <c r="I78" s="688"/>
      <c r="J78" s="688"/>
      <c r="K78" s="688"/>
      <c r="L78" s="688"/>
      <c r="M78" s="688"/>
      <c r="N78" s="688"/>
      <c r="O78" s="689"/>
      <c r="P78" s="685" t="s">
        <v>40</v>
      </c>
      <c r="Q78" s="686"/>
      <c r="R78" s="686"/>
      <c r="S78" s="686"/>
      <c r="T78" s="686"/>
      <c r="U78" s="686"/>
      <c r="V78" s="687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78" t="s">
        <v>90</v>
      </c>
      <c r="B79" s="678"/>
      <c r="C79" s="678"/>
      <c r="D79" s="678"/>
      <c r="E79" s="678"/>
      <c r="F79" s="678"/>
      <c r="G79" s="678"/>
      <c r="H79" s="678"/>
      <c r="I79" s="678"/>
      <c r="J79" s="678"/>
      <c r="K79" s="678"/>
      <c r="L79" s="678"/>
      <c r="M79" s="678"/>
      <c r="N79" s="678"/>
      <c r="O79" s="678"/>
      <c r="P79" s="678"/>
      <c r="Q79" s="678"/>
      <c r="R79" s="678"/>
      <c r="S79" s="678"/>
      <c r="T79" s="678"/>
      <c r="U79" s="678"/>
      <c r="V79" s="678"/>
      <c r="W79" s="678"/>
      <c r="X79" s="678"/>
      <c r="Y79" s="678"/>
      <c r="Z79" s="678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79">
        <v>4680115884311</v>
      </c>
      <c r="E80" s="679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71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81"/>
      <c r="R80" s="681"/>
      <c r="S80" s="681"/>
      <c r="T80" s="68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IFERROR(IF(Y80=0,"",ROUNDUP(Y80/H80,0)*0.00651),"")</f>
        <v/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79">
        <v>4680115884403</v>
      </c>
      <c r="E81" s="679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72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81"/>
      <c r="R81" s="681"/>
      <c r="S81" s="681"/>
      <c r="T81" s="682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IFERROR(IF(Y81=0,"",ROUNDUP(Y81/H81,0)*0.00651),"")</f>
        <v/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88"/>
      <c r="B82" s="688"/>
      <c r="C82" s="688"/>
      <c r="D82" s="688"/>
      <c r="E82" s="688"/>
      <c r="F82" s="688"/>
      <c r="G82" s="688"/>
      <c r="H82" s="688"/>
      <c r="I82" s="688"/>
      <c r="J82" s="688"/>
      <c r="K82" s="688"/>
      <c r="L82" s="688"/>
      <c r="M82" s="688"/>
      <c r="N82" s="688"/>
      <c r="O82" s="689"/>
      <c r="P82" s="685" t="s">
        <v>40</v>
      </c>
      <c r="Q82" s="686"/>
      <c r="R82" s="686"/>
      <c r="S82" s="686"/>
      <c r="T82" s="686"/>
      <c r="U82" s="686"/>
      <c r="V82" s="687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88"/>
      <c r="B83" s="688"/>
      <c r="C83" s="688"/>
      <c r="D83" s="688"/>
      <c r="E83" s="688"/>
      <c r="F83" s="688"/>
      <c r="G83" s="688"/>
      <c r="H83" s="688"/>
      <c r="I83" s="688"/>
      <c r="J83" s="688"/>
      <c r="K83" s="688"/>
      <c r="L83" s="688"/>
      <c r="M83" s="688"/>
      <c r="N83" s="688"/>
      <c r="O83" s="689"/>
      <c r="P83" s="685" t="s">
        <v>40</v>
      </c>
      <c r="Q83" s="686"/>
      <c r="R83" s="686"/>
      <c r="S83" s="686"/>
      <c r="T83" s="686"/>
      <c r="U83" s="686"/>
      <c r="V83" s="687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4.25" customHeight="1" x14ac:dyDescent="0.25">
      <c r="A84" s="678" t="s">
        <v>191</v>
      </c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8"/>
      <c r="P84" s="678"/>
      <c r="Q84" s="678"/>
      <c r="R84" s="678"/>
      <c r="S84" s="678"/>
      <c r="T84" s="678"/>
      <c r="U84" s="678"/>
      <c r="V84" s="678"/>
      <c r="W84" s="678"/>
      <c r="X84" s="678"/>
      <c r="Y84" s="678"/>
      <c r="Z84" s="678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79">
        <v>4680115881532</v>
      </c>
      <c r="E85" s="679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7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81"/>
      <c r="R85" s="681"/>
      <c r="S85" s="681"/>
      <c r="T85" s="68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79">
        <v>4680115881464</v>
      </c>
      <c r="E86" s="679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81"/>
      <c r="R86" s="681"/>
      <c r="S86" s="681"/>
      <c r="T86" s="68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88"/>
      <c r="B87" s="688"/>
      <c r="C87" s="688"/>
      <c r="D87" s="688"/>
      <c r="E87" s="688"/>
      <c r="F87" s="688"/>
      <c r="G87" s="688"/>
      <c r="H87" s="688"/>
      <c r="I87" s="688"/>
      <c r="J87" s="688"/>
      <c r="K87" s="688"/>
      <c r="L87" s="688"/>
      <c r="M87" s="688"/>
      <c r="N87" s="688"/>
      <c r="O87" s="689"/>
      <c r="P87" s="685" t="s">
        <v>40</v>
      </c>
      <c r="Q87" s="686"/>
      <c r="R87" s="686"/>
      <c r="S87" s="686"/>
      <c r="T87" s="686"/>
      <c r="U87" s="686"/>
      <c r="V87" s="687"/>
      <c r="W87" s="42" t="s">
        <v>39</v>
      </c>
      <c r="X87" s="43">
        <f>IFERROR(X85/H85,"0")+IFERROR(X86/H86,"0")</f>
        <v>0</v>
      </c>
      <c r="Y87" s="43">
        <f>IFERROR(Y85/H85,"0")+IFERROR(Y86/H86,"0")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688"/>
      <c r="B88" s="688"/>
      <c r="C88" s="688"/>
      <c r="D88" s="688"/>
      <c r="E88" s="688"/>
      <c r="F88" s="688"/>
      <c r="G88" s="688"/>
      <c r="H88" s="688"/>
      <c r="I88" s="688"/>
      <c r="J88" s="688"/>
      <c r="K88" s="688"/>
      <c r="L88" s="688"/>
      <c r="M88" s="688"/>
      <c r="N88" s="688"/>
      <c r="O88" s="689"/>
      <c r="P88" s="685" t="s">
        <v>40</v>
      </c>
      <c r="Q88" s="686"/>
      <c r="R88" s="686"/>
      <c r="S88" s="686"/>
      <c r="T88" s="686"/>
      <c r="U88" s="686"/>
      <c r="V88" s="687"/>
      <c r="W88" s="42" t="s">
        <v>0</v>
      </c>
      <c r="X88" s="43">
        <f>IFERROR(SUM(X85:X86),"0")</f>
        <v>0</v>
      </c>
      <c r="Y88" s="43">
        <f>IFERROR(SUM(Y85:Y86),"0")</f>
        <v>0</v>
      </c>
      <c r="Z88" s="42"/>
      <c r="AA88" s="67"/>
      <c r="AB88" s="67"/>
      <c r="AC88" s="67"/>
    </row>
    <row r="89" spans="1:68" ht="16.5" customHeight="1" x14ac:dyDescent="0.25">
      <c r="A89" s="677" t="s">
        <v>198</v>
      </c>
      <c r="B89" s="677"/>
      <c r="C89" s="677"/>
      <c r="D89" s="677"/>
      <c r="E89" s="677"/>
      <c r="F89" s="677"/>
      <c r="G89" s="677"/>
      <c r="H89" s="677"/>
      <c r="I89" s="677"/>
      <c r="J89" s="677"/>
      <c r="K89" s="677"/>
      <c r="L89" s="677"/>
      <c r="M89" s="677"/>
      <c r="N89" s="677"/>
      <c r="O89" s="677"/>
      <c r="P89" s="677"/>
      <c r="Q89" s="677"/>
      <c r="R89" s="677"/>
      <c r="S89" s="677"/>
      <c r="T89" s="677"/>
      <c r="U89" s="677"/>
      <c r="V89" s="677"/>
      <c r="W89" s="677"/>
      <c r="X89" s="677"/>
      <c r="Y89" s="677"/>
      <c r="Z89" s="677"/>
      <c r="AA89" s="65"/>
      <c r="AB89" s="65"/>
      <c r="AC89" s="79"/>
    </row>
    <row r="90" spans="1:68" ht="14.25" customHeight="1" x14ac:dyDescent="0.25">
      <c r="A90" s="678" t="s">
        <v>139</v>
      </c>
      <c r="B90" s="678"/>
      <c r="C90" s="678"/>
      <c r="D90" s="678"/>
      <c r="E90" s="678"/>
      <c r="F90" s="678"/>
      <c r="G90" s="678"/>
      <c r="H90" s="678"/>
      <c r="I90" s="678"/>
      <c r="J90" s="678"/>
      <c r="K90" s="678"/>
      <c r="L90" s="678"/>
      <c r="M90" s="678"/>
      <c r="N90" s="678"/>
      <c r="O90" s="678"/>
      <c r="P90" s="678"/>
      <c r="Q90" s="678"/>
      <c r="R90" s="678"/>
      <c r="S90" s="678"/>
      <c r="T90" s="678"/>
      <c r="U90" s="678"/>
      <c r="V90" s="678"/>
      <c r="W90" s="678"/>
      <c r="X90" s="678"/>
      <c r="Y90" s="678"/>
      <c r="Z90" s="678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79">
        <v>4680115881327</v>
      </c>
      <c r="E91" s="679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72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81"/>
      <c r="R91" s="681"/>
      <c r="S91" s="681"/>
      <c r="T91" s="68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79">
        <v>4680115887732</v>
      </c>
      <c r="E92" s="679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72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81"/>
      <c r="R92" s="681"/>
      <c r="S92" s="681"/>
      <c r="T92" s="682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IFERROR(IF(Y92=0,"",ROUNDUP(Y92/H92,0)*0.00726),"")</f>
        <v/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79">
        <v>4680115881518</v>
      </c>
      <c r="E93" s="679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7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81"/>
      <c r="R93" s="681"/>
      <c r="S93" s="681"/>
      <c r="T93" s="68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79">
        <v>4680115881303</v>
      </c>
      <c r="E94" s="679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72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81"/>
      <c r="R94" s="681"/>
      <c r="S94" s="681"/>
      <c r="T94" s="68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88"/>
      <c r="B95" s="688"/>
      <c r="C95" s="688"/>
      <c r="D95" s="688"/>
      <c r="E95" s="688"/>
      <c r="F95" s="688"/>
      <c r="G95" s="688"/>
      <c r="H95" s="688"/>
      <c r="I95" s="688"/>
      <c r="J95" s="688"/>
      <c r="K95" s="688"/>
      <c r="L95" s="688"/>
      <c r="M95" s="688"/>
      <c r="N95" s="688"/>
      <c r="O95" s="689"/>
      <c r="P95" s="685" t="s">
        <v>40</v>
      </c>
      <c r="Q95" s="686"/>
      <c r="R95" s="686"/>
      <c r="S95" s="686"/>
      <c r="T95" s="686"/>
      <c r="U95" s="686"/>
      <c r="V95" s="68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88"/>
      <c r="B96" s="688"/>
      <c r="C96" s="688"/>
      <c r="D96" s="688"/>
      <c r="E96" s="688"/>
      <c r="F96" s="688"/>
      <c r="G96" s="688"/>
      <c r="H96" s="688"/>
      <c r="I96" s="688"/>
      <c r="J96" s="688"/>
      <c r="K96" s="688"/>
      <c r="L96" s="688"/>
      <c r="M96" s="688"/>
      <c r="N96" s="688"/>
      <c r="O96" s="689"/>
      <c r="P96" s="685" t="s">
        <v>40</v>
      </c>
      <c r="Q96" s="686"/>
      <c r="R96" s="686"/>
      <c r="S96" s="686"/>
      <c r="T96" s="686"/>
      <c r="U96" s="686"/>
      <c r="V96" s="68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4.25" customHeight="1" x14ac:dyDescent="0.25">
      <c r="A97" s="678" t="s">
        <v>90</v>
      </c>
      <c r="B97" s="678"/>
      <c r="C97" s="678"/>
      <c r="D97" s="678"/>
      <c r="E97" s="678"/>
      <c r="F97" s="678"/>
      <c r="G97" s="678"/>
      <c r="H97" s="678"/>
      <c r="I97" s="678"/>
      <c r="J97" s="678"/>
      <c r="K97" s="678"/>
      <c r="L97" s="678"/>
      <c r="M97" s="678"/>
      <c r="N97" s="678"/>
      <c r="O97" s="678"/>
      <c r="P97" s="678"/>
      <c r="Q97" s="678"/>
      <c r="R97" s="678"/>
      <c r="S97" s="678"/>
      <c r="T97" s="678"/>
      <c r="U97" s="678"/>
      <c r="V97" s="678"/>
      <c r="W97" s="678"/>
      <c r="X97" s="678"/>
      <c r="Y97" s="678"/>
      <c r="Z97" s="678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79">
        <v>4607091386967</v>
      </c>
      <c r="E98" s="679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72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81"/>
      <c r="R98" s="681"/>
      <c r="S98" s="681"/>
      <c r="T98" s="68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79">
        <v>4680115884953</v>
      </c>
      <c r="E99" s="679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7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81"/>
      <c r="R99" s="681"/>
      <c r="S99" s="681"/>
      <c r="T99" s="682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79">
        <v>4607091385731</v>
      </c>
      <c r="E100" s="679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81"/>
      <c r="R100" s="681"/>
      <c r="S100" s="681"/>
      <c r="T100" s="682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79">
        <v>4680115880894</v>
      </c>
      <c r="E101" s="679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7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81"/>
      <c r="R101" s="681"/>
      <c r="S101" s="681"/>
      <c r="T101" s="682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88"/>
      <c r="B102" s="688"/>
      <c r="C102" s="688"/>
      <c r="D102" s="688"/>
      <c r="E102" s="688"/>
      <c r="F102" s="688"/>
      <c r="G102" s="688"/>
      <c r="H102" s="688"/>
      <c r="I102" s="688"/>
      <c r="J102" s="688"/>
      <c r="K102" s="688"/>
      <c r="L102" s="688"/>
      <c r="M102" s="688"/>
      <c r="N102" s="688"/>
      <c r="O102" s="689"/>
      <c r="P102" s="685" t="s">
        <v>40</v>
      </c>
      <c r="Q102" s="686"/>
      <c r="R102" s="686"/>
      <c r="S102" s="686"/>
      <c r="T102" s="686"/>
      <c r="U102" s="686"/>
      <c r="V102" s="68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688"/>
      <c r="B103" s="688"/>
      <c r="C103" s="688"/>
      <c r="D103" s="688"/>
      <c r="E103" s="688"/>
      <c r="F103" s="688"/>
      <c r="G103" s="688"/>
      <c r="H103" s="688"/>
      <c r="I103" s="688"/>
      <c r="J103" s="688"/>
      <c r="K103" s="688"/>
      <c r="L103" s="688"/>
      <c r="M103" s="688"/>
      <c r="N103" s="688"/>
      <c r="O103" s="689"/>
      <c r="P103" s="685" t="s">
        <v>40</v>
      </c>
      <c r="Q103" s="686"/>
      <c r="R103" s="686"/>
      <c r="S103" s="686"/>
      <c r="T103" s="686"/>
      <c r="U103" s="686"/>
      <c r="V103" s="68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77" t="s">
        <v>219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5"/>
      <c r="AB104" s="65"/>
      <c r="AC104" s="79"/>
    </row>
    <row r="105" spans="1:68" ht="14.25" customHeight="1" x14ac:dyDescent="0.25">
      <c r="A105" s="678" t="s">
        <v>139</v>
      </c>
      <c r="B105" s="678"/>
      <c r="C105" s="678"/>
      <c r="D105" s="678"/>
      <c r="E105" s="678"/>
      <c r="F105" s="678"/>
      <c r="G105" s="678"/>
      <c r="H105" s="678"/>
      <c r="I105" s="678"/>
      <c r="J105" s="678"/>
      <c r="K105" s="678"/>
      <c r="L105" s="678"/>
      <c r="M105" s="678"/>
      <c r="N105" s="678"/>
      <c r="O105" s="678"/>
      <c r="P105" s="678"/>
      <c r="Q105" s="678"/>
      <c r="R105" s="678"/>
      <c r="S105" s="678"/>
      <c r="T105" s="678"/>
      <c r="U105" s="678"/>
      <c r="V105" s="678"/>
      <c r="W105" s="678"/>
      <c r="X105" s="678"/>
      <c r="Y105" s="678"/>
      <c r="Z105" s="678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79">
        <v>4680115882133</v>
      </c>
      <c r="E106" s="67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1"/>
      <c r="R106" s="681"/>
      <c r="S106" s="681"/>
      <c r="T106" s="68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79">
        <v>4680115887718</v>
      </c>
      <c r="E107" s="679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73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81"/>
      <c r="R107" s="681"/>
      <c r="S107" s="681"/>
      <c r="T107" s="68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79">
        <v>4680115887718</v>
      </c>
      <c r="E108" s="679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81"/>
      <c r="R108" s="681"/>
      <c r="S108" s="681"/>
      <c r="T108" s="68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79">
        <v>4680115887749</v>
      </c>
      <c r="E109" s="679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73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81"/>
      <c r="R109" s="681"/>
      <c r="S109" s="681"/>
      <c r="T109" s="682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79">
        <v>4680115880269</v>
      </c>
      <c r="E110" s="679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7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81"/>
      <c r="R110" s="681"/>
      <c r="S110" s="681"/>
      <c r="T110" s="682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79">
        <v>4680115880429</v>
      </c>
      <c r="E111" s="679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73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81"/>
      <c r="R111" s="681"/>
      <c r="S111" s="681"/>
      <c r="T111" s="682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79">
        <v>4680115881457</v>
      </c>
      <c r="E112" s="679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7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81"/>
      <c r="R112" s="681"/>
      <c r="S112" s="681"/>
      <c r="T112" s="682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">
      <c r="A113" s="688"/>
      <c r="B113" s="688"/>
      <c r="C113" s="688"/>
      <c r="D113" s="688"/>
      <c r="E113" s="688"/>
      <c r="F113" s="688"/>
      <c r="G113" s="688"/>
      <c r="H113" s="688"/>
      <c r="I113" s="688"/>
      <c r="J113" s="688"/>
      <c r="K113" s="688"/>
      <c r="L113" s="688"/>
      <c r="M113" s="688"/>
      <c r="N113" s="688"/>
      <c r="O113" s="689"/>
      <c r="P113" s="685" t="s">
        <v>40</v>
      </c>
      <c r="Q113" s="686"/>
      <c r="R113" s="686"/>
      <c r="S113" s="686"/>
      <c r="T113" s="686"/>
      <c r="U113" s="686"/>
      <c r="V113" s="68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88"/>
      <c r="B114" s="688"/>
      <c r="C114" s="688"/>
      <c r="D114" s="688"/>
      <c r="E114" s="688"/>
      <c r="F114" s="688"/>
      <c r="G114" s="688"/>
      <c r="H114" s="688"/>
      <c r="I114" s="688"/>
      <c r="J114" s="688"/>
      <c r="K114" s="688"/>
      <c r="L114" s="688"/>
      <c r="M114" s="688"/>
      <c r="N114" s="688"/>
      <c r="O114" s="689"/>
      <c r="P114" s="685" t="s">
        <v>40</v>
      </c>
      <c r="Q114" s="686"/>
      <c r="R114" s="686"/>
      <c r="S114" s="686"/>
      <c r="T114" s="686"/>
      <c r="U114" s="686"/>
      <c r="V114" s="68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78" t="s">
        <v>174</v>
      </c>
      <c r="B115" s="678"/>
      <c r="C115" s="678"/>
      <c r="D115" s="678"/>
      <c r="E115" s="678"/>
      <c r="F115" s="678"/>
      <c r="G115" s="678"/>
      <c r="H115" s="678"/>
      <c r="I115" s="678"/>
      <c r="J115" s="678"/>
      <c r="K115" s="678"/>
      <c r="L115" s="678"/>
      <c r="M115" s="678"/>
      <c r="N115" s="678"/>
      <c r="O115" s="678"/>
      <c r="P115" s="678"/>
      <c r="Q115" s="678"/>
      <c r="R115" s="678"/>
      <c r="S115" s="678"/>
      <c r="T115" s="678"/>
      <c r="U115" s="678"/>
      <c r="V115" s="678"/>
      <c r="W115" s="678"/>
      <c r="X115" s="678"/>
      <c r="Y115" s="678"/>
      <c r="Z115" s="678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79">
        <v>4680115881488</v>
      </c>
      <c r="E116" s="679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73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81"/>
      <c r="R116" s="681"/>
      <c r="S116" s="681"/>
      <c r="T116" s="68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79">
        <v>4680115887664</v>
      </c>
      <c r="E117" s="679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81"/>
      <c r="R117" s="681"/>
      <c r="S117" s="681"/>
      <c r="T117" s="682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79">
        <v>4680115887664</v>
      </c>
      <c r="E118" s="679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74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81"/>
      <c r="R118" s="681"/>
      <c r="S118" s="681"/>
      <c r="T118" s="68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79">
        <v>4680115882775</v>
      </c>
      <c r="E119" s="679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74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81"/>
      <c r="R119" s="681"/>
      <c r="S119" s="681"/>
      <c r="T119" s="68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79">
        <v>4680115880658</v>
      </c>
      <c r="E120" s="679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74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81"/>
      <c r="R120" s="681"/>
      <c r="S120" s="681"/>
      <c r="T120" s="68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88"/>
      <c r="B121" s="688"/>
      <c r="C121" s="688"/>
      <c r="D121" s="688"/>
      <c r="E121" s="688"/>
      <c r="F121" s="688"/>
      <c r="G121" s="688"/>
      <c r="H121" s="688"/>
      <c r="I121" s="688"/>
      <c r="J121" s="688"/>
      <c r="K121" s="688"/>
      <c r="L121" s="688"/>
      <c r="M121" s="688"/>
      <c r="N121" s="688"/>
      <c r="O121" s="689"/>
      <c r="P121" s="685" t="s">
        <v>40</v>
      </c>
      <c r="Q121" s="686"/>
      <c r="R121" s="686"/>
      <c r="S121" s="686"/>
      <c r="T121" s="686"/>
      <c r="U121" s="686"/>
      <c r="V121" s="68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88"/>
      <c r="B122" s="688"/>
      <c r="C122" s="688"/>
      <c r="D122" s="688"/>
      <c r="E122" s="688"/>
      <c r="F122" s="688"/>
      <c r="G122" s="688"/>
      <c r="H122" s="688"/>
      <c r="I122" s="688"/>
      <c r="J122" s="688"/>
      <c r="K122" s="688"/>
      <c r="L122" s="688"/>
      <c r="M122" s="688"/>
      <c r="N122" s="688"/>
      <c r="O122" s="689"/>
      <c r="P122" s="685" t="s">
        <v>40</v>
      </c>
      <c r="Q122" s="686"/>
      <c r="R122" s="686"/>
      <c r="S122" s="686"/>
      <c r="T122" s="686"/>
      <c r="U122" s="686"/>
      <c r="V122" s="68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78" t="s">
        <v>90</v>
      </c>
      <c r="B123" s="678"/>
      <c r="C123" s="678"/>
      <c r="D123" s="678"/>
      <c r="E123" s="678"/>
      <c r="F123" s="678"/>
      <c r="G123" s="678"/>
      <c r="H123" s="678"/>
      <c r="I123" s="678"/>
      <c r="J123" s="678"/>
      <c r="K123" s="678"/>
      <c r="L123" s="678"/>
      <c r="M123" s="678"/>
      <c r="N123" s="678"/>
      <c r="O123" s="678"/>
      <c r="P123" s="678"/>
      <c r="Q123" s="678"/>
      <c r="R123" s="678"/>
      <c r="S123" s="678"/>
      <c r="T123" s="678"/>
      <c r="U123" s="678"/>
      <c r="V123" s="678"/>
      <c r="W123" s="678"/>
      <c r="X123" s="678"/>
      <c r="Y123" s="678"/>
      <c r="Z123" s="678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79">
        <v>4607091385168</v>
      </c>
      <c r="E124" s="679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7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81"/>
      <c r="R124" s="681"/>
      <c r="S124" s="681"/>
      <c r="T124" s="682"/>
      <c r="U124" s="39" t="s">
        <v>46</v>
      </c>
      <c r="V124" s="39" t="s">
        <v>46</v>
      </c>
      <c r="W124" s="40" t="s">
        <v>0</v>
      </c>
      <c r="X124" s="58">
        <v>220</v>
      </c>
      <c r="Y124" s="55">
        <f>IFERROR(IF(X124="",0,CEILING((X124/$H124),1)*$H124),"")</f>
        <v>226.79999999999998</v>
      </c>
      <c r="Z124" s="41">
        <f>IFERROR(IF(Y124=0,"",ROUNDUP(Y124/H124,0)*0.01898),"")</f>
        <v>0.53144000000000002</v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233.25432098765432</v>
      </c>
      <c r="BN124" s="78">
        <f>IFERROR(Y124*I124/H124,"0")</f>
        <v>240.46399999999997</v>
      </c>
      <c r="BO124" s="78">
        <f>IFERROR(1/J124*(X124/H124),"0")</f>
        <v>0.42438271604938271</v>
      </c>
      <c r="BP124" s="78">
        <f>IFERROR(1/J124*(Y124/H124),"0")</f>
        <v>0.4375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79">
        <v>4607091383256</v>
      </c>
      <c r="E125" s="679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81"/>
      <c r="R125" s="681"/>
      <c r="S125" s="681"/>
      <c r="T125" s="68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79">
        <v>4607091385748</v>
      </c>
      <c r="E126" s="679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74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81"/>
      <c r="R126" s="681"/>
      <c r="S126" s="681"/>
      <c r="T126" s="682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79">
        <v>4680115884533</v>
      </c>
      <c r="E127" s="679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7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81"/>
      <c r="R127" s="681"/>
      <c r="S127" s="681"/>
      <c r="T127" s="68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88"/>
      <c r="B128" s="688"/>
      <c r="C128" s="688"/>
      <c r="D128" s="688"/>
      <c r="E128" s="688"/>
      <c r="F128" s="688"/>
      <c r="G128" s="688"/>
      <c r="H128" s="688"/>
      <c r="I128" s="688"/>
      <c r="J128" s="688"/>
      <c r="K128" s="688"/>
      <c r="L128" s="688"/>
      <c r="M128" s="688"/>
      <c r="N128" s="688"/>
      <c r="O128" s="689"/>
      <c r="P128" s="685" t="s">
        <v>40</v>
      </c>
      <c r="Q128" s="686"/>
      <c r="R128" s="686"/>
      <c r="S128" s="686"/>
      <c r="T128" s="686"/>
      <c r="U128" s="686"/>
      <c r="V128" s="687"/>
      <c r="W128" s="42" t="s">
        <v>39</v>
      </c>
      <c r="X128" s="43">
        <f>IFERROR(X124/H124,"0")+IFERROR(X125/H125,"0")+IFERROR(X126/H126,"0")+IFERROR(X127/H127,"0")</f>
        <v>27.160493827160494</v>
      </c>
      <c r="Y128" s="43">
        <f>IFERROR(Y124/H124,"0")+IFERROR(Y125/H125,"0")+IFERROR(Y126/H126,"0")+IFERROR(Y127/H127,"0")</f>
        <v>28</v>
      </c>
      <c r="Z128" s="43">
        <f>IFERROR(IF(Z124="",0,Z124),"0")+IFERROR(IF(Z125="",0,Z125),"0")+IFERROR(IF(Z126="",0,Z126),"0")+IFERROR(IF(Z127="",0,Z127),"0")</f>
        <v>0.53144000000000002</v>
      </c>
      <c r="AA128" s="67"/>
      <c r="AB128" s="67"/>
      <c r="AC128" s="67"/>
    </row>
    <row r="129" spans="1:68" x14ac:dyDescent="0.2">
      <c r="A129" s="688"/>
      <c r="B129" s="688"/>
      <c r="C129" s="688"/>
      <c r="D129" s="688"/>
      <c r="E129" s="688"/>
      <c r="F129" s="688"/>
      <c r="G129" s="688"/>
      <c r="H129" s="688"/>
      <c r="I129" s="688"/>
      <c r="J129" s="688"/>
      <c r="K129" s="688"/>
      <c r="L129" s="688"/>
      <c r="M129" s="688"/>
      <c r="N129" s="688"/>
      <c r="O129" s="689"/>
      <c r="P129" s="685" t="s">
        <v>40</v>
      </c>
      <c r="Q129" s="686"/>
      <c r="R129" s="686"/>
      <c r="S129" s="686"/>
      <c r="T129" s="686"/>
      <c r="U129" s="686"/>
      <c r="V129" s="687"/>
      <c r="W129" s="42" t="s">
        <v>0</v>
      </c>
      <c r="X129" s="43">
        <f>IFERROR(SUM(X124:X127),"0")</f>
        <v>220</v>
      </c>
      <c r="Y129" s="43">
        <f>IFERROR(SUM(Y124:Y127),"0")</f>
        <v>226.79999999999998</v>
      </c>
      <c r="Z129" s="42"/>
      <c r="AA129" s="67"/>
      <c r="AB129" s="67"/>
      <c r="AC129" s="67"/>
    </row>
    <row r="130" spans="1:68" ht="14.25" customHeight="1" x14ac:dyDescent="0.25">
      <c r="A130" s="678" t="s">
        <v>191</v>
      </c>
      <c r="B130" s="678"/>
      <c r="C130" s="678"/>
      <c r="D130" s="678"/>
      <c r="E130" s="678"/>
      <c r="F130" s="678"/>
      <c r="G130" s="678"/>
      <c r="H130" s="678"/>
      <c r="I130" s="678"/>
      <c r="J130" s="678"/>
      <c r="K130" s="678"/>
      <c r="L130" s="678"/>
      <c r="M130" s="678"/>
      <c r="N130" s="678"/>
      <c r="O130" s="678"/>
      <c r="P130" s="678"/>
      <c r="Q130" s="678"/>
      <c r="R130" s="678"/>
      <c r="S130" s="678"/>
      <c r="T130" s="678"/>
      <c r="U130" s="678"/>
      <c r="V130" s="678"/>
      <c r="W130" s="678"/>
      <c r="X130" s="678"/>
      <c r="Y130" s="678"/>
      <c r="Z130" s="678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79">
        <v>4680115880238</v>
      </c>
      <c r="E131" s="679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74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1"/>
      <c r="R131" s="681"/>
      <c r="S131" s="681"/>
      <c r="T131" s="68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88"/>
      <c r="B132" s="688"/>
      <c r="C132" s="688"/>
      <c r="D132" s="688"/>
      <c r="E132" s="688"/>
      <c r="F132" s="688"/>
      <c r="G132" s="688"/>
      <c r="H132" s="688"/>
      <c r="I132" s="688"/>
      <c r="J132" s="688"/>
      <c r="K132" s="688"/>
      <c r="L132" s="688"/>
      <c r="M132" s="688"/>
      <c r="N132" s="688"/>
      <c r="O132" s="689"/>
      <c r="P132" s="685" t="s">
        <v>40</v>
      </c>
      <c r="Q132" s="686"/>
      <c r="R132" s="686"/>
      <c r="S132" s="686"/>
      <c r="T132" s="686"/>
      <c r="U132" s="686"/>
      <c r="V132" s="68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">
      <c r="A133" s="688"/>
      <c r="B133" s="688"/>
      <c r="C133" s="688"/>
      <c r="D133" s="688"/>
      <c r="E133" s="688"/>
      <c r="F133" s="688"/>
      <c r="G133" s="688"/>
      <c r="H133" s="688"/>
      <c r="I133" s="688"/>
      <c r="J133" s="688"/>
      <c r="K133" s="688"/>
      <c r="L133" s="688"/>
      <c r="M133" s="688"/>
      <c r="N133" s="688"/>
      <c r="O133" s="689"/>
      <c r="P133" s="685" t="s">
        <v>40</v>
      </c>
      <c r="Q133" s="686"/>
      <c r="R133" s="686"/>
      <c r="S133" s="686"/>
      <c r="T133" s="686"/>
      <c r="U133" s="686"/>
      <c r="V133" s="68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77" t="s">
        <v>261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5"/>
      <c r="AB134" s="65"/>
      <c r="AC134" s="79"/>
    </row>
    <row r="135" spans="1:68" ht="14.25" customHeight="1" x14ac:dyDescent="0.25">
      <c r="A135" s="678" t="s">
        <v>139</v>
      </c>
      <c r="B135" s="678"/>
      <c r="C135" s="678"/>
      <c r="D135" s="678"/>
      <c r="E135" s="678"/>
      <c r="F135" s="678"/>
      <c r="G135" s="678"/>
      <c r="H135" s="678"/>
      <c r="I135" s="678"/>
      <c r="J135" s="678"/>
      <c r="K135" s="678"/>
      <c r="L135" s="678"/>
      <c r="M135" s="678"/>
      <c r="N135" s="678"/>
      <c r="O135" s="678"/>
      <c r="P135" s="678"/>
      <c r="Q135" s="678"/>
      <c r="R135" s="678"/>
      <c r="S135" s="678"/>
      <c r="T135" s="678"/>
      <c r="U135" s="678"/>
      <c r="V135" s="678"/>
      <c r="W135" s="678"/>
      <c r="X135" s="678"/>
      <c r="Y135" s="678"/>
      <c r="Z135" s="678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79">
        <v>4680115882577</v>
      </c>
      <c r="E136" s="679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81"/>
      <c r="R136" s="681"/>
      <c r="S136" s="681"/>
      <c r="T136" s="68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79">
        <v>4680115882577</v>
      </c>
      <c r="E137" s="679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74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1"/>
      <c r="R137" s="681"/>
      <c r="S137" s="681"/>
      <c r="T137" s="68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88"/>
      <c r="B138" s="688"/>
      <c r="C138" s="688"/>
      <c r="D138" s="688"/>
      <c r="E138" s="688"/>
      <c r="F138" s="688"/>
      <c r="G138" s="688"/>
      <c r="H138" s="688"/>
      <c r="I138" s="688"/>
      <c r="J138" s="688"/>
      <c r="K138" s="688"/>
      <c r="L138" s="688"/>
      <c r="M138" s="688"/>
      <c r="N138" s="688"/>
      <c r="O138" s="689"/>
      <c r="P138" s="685" t="s">
        <v>40</v>
      </c>
      <c r="Q138" s="686"/>
      <c r="R138" s="686"/>
      <c r="S138" s="686"/>
      <c r="T138" s="686"/>
      <c r="U138" s="686"/>
      <c r="V138" s="68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88"/>
      <c r="B139" s="688"/>
      <c r="C139" s="688"/>
      <c r="D139" s="688"/>
      <c r="E139" s="688"/>
      <c r="F139" s="688"/>
      <c r="G139" s="688"/>
      <c r="H139" s="688"/>
      <c r="I139" s="688"/>
      <c r="J139" s="688"/>
      <c r="K139" s="688"/>
      <c r="L139" s="688"/>
      <c r="M139" s="688"/>
      <c r="N139" s="688"/>
      <c r="O139" s="689"/>
      <c r="P139" s="685" t="s">
        <v>40</v>
      </c>
      <c r="Q139" s="686"/>
      <c r="R139" s="686"/>
      <c r="S139" s="686"/>
      <c r="T139" s="686"/>
      <c r="U139" s="686"/>
      <c r="V139" s="68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78" t="s">
        <v>77</v>
      </c>
      <c r="B140" s="678"/>
      <c r="C140" s="678"/>
      <c r="D140" s="678"/>
      <c r="E140" s="678"/>
      <c r="F140" s="678"/>
      <c r="G140" s="678"/>
      <c r="H140" s="678"/>
      <c r="I140" s="678"/>
      <c r="J140" s="678"/>
      <c r="K140" s="678"/>
      <c r="L140" s="678"/>
      <c r="M140" s="678"/>
      <c r="N140" s="678"/>
      <c r="O140" s="678"/>
      <c r="P140" s="678"/>
      <c r="Q140" s="678"/>
      <c r="R140" s="678"/>
      <c r="S140" s="678"/>
      <c r="T140" s="678"/>
      <c r="U140" s="678"/>
      <c r="V140" s="678"/>
      <c r="W140" s="678"/>
      <c r="X140" s="678"/>
      <c r="Y140" s="678"/>
      <c r="Z140" s="678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79">
        <v>4680115883444</v>
      </c>
      <c r="E141" s="67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7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1"/>
      <c r="R141" s="681"/>
      <c r="S141" s="681"/>
      <c r="T141" s="68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79">
        <v>4680115883444</v>
      </c>
      <c r="E142" s="67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75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1"/>
      <c r="R142" s="681"/>
      <c r="S142" s="681"/>
      <c r="T142" s="68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88"/>
      <c r="B143" s="688"/>
      <c r="C143" s="688"/>
      <c r="D143" s="688"/>
      <c r="E143" s="688"/>
      <c r="F143" s="688"/>
      <c r="G143" s="688"/>
      <c r="H143" s="688"/>
      <c r="I143" s="688"/>
      <c r="J143" s="688"/>
      <c r="K143" s="688"/>
      <c r="L143" s="688"/>
      <c r="M143" s="688"/>
      <c r="N143" s="688"/>
      <c r="O143" s="689"/>
      <c r="P143" s="685" t="s">
        <v>40</v>
      </c>
      <c r="Q143" s="686"/>
      <c r="R143" s="686"/>
      <c r="S143" s="686"/>
      <c r="T143" s="686"/>
      <c r="U143" s="686"/>
      <c r="V143" s="68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88"/>
      <c r="B144" s="688"/>
      <c r="C144" s="688"/>
      <c r="D144" s="688"/>
      <c r="E144" s="688"/>
      <c r="F144" s="688"/>
      <c r="G144" s="688"/>
      <c r="H144" s="688"/>
      <c r="I144" s="688"/>
      <c r="J144" s="688"/>
      <c r="K144" s="688"/>
      <c r="L144" s="688"/>
      <c r="M144" s="688"/>
      <c r="N144" s="688"/>
      <c r="O144" s="689"/>
      <c r="P144" s="685" t="s">
        <v>40</v>
      </c>
      <c r="Q144" s="686"/>
      <c r="R144" s="686"/>
      <c r="S144" s="686"/>
      <c r="T144" s="686"/>
      <c r="U144" s="686"/>
      <c r="V144" s="68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78" t="s">
        <v>90</v>
      </c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8"/>
      <c r="P145" s="678"/>
      <c r="Q145" s="678"/>
      <c r="R145" s="678"/>
      <c r="S145" s="678"/>
      <c r="T145" s="678"/>
      <c r="U145" s="678"/>
      <c r="V145" s="678"/>
      <c r="W145" s="678"/>
      <c r="X145" s="678"/>
      <c r="Y145" s="678"/>
      <c r="Z145" s="678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79">
        <v>4680115882584</v>
      </c>
      <c r="E146" s="679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81"/>
      <c r="R146" s="681"/>
      <c r="S146" s="681"/>
      <c r="T146" s="68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79">
        <v>4680115882584</v>
      </c>
      <c r="E147" s="679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7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1"/>
      <c r="R147" s="681"/>
      <c r="S147" s="681"/>
      <c r="T147" s="68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88"/>
      <c r="B148" s="688"/>
      <c r="C148" s="688"/>
      <c r="D148" s="688"/>
      <c r="E148" s="688"/>
      <c r="F148" s="688"/>
      <c r="G148" s="688"/>
      <c r="H148" s="688"/>
      <c r="I148" s="688"/>
      <c r="J148" s="688"/>
      <c r="K148" s="688"/>
      <c r="L148" s="688"/>
      <c r="M148" s="688"/>
      <c r="N148" s="688"/>
      <c r="O148" s="689"/>
      <c r="P148" s="685" t="s">
        <v>40</v>
      </c>
      <c r="Q148" s="686"/>
      <c r="R148" s="686"/>
      <c r="S148" s="686"/>
      <c r="T148" s="686"/>
      <c r="U148" s="686"/>
      <c r="V148" s="68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688"/>
      <c r="B149" s="688"/>
      <c r="C149" s="688"/>
      <c r="D149" s="688"/>
      <c r="E149" s="688"/>
      <c r="F149" s="688"/>
      <c r="G149" s="688"/>
      <c r="H149" s="688"/>
      <c r="I149" s="688"/>
      <c r="J149" s="688"/>
      <c r="K149" s="688"/>
      <c r="L149" s="688"/>
      <c r="M149" s="688"/>
      <c r="N149" s="688"/>
      <c r="O149" s="689"/>
      <c r="P149" s="685" t="s">
        <v>40</v>
      </c>
      <c r="Q149" s="686"/>
      <c r="R149" s="686"/>
      <c r="S149" s="686"/>
      <c r="T149" s="686"/>
      <c r="U149" s="686"/>
      <c r="V149" s="68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77" t="s">
        <v>273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5"/>
      <c r="AB150" s="65"/>
      <c r="AC150" s="79"/>
    </row>
    <row r="151" spans="1:68" ht="14.25" customHeight="1" x14ac:dyDescent="0.25">
      <c r="A151" s="678" t="s">
        <v>90</v>
      </c>
      <c r="B151" s="678"/>
      <c r="C151" s="678"/>
      <c r="D151" s="678"/>
      <c r="E151" s="678"/>
      <c r="F151" s="678"/>
      <c r="G151" s="678"/>
      <c r="H151" s="678"/>
      <c r="I151" s="678"/>
      <c r="J151" s="678"/>
      <c r="K151" s="678"/>
      <c r="L151" s="678"/>
      <c r="M151" s="678"/>
      <c r="N151" s="678"/>
      <c r="O151" s="678"/>
      <c r="P151" s="678"/>
      <c r="Q151" s="678"/>
      <c r="R151" s="678"/>
      <c r="S151" s="678"/>
      <c r="T151" s="678"/>
      <c r="U151" s="678"/>
      <c r="V151" s="678"/>
      <c r="W151" s="678"/>
      <c r="X151" s="678"/>
      <c r="Y151" s="678"/>
      <c r="Z151" s="678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79">
        <v>4680115888203</v>
      </c>
      <c r="E152" s="67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75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81"/>
      <c r="R152" s="681"/>
      <c r="S152" s="681"/>
      <c r="T152" s="68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79">
        <v>4680115888180</v>
      </c>
      <c r="E153" s="67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75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81"/>
      <c r="R153" s="681"/>
      <c r="S153" s="681"/>
      <c r="T153" s="68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79">
        <v>4680115888197</v>
      </c>
      <c r="E154" s="679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7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81"/>
      <c r="R154" s="681"/>
      <c r="S154" s="681"/>
      <c r="T154" s="68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79">
        <v>4680115888210</v>
      </c>
      <c r="E155" s="67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75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81"/>
      <c r="R155" s="681"/>
      <c r="S155" s="681"/>
      <c r="T155" s="68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88"/>
      <c r="B156" s="688"/>
      <c r="C156" s="688"/>
      <c r="D156" s="688"/>
      <c r="E156" s="688"/>
      <c r="F156" s="688"/>
      <c r="G156" s="688"/>
      <c r="H156" s="688"/>
      <c r="I156" s="688"/>
      <c r="J156" s="688"/>
      <c r="K156" s="688"/>
      <c r="L156" s="688"/>
      <c r="M156" s="688"/>
      <c r="N156" s="688"/>
      <c r="O156" s="689"/>
      <c r="P156" s="685" t="s">
        <v>40</v>
      </c>
      <c r="Q156" s="686"/>
      <c r="R156" s="686"/>
      <c r="S156" s="686"/>
      <c r="T156" s="686"/>
      <c r="U156" s="686"/>
      <c r="V156" s="68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88"/>
      <c r="B157" s="688"/>
      <c r="C157" s="688"/>
      <c r="D157" s="688"/>
      <c r="E157" s="688"/>
      <c r="F157" s="688"/>
      <c r="G157" s="688"/>
      <c r="H157" s="688"/>
      <c r="I157" s="688"/>
      <c r="J157" s="688"/>
      <c r="K157" s="688"/>
      <c r="L157" s="688"/>
      <c r="M157" s="688"/>
      <c r="N157" s="688"/>
      <c r="O157" s="689"/>
      <c r="P157" s="685" t="s">
        <v>40</v>
      </c>
      <c r="Q157" s="686"/>
      <c r="R157" s="686"/>
      <c r="S157" s="686"/>
      <c r="T157" s="686"/>
      <c r="U157" s="686"/>
      <c r="V157" s="68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77" t="s">
        <v>137</v>
      </c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77"/>
      <c r="P158" s="677"/>
      <c r="Q158" s="677"/>
      <c r="R158" s="677"/>
      <c r="S158" s="677"/>
      <c r="T158" s="677"/>
      <c r="U158" s="677"/>
      <c r="V158" s="677"/>
      <c r="W158" s="677"/>
      <c r="X158" s="677"/>
      <c r="Y158" s="677"/>
      <c r="Z158" s="677"/>
      <c r="AA158" s="65"/>
      <c r="AB158" s="65"/>
      <c r="AC158" s="79"/>
    </row>
    <row r="159" spans="1:68" ht="14.25" customHeight="1" x14ac:dyDescent="0.25">
      <c r="A159" s="678" t="s">
        <v>139</v>
      </c>
      <c r="B159" s="678"/>
      <c r="C159" s="678"/>
      <c r="D159" s="678"/>
      <c r="E159" s="678"/>
      <c r="F159" s="678"/>
      <c r="G159" s="678"/>
      <c r="H159" s="678"/>
      <c r="I159" s="678"/>
      <c r="J159" s="678"/>
      <c r="K159" s="678"/>
      <c r="L159" s="678"/>
      <c r="M159" s="678"/>
      <c r="N159" s="678"/>
      <c r="O159" s="678"/>
      <c r="P159" s="678"/>
      <c r="Q159" s="678"/>
      <c r="R159" s="678"/>
      <c r="S159" s="678"/>
      <c r="T159" s="678"/>
      <c r="U159" s="678"/>
      <c r="V159" s="678"/>
      <c r="W159" s="678"/>
      <c r="X159" s="678"/>
      <c r="Y159" s="678"/>
      <c r="Z159" s="678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79">
        <v>4680115887374</v>
      </c>
      <c r="E160" s="679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75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81"/>
      <c r="R160" s="681"/>
      <c r="S160" s="681"/>
      <c r="T160" s="68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79">
        <v>4607091384604</v>
      </c>
      <c r="E161" s="67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75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81"/>
      <c r="R161" s="681"/>
      <c r="S161" s="681"/>
      <c r="T161" s="68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88"/>
      <c r="B162" s="688"/>
      <c r="C162" s="688"/>
      <c r="D162" s="688"/>
      <c r="E162" s="688"/>
      <c r="F162" s="688"/>
      <c r="G162" s="688"/>
      <c r="H162" s="688"/>
      <c r="I162" s="688"/>
      <c r="J162" s="688"/>
      <c r="K162" s="688"/>
      <c r="L162" s="688"/>
      <c r="M162" s="688"/>
      <c r="N162" s="688"/>
      <c r="O162" s="689"/>
      <c r="P162" s="685" t="s">
        <v>40</v>
      </c>
      <c r="Q162" s="686"/>
      <c r="R162" s="686"/>
      <c r="S162" s="686"/>
      <c r="T162" s="686"/>
      <c r="U162" s="686"/>
      <c r="V162" s="687"/>
      <c r="W162" s="42" t="s">
        <v>39</v>
      </c>
      <c r="X162" s="43">
        <f>IFERROR(X160/H160,"0")+IFERROR(X161/H161,"0")</f>
        <v>0</v>
      </c>
      <c r="Y162" s="43">
        <f>IFERROR(Y160/H160,"0")+IFERROR(Y161/H161,"0")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688"/>
      <c r="B163" s="688"/>
      <c r="C163" s="688"/>
      <c r="D163" s="688"/>
      <c r="E163" s="688"/>
      <c r="F163" s="688"/>
      <c r="G163" s="688"/>
      <c r="H163" s="688"/>
      <c r="I163" s="688"/>
      <c r="J163" s="688"/>
      <c r="K163" s="688"/>
      <c r="L163" s="688"/>
      <c r="M163" s="688"/>
      <c r="N163" s="688"/>
      <c r="O163" s="689"/>
      <c r="P163" s="685" t="s">
        <v>40</v>
      </c>
      <c r="Q163" s="686"/>
      <c r="R163" s="686"/>
      <c r="S163" s="686"/>
      <c r="T163" s="686"/>
      <c r="U163" s="686"/>
      <c r="V163" s="687"/>
      <c r="W163" s="42" t="s">
        <v>0</v>
      </c>
      <c r="X163" s="43">
        <f>IFERROR(SUM(X160:X161),"0")</f>
        <v>0</v>
      </c>
      <c r="Y163" s="43">
        <f>IFERROR(SUM(Y160:Y161),"0")</f>
        <v>0</v>
      </c>
      <c r="Z163" s="42"/>
      <c r="AA163" s="67"/>
      <c r="AB163" s="67"/>
      <c r="AC163" s="67"/>
    </row>
    <row r="164" spans="1:68" ht="14.25" customHeight="1" x14ac:dyDescent="0.25">
      <c r="A164" s="678" t="s">
        <v>174</v>
      </c>
      <c r="B164" s="678"/>
      <c r="C164" s="678"/>
      <c r="D164" s="678"/>
      <c r="E164" s="678"/>
      <c r="F164" s="678"/>
      <c r="G164" s="678"/>
      <c r="H164" s="678"/>
      <c r="I164" s="678"/>
      <c r="J164" s="678"/>
      <c r="K164" s="678"/>
      <c r="L164" s="678"/>
      <c r="M164" s="678"/>
      <c r="N164" s="678"/>
      <c r="O164" s="678"/>
      <c r="P164" s="678"/>
      <c r="Q164" s="678"/>
      <c r="R164" s="678"/>
      <c r="S164" s="678"/>
      <c r="T164" s="678"/>
      <c r="U164" s="678"/>
      <c r="V164" s="678"/>
      <c r="W164" s="678"/>
      <c r="X164" s="678"/>
      <c r="Y164" s="678"/>
      <c r="Z164" s="678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79">
        <v>4680115887695</v>
      </c>
      <c r="E165" s="679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7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81"/>
      <c r="R165" s="681"/>
      <c r="S165" s="681"/>
      <c r="T165" s="68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88"/>
      <c r="B166" s="688"/>
      <c r="C166" s="688"/>
      <c r="D166" s="688"/>
      <c r="E166" s="688"/>
      <c r="F166" s="688"/>
      <c r="G166" s="688"/>
      <c r="H166" s="688"/>
      <c r="I166" s="688"/>
      <c r="J166" s="688"/>
      <c r="K166" s="688"/>
      <c r="L166" s="688"/>
      <c r="M166" s="688"/>
      <c r="N166" s="688"/>
      <c r="O166" s="689"/>
      <c r="P166" s="685" t="s">
        <v>40</v>
      </c>
      <c r="Q166" s="686"/>
      <c r="R166" s="686"/>
      <c r="S166" s="686"/>
      <c r="T166" s="686"/>
      <c r="U166" s="686"/>
      <c r="V166" s="687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688"/>
      <c r="B167" s="688"/>
      <c r="C167" s="688"/>
      <c r="D167" s="688"/>
      <c r="E167" s="688"/>
      <c r="F167" s="688"/>
      <c r="G167" s="688"/>
      <c r="H167" s="688"/>
      <c r="I167" s="688"/>
      <c r="J167" s="688"/>
      <c r="K167" s="688"/>
      <c r="L167" s="688"/>
      <c r="M167" s="688"/>
      <c r="N167" s="688"/>
      <c r="O167" s="689"/>
      <c r="P167" s="685" t="s">
        <v>40</v>
      </c>
      <c r="Q167" s="686"/>
      <c r="R167" s="686"/>
      <c r="S167" s="686"/>
      <c r="T167" s="686"/>
      <c r="U167" s="686"/>
      <c r="V167" s="687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78" t="s">
        <v>77</v>
      </c>
      <c r="B168" s="678"/>
      <c r="C168" s="678"/>
      <c r="D168" s="678"/>
      <c r="E168" s="678"/>
      <c r="F168" s="678"/>
      <c r="G168" s="678"/>
      <c r="H168" s="678"/>
      <c r="I168" s="678"/>
      <c r="J168" s="678"/>
      <c r="K168" s="678"/>
      <c r="L168" s="678"/>
      <c r="M168" s="678"/>
      <c r="N168" s="678"/>
      <c r="O168" s="678"/>
      <c r="P168" s="678"/>
      <c r="Q168" s="678"/>
      <c r="R168" s="678"/>
      <c r="S168" s="678"/>
      <c r="T168" s="678"/>
      <c r="U168" s="678"/>
      <c r="V168" s="678"/>
      <c r="W168" s="678"/>
      <c r="X168" s="678"/>
      <c r="Y168" s="678"/>
      <c r="Z168" s="678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79">
        <v>4680115887428</v>
      </c>
      <c r="E169" s="67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7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81"/>
      <c r="R169" s="681"/>
      <c r="S169" s="681"/>
      <c r="T169" s="682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ref="Y169:Y178" si="16">IFERROR(IF(X169="",0,CEILING((X169/$H169),1)*$H169),"")</f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0</v>
      </c>
      <c r="BN169" s="78">
        <f t="shared" ref="BN169:BN178" si="18">IFERROR(Y169*I169/H169,"0")</f>
        <v>0</v>
      </c>
      <c r="BO169" s="78">
        <f t="shared" ref="BO169:BO178" si="19">IFERROR(1/J169*(X169/H169),"0")</f>
        <v>0</v>
      </c>
      <c r="BP169" s="78">
        <f t="shared" ref="BP169:BP178" si="20">IFERROR(1/J169*(Y169/H169),"0")</f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79">
        <v>4607091382426</v>
      </c>
      <c r="E170" s="679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81"/>
      <c r="R170" s="681"/>
      <c r="S170" s="681"/>
      <c r="T170" s="68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79">
        <v>4680115887398</v>
      </c>
      <c r="E171" s="67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7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81"/>
      <c r="R171" s="681"/>
      <c r="S171" s="681"/>
      <c r="T171" s="68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79">
        <v>4680115887336</v>
      </c>
      <c r="E172" s="679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76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81"/>
      <c r="R172" s="681"/>
      <c r="S172" s="681"/>
      <c r="T172" s="68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79">
        <v>4680115887787</v>
      </c>
      <c r="E173" s="67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76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81"/>
      <c r="R173" s="681"/>
      <c r="S173" s="681"/>
      <c r="T173" s="68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79">
        <v>4680115887503</v>
      </c>
      <c r="E174" s="679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81"/>
      <c r="R174" s="681"/>
      <c r="S174" s="681"/>
      <c r="T174" s="68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79">
        <v>4680115887763</v>
      </c>
      <c r="E175" s="67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1"/>
      <c r="R175" s="681"/>
      <c r="S175" s="681"/>
      <c r="T175" s="68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79">
        <v>4680115887480</v>
      </c>
      <c r="E176" s="67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76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1"/>
      <c r="R176" s="681"/>
      <c r="S176" s="681"/>
      <c r="T176" s="68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79">
        <v>4680115888067</v>
      </c>
      <c r="E177" s="679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76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1"/>
      <c r="R177" s="681"/>
      <c r="S177" s="681"/>
      <c r="T177" s="68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79">
        <v>4680115887435</v>
      </c>
      <c r="E178" s="67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77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1"/>
      <c r="R178" s="681"/>
      <c r="S178" s="681"/>
      <c r="T178" s="68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">
      <c r="A179" s="688"/>
      <c r="B179" s="688"/>
      <c r="C179" s="688"/>
      <c r="D179" s="688"/>
      <c r="E179" s="688"/>
      <c r="F179" s="688"/>
      <c r="G179" s="688"/>
      <c r="H179" s="688"/>
      <c r="I179" s="688"/>
      <c r="J179" s="688"/>
      <c r="K179" s="688"/>
      <c r="L179" s="688"/>
      <c r="M179" s="688"/>
      <c r="N179" s="688"/>
      <c r="O179" s="689"/>
      <c r="P179" s="685" t="s">
        <v>40</v>
      </c>
      <c r="Q179" s="686"/>
      <c r="R179" s="686"/>
      <c r="S179" s="686"/>
      <c r="T179" s="686"/>
      <c r="U179" s="686"/>
      <c r="V179" s="687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88"/>
      <c r="B180" s="688"/>
      <c r="C180" s="688"/>
      <c r="D180" s="688"/>
      <c r="E180" s="688"/>
      <c r="F180" s="688"/>
      <c r="G180" s="688"/>
      <c r="H180" s="688"/>
      <c r="I180" s="688"/>
      <c r="J180" s="688"/>
      <c r="K180" s="688"/>
      <c r="L180" s="688"/>
      <c r="M180" s="688"/>
      <c r="N180" s="688"/>
      <c r="O180" s="689"/>
      <c r="P180" s="685" t="s">
        <v>40</v>
      </c>
      <c r="Q180" s="686"/>
      <c r="R180" s="686"/>
      <c r="S180" s="686"/>
      <c r="T180" s="686"/>
      <c r="U180" s="686"/>
      <c r="V180" s="687"/>
      <c r="W180" s="42" t="s">
        <v>0</v>
      </c>
      <c r="X180" s="43">
        <f>IFERROR(SUM(X169:X178),"0")</f>
        <v>0</v>
      </c>
      <c r="Y180" s="43">
        <f>IFERROR(SUM(Y169:Y178),"0")</f>
        <v>0</v>
      </c>
      <c r="Z180" s="42"/>
      <c r="AA180" s="67"/>
      <c r="AB180" s="67"/>
      <c r="AC180" s="67"/>
    </row>
    <row r="181" spans="1:68" ht="14.25" customHeight="1" x14ac:dyDescent="0.25">
      <c r="A181" s="678" t="s">
        <v>90</v>
      </c>
      <c r="B181" s="678"/>
      <c r="C181" s="678"/>
      <c r="D181" s="678"/>
      <c r="E181" s="678"/>
      <c r="F181" s="678"/>
      <c r="G181" s="678"/>
      <c r="H181" s="678"/>
      <c r="I181" s="678"/>
      <c r="J181" s="678"/>
      <c r="K181" s="678"/>
      <c r="L181" s="678"/>
      <c r="M181" s="678"/>
      <c r="N181" s="678"/>
      <c r="O181" s="678"/>
      <c r="P181" s="678"/>
      <c r="Q181" s="678"/>
      <c r="R181" s="678"/>
      <c r="S181" s="678"/>
      <c r="T181" s="678"/>
      <c r="U181" s="678"/>
      <c r="V181" s="678"/>
      <c r="W181" s="678"/>
      <c r="X181" s="678"/>
      <c r="Y181" s="678"/>
      <c r="Z181" s="678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79">
        <v>4680115888395</v>
      </c>
      <c r="E182" s="67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77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1"/>
      <c r="R182" s="681"/>
      <c r="S182" s="681"/>
      <c r="T182" s="68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79">
        <v>4680115888371</v>
      </c>
      <c r="E183" s="679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77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1"/>
      <c r="R183" s="681"/>
      <c r="S183" s="681"/>
      <c r="T183" s="68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79">
        <v>4680115887459</v>
      </c>
      <c r="E184" s="679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7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1"/>
      <c r="R184" s="681"/>
      <c r="S184" s="681"/>
      <c r="T184" s="68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88"/>
      <c r="B185" s="688"/>
      <c r="C185" s="688"/>
      <c r="D185" s="688"/>
      <c r="E185" s="688"/>
      <c r="F185" s="688"/>
      <c r="G185" s="688"/>
      <c r="H185" s="688"/>
      <c r="I185" s="688"/>
      <c r="J185" s="688"/>
      <c r="K185" s="688"/>
      <c r="L185" s="688"/>
      <c r="M185" s="688"/>
      <c r="N185" s="688"/>
      <c r="O185" s="689"/>
      <c r="P185" s="685" t="s">
        <v>40</v>
      </c>
      <c r="Q185" s="686"/>
      <c r="R185" s="686"/>
      <c r="S185" s="686"/>
      <c r="T185" s="686"/>
      <c r="U185" s="686"/>
      <c r="V185" s="68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88"/>
      <c r="B186" s="688"/>
      <c r="C186" s="688"/>
      <c r="D186" s="688"/>
      <c r="E186" s="688"/>
      <c r="F186" s="688"/>
      <c r="G186" s="688"/>
      <c r="H186" s="688"/>
      <c r="I186" s="688"/>
      <c r="J186" s="688"/>
      <c r="K186" s="688"/>
      <c r="L186" s="688"/>
      <c r="M186" s="688"/>
      <c r="N186" s="688"/>
      <c r="O186" s="689"/>
      <c r="P186" s="685" t="s">
        <v>40</v>
      </c>
      <c r="Q186" s="686"/>
      <c r="R186" s="686"/>
      <c r="S186" s="686"/>
      <c r="T186" s="686"/>
      <c r="U186" s="686"/>
      <c r="V186" s="68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78" t="s">
        <v>118</v>
      </c>
      <c r="B187" s="678"/>
      <c r="C187" s="678"/>
      <c r="D187" s="678"/>
      <c r="E187" s="678"/>
      <c r="F187" s="678"/>
      <c r="G187" s="678"/>
      <c r="H187" s="678"/>
      <c r="I187" s="678"/>
      <c r="J187" s="678"/>
      <c r="K187" s="678"/>
      <c r="L187" s="678"/>
      <c r="M187" s="678"/>
      <c r="N187" s="678"/>
      <c r="O187" s="678"/>
      <c r="P187" s="678"/>
      <c r="Q187" s="678"/>
      <c r="R187" s="678"/>
      <c r="S187" s="678"/>
      <c r="T187" s="678"/>
      <c r="U187" s="678"/>
      <c r="V187" s="678"/>
      <c r="W187" s="678"/>
      <c r="X187" s="678"/>
      <c r="Y187" s="678"/>
      <c r="Z187" s="678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79">
        <v>4680115889026</v>
      </c>
      <c r="E188" s="67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77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1"/>
      <c r="R188" s="681"/>
      <c r="S188" s="681"/>
      <c r="T188" s="68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79">
        <v>4680115889088</v>
      </c>
      <c r="E189" s="67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77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1"/>
      <c r="R189" s="681"/>
      <c r="S189" s="681"/>
      <c r="T189" s="68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88"/>
      <c r="B190" s="688"/>
      <c r="C190" s="688"/>
      <c r="D190" s="688"/>
      <c r="E190" s="688"/>
      <c r="F190" s="688"/>
      <c r="G190" s="688"/>
      <c r="H190" s="688"/>
      <c r="I190" s="688"/>
      <c r="J190" s="688"/>
      <c r="K190" s="688"/>
      <c r="L190" s="688"/>
      <c r="M190" s="688"/>
      <c r="N190" s="688"/>
      <c r="O190" s="689"/>
      <c r="P190" s="685" t="s">
        <v>40</v>
      </c>
      <c r="Q190" s="686"/>
      <c r="R190" s="686"/>
      <c r="S190" s="686"/>
      <c r="T190" s="686"/>
      <c r="U190" s="686"/>
      <c r="V190" s="68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88"/>
      <c r="B191" s="688"/>
      <c r="C191" s="688"/>
      <c r="D191" s="688"/>
      <c r="E191" s="688"/>
      <c r="F191" s="688"/>
      <c r="G191" s="688"/>
      <c r="H191" s="688"/>
      <c r="I191" s="688"/>
      <c r="J191" s="688"/>
      <c r="K191" s="688"/>
      <c r="L191" s="688"/>
      <c r="M191" s="688"/>
      <c r="N191" s="688"/>
      <c r="O191" s="689"/>
      <c r="P191" s="685" t="s">
        <v>40</v>
      </c>
      <c r="Q191" s="686"/>
      <c r="R191" s="686"/>
      <c r="S191" s="686"/>
      <c r="T191" s="686"/>
      <c r="U191" s="686"/>
      <c r="V191" s="68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78" t="s">
        <v>340</v>
      </c>
      <c r="B192" s="678"/>
      <c r="C192" s="678"/>
      <c r="D192" s="678"/>
      <c r="E192" s="678"/>
      <c r="F192" s="678"/>
      <c r="G192" s="678"/>
      <c r="H192" s="678"/>
      <c r="I192" s="678"/>
      <c r="J192" s="678"/>
      <c r="K192" s="678"/>
      <c r="L192" s="678"/>
      <c r="M192" s="678"/>
      <c r="N192" s="678"/>
      <c r="O192" s="678"/>
      <c r="P192" s="678"/>
      <c r="Q192" s="678"/>
      <c r="R192" s="678"/>
      <c r="S192" s="678"/>
      <c r="T192" s="678"/>
      <c r="U192" s="678"/>
      <c r="V192" s="678"/>
      <c r="W192" s="678"/>
      <c r="X192" s="678"/>
      <c r="Y192" s="678"/>
      <c r="Z192" s="678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79">
        <v>4680115889033</v>
      </c>
      <c r="E193" s="67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77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1"/>
      <c r="R193" s="681"/>
      <c r="S193" s="681"/>
      <c r="T193" s="68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88"/>
      <c r="B194" s="688"/>
      <c r="C194" s="688"/>
      <c r="D194" s="688"/>
      <c r="E194" s="688"/>
      <c r="F194" s="688"/>
      <c r="G194" s="688"/>
      <c r="H194" s="688"/>
      <c r="I194" s="688"/>
      <c r="J194" s="688"/>
      <c r="K194" s="688"/>
      <c r="L194" s="688"/>
      <c r="M194" s="688"/>
      <c r="N194" s="688"/>
      <c r="O194" s="689"/>
      <c r="P194" s="685" t="s">
        <v>40</v>
      </c>
      <c r="Q194" s="686"/>
      <c r="R194" s="686"/>
      <c r="S194" s="686"/>
      <c r="T194" s="686"/>
      <c r="U194" s="686"/>
      <c r="V194" s="68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88"/>
      <c r="B195" s="688"/>
      <c r="C195" s="688"/>
      <c r="D195" s="688"/>
      <c r="E195" s="688"/>
      <c r="F195" s="688"/>
      <c r="G195" s="688"/>
      <c r="H195" s="688"/>
      <c r="I195" s="688"/>
      <c r="J195" s="688"/>
      <c r="K195" s="688"/>
      <c r="L195" s="688"/>
      <c r="M195" s="688"/>
      <c r="N195" s="688"/>
      <c r="O195" s="689"/>
      <c r="P195" s="685" t="s">
        <v>40</v>
      </c>
      <c r="Q195" s="686"/>
      <c r="R195" s="686"/>
      <c r="S195" s="686"/>
      <c r="T195" s="686"/>
      <c r="U195" s="686"/>
      <c r="V195" s="68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76" t="s">
        <v>344</v>
      </c>
      <c r="B196" s="676"/>
      <c r="C196" s="676"/>
      <c r="D196" s="676"/>
      <c r="E196" s="676"/>
      <c r="F196" s="676"/>
      <c r="G196" s="676"/>
      <c r="H196" s="676"/>
      <c r="I196" s="676"/>
      <c r="J196" s="676"/>
      <c r="K196" s="676"/>
      <c r="L196" s="676"/>
      <c r="M196" s="676"/>
      <c r="N196" s="676"/>
      <c r="O196" s="676"/>
      <c r="P196" s="676"/>
      <c r="Q196" s="676"/>
      <c r="R196" s="676"/>
      <c r="S196" s="676"/>
      <c r="T196" s="676"/>
      <c r="U196" s="676"/>
      <c r="V196" s="676"/>
      <c r="W196" s="676"/>
      <c r="X196" s="676"/>
      <c r="Y196" s="676"/>
      <c r="Z196" s="676"/>
      <c r="AA196" s="54"/>
      <c r="AB196" s="54"/>
      <c r="AC196" s="54"/>
    </row>
    <row r="197" spans="1:68" ht="16.5" customHeight="1" x14ac:dyDescent="0.25">
      <c r="A197" s="677" t="s">
        <v>345</v>
      </c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77"/>
      <c r="P197" s="677"/>
      <c r="Q197" s="677"/>
      <c r="R197" s="677"/>
      <c r="S197" s="677"/>
      <c r="T197" s="677"/>
      <c r="U197" s="677"/>
      <c r="V197" s="677"/>
      <c r="W197" s="677"/>
      <c r="X197" s="677"/>
      <c r="Y197" s="677"/>
      <c r="Z197" s="677"/>
      <c r="AA197" s="65"/>
      <c r="AB197" s="65"/>
      <c r="AC197" s="79"/>
    </row>
    <row r="198" spans="1:68" ht="14.25" customHeight="1" x14ac:dyDescent="0.25">
      <c r="A198" s="678" t="s">
        <v>139</v>
      </c>
      <c r="B198" s="678"/>
      <c r="C198" s="678"/>
      <c r="D198" s="678"/>
      <c r="E198" s="678"/>
      <c r="F198" s="678"/>
      <c r="G198" s="678"/>
      <c r="H198" s="678"/>
      <c r="I198" s="678"/>
      <c r="J198" s="678"/>
      <c r="K198" s="678"/>
      <c r="L198" s="678"/>
      <c r="M198" s="678"/>
      <c r="N198" s="678"/>
      <c r="O198" s="678"/>
      <c r="P198" s="678"/>
      <c r="Q198" s="678"/>
      <c r="R198" s="678"/>
      <c r="S198" s="678"/>
      <c r="T198" s="678"/>
      <c r="U198" s="678"/>
      <c r="V198" s="678"/>
      <c r="W198" s="678"/>
      <c r="X198" s="678"/>
      <c r="Y198" s="678"/>
      <c r="Z198" s="678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79">
        <v>4607091383423</v>
      </c>
      <c r="E199" s="67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77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81"/>
      <c r="R199" s="681"/>
      <c r="S199" s="681"/>
      <c r="T199" s="682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79">
        <v>4680115886957</v>
      </c>
      <c r="E200" s="679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78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81"/>
      <c r="R200" s="681"/>
      <c r="S200" s="681"/>
      <c r="T200" s="682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79">
        <v>4680115885660</v>
      </c>
      <c r="E201" s="679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81"/>
      <c r="R201" s="681"/>
      <c r="S201" s="681"/>
      <c r="T201" s="682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79">
        <v>4680115886773</v>
      </c>
      <c r="E202" s="679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8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81"/>
      <c r="R202" s="681"/>
      <c r="S202" s="681"/>
      <c r="T202" s="68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88"/>
      <c r="B203" s="688"/>
      <c r="C203" s="688"/>
      <c r="D203" s="688"/>
      <c r="E203" s="688"/>
      <c r="F203" s="688"/>
      <c r="G203" s="688"/>
      <c r="H203" s="688"/>
      <c r="I203" s="688"/>
      <c r="J203" s="688"/>
      <c r="K203" s="688"/>
      <c r="L203" s="688"/>
      <c r="M203" s="688"/>
      <c r="N203" s="688"/>
      <c r="O203" s="689"/>
      <c r="P203" s="685" t="s">
        <v>40</v>
      </c>
      <c r="Q203" s="686"/>
      <c r="R203" s="686"/>
      <c r="S203" s="686"/>
      <c r="T203" s="686"/>
      <c r="U203" s="686"/>
      <c r="V203" s="687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88"/>
      <c r="B204" s="688"/>
      <c r="C204" s="688"/>
      <c r="D204" s="688"/>
      <c r="E204" s="688"/>
      <c r="F204" s="688"/>
      <c r="G204" s="688"/>
      <c r="H204" s="688"/>
      <c r="I204" s="688"/>
      <c r="J204" s="688"/>
      <c r="K204" s="688"/>
      <c r="L204" s="688"/>
      <c r="M204" s="688"/>
      <c r="N204" s="688"/>
      <c r="O204" s="689"/>
      <c r="P204" s="685" t="s">
        <v>40</v>
      </c>
      <c r="Q204" s="686"/>
      <c r="R204" s="686"/>
      <c r="S204" s="686"/>
      <c r="T204" s="686"/>
      <c r="U204" s="686"/>
      <c r="V204" s="687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77" t="s">
        <v>357</v>
      </c>
      <c r="B205" s="677"/>
      <c r="C205" s="677"/>
      <c r="D205" s="677"/>
      <c r="E205" s="677"/>
      <c r="F205" s="677"/>
      <c r="G205" s="677"/>
      <c r="H205" s="677"/>
      <c r="I205" s="677"/>
      <c r="J205" s="677"/>
      <c r="K205" s="677"/>
      <c r="L205" s="677"/>
      <c r="M205" s="677"/>
      <c r="N205" s="677"/>
      <c r="O205" s="677"/>
      <c r="P205" s="677"/>
      <c r="Q205" s="677"/>
      <c r="R205" s="677"/>
      <c r="S205" s="677"/>
      <c r="T205" s="677"/>
      <c r="U205" s="677"/>
      <c r="V205" s="677"/>
      <c r="W205" s="677"/>
      <c r="X205" s="677"/>
      <c r="Y205" s="677"/>
      <c r="Z205" s="677"/>
      <c r="AA205" s="65"/>
      <c r="AB205" s="65"/>
      <c r="AC205" s="79"/>
    </row>
    <row r="206" spans="1:68" ht="14.25" customHeight="1" x14ac:dyDescent="0.25">
      <c r="A206" s="678" t="s">
        <v>174</v>
      </c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678"/>
      <c r="O206" s="678"/>
      <c r="P206" s="678"/>
      <c r="Q206" s="678"/>
      <c r="R206" s="678"/>
      <c r="S206" s="678"/>
      <c r="T206" s="678"/>
      <c r="U206" s="678"/>
      <c r="V206" s="678"/>
      <c r="W206" s="678"/>
      <c r="X206" s="678"/>
      <c r="Y206" s="678"/>
      <c r="Z206" s="678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79">
        <v>4680115886223</v>
      </c>
      <c r="E207" s="679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81"/>
      <c r="R207" s="681"/>
      <c r="S207" s="681"/>
      <c r="T207" s="682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88"/>
      <c r="B208" s="688"/>
      <c r="C208" s="688"/>
      <c r="D208" s="688"/>
      <c r="E208" s="688"/>
      <c r="F208" s="688"/>
      <c r="G208" s="688"/>
      <c r="H208" s="688"/>
      <c r="I208" s="688"/>
      <c r="J208" s="688"/>
      <c r="K208" s="688"/>
      <c r="L208" s="688"/>
      <c r="M208" s="688"/>
      <c r="N208" s="688"/>
      <c r="O208" s="689"/>
      <c r="P208" s="685" t="s">
        <v>40</v>
      </c>
      <c r="Q208" s="686"/>
      <c r="R208" s="686"/>
      <c r="S208" s="686"/>
      <c r="T208" s="686"/>
      <c r="U208" s="686"/>
      <c r="V208" s="687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">
      <c r="A209" s="688"/>
      <c r="B209" s="688"/>
      <c r="C209" s="688"/>
      <c r="D209" s="688"/>
      <c r="E209" s="688"/>
      <c r="F209" s="688"/>
      <c r="G209" s="688"/>
      <c r="H209" s="688"/>
      <c r="I209" s="688"/>
      <c r="J209" s="688"/>
      <c r="K209" s="688"/>
      <c r="L209" s="688"/>
      <c r="M209" s="688"/>
      <c r="N209" s="688"/>
      <c r="O209" s="689"/>
      <c r="P209" s="685" t="s">
        <v>40</v>
      </c>
      <c r="Q209" s="686"/>
      <c r="R209" s="686"/>
      <c r="S209" s="686"/>
      <c r="T209" s="686"/>
      <c r="U209" s="686"/>
      <c r="V209" s="687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78" t="s">
        <v>77</v>
      </c>
      <c r="B210" s="678"/>
      <c r="C210" s="678"/>
      <c r="D210" s="678"/>
      <c r="E210" s="678"/>
      <c r="F210" s="678"/>
      <c r="G210" s="678"/>
      <c r="H210" s="678"/>
      <c r="I210" s="678"/>
      <c r="J210" s="678"/>
      <c r="K210" s="678"/>
      <c r="L210" s="678"/>
      <c r="M210" s="678"/>
      <c r="N210" s="678"/>
      <c r="O210" s="678"/>
      <c r="P210" s="678"/>
      <c r="Q210" s="678"/>
      <c r="R210" s="678"/>
      <c r="S210" s="678"/>
      <c r="T210" s="678"/>
      <c r="U210" s="678"/>
      <c r="V210" s="678"/>
      <c r="W210" s="678"/>
      <c r="X210" s="678"/>
      <c r="Y210" s="678"/>
      <c r="Z210" s="678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79">
        <v>4680115880993</v>
      </c>
      <c r="E211" s="679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81"/>
      <c r="R211" s="681"/>
      <c r="S211" s="681"/>
      <c r="T211" s="68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79">
        <v>4680115881761</v>
      </c>
      <c r="E212" s="679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81"/>
      <c r="R212" s="681"/>
      <c r="S212" s="681"/>
      <c r="T212" s="68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79">
        <v>4680115881563</v>
      </c>
      <c r="E213" s="679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8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81"/>
      <c r="R213" s="681"/>
      <c r="S213" s="681"/>
      <c r="T213" s="68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79">
        <v>4680115887565</v>
      </c>
      <c r="E214" s="679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81"/>
      <c r="R214" s="681"/>
      <c r="S214" s="681"/>
      <c r="T214" s="68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IFERROR(IF(Y214=0,"",ROUNDUP(Y214/H214,0)*0.00556),"")</f>
        <v/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79">
        <v>4680115880986</v>
      </c>
      <c r="E215" s="679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81"/>
      <c r="R215" s="681"/>
      <c r="S215" s="681"/>
      <c r="T215" s="68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79">
        <v>4680115887213</v>
      </c>
      <c r="E216" s="679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8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81"/>
      <c r="R216" s="681"/>
      <c r="S216" s="681"/>
      <c r="T216" s="68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79">
        <v>4680115881785</v>
      </c>
      <c r="E217" s="679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8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81"/>
      <c r="R217" s="681"/>
      <c r="S217" s="681"/>
      <c r="T217" s="68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79">
        <v>4680115888432</v>
      </c>
      <c r="E218" s="679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8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81"/>
      <c r="R218" s="681"/>
      <c r="S218" s="681"/>
      <c r="T218" s="68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79">
        <v>4680115888104</v>
      </c>
      <c r="E219" s="679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9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81"/>
      <c r="R219" s="681"/>
      <c r="S219" s="681"/>
      <c r="T219" s="68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79">
        <v>4680115886537</v>
      </c>
      <c r="E220" s="679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9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81"/>
      <c r="R220" s="681"/>
      <c r="S220" s="681"/>
      <c r="T220" s="68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79">
        <v>4680115887596</v>
      </c>
      <c r="E221" s="679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9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81"/>
      <c r="R221" s="681"/>
      <c r="S221" s="681"/>
      <c r="T221" s="68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IFERROR(IF(Y221=0,"",ROUNDUP(Y221/H221,0)*0.00417),"")</f>
        <v/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79">
        <v>4680115881679</v>
      </c>
      <c r="E222" s="679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9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81"/>
      <c r="R222" s="681"/>
      <c r="S222" s="681"/>
      <c r="T222" s="68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79">
        <v>4680115880191</v>
      </c>
      <c r="E223" s="679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81"/>
      <c r="R223" s="681"/>
      <c r="S223" s="681"/>
      <c r="T223" s="68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79">
        <v>4680115883963</v>
      </c>
      <c r="E224" s="679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81"/>
      <c r="R224" s="681"/>
      <c r="S224" s="681"/>
      <c r="T224" s="68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">
      <c r="A225" s="688"/>
      <c r="B225" s="688"/>
      <c r="C225" s="688"/>
      <c r="D225" s="688"/>
      <c r="E225" s="688"/>
      <c r="F225" s="688"/>
      <c r="G225" s="688"/>
      <c r="H225" s="688"/>
      <c r="I225" s="688"/>
      <c r="J225" s="688"/>
      <c r="K225" s="688"/>
      <c r="L225" s="688"/>
      <c r="M225" s="688"/>
      <c r="N225" s="688"/>
      <c r="O225" s="689"/>
      <c r="P225" s="685" t="s">
        <v>40</v>
      </c>
      <c r="Q225" s="686"/>
      <c r="R225" s="686"/>
      <c r="S225" s="686"/>
      <c r="T225" s="686"/>
      <c r="U225" s="686"/>
      <c r="V225" s="687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88"/>
      <c r="B226" s="688"/>
      <c r="C226" s="688"/>
      <c r="D226" s="688"/>
      <c r="E226" s="688"/>
      <c r="F226" s="688"/>
      <c r="G226" s="688"/>
      <c r="H226" s="688"/>
      <c r="I226" s="688"/>
      <c r="J226" s="688"/>
      <c r="K226" s="688"/>
      <c r="L226" s="688"/>
      <c r="M226" s="688"/>
      <c r="N226" s="688"/>
      <c r="O226" s="689"/>
      <c r="P226" s="685" t="s">
        <v>40</v>
      </c>
      <c r="Q226" s="686"/>
      <c r="R226" s="686"/>
      <c r="S226" s="686"/>
      <c r="T226" s="686"/>
      <c r="U226" s="686"/>
      <c r="V226" s="687"/>
      <c r="W226" s="42" t="s">
        <v>0</v>
      </c>
      <c r="X226" s="43">
        <f>IFERROR(SUM(X211:X224),"0")</f>
        <v>0</v>
      </c>
      <c r="Y226" s="43">
        <f>IFERROR(SUM(Y211:Y224),"0")</f>
        <v>0</v>
      </c>
      <c r="Z226" s="42"/>
      <c r="AA226" s="67"/>
      <c r="AB226" s="67"/>
      <c r="AC226" s="67"/>
    </row>
    <row r="227" spans="1:68" ht="14.25" customHeight="1" x14ac:dyDescent="0.25">
      <c r="A227" s="678" t="s">
        <v>90</v>
      </c>
      <c r="B227" s="678"/>
      <c r="C227" s="678"/>
      <c r="D227" s="678"/>
      <c r="E227" s="678"/>
      <c r="F227" s="678"/>
      <c r="G227" s="678"/>
      <c r="H227" s="678"/>
      <c r="I227" s="678"/>
      <c r="J227" s="678"/>
      <c r="K227" s="678"/>
      <c r="L227" s="678"/>
      <c r="M227" s="678"/>
      <c r="N227" s="678"/>
      <c r="O227" s="678"/>
      <c r="P227" s="678"/>
      <c r="Q227" s="678"/>
      <c r="R227" s="678"/>
      <c r="S227" s="678"/>
      <c r="T227" s="678"/>
      <c r="U227" s="678"/>
      <c r="V227" s="678"/>
      <c r="W227" s="678"/>
      <c r="X227" s="678"/>
      <c r="Y227" s="678"/>
      <c r="Z227" s="678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79">
        <v>4680115888982</v>
      </c>
      <c r="E228" s="679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81"/>
      <c r="R228" s="681"/>
      <c r="S228" s="681"/>
      <c r="T228" s="682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79">
        <v>4680115888951</v>
      </c>
      <c r="E229" s="679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1"/>
      <c r="R229" s="681"/>
      <c r="S229" s="681"/>
      <c r="T229" s="682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88"/>
      <c r="B230" s="688"/>
      <c r="C230" s="688"/>
      <c r="D230" s="688"/>
      <c r="E230" s="688"/>
      <c r="F230" s="688"/>
      <c r="G230" s="688"/>
      <c r="H230" s="688"/>
      <c r="I230" s="688"/>
      <c r="J230" s="688"/>
      <c r="K230" s="688"/>
      <c r="L230" s="688"/>
      <c r="M230" s="688"/>
      <c r="N230" s="688"/>
      <c r="O230" s="689"/>
      <c r="P230" s="685" t="s">
        <v>40</v>
      </c>
      <c r="Q230" s="686"/>
      <c r="R230" s="686"/>
      <c r="S230" s="686"/>
      <c r="T230" s="686"/>
      <c r="U230" s="686"/>
      <c r="V230" s="687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88"/>
      <c r="B231" s="688"/>
      <c r="C231" s="688"/>
      <c r="D231" s="688"/>
      <c r="E231" s="688"/>
      <c r="F231" s="688"/>
      <c r="G231" s="688"/>
      <c r="H231" s="688"/>
      <c r="I231" s="688"/>
      <c r="J231" s="688"/>
      <c r="K231" s="688"/>
      <c r="L231" s="688"/>
      <c r="M231" s="688"/>
      <c r="N231" s="688"/>
      <c r="O231" s="689"/>
      <c r="P231" s="685" t="s">
        <v>40</v>
      </c>
      <c r="Q231" s="686"/>
      <c r="R231" s="686"/>
      <c r="S231" s="686"/>
      <c r="T231" s="686"/>
      <c r="U231" s="686"/>
      <c r="V231" s="687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78" t="s">
        <v>118</v>
      </c>
      <c r="B232" s="678"/>
      <c r="C232" s="678"/>
      <c r="D232" s="678"/>
      <c r="E232" s="678"/>
      <c r="F232" s="678"/>
      <c r="G232" s="678"/>
      <c r="H232" s="678"/>
      <c r="I232" s="678"/>
      <c r="J232" s="678"/>
      <c r="K232" s="678"/>
      <c r="L232" s="678"/>
      <c r="M232" s="678"/>
      <c r="N232" s="678"/>
      <c r="O232" s="678"/>
      <c r="P232" s="678"/>
      <c r="Q232" s="678"/>
      <c r="R232" s="678"/>
      <c r="S232" s="678"/>
      <c r="T232" s="678"/>
      <c r="U232" s="678"/>
      <c r="V232" s="678"/>
      <c r="W232" s="678"/>
      <c r="X232" s="678"/>
      <c r="Y232" s="678"/>
      <c r="Z232" s="678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79">
        <v>4680115886780</v>
      </c>
      <c r="E233" s="679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81"/>
      <c r="R233" s="681"/>
      <c r="S233" s="681"/>
      <c r="T233" s="68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79">
        <v>4680115886742</v>
      </c>
      <c r="E234" s="679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81"/>
      <c r="R234" s="681"/>
      <c r="S234" s="681"/>
      <c r="T234" s="68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79">
        <v>4680115886766</v>
      </c>
      <c r="E235" s="679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81"/>
      <c r="R235" s="681"/>
      <c r="S235" s="681"/>
      <c r="T235" s="682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">
      <c r="A236" s="688"/>
      <c r="B236" s="688"/>
      <c r="C236" s="688"/>
      <c r="D236" s="688"/>
      <c r="E236" s="688"/>
      <c r="F236" s="688"/>
      <c r="G236" s="688"/>
      <c r="H236" s="688"/>
      <c r="I236" s="688"/>
      <c r="J236" s="688"/>
      <c r="K236" s="688"/>
      <c r="L236" s="688"/>
      <c r="M236" s="688"/>
      <c r="N236" s="688"/>
      <c r="O236" s="689"/>
      <c r="P236" s="685" t="s">
        <v>40</v>
      </c>
      <c r="Q236" s="686"/>
      <c r="R236" s="686"/>
      <c r="S236" s="686"/>
      <c r="T236" s="686"/>
      <c r="U236" s="686"/>
      <c r="V236" s="687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688"/>
      <c r="B237" s="688"/>
      <c r="C237" s="688"/>
      <c r="D237" s="688"/>
      <c r="E237" s="688"/>
      <c r="F237" s="688"/>
      <c r="G237" s="688"/>
      <c r="H237" s="688"/>
      <c r="I237" s="688"/>
      <c r="J237" s="688"/>
      <c r="K237" s="688"/>
      <c r="L237" s="688"/>
      <c r="M237" s="688"/>
      <c r="N237" s="688"/>
      <c r="O237" s="689"/>
      <c r="P237" s="685" t="s">
        <v>40</v>
      </c>
      <c r="Q237" s="686"/>
      <c r="R237" s="686"/>
      <c r="S237" s="686"/>
      <c r="T237" s="686"/>
      <c r="U237" s="686"/>
      <c r="V237" s="687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78" t="s">
        <v>413</v>
      </c>
      <c r="B238" s="678"/>
      <c r="C238" s="678"/>
      <c r="D238" s="678"/>
      <c r="E238" s="678"/>
      <c r="F238" s="678"/>
      <c r="G238" s="678"/>
      <c r="H238" s="678"/>
      <c r="I238" s="678"/>
      <c r="J238" s="678"/>
      <c r="K238" s="678"/>
      <c r="L238" s="678"/>
      <c r="M238" s="678"/>
      <c r="N238" s="678"/>
      <c r="O238" s="678"/>
      <c r="P238" s="678"/>
      <c r="Q238" s="678"/>
      <c r="R238" s="678"/>
      <c r="S238" s="678"/>
      <c r="T238" s="678"/>
      <c r="U238" s="678"/>
      <c r="V238" s="678"/>
      <c r="W238" s="678"/>
      <c r="X238" s="678"/>
      <c r="Y238" s="678"/>
      <c r="Z238" s="678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79">
        <v>4680115886797</v>
      </c>
      <c r="E239" s="67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81"/>
      <c r="R239" s="681"/>
      <c r="S239" s="681"/>
      <c r="T239" s="68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88"/>
      <c r="B240" s="688"/>
      <c r="C240" s="688"/>
      <c r="D240" s="688"/>
      <c r="E240" s="688"/>
      <c r="F240" s="688"/>
      <c r="G240" s="688"/>
      <c r="H240" s="688"/>
      <c r="I240" s="688"/>
      <c r="J240" s="688"/>
      <c r="K240" s="688"/>
      <c r="L240" s="688"/>
      <c r="M240" s="688"/>
      <c r="N240" s="688"/>
      <c r="O240" s="689"/>
      <c r="P240" s="685" t="s">
        <v>40</v>
      </c>
      <c r="Q240" s="686"/>
      <c r="R240" s="686"/>
      <c r="S240" s="686"/>
      <c r="T240" s="686"/>
      <c r="U240" s="686"/>
      <c r="V240" s="687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688"/>
      <c r="B241" s="688"/>
      <c r="C241" s="688"/>
      <c r="D241" s="688"/>
      <c r="E241" s="688"/>
      <c r="F241" s="688"/>
      <c r="G241" s="688"/>
      <c r="H241" s="688"/>
      <c r="I241" s="688"/>
      <c r="J241" s="688"/>
      <c r="K241" s="688"/>
      <c r="L241" s="688"/>
      <c r="M241" s="688"/>
      <c r="N241" s="688"/>
      <c r="O241" s="689"/>
      <c r="P241" s="685" t="s">
        <v>40</v>
      </c>
      <c r="Q241" s="686"/>
      <c r="R241" s="686"/>
      <c r="S241" s="686"/>
      <c r="T241" s="686"/>
      <c r="U241" s="686"/>
      <c r="V241" s="687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77" t="s">
        <v>416</v>
      </c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77"/>
      <c r="P242" s="677"/>
      <c r="Q242" s="677"/>
      <c r="R242" s="677"/>
      <c r="S242" s="677"/>
      <c r="T242" s="677"/>
      <c r="U242" s="677"/>
      <c r="V242" s="677"/>
      <c r="W242" s="677"/>
      <c r="X242" s="677"/>
      <c r="Y242" s="677"/>
      <c r="Z242" s="677"/>
      <c r="AA242" s="65"/>
      <c r="AB242" s="65"/>
      <c r="AC242" s="79"/>
    </row>
    <row r="243" spans="1:68" ht="14.25" customHeight="1" x14ac:dyDescent="0.25">
      <c r="A243" s="678" t="s">
        <v>139</v>
      </c>
      <c r="B243" s="678"/>
      <c r="C243" s="678"/>
      <c r="D243" s="678"/>
      <c r="E243" s="678"/>
      <c r="F243" s="678"/>
      <c r="G243" s="678"/>
      <c r="H243" s="678"/>
      <c r="I243" s="678"/>
      <c r="J243" s="678"/>
      <c r="K243" s="678"/>
      <c r="L243" s="678"/>
      <c r="M243" s="678"/>
      <c r="N243" s="678"/>
      <c r="O243" s="678"/>
      <c r="P243" s="678"/>
      <c r="Q243" s="678"/>
      <c r="R243" s="678"/>
      <c r="S243" s="678"/>
      <c r="T243" s="678"/>
      <c r="U243" s="678"/>
      <c r="V243" s="678"/>
      <c r="W243" s="678"/>
      <c r="X243" s="678"/>
      <c r="Y243" s="678"/>
      <c r="Z243" s="678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79">
        <v>4680115881402</v>
      </c>
      <c r="E244" s="679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8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81"/>
      <c r="R244" s="681"/>
      <c r="S244" s="681"/>
      <c r="T244" s="68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79">
        <v>4680115881396</v>
      </c>
      <c r="E245" s="679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8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81"/>
      <c r="R245" s="681"/>
      <c r="S245" s="681"/>
      <c r="T245" s="68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88"/>
      <c r="B246" s="688"/>
      <c r="C246" s="688"/>
      <c r="D246" s="688"/>
      <c r="E246" s="688"/>
      <c r="F246" s="688"/>
      <c r="G246" s="688"/>
      <c r="H246" s="688"/>
      <c r="I246" s="688"/>
      <c r="J246" s="688"/>
      <c r="K246" s="688"/>
      <c r="L246" s="688"/>
      <c r="M246" s="688"/>
      <c r="N246" s="688"/>
      <c r="O246" s="689"/>
      <c r="P246" s="685" t="s">
        <v>40</v>
      </c>
      <c r="Q246" s="686"/>
      <c r="R246" s="686"/>
      <c r="S246" s="686"/>
      <c r="T246" s="686"/>
      <c r="U246" s="686"/>
      <c r="V246" s="687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688"/>
      <c r="B247" s="688"/>
      <c r="C247" s="688"/>
      <c r="D247" s="688"/>
      <c r="E247" s="688"/>
      <c r="F247" s="688"/>
      <c r="G247" s="688"/>
      <c r="H247" s="688"/>
      <c r="I247" s="688"/>
      <c r="J247" s="688"/>
      <c r="K247" s="688"/>
      <c r="L247" s="688"/>
      <c r="M247" s="688"/>
      <c r="N247" s="688"/>
      <c r="O247" s="689"/>
      <c r="P247" s="685" t="s">
        <v>40</v>
      </c>
      <c r="Q247" s="686"/>
      <c r="R247" s="686"/>
      <c r="S247" s="686"/>
      <c r="T247" s="686"/>
      <c r="U247" s="686"/>
      <c r="V247" s="687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78" t="s">
        <v>174</v>
      </c>
      <c r="B248" s="678"/>
      <c r="C248" s="678"/>
      <c r="D248" s="678"/>
      <c r="E248" s="678"/>
      <c r="F248" s="678"/>
      <c r="G248" s="678"/>
      <c r="H248" s="678"/>
      <c r="I248" s="678"/>
      <c r="J248" s="678"/>
      <c r="K248" s="678"/>
      <c r="L248" s="678"/>
      <c r="M248" s="678"/>
      <c r="N248" s="678"/>
      <c r="O248" s="678"/>
      <c r="P248" s="678"/>
      <c r="Q248" s="678"/>
      <c r="R248" s="678"/>
      <c r="S248" s="678"/>
      <c r="T248" s="678"/>
      <c r="U248" s="678"/>
      <c r="V248" s="678"/>
      <c r="W248" s="678"/>
      <c r="X248" s="678"/>
      <c r="Y248" s="678"/>
      <c r="Z248" s="678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79">
        <v>4680115882935</v>
      </c>
      <c r="E249" s="67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8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81"/>
      <c r="R249" s="681"/>
      <c r="S249" s="681"/>
      <c r="T249" s="68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79">
        <v>4680115880764</v>
      </c>
      <c r="E250" s="679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8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81"/>
      <c r="R250" s="681"/>
      <c r="S250" s="681"/>
      <c r="T250" s="68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88"/>
      <c r="B251" s="688"/>
      <c r="C251" s="688"/>
      <c r="D251" s="688"/>
      <c r="E251" s="688"/>
      <c r="F251" s="688"/>
      <c r="G251" s="688"/>
      <c r="H251" s="688"/>
      <c r="I251" s="688"/>
      <c r="J251" s="688"/>
      <c r="K251" s="688"/>
      <c r="L251" s="688"/>
      <c r="M251" s="688"/>
      <c r="N251" s="688"/>
      <c r="O251" s="689"/>
      <c r="P251" s="685" t="s">
        <v>40</v>
      </c>
      <c r="Q251" s="686"/>
      <c r="R251" s="686"/>
      <c r="S251" s="686"/>
      <c r="T251" s="686"/>
      <c r="U251" s="686"/>
      <c r="V251" s="68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88"/>
      <c r="B252" s="688"/>
      <c r="C252" s="688"/>
      <c r="D252" s="688"/>
      <c r="E252" s="688"/>
      <c r="F252" s="688"/>
      <c r="G252" s="688"/>
      <c r="H252" s="688"/>
      <c r="I252" s="688"/>
      <c r="J252" s="688"/>
      <c r="K252" s="688"/>
      <c r="L252" s="688"/>
      <c r="M252" s="688"/>
      <c r="N252" s="688"/>
      <c r="O252" s="689"/>
      <c r="P252" s="685" t="s">
        <v>40</v>
      </c>
      <c r="Q252" s="686"/>
      <c r="R252" s="686"/>
      <c r="S252" s="686"/>
      <c r="T252" s="686"/>
      <c r="U252" s="686"/>
      <c r="V252" s="68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78" t="s">
        <v>77</v>
      </c>
      <c r="B253" s="678"/>
      <c r="C253" s="678"/>
      <c r="D253" s="678"/>
      <c r="E253" s="678"/>
      <c r="F253" s="678"/>
      <c r="G253" s="678"/>
      <c r="H253" s="678"/>
      <c r="I253" s="678"/>
      <c r="J253" s="678"/>
      <c r="K253" s="678"/>
      <c r="L253" s="678"/>
      <c r="M253" s="678"/>
      <c r="N253" s="678"/>
      <c r="O253" s="678"/>
      <c r="P253" s="678"/>
      <c r="Q253" s="678"/>
      <c r="R253" s="678"/>
      <c r="S253" s="678"/>
      <c r="T253" s="678"/>
      <c r="U253" s="678"/>
      <c r="V253" s="678"/>
      <c r="W253" s="678"/>
      <c r="X253" s="678"/>
      <c r="Y253" s="678"/>
      <c r="Z253" s="678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79">
        <v>4680115882683</v>
      </c>
      <c r="E254" s="679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81"/>
      <c r="R254" s="681"/>
      <c r="S254" s="681"/>
      <c r="T254" s="682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ref="Y254:Y261" si="27">IFERROR(IF(X254="",0,CEILING((X254/$H254),1)*$H254),"")</f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0</v>
      </c>
      <c r="BN254" s="78">
        <f t="shared" ref="BN254:BN261" si="29">IFERROR(Y254*I254/H254,"0")</f>
        <v>0</v>
      </c>
      <c r="BO254" s="78">
        <f t="shared" ref="BO254:BO261" si="30">IFERROR(1/J254*(X254/H254),"0")</f>
        <v>0</v>
      </c>
      <c r="BP254" s="78">
        <f t="shared" ref="BP254:BP261" si="31"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79">
        <v>4680115882690</v>
      </c>
      <c r="E255" s="679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81"/>
      <c r="R255" s="681"/>
      <c r="S255" s="681"/>
      <c r="T255" s="682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79">
        <v>4680115882669</v>
      </c>
      <c r="E256" s="679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81"/>
      <c r="R256" s="681"/>
      <c r="S256" s="681"/>
      <c r="T256" s="682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27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0</v>
      </c>
      <c r="BN256" s="78">
        <f t="shared" si="29"/>
        <v>0</v>
      </c>
      <c r="BO256" s="78">
        <f t="shared" si="30"/>
        <v>0</v>
      </c>
      <c r="BP256" s="78">
        <f t="shared" si="31"/>
        <v>0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79">
        <v>4680115882676</v>
      </c>
      <c r="E257" s="679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81"/>
      <c r="R257" s="681"/>
      <c r="S257" s="681"/>
      <c r="T257" s="682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79">
        <v>4680115884014</v>
      </c>
      <c r="E258" s="679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81"/>
      <c r="R258" s="681"/>
      <c r="S258" s="681"/>
      <c r="T258" s="682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79">
        <v>4680115884007</v>
      </c>
      <c r="E259" s="679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81"/>
      <c r="R259" s="681"/>
      <c r="S259" s="681"/>
      <c r="T259" s="68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79">
        <v>4680115884038</v>
      </c>
      <c r="E260" s="679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81"/>
      <c r="R260" s="681"/>
      <c r="S260" s="681"/>
      <c r="T260" s="68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79">
        <v>4680115884021</v>
      </c>
      <c r="E261" s="679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8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81"/>
      <c r="R261" s="681"/>
      <c r="S261" s="681"/>
      <c r="T261" s="68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">
      <c r="A262" s="688"/>
      <c r="B262" s="688"/>
      <c r="C262" s="688"/>
      <c r="D262" s="688"/>
      <c r="E262" s="688"/>
      <c r="F262" s="688"/>
      <c r="G262" s="688"/>
      <c r="H262" s="688"/>
      <c r="I262" s="688"/>
      <c r="J262" s="688"/>
      <c r="K262" s="688"/>
      <c r="L262" s="688"/>
      <c r="M262" s="688"/>
      <c r="N262" s="688"/>
      <c r="O262" s="689"/>
      <c r="P262" s="685" t="s">
        <v>40</v>
      </c>
      <c r="Q262" s="686"/>
      <c r="R262" s="686"/>
      <c r="S262" s="686"/>
      <c r="T262" s="686"/>
      <c r="U262" s="686"/>
      <c r="V262" s="687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0</v>
      </c>
      <c r="Y262" s="43">
        <f>IFERROR(Y254/H254,"0")+IFERROR(Y255/H255,"0")+IFERROR(Y256/H256,"0")+IFERROR(Y257/H257,"0")+IFERROR(Y258/H258,"0")+IFERROR(Y259/H259,"0")+IFERROR(Y260/H260,"0")+IFERROR(Y261/H261,"0")</f>
        <v>0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</v>
      </c>
      <c r="AA262" s="67"/>
      <c r="AB262" s="67"/>
      <c r="AC262" s="67"/>
    </row>
    <row r="263" spans="1:68" x14ac:dyDescent="0.2">
      <c r="A263" s="688"/>
      <c r="B263" s="688"/>
      <c r="C263" s="688"/>
      <c r="D263" s="688"/>
      <c r="E263" s="688"/>
      <c r="F263" s="688"/>
      <c r="G263" s="688"/>
      <c r="H263" s="688"/>
      <c r="I263" s="688"/>
      <c r="J263" s="688"/>
      <c r="K263" s="688"/>
      <c r="L263" s="688"/>
      <c r="M263" s="688"/>
      <c r="N263" s="688"/>
      <c r="O263" s="689"/>
      <c r="P263" s="685" t="s">
        <v>40</v>
      </c>
      <c r="Q263" s="686"/>
      <c r="R263" s="686"/>
      <c r="S263" s="686"/>
      <c r="T263" s="686"/>
      <c r="U263" s="686"/>
      <c r="V263" s="687"/>
      <c r="W263" s="42" t="s">
        <v>0</v>
      </c>
      <c r="X263" s="43">
        <f>IFERROR(SUM(X254:X261),"0")</f>
        <v>0</v>
      </c>
      <c r="Y263" s="43">
        <f>IFERROR(SUM(Y254:Y261),"0")</f>
        <v>0</v>
      </c>
      <c r="Z263" s="42"/>
      <c r="AA263" s="67"/>
      <c r="AB263" s="67"/>
      <c r="AC263" s="67"/>
    </row>
    <row r="264" spans="1:68" ht="14.25" customHeight="1" x14ac:dyDescent="0.25">
      <c r="A264" s="678" t="s">
        <v>90</v>
      </c>
      <c r="B264" s="678"/>
      <c r="C264" s="678"/>
      <c r="D264" s="678"/>
      <c r="E264" s="678"/>
      <c r="F264" s="678"/>
      <c r="G264" s="678"/>
      <c r="H264" s="678"/>
      <c r="I264" s="678"/>
      <c r="J264" s="678"/>
      <c r="K264" s="678"/>
      <c r="L264" s="678"/>
      <c r="M264" s="678"/>
      <c r="N264" s="678"/>
      <c r="O264" s="678"/>
      <c r="P264" s="678"/>
      <c r="Q264" s="678"/>
      <c r="R264" s="678"/>
      <c r="S264" s="678"/>
      <c r="T264" s="678"/>
      <c r="U264" s="678"/>
      <c r="V264" s="678"/>
      <c r="W264" s="678"/>
      <c r="X264" s="678"/>
      <c r="Y264" s="678"/>
      <c r="Z264" s="678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79">
        <v>4680115889064</v>
      </c>
      <c r="E265" s="679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81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81"/>
      <c r="R265" s="681"/>
      <c r="S265" s="681"/>
      <c r="T265" s="68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79">
        <v>4680115881594</v>
      </c>
      <c r="E266" s="679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8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1"/>
      <c r="R266" s="681"/>
      <c r="S266" s="681"/>
      <c r="T266" s="68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79">
        <v>4680115881617</v>
      </c>
      <c r="E267" s="679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1"/>
      <c r="R267" s="681"/>
      <c r="S267" s="681"/>
      <c r="T267" s="68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79">
        <v>4680115880573</v>
      </c>
      <c r="E268" s="679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1"/>
      <c r="R268" s="681"/>
      <c r="S268" s="681"/>
      <c r="T268" s="68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79">
        <v>4680115882195</v>
      </c>
      <c r="E269" s="679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8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1"/>
      <c r="R269" s="681"/>
      <c r="S269" s="681"/>
      <c r="T269" s="68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2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0</v>
      </c>
      <c r="BN269" s="78">
        <f t="shared" si="34"/>
        <v>0</v>
      </c>
      <c r="BO269" s="78">
        <f t="shared" si="35"/>
        <v>0</v>
      </c>
      <c r="BP269" s="78">
        <f t="shared" si="36"/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79">
        <v>4680115882607</v>
      </c>
      <c r="E270" s="679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8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1"/>
      <c r="R270" s="681"/>
      <c r="S270" s="681"/>
      <c r="T270" s="68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79">
        <v>4680115882607</v>
      </c>
      <c r="E271" s="679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8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1"/>
      <c r="R271" s="681"/>
      <c r="S271" s="681"/>
      <c r="T271" s="68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79">
        <v>4680115880092</v>
      </c>
      <c r="E272" s="67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8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1"/>
      <c r="R272" s="681"/>
      <c r="S272" s="681"/>
      <c r="T272" s="682"/>
      <c r="U272" s="39" t="s">
        <v>46</v>
      </c>
      <c r="V272" s="39" t="s">
        <v>46</v>
      </c>
      <c r="W272" s="40" t="s">
        <v>0</v>
      </c>
      <c r="X272" s="58">
        <v>160</v>
      </c>
      <c r="Y272" s="55">
        <f t="shared" si="32"/>
        <v>160.79999999999998</v>
      </c>
      <c r="Z272" s="41">
        <f>IFERROR(IF(Y272=0,"",ROUNDUP(Y272/H272,0)*0.00651),"")</f>
        <v>0.43617</v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176.80000000000004</v>
      </c>
      <c r="BN272" s="78">
        <f t="shared" si="34"/>
        <v>177.684</v>
      </c>
      <c r="BO272" s="78">
        <f t="shared" si="35"/>
        <v>0.36630036630036633</v>
      </c>
      <c r="BP272" s="78">
        <f t="shared" si="36"/>
        <v>0.36813186813186816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79">
        <v>4680115880221</v>
      </c>
      <c r="E273" s="679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8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81"/>
      <c r="R273" s="681"/>
      <c r="S273" s="681"/>
      <c r="T273" s="682"/>
      <c r="U273" s="39" t="s">
        <v>46</v>
      </c>
      <c r="V273" s="39" t="s">
        <v>46</v>
      </c>
      <c r="W273" s="40" t="s">
        <v>0</v>
      </c>
      <c r="X273" s="58">
        <v>48</v>
      </c>
      <c r="Y273" s="55">
        <f t="shared" si="32"/>
        <v>48</v>
      </c>
      <c r="Z273" s="41">
        <f>IFERROR(IF(Y273=0,"",ROUNDUP(Y273/H273,0)*0.00651),"")</f>
        <v>0.13020000000000001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53.040000000000006</v>
      </c>
      <c r="BN273" s="78">
        <f t="shared" si="34"/>
        <v>53.040000000000006</v>
      </c>
      <c r="BO273" s="78">
        <f t="shared" si="35"/>
        <v>0.1098901098901099</v>
      </c>
      <c r="BP273" s="78">
        <f t="shared" si="36"/>
        <v>0.1098901098901099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79">
        <v>4680115880504</v>
      </c>
      <c r="E274" s="679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81"/>
      <c r="R274" s="681"/>
      <c r="S274" s="681"/>
      <c r="T274" s="68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79">
        <v>4680115882164</v>
      </c>
      <c r="E275" s="679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8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81"/>
      <c r="R275" s="681"/>
      <c r="S275" s="681"/>
      <c r="T275" s="68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79">
        <v>4680115888340</v>
      </c>
      <c r="E276" s="67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8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81"/>
      <c r="R276" s="681"/>
      <c r="S276" s="681"/>
      <c r="T276" s="68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">
      <c r="A277" s="688"/>
      <c r="B277" s="688"/>
      <c r="C277" s="688"/>
      <c r="D277" s="688"/>
      <c r="E277" s="688"/>
      <c r="F277" s="688"/>
      <c r="G277" s="688"/>
      <c r="H277" s="688"/>
      <c r="I277" s="688"/>
      <c r="J277" s="688"/>
      <c r="K277" s="688"/>
      <c r="L277" s="688"/>
      <c r="M277" s="688"/>
      <c r="N277" s="688"/>
      <c r="O277" s="689"/>
      <c r="P277" s="685" t="s">
        <v>40</v>
      </c>
      <c r="Q277" s="686"/>
      <c r="R277" s="686"/>
      <c r="S277" s="686"/>
      <c r="T277" s="686"/>
      <c r="U277" s="686"/>
      <c r="V277" s="687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86.666666666666671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87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0.56637000000000004</v>
      </c>
      <c r="AA277" s="67"/>
      <c r="AB277" s="67"/>
      <c r="AC277" s="67"/>
    </row>
    <row r="278" spans="1:68" x14ac:dyDescent="0.2">
      <c r="A278" s="688"/>
      <c r="B278" s="688"/>
      <c r="C278" s="688"/>
      <c r="D278" s="688"/>
      <c r="E278" s="688"/>
      <c r="F278" s="688"/>
      <c r="G278" s="688"/>
      <c r="H278" s="688"/>
      <c r="I278" s="688"/>
      <c r="J278" s="688"/>
      <c r="K278" s="688"/>
      <c r="L278" s="688"/>
      <c r="M278" s="688"/>
      <c r="N278" s="688"/>
      <c r="O278" s="689"/>
      <c r="P278" s="685" t="s">
        <v>40</v>
      </c>
      <c r="Q278" s="686"/>
      <c r="R278" s="686"/>
      <c r="S278" s="686"/>
      <c r="T278" s="686"/>
      <c r="U278" s="686"/>
      <c r="V278" s="687"/>
      <c r="W278" s="42" t="s">
        <v>0</v>
      </c>
      <c r="X278" s="43">
        <f>IFERROR(SUM(X265:X276),"0")</f>
        <v>208</v>
      </c>
      <c r="Y278" s="43">
        <f>IFERROR(SUM(Y265:Y276),"0")</f>
        <v>208.79999999999998</v>
      </c>
      <c r="Z278" s="42"/>
      <c r="AA278" s="67"/>
      <c r="AB278" s="67"/>
      <c r="AC278" s="67"/>
    </row>
    <row r="279" spans="1:68" ht="14.25" customHeight="1" x14ac:dyDescent="0.25">
      <c r="A279" s="678" t="s">
        <v>191</v>
      </c>
      <c r="B279" s="678"/>
      <c r="C279" s="678"/>
      <c r="D279" s="678"/>
      <c r="E279" s="678"/>
      <c r="F279" s="678"/>
      <c r="G279" s="678"/>
      <c r="H279" s="678"/>
      <c r="I279" s="678"/>
      <c r="J279" s="678"/>
      <c r="K279" s="678"/>
      <c r="L279" s="678"/>
      <c r="M279" s="678"/>
      <c r="N279" s="678"/>
      <c r="O279" s="678"/>
      <c r="P279" s="678"/>
      <c r="Q279" s="678"/>
      <c r="R279" s="678"/>
      <c r="S279" s="678"/>
      <c r="T279" s="678"/>
      <c r="U279" s="678"/>
      <c r="V279" s="678"/>
      <c r="W279" s="678"/>
      <c r="X279" s="678"/>
      <c r="Y279" s="678"/>
      <c r="Z279" s="67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79">
        <v>4680115880818</v>
      </c>
      <c r="E280" s="67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82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81"/>
      <c r="R280" s="681"/>
      <c r="S280" s="681"/>
      <c r="T280" s="682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79">
        <v>4680115880801</v>
      </c>
      <c r="E281" s="67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8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81"/>
      <c r="R281" s="681"/>
      <c r="S281" s="681"/>
      <c r="T281" s="682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88"/>
      <c r="B282" s="688"/>
      <c r="C282" s="688"/>
      <c r="D282" s="688"/>
      <c r="E282" s="688"/>
      <c r="F282" s="688"/>
      <c r="G282" s="688"/>
      <c r="H282" s="688"/>
      <c r="I282" s="688"/>
      <c r="J282" s="688"/>
      <c r="K282" s="688"/>
      <c r="L282" s="688"/>
      <c r="M282" s="688"/>
      <c r="N282" s="688"/>
      <c r="O282" s="689"/>
      <c r="P282" s="685" t="s">
        <v>40</v>
      </c>
      <c r="Q282" s="686"/>
      <c r="R282" s="686"/>
      <c r="S282" s="686"/>
      <c r="T282" s="686"/>
      <c r="U282" s="686"/>
      <c r="V282" s="687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">
      <c r="A283" s="688"/>
      <c r="B283" s="688"/>
      <c r="C283" s="688"/>
      <c r="D283" s="688"/>
      <c r="E283" s="688"/>
      <c r="F283" s="688"/>
      <c r="G283" s="688"/>
      <c r="H283" s="688"/>
      <c r="I283" s="688"/>
      <c r="J283" s="688"/>
      <c r="K283" s="688"/>
      <c r="L283" s="688"/>
      <c r="M283" s="688"/>
      <c r="N283" s="688"/>
      <c r="O283" s="689"/>
      <c r="P283" s="685" t="s">
        <v>40</v>
      </c>
      <c r="Q283" s="686"/>
      <c r="R283" s="686"/>
      <c r="S283" s="686"/>
      <c r="T283" s="686"/>
      <c r="U283" s="686"/>
      <c r="V283" s="687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77" t="s">
        <v>484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5"/>
      <c r="AB284" s="65"/>
      <c r="AC284" s="79"/>
    </row>
    <row r="285" spans="1:68" ht="14.25" customHeight="1" x14ac:dyDescent="0.25">
      <c r="A285" s="678" t="s">
        <v>139</v>
      </c>
      <c r="B285" s="678"/>
      <c r="C285" s="678"/>
      <c r="D285" s="678"/>
      <c r="E285" s="678"/>
      <c r="F285" s="678"/>
      <c r="G285" s="678"/>
      <c r="H285" s="678"/>
      <c r="I285" s="678"/>
      <c r="J285" s="678"/>
      <c r="K285" s="678"/>
      <c r="L285" s="678"/>
      <c r="M285" s="678"/>
      <c r="N285" s="678"/>
      <c r="O285" s="678"/>
      <c r="P285" s="678"/>
      <c r="Q285" s="678"/>
      <c r="R285" s="678"/>
      <c r="S285" s="678"/>
      <c r="T285" s="678"/>
      <c r="U285" s="678"/>
      <c r="V285" s="678"/>
      <c r="W285" s="678"/>
      <c r="X285" s="678"/>
      <c r="Y285" s="678"/>
      <c r="Z285" s="678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79">
        <v>4680115884137</v>
      </c>
      <c r="E286" s="679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8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81"/>
      <c r="R286" s="681"/>
      <c r="S286" s="681"/>
      <c r="T286" s="68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79">
        <v>4680115884236</v>
      </c>
      <c r="E287" s="679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82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81"/>
      <c r="R287" s="681"/>
      <c r="S287" s="681"/>
      <c r="T287" s="68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79">
        <v>4680115884175</v>
      </c>
      <c r="E288" s="679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8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81"/>
      <c r="R288" s="681"/>
      <c r="S288" s="681"/>
      <c r="T288" s="68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79">
        <v>4680115884144</v>
      </c>
      <c r="E289" s="679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8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81"/>
      <c r="R289" s="681"/>
      <c r="S289" s="681"/>
      <c r="T289" s="68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7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0</v>
      </c>
      <c r="BN289" s="78">
        <f t="shared" si="39"/>
        <v>0</v>
      </c>
      <c r="BO289" s="78">
        <f t="shared" si="40"/>
        <v>0</v>
      </c>
      <c r="BP289" s="78">
        <f t="shared" si="41"/>
        <v>0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79">
        <v>4680115886551</v>
      </c>
      <c r="E290" s="679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8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81"/>
      <c r="R290" s="681"/>
      <c r="S290" s="681"/>
      <c r="T290" s="68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79">
        <v>4680115887282</v>
      </c>
      <c r="E291" s="679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8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81"/>
      <c r="R291" s="681"/>
      <c r="S291" s="681"/>
      <c r="T291" s="68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79">
        <v>4680115884205</v>
      </c>
      <c r="E292" s="67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8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81"/>
      <c r="R292" s="681"/>
      <c r="S292" s="681"/>
      <c r="T292" s="68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x14ac:dyDescent="0.2">
      <c r="A293" s="688"/>
      <c r="B293" s="688"/>
      <c r="C293" s="688"/>
      <c r="D293" s="688"/>
      <c r="E293" s="688"/>
      <c r="F293" s="688"/>
      <c r="G293" s="688"/>
      <c r="H293" s="688"/>
      <c r="I293" s="688"/>
      <c r="J293" s="688"/>
      <c r="K293" s="688"/>
      <c r="L293" s="688"/>
      <c r="M293" s="688"/>
      <c r="N293" s="688"/>
      <c r="O293" s="689"/>
      <c r="P293" s="685" t="s">
        <v>40</v>
      </c>
      <c r="Q293" s="686"/>
      <c r="R293" s="686"/>
      <c r="S293" s="686"/>
      <c r="T293" s="686"/>
      <c r="U293" s="686"/>
      <c r="V293" s="687"/>
      <c r="W293" s="42" t="s">
        <v>39</v>
      </c>
      <c r="X293" s="43">
        <f>IFERROR(X286/H286,"0")+IFERROR(X287/H287,"0")+IFERROR(X288/H288,"0")+IFERROR(X289/H289,"0")+IFERROR(X290/H290,"0")+IFERROR(X291/H291,"0")+IFERROR(X292/H292,"0")</f>
        <v>0</v>
      </c>
      <c r="Y293" s="43">
        <f>IFERROR(Y286/H286,"0")+IFERROR(Y287/H287,"0")+IFERROR(Y288/H288,"0")+IFERROR(Y289/H289,"0")+IFERROR(Y290/H290,"0")+IFERROR(Y291/H291,"0")+IFERROR(Y292/H292,"0")</f>
        <v>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88"/>
      <c r="B294" s="688"/>
      <c r="C294" s="688"/>
      <c r="D294" s="688"/>
      <c r="E294" s="688"/>
      <c r="F294" s="688"/>
      <c r="G294" s="688"/>
      <c r="H294" s="688"/>
      <c r="I294" s="688"/>
      <c r="J294" s="688"/>
      <c r="K294" s="688"/>
      <c r="L294" s="688"/>
      <c r="M294" s="688"/>
      <c r="N294" s="688"/>
      <c r="O294" s="689"/>
      <c r="P294" s="685" t="s">
        <v>40</v>
      </c>
      <c r="Q294" s="686"/>
      <c r="R294" s="686"/>
      <c r="S294" s="686"/>
      <c r="T294" s="686"/>
      <c r="U294" s="686"/>
      <c r="V294" s="687"/>
      <c r="W294" s="42" t="s">
        <v>0</v>
      </c>
      <c r="X294" s="43">
        <f>IFERROR(SUM(X286:X292),"0")</f>
        <v>0</v>
      </c>
      <c r="Y294" s="43">
        <f>IFERROR(SUM(Y286:Y292),"0")</f>
        <v>0</v>
      </c>
      <c r="Z294" s="42"/>
      <c r="AA294" s="67"/>
      <c r="AB294" s="67"/>
      <c r="AC294" s="67"/>
    </row>
    <row r="295" spans="1:68" ht="14.25" customHeight="1" x14ac:dyDescent="0.25">
      <c r="A295" s="678" t="s">
        <v>174</v>
      </c>
      <c r="B295" s="678"/>
      <c r="C295" s="678"/>
      <c r="D295" s="678"/>
      <c r="E295" s="678"/>
      <c r="F295" s="678"/>
      <c r="G295" s="678"/>
      <c r="H295" s="678"/>
      <c r="I295" s="678"/>
      <c r="J295" s="678"/>
      <c r="K295" s="678"/>
      <c r="L295" s="678"/>
      <c r="M295" s="678"/>
      <c r="N295" s="678"/>
      <c r="O295" s="678"/>
      <c r="P295" s="678"/>
      <c r="Q295" s="678"/>
      <c r="R295" s="678"/>
      <c r="S295" s="678"/>
      <c r="T295" s="678"/>
      <c r="U295" s="678"/>
      <c r="V295" s="678"/>
      <c r="W295" s="678"/>
      <c r="X295" s="678"/>
      <c r="Y295" s="678"/>
      <c r="Z295" s="678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79">
        <v>4680115885981</v>
      </c>
      <c r="E296" s="679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8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81"/>
      <c r="R296" s="681"/>
      <c r="S296" s="681"/>
      <c r="T296" s="68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88"/>
      <c r="B297" s="688"/>
      <c r="C297" s="688"/>
      <c r="D297" s="688"/>
      <c r="E297" s="688"/>
      <c r="F297" s="688"/>
      <c r="G297" s="688"/>
      <c r="H297" s="688"/>
      <c r="I297" s="688"/>
      <c r="J297" s="688"/>
      <c r="K297" s="688"/>
      <c r="L297" s="688"/>
      <c r="M297" s="688"/>
      <c r="N297" s="688"/>
      <c r="O297" s="689"/>
      <c r="P297" s="685" t="s">
        <v>40</v>
      </c>
      <c r="Q297" s="686"/>
      <c r="R297" s="686"/>
      <c r="S297" s="686"/>
      <c r="T297" s="686"/>
      <c r="U297" s="686"/>
      <c r="V297" s="687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">
      <c r="A298" s="688"/>
      <c r="B298" s="688"/>
      <c r="C298" s="688"/>
      <c r="D298" s="688"/>
      <c r="E298" s="688"/>
      <c r="F298" s="688"/>
      <c r="G298" s="688"/>
      <c r="H298" s="688"/>
      <c r="I298" s="688"/>
      <c r="J298" s="688"/>
      <c r="K298" s="688"/>
      <c r="L298" s="688"/>
      <c r="M298" s="688"/>
      <c r="N298" s="688"/>
      <c r="O298" s="689"/>
      <c r="P298" s="685" t="s">
        <v>40</v>
      </c>
      <c r="Q298" s="686"/>
      <c r="R298" s="686"/>
      <c r="S298" s="686"/>
      <c r="T298" s="686"/>
      <c r="U298" s="686"/>
      <c r="V298" s="687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78" t="s">
        <v>506</v>
      </c>
      <c r="B299" s="678"/>
      <c r="C299" s="678"/>
      <c r="D299" s="678"/>
      <c r="E299" s="678"/>
      <c r="F299" s="678"/>
      <c r="G299" s="678"/>
      <c r="H299" s="678"/>
      <c r="I299" s="678"/>
      <c r="J299" s="678"/>
      <c r="K299" s="678"/>
      <c r="L299" s="678"/>
      <c r="M299" s="678"/>
      <c r="N299" s="678"/>
      <c r="O299" s="678"/>
      <c r="P299" s="678"/>
      <c r="Q299" s="678"/>
      <c r="R299" s="678"/>
      <c r="S299" s="678"/>
      <c r="T299" s="678"/>
      <c r="U299" s="678"/>
      <c r="V299" s="678"/>
      <c r="W299" s="678"/>
      <c r="X299" s="678"/>
      <c r="Y299" s="678"/>
      <c r="Z299" s="678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79">
        <v>4680115886803</v>
      </c>
      <c r="E300" s="679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8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81"/>
      <c r="R300" s="681"/>
      <c r="S300" s="681"/>
      <c r="T300" s="682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IFERROR(IF(Y300=0,"",ROUNDUP(Y300/H300,0)*0.0059),"")</f>
        <v/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88"/>
      <c r="B301" s="688"/>
      <c r="C301" s="688"/>
      <c r="D301" s="688"/>
      <c r="E301" s="688"/>
      <c r="F301" s="688"/>
      <c r="G301" s="688"/>
      <c r="H301" s="688"/>
      <c r="I301" s="688"/>
      <c r="J301" s="688"/>
      <c r="K301" s="688"/>
      <c r="L301" s="688"/>
      <c r="M301" s="688"/>
      <c r="N301" s="688"/>
      <c r="O301" s="689"/>
      <c r="P301" s="685" t="s">
        <v>40</v>
      </c>
      <c r="Q301" s="686"/>
      <c r="R301" s="686"/>
      <c r="S301" s="686"/>
      <c r="T301" s="686"/>
      <c r="U301" s="686"/>
      <c r="V301" s="687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">
      <c r="A302" s="688"/>
      <c r="B302" s="688"/>
      <c r="C302" s="688"/>
      <c r="D302" s="688"/>
      <c r="E302" s="688"/>
      <c r="F302" s="688"/>
      <c r="G302" s="688"/>
      <c r="H302" s="688"/>
      <c r="I302" s="688"/>
      <c r="J302" s="688"/>
      <c r="K302" s="688"/>
      <c r="L302" s="688"/>
      <c r="M302" s="688"/>
      <c r="N302" s="688"/>
      <c r="O302" s="689"/>
      <c r="P302" s="685" t="s">
        <v>40</v>
      </c>
      <c r="Q302" s="686"/>
      <c r="R302" s="686"/>
      <c r="S302" s="686"/>
      <c r="T302" s="686"/>
      <c r="U302" s="686"/>
      <c r="V302" s="687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678" t="s">
        <v>340</v>
      </c>
      <c r="B303" s="678"/>
      <c r="C303" s="678"/>
      <c r="D303" s="678"/>
      <c r="E303" s="678"/>
      <c r="F303" s="678"/>
      <c r="G303" s="678"/>
      <c r="H303" s="678"/>
      <c r="I303" s="678"/>
      <c r="J303" s="678"/>
      <c r="K303" s="678"/>
      <c r="L303" s="678"/>
      <c r="M303" s="678"/>
      <c r="N303" s="678"/>
      <c r="O303" s="678"/>
      <c r="P303" s="678"/>
      <c r="Q303" s="678"/>
      <c r="R303" s="678"/>
      <c r="S303" s="678"/>
      <c r="T303" s="678"/>
      <c r="U303" s="678"/>
      <c r="V303" s="678"/>
      <c r="W303" s="678"/>
      <c r="X303" s="678"/>
      <c r="Y303" s="678"/>
      <c r="Z303" s="678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79">
        <v>4680115886704</v>
      </c>
      <c r="E304" s="679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81"/>
      <c r="R304" s="681"/>
      <c r="S304" s="681"/>
      <c r="T304" s="682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79">
        <v>4680115886681</v>
      </c>
      <c r="E305" s="67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8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81"/>
      <c r="R305" s="681"/>
      <c r="S305" s="681"/>
      <c r="T305" s="68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79">
        <v>4680115886735</v>
      </c>
      <c r="E306" s="679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8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81"/>
      <c r="R306" s="681"/>
      <c r="S306" s="681"/>
      <c r="T306" s="68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79">
        <v>4680115886728</v>
      </c>
      <c r="E307" s="679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8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81"/>
      <c r="R307" s="681"/>
      <c r="S307" s="681"/>
      <c r="T307" s="68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79">
        <v>4680115886711</v>
      </c>
      <c r="E308" s="679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8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81"/>
      <c r="R308" s="681"/>
      <c r="S308" s="681"/>
      <c r="T308" s="68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88"/>
      <c r="B309" s="688"/>
      <c r="C309" s="688"/>
      <c r="D309" s="688"/>
      <c r="E309" s="688"/>
      <c r="F309" s="688"/>
      <c r="G309" s="688"/>
      <c r="H309" s="688"/>
      <c r="I309" s="688"/>
      <c r="J309" s="688"/>
      <c r="K309" s="688"/>
      <c r="L309" s="688"/>
      <c r="M309" s="688"/>
      <c r="N309" s="688"/>
      <c r="O309" s="689"/>
      <c r="P309" s="685" t="s">
        <v>40</v>
      </c>
      <c r="Q309" s="686"/>
      <c r="R309" s="686"/>
      <c r="S309" s="686"/>
      <c r="T309" s="686"/>
      <c r="U309" s="686"/>
      <c r="V309" s="687"/>
      <c r="W309" s="42" t="s">
        <v>39</v>
      </c>
      <c r="X309" s="43">
        <f>IFERROR(X304/H304,"0")+IFERROR(X305/H305,"0")+IFERROR(X306/H306,"0")+IFERROR(X307/H307,"0")+IFERROR(X308/H308,"0")</f>
        <v>0</v>
      </c>
      <c r="Y309" s="43">
        <f>IFERROR(Y304/H304,"0")+IFERROR(Y305/H305,"0")+IFERROR(Y306/H306,"0")+IFERROR(Y307/H307,"0")+IFERROR(Y308/H308,"0")</f>
        <v>0</v>
      </c>
      <c r="Z309" s="43">
        <f>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88"/>
      <c r="B310" s="688"/>
      <c r="C310" s="688"/>
      <c r="D310" s="688"/>
      <c r="E310" s="688"/>
      <c r="F310" s="688"/>
      <c r="G310" s="688"/>
      <c r="H310" s="688"/>
      <c r="I310" s="688"/>
      <c r="J310" s="688"/>
      <c r="K310" s="688"/>
      <c r="L310" s="688"/>
      <c r="M310" s="688"/>
      <c r="N310" s="688"/>
      <c r="O310" s="689"/>
      <c r="P310" s="685" t="s">
        <v>40</v>
      </c>
      <c r="Q310" s="686"/>
      <c r="R310" s="686"/>
      <c r="S310" s="686"/>
      <c r="T310" s="686"/>
      <c r="U310" s="686"/>
      <c r="V310" s="687"/>
      <c r="W310" s="42" t="s">
        <v>0</v>
      </c>
      <c r="X310" s="43">
        <f>IFERROR(SUM(X304:X308),"0")</f>
        <v>0</v>
      </c>
      <c r="Y310" s="43">
        <f>IFERROR(SUM(Y304:Y308),"0")</f>
        <v>0</v>
      </c>
      <c r="Z310" s="42"/>
      <c r="AA310" s="67"/>
      <c r="AB310" s="67"/>
      <c r="AC310" s="67"/>
    </row>
    <row r="311" spans="1:68" ht="16.5" customHeight="1" x14ac:dyDescent="0.25">
      <c r="A311" s="677" t="s">
        <v>521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5"/>
      <c r="AB311" s="65"/>
      <c r="AC311" s="79"/>
    </row>
    <row r="312" spans="1:68" ht="14.25" customHeight="1" x14ac:dyDescent="0.25">
      <c r="A312" s="678" t="s">
        <v>139</v>
      </c>
      <c r="B312" s="678"/>
      <c r="C312" s="678"/>
      <c r="D312" s="678"/>
      <c r="E312" s="678"/>
      <c r="F312" s="678"/>
      <c r="G312" s="678"/>
      <c r="H312" s="678"/>
      <c r="I312" s="678"/>
      <c r="J312" s="678"/>
      <c r="K312" s="678"/>
      <c r="L312" s="678"/>
      <c r="M312" s="678"/>
      <c r="N312" s="678"/>
      <c r="O312" s="678"/>
      <c r="P312" s="678"/>
      <c r="Q312" s="678"/>
      <c r="R312" s="678"/>
      <c r="S312" s="678"/>
      <c r="T312" s="678"/>
      <c r="U312" s="678"/>
      <c r="V312" s="678"/>
      <c r="W312" s="678"/>
      <c r="X312" s="678"/>
      <c r="Y312" s="678"/>
      <c r="Z312" s="678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79">
        <v>4680115885837</v>
      </c>
      <c r="E313" s="679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8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81"/>
      <c r="R313" s="681"/>
      <c r="S313" s="681"/>
      <c r="T313" s="68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79">
        <v>4680115887237</v>
      </c>
      <c r="E314" s="679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84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81"/>
      <c r="R314" s="681"/>
      <c r="S314" s="681"/>
      <c r="T314" s="682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79">
        <v>4680115885806</v>
      </c>
      <c r="E315" s="67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8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81"/>
      <c r="R315" s="681"/>
      <c r="S315" s="681"/>
      <c r="T315" s="68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79">
        <v>4680115885844</v>
      </c>
      <c r="E316" s="679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81"/>
      <c r="R316" s="681"/>
      <c r="S316" s="681"/>
      <c r="T316" s="68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79">
        <v>4680115885820</v>
      </c>
      <c r="E317" s="679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8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81"/>
      <c r="R317" s="681"/>
      <c r="S317" s="681"/>
      <c r="T317" s="682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88"/>
      <c r="B318" s="688"/>
      <c r="C318" s="688"/>
      <c r="D318" s="688"/>
      <c r="E318" s="688"/>
      <c r="F318" s="688"/>
      <c r="G318" s="688"/>
      <c r="H318" s="688"/>
      <c r="I318" s="688"/>
      <c r="J318" s="688"/>
      <c r="K318" s="688"/>
      <c r="L318" s="688"/>
      <c r="M318" s="688"/>
      <c r="N318" s="688"/>
      <c r="O318" s="689"/>
      <c r="P318" s="685" t="s">
        <v>40</v>
      </c>
      <c r="Q318" s="686"/>
      <c r="R318" s="686"/>
      <c r="S318" s="686"/>
      <c r="T318" s="686"/>
      <c r="U318" s="686"/>
      <c r="V318" s="687"/>
      <c r="W318" s="42" t="s">
        <v>39</v>
      </c>
      <c r="X318" s="43">
        <f>IFERROR(X313/H313,"0")+IFERROR(X314/H314,"0")+IFERROR(X315/H315,"0")+IFERROR(X316/H316,"0")+IFERROR(X317/H317,"0")</f>
        <v>0</v>
      </c>
      <c r="Y318" s="43">
        <f>IFERROR(Y313/H313,"0")+IFERROR(Y314/H314,"0")+IFERROR(Y315/H315,"0")+IFERROR(Y316/H316,"0")+IFERROR(Y317/H317,"0")</f>
        <v>0</v>
      </c>
      <c r="Z318" s="43">
        <f>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88"/>
      <c r="B319" s="688"/>
      <c r="C319" s="688"/>
      <c r="D319" s="688"/>
      <c r="E319" s="688"/>
      <c r="F319" s="688"/>
      <c r="G319" s="688"/>
      <c r="H319" s="688"/>
      <c r="I319" s="688"/>
      <c r="J319" s="688"/>
      <c r="K319" s="688"/>
      <c r="L319" s="688"/>
      <c r="M319" s="688"/>
      <c r="N319" s="688"/>
      <c r="O319" s="689"/>
      <c r="P319" s="685" t="s">
        <v>40</v>
      </c>
      <c r="Q319" s="686"/>
      <c r="R319" s="686"/>
      <c r="S319" s="686"/>
      <c r="T319" s="686"/>
      <c r="U319" s="686"/>
      <c r="V319" s="687"/>
      <c r="W319" s="42" t="s">
        <v>0</v>
      </c>
      <c r="X319" s="43">
        <f>IFERROR(SUM(X313:X317),"0")</f>
        <v>0</v>
      </c>
      <c r="Y319" s="43">
        <f>IFERROR(SUM(Y313:Y317),"0")</f>
        <v>0</v>
      </c>
      <c r="Z319" s="42"/>
      <c r="AA319" s="67"/>
      <c r="AB319" s="67"/>
      <c r="AC319" s="67"/>
    </row>
    <row r="320" spans="1:68" ht="16.5" customHeight="1" x14ac:dyDescent="0.25">
      <c r="A320" s="677" t="s">
        <v>537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5"/>
      <c r="AB320" s="65"/>
      <c r="AC320" s="79"/>
    </row>
    <row r="321" spans="1:68" ht="14.25" customHeight="1" x14ac:dyDescent="0.25">
      <c r="A321" s="678" t="s">
        <v>90</v>
      </c>
      <c r="B321" s="678"/>
      <c r="C321" s="678"/>
      <c r="D321" s="678"/>
      <c r="E321" s="678"/>
      <c r="F321" s="678"/>
      <c r="G321" s="678"/>
      <c r="H321" s="678"/>
      <c r="I321" s="678"/>
      <c r="J321" s="678"/>
      <c r="K321" s="678"/>
      <c r="L321" s="678"/>
      <c r="M321" s="678"/>
      <c r="N321" s="678"/>
      <c r="O321" s="678"/>
      <c r="P321" s="678"/>
      <c r="Q321" s="678"/>
      <c r="R321" s="678"/>
      <c r="S321" s="678"/>
      <c r="T321" s="678"/>
      <c r="U321" s="678"/>
      <c r="V321" s="678"/>
      <c r="W321" s="678"/>
      <c r="X321" s="678"/>
      <c r="Y321" s="678"/>
      <c r="Z321" s="678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79">
        <v>4680115886186</v>
      </c>
      <c r="E322" s="679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84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81"/>
      <c r="R322" s="681"/>
      <c r="S322" s="681"/>
      <c r="T322" s="68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79">
        <v>4680115881228</v>
      </c>
      <c r="E323" s="679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84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81"/>
      <c r="R323" s="681"/>
      <c r="S323" s="681"/>
      <c r="T323" s="682"/>
      <c r="U323" s="39" t="s">
        <v>46</v>
      </c>
      <c r="V323" s="39" t="s">
        <v>46</v>
      </c>
      <c r="W323" s="40" t="s">
        <v>0</v>
      </c>
      <c r="X323" s="58">
        <v>28</v>
      </c>
      <c r="Y323" s="55">
        <f>IFERROR(IF(X323="",0,CEILING((X323/$H323),1)*$H323),"")</f>
        <v>28.799999999999997</v>
      </c>
      <c r="Z323" s="41">
        <f>IFERROR(IF(Y323=0,"",ROUNDUP(Y323/H323,0)*0.00651),"")</f>
        <v>7.8119999999999995E-2</v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30.94</v>
      </c>
      <c r="BN323" s="78">
        <f>IFERROR(Y323*I323/H323,"0")</f>
        <v>31.824000000000002</v>
      </c>
      <c r="BO323" s="78">
        <f>IFERROR(1/J323*(X323/H323),"0")</f>
        <v>6.4102564102564111E-2</v>
      </c>
      <c r="BP323" s="78">
        <f>IFERROR(1/J323*(Y323/H323),"0")</f>
        <v>6.5934065934065936E-2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79">
        <v>4680115881211</v>
      </c>
      <c r="E324" s="679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8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81"/>
      <c r="R324" s="681"/>
      <c r="S324" s="681"/>
      <c r="T324" s="682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88"/>
      <c r="B325" s="688"/>
      <c r="C325" s="688"/>
      <c r="D325" s="688"/>
      <c r="E325" s="688"/>
      <c r="F325" s="688"/>
      <c r="G325" s="688"/>
      <c r="H325" s="688"/>
      <c r="I325" s="688"/>
      <c r="J325" s="688"/>
      <c r="K325" s="688"/>
      <c r="L325" s="688"/>
      <c r="M325" s="688"/>
      <c r="N325" s="688"/>
      <c r="O325" s="689"/>
      <c r="P325" s="685" t="s">
        <v>40</v>
      </c>
      <c r="Q325" s="686"/>
      <c r="R325" s="686"/>
      <c r="S325" s="686"/>
      <c r="T325" s="686"/>
      <c r="U325" s="686"/>
      <c r="V325" s="687"/>
      <c r="W325" s="42" t="s">
        <v>39</v>
      </c>
      <c r="X325" s="43">
        <f>IFERROR(X322/H322,"0")+IFERROR(X323/H323,"0")+IFERROR(X324/H324,"0")</f>
        <v>11.666666666666668</v>
      </c>
      <c r="Y325" s="43">
        <f>IFERROR(Y322/H322,"0")+IFERROR(Y323/H323,"0")+IFERROR(Y324/H324,"0")</f>
        <v>12</v>
      </c>
      <c r="Z325" s="43">
        <f>IFERROR(IF(Z322="",0,Z322),"0")+IFERROR(IF(Z323="",0,Z323),"0")+IFERROR(IF(Z324="",0,Z324),"0")</f>
        <v>7.8119999999999995E-2</v>
      </c>
      <c r="AA325" s="67"/>
      <c r="AB325" s="67"/>
      <c r="AC325" s="67"/>
    </row>
    <row r="326" spans="1:68" x14ac:dyDescent="0.2">
      <c r="A326" s="688"/>
      <c r="B326" s="688"/>
      <c r="C326" s="688"/>
      <c r="D326" s="688"/>
      <c r="E326" s="688"/>
      <c r="F326" s="688"/>
      <c r="G326" s="688"/>
      <c r="H326" s="688"/>
      <c r="I326" s="688"/>
      <c r="J326" s="688"/>
      <c r="K326" s="688"/>
      <c r="L326" s="688"/>
      <c r="M326" s="688"/>
      <c r="N326" s="688"/>
      <c r="O326" s="689"/>
      <c r="P326" s="685" t="s">
        <v>40</v>
      </c>
      <c r="Q326" s="686"/>
      <c r="R326" s="686"/>
      <c r="S326" s="686"/>
      <c r="T326" s="686"/>
      <c r="U326" s="686"/>
      <c r="V326" s="687"/>
      <c r="W326" s="42" t="s">
        <v>0</v>
      </c>
      <c r="X326" s="43">
        <f>IFERROR(SUM(X322:X324),"0")</f>
        <v>28</v>
      </c>
      <c r="Y326" s="43">
        <f>IFERROR(SUM(Y322:Y324),"0")</f>
        <v>28.799999999999997</v>
      </c>
      <c r="Z326" s="42"/>
      <c r="AA326" s="67"/>
      <c r="AB326" s="67"/>
      <c r="AC326" s="67"/>
    </row>
    <row r="327" spans="1:68" ht="16.5" customHeight="1" x14ac:dyDescent="0.25">
      <c r="A327" s="677" t="s">
        <v>546</v>
      </c>
      <c r="B327" s="677"/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/>
      <c r="AA327" s="65"/>
      <c r="AB327" s="65"/>
      <c r="AC327" s="79"/>
    </row>
    <row r="328" spans="1:68" ht="14.25" customHeight="1" x14ac:dyDescent="0.25">
      <c r="A328" s="678" t="s">
        <v>77</v>
      </c>
      <c r="B328" s="678"/>
      <c r="C328" s="678"/>
      <c r="D328" s="678"/>
      <c r="E328" s="678"/>
      <c r="F328" s="678"/>
      <c r="G328" s="678"/>
      <c r="H328" s="678"/>
      <c r="I328" s="678"/>
      <c r="J328" s="678"/>
      <c r="K328" s="678"/>
      <c r="L328" s="678"/>
      <c r="M328" s="678"/>
      <c r="N328" s="678"/>
      <c r="O328" s="678"/>
      <c r="P328" s="678"/>
      <c r="Q328" s="678"/>
      <c r="R328" s="678"/>
      <c r="S328" s="678"/>
      <c r="T328" s="678"/>
      <c r="U328" s="678"/>
      <c r="V328" s="678"/>
      <c r="W328" s="678"/>
      <c r="X328" s="678"/>
      <c r="Y328" s="678"/>
      <c r="Z328" s="678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79">
        <v>4680115888319</v>
      </c>
      <c r="E329" s="679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85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81"/>
      <c r="R329" s="681"/>
      <c r="S329" s="681"/>
      <c r="T329" s="68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79">
        <v>4680115884700</v>
      </c>
      <c r="E330" s="679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85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81"/>
      <c r="R330" s="681"/>
      <c r="S330" s="681"/>
      <c r="T330" s="68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79">
        <v>4680115880344</v>
      </c>
      <c r="E331" s="679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8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81"/>
      <c r="R331" s="681"/>
      <c r="S331" s="681"/>
      <c r="T331" s="68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79">
        <v>4680115886919</v>
      </c>
      <c r="E332" s="67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81"/>
      <c r="R332" s="681"/>
      <c r="S332" s="681"/>
      <c r="T332" s="68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79">
        <v>4680115883970</v>
      </c>
      <c r="E333" s="679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8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81"/>
      <c r="R333" s="681"/>
      <c r="S333" s="681"/>
      <c r="T333" s="68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88"/>
      <c r="B334" s="688"/>
      <c r="C334" s="688"/>
      <c r="D334" s="688"/>
      <c r="E334" s="688"/>
      <c r="F334" s="688"/>
      <c r="G334" s="688"/>
      <c r="H334" s="688"/>
      <c r="I334" s="688"/>
      <c r="J334" s="688"/>
      <c r="K334" s="688"/>
      <c r="L334" s="688"/>
      <c r="M334" s="688"/>
      <c r="N334" s="688"/>
      <c r="O334" s="689"/>
      <c r="P334" s="685" t="s">
        <v>40</v>
      </c>
      <c r="Q334" s="686"/>
      <c r="R334" s="686"/>
      <c r="S334" s="686"/>
      <c r="T334" s="686"/>
      <c r="U334" s="686"/>
      <c r="V334" s="687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88"/>
      <c r="B335" s="688"/>
      <c r="C335" s="688"/>
      <c r="D335" s="688"/>
      <c r="E335" s="688"/>
      <c r="F335" s="688"/>
      <c r="G335" s="688"/>
      <c r="H335" s="688"/>
      <c r="I335" s="688"/>
      <c r="J335" s="688"/>
      <c r="K335" s="688"/>
      <c r="L335" s="688"/>
      <c r="M335" s="688"/>
      <c r="N335" s="688"/>
      <c r="O335" s="689"/>
      <c r="P335" s="685" t="s">
        <v>40</v>
      </c>
      <c r="Q335" s="686"/>
      <c r="R335" s="686"/>
      <c r="S335" s="686"/>
      <c r="T335" s="686"/>
      <c r="U335" s="686"/>
      <c r="V335" s="687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78" t="s">
        <v>90</v>
      </c>
      <c r="B336" s="678"/>
      <c r="C336" s="678"/>
      <c r="D336" s="678"/>
      <c r="E336" s="678"/>
      <c r="F336" s="678"/>
      <c r="G336" s="678"/>
      <c r="H336" s="678"/>
      <c r="I336" s="678"/>
      <c r="J336" s="678"/>
      <c r="K336" s="678"/>
      <c r="L336" s="678"/>
      <c r="M336" s="678"/>
      <c r="N336" s="678"/>
      <c r="O336" s="678"/>
      <c r="P336" s="678"/>
      <c r="Q336" s="678"/>
      <c r="R336" s="678"/>
      <c r="S336" s="678"/>
      <c r="T336" s="678"/>
      <c r="U336" s="678"/>
      <c r="V336" s="678"/>
      <c r="W336" s="678"/>
      <c r="X336" s="678"/>
      <c r="Y336" s="678"/>
      <c r="Z336" s="678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79">
        <v>4680115884618</v>
      </c>
      <c r="E337" s="679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81"/>
      <c r="R337" s="681"/>
      <c r="S337" s="681"/>
      <c r="T337" s="68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79">
        <v>4680115887114</v>
      </c>
      <c r="E338" s="679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8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81"/>
      <c r="R338" s="681"/>
      <c r="S338" s="681"/>
      <c r="T338" s="68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88"/>
      <c r="B339" s="688"/>
      <c r="C339" s="688"/>
      <c r="D339" s="688"/>
      <c r="E339" s="688"/>
      <c r="F339" s="688"/>
      <c r="G339" s="688"/>
      <c r="H339" s="688"/>
      <c r="I339" s="688"/>
      <c r="J339" s="688"/>
      <c r="K339" s="688"/>
      <c r="L339" s="688"/>
      <c r="M339" s="688"/>
      <c r="N339" s="688"/>
      <c r="O339" s="689"/>
      <c r="P339" s="685" t="s">
        <v>40</v>
      </c>
      <c r="Q339" s="686"/>
      <c r="R339" s="686"/>
      <c r="S339" s="686"/>
      <c r="T339" s="686"/>
      <c r="U339" s="686"/>
      <c r="V339" s="687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88"/>
      <c r="B340" s="688"/>
      <c r="C340" s="688"/>
      <c r="D340" s="688"/>
      <c r="E340" s="688"/>
      <c r="F340" s="688"/>
      <c r="G340" s="688"/>
      <c r="H340" s="688"/>
      <c r="I340" s="688"/>
      <c r="J340" s="688"/>
      <c r="K340" s="688"/>
      <c r="L340" s="688"/>
      <c r="M340" s="688"/>
      <c r="N340" s="688"/>
      <c r="O340" s="689"/>
      <c r="P340" s="685" t="s">
        <v>40</v>
      </c>
      <c r="Q340" s="686"/>
      <c r="R340" s="686"/>
      <c r="S340" s="686"/>
      <c r="T340" s="686"/>
      <c r="U340" s="686"/>
      <c r="V340" s="687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6.5" customHeight="1" x14ac:dyDescent="0.25">
      <c r="A341" s="677" t="s">
        <v>567</v>
      </c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77"/>
      <c r="P341" s="677"/>
      <c r="Q341" s="677"/>
      <c r="R341" s="677"/>
      <c r="S341" s="677"/>
      <c r="T341" s="677"/>
      <c r="U341" s="677"/>
      <c r="V341" s="677"/>
      <c r="W341" s="677"/>
      <c r="X341" s="677"/>
      <c r="Y341" s="677"/>
      <c r="Z341" s="677"/>
      <c r="AA341" s="65"/>
      <c r="AB341" s="65"/>
      <c r="AC341" s="79"/>
    </row>
    <row r="342" spans="1:68" ht="14.25" customHeight="1" x14ac:dyDescent="0.25">
      <c r="A342" s="678" t="s">
        <v>139</v>
      </c>
      <c r="B342" s="678"/>
      <c r="C342" s="678"/>
      <c r="D342" s="678"/>
      <c r="E342" s="678"/>
      <c r="F342" s="678"/>
      <c r="G342" s="678"/>
      <c r="H342" s="678"/>
      <c r="I342" s="678"/>
      <c r="J342" s="678"/>
      <c r="K342" s="678"/>
      <c r="L342" s="678"/>
      <c r="M342" s="678"/>
      <c r="N342" s="678"/>
      <c r="O342" s="678"/>
      <c r="P342" s="678"/>
      <c r="Q342" s="678"/>
      <c r="R342" s="678"/>
      <c r="S342" s="678"/>
      <c r="T342" s="678"/>
      <c r="U342" s="678"/>
      <c r="V342" s="678"/>
      <c r="W342" s="678"/>
      <c r="X342" s="678"/>
      <c r="Y342" s="678"/>
      <c r="Z342" s="678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79">
        <v>4680115887947</v>
      </c>
      <c r="E343" s="679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8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81"/>
      <c r="R343" s="681"/>
      <c r="S343" s="681"/>
      <c r="T343" s="68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79">
        <v>4680115887978</v>
      </c>
      <c r="E344" s="679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85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81"/>
      <c r="R344" s="681"/>
      <c r="S344" s="681"/>
      <c r="T344" s="68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79">
        <v>4680115887992</v>
      </c>
      <c r="E345" s="679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85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81"/>
      <c r="R345" s="681"/>
      <c r="S345" s="681"/>
      <c r="T345" s="68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88"/>
      <c r="B346" s="688"/>
      <c r="C346" s="688"/>
      <c r="D346" s="688"/>
      <c r="E346" s="688"/>
      <c r="F346" s="688"/>
      <c r="G346" s="688"/>
      <c r="H346" s="688"/>
      <c r="I346" s="688"/>
      <c r="J346" s="688"/>
      <c r="K346" s="688"/>
      <c r="L346" s="688"/>
      <c r="M346" s="688"/>
      <c r="N346" s="688"/>
      <c r="O346" s="689"/>
      <c r="P346" s="685" t="s">
        <v>40</v>
      </c>
      <c r="Q346" s="686"/>
      <c r="R346" s="686"/>
      <c r="S346" s="686"/>
      <c r="T346" s="686"/>
      <c r="U346" s="686"/>
      <c r="V346" s="687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88"/>
      <c r="B347" s="688"/>
      <c r="C347" s="688"/>
      <c r="D347" s="688"/>
      <c r="E347" s="688"/>
      <c r="F347" s="688"/>
      <c r="G347" s="688"/>
      <c r="H347" s="688"/>
      <c r="I347" s="688"/>
      <c r="J347" s="688"/>
      <c r="K347" s="688"/>
      <c r="L347" s="688"/>
      <c r="M347" s="688"/>
      <c r="N347" s="688"/>
      <c r="O347" s="689"/>
      <c r="P347" s="685" t="s">
        <v>40</v>
      </c>
      <c r="Q347" s="686"/>
      <c r="R347" s="686"/>
      <c r="S347" s="686"/>
      <c r="T347" s="686"/>
      <c r="U347" s="686"/>
      <c r="V347" s="687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77" t="s">
        <v>577</v>
      </c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77"/>
      <c r="P348" s="677"/>
      <c r="Q348" s="677"/>
      <c r="R348" s="677"/>
      <c r="S348" s="677"/>
      <c r="T348" s="677"/>
      <c r="U348" s="677"/>
      <c r="V348" s="677"/>
      <c r="W348" s="677"/>
      <c r="X348" s="677"/>
      <c r="Y348" s="677"/>
      <c r="Z348" s="677"/>
      <c r="AA348" s="65"/>
      <c r="AB348" s="65"/>
      <c r="AC348" s="79"/>
    </row>
    <row r="349" spans="1:68" ht="14.25" customHeight="1" x14ac:dyDescent="0.25">
      <c r="A349" s="678" t="s">
        <v>139</v>
      </c>
      <c r="B349" s="678"/>
      <c r="C349" s="678"/>
      <c r="D349" s="678"/>
      <c r="E349" s="678"/>
      <c r="F349" s="678"/>
      <c r="G349" s="678"/>
      <c r="H349" s="678"/>
      <c r="I349" s="678"/>
      <c r="J349" s="678"/>
      <c r="K349" s="678"/>
      <c r="L349" s="678"/>
      <c r="M349" s="678"/>
      <c r="N349" s="678"/>
      <c r="O349" s="678"/>
      <c r="P349" s="678"/>
      <c r="Q349" s="678"/>
      <c r="R349" s="678"/>
      <c r="S349" s="678"/>
      <c r="T349" s="678"/>
      <c r="U349" s="678"/>
      <c r="V349" s="678"/>
      <c r="W349" s="678"/>
      <c r="X349" s="678"/>
      <c r="Y349" s="678"/>
      <c r="Z349" s="678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4301012235</v>
      </c>
      <c r="D350" s="679">
        <v>4680115887190</v>
      </c>
      <c r="E350" s="679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8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81"/>
      <c r="R350" s="681"/>
      <c r="S350" s="681"/>
      <c r="T350" s="68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37.5" customHeight="1" x14ac:dyDescent="0.25">
      <c r="A351" s="63" t="s">
        <v>581</v>
      </c>
      <c r="B351" s="63" t="s">
        <v>582</v>
      </c>
      <c r="C351" s="36">
        <v>4301012233</v>
      </c>
      <c r="D351" s="679">
        <v>4680115887138</v>
      </c>
      <c r="E351" s="679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81"/>
      <c r="R351" s="681"/>
      <c r="S351" s="681"/>
      <c r="T351" s="68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584</v>
      </c>
      <c r="B352" s="63" t="s">
        <v>585</v>
      </c>
      <c r="C352" s="36">
        <v>4301012016</v>
      </c>
      <c r="D352" s="679">
        <v>4680115885554</v>
      </c>
      <c r="E352" s="679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94</v>
      </c>
      <c r="N352" s="38"/>
      <c r="O352" s="37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81"/>
      <c r="R352" s="681"/>
      <c r="S352" s="681"/>
      <c r="T352" s="68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587</v>
      </c>
      <c r="B353" s="63" t="s">
        <v>588</v>
      </c>
      <c r="C353" s="36">
        <v>4301012236</v>
      </c>
      <c r="D353" s="679">
        <v>4680115887220</v>
      </c>
      <c r="E353" s="67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151</v>
      </c>
      <c r="L353" s="37" t="s">
        <v>46</v>
      </c>
      <c r="M353" s="38" t="s">
        <v>143</v>
      </c>
      <c r="N353" s="38"/>
      <c r="O353" s="37">
        <v>55</v>
      </c>
      <c r="P353" s="8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81"/>
      <c r="R353" s="681"/>
      <c r="S353" s="681"/>
      <c r="T353" s="68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580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589</v>
      </c>
      <c r="B354" s="63" t="s">
        <v>590</v>
      </c>
      <c r="C354" s="36">
        <v>4301011859</v>
      </c>
      <c r="D354" s="679">
        <v>4680115885608</v>
      </c>
      <c r="E354" s="679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8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81"/>
      <c r="R354" s="681"/>
      <c r="S354" s="681"/>
      <c r="T354" s="68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591</v>
      </c>
      <c r="AG354" s="78"/>
      <c r="AJ354" s="84" t="s">
        <v>46</v>
      </c>
      <c r="AK354" s="84">
        <v>0</v>
      </c>
      <c r="BB354" s="441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88"/>
      <c r="B355" s="688"/>
      <c r="C355" s="688"/>
      <c r="D355" s="688"/>
      <c r="E355" s="688"/>
      <c r="F355" s="688"/>
      <c r="G355" s="688"/>
      <c r="H355" s="688"/>
      <c r="I355" s="688"/>
      <c r="J355" s="688"/>
      <c r="K355" s="688"/>
      <c r="L355" s="688"/>
      <c r="M355" s="688"/>
      <c r="N355" s="688"/>
      <c r="O355" s="689"/>
      <c r="P355" s="685" t="s">
        <v>40</v>
      </c>
      <c r="Q355" s="686"/>
      <c r="R355" s="686"/>
      <c r="S355" s="686"/>
      <c r="T355" s="686"/>
      <c r="U355" s="686"/>
      <c r="V355" s="687"/>
      <c r="W355" s="42" t="s">
        <v>39</v>
      </c>
      <c r="X355" s="43">
        <f>IFERROR(X350/H350,"0")+IFERROR(X351/H351,"0")+IFERROR(X352/H352,"0")+IFERROR(X353/H353,"0")+IFERROR(X354/H354,"0")</f>
        <v>0</v>
      </c>
      <c r="Y355" s="43">
        <f>IFERROR(Y350/H350,"0")+IFERROR(Y351/H351,"0")+IFERROR(Y352/H352,"0")+IFERROR(Y353/H353,"0")+IFERROR(Y354/H354,"0")</f>
        <v>0</v>
      </c>
      <c r="Z355" s="43">
        <f>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88"/>
      <c r="B356" s="688"/>
      <c r="C356" s="688"/>
      <c r="D356" s="688"/>
      <c r="E356" s="688"/>
      <c r="F356" s="688"/>
      <c r="G356" s="688"/>
      <c r="H356" s="688"/>
      <c r="I356" s="688"/>
      <c r="J356" s="688"/>
      <c r="K356" s="688"/>
      <c r="L356" s="688"/>
      <c r="M356" s="688"/>
      <c r="N356" s="688"/>
      <c r="O356" s="689"/>
      <c r="P356" s="685" t="s">
        <v>40</v>
      </c>
      <c r="Q356" s="686"/>
      <c r="R356" s="686"/>
      <c r="S356" s="686"/>
      <c r="T356" s="686"/>
      <c r="U356" s="686"/>
      <c r="V356" s="687"/>
      <c r="W356" s="42" t="s">
        <v>0</v>
      </c>
      <c r="X356" s="43">
        <f>IFERROR(SUM(X350:X354),"0")</f>
        <v>0</v>
      </c>
      <c r="Y356" s="43">
        <f>IFERROR(SUM(Y350:Y354),"0")</f>
        <v>0</v>
      </c>
      <c r="Z356" s="42"/>
      <c r="AA356" s="67"/>
      <c r="AB356" s="67"/>
      <c r="AC356" s="67"/>
    </row>
    <row r="357" spans="1:68" ht="14.25" customHeight="1" x14ac:dyDescent="0.25">
      <c r="A357" s="678" t="s">
        <v>77</v>
      </c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  <c r="Y357" s="678"/>
      <c r="Z357" s="678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4301030878</v>
      </c>
      <c r="D358" s="679">
        <v>4607091387193</v>
      </c>
      <c r="E358" s="67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151</v>
      </c>
      <c r="L358" s="37" t="s">
        <v>46</v>
      </c>
      <c r="M358" s="38" t="s">
        <v>81</v>
      </c>
      <c r="N358" s="38"/>
      <c r="O358" s="37">
        <v>35</v>
      </c>
      <c r="P358" s="8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81"/>
      <c r="R358" s="681"/>
      <c r="S358" s="681"/>
      <c r="T358" s="68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4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594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43">IFERROR(X358*I358/H358,"0")</f>
        <v>0</v>
      </c>
      <c r="BN358" s="78">
        <f t="shared" ref="BN358:BN364" si="44">IFERROR(Y358*I358/H358,"0")</f>
        <v>0</v>
      </c>
      <c r="BO358" s="78">
        <f t="shared" ref="BO358:BO364" si="45">IFERROR(1/J358*(X358/H358),"0")</f>
        <v>0</v>
      </c>
      <c r="BP358" s="78">
        <f t="shared" ref="BP358:BP364" si="46"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4301031153</v>
      </c>
      <c r="D359" s="679">
        <v>4607091387230</v>
      </c>
      <c r="E359" s="679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40</v>
      </c>
      <c r="P359" s="8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81"/>
      <c r="R359" s="681"/>
      <c r="S359" s="681"/>
      <c r="T359" s="68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4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si="43"/>
        <v>0</v>
      </c>
      <c r="BN359" s="78">
        <f t="shared" si="44"/>
        <v>0</v>
      </c>
      <c r="BO359" s="78">
        <f t="shared" si="45"/>
        <v>0</v>
      </c>
      <c r="BP359" s="78">
        <f t="shared" si="46"/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4301031154</v>
      </c>
      <c r="D360" s="679">
        <v>4607091387292</v>
      </c>
      <c r="E360" s="679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45</v>
      </c>
      <c r="P360" s="8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81"/>
      <c r="R360" s="681"/>
      <c r="S360" s="681"/>
      <c r="T360" s="68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3"/>
        <v>0</v>
      </c>
      <c r="BN360" s="78">
        <f t="shared" si="44"/>
        <v>0</v>
      </c>
      <c r="BO360" s="78">
        <f t="shared" si="45"/>
        <v>0</v>
      </c>
      <c r="BP360" s="78">
        <f t="shared" si="46"/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4301031152</v>
      </c>
      <c r="D361" s="679">
        <v>4607091387285</v>
      </c>
      <c r="E361" s="679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86</v>
      </c>
      <c r="L361" s="37" t="s">
        <v>46</v>
      </c>
      <c r="M361" s="38" t="s">
        <v>81</v>
      </c>
      <c r="N361" s="38"/>
      <c r="O361" s="37">
        <v>40</v>
      </c>
      <c r="P361" s="8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81"/>
      <c r="R361" s="681"/>
      <c r="S361" s="681"/>
      <c r="T361" s="68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597</v>
      </c>
      <c r="AG361" s="78"/>
      <c r="AJ361" s="84" t="s">
        <v>46</v>
      </c>
      <c r="AK361" s="84">
        <v>0</v>
      </c>
      <c r="BB361" s="449" t="s">
        <v>67</v>
      </c>
      <c r="BM361" s="78">
        <f t="shared" si="43"/>
        <v>0</v>
      </c>
      <c r="BN361" s="78">
        <f t="shared" si="44"/>
        <v>0</v>
      </c>
      <c r="BO361" s="78">
        <f t="shared" si="45"/>
        <v>0</v>
      </c>
      <c r="BP361" s="78">
        <f t="shared" si="46"/>
        <v>0</v>
      </c>
    </row>
    <row r="362" spans="1:68" ht="27" customHeight="1" x14ac:dyDescent="0.25">
      <c r="A362" s="63" t="s">
        <v>603</v>
      </c>
      <c r="B362" s="63" t="s">
        <v>604</v>
      </c>
      <c r="C362" s="36">
        <v>4301031305</v>
      </c>
      <c r="D362" s="679">
        <v>4607091389845</v>
      </c>
      <c r="E362" s="679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81"/>
      <c r="R362" s="681"/>
      <c r="S362" s="681"/>
      <c r="T362" s="68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605</v>
      </c>
      <c r="AG362" s="78"/>
      <c r="AJ362" s="84" t="s">
        <v>46</v>
      </c>
      <c r="AK362" s="84">
        <v>0</v>
      </c>
      <c r="BB362" s="451" t="s">
        <v>67</v>
      </c>
      <c r="BM362" s="78">
        <f t="shared" si="43"/>
        <v>0</v>
      </c>
      <c r="BN362" s="78">
        <f t="shared" si="44"/>
        <v>0</v>
      </c>
      <c r="BO362" s="78">
        <f t="shared" si="45"/>
        <v>0</v>
      </c>
      <c r="BP362" s="78">
        <f t="shared" si="46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4301031460</v>
      </c>
      <c r="D363" s="679">
        <v>4680115887442</v>
      </c>
      <c r="E363" s="67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151</v>
      </c>
      <c r="L363" s="37" t="s">
        <v>46</v>
      </c>
      <c r="M363" s="38" t="s">
        <v>81</v>
      </c>
      <c r="N363" s="38"/>
      <c r="O363" s="37">
        <v>45</v>
      </c>
      <c r="P363" s="87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81"/>
      <c r="R363" s="681"/>
      <c r="S363" s="681"/>
      <c r="T363" s="68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600</v>
      </c>
      <c r="AG363" s="78"/>
      <c r="AJ363" s="84" t="s">
        <v>46</v>
      </c>
      <c r="AK363" s="84">
        <v>0</v>
      </c>
      <c r="BB363" s="453" t="s">
        <v>67</v>
      </c>
      <c r="BM363" s="78">
        <f t="shared" si="43"/>
        <v>0</v>
      </c>
      <c r="BN363" s="78">
        <f t="shared" si="44"/>
        <v>0</v>
      </c>
      <c r="BO363" s="78">
        <f t="shared" si="45"/>
        <v>0</v>
      </c>
      <c r="BP363" s="78">
        <f t="shared" si="46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4301031066</v>
      </c>
      <c r="D364" s="679">
        <v>4607091383836</v>
      </c>
      <c r="E364" s="679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82</v>
      </c>
      <c r="L364" s="37" t="s">
        <v>46</v>
      </c>
      <c r="M364" s="38" t="s">
        <v>81</v>
      </c>
      <c r="N364" s="38"/>
      <c r="O364" s="37">
        <v>40</v>
      </c>
      <c r="P364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81"/>
      <c r="R364" s="681"/>
      <c r="S364" s="681"/>
      <c r="T364" s="68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610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x14ac:dyDescent="0.2">
      <c r="A365" s="688"/>
      <c r="B365" s="688"/>
      <c r="C365" s="688"/>
      <c r="D365" s="688"/>
      <c r="E365" s="688"/>
      <c r="F365" s="688"/>
      <c r="G365" s="688"/>
      <c r="H365" s="688"/>
      <c r="I365" s="688"/>
      <c r="J365" s="688"/>
      <c r="K365" s="688"/>
      <c r="L365" s="688"/>
      <c r="M365" s="688"/>
      <c r="N365" s="688"/>
      <c r="O365" s="689"/>
      <c r="P365" s="685" t="s">
        <v>40</v>
      </c>
      <c r="Q365" s="686"/>
      <c r="R365" s="686"/>
      <c r="S365" s="686"/>
      <c r="T365" s="686"/>
      <c r="U365" s="686"/>
      <c r="V365" s="687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88"/>
      <c r="B366" s="688"/>
      <c r="C366" s="688"/>
      <c r="D366" s="688"/>
      <c r="E366" s="688"/>
      <c r="F366" s="688"/>
      <c r="G366" s="688"/>
      <c r="H366" s="688"/>
      <c r="I366" s="688"/>
      <c r="J366" s="688"/>
      <c r="K366" s="688"/>
      <c r="L366" s="688"/>
      <c r="M366" s="688"/>
      <c r="N366" s="688"/>
      <c r="O366" s="689"/>
      <c r="P366" s="685" t="s">
        <v>40</v>
      </c>
      <c r="Q366" s="686"/>
      <c r="R366" s="686"/>
      <c r="S366" s="686"/>
      <c r="T366" s="686"/>
      <c r="U366" s="686"/>
      <c r="V366" s="687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customHeight="1" x14ac:dyDescent="0.25">
      <c r="A367" s="678" t="s">
        <v>90</v>
      </c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  <c r="Y367" s="678"/>
      <c r="Z367" s="678"/>
      <c r="AA367" s="66"/>
      <c r="AB367" s="66"/>
      <c r="AC367" s="80"/>
    </row>
    <row r="368" spans="1:68" ht="27" customHeight="1" x14ac:dyDescent="0.25">
      <c r="A368" s="63" t="s">
        <v>611</v>
      </c>
      <c r="B368" s="63" t="s">
        <v>612</v>
      </c>
      <c r="C368" s="36">
        <v>4301051100</v>
      </c>
      <c r="D368" s="679">
        <v>4607091387766</v>
      </c>
      <c r="E368" s="679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144</v>
      </c>
      <c r="L368" s="37" t="s">
        <v>46</v>
      </c>
      <c r="M368" s="38" t="s">
        <v>94</v>
      </c>
      <c r="N368" s="38"/>
      <c r="O368" s="37">
        <v>40</v>
      </c>
      <c r="P368" s="8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81"/>
      <c r="R368" s="681"/>
      <c r="S368" s="681"/>
      <c r="T368" s="682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613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614</v>
      </c>
      <c r="B369" s="63" t="s">
        <v>615</v>
      </c>
      <c r="C369" s="36">
        <v>4301051818</v>
      </c>
      <c r="D369" s="679">
        <v>4607091387957</v>
      </c>
      <c r="E369" s="679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81"/>
      <c r="R369" s="681"/>
      <c r="S369" s="681"/>
      <c r="T369" s="682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37.5" customHeight="1" x14ac:dyDescent="0.25">
      <c r="A370" s="63" t="s">
        <v>617</v>
      </c>
      <c r="B370" s="63" t="s">
        <v>618</v>
      </c>
      <c r="C370" s="36">
        <v>4301051819</v>
      </c>
      <c r="D370" s="679">
        <v>4607091387964</v>
      </c>
      <c r="E370" s="679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8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81"/>
      <c r="R370" s="681"/>
      <c r="S370" s="681"/>
      <c r="T370" s="682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4301051734</v>
      </c>
      <c r="D371" s="679">
        <v>4680115884588</v>
      </c>
      <c r="E371" s="679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82</v>
      </c>
      <c r="L371" s="37" t="s">
        <v>46</v>
      </c>
      <c r="M371" s="38" t="s">
        <v>94</v>
      </c>
      <c r="N371" s="38"/>
      <c r="O371" s="37">
        <v>40</v>
      </c>
      <c r="P371" s="8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81"/>
      <c r="R371" s="681"/>
      <c r="S371" s="681"/>
      <c r="T371" s="68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613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88"/>
      <c r="B372" s="688"/>
      <c r="C372" s="688"/>
      <c r="D372" s="688"/>
      <c r="E372" s="688"/>
      <c r="F372" s="688"/>
      <c r="G372" s="688"/>
      <c r="H372" s="688"/>
      <c r="I372" s="688"/>
      <c r="J372" s="688"/>
      <c r="K372" s="688"/>
      <c r="L372" s="688"/>
      <c r="M372" s="688"/>
      <c r="N372" s="688"/>
      <c r="O372" s="689"/>
      <c r="P372" s="685" t="s">
        <v>40</v>
      </c>
      <c r="Q372" s="686"/>
      <c r="R372" s="686"/>
      <c r="S372" s="686"/>
      <c r="T372" s="686"/>
      <c r="U372" s="686"/>
      <c r="V372" s="687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688"/>
      <c r="B373" s="688"/>
      <c r="C373" s="688"/>
      <c r="D373" s="688"/>
      <c r="E373" s="688"/>
      <c r="F373" s="688"/>
      <c r="G373" s="688"/>
      <c r="H373" s="688"/>
      <c r="I373" s="688"/>
      <c r="J373" s="688"/>
      <c r="K373" s="688"/>
      <c r="L373" s="688"/>
      <c r="M373" s="688"/>
      <c r="N373" s="688"/>
      <c r="O373" s="689"/>
      <c r="P373" s="685" t="s">
        <v>40</v>
      </c>
      <c r="Q373" s="686"/>
      <c r="R373" s="686"/>
      <c r="S373" s="686"/>
      <c r="T373" s="686"/>
      <c r="U373" s="686"/>
      <c r="V373" s="687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customHeight="1" x14ac:dyDescent="0.25">
      <c r="A374" s="678" t="s">
        <v>191</v>
      </c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  <c r="Y374" s="678"/>
      <c r="Z374" s="678"/>
      <c r="AA374" s="66"/>
      <c r="AB374" s="66"/>
      <c r="AC374" s="80"/>
    </row>
    <row r="375" spans="1:68" ht="27" customHeight="1" x14ac:dyDescent="0.25">
      <c r="A375" s="63" t="s">
        <v>622</v>
      </c>
      <c r="B375" s="63" t="s">
        <v>623</v>
      </c>
      <c r="C375" s="36">
        <v>4301060387</v>
      </c>
      <c r="D375" s="679">
        <v>4607091380880</v>
      </c>
      <c r="E375" s="679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144</v>
      </c>
      <c r="L375" s="37" t="s">
        <v>46</v>
      </c>
      <c r="M375" s="38" t="s">
        <v>94</v>
      </c>
      <c r="N375" s="38"/>
      <c r="O375" s="37">
        <v>30</v>
      </c>
      <c r="P375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81"/>
      <c r="R375" s="681"/>
      <c r="S375" s="681"/>
      <c r="T375" s="68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624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4301060406</v>
      </c>
      <c r="D376" s="679">
        <v>4607091384482</v>
      </c>
      <c r="E376" s="679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8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81"/>
      <c r="R376" s="681"/>
      <c r="S376" s="681"/>
      <c r="T376" s="68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16.5" customHeight="1" x14ac:dyDescent="0.25">
      <c r="A377" s="63" t="s">
        <v>628</v>
      </c>
      <c r="B377" s="63" t="s">
        <v>629</v>
      </c>
      <c r="C377" s="36">
        <v>4301060484</v>
      </c>
      <c r="D377" s="679">
        <v>4607091380897</v>
      </c>
      <c r="E377" s="679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144</v>
      </c>
      <c r="L377" s="37" t="s">
        <v>46</v>
      </c>
      <c r="M377" s="38" t="s">
        <v>100</v>
      </c>
      <c r="N377" s="38"/>
      <c r="O377" s="37">
        <v>30</v>
      </c>
      <c r="P377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81"/>
      <c r="R377" s="681"/>
      <c r="S377" s="681"/>
      <c r="T377" s="68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88"/>
      <c r="B378" s="688"/>
      <c r="C378" s="688"/>
      <c r="D378" s="688"/>
      <c r="E378" s="688"/>
      <c r="F378" s="688"/>
      <c r="G378" s="688"/>
      <c r="H378" s="688"/>
      <c r="I378" s="688"/>
      <c r="J378" s="688"/>
      <c r="K378" s="688"/>
      <c r="L378" s="688"/>
      <c r="M378" s="688"/>
      <c r="N378" s="688"/>
      <c r="O378" s="689"/>
      <c r="P378" s="685" t="s">
        <v>40</v>
      </c>
      <c r="Q378" s="686"/>
      <c r="R378" s="686"/>
      <c r="S378" s="686"/>
      <c r="T378" s="686"/>
      <c r="U378" s="686"/>
      <c r="V378" s="687"/>
      <c r="W378" s="42" t="s">
        <v>39</v>
      </c>
      <c r="X378" s="43">
        <f>IFERROR(X375/H375,"0")+IFERROR(X376/H376,"0")+IFERROR(X377/H377,"0")</f>
        <v>0</v>
      </c>
      <c r="Y378" s="43">
        <f>IFERROR(Y375/H375,"0")+IFERROR(Y376/H376,"0")+IFERROR(Y377/H377,"0")</f>
        <v>0</v>
      </c>
      <c r="Z378" s="43">
        <f>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88"/>
      <c r="B379" s="688"/>
      <c r="C379" s="688"/>
      <c r="D379" s="688"/>
      <c r="E379" s="688"/>
      <c r="F379" s="688"/>
      <c r="G379" s="688"/>
      <c r="H379" s="688"/>
      <c r="I379" s="688"/>
      <c r="J379" s="688"/>
      <c r="K379" s="688"/>
      <c r="L379" s="688"/>
      <c r="M379" s="688"/>
      <c r="N379" s="688"/>
      <c r="O379" s="689"/>
      <c r="P379" s="685" t="s">
        <v>40</v>
      </c>
      <c r="Q379" s="686"/>
      <c r="R379" s="686"/>
      <c r="S379" s="686"/>
      <c r="T379" s="686"/>
      <c r="U379" s="686"/>
      <c r="V379" s="687"/>
      <c r="W379" s="42" t="s">
        <v>0</v>
      </c>
      <c r="X379" s="43">
        <f>IFERROR(SUM(X375:X377),"0")</f>
        <v>0</v>
      </c>
      <c r="Y379" s="43">
        <f>IFERROR(SUM(Y375:Y377),"0")</f>
        <v>0</v>
      </c>
      <c r="Z379" s="42"/>
      <c r="AA379" s="67"/>
      <c r="AB379" s="67"/>
      <c r="AC379" s="67"/>
    </row>
    <row r="380" spans="1:68" ht="14.25" customHeight="1" x14ac:dyDescent="0.25">
      <c r="A380" s="678" t="s">
        <v>118</v>
      </c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  <c r="Y380" s="678"/>
      <c r="Z380" s="678"/>
      <c r="AA380" s="66"/>
      <c r="AB380" s="66"/>
      <c r="AC380" s="80"/>
    </row>
    <row r="381" spans="1:68" ht="27" customHeight="1" x14ac:dyDescent="0.25">
      <c r="A381" s="63" t="s">
        <v>631</v>
      </c>
      <c r="B381" s="63" t="s">
        <v>632</v>
      </c>
      <c r="C381" s="36">
        <v>4301030235</v>
      </c>
      <c r="D381" s="679">
        <v>4607091388381</v>
      </c>
      <c r="E381" s="679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151</v>
      </c>
      <c r="L381" s="37" t="s">
        <v>46</v>
      </c>
      <c r="M381" s="38" t="s">
        <v>123</v>
      </c>
      <c r="N381" s="38"/>
      <c r="O381" s="37">
        <v>180</v>
      </c>
      <c r="P381" s="8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81"/>
      <c r="R381" s="681"/>
      <c r="S381" s="681"/>
      <c r="T381" s="68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633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634</v>
      </c>
      <c r="B382" s="63" t="s">
        <v>635</v>
      </c>
      <c r="C382" s="36">
        <v>4301030232</v>
      </c>
      <c r="D382" s="679">
        <v>4607091388374</v>
      </c>
      <c r="E382" s="679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8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81"/>
      <c r="R382" s="681"/>
      <c r="S382" s="681"/>
      <c r="T382" s="68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633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636</v>
      </c>
      <c r="B383" s="63" t="s">
        <v>637</v>
      </c>
      <c r="C383" s="36">
        <v>4301032015</v>
      </c>
      <c r="D383" s="679">
        <v>4607091383102</v>
      </c>
      <c r="E383" s="679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82</v>
      </c>
      <c r="L383" s="37" t="s">
        <v>46</v>
      </c>
      <c r="M383" s="38" t="s">
        <v>123</v>
      </c>
      <c r="N383" s="38"/>
      <c r="O383" s="37">
        <v>180</v>
      </c>
      <c r="P383" s="8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81"/>
      <c r="R383" s="681"/>
      <c r="S383" s="681"/>
      <c r="T383" s="68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633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638</v>
      </c>
      <c r="B384" s="63" t="s">
        <v>639</v>
      </c>
      <c r="C384" s="36">
        <v>4301030233</v>
      </c>
      <c r="D384" s="679">
        <v>4607091388404</v>
      </c>
      <c r="E384" s="679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8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81"/>
      <c r="R384" s="681"/>
      <c r="S384" s="681"/>
      <c r="T384" s="68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633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88"/>
      <c r="B385" s="688"/>
      <c r="C385" s="688"/>
      <c r="D385" s="688"/>
      <c r="E385" s="688"/>
      <c r="F385" s="688"/>
      <c r="G385" s="688"/>
      <c r="H385" s="688"/>
      <c r="I385" s="688"/>
      <c r="J385" s="688"/>
      <c r="K385" s="688"/>
      <c r="L385" s="688"/>
      <c r="M385" s="688"/>
      <c r="N385" s="688"/>
      <c r="O385" s="689"/>
      <c r="P385" s="685" t="s">
        <v>40</v>
      </c>
      <c r="Q385" s="686"/>
      <c r="R385" s="686"/>
      <c r="S385" s="686"/>
      <c r="T385" s="686"/>
      <c r="U385" s="686"/>
      <c r="V385" s="687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88"/>
      <c r="B386" s="688"/>
      <c r="C386" s="688"/>
      <c r="D386" s="688"/>
      <c r="E386" s="688"/>
      <c r="F386" s="688"/>
      <c r="G386" s="688"/>
      <c r="H386" s="688"/>
      <c r="I386" s="688"/>
      <c r="J386" s="688"/>
      <c r="K386" s="688"/>
      <c r="L386" s="688"/>
      <c r="M386" s="688"/>
      <c r="N386" s="688"/>
      <c r="O386" s="689"/>
      <c r="P386" s="685" t="s">
        <v>40</v>
      </c>
      <c r="Q386" s="686"/>
      <c r="R386" s="686"/>
      <c r="S386" s="686"/>
      <c r="T386" s="686"/>
      <c r="U386" s="686"/>
      <c r="V386" s="687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78" t="s">
        <v>640</v>
      </c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  <c r="Y387" s="678"/>
      <c r="Z387" s="678"/>
      <c r="AA387" s="66"/>
      <c r="AB387" s="66"/>
      <c r="AC387" s="80"/>
    </row>
    <row r="388" spans="1:68" ht="16.5" customHeight="1" x14ac:dyDescent="0.25">
      <c r="A388" s="63" t="s">
        <v>641</v>
      </c>
      <c r="B388" s="63" t="s">
        <v>642</v>
      </c>
      <c r="C388" s="36">
        <v>4301180007</v>
      </c>
      <c r="D388" s="679">
        <v>4680115881808</v>
      </c>
      <c r="E388" s="679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82</v>
      </c>
      <c r="L388" s="37" t="s">
        <v>46</v>
      </c>
      <c r="M388" s="38" t="s">
        <v>644</v>
      </c>
      <c r="N388" s="38"/>
      <c r="O388" s="37">
        <v>731</v>
      </c>
      <c r="P388" s="8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81"/>
      <c r="R388" s="681"/>
      <c r="S388" s="681"/>
      <c r="T388" s="68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643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645</v>
      </c>
      <c r="B389" s="63" t="s">
        <v>646</v>
      </c>
      <c r="C389" s="36">
        <v>4301180006</v>
      </c>
      <c r="D389" s="679">
        <v>4680115881822</v>
      </c>
      <c r="E389" s="679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644</v>
      </c>
      <c r="N389" s="38"/>
      <c r="O389" s="37">
        <v>731</v>
      </c>
      <c r="P389" s="8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81"/>
      <c r="R389" s="681"/>
      <c r="S389" s="681"/>
      <c r="T389" s="68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643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4301180001</v>
      </c>
      <c r="D390" s="679">
        <v>4680115880016</v>
      </c>
      <c r="E390" s="679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644</v>
      </c>
      <c r="N390" s="38"/>
      <c r="O390" s="37">
        <v>731</v>
      </c>
      <c r="P390" s="8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81"/>
      <c r="R390" s="681"/>
      <c r="S390" s="681"/>
      <c r="T390" s="68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643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88"/>
      <c r="B391" s="688"/>
      <c r="C391" s="688"/>
      <c r="D391" s="688"/>
      <c r="E391" s="688"/>
      <c r="F391" s="688"/>
      <c r="G391" s="688"/>
      <c r="H391" s="688"/>
      <c r="I391" s="688"/>
      <c r="J391" s="688"/>
      <c r="K391" s="688"/>
      <c r="L391" s="688"/>
      <c r="M391" s="688"/>
      <c r="N391" s="688"/>
      <c r="O391" s="689"/>
      <c r="P391" s="685" t="s">
        <v>40</v>
      </c>
      <c r="Q391" s="686"/>
      <c r="R391" s="686"/>
      <c r="S391" s="686"/>
      <c r="T391" s="686"/>
      <c r="U391" s="686"/>
      <c r="V391" s="687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88"/>
      <c r="B392" s="688"/>
      <c r="C392" s="688"/>
      <c r="D392" s="688"/>
      <c r="E392" s="688"/>
      <c r="F392" s="688"/>
      <c r="G392" s="688"/>
      <c r="H392" s="688"/>
      <c r="I392" s="688"/>
      <c r="J392" s="688"/>
      <c r="K392" s="688"/>
      <c r="L392" s="688"/>
      <c r="M392" s="688"/>
      <c r="N392" s="688"/>
      <c r="O392" s="689"/>
      <c r="P392" s="685" t="s">
        <v>40</v>
      </c>
      <c r="Q392" s="686"/>
      <c r="R392" s="686"/>
      <c r="S392" s="686"/>
      <c r="T392" s="686"/>
      <c r="U392" s="686"/>
      <c r="V392" s="687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customHeight="1" x14ac:dyDescent="0.25">
      <c r="A393" s="677" t="s">
        <v>649</v>
      </c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77"/>
      <c r="P393" s="677"/>
      <c r="Q393" s="677"/>
      <c r="R393" s="677"/>
      <c r="S393" s="677"/>
      <c r="T393" s="677"/>
      <c r="U393" s="677"/>
      <c r="V393" s="677"/>
      <c r="W393" s="677"/>
      <c r="X393" s="677"/>
      <c r="Y393" s="677"/>
      <c r="Z393" s="677"/>
      <c r="AA393" s="65"/>
      <c r="AB393" s="65"/>
      <c r="AC393" s="79"/>
    </row>
    <row r="394" spans="1:68" ht="14.25" customHeight="1" x14ac:dyDescent="0.25">
      <c r="A394" s="678" t="s">
        <v>90</v>
      </c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  <c r="Y394" s="678"/>
      <c r="Z394" s="678"/>
      <c r="AA394" s="66"/>
      <c r="AB394" s="66"/>
      <c r="AC394" s="80"/>
    </row>
    <row r="395" spans="1:68" ht="37.5" customHeight="1" x14ac:dyDescent="0.25">
      <c r="A395" s="63" t="s">
        <v>650</v>
      </c>
      <c r="B395" s="63" t="s">
        <v>651</v>
      </c>
      <c r="C395" s="36">
        <v>4301051489</v>
      </c>
      <c r="D395" s="679">
        <v>4607091387919</v>
      </c>
      <c r="E395" s="679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144</v>
      </c>
      <c r="L395" s="37" t="s">
        <v>46</v>
      </c>
      <c r="M395" s="38" t="s">
        <v>100</v>
      </c>
      <c r="N395" s="38"/>
      <c r="O395" s="37">
        <v>45</v>
      </c>
      <c r="P39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81"/>
      <c r="R395" s="681"/>
      <c r="S395" s="681"/>
      <c r="T395" s="68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652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37.5" customHeight="1" x14ac:dyDescent="0.25">
      <c r="A396" s="63" t="s">
        <v>653</v>
      </c>
      <c r="B396" s="63" t="s">
        <v>654</v>
      </c>
      <c r="C396" s="36">
        <v>4301051461</v>
      </c>
      <c r="D396" s="679">
        <v>4680115883604</v>
      </c>
      <c r="E396" s="679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82</v>
      </c>
      <c r="L396" s="37" t="s">
        <v>46</v>
      </c>
      <c r="M396" s="38" t="s">
        <v>94</v>
      </c>
      <c r="N396" s="38"/>
      <c r="O396" s="37">
        <v>45</v>
      </c>
      <c r="P396" s="8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81"/>
      <c r="R396" s="681"/>
      <c r="S396" s="681"/>
      <c r="T396" s="68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656</v>
      </c>
      <c r="B397" s="63" t="s">
        <v>657</v>
      </c>
      <c r="C397" s="36">
        <v>4301051864</v>
      </c>
      <c r="D397" s="679">
        <v>4680115883567</v>
      </c>
      <c r="E397" s="679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82</v>
      </c>
      <c r="L397" s="37" t="s">
        <v>46</v>
      </c>
      <c r="M397" s="38" t="s">
        <v>100</v>
      </c>
      <c r="N397" s="38"/>
      <c r="O397" s="37">
        <v>40</v>
      </c>
      <c r="P397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81"/>
      <c r="R397" s="681"/>
      <c r="S397" s="681"/>
      <c r="T397" s="68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88"/>
      <c r="B398" s="688"/>
      <c r="C398" s="688"/>
      <c r="D398" s="688"/>
      <c r="E398" s="688"/>
      <c r="F398" s="688"/>
      <c r="G398" s="688"/>
      <c r="H398" s="688"/>
      <c r="I398" s="688"/>
      <c r="J398" s="688"/>
      <c r="K398" s="688"/>
      <c r="L398" s="688"/>
      <c r="M398" s="688"/>
      <c r="N398" s="688"/>
      <c r="O398" s="689"/>
      <c r="P398" s="685" t="s">
        <v>40</v>
      </c>
      <c r="Q398" s="686"/>
      <c r="R398" s="686"/>
      <c r="S398" s="686"/>
      <c r="T398" s="686"/>
      <c r="U398" s="686"/>
      <c r="V398" s="687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88"/>
      <c r="B399" s="688"/>
      <c r="C399" s="688"/>
      <c r="D399" s="688"/>
      <c r="E399" s="688"/>
      <c r="F399" s="688"/>
      <c r="G399" s="688"/>
      <c r="H399" s="688"/>
      <c r="I399" s="688"/>
      <c r="J399" s="688"/>
      <c r="K399" s="688"/>
      <c r="L399" s="688"/>
      <c r="M399" s="688"/>
      <c r="N399" s="688"/>
      <c r="O399" s="689"/>
      <c r="P399" s="685" t="s">
        <v>40</v>
      </c>
      <c r="Q399" s="686"/>
      <c r="R399" s="686"/>
      <c r="S399" s="686"/>
      <c r="T399" s="686"/>
      <c r="U399" s="686"/>
      <c r="V399" s="687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27.75" customHeight="1" x14ac:dyDescent="0.2">
      <c r="A400" s="676" t="s">
        <v>659</v>
      </c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54"/>
      <c r="AB400" s="54"/>
      <c r="AC400" s="54"/>
    </row>
    <row r="401" spans="1:68" ht="16.5" customHeight="1" x14ac:dyDescent="0.25">
      <c r="A401" s="677" t="s">
        <v>660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"/>
      <c r="AB401" s="65"/>
      <c r="AC401" s="79"/>
    </row>
    <row r="402" spans="1:68" ht="14.25" customHeight="1" x14ac:dyDescent="0.25">
      <c r="A402" s="678" t="s">
        <v>139</v>
      </c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  <c r="Y402" s="678"/>
      <c r="Z402" s="678"/>
      <c r="AA402" s="66"/>
      <c r="AB402" s="66"/>
      <c r="AC402" s="80"/>
    </row>
    <row r="403" spans="1:68" ht="27" customHeight="1" x14ac:dyDescent="0.25">
      <c r="A403" s="63" t="s">
        <v>661</v>
      </c>
      <c r="B403" s="63" t="s">
        <v>662</v>
      </c>
      <c r="C403" s="36">
        <v>4301012332</v>
      </c>
      <c r="D403" s="679">
        <v>4680115888401</v>
      </c>
      <c r="E403" s="679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144</v>
      </c>
      <c r="L403" s="37" t="s">
        <v>46</v>
      </c>
      <c r="M403" s="38" t="s">
        <v>100</v>
      </c>
      <c r="N403" s="38"/>
      <c r="O403" s="37">
        <v>60</v>
      </c>
      <c r="P403" s="88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81"/>
      <c r="R403" s="681"/>
      <c r="S403" s="681"/>
      <c r="T403" s="682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4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48">IFERROR(X403*I403/H403,"0")</f>
        <v>0</v>
      </c>
      <c r="BN403" s="78">
        <f t="shared" ref="BN403:BN410" si="49">IFERROR(Y403*I403/H403,"0")</f>
        <v>0</v>
      </c>
      <c r="BO403" s="78">
        <f t="shared" ref="BO403:BO410" si="50">IFERROR(1/J403*(X403/H403),"0")</f>
        <v>0</v>
      </c>
      <c r="BP403" s="78">
        <f t="shared" ref="BP403:BP410" si="51">IFERROR(1/J403*(Y403/H403),"0")</f>
        <v>0</v>
      </c>
    </row>
    <row r="404" spans="1:68" ht="37.5" customHeight="1" x14ac:dyDescent="0.25">
      <c r="A404" s="63" t="s">
        <v>664</v>
      </c>
      <c r="B404" s="63" t="s">
        <v>665</v>
      </c>
      <c r="C404" s="36">
        <v>4301011869</v>
      </c>
      <c r="D404" s="679">
        <v>4680115884847</v>
      </c>
      <c r="E404" s="679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81</v>
      </c>
      <c r="N404" s="38"/>
      <c r="O404" s="37">
        <v>60</v>
      </c>
      <c r="P404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81"/>
      <c r="R404" s="681"/>
      <c r="S404" s="681"/>
      <c r="T404" s="682"/>
      <c r="U404" s="39" t="s">
        <v>46</v>
      </c>
      <c r="V404" s="39" t="s">
        <v>46</v>
      </c>
      <c r="W404" s="40" t="s">
        <v>0</v>
      </c>
      <c r="X404" s="58">
        <v>300</v>
      </c>
      <c r="Y404" s="55">
        <f t="shared" si="47"/>
        <v>300</v>
      </c>
      <c r="Z404" s="41">
        <f>IFERROR(IF(Y404=0,"",ROUNDUP(Y404/H404,0)*0.02175),"")</f>
        <v>0.43499999999999994</v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48"/>
        <v>309.39999999999998</v>
      </c>
      <c r="BN404" s="78">
        <f t="shared" si="49"/>
        <v>309.39999999999998</v>
      </c>
      <c r="BO404" s="78">
        <f t="shared" si="50"/>
        <v>0.41666666666666663</v>
      </c>
      <c r="BP404" s="78">
        <f t="shared" si="51"/>
        <v>0.41666666666666663</v>
      </c>
    </row>
    <row r="405" spans="1:68" ht="27" customHeight="1" x14ac:dyDescent="0.25">
      <c r="A405" s="63" t="s">
        <v>667</v>
      </c>
      <c r="B405" s="63" t="s">
        <v>668</v>
      </c>
      <c r="C405" s="36">
        <v>4301012083</v>
      </c>
      <c r="D405" s="679">
        <v>4680115884854</v>
      </c>
      <c r="E405" s="679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143</v>
      </c>
      <c r="N405" s="38"/>
      <c r="O405" s="37">
        <v>60</v>
      </c>
      <c r="P405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81"/>
      <c r="R405" s="681"/>
      <c r="S405" s="681"/>
      <c r="T405" s="682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47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48"/>
        <v>0</v>
      </c>
      <c r="BN405" s="78">
        <f t="shared" si="49"/>
        <v>0</v>
      </c>
      <c r="BO405" s="78">
        <f t="shared" si="50"/>
        <v>0</v>
      </c>
      <c r="BP405" s="78">
        <f t="shared" si="51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4301011867</v>
      </c>
      <c r="D406" s="679">
        <v>4680115884830</v>
      </c>
      <c r="E406" s="67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81</v>
      </c>
      <c r="N406" s="38"/>
      <c r="O406" s="37">
        <v>60</v>
      </c>
      <c r="P406" s="8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81"/>
      <c r="R406" s="681"/>
      <c r="S406" s="681"/>
      <c r="T406" s="682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47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48"/>
        <v>0</v>
      </c>
      <c r="BN406" s="78">
        <f t="shared" si="49"/>
        <v>0</v>
      </c>
      <c r="BO406" s="78">
        <f t="shared" si="50"/>
        <v>0</v>
      </c>
      <c r="BP406" s="78">
        <f t="shared" si="51"/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4301012215</v>
      </c>
      <c r="D407" s="679">
        <v>4680115887046</v>
      </c>
      <c r="E407" s="67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100</v>
      </c>
      <c r="N407" s="38"/>
      <c r="O407" s="37">
        <v>60</v>
      </c>
      <c r="P407" s="89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81"/>
      <c r="R407" s="681"/>
      <c r="S407" s="681"/>
      <c r="T407" s="682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47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48"/>
        <v>0</v>
      </c>
      <c r="BN407" s="78">
        <f t="shared" si="49"/>
        <v>0</v>
      </c>
      <c r="BO407" s="78">
        <f t="shared" si="50"/>
        <v>0</v>
      </c>
      <c r="BP407" s="78">
        <f t="shared" si="51"/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4301011433</v>
      </c>
      <c r="D408" s="679">
        <v>4680115882638</v>
      </c>
      <c r="E408" s="679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151</v>
      </c>
      <c r="L408" s="37" t="s">
        <v>46</v>
      </c>
      <c r="M408" s="38" t="s">
        <v>143</v>
      </c>
      <c r="N408" s="38"/>
      <c r="O408" s="37">
        <v>90</v>
      </c>
      <c r="P408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81"/>
      <c r="R408" s="681"/>
      <c r="S408" s="681"/>
      <c r="T408" s="68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4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48"/>
        <v>0</v>
      </c>
      <c r="BN408" s="78">
        <f t="shared" si="49"/>
        <v>0</v>
      </c>
      <c r="BO408" s="78">
        <f t="shared" si="50"/>
        <v>0</v>
      </c>
      <c r="BP408" s="78">
        <f t="shared" si="51"/>
        <v>0</v>
      </c>
    </row>
    <row r="409" spans="1:68" ht="27" customHeight="1" x14ac:dyDescent="0.25">
      <c r="A409" s="63" t="s">
        <v>679</v>
      </c>
      <c r="B409" s="63" t="s">
        <v>680</v>
      </c>
      <c r="C409" s="36">
        <v>4301011952</v>
      </c>
      <c r="D409" s="679">
        <v>4680115884922</v>
      </c>
      <c r="E409" s="679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151</v>
      </c>
      <c r="L409" s="37" t="s">
        <v>46</v>
      </c>
      <c r="M409" s="38" t="s">
        <v>81</v>
      </c>
      <c r="N409" s="38"/>
      <c r="O409" s="37">
        <v>60</v>
      </c>
      <c r="P409" s="8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81"/>
      <c r="R409" s="681"/>
      <c r="S409" s="681"/>
      <c r="T409" s="68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4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48"/>
        <v>0</v>
      </c>
      <c r="BN409" s="78">
        <f t="shared" si="49"/>
        <v>0</v>
      </c>
      <c r="BO409" s="78">
        <f t="shared" si="50"/>
        <v>0</v>
      </c>
      <c r="BP409" s="78">
        <f t="shared" si="51"/>
        <v>0</v>
      </c>
    </row>
    <row r="410" spans="1:68" ht="37.5" customHeight="1" x14ac:dyDescent="0.25">
      <c r="A410" s="63" t="s">
        <v>682</v>
      </c>
      <c r="B410" s="63" t="s">
        <v>683</v>
      </c>
      <c r="C410" s="36">
        <v>4301011868</v>
      </c>
      <c r="D410" s="679">
        <v>4680115884861</v>
      </c>
      <c r="E410" s="679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8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81"/>
      <c r="R410" s="681"/>
      <c r="S410" s="681"/>
      <c r="T410" s="682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4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48"/>
        <v>0</v>
      </c>
      <c r="BN410" s="78">
        <f t="shared" si="49"/>
        <v>0</v>
      </c>
      <c r="BO410" s="78">
        <f t="shared" si="50"/>
        <v>0</v>
      </c>
      <c r="BP410" s="78">
        <f t="shared" si="51"/>
        <v>0</v>
      </c>
    </row>
    <row r="411" spans="1:68" x14ac:dyDescent="0.2">
      <c r="A411" s="688"/>
      <c r="B411" s="688"/>
      <c r="C411" s="688"/>
      <c r="D411" s="688"/>
      <c r="E411" s="688"/>
      <c r="F411" s="688"/>
      <c r="G411" s="688"/>
      <c r="H411" s="688"/>
      <c r="I411" s="688"/>
      <c r="J411" s="688"/>
      <c r="K411" s="688"/>
      <c r="L411" s="688"/>
      <c r="M411" s="688"/>
      <c r="N411" s="688"/>
      <c r="O411" s="689"/>
      <c r="P411" s="685" t="s">
        <v>40</v>
      </c>
      <c r="Q411" s="686"/>
      <c r="R411" s="686"/>
      <c r="S411" s="686"/>
      <c r="T411" s="686"/>
      <c r="U411" s="686"/>
      <c r="V411" s="687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20</v>
      </c>
      <c r="Y411" s="43">
        <f>IFERROR(Y403/H403,"0")+IFERROR(Y404/H404,"0")+IFERROR(Y405/H405,"0")+IFERROR(Y406/H406,"0")+IFERROR(Y407/H407,"0")+IFERROR(Y408/H408,"0")+IFERROR(Y409/H409,"0")+IFERROR(Y410/H410,"0")</f>
        <v>20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0.43499999999999994</v>
      </c>
      <c r="AA411" s="67"/>
      <c r="AB411" s="67"/>
      <c r="AC411" s="67"/>
    </row>
    <row r="412" spans="1:68" x14ac:dyDescent="0.2">
      <c r="A412" s="688"/>
      <c r="B412" s="688"/>
      <c r="C412" s="688"/>
      <c r="D412" s="688"/>
      <c r="E412" s="688"/>
      <c r="F412" s="688"/>
      <c r="G412" s="688"/>
      <c r="H412" s="688"/>
      <c r="I412" s="688"/>
      <c r="J412" s="688"/>
      <c r="K412" s="688"/>
      <c r="L412" s="688"/>
      <c r="M412" s="688"/>
      <c r="N412" s="688"/>
      <c r="O412" s="689"/>
      <c r="P412" s="685" t="s">
        <v>40</v>
      </c>
      <c r="Q412" s="686"/>
      <c r="R412" s="686"/>
      <c r="S412" s="686"/>
      <c r="T412" s="686"/>
      <c r="U412" s="686"/>
      <c r="V412" s="687"/>
      <c r="W412" s="42" t="s">
        <v>0</v>
      </c>
      <c r="X412" s="43">
        <f>IFERROR(SUM(X403:X410),"0")</f>
        <v>300</v>
      </c>
      <c r="Y412" s="43">
        <f>IFERROR(SUM(Y403:Y410),"0")</f>
        <v>300</v>
      </c>
      <c r="Z412" s="42"/>
      <c r="AA412" s="67"/>
      <c r="AB412" s="67"/>
      <c r="AC412" s="67"/>
    </row>
    <row r="413" spans="1:68" ht="14.25" customHeight="1" x14ac:dyDescent="0.25">
      <c r="A413" s="678" t="s">
        <v>174</v>
      </c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  <c r="Y413" s="678"/>
      <c r="Z413" s="678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4301020178</v>
      </c>
      <c r="D414" s="679">
        <v>4607091383980</v>
      </c>
      <c r="E414" s="679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144</v>
      </c>
      <c r="L414" s="37" t="s">
        <v>46</v>
      </c>
      <c r="M414" s="38" t="s">
        <v>143</v>
      </c>
      <c r="N414" s="38"/>
      <c r="O414" s="37">
        <v>50</v>
      </c>
      <c r="P414" s="8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81"/>
      <c r="R414" s="681"/>
      <c r="S414" s="681"/>
      <c r="T414" s="682"/>
      <c r="U414" s="39" t="s">
        <v>46</v>
      </c>
      <c r="V414" s="39" t="s">
        <v>46</v>
      </c>
      <c r="W414" s="40" t="s">
        <v>0</v>
      </c>
      <c r="X414" s="58">
        <v>240</v>
      </c>
      <c r="Y414" s="55">
        <f>IFERROR(IF(X414="",0,CEILING((X414/$H414),1)*$H414),"")</f>
        <v>240</v>
      </c>
      <c r="Z414" s="41">
        <f>IFERROR(IF(Y414=0,"",ROUNDUP(Y414/H414,0)*0.02175),"")</f>
        <v>0.34799999999999998</v>
      </c>
      <c r="AA414" s="68" t="s">
        <v>46</v>
      </c>
      <c r="AB414" s="69" t="s">
        <v>46</v>
      </c>
      <c r="AC414" s="506" t="s">
        <v>687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247.52</v>
      </c>
      <c r="BN414" s="78">
        <f>IFERROR(Y414*I414/H414,"0")</f>
        <v>247.52</v>
      </c>
      <c r="BO414" s="78">
        <f>IFERROR(1/J414*(X414/H414),"0")</f>
        <v>0.33333333333333331</v>
      </c>
      <c r="BP414" s="78">
        <f>IFERROR(1/J414*(Y414/H414),"0")</f>
        <v>0.33333333333333331</v>
      </c>
    </row>
    <row r="415" spans="1:68" ht="27" customHeight="1" x14ac:dyDescent="0.25">
      <c r="A415" s="63" t="s">
        <v>688</v>
      </c>
      <c r="B415" s="63" t="s">
        <v>689</v>
      </c>
      <c r="C415" s="36">
        <v>4301020355</v>
      </c>
      <c r="D415" s="679">
        <v>4680115888425</v>
      </c>
      <c r="E415" s="679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89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81"/>
      <c r="R415" s="681"/>
      <c r="S415" s="681"/>
      <c r="T415" s="68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4301020179</v>
      </c>
      <c r="D416" s="679">
        <v>4607091384178</v>
      </c>
      <c r="E416" s="679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151</v>
      </c>
      <c r="L416" s="37" t="s">
        <v>46</v>
      </c>
      <c r="M416" s="38" t="s">
        <v>143</v>
      </c>
      <c r="N416" s="38"/>
      <c r="O416" s="37">
        <v>50</v>
      </c>
      <c r="P416" s="8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81"/>
      <c r="R416" s="681"/>
      <c r="S416" s="681"/>
      <c r="T416" s="68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88"/>
      <c r="B417" s="688"/>
      <c r="C417" s="688"/>
      <c r="D417" s="688"/>
      <c r="E417" s="688"/>
      <c r="F417" s="688"/>
      <c r="G417" s="688"/>
      <c r="H417" s="688"/>
      <c r="I417" s="688"/>
      <c r="J417" s="688"/>
      <c r="K417" s="688"/>
      <c r="L417" s="688"/>
      <c r="M417" s="688"/>
      <c r="N417" s="688"/>
      <c r="O417" s="689"/>
      <c r="P417" s="685" t="s">
        <v>40</v>
      </c>
      <c r="Q417" s="686"/>
      <c r="R417" s="686"/>
      <c r="S417" s="686"/>
      <c r="T417" s="686"/>
      <c r="U417" s="686"/>
      <c r="V417" s="687"/>
      <c r="W417" s="42" t="s">
        <v>39</v>
      </c>
      <c r="X417" s="43">
        <f>IFERROR(X414/H414,"0")+IFERROR(X415/H415,"0")+IFERROR(X416/H416,"0")</f>
        <v>16</v>
      </c>
      <c r="Y417" s="43">
        <f>IFERROR(Y414/H414,"0")+IFERROR(Y415/H415,"0")+IFERROR(Y416/H416,"0")</f>
        <v>16</v>
      </c>
      <c r="Z417" s="43">
        <f>IFERROR(IF(Z414="",0,Z414),"0")+IFERROR(IF(Z415="",0,Z415),"0")+IFERROR(IF(Z416="",0,Z416),"0")</f>
        <v>0.34799999999999998</v>
      </c>
      <c r="AA417" s="67"/>
      <c r="AB417" s="67"/>
      <c r="AC417" s="67"/>
    </row>
    <row r="418" spans="1:68" x14ac:dyDescent="0.2">
      <c r="A418" s="688"/>
      <c r="B418" s="688"/>
      <c r="C418" s="688"/>
      <c r="D418" s="688"/>
      <c r="E418" s="688"/>
      <c r="F418" s="688"/>
      <c r="G418" s="688"/>
      <c r="H418" s="688"/>
      <c r="I418" s="688"/>
      <c r="J418" s="688"/>
      <c r="K418" s="688"/>
      <c r="L418" s="688"/>
      <c r="M418" s="688"/>
      <c r="N418" s="688"/>
      <c r="O418" s="689"/>
      <c r="P418" s="685" t="s">
        <v>40</v>
      </c>
      <c r="Q418" s="686"/>
      <c r="R418" s="686"/>
      <c r="S418" s="686"/>
      <c r="T418" s="686"/>
      <c r="U418" s="686"/>
      <c r="V418" s="687"/>
      <c r="W418" s="42" t="s">
        <v>0</v>
      </c>
      <c r="X418" s="43">
        <f>IFERROR(SUM(X414:X416),"0")</f>
        <v>240</v>
      </c>
      <c r="Y418" s="43">
        <f>IFERROR(SUM(Y414:Y416),"0")</f>
        <v>240</v>
      </c>
      <c r="Z418" s="42"/>
      <c r="AA418" s="67"/>
      <c r="AB418" s="67"/>
      <c r="AC418" s="67"/>
    </row>
    <row r="419" spans="1:68" ht="14.25" customHeight="1" x14ac:dyDescent="0.25">
      <c r="A419" s="678" t="s">
        <v>90</v>
      </c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  <c r="Y419" s="678"/>
      <c r="Z419" s="678"/>
      <c r="AA419" s="66"/>
      <c r="AB419" s="66"/>
      <c r="AC419" s="80"/>
    </row>
    <row r="420" spans="1:68" ht="27" customHeight="1" x14ac:dyDescent="0.25">
      <c r="A420" s="63" t="s">
        <v>694</v>
      </c>
      <c r="B420" s="63" t="s">
        <v>695</v>
      </c>
      <c r="C420" s="36">
        <v>4301051903</v>
      </c>
      <c r="D420" s="679">
        <v>4607091383928</v>
      </c>
      <c r="E420" s="679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144</v>
      </c>
      <c r="L420" s="37" t="s">
        <v>46</v>
      </c>
      <c r="M420" s="38" t="s">
        <v>94</v>
      </c>
      <c r="N420" s="38"/>
      <c r="O420" s="37">
        <v>40</v>
      </c>
      <c r="P42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81"/>
      <c r="R420" s="681"/>
      <c r="S420" s="681"/>
      <c r="T420" s="68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696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697</v>
      </c>
      <c r="B421" s="63" t="s">
        <v>698</v>
      </c>
      <c r="C421" s="36">
        <v>4301051897</v>
      </c>
      <c r="D421" s="679">
        <v>4607091384260</v>
      </c>
      <c r="E421" s="679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9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81"/>
      <c r="R421" s="681"/>
      <c r="S421" s="681"/>
      <c r="T421" s="68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88"/>
      <c r="B422" s="688"/>
      <c r="C422" s="688"/>
      <c r="D422" s="688"/>
      <c r="E422" s="688"/>
      <c r="F422" s="688"/>
      <c r="G422" s="688"/>
      <c r="H422" s="688"/>
      <c r="I422" s="688"/>
      <c r="J422" s="688"/>
      <c r="K422" s="688"/>
      <c r="L422" s="688"/>
      <c r="M422" s="688"/>
      <c r="N422" s="688"/>
      <c r="O422" s="689"/>
      <c r="P422" s="685" t="s">
        <v>40</v>
      </c>
      <c r="Q422" s="686"/>
      <c r="R422" s="686"/>
      <c r="S422" s="686"/>
      <c r="T422" s="686"/>
      <c r="U422" s="686"/>
      <c r="V422" s="687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688"/>
      <c r="B423" s="688"/>
      <c r="C423" s="688"/>
      <c r="D423" s="688"/>
      <c r="E423" s="688"/>
      <c r="F423" s="688"/>
      <c r="G423" s="688"/>
      <c r="H423" s="688"/>
      <c r="I423" s="688"/>
      <c r="J423" s="688"/>
      <c r="K423" s="688"/>
      <c r="L423" s="688"/>
      <c r="M423" s="688"/>
      <c r="N423" s="688"/>
      <c r="O423" s="689"/>
      <c r="P423" s="685" t="s">
        <v>40</v>
      </c>
      <c r="Q423" s="686"/>
      <c r="R423" s="686"/>
      <c r="S423" s="686"/>
      <c r="T423" s="686"/>
      <c r="U423" s="686"/>
      <c r="V423" s="687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4.25" customHeight="1" x14ac:dyDescent="0.25">
      <c r="A424" s="678" t="s">
        <v>191</v>
      </c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  <c r="Y424" s="678"/>
      <c r="Z424" s="678"/>
      <c r="AA424" s="66"/>
      <c r="AB424" s="66"/>
      <c r="AC424" s="80"/>
    </row>
    <row r="425" spans="1:68" ht="16.5" customHeight="1" x14ac:dyDescent="0.25">
      <c r="A425" s="63" t="s">
        <v>700</v>
      </c>
      <c r="B425" s="63" t="s">
        <v>701</v>
      </c>
      <c r="C425" s="36">
        <v>4301060524</v>
      </c>
      <c r="D425" s="679">
        <v>4607091384673</v>
      </c>
      <c r="E425" s="679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144</v>
      </c>
      <c r="L425" s="37" t="s">
        <v>46</v>
      </c>
      <c r="M425" s="38" t="s">
        <v>94</v>
      </c>
      <c r="N425" s="38"/>
      <c r="O425" s="37">
        <v>40</v>
      </c>
      <c r="P425" s="9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81"/>
      <c r="R425" s="681"/>
      <c r="S425" s="681"/>
      <c r="T425" s="682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702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88"/>
      <c r="B426" s="688"/>
      <c r="C426" s="688"/>
      <c r="D426" s="688"/>
      <c r="E426" s="688"/>
      <c r="F426" s="688"/>
      <c r="G426" s="688"/>
      <c r="H426" s="688"/>
      <c r="I426" s="688"/>
      <c r="J426" s="688"/>
      <c r="K426" s="688"/>
      <c r="L426" s="688"/>
      <c r="M426" s="688"/>
      <c r="N426" s="688"/>
      <c r="O426" s="689"/>
      <c r="P426" s="685" t="s">
        <v>40</v>
      </c>
      <c r="Q426" s="686"/>
      <c r="R426" s="686"/>
      <c r="S426" s="686"/>
      <c r="T426" s="686"/>
      <c r="U426" s="686"/>
      <c r="V426" s="687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x14ac:dyDescent="0.2">
      <c r="A427" s="688"/>
      <c r="B427" s="688"/>
      <c r="C427" s="688"/>
      <c r="D427" s="688"/>
      <c r="E427" s="688"/>
      <c r="F427" s="688"/>
      <c r="G427" s="688"/>
      <c r="H427" s="688"/>
      <c r="I427" s="688"/>
      <c r="J427" s="688"/>
      <c r="K427" s="688"/>
      <c r="L427" s="688"/>
      <c r="M427" s="688"/>
      <c r="N427" s="688"/>
      <c r="O427" s="689"/>
      <c r="P427" s="685" t="s">
        <v>40</v>
      </c>
      <c r="Q427" s="686"/>
      <c r="R427" s="686"/>
      <c r="S427" s="686"/>
      <c r="T427" s="686"/>
      <c r="U427" s="686"/>
      <c r="V427" s="687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customHeight="1" x14ac:dyDescent="0.25">
      <c r="A428" s="677" t="s">
        <v>703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"/>
      <c r="AB428" s="65"/>
      <c r="AC428" s="79"/>
    </row>
    <row r="429" spans="1:68" ht="14.25" customHeight="1" x14ac:dyDescent="0.25">
      <c r="A429" s="678" t="s">
        <v>139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66"/>
      <c r="AB429" s="66"/>
      <c r="AC429" s="80"/>
    </row>
    <row r="430" spans="1:68" ht="27" customHeight="1" x14ac:dyDescent="0.25">
      <c r="A430" s="63" t="s">
        <v>704</v>
      </c>
      <c r="B430" s="63" t="s">
        <v>705</v>
      </c>
      <c r="C430" s="36">
        <v>4301011875</v>
      </c>
      <c r="D430" s="679">
        <v>4680115884885</v>
      </c>
      <c r="E430" s="679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144</v>
      </c>
      <c r="L430" s="37" t="s">
        <v>46</v>
      </c>
      <c r="M430" s="38" t="s">
        <v>81</v>
      </c>
      <c r="N430" s="38"/>
      <c r="O430" s="37">
        <v>60</v>
      </c>
      <c r="P430" s="9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81"/>
      <c r="R430" s="681"/>
      <c r="S430" s="681"/>
      <c r="T430" s="68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706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customHeight="1" x14ac:dyDescent="0.25">
      <c r="A431" s="63" t="s">
        <v>707</v>
      </c>
      <c r="B431" s="63" t="s">
        <v>708</v>
      </c>
      <c r="C431" s="36">
        <v>4301011871</v>
      </c>
      <c r="D431" s="679">
        <v>4680115884908</v>
      </c>
      <c r="E431" s="67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151</v>
      </c>
      <c r="L431" s="37" t="s">
        <v>46</v>
      </c>
      <c r="M431" s="38" t="s">
        <v>81</v>
      </c>
      <c r="N431" s="38"/>
      <c r="O431" s="37">
        <v>60</v>
      </c>
      <c r="P431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81"/>
      <c r="R431" s="681"/>
      <c r="S431" s="681"/>
      <c r="T431" s="68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706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">
      <c r="A432" s="688"/>
      <c r="B432" s="688"/>
      <c r="C432" s="688"/>
      <c r="D432" s="688"/>
      <c r="E432" s="688"/>
      <c r="F432" s="688"/>
      <c r="G432" s="688"/>
      <c r="H432" s="688"/>
      <c r="I432" s="688"/>
      <c r="J432" s="688"/>
      <c r="K432" s="688"/>
      <c r="L432" s="688"/>
      <c r="M432" s="688"/>
      <c r="N432" s="688"/>
      <c r="O432" s="689"/>
      <c r="P432" s="685" t="s">
        <v>40</v>
      </c>
      <c r="Q432" s="686"/>
      <c r="R432" s="686"/>
      <c r="S432" s="686"/>
      <c r="T432" s="686"/>
      <c r="U432" s="686"/>
      <c r="V432" s="687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x14ac:dyDescent="0.2">
      <c r="A433" s="688"/>
      <c r="B433" s="688"/>
      <c r="C433" s="688"/>
      <c r="D433" s="688"/>
      <c r="E433" s="688"/>
      <c r="F433" s="688"/>
      <c r="G433" s="688"/>
      <c r="H433" s="688"/>
      <c r="I433" s="688"/>
      <c r="J433" s="688"/>
      <c r="K433" s="688"/>
      <c r="L433" s="688"/>
      <c r="M433" s="688"/>
      <c r="N433" s="688"/>
      <c r="O433" s="689"/>
      <c r="P433" s="685" t="s">
        <v>40</v>
      </c>
      <c r="Q433" s="686"/>
      <c r="R433" s="686"/>
      <c r="S433" s="686"/>
      <c r="T433" s="686"/>
      <c r="U433" s="686"/>
      <c r="V433" s="687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customHeight="1" x14ac:dyDescent="0.25">
      <c r="A434" s="678" t="s">
        <v>77</v>
      </c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  <c r="Y434" s="678"/>
      <c r="Z434" s="678"/>
      <c r="AA434" s="66"/>
      <c r="AB434" s="66"/>
      <c r="AC434" s="80"/>
    </row>
    <row r="435" spans="1:68" ht="27" customHeight="1" x14ac:dyDescent="0.25">
      <c r="A435" s="63" t="s">
        <v>709</v>
      </c>
      <c r="B435" s="63" t="s">
        <v>710</v>
      </c>
      <c r="C435" s="36">
        <v>4301031457</v>
      </c>
      <c r="D435" s="679">
        <v>4607091384802</v>
      </c>
      <c r="E435" s="679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151</v>
      </c>
      <c r="L435" s="37" t="s">
        <v>46</v>
      </c>
      <c r="M435" s="38" t="s">
        <v>81</v>
      </c>
      <c r="N435" s="38"/>
      <c r="O435" s="37">
        <v>50</v>
      </c>
      <c r="P435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81"/>
      <c r="R435" s="681"/>
      <c r="S435" s="681"/>
      <c r="T435" s="68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711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88"/>
      <c r="B436" s="688"/>
      <c r="C436" s="688"/>
      <c r="D436" s="688"/>
      <c r="E436" s="688"/>
      <c r="F436" s="688"/>
      <c r="G436" s="688"/>
      <c r="H436" s="688"/>
      <c r="I436" s="688"/>
      <c r="J436" s="688"/>
      <c r="K436" s="688"/>
      <c r="L436" s="688"/>
      <c r="M436" s="688"/>
      <c r="N436" s="688"/>
      <c r="O436" s="689"/>
      <c r="P436" s="685" t="s">
        <v>40</v>
      </c>
      <c r="Q436" s="686"/>
      <c r="R436" s="686"/>
      <c r="S436" s="686"/>
      <c r="T436" s="686"/>
      <c r="U436" s="686"/>
      <c r="V436" s="687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x14ac:dyDescent="0.2">
      <c r="A437" s="688"/>
      <c r="B437" s="688"/>
      <c r="C437" s="688"/>
      <c r="D437" s="688"/>
      <c r="E437" s="688"/>
      <c r="F437" s="688"/>
      <c r="G437" s="688"/>
      <c r="H437" s="688"/>
      <c r="I437" s="688"/>
      <c r="J437" s="688"/>
      <c r="K437" s="688"/>
      <c r="L437" s="688"/>
      <c r="M437" s="688"/>
      <c r="N437" s="688"/>
      <c r="O437" s="689"/>
      <c r="P437" s="685" t="s">
        <v>40</v>
      </c>
      <c r="Q437" s="686"/>
      <c r="R437" s="686"/>
      <c r="S437" s="686"/>
      <c r="T437" s="686"/>
      <c r="U437" s="686"/>
      <c r="V437" s="687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customHeight="1" x14ac:dyDescent="0.25">
      <c r="A438" s="678" t="s">
        <v>90</v>
      </c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  <c r="Y438" s="678"/>
      <c r="Z438" s="678"/>
      <c r="AA438" s="66"/>
      <c r="AB438" s="66"/>
      <c r="AC438" s="80"/>
    </row>
    <row r="439" spans="1:68" ht="27" customHeight="1" x14ac:dyDescent="0.25">
      <c r="A439" s="63" t="s">
        <v>712</v>
      </c>
      <c r="B439" s="63" t="s">
        <v>713</v>
      </c>
      <c r="C439" s="36">
        <v>4301051899</v>
      </c>
      <c r="D439" s="679">
        <v>4607091384246</v>
      </c>
      <c r="E439" s="679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144</v>
      </c>
      <c r="L439" s="37" t="s">
        <v>46</v>
      </c>
      <c r="M439" s="38" t="s">
        <v>94</v>
      </c>
      <c r="N439" s="38"/>
      <c r="O439" s="37">
        <v>40</v>
      </c>
      <c r="P439" s="9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81"/>
      <c r="R439" s="681"/>
      <c r="S439" s="681"/>
      <c r="T439" s="68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714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715</v>
      </c>
      <c r="B440" s="63" t="s">
        <v>716</v>
      </c>
      <c r="C440" s="36">
        <v>4301051660</v>
      </c>
      <c r="D440" s="679">
        <v>4607091384253</v>
      </c>
      <c r="E440" s="679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82</v>
      </c>
      <c r="L440" s="37" t="s">
        <v>46</v>
      </c>
      <c r="M440" s="38" t="s">
        <v>94</v>
      </c>
      <c r="N440" s="38"/>
      <c r="O440" s="37">
        <v>40</v>
      </c>
      <c r="P440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81"/>
      <c r="R440" s="681"/>
      <c r="S440" s="681"/>
      <c r="T440" s="68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714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715</v>
      </c>
      <c r="B441" s="63" t="s">
        <v>717</v>
      </c>
      <c r="C441" s="36">
        <v>4301052069</v>
      </c>
      <c r="D441" s="679">
        <v>4607091384253</v>
      </c>
      <c r="E441" s="679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9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81"/>
      <c r="R441" s="681"/>
      <c r="S441" s="681"/>
      <c r="T441" s="68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718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88"/>
      <c r="B442" s="688"/>
      <c r="C442" s="688"/>
      <c r="D442" s="688"/>
      <c r="E442" s="688"/>
      <c r="F442" s="688"/>
      <c r="G442" s="688"/>
      <c r="H442" s="688"/>
      <c r="I442" s="688"/>
      <c r="J442" s="688"/>
      <c r="K442" s="688"/>
      <c r="L442" s="688"/>
      <c r="M442" s="688"/>
      <c r="N442" s="688"/>
      <c r="O442" s="689"/>
      <c r="P442" s="685" t="s">
        <v>40</v>
      </c>
      <c r="Q442" s="686"/>
      <c r="R442" s="686"/>
      <c r="S442" s="686"/>
      <c r="T442" s="686"/>
      <c r="U442" s="686"/>
      <c r="V442" s="687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88"/>
      <c r="B443" s="688"/>
      <c r="C443" s="688"/>
      <c r="D443" s="688"/>
      <c r="E443" s="688"/>
      <c r="F443" s="688"/>
      <c r="G443" s="688"/>
      <c r="H443" s="688"/>
      <c r="I443" s="688"/>
      <c r="J443" s="688"/>
      <c r="K443" s="688"/>
      <c r="L443" s="688"/>
      <c r="M443" s="688"/>
      <c r="N443" s="688"/>
      <c r="O443" s="689"/>
      <c r="P443" s="685" t="s">
        <v>40</v>
      </c>
      <c r="Q443" s="686"/>
      <c r="R443" s="686"/>
      <c r="S443" s="686"/>
      <c r="T443" s="686"/>
      <c r="U443" s="686"/>
      <c r="V443" s="687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27.75" customHeight="1" x14ac:dyDescent="0.2">
      <c r="A444" s="676" t="s">
        <v>719</v>
      </c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54"/>
      <c r="AB444" s="54"/>
      <c r="AC444" s="54"/>
    </row>
    <row r="445" spans="1:68" ht="16.5" customHeight="1" x14ac:dyDescent="0.25">
      <c r="A445" s="677" t="s">
        <v>720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"/>
      <c r="AB445" s="65"/>
      <c r="AC445" s="79"/>
    </row>
    <row r="446" spans="1:68" ht="14.25" customHeight="1" x14ac:dyDescent="0.25">
      <c r="A446" s="678" t="s">
        <v>77</v>
      </c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  <c r="Y446" s="678"/>
      <c r="Z446" s="678"/>
      <c r="AA446" s="66"/>
      <c r="AB446" s="66"/>
      <c r="AC446" s="80"/>
    </row>
    <row r="447" spans="1:68" ht="27" customHeight="1" x14ac:dyDescent="0.25">
      <c r="A447" s="63" t="s">
        <v>721</v>
      </c>
      <c r="B447" s="63" t="s">
        <v>722</v>
      </c>
      <c r="C447" s="36">
        <v>4301031405</v>
      </c>
      <c r="D447" s="679">
        <v>4680115886100</v>
      </c>
      <c r="E447" s="679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151</v>
      </c>
      <c r="L447" s="37" t="s">
        <v>46</v>
      </c>
      <c r="M447" s="38" t="s">
        <v>81</v>
      </c>
      <c r="N447" s="38"/>
      <c r="O447" s="37">
        <v>50</v>
      </c>
      <c r="P447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81"/>
      <c r="R447" s="681"/>
      <c r="S447" s="681"/>
      <c r="T447" s="682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5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723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53">IFERROR(X447*I447/H447,"0")</f>
        <v>0</v>
      </c>
      <c r="BN447" s="78">
        <f t="shared" ref="BN447:BN452" si="54">IFERROR(Y447*I447/H447,"0")</f>
        <v>0</v>
      </c>
      <c r="BO447" s="78">
        <f t="shared" ref="BO447:BO452" si="55">IFERROR(1/J447*(X447/H447),"0")</f>
        <v>0</v>
      </c>
      <c r="BP447" s="78">
        <f t="shared" ref="BP447:BP452" si="56">IFERROR(1/J447*(Y447/H447),"0")</f>
        <v>0</v>
      </c>
    </row>
    <row r="448" spans="1:68" ht="27" customHeight="1" x14ac:dyDescent="0.25">
      <c r="A448" s="63" t="s">
        <v>724</v>
      </c>
      <c r="B448" s="63" t="s">
        <v>725</v>
      </c>
      <c r="C448" s="36">
        <v>4301031402</v>
      </c>
      <c r="D448" s="679">
        <v>4680115886124</v>
      </c>
      <c r="E448" s="679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9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81"/>
      <c r="R448" s="681"/>
      <c r="S448" s="681"/>
      <c r="T448" s="682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5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si="53"/>
        <v>0</v>
      </c>
      <c r="BN448" s="78">
        <f t="shared" si="54"/>
        <v>0</v>
      </c>
      <c r="BO448" s="78">
        <f t="shared" si="55"/>
        <v>0</v>
      </c>
      <c r="BP448" s="78">
        <f t="shared" si="56"/>
        <v>0</v>
      </c>
    </row>
    <row r="449" spans="1:68" ht="27" customHeight="1" x14ac:dyDescent="0.25">
      <c r="A449" s="63" t="s">
        <v>727</v>
      </c>
      <c r="B449" s="63" t="s">
        <v>728</v>
      </c>
      <c r="C449" s="36">
        <v>4301031362</v>
      </c>
      <c r="D449" s="679">
        <v>4607091384338</v>
      </c>
      <c r="E449" s="679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86</v>
      </c>
      <c r="L449" s="37" t="s">
        <v>46</v>
      </c>
      <c r="M449" s="38" t="s">
        <v>81</v>
      </c>
      <c r="N449" s="38"/>
      <c r="O449" s="37">
        <v>50</v>
      </c>
      <c r="P449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81"/>
      <c r="R449" s="681"/>
      <c r="S449" s="681"/>
      <c r="T449" s="682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723</v>
      </c>
      <c r="AG449" s="78"/>
      <c r="AJ449" s="84" t="s">
        <v>46</v>
      </c>
      <c r="AK449" s="84">
        <v>0</v>
      </c>
      <c r="BB449" s="535" t="s">
        <v>67</v>
      </c>
      <c r="BM449" s="78">
        <f t="shared" si="53"/>
        <v>0</v>
      </c>
      <c r="BN449" s="78">
        <f t="shared" si="54"/>
        <v>0</v>
      </c>
      <c r="BO449" s="78">
        <f t="shared" si="55"/>
        <v>0</v>
      </c>
      <c r="BP449" s="78">
        <f t="shared" si="56"/>
        <v>0</v>
      </c>
    </row>
    <row r="450" spans="1:68" ht="27" customHeight="1" x14ac:dyDescent="0.25">
      <c r="A450" s="63" t="s">
        <v>729</v>
      </c>
      <c r="B450" s="63" t="s">
        <v>730</v>
      </c>
      <c r="C450" s="36">
        <v>4301031364</v>
      </c>
      <c r="D450" s="679">
        <v>4680115883161</v>
      </c>
      <c r="E450" s="679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9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81"/>
      <c r="R450" s="681"/>
      <c r="S450" s="681"/>
      <c r="T450" s="68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731</v>
      </c>
      <c r="AG450" s="78"/>
      <c r="AJ450" s="84" t="s">
        <v>46</v>
      </c>
      <c r="AK450" s="84">
        <v>0</v>
      </c>
      <c r="BB450" s="537" t="s">
        <v>67</v>
      </c>
      <c r="BM450" s="78">
        <f t="shared" si="53"/>
        <v>0</v>
      </c>
      <c r="BN450" s="78">
        <f t="shared" si="54"/>
        <v>0</v>
      </c>
      <c r="BO450" s="78">
        <f t="shared" si="55"/>
        <v>0</v>
      </c>
      <c r="BP450" s="78">
        <f t="shared" si="56"/>
        <v>0</v>
      </c>
    </row>
    <row r="451" spans="1:68" ht="27" customHeight="1" x14ac:dyDescent="0.25">
      <c r="A451" s="63" t="s">
        <v>732</v>
      </c>
      <c r="B451" s="63" t="s">
        <v>733</v>
      </c>
      <c r="C451" s="36">
        <v>4301031358</v>
      </c>
      <c r="D451" s="679">
        <v>4607091389531</v>
      </c>
      <c r="E451" s="679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9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81"/>
      <c r="R451" s="681"/>
      <c r="S451" s="681"/>
      <c r="T451" s="68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3"/>
        <v>0</v>
      </c>
      <c r="BN451" s="78">
        <f t="shared" si="54"/>
        <v>0</v>
      </c>
      <c r="BO451" s="78">
        <f t="shared" si="55"/>
        <v>0</v>
      </c>
      <c r="BP451" s="78">
        <f t="shared" si="56"/>
        <v>0</v>
      </c>
    </row>
    <row r="452" spans="1:68" ht="37.5" customHeight="1" x14ac:dyDescent="0.25">
      <c r="A452" s="63" t="s">
        <v>735</v>
      </c>
      <c r="B452" s="63" t="s">
        <v>736</v>
      </c>
      <c r="C452" s="36">
        <v>4301031360</v>
      </c>
      <c r="D452" s="679">
        <v>4607091384345</v>
      </c>
      <c r="E452" s="67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9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81"/>
      <c r="R452" s="681"/>
      <c r="S452" s="681"/>
      <c r="T452" s="682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731</v>
      </c>
      <c r="AG452" s="78"/>
      <c r="AJ452" s="84" t="s">
        <v>46</v>
      </c>
      <c r="AK452" s="84">
        <v>0</v>
      </c>
      <c r="BB452" s="541" t="s">
        <v>67</v>
      </c>
      <c r="BM452" s="78">
        <f t="shared" si="53"/>
        <v>0</v>
      </c>
      <c r="BN452" s="78">
        <f t="shared" si="54"/>
        <v>0</v>
      </c>
      <c r="BO452" s="78">
        <f t="shared" si="55"/>
        <v>0</v>
      </c>
      <c r="BP452" s="78">
        <f t="shared" si="56"/>
        <v>0</v>
      </c>
    </row>
    <row r="453" spans="1:68" x14ac:dyDescent="0.2">
      <c r="A453" s="688"/>
      <c r="B453" s="688"/>
      <c r="C453" s="688"/>
      <c r="D453" s="688"/>
      <c r="E453" s="688"/>
      <c r="F453" s="688"/>
      <c r="G453" s="688"/>
      <c r="H453" s="688"/>
      <c r="I453" s="688"/>
      <c r="J453" s="688"/>
      <c r="K453" s="688"/>
      <c r="L453" s="688"/>
      <c r="M453" s="688"/>
      <c r="N453" s="688"/>
      <c r="O453" s="689"/>
      <c r="P453" s="685" t="s">
        <v>40</v>
      </c>
      <c r="Q453" s="686"/>
      <c r="R453" s="686"/>
      <c r="S453" s="686"/>
      <c r="T453" s="686"/>
      <c r="U453" s="686"/>
      <c r="V453" s="687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88"/>
      <c r="B454" s="688"/>
      <c r="C454" s="688"/>
      <c r="D454" s="688"/>
      <c r="E454" s="688"/>
      <c r="F454" s="688"/>
      <c r="G454" s="688"/>
      <c r="H454" s="688"/>
      <c r="I454" s="688"/>
      <c r="J454" s="688"/>
      <c r="K454" s="688"/>
      <c r="L454" s="688"/>
      <c r="M454" s="688"/>
      <c r="N454" s="688"/>
      <c r="O454" s="689"/>
      <c r="P454" s="685" t="s">
        <v>40</v>
      </c>
      <c r="Q454" s="686"/>
      <c r="R454" s="686"/>
      <c r="S454" s="686"/>
      <c r="T454" s="686"/>
      <c r="U454" s="686"/>
      <c r="V454" s="687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78" t="s">
        <v>90</v>
      </c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  <c r="Y455" s="678"/>
      <c r="Z455" s="678"/>
      <c r="AA455" s="66"/>
      <c r="AB455" s="66"/>
      <c r="AC455" s="80"/>
    </row>
    <row r="456" spans="1:68" ht="27" customHeight="1" x14ac:dyDescent="0.25">
      <c r="A456" s="63" t="s">
        <v>737</v>
      </c>
      <c r="B456" s="63" t="s">
        <v>738</v>
      </c>
      <c r="C456" s="36">
        <v>4301051284</v>
      </c>
      <c r="D456" s="679">
        <v>4607091384352</v>
      </c>
      <c r="E456" s="679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151</v>
      </c>
      <c r="L456" s="37" t="s">
        <v>46</v>
      </c>
      <c r="M456" s="38" t="s">
        <v>94</v>
      </c>
      <c r="N456" s="38"/>
      <c r="O456" s="37">
        <v>45</v>
      </c>
      <c r="P456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81"/>
      <c r="R456" s="681"/>
      <c r="S456" s="681"/>
      <c r="T456" s="68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739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740</v>
      </c>
      <c r="B457" s="63" t="s">
        <v>741</v>
      </c>
      <c r="C457" s="36">
        <v>4301051431</v>
      </c>
      <c r="D457" s="679">
        <v>4607091389654</v>
      </c>
      <c r="E457" s="679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82</v>
      </c>
      <c r="L457" s="37" t="s">
        <v>46</v>
      </c>
      <c r="M457" s="38" t="s">
        <v>94</v>
      </c>
      <c r="N457" s="38"/>
      <c r="O457" s="37">
        <v>45</v>
      </c>
      <c r="P457" s="91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81"/>
      <c r="R457" s="681"/>
      <c r="S457" s="681"/>
      <c r="T457" s="68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88"/>
      <c r="B458" s="688"/>
      <c r="C458" s="688"/>
      <c r="D458" s="688"/>
      <c r="E458" s="688"/>
      <c r="F458" s="688"/>
      <c r="G458" s="688"/>
      <c r="H458" s="688"/>
      <c r="I458" s="688"/>
      <c r="J458" s="688"/>
      <c r="K458" s="688"/>
      <c r="L458" s="688"/>
      <c r="M458" s="688"/>
      <c r="N458" s="688"/>
      <c r="O458" s="689"/>
      <c r="P458" s="685" t="s">
        <v>40</v>
      </c>
      <c r="Q458" s="686"/>
      <c r="R458" s="686"/>
      <c r="S458" s="686"/>
      <c r="T458" s="686"/>
      <c r="U458" s="686"/>
      <c r="V458" s="687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88"/>
      <c r="B459" s="688"/>
      <c r="C459" s="688"/>
      <c r="D459" s="688"/>
      <c r="E459" s="688"/>
      <c r="F459" s="688"/>
      <c r="G459" s="688"/>
      <c r="H459" s="688"/>
      <c r="I459" s="688"/>
      <c r="J459" s="688"/>
      <c r="K459" s="688"/>
      <c r="L459" s="688"/>
      <c r="M459" s="688"/>
      <c r="N459" s="688"/>
      <c r="O459" s="689"/>
      <c r="P459" s="685" t="s">
        <v>40</v>
      </c>
      <c r="Q459" s="686"/>
      <c r="R459" s="686"/>
      <c r="S459" s="686"/>
      <c r="T459" s="686"/>
      <c r="U459" s="686"/>
      <c r="V459" s="687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77" t="s">
        <v>743</v>
      </c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77"/>
      <c r="P460" s="677"/>
      <c r="Q460" s="677"/>
      <c r="R460" s="677"/>
      <c r="S460" s="677"/>
      <c r="T460" s="677"/>
      <c r="U460" s="677"/>
      <c r="V460" s="677"/>
      <c r="W460" s="677"/>
      <c r="X460" s="677"/>
      <c r="Y460" s="677"/>
      <c r="Z460" s="677"/>
      <c r="AA460" s="65"/>
      <c r="AB460" s="65"/>
      <c r="AC460" s="79"/>
    </row>
    <row r="461" spans="1:68" ht="14.25" customHeight="1" x14ac:dyDescent="0.25">
      <c r="A461" s="678" t="s">
        <v>174</v>
      </c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  <c r="Y461" s="678"/>
      <c r="Z461" s="678"/>
      <c r="AA461" s="66"/>
      <c r="AB461" s="66"/>
      <c r="AC461" s="80"/>
    </row>
    <row r="462" spans="1:68" ht="27" customHeight="1" x14ac:dyDescent="0.25">
      <c r="A462" s="63" t="s">
        <v>744</v>
      </c>
      <c r="B462" s="63" t="s">
        <v>745</v>
      </c>
      <c r="C462" s="36">
        <v>4301020416</v>
      </c>
      <c r="D462" s="679">
        <v>4680115885240</v>
      </c>
      <c r="E462" s="679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82</v>
      </c>
      <c r="L462" s="37" t="s">
        <v>46</v>
      </c>
      <c r="M462" s="38" t="s">
        <v>81</v>
      </c>
      <c r="N462" s="38"/>
      <c r="O462" s="37">
        <v>40</v>
      </c>
      <c r="P462" s="9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81"/>
      <c r="R462" s="681"/>
      <c r="S462" s="681"/>
      <c r="T462" s="68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746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88"/>
      <c r="B463" s="688"/>
      <c r="C463" s="688"/>
      <c r="D463" s="688"/>
      <c r="E463" s="688"/>
      <c r="F463" s="688"/>
      <c r="G463" s="688"/>
      <c r="H463" s="688"/>
      <c r="I463" s="688"/>
      <c r="J463" s="688"/>
      <c r="K463" s="688"/>
      <c r="L463" s="688"/>
      <c r="M463" s="688"/>
      <c r="N463" s="688"/>
      <c r="O463" s="689"/>
      <c r="P463" s="685" t="s">
        <v>40</v>
      </c>
      <c r="Q463" s="686"/>
      <c r="R463" s="686"/>
      <c r="S463" s="686"/>
      <c r="T463" s="686"/>
      <c r="U463" s="686"/>
      <c r="V463" s="687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x14ac:dyDescent="0.2">
      <c r="A464" s="688"/>
      <c r="B464" s="688"/>
      <c r="C464" s="688"/>
      <c r="D464" s="688"/>
      <c r="E464" s="688"/>
      <c r="F464" s="688"/>
      <c r="G464" s="688"/>
      <c r="H464" s="688"/>
      <c r="I464" s="688"/>
      <c r="J464" s="688"/>
      <c r="K464" s="688"/>
      <c r="L464" s="688"/>
      <c r="M464" s="688"/>
      <c r="N464" s="688"/>
      <c r="O464" s="689"/>
      <c r="P464" s="685" t="s">
        <v>40</v>
      </c>
      <c r="Q464" s="686"/>
      <c r="R464" s="686"/>
      <c r="S464" s="686"/>
      <c r="T464" s="686"/>
      <c r="U464" s="686"/>
      <c r="V464" s="687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customHeight="1" x14ac:dyDescent="0.25">
      <c r="A465" s="678" t="s">
        <v>77</v>
      </c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  <c r="Y465" s="678"/>
      <c r="Z465" s="678"/>
      <c r="AA465" s="66"/>
      <c r="AB465" s="66"/>
      <c r="AC465" s="80"/>
    </row>
    <row r="466" spans="1:68" ht="27" customHeight="1" x14ac:dyDescent="0.25">
      <c r="A466" s="63" t="s">
        <v>747</v>
      </c>
      <c r="B466" s="63" t="s">
        <v>748</v>
      </c>
      <c r="C466" s="36">
        <v>4301031407</v>
      </c>
      <c r="D466" s="679">
        <v>4680115886094</v>
      </c>
      <c r="E466" s="67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151</v>
      </c>
      <c r="L466" s="37" t="s">
        <v>46</v>
      </c>
      <c r="M466" s="38" t="s">
        <v>81</v>
      </c>
      <c r="N466" s="38"/>
      <c r="O466" s="37">
        <v>50</v>
      </c>
      <c r="P466" s="9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81"/>
      <c r="R466" s="681"/>
      <c r="S466" s="681"/>
      <c r="T466" s="68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749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750</v>
      </c>
      <c r="B467" s="63" t="s">
        <v>751</v>
      </c>
      <c r="C467" s="36">
        <v>4301031373</v>
      </c>
      <c r="D467" s="679">
        <v>4680115880771</v>
      </c>
      <c r="E467" s="679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86</v>
      </c>
      <c r="L467" s="37" t="s">
        <v>46</v>
      </c>
      <c r="M467" s="38" t="s">
        <v>81</v>
      </c>
      <c r="N467" s="38"/>
      <c r="O467" s="37">
        <v>50</v>
      </c>
      <c r="P467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81"/>
      <c r="R467" s="681"/>
      <c r="S467" s="681"/>
      <c r="T467" s="682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753</v>
      </c>
      <c r="B468" s="63" t="s">
        <v>754</v>
      </c>
      <c r="C468" s="36">
        <v>4301031359</v>
      </c>
      <c r="D468" s="679">
        <v>4607091389500</v>
      </c>
      <c r="E468" s="67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81"/>
      <c r="R468" s="681"/>
      <c r="S468" s="681"/>
      <c r="T468" s="682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752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88"/>
      <c r="B469" s="688"/>
      <c r="C469" s="688"/>
      <c r="D469" s="688"/>
      <c r="E469" s="688"/>
      <c r="F469" s="688"/>
      <c r="G469" s="688"/>
      <c r="H469" s="688"/>
      <c r="I469" s="688"/>
      <c r="J469" s="688"/>
      <c r="K469" s="688"/>
      <c r="L469" s="688"/>
      <c r="M469" s="688"/>
      <c r="N469" s="688"/>
      <c r="O469" s="689"/>
      <c r="P469" s="685" t="s">
        <v>40</v>
      </c>
      <c r="Q469" s="686"/>
      <c r="R469" s="686"/>
      <c r="S469" s="686"/>
      <c r="T469" s="686"/>
      <c r="U469" s="686"/>
      <c r="V469" s="687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88"/>
      <c r="B470" s="688"/>
      <c r="C470" s="688"/>
      <c r="D470" s="688"/>
      <c r="E470" s="688"/>
      <c r="F470" s="688"/>
      <c r="G470" s="688"/>
      <c r="H470" s="688"/>
      <c r="I470" s="688"/>
      <c r="J470" s="688"/>
      <c r="K470" s="688"/>
      <c r="L470" s="688"/>
      <c r="M470" s="688"/>
      <c r="N470" s="688"/>
      <c r="O470" s="689"/>
      <c r="P470" s="685" t="s">
        <v>40</v>
      </c>
      <c r="Q470" s="686"/>
      <c r="R470" s="686"/>
      <c r="S470" s="686"/>
      <c r="T470" s="686"/>
      <c r="U470" s="686"/>
      <c r="V470" s="687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27.75" customHeight="1" x14ac:dyDescent="0.2">
      <c r="A471" s="676" t="s">
        <v>755</v>
      </c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54"/>
      <c r="AB471" s="54"/>
      <c r="AC471" s="54"/>
    </row>
    <row r="472" spans="1:68" ht="16.5" customHeight="1" x14ac:dyDescent="0.25">
      <c r="A472" s="677" t="s">
        <v>755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65"/>
      <c r="AB472" s="65"/>
      <c r="AC472" s="79"/>
    </row>
    <row r="473" spans="1:68" ht="14.25" customHeight="1" x14ac:dyDescent="0.25">
      <c r="A473" s="678" t="s">
        <v>139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66"/>
      <c r="AB473" s="66"/>
      <c r="AC473" s="80"/>
    </row>
    <row r="474" spans="1:68" ht="27" customHeight="1" x14ac:dyDescent="0.25">
      <c r="A474" s="63" t="s">
        <v>756</v>
      </c>
      <c r="B474" s="63" t="s">
        <v>757</v>
      </c>
      <c r="C474" s="36">
        <v>4301011769</v>
      </c>
      <c r="D474" s="679">
        <v>4607091389067</v>
      </c>
      <c r="E474" s="679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144</v>
      </c>
      <c r="L474" s="37" t="s">
        <v>46</v>
      </c>
      <c r="M474" s="38" t="s">
        <v>94</v>
      </c>
      <c r="N474" s="38"/>
      <c r="O474" s="37">
        <v>60</v>
      </c>
      <c r="P474" s="9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81"/>
      <c r="R474" s="681"/>
      <c r="S474" s="681"/>
      <c r="T474" s="68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57">IFERROR(IF(X474="",0,CEILING((X474/$H474),1)*$H474),"")</f>
        <v>0</v>
      </c>
      <c r="Z474" s="41" t="str">
        <f t="shared" ref="Z474:Z479" si="58">IFERROR(IF(Y474=0,"",ROUNDUP(Y474/H474,0)*0.01196),"")</f>
        <v/>
      </c>
      <c r="AA474" s="68" t="s">
        <v>46</v>
      </c>
      <c r="AB474" s="69" t="s">
        <v>46</v>
      </c>
      <c r="AC474" s="554" t="s">
        <v>142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59">IFERROR(X474*I474/H474,"0")</f>
        <v>0</v>
      </c>
      <c r="BN474" s="78">
        <f t="shared" ref="BN474:BN482" si="60">IFERROR(Y474*I474/H474,"0")</f>
        <v>0</v>
      </c>
      <c r="BO474" s="78">
        <f t="shared" ref="BO474:BO482" si="61">IFERROR(1/J474*(X474/H474),"0")</f>
        <v>0</v>
      </c>
      <c r="BP474" s="78">
        <f t="shared" ref="BP474:BP482" si="62">IFERROR(1/J474*(Y474/H474),"0")</f>
        <v>0</v>
      </c>
    </row>
    <row r="475" spans="1:68" ht="27" customHeight="1" x14ac:dyDescent="0.25">
      <c r="A475" s="63" t="s">
        <v>758</v>
      </c>
      <c r="B475" s="63" t="s">
        <v>759</v>
      </c>
      <c r="C475" s="36">
        <v>4301012210</v>
      </c>
      <c r="D475" s="679">
        <v>4607091383522</v>
      </c>
      <c r="E475" s="679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143</v>
      </c>
      <c r="N475" s="38"/>
      <c r="O475" s="37">
        <v>60</v>
      </c>
      <c r="P475" s="9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81"/>
      <c r="R475" s="681"/>
      <c r="S475" s="681"/>
      <c r="T475" s="68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7"/>
        <v>0</v>
      </c>
      <c r="Z475" s="41" t="str">
        <f t="shared" si="58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4301011961</v>
      </c>
      <c r="D476" s="679">
        <v>4680115885271</v>
      </c>
      <c r="E476" s="679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81"/>
      <c r="R476" s="681"/>
      <c r="S476" s="681"/>
      <c r="T476" s="68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7"/>
        <v>0</v>
      </c>
      <c r="Z476" s="41" t="str">
        <f t="shared" si="58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4301011369</v>
      </c>
      <c r="D477" s="679">
        <v>4680115885226</v>
      </c>
      <c r="E477" s="67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9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81"/>
      <c r="R477" s="681"/>
      <c r="S477" s="681"/>
      <c r="T477" s="682"/>
      <c r="U477" s="39" t="s">
        <v>46</v>
      </c>
      <c r="V477" s="39" t="s">
        <v>46</v>
      </c>
      <c r="W477" s="40" t="s">
        <v>0</v>
      </c>
      <c r="X477" s="58">
        <v>400</v>
      </c>
      <c r="Y477" s="55">
        <f t="shared" si="57"/>
        <v>401.28000000000003</v>
      </c>
      <c r="Z477" s="41">
        <f t="shared" si="58"/>
        <v>0.90895999999999999</v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59"/>
        <v>426.5151515151515</v>
      </c>
      <c r="BN477" s="78">
        <f t="shared" si="60"/>
        <v>427.88</v>
      </c>
      <c r="BO477" s="78">
        <f t="shared" si="61"/>
        <v>0.72843822843822836</v>
      </c>
      <c r="BP477" s="78">
        <f t="shared" si="62"/>
        <v>0.73076923076923084</v>
      </c>
    </row>
    <row r="478" spans="1:68" ht="16.5" customHeight="1" x14ac:dyDescent="0.25">
      <c r="A478" s="63" t="s">
        <v>767</v>
      </c>
      <c r="B478" s="63" t="s">
        <v>768</v>
      </c>
      <c r="C478" s="36">
        <v>4301011797</v>
      </c>
      <c r="D478" s="679">
        <v>4680115884502</v>
      </c>
      <c r="E478" s="67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94</v>
      </c>
      <c r="N478" s="38"/>
      <c r="O478" s="37">
        <v>60</v>
      </c>
      <c r="P478" s="9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81"/>
      <c r="R478" s="681"/>
      <c r="S478" s="681"/>
      <c r="T478" s="68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57"/>
        <v>0</v>
      </c>
      <c r="Z478" s="41" t="str">
        <f t="shared" si="58"/>
        <v/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59"/>
        <v>0</v>
      </c>
      <c r="BN478" s="78">
        <f t="shared" si="60"/>
        <v>0</v>
      </c>
      <c r="BO478" s="78">
        <f t="shared" si="61"/>
        <v>0</v>
      </c>
      <c r="BP478" s="78">
        <f t="shared" si="62"/>
        <v>0</v>
      </c>
    </row>
    <row r="479" spans="1:68" ht="27" customHeight="1" x14ac:dyDescent="0.25">
      <c r="A479" s="63" t="s">
        <v>770</v>
      </c>
      <c r="B479" s="63" t="s">
        <v>771</v>
      </c>
      <c r="C479" s="36">
        <v>4301011771</v>
      </c>
      <c r="D479" s="679">
        <v>4607091389104</v>
      </c>
      <c r="E479" s="67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143</v>
      </c>
      <c r="N479" s="38"/>
      <c r="O479" s="37">
        <v>60</v>
      </c>
      <c r="P479" s="9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81"/>
      <c r="R479" s="681"/>
      <c r="S479" s="681"/>
      <c r="T479" s="682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57"/>
        <v>0</v>
      </c>
      <c r="Z479" s="41" t="str">
        <f t="shared" si="58"/>
        <v/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59"/>
        <v>0</v>
      </c>
      <c r="BN479" s="78">
        <f t="shared" si="60"/>
        <v>0</v>
      </c>
      <c r="BO479" s="78">
        <f t="shared" si="61"/>
        <v>0</v>
      </c>
      <c r="BP479" s="78">
        <f t="shared" si="62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4301012125</v>
      </c>
      <c r="D480" s="679">
        <v>4680115886391</v>
      </c>
      <c r="E480" s="679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82</v>
      </c>
      <c r="L480" s="37" t="s">
        <v>46</v>
      </c>
      <c r="M480" s="38" t="s">
        <v>94</v>
      </c>
      <c r="N480" s="38"/>
      <c r="O480" s="37">
        <v>60</v>
      </c>
      <c r="P480" s="9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81"/>
      <c r="R480" s="681"/>
      <c r="S480" s="681"/>
      <c r="T480" s="68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5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142</v>
      </c>
      <c r="AG480" s="78"/>
      <c r="AJ480" s="84" t="s">
        <v>46</v>
      </c>
      <c r="AK480" s="84">
        <v>0</v>
      </c>
      <c r="BB480" s="567" t="s">
        <v>67</v>
      </c>
      <c r="BM480" s="78">
        <f t="shared" si="59"/>
        <v>0</v>
      </c>
      <c r="BN480" s="78">
        <f t="shared" si="60"/>
        <v>0</v>
      </c>
      <c r="BO480" s="78">
        <f t="shared" si="61"/>
        <v>0</v>
      </c>
      <c r="BP480" s="78">
        <f t="shared" si="62"/>
        <v>0</v>
      </c>
    </row>
    <row r="481" spans="1:68" ht="27" customHeight="1" x14ac:dyDescent="0.25">
      <c r="A481" s="63" t="s">
        <v>775</v>
      </c>
      <c r="B481" s="63" t="s">
        <v>776</v>
      </c>
      <c r="C481" s="36">
        <v>4301012048</v>
      </c>
      <c r="D481" s="679">
        <v>4680115880603</v>
      </c>
      <c r="E481" s="679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151</v>
      </c>
      <c r="L481" s="37" t="s">
        <v>46</v>
      </c>
      <c r="M481" s="38" t="s">
        <v>94</v>
      </c>
      <c r="N481" s="38"/>
      <c r="O481" s="37">
        <v>60</v>
      </c>
      <c r="P481" s="9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81"/>
      <c r="R481" s="681"/>
      <c r="S481" s="681"/>
      <c r="T481" s="682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5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59"/>
        <v>0</v>
      </c>
      <c r="BN481" s="78">
        <f t="shared" si="60"/>
        <v>0</v>
      </c>
      <c r="BO481" s="78">
        <f t="shared" si="61"/>
        <v>0</v>
      </c>
      <c r="BP481" s="78">
        <f t="shared" si="62"/>
        <v>0</v>
      </c>
    </row>
    <row r="482" spans="1:68" ht="27" customHeight="1" x14ac:dyDescent="0.25">
      <c r="A482" s="63" t="s">
        <v>777</v>
      </c>
      <c r="B482" s="63" t="s">
        <v>778</v>
      </c>
      <c r="C482" s="36">
        <v>4301012034</v>
      </c>
      <c r="D482" s="679">
        <v>4607091389982</v>
      </c>
      <c r="E482" s="679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143</v>
      </c>
      <c r="N482" s="38"/>
      <c r="O482" s="37">
        <v>60</v>
      </c>
      <c r="P482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81"/>
      <c r="R482" s="681"/>
      <c r="S482" s="681"/>
      <c r="T482" s="68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5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772</v>
      </c>
      <c r="AG482" s="78"/>
      <c r="AJ482" s="84" t="s">
        <v>46</v>
      </c>
      <c r="AK482" s="84">
        <v>0</v>
      </c>
      <c r="BB482" s="571" t="s">
        <v>67</v>
      </c>
      <c r="BM482" s="78">
        <f t="shared" si="59"/>
        <v>0</v>
      </c>
      <c r="BN482" s="78">
        <f t="shared" si="60"/>
        <v>0</v>
      </c>
      <c r="BO482" s="78">
        <f t="shared" si="61"/>
        <v>0</v>
      </c>
      <c r="BP482" s="78">
        <f t="shared" si="62"/>
        <v>0</v>
      </c>
    </row>
    <row r="483" spans="1:68" x14ac:dyDescent="0.2">
      <c r="A483" s="688"/>
      <c r="B483" s="688"/>
      <c r="C483" s="688"/>
      <c r="D483" s="688"/>
      <c r="E483" s="688"/>
      <c r="F483" s="688"/>
      <c r="G483" s="688"/>
      <c r="H483" s="688"/>
      <c r="I483" s="688"/>
      <c r="J483" s="688"/>
      <c r="K483" s="688"/>
      <c r="L483" s="688"/>
      <c r="M483" s="688"/>
      <c r="N483" s="688"/>
      <c r="O483" s="689"/>
      <c r="P483" s="685" t="s">
        <v>40</v>
      </c>
      <c r="Q483" s="686"/>
      <c r="R483" s="686"/>
      <c r="S483" s="686"/>
      <c r="T483" s="686"/>
      <c r="U483" s="686"/>
      <c r="V483" s="687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75.757575757575751</v>
      </c>
      <c r="Y483" s="43">
        <f>IFERROR(Y474/H474,"0")+IFERROR(Y475/H475,"0")+IFERROR(Y476/H476,"0")+IFERROR(Y477/H477,"0")+IFERROR(Y478/H478,"0")+IFERROR(Y479/H479,"0")+IFERROR(Y480/H480,"0")+IFERROR(Y481/H481,"0")+IFERROR(Y482/H482,"0")</f>
        <v>76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0.90895999999999999</v>
      </c>
      <c r="AA483" s="67"/>
      <c r="AB483" s="67"/>
      <c r="AC483" s="67"/>
    </row>
    <row r="484" spans="1:68" x14ac:dyDescent="0.2">
      <c r="A484" s="688"/>
      <c r="B484" s="688"/>
      <c r="C484" s="688"/>
      <c r="D484" s="688"/>
      <c r="E484" s="688"/>
      <c r="F484" s="688"/>
      <c r="G484" s="688"/>
      <c r="H484" s="688"/>
      <c r="I484" s="688"/>
      <c r="J484" s="688"/>
      <c r="K484" s="688"/>
      <c r="L484" s="688"/>
      <c r="M484" s="688"/>
      <c r="N484" s="688"/>
      <c r="O484" s="689"/>
      <c r="P484" s="685" t="s">
        <v>40</v>
      </c>
      <c r="Q484" s="686"/>
      <c r="R484" s="686"/>
      <c r="S484" s="686"/>
      <c r="T484" s="686"/>
      <c r="U484" s="686"/>
      <c r="V484" s="687"/>
      <c r="W484" s="42" t="s">
        <v>0</v>
      </c>
      <c r="X484" s="43">
        <f>IFERROR(SUM(X474:X482),"0")</f>
        <v>400</v>
      </c>
      <c r="Y484" s="43">
        <f>IFERROR(SUM(Y474:Y482),"0")</f>
        <v>401.28000000000003</v>
      </c>
      <c r="Z484" s="42"/>
      <c r="AA484" s="67"/>
      <c r="AB484" s="67"/>
      <c r="AC484" s="67"/>
    </row>
    <row r="485" spans="1:68" ht="14.25" customHeight="1" x14ac:dyDescent="0.25">
      <c r="A485" s="678" t="s">
        <v>174</v>
      </c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  <c r="Y485" s="678"/>
      <c r="Z485" s="678"/>
      <c r="AA485" s="66"/>
      <c r="AB485" s="66"/>
      <c r="AC485" s="80"/>
    </row>
    <row r="486" spans="1:68" ht="16.5" customHeight="1" x14ac:dyDescent="0.25">
      <c r="A486" s="63" t="s">
        <v>779</v>
      </c>
      <c r="B486" s="63" t="s">
        <v>780</v>
      </c>
      <c r="C486" s="36">
        <v>4301020334</v>
      </c>
      <c r="D486" s="679">
        <v>4607091388930</v>
      </c>
      <c r="E486" s="679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144</v>
      </c>
      <c r="L486" s="37" t="s">
        <v>46</v>
      </c>
      <c r="M486" s="38" t="s">
        <v>94</v>
      </c>
      <c r="N486" s="38"/>
      <c r="O486" s="37">
        <v>70</v>
      </c>
      <c r="P486" s="9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81"/>
      <c r="R486" s="681"/>
      <c r="S486" s="681"/>
      <c r="T486" s="682"/>
      <c r="U486" s="39" t="s">
        <v>46</v>
      </c>
      <c r="V486" s="39" t="s">
        <v>46</v>
      </c>
      <c r="W486" s="40" t="s">
        <v>0</v>
      </c>
      <c r="X486" s="58">
        <v>280</v>
      </c>
      <c r="Y486" s="55">
        <f>IFERROR(IF(X486="",0,CEILING((X486/$H486),1)*$H486),"")</f>
        <v>285.12</v>
      </c>
      <c r="Z486" s="41">
        <f>IFERROR(IF(Y486=0,"",ROUNDUP(Y486/H486,0)*0.01196),"")</f>
        <v>0.64583999999999997</v>
      </c>
      <c r="AA486" s="68" t="s">
        <v>46</v>
      </c>
      <c r="AB486" s="69" t="s">
        <v>46</v>
      </c>
      <c r="AC486" s="572" t="s">
        <v>781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298.56060606060601</v>
      </c>
      <c r="BN486" s="78">
        <f>IFERROR(Y486*I486/H486,"0")</f>
        <v>304.02</v>
      </c>
      <c r="BO486" s="78">
        <f>IFERROR(1/J486*(X486/H486),"0")</f>
        <v>0.50990675990675993</v>
      </c>
      <c r="BP486" s="78">
        <f>IFERROR(1/J486*(Y486/H486),"0")</f>
        <v>0.51923076923076927</v>
      </c>
    </row>
    <row r="487" spans="1:68" ht="16.5" customHeight="1" x14ac:dyDescent="0.25">
      <c r="A487" s="63" t="s">
        <v>782</v>
      </c>
      <c r="B487" s="63" t="s">
        <v>783</v>
      </c>
      <c r="C487" s="36">
        <v>4301020374</v>
      </c>
      <c r="D487" s="679">
        <v>4680115886407</v>
      </c>
      <c r="E487" s="679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82</v>
      </c>
      <c r="L487" s="37" t="s">
        <v>46</v>
      </c>
      <c r="M487" s="38" t="s">
        <v>143</v>
      </c>
      <c r="N487" s="38"/>
      <c r="O487" s="37">
        <v>70</v>
      </c>
      <c r="P487" s="9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81"/>
      <c r="R487" s="681"/>
      <c r="S487" s="681"/>
      <c r="T487" s="68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781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784</v>
      </c>
      <c r="B488" s="63" t="s">
        <v>785</v>
      </c>
      <c r="C488" s="36">
        <v>4301020385</v>
      </c>
      <c r="D488" s="679">
        <v>4680115880054</v>
      </c>
      <c r="E488" s="679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151</v>
      </c>
      <c r="L488" s="37" t="s">
        <v>46</v>
      </c>
      <c r="M488" s="38" t="s">
        <v>143</v>
      </c>
      <c r="N488" s="38"/>
      <c r="O488" s="37">
        <v>70</v>
      </c>
      <c r="P488" s="9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81"/>
      <c r="R488" s="681"/>
      <c r="S488" s="681"/>
      <c r="T488" s="68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781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88"/>
      <c r="B489" s="688"/>
      <c r="C489" s="688"/>
      <c r="D489" s="688"/>
      <c r="E489" s="688"/>
      <c r="F489" s="688"/>
      <c r="G489" s="688"/>
      <c r="H489" s="688"/>
      <c r="I489" s="688"/>
      <c r="J489" s="688"/>
      <c r="K489" s="688"/>
      <c r="L489" s="688"/>
      <c r="M489" s="688"/>
      <c r="N489" s="688"/>
      <c r="O489" s="689"/>
      <c r="P489" s="685" t="s">
        <v>40</v>
      </c>
      <c r="Q489" s="686"/>
      <c r="R489" s="686"/>
      <c r="S489" s="686"/>
      <c r="T489" s="686"/>
      <c r="U489" s="686"/>
      <c r="V489" s="687"/>
      <c r="W489" s="42" t="s">
        <v>39</v>
      </c>
      <c r="X489" s="43">
        <f>IFERROR(X486/H486,"0")+IFERROR(X487/H487,"0")+IFERROR(X488/H488,"0")</f>
        <v>53.030303030303031</v>
      </c>
      <c r="Y489" s="43">
        <f>IFERROR(Y486/H486,"0")+IFERROR(Y487/H487,"0")+IFERROR(Y488/H488,"0")</f>
        <v>54</v>
      </c>
      <c r="Z489" s="43">
        <f>IFERROR(IF(Z486="",0,Z486),"0")+IFERROR(IF(Z487="",0,Z487),"0")+IFERROR(IF(Z488="",0,Z488),"0")</f>
        <v>0.64583999999999997</v>
      </c>
      <c r="AA489" s="67"/>
      <c r="AB489" s="67"/>
      <c r="AC489" s="67"/>
    </row>
    <row r="490" spans="1:68" x14ac:dyDescent="0.2">
      <c r="A490" s="688"/>
      <c r="B490" s="688"/>
      <c r="C490" s="688"/>
      <c r="D490" s="688"/>
      <c r="E490" s="688"/>
      <c r="F490" s="688"/>
      <c r="G490" s="688"/>
      <c r="H490" s="688"/>
      <c r="I490" s="688"/>
      <c r="J490" s="688"/>
      <c r="K490" s="688"/>
      <c r="L490" s="688"/>
      <c r="M490" s="688"/>
      <c r="N490" s="688"/>
      <c r="O490" s="689"/>
      <c r="P490" s="685" t="s">
        <v>40</v>
      </c>
      <c r="Q490" s="686"/>
      <c r="R490" s="686"/>
      <c r="S490" s="686"/>
      <c r="T490" s="686"/>
      <c r="U490" s="686"/>
      <c r="V490" s="687"/>
      <c r="W490" s="42" t="s">
        <v>0</v>
      </c>
      <c r="X490" s="43">
        <f>IFERROR(SUM(X486:X488),"0")</f>
        <v>280</v>
      </c>
      <c r="Y490" s="43">
        <f>IFERROR(SUM(Y486:Y488),"0")</f>
        <v>285.12</v>
      </c>
      <c r="Z490" s="42"/>
      <c r="AA490" s="67"/>
      <c r="AB490" s="67"/>
      <c r="AC490" s="67"/>
    </row>
    <row r="491" spans="1:68" ht="14.25" customHeight="1" x14ac:dyDescent="0.25">
      <c r="A491" s="678" t="s">
        <v>77</v>
      </c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  <c r="Y491" s="678"/>
      <c r="Z491" s="678"/>
      <c r="AA491" s="66"/>
      <c r="AB491" s="66"/>
      <c r="AC491" s="80"/>
    </row>
    <row r="492" spans="1:68" ht="27" customHeight="1" x14ac:dyDescent="0.25">
      <c r="A492" s="63" t="s">
        <v>786</v>
      </c>
      <c r="B492" s="63" t="s">
        <v>787</v>
      </c>
      <c r="C492" s="36">
        <v>4301031349</v>
      </c>
      <c r="D492" s="679">
        <v>4680115883116</v>
      </c>
      <c r="E492" s="67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144</v>
      </c>
      <c r="L492" s="37" t="s">
        <v>46</v>
      </c>
      <c r="M492" s="38" t="s">
        <v>143</v>
      </c>
      <c r="N492" s="38"/>
      <c r="O492" s="37">
        <v>70</v>
      </c>
      <c r="P492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81"/>
      <c r="R492" s="681"/>
      <c r="S492" s="681"/>
      <c r="T492" s="68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6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788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64">IFERROR(X492*I492/H492,"0")</f>
        <v>0</v>
      </c>
      <c r="BN492" s="78">
        <f t="shared" ref="BN492:BN498" si="65">IFERROR(Y492*I492/H492,"0")</f>
        <v>0</v>
      </c>
      <c r="BO492" s="78">
        <f t="shared" ref="BO492:BO498" si="66">IFERROR(1/J492*(X492/H492),"0")</f>
        <v>0</v>
      </c>
      <c r="BP492" s="78">
        <f t="shared" ref="BP492:BP498" si="67">IFERROR(1/J492*(Y492/H492),"0")</f>
        <v>0</v>
      </c>
    </row>
    <row r="493" spans="1:68" ht="27" customHeight="1" x14ac:dyDescent="0.25">
      <c r="A493" s="63" t="s">
        <v>789</v>
      </c>
      <c r="B493" s="63" t="s">
        <v>790</v>
      </c>
      <c r="C493" s="36">
        <v>4301031350</v>
      </c>
      <c r="D493" s="679">
        <v>4680115883093</v>
      </c>
      <c r="E493" s="67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81</v>
      </c>
      <c r="N493" s="38"/>
      <c r="O493" s="37">
        <v>70</v>
      </c>
      <c r="P493" s="9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81"/>
      <c r="R493" s="681"/>
      <c r="S493" s="681"/>
      <c r="T493" s="68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4301031353</v>
      </c>
      <c r="D494" s="679">
        <v>4680115883109</v>
      </c>
      <c r="E494" s="67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9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81"/>
      <c r="R494" s="681"/>
      <c r="S494" s="681"/>
      <c r="T494" s="68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4301031419</v>
      </c>
      <c r="D495" s="679">
        <v>4680115882072</v>
      </c>
      <c r="E495" s="679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151</v>
      </c>
      <c r="L495" s="37" t="s">
        <v>46</v>
      </c>
      <c r="M495" s="38" t="s">
        <v>143</v>
      </c>
      <c r="N495" s="38"/>
      <c r="O495" s="37">
        <v>70</v>
      </c>
      <c r="P495" s="9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81"/>
      <c r="R495" s="681"/>
      <c r="S495" s="681"/>
      <c r="T495" s="68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788</v>
      </c>
      <c r="AG495" s="78"/>
      <c r="AJ495" s="84" t="s">
        <v>46</v>
      </c>
      <c r="AK495" s="84">
        <v>0</v>
      </c>
      <c r="BB495" s="585" t="s">
        <v>67</v>
      </c>
      <c r="BM495" s="78">
        <f t="shared" si="64"/>
        <v>0</v>
      </c>
      <c r="BN495" s="78">
        <f t="shared" si="65"/>
        <v>0</v>
      </c>
      <c r="BO495" s="78">
        <f t="shared" si="66"/>
        <v>0</v>
      </c>
      <c r="BP495" s="78">
        <f t="shared" si="67"/>
        <v>0</v>
      </c>
    </row>
    <row r="496" spans="1:68" ht="27" customHeight="1" x14ac:dyDescent="0.25">
      <c r="A496" s="63" t="s">
        <v>797</v>
      </c>
      <c r="B496" s="63" t="s">
        <v>798</v>
      </c>
      <c r="C496" s="36">
        <v>4301031352</v>
      </c>
      <c r="D496" s="679">
        <v>4680115882102</v>
      </c>
      <c r="E496" s="679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151</v>
      </c>
      <c r="L496" s="37" t="s">
        <v>46</v>
      </c>
      <c r="M496" s="38" t="s">
        <v>81</v>
      </c>
      <c r="N496" s="38"/>
      <c r="O496" s="37">
        <v>70</v>
      </c>
      <c r="P496" s="93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81"/>
      <c r="R496" s="681"/>
      <c r="S496" s="681"/>
      <c r="T496" s="68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4"/>
        <v>0</v>
      </c>
      <c r="BN496" s="78">
        <f t="shared" si="65"/>
        <v>0</v>
      </c>
      <c r="BO496" s="78">
        <f t="shared" si="66"/>
        <v>0</v>
      </c>
      <c r="BP496" s="78">
        <f t="shared" si="67"/>
        <v>0</v>
      </c>
    </row>
    <row r="497" spans="1:68" ht="27" customHeight="1" x14ac:dyDescent="0.25">
      <c r="A497" s="63" t="s">
        <v>797</v>
      </c>
      <c r="B497" s="63" t="s">
        <v>799</v>
      </c>
      <c r="C497" s="36">
        <v>4301031418</v>
      </c>
      <c r="D497" s="679">
        <v>4680115882102</v>
      </c>
      <c r="E497" s="679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9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81"/>
      <c r="R497" s="681"/>
      <c r="S497" s="681"/>
      <c r="T497" s="68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791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4301031417</v>
      </c>
      <c r="D498" s="679">
        <v>4680115882096</v>
      </c>
      <c r="E498" s="679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81"/>
      <c r="R498" s="681"/>
      <c r="S498" s="681"/>
      <c r="T498" s="68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x14ac:dyDescent="0.2">
      <c r="A499" s="688"/>
      <c r="B499" s="688"/>
      <c r="C499" s="688"/>
      <c r="D499" s="688"/>
      <c r="E499" s="688"/>
      <c r="F499" s="688"/>
      <c r="G499" s="688"/>
      <c r="H499" s="688"/>
      <c r="I499" s="688"/>
      <c r="J499" s="688"/>
      <c r="K499" s="688"/>
      <c r="L499" s="688"/>
      <c r="M499" s="688"/>
      <c r="N499" s="688"/>
      <c r="O499" s="689"/>
      <c r="P499" s="685" t="s">
        <v>40</v>
      </c>
      <c r="Q499" s="686"/>
      <c r="R499" s="686"/>
      <c r="S499" s="686"/>
      <c r="T499" s="686"/>
      <c r="U499" s="686"/>
      <c r="V499" s="687"/>
      <c r="W499" s="42" t="s">
        <v>39</v>
      </c>
      <c r="X499" s="43">
        <f>IFERROR(X492/H492,"0")+IFERROR(X493/H493,"0")+IFERROR(X494/H494,"0")+IFERROR(X495/H495,"0")+IFERROR(X496/H496,"0")+IFERROR(X497/H497,"0")+IFERROR(X498/H498,"0")</f>
        <v>0</v>
      </c>
      <c r="Y499" s="43">
        <f>IFERROR(Y492/H492,"0")+IFERROR(Y493/H493,"0")+IFERROR(Y494/H494,"0")+IFERROR(Y495/H495,"0")+IFERROR(Y496/H496,"0")+IFERROR(Y497/H497,"0")+IFERROR(Y498/H498,"0")</f>
        <v>0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</v>
      </c>
      <c r="AA499" s="67"/>
      <c r="AB499" s="67"/>
      <c r="AC499" s="67"/>
    </row>
    <row r="500" spans="1:68" x14ac:dyDescent="0.2">
      <c r="A500" s="688"/>
      <c r="B500" s="688"/>
      <c r="C500" s="688"/>
      <c r="D500" s="688"/>
      <c r="E500" s="688"/>
      <c r="F500" s="688"/>
      <c r="G500" s="688"/>
      <c r="H500" s="688"/>
      <c r="I500" s="688"/>
      <c r="J500" s="688"/>
      <c r="K500" s="688"/>
      <c r="L500" s="688"/>
      <c r="M500" s="688"/>
      <c r="N500" s="688"/>
      <c r="O500" s="689"/>
      <c r="P500" s="685" t="s">
        <v>40</v>
      </c>
      <c r="Q500" s="686"/>
      <c r="R500" s="686"/>
      <c r="S500" s="686"/>
      <c r="T500" s="686"/>
      <c r="U500" s="686"/>
      <c r="V500" s="687"/>
      <c r="W500" s="42" t="s">
        <v>0</v>
      </c>
      <c r="X500" s="43">
        <f>IFERROR(SUM(X492:X498),"0")</f>
        <v>0</v>
      </c>
      <c r="Y500" s="43">
        <f>IFERROR(SUM(Y492:Y498),"0")</f>
        <v>0</v>
      </c>
      <c r="Z500" s="42"/>
      <c r="AA500" s="67"/>
      <c r="AB500" s="67"/>
      <c r="AC500" s="67"/>
    </row>
    <row r="501" spans="1:68" ht="27.75" customHeight="1" x14ac:dyDescent="0.2">
      <c r="A501" s="676" t="s">
        <v>802</v>
      </c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54"/>
      <c r="AB501" s="54"/>
      <c r="AC501" s="54"/>
    </row>
    <row r="502" spans="1:68" ht="16.5" customHeight="1" x14ac:dyDescent="0.25">
      <c r="A502" s="677" t="s">
        <v>802</v>
      </c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77"/>
      <c r="P502" s="677"/>
      <c r="Q502" s="677"/>
      <c r="R502" s="677"/>
      <c r="S502" s="677"/>
      <c r="T502" s="677"/>
      <c r="U502" s="677"/>
      <c r="V502" s="677"/>
      <c r="W502" s="677"/>
      <c r="X502" s="677"/>
      <c r="Y502" s="677"/>
      <c r="Z502" s="677"/>
      <c r="AA502" s="65"/>
      <c r="AB502" s="65"/>
      <c r="AC502" s="79"/>
    </row>
    <row r="503" spans="1:68" ht="14.25" customHeight="1" x14ac:dyDescent="0.25">
      <c r="A503" s="678" t="s">
        <v>139</v>
      </c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  <c r="Y503" s="678"/>
      <c r="Z503" s="678"/>
      <c r="AA503" s="66"/>
      <c r="AB503" s="66"/>
      <c r="AC503" s="80"/>
    </row>
    <row r="504" spans="1:68" ht="27" customHeight="1" x14ac:dyDescent="0.25">
      <c r="A504" s="63" t="s">
        <v>803</v>
      </c>
      <c r="B504" s="63" t="s">
        <v>804</v>
      </c>
      <c r="C504" s="36">
        <v>4301011584</v>
      </c>
      <c r="D504" s="679">
        <v>4640242180564</v>
      </c>
      <c r="E504" s="679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144</v>
      </c>
      <c r="L504" s="37" t="s">
        <v>46</v>
      </c>
      <c r="M504" s="38" t="s">
        <v>143</v>
      </c>
      <c r="N504" s="38"/>
      <c r="O504" s="37">
        <v>50</v>
      </c>
      <c r="P504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81"/>
      <c r="R504" s="681"/>
      <c r="S504" s="681"/>
      <c r="T504" s="68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805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88"/>
      <c r="B505" s="688"/>
      <c r="C505" s="688"/>
      <c r="D505" s="688"/>
      <c r="E505" s="688"/>
      <c r="F505" s="688"/>
      <c r="G505" s="688"/>
      <c r="H505" s="688"/>
      <c r="I505" s="688"/>
      <c r="J505" s="688"/>
      <c r="K505" s="688"/>
      <c r="L505" s="688"/>
      <c r="M505" s="688"/>
      <c r="N505" s="688"/>
      <c r="O505" s="689"/>
      <c r="P505" s="685" t="s">
        <v>40</v>
      </c>
      <c r="Q505" s="686"/>
      <c r="R505" s="686"/>
      <c r="S505" s="686"/>
      <c r="T505" s="686"/>
      <c r="U505" s="686"/>
      <c r="V505" s="687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x14ac:dyDescent="0.2">
      <c r="A506" s="688"/>
      <c r="B506" s="688"/>
      <c r="C506" s="688"/>
      <c r="D506" s="688"/>
      <c r="E506" s="688"/>
      <c r="F506" s="688"/>
      <c r="G506" s="688"/>
      <c r="H506" s="688"/>
      <c r="I506" s="688"/>
      <c r="J506" s="688"/>
      <c r="K506" s="688"/>
      <c r="L506" s="688"/>
      <c r="M506" s="688"/>
      <c r="N506" s="688"/>
      <c r="O506" s="689"/>
      <c r="P506" s="685" t="s">
        <v>40</v>
      </c>
      <c r="Q506" s="686"/>
      <c r="R506" s="686"/>
      <c r="S506" s="686"/>
      <c r="T506" s="686"/>
      <c r="U506" s="686"/>
      <c r="V506" s="687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customHeight="1" x14ac:dyDescent="0.25">
      <c r="A507" s="678" t="s">
        <v>174</v>
      </c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  <c r="Y507" s="678"/>
      <c r="Z507" s="678"/>
      <c r="AA507" s="66"/>
      <c r="AB507" s="66"/>
      <c r="AC507" s="80"/>
    </row>
    <row r="508" spans="1:68" ht="27" customHeight="1" x14ac:dyDescent="0.25">
      <c r="A508" s="63" t="s">
        <v>806</v>
      </c>
      <c r="B508" s="63" t="s">
        <v>807</v>
      </c>
      <c r="C508" s="36">
        <v>4301020400</v>
      </c>
      <c r="D508" s="679">
        <v>4640242180519</v>
      </c>
      <c r="E508" s="679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144</v>
      </c>
      <c r="L508" s="37" t="s">
        <v>46</v>
      </c>
      <c r="M508" s="38" t="s">
        <v>143</v>
      </c>
      <c r="N508" s="38"/>
      <c r="O508" s="37">
        <v>50</v>
      </c>
      <c r="P508" s="9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81"/>
      <c r="R508" s="681"/>
      <c r="S508" s="681"/>
      <c r="T508" s="68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808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88"/>
      <c r="B509" s="688"/>
      <c r="C509" s="688"/>
      <c r="D509" s="688"/>
      <c r="E509" s="688"/>
      <c r="F509" s="688"/>
      <c r="G509" s="688"/>
      <c r="H509" s="688"/>
      <c r="I509" s="688"/>
      <c r="J509" s="688"/>
      <c r="K509" s="688"/>
      <c r="L509" s="688"/>
      <c r="M509" s="688"/>
      <c r="N509" s="688"/>
      <c r="O509" s="689"/>
      <c r="P509" s="685" t="s">
        <v>40</v>
      </c>
      <c r="Q509" s="686"/>
      <c r="R509" s="686"/>
      <c r="S509" s="686"/>
      <c r="T509" s="686"/>
      <c r="U509" s="686"/>
      <c r="V509" s="68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88"/>
      <c r="B510" s="688"/>
      <c r="C510" s="688"/>
      <c r="D510" s="688"/>
      <c r="E510" s="688"/>
      <c r="F510" s="688"/>
      <c r="G510" s="688"/>
      <c r="H510" s="688"/>
      <c r="I510" s="688"/>
      <c r="J510" s="688"/>
      <c r="K510" s="688"/>
      <c r="L510" s="688"/>
      <c r="M510" s="688"/>
      <c r="N510" s="688"/>
      <c r="O510" s="689"/>
      <c r="P510" s="685" t="s">
        <v>40</v>
      </c>
      <c r="Q510" s="686"/>
      <c r="R510" s="686"/>
      <c r="S510" s="686"/>
      <c r="T510" s="686"/>
      <c r="U510" s="686"/>
      <c r="V510" s="68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78" t="s">
        <v>77</v>
      </c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  <c r="Y511" s="678"/>
      <c r="Z511" s="678"/>
      <c r="AA511" s="66"/>
      <c r="AB511" s="66"/>
      <c r="AC511" s="80"/>
    </row>
    <row r="512" spans="1:68" ht="27" customHeight="1" x14ac:dyDescent="0.25">
      <c r="A512" s="63" t="s">
        <v>809</v>
      </c>
      <c r="B512" s="63" t="s">
        <v>810</v>
      </c>
      <c r="C512" s="36">
        <v>4301031467</v>
      </c>
      <c r="D512" s="679">
        <v>4640242180595</v>
      </c>
      <c r="E512" s="679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151</v>
      </c>
      <c r="L512" s="37" t="s">
        <v>46</v>
      </c>
      <c r="M512" s="38" t="s">
        <v>81</v>
      </c>
      <c r="N512" s="38"/>
      <c r="O512" s="37">
        <v>40</v>
      </c>
      <c r="P512" s="94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81"/>
      <c r="R512" s="681"/>
      <c r="S512" s="681"/>
      <c r="T512" s="68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811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customHeight="1" x14ac:dyDescent="0.25">
      <c r="A513" s="63" t="s">
        <v>809</v>
      </c>
      <c r="B513" s="63" t="s">
        <v>812</v>
      </c>
      <c r="C513" s="36">
        <v>4301031500</v>
      </c>
      <c r="D513" s="679">
        <v>4640242180595</v>
      </c>
      <c r="E513" s="679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1"/>
      <c r="R513" s="681"/>
      <c r="S513" s="681"/>
      <c r="T513" s="68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813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88"/>
      <c r="B514" s="688"/>
      <c r="C514" s="688"/>
      <c r="D514" s="688"/>
      <c r="E514" s="688"/>
      <c r="F514" s="688"/>
      <c r="G514" s="688"/>
      <c r="H514" s="688"/>
      <c r="I514" s="688"/>
      <c r="J514" s="688"/>
      <c r="K514" s="688"/>
      <c r="L514" s="688"/>
      <c r="M514" s="688"/>
      <c r="N514" s="688"/>
      <c r="O514" s="689"/>
      <c r="P514" s="685" t="s">
        <v>40</v>
      </c>
      <c r="Q514" s="686"/>
      <c r="R514" s="686"/>
      <c r="S514" s="686"/>
      <c r="T514" s="686"/>
      <c r="U514" s="686"/>
      <c r="V514" s="687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x14ac:dyDescent="0.2">
      <c r="A515" s="688"/>
      <c r="B515" s="688"/>
      <c r="C515" s="688"/>
      <c r="D515" s="688"/>
      <c r="E515" s="688"/>
      <c r="F515" s="688"/>
      <c r="G515" s="688"/>
      <c r="H515" s="688"/>
      <c r="I515" s="688"/>
      <c r="J515" s="688"/>
      <c r="K515" s="688"/>
      <c r="L515" s="688"/>
      <c r="M515" s="688"/>
      <c r="N515" s="688"/>
      <c r="O515" s="689"/>
      <c r="P515" s="685" t="s">
        <v>40</v>
      </c>
      <c r="Q515" s="686"/>
      <c r="R515" s="686"/>
      <c r="S515" s="686"/>
      <c r="T515" s="686"/>
      <c r="U515" s="686"/>
      <c r="V515" s="687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customHeight="1" x14ac:dyDescent="0.25">
      <c r="A516" s="678" t="s">
        <v>90</v>
      </c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  <c r="Y516" s="678"/>
      <c r="Z516" s="678"/>
      <c r="AA516" s="66"/>
      <c r="AB516" s="66"/>
      <c r="AC516" s="80"/>
    </row>
    <row r="517" spans="1:68" ht="27" customHeight="1" x14ac:dyDescent="0.25">
      <c r="A517" s="63" t="s">
        <v>814</v>
      </c>
      <c r="B517" s="63" t="s">
        <v>815</v>
      </c>
      <c r="C517" s="36">
        <v>4301052046</v>
      </c>
      <c r="D517" s="679">
        <v>4640242180533</v>
      </c>
      <c r="E517" s="679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144</v>
      </c>
      <c r="L517" s="37" t="s">
        <v>46</v>
      </c>
      <c r="M517" s="38" t="s">
        <v>100</v>
      </c>
      <c r="N517" s="38"/>
      <c r="O517" s="37">
        <v>45</v>
      </c>
      <c r="P51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81"/>
      <c r="R517" s="681"/>
      <c r="S517" s="681"/>
      <c r="T517" s="682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816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88"/>
      <c r="B518" s="688"/>
      <c r="C518" s="688"/>
      <c r="D518" s="688"/>
      <c r="E518" s="688"/>
      <c r="F518" s="688"/>
      <c r="G518" s="688"/>
      <c r="H518" s="688"/>
      <c r="I518" s="688"/>
      <c r="J518" s="688"/>
      <c r="K518" s="688"/>
      <c r="L518" s="688"/>
      <c r="M518" s="688"/>
      <c r="N518" s="688"/>
      <c r="O518" s="689"/>
      <c r="P518" s="685" t="s">
        <v>40</v>
      </c>
      <c r="Q518" s="686"/>
      <c r="R518" s="686"/>
      <c r="S518" s="686"/>
      <c r="T518" s="686"/>
      <c r="U518" s="686"/>
      <c r="V518" s="687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x14ac:dyDescent="0.2">
      <c r="A519" s="688"/>
      <c r="B519" s="688"/>
      <c r="C519" s="688"/>
      <c r="D519" s="688"/>
      <c r="E519" s="688"/>
      <c r="F519" s="688"/>
      <c r="G519" s="688"/>
      <c r="H519" s="688"/>
      <c r="I519" s="688"/>
      <c r="J519" s="688"/>
      <c r="K519" s="688"/>
      <c r="L519" s="688"/>
      <c r="M519" s="688"/>
      <c r="N519" s="688"/>
      <c r="O519" s="689"/>
      <c r="P519" s="685" t="s">
        <v>40</v>
      </c>
      <c r="Q519" s="686"/>
      <c r="R519" s="686"/>
      <c r="S519" s="686"/>
      <c r="T519" s="686"/>
      <c r="U519" s="686"/>
      <c r="V519" s="687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customHeight="1" x14ac:dyDescent="0.25">
      <c r="A520" s="678" t="s">
        <v>191</v>
      </c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  <c r="Y520" s="678"/>
      <c r="Z520" s="678"/>
      <c r="AA520" s="66"/>
      <c r="AB520" s="66"/>
      <c r="AC520" s="80"/>
    </row>
    <row r="521" spans="1:68" ht="27" customHeight="1" x14ac:dyDescent="0.25">
      <c r="A521" s="63" t="s">
        <v>817</v>
      </c>
      <c r="B521" s="63" t="s">
        <v>818</v>
      </c>
      <c r="C521" s="36">
        <v>4301060491</v>
      </c>
      <c r="D521" s="679">
        <v>4640242180120</v>
      </c>
      <c r="E521" s="679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144</v>
      </c>
      <c r="L521" s="37" t="s">
        <v>46</v>
      </c>
      <c r="M521" s="38" t="s">
        <v>94</v>
      </c>
      <c r="N521" s="38"/>
      <c r="O521" s="37">
        <v>40</v>
      </c>
      <c r="P521" s="9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81"/>
      <c r="R521" s="681"/>
      <c r="S521" s="681"/>
      <c r="T521" s="68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819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customHeight="1" x14ac:dyDescent="0.25">
      <c r="A522" s="63" t="s">
        <v>820</v>
      </c>
      <c r="B522" s="63" t="s">
        <v>821</v>
      </c>
      <c r="C522" s="36">
        <v>4301060536</v>
      </c>
      <c r="D522" s="679">
        <v>4640242180137</v>
      </c>
      <c r="E522" s="679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94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81"/>
      <c r="R522" s="681"/>
      <c r="S522" s="681"/>
      <c r="T522" s="682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688"/>
      <c r="B523" s="688"/>
      <c r="C523" s="688"/>
      <c r="D523" s="688"/>
      <c r="E523" s="688"/>
      <c r="F523" s="688"/>
      <c r="G523" s="688"/>
      <c r="H523" s="688"/>
      <c r="I523" s="688"/>
      <c r="J523" s="688"/>
      <c r="K523" s="688"/>
      <c r="L523" s="688"/>
      <c r="M523" s="688"/>
      <c r="N523" s="688"/>
      <c r="O523" s="689"/>
      <c r="P523" s="685" t="s">
        <v>40</v>
      </c>
      <c r="Q523" s="686"/>
      <c r="R523" s="686"/>
      <c r="S523" s="686"/>
      <c r="T523" s="686"/>
      <c r="U523" s="686"/>
      <c r="V523" s="687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x14ac:dyDescent="0.2">
      <c r="A524" s="688"/>
      <c r="B524" s="688"/>
      <c r="C524" s="688"/>
      <c r="D524" s="688"/>
      <c r="E524" s="688"/>
      <c r="F524" s="688"/>
      <c r="G524" s="688"/>
      <c r="H524" s="688"/>
      <c r="I524" s="688"/>
      <c r="J524" s="688"/>
      <c r="K524" s="688"/>
      <c r="L524" s="688"/>
      <c r="M524" s="688"/>
      <c r="N524" s="688"/>
      <c r="O524" s="689"/>
      <c r="P524" s="685" t="s">
        <v>40</v>
      </c>
      <c r="Q524" s="686"/>
      <c r="R524" s="686"/>
      <c r="S524" s="686"/>
      <c r="T524" s="686"/>
      <c r="U524" s="686"/>
      <c r="V524" s="687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customHeight="1" x14ac:dyDescent="0.25">
      <c r="A525" s="677" t="s">
        <v>823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5"/>
      <c r="AB525" s="65"/>
      <c r="AC525" s="79"/>
    </row>
    <row r="526" spans="1:68" ht="14.25" customHeight="1" x14ac:dyDescent="0.25">
      <c r="A526" s="678" t="s">
        <v>174</v>
      </c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  <c r="Y526" s="678"/>
      <c r="Z526" s="678"/>
      <c r="AA526" s="66"/>
      <c r="AB526" s="66"/>
      <c r="AC526" s="80"/>
    </row>
    <row r="527" spans="1:68" ht="27" customHeight="1" x14ac:dyDescent="0.25">
      <c r="A527" s="63" t="s">
        <v>824</v>
      </c>
      <c r="B527" s="63" t="s">
        <v>825</v>
      </c>
      <c r="C527" s="36">
        <v>4301020428</v>
      </c>
      <c r="D527" s="679">
        <v>4640242180090</v>
      </c>
      <c r="E527" s="67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144</v>
      </c>
      <c r="L527" s="37" t="s">
        <v>46</v>
      </c>
      <c r="M527" s="38" t="s">
        <v>143</v>
      </c>
      <c r="N527" s="38"/>
      <c r="O527" s="37">
        <v>50</v>
      </c>
      <c r="P527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81"/>
      <c r="R527" s="681"/>
      <c r="S527" s="681"/>
      <c r="T527" s="68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826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">
      <c r="A528" s="688"/>
      <c r="B528" s="688"/>
      <c r="C528" s="688"/>
      <c r="D528" s="688"/>
      <c r="E528" s="688"/>
      <c r="F528" s="688"/>
      <c r="G528" s="688"/>
      <c r="H528" s="688"/>
      <c r="I528" s="688"/>
      <c r="J528" s="688"/>
      <c r="K528" s="688"/>
      <c r="L528" s="688"/>
      <c r="M528" s="688"/>
      <c r="N528" s="688"/>
      <c r="O528" s="689"/>
      <c r="P528" s="685" t="s">
        <v>40</v>
      </c>
      <c r="Q528" s="686"/>
      <c r="R528" s="686"/>
      <c r="S528" s="686"/>
      <c r="T528" s="686"/>
      <c r="U528" s="686"/>
      <c r="V528" s="687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x14ac:dyDescent="0.2">
      <c r="A529" s="688"/>
      <c r="B529" s="688"/>
      <c r="C529" s="688"/>
      <c r="D529" s="688"/>
      <c r="E529" s="688"/>
      <c r="F529" s="688"/>
      <c r="G529" s="688"/>
      <c r="H529" s="688"/>
      <c r="I529" s="688"/>
      <c r="J529" s="688"/>
      <c r="K529" s="688"/>
      <c r="L529" s="688"/>
      <c r="M529" s="688"/>
      <c r="N529" s="688"/>
      <c r="O529" s="689"/>
      <c r="P529" s="685" t="s">
        <v>40</v>
      </c>
      <c r="Q529" s="686"/>
      <c r="R529" s="686"/>
      <c r="S529" s="686"/>
      <c r="T529" s="686"/>
      <c r="U529" s="686"/>
      <c r="V529" s="687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88"/>
      <c r="B530" s="688"/>
      <c r="C530" s="688"/>
      <c r="D530" s="688"/>
      <c r="E530" s="688"/>
      <c r="F530" s="688"/>
      <c r="G530" s="688"/>
      <c r="H530" s="688"/>
      <c r="I530" s="688"/>
      <c r="J530" s="688"/>
      <c r="K530" s="688"/>
      <c r="L530" s="688"/>
      <c r="M530" s="688"/>
      <c r="N530" s="688"/>
      <c r="O530" s="951"/>
      <c r="P530" s="948" t="s">
        <v>33</v>
      </c>
      <c r="Q530" s="949"/>
      <c r="R530" s="949"/>
      <c r="S530" s="949"/>
      <c r="T530" s="949"/>
      <c r="U530" s="949"/>
      <c r="V530" s="950"/>
      <c r="W530" s="42" t="s">
        <v>0</v>
      </c>
      <c r="X530" s="43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1676</v>
      </c>
      <c r="Y530" s="43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1690.8000000000002</v>
      </c>
      <c r="Z530" s="42"/>
      <c r="AA530" s="67"/>
      <c r="AB530" s="67"/>
      <c r="AC530" s="67"/>
    </row>
    <row r="531" spans="1:32" x14ac:dyDescent="0.2">
      <c r="A531" s="688"/>
      <c r="B531" s="688"/>
      <c r="C531" s="688"/>
      <c r="D531" s="688"/>
      <c r="E531" s="688"/>
      <c r="F531" s="688"/>
      <c r="G531" s="688"/>
      <c r="H531" s="688"/>
      <c r="I531" s="688"/>
      <c r="J531" s="688"/>
      <c r="K531" s="688"/>
      <c r="L531" s="688"/>
      <c r="M531" s="688"/>
      <c r="N531" s="688"/>
      <c r="O531" s="951"/>
      <c r="P531" s="948" t="s">
        <v>34</v>
      </c>
      <c r="Q531" s="949"/>
      <c r="R531" s="949"/>
      <c r="S531" s="949"/>
      <c r="T531" s="949"/>
      <c r="U531" s="949"/>
      <c r="V531" s="950"/>
      <c r="W531" s="42" t="s">
        <v>0</v>
      </c>
      <c r="X531" s="43">
        <f>IFERROR(SUM(BM22:BM527),"0")</f>
        <v>1776.030078563412</v>
      </c>
      <c r="Y531" s="43">
        <f>IFERROR(SUM(BN22:BN527),"0")</f>
        <v>1791.8319999999999</v>
      </c>
      <c r="Z531" s="42"/>
      <c r="AA531" s="67"/>
      <c r="AB531" s="67"/>
      <c r="AC531" s="67"/>
    </row>
    <row r="532" spans="1:32" x14ac:dyDescent="0.2">
      <c r="A532" s="688"/>
      <c r="B532" s="688"/>
      <c r="C532" s="688"/>
      <c r="D532" s="688"/>
      <c r="E532" s="688"/>
      <c r="F532" s="688"/>
      <c r="G532" s="688"/>
      <c r="H532" s="688"/>
      <c r="I532" s="688"/>
      <c r="J532" s="688"/>
      <c r="K532" s="688"/>
      <c r="L532" s="688"/>
      <c r="M532" s="688"/>
      <c r="N532" s="688"/>
      <c r="O532" s="951"/>
      <c r="P532" s="948" t="s">
        <v>35</v>
      </c>
      <c r="Q532" s="949"/>
      <c r="R532" s="949"/>
      <c r="S532" s="949"/>
      <c r="T532" s="949"/>
      <c r="U532" s="949"/>
      <c r="V532" s="950"/>
      <c r="W532" s="42" t="s">
        <v>20</v>
      </c>
      <c r="X532" s="44">
        <f>ROUNDUP(SUM(BO22:BO527),0)</f>
        <v>3</v>
      </c>
      <c r="Y532" s="44">
        <f>ROUNDUP(SUM(BP22:BP527),0)</f>
        <v>3</v>
      </c>
      <c r="Z532" s="42"/>
      <c r="AA532" s="67"/>
      <c r="AB532" s="67"/>
      <c r="AC532" s="67"/>
    </row>
    <row r="533" spans="1:32" x14ac:dyDescent="0.2">
      <c r="A533" s="688"/>
      <c r="B533" s="688"/>
      <c r="C533" s="688"/>
      <c r="D533" s="688"/>
      <c r="E533" s="688"/>
      <c r="F533" s="688"/>
      <c r="G533" s="688"/>
      <c r="H533" s="688"/>
      <c r="I533" s="688"/>
      <c r="J533" s="688"/>
      <c r="K533" s="688"/>
      <c r="L533" s="688"/>
      <c r="M533" s="688"/>
      <c r="N533" s="688"/>
      <c r="O533" s="951"/>
      <c r="P533" s="948" t="s">
        <v>36</v>
      </c>
      <c r="Q533" s="949"/>
      <c r="R533" s="949"/>
      <c r="S533" s="949"/>
      <c r="T533" s="949"/>
      <c r="U533" s="949"/>
      <c r="V533" s="950"/>
      <c r="W533" s="42" t="s">
        <v>0</v>
      </c>
      <c r="X533" s="43">
        <f>GrossWeightTotal+PalletQtyTotal*25</f>
        <v>1851.030078563412</v>
      </c>
      <c r="Y533" s="43">
        <f>GrossWeightTotalR+PalletQtyTotalR*25</f>
        <v>1866.8319999999999</v>
      </c>
      <c r="Z533" s="42"/>
      <c r="AA533" s="67"/>
      <c r="AB533" s="67"/>
      <c r="AC533" s="67"/>
    </row>
    <row r="534" spans="1:32" x14ac:dyDescent="0.2">
      <c r="A534" s="688"/>
      <c r="B534" s="688"/>
      <c r="C534" s="688"/>
      <c r="D534" s="688"/>
      <c r="E534" s="688"/>
      <c r="F534" s="688"/>
      <c r="G534" s="688"/>
      <c r="H534" s="688"/>
      <c r="I534" s="688"/>
      <c r="J534" s="688"/>
      <c r="K534" s="688"/>
      <c r="L534" s="688"/>
      <c r="M534" s="688"/>
      <c r="N534" s="688"/>
      <c r="O534" s="951"/>
      <c r="P534" s="948" t="s">
        <v>37</v>
      </c>
      <c r="Q534" s="949"/>
      <c r="R534" s="949"/>
      <c r="S534" s="949"/>
      <c r="T534" s="949"/>
      <c r="U534" s="949"/>
      <c r="V534" s="950"/>
      <c r="W534" s="42" t="s">
        <v>20</v>
      </c>
      <c r="X534" s="43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290.28170594837263</v>
      </c>
      <c r="Y534" s="43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293</v>
      </c>
      <c r="Z534" s="42"/>
      <c r="AA534" s="67"/>
      <c r="AB534" s="67"/>
      <c r="AC534" s="67"/>
    </row>
    <row r="535" spans="1:32" ht="14.25" x14ac:dyDescent="0.2">
      <c r="A535" s="688"/>
      <c r="B535" s="688"/>
      <c r="C535" s="688"/>
      <c r="D535" s="688"/>
      <c r="E535" s="688"/>
      <c r="F535" s="688"/>
      <c r="G535" s="688"/>
      <c r="H535" s="688"/>
      <c r="I535" s="688"/>
      <c r="J535" s="688"/>
      <c r="K535" s="688"/>
      <c r="L535" s="688"/>
      <c r="M535" s="688"/>
      <c r="N535" s="688"/>
      <c r="O535" s="951"/>
      <c r="P535" s="948" t="s">
        <v>38</v>
      </c>
      <c r="Q535" s="949"/>
      <c r="R535" s="949"/>
      <c r="S535" s="949"/>
      <c r="T535" s="949"/>
      <c r="U535" s="949"/>
      <c r="V535" s="950"/>
      <c r="W535" s="45" t="s">
        <v>52</v>
      </c>
      <c r="X535" s="42"/>
      <c r="Y535" s="42"/>
      <c r="Z535" s="42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3.5137299999999998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76</v>
      </c>
      <c r="C537" s="85" t="s">
        <v>45</v>
      </c>
      <c r="D537" s="954" t="s">
        <v>137</v>
      </c>
      <c r="E537" s="954" t="s">
        <v>137</v>
      </c>
      <c r="F537" s="954" t="s">
        <v>137</v>
      </c>
      <c r="G537" s="954" t="s">
        <v>137</v>
      </c>
      <c r="H537" s="954" t="s">
        <v>137</v>
      </c>
      <c r="I537" s="954" t="s">
        <v>137</v>
      </c>
      <c r="J537" s="954" t="s">
        <v>137</v>
      </c>
      <c r="K537" s="954" t="s">
        <v>344</v>
      </c>
      <c r="L537" s="954" t="s">
        <v>344</v>
      </c>
      <c r="M537" s="954" t="s">
        <v>344</v>
      </c>
      <c r="N537" s="955"/>
      <c r="O537" s="954" t="s">
        <v>344</v>
      </c>
      <c r="P537" s="954" t="s">
        <v>344</v>
      </c>
      <c r="Q537" s="954" t="s">
        <v>344</v>
      </c>
      <c r="R537" s="954" t="s">
        <v>344</v>
      </c>
      <c r="S537" s="954" t="s">
        <v>344</v>
      </c>
      <c r="T537" s="954" t="s">
        <v>344</v>
      </c>
      <c r="U537" s="954" t="s">
        <v>344</v>
      </c>
      <c r="V537" s="954" t="s">
        <v>659</v>
      </c>
      <c r="W537" s="954" t="s">
        <v>659</v>
      </c>
      <c r="X537" s="954" t="s">
        <v>719</v>
      </c>
      <c r="Y537" s="954" t="s">
        <v>719</v>
      </c>
      <c r="Z537" s="85" t="s">
        <v>755</v>
      </c>
      <c r="AA537" s="954" t="s">
        <v>802</v>
      </c>
      <c r="AB537" s="954" t="s">
        <v>802</v>
      </c>
      <c r="AC537" s="60"/>
      <c r="AF537" s="1"/>
    </row>
    <row r="538" spans="1:32" ht="14.25" customHeight="1" thickTop="1" x14ac:dyDescent="0.2">
      <c r="A538" s="952" t="s">
        <v>10</v>
      </c>
      <c r="B538" s="954" t="s">
        <v>76</v>
      </c>
      <c r="C538" s="954" t="s">
        <v>124</v>
      </c>
      <c r="D538" s="954" t="s">
        <v>138</v>
      </c>
      <c r="E538" s="954" t="s">
        <v>154</v>
      </c>
      <c r="F538" s="954" t="s">
        <v>198</v>
      </c>
      <c r="G538" s="954" t="s">
        <v>219</v>
      </c>
      <c r="H538" s="954" t="s">
        <v>261</v>
      </c>
      <c r="I538" s="954" t="s">
        <v>273</v>
      </c>
      <c r="J538" s="954" t="s">
        <v>137</v>
      </c>
      <c r="K538" s="954" t="s">
        <v>345</v>
      </c>
      <c r="L538" s="954" t="s">
        <v>357</v>
      </c>
      <c r="M538" s="954" t="s">
        <v>416</v>
      </c>
      <c r="N538" s="1"/>
      <c r="O538" s="954" t="s">
        <v>484</v>
      </c>
      <c r="P538" s="954" t="s">
        <v>521</v>
      </c>
      <c r="Q538" s="954" t="s">
        <v>537</v>
      </c>
      <c r="R538" s="954" t="s">
        <v>546</v>
      </c>
      <c r="S538" s="954" t="s">
        <v>567</v>
      </c>
      <c r="T538" s="954" t="s">
        <v>577</v>
      </c>
      <c r="U538" s="954" t="s">
        <v>649</v>
      </c>
      <c r="V538" s="954" t="s">
        <v>660</v>
      </c>
      <c r="W538" s="954" t="s">
        <v>703</v>
      </c>
      <c r="X538" s="954" t="s">
        <v>720</v>
      </c>
      <c r="Y538" s="954" t="s">
        <v>743</v>
      </c>
      <c r="Z538" s="954" t="s">
        <v>755</v>
      </c>
      <c r="AA538" s="954" t="s">
        <v>802</v>
      </c>
      <c r="AB538" s="954" t="s">
        <v>823</v>
      </c>
      <c r="AC538" s="60"/>
      <c r="AF538" s="1"/>
    </row>
    <row r="539" spans="1:32" ht="13.5" thickBot="1" x14ac:dyDescent="0.25">
      <c r="A539" s="953"/>
      <c r="B539" s="954"/>
      <c r="C539" s="954"/>
      <c r="D539" s="954"/>
      <c r="E539" s="954"/>
      <c r="F539" s="954"/>
      <c r="G539" s="954"/>
      <c r="H539" s="954"/>
      <c r="I539" s="954"/>
      <c r="J539" s="954"/>
      <c r="K539" s="954"/>
      <c r="L539" s="954"/>
      <c r="M539" s="954"/>
      <c r="N539" s="1"/>
      <c r="O539" s="954"/>
      <c r="P539" s="954"/>
      <c r="Q539" s="954"/>
      <c r="R539" s="954"/>
      <c r="S539" s="954"/>
      <c r="T539" s="954"/>
      <c r="U539" s="954"/>
      <c r="V539" s="954"/>
      <c r="W539" s="954"/>
      <c r="X539" s="954"/>
      <c r="Y539" s="954"/>
      <c r="Z539" s="954"/>
      <c r="AA539" s="954"/>
      <c r="AB539" s="954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0" s="52">
        <f>IFERROR(Y46*1,"0")+IFERROR(Y47*1,"0")+IFERROR(Y48*1,"0")+IFERROR(Y49*1,"0")</f>
        <v>0</v>
      </c>
      <c r="D540" s="52">
        <f>IFERROR(Y55*1,"0")+IFERROR(Y56*1,"0")+IFERROR(Y57*1,"0")+IFERROR(Y58*1,"0")</f>
        <v>0</v>
      </c>
      <c r="E540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0</v>
      </c>
      <c r="F540" s="52">
        <f>IFERROR(Y91*1,"0")+IFERROR(Y92*1,"0")+IFERROR(Y93*1,"0")+IFERROR(Y94*1,"0")+IFERROR(Y98*1,"0")+IFERROR(Y99*1,"0")+IFERROR(Y100*1,"0")+IFERROR(Y101*1,"0")</f>
        <v>0</v>
      </c>
      <c r="G540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226.79999999999998</v>
      </c>
      <c r="H540" s="52">
        <f>IFERROR(Y136*1,"0")+IFERROR(Y137*1,"0")+IFERROR(Y141*1,"0")+IFERROR(Y142*1,"0")+IFERROR(Y146*1,"0")+IFERROR(Y147*1,"0")</f>
        <v>0</v>
      </c>
      <c r="I540" s="52">
        <f>IFERROR(Y152*1,"0")+IFERROR(Y153*1,"0")+IFERROR(Y154*1,"0")+IFERROR(Y155*1,"0")</f>
        <v>0</v>
      </c>
      <c r="J540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0" s="52">
        <f>IFERROR(Y199*1,"0")+IFERROR(Y200*1,"0")+IFERROR(Y201*1,"0")+IFERROR(Y202*1,"0")</f>
        <v>0</v>
      </c>
      <c r="L540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0</v>
      </c>
      <c r="M540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208.79999999999998</v>
      </c>
      <c r="N540" s="1"/>
      <c r="O540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0" s="52">
        <f>IFERROR(Y313*1,"0")+IFERROR(Y314*1,"0")+IFERROR(Y315*1,"0")+IFERROR(Y316*1,"0")+IFERROR(Y317*1,"0")</f>
        <v>0</v>
      </c>
      <c r="Q540" s="52">
        <f>IFERROR(Y322*1,"0")+IFERROR(Y323*1,"0")+IFERROR(Y324*1,"0")</f>
        <v>28.799999999999997</v>
      </c>
      <c r="R540" s="52">
        <f>IFERROR(Y329*1,"0")+IFERROR(Y330*1,"0")+IFERROR(Y331*1,"0")+IFERROR(Y332*1,"0")+IFERROR(Y333*1,"0")+IFERROR(Y337*1,"0")+IFERROR(Y338*1,"0")</f>
        <v>0</v>
      </c>
      <c r="S540" s="52">
        <f>IFERROR(Y343*1,"0")+IFERROR(Y344*1,"0")+IFERROR(Y345*1,"0")</f>
        <v>0</v>
      </c>
      <c r="T540" s="52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0</v>
      </c>
      <c r="U540" s="52">
        <f>IFERROR(Y395*1,"0")+IFERROR(Y396*1,"0")+IFERROR(Y397*1,"0")</f>
        <v>0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540</v>
      </c>
      <c r="W540" s="52">
        <f>IFERROR(Y430*1,"0")+IFERROR(Y431*1,"0")+IFERROR(Y435*1,"0")+IFERROR(Y439*1,"0")+IFERROR(Y440*1,"0")+IFERROR(Y441*1,"0")</f>
        <v>0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686.40000000000009</v>
      </c>
      <c r="AA540" s="52">
        <f>IFERROR(Y504*1,"0")+IFERROR(Y508*1,"0")+IFERROR(Y512*1,"0")+IFERROR(Y513*1,"0")+IFERROR(Y517*1,"0")+IFERROR(Y521*1,"0")+IFERROR(Y522*1,"0")</f>
        <v>0</v>
      </c>
      <c r="AB540" s="52">
        <f>IFERROR(Y527*1,"0")</f>
        <v>0</v>
      </c>
      <c r="AC540" s="60"/>
      <c r="AF540" s="1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A400:Z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827</v>
      </c>
      <c r="H1" s="9"/>
    </row>
    <row r="3" spans="2:8" x14ac:dyDescent="0.2">
      <c r="B3" s="53" t="s">
        <v>828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830</v>
      </c>
      <c r="C6" s="53" t="s">
        <v>831</v>
      </c>
      <c r="D6" s="53" t="s">
        <v>832</v>
      </c>
      <c r="E6" s="53" t="s">
        <v>46</v>
      </c>
    </row>
    <row r="7" spans="2:8" x14ac:dyDescent="0.2">
      <c r="B7" s="53" t="s">
        <v>833</v>
      </c>
      <c r="C7" s="53" t="s">
        <v>834</v>
      </c>
      <c r="D7" s="53" t="s">
        <v>835</v>
      </c>
      <c r="E7" s="53" t="s">
        <v>46</v>
      </c>
    </row>
    <row r="8" spans="2:8" x14ac:dyDescent="0.2">
      <c r="B8" s="53" t="s">
        <v>836</v>
      </c>
      <c r="C8" s="53" t="s">
        <v>837</v>
      </c>
      <c r="D8" s="53" t="s">
        <v>838</v>
      </c>
      <c r="E8" s="53" t="s">
        <v>46</v>
      </c>
    </row>
    <row r="9" spans="2:8" x14ac:dyDescent="0.2">
      <c r="B9" s="53" t="s">
        <v>839</v>
      </c>
      <c r="C9" s="53" t="s">
        <v>840</v>
      </c>
      <c r="D9" s="53" t="s">
        <v>841</v>
      </c>
      <c r="E9" s="53" t="s">
        <v>46</v>
      </c>
    </row>
    <row r="10" spans="2:8" x14ac:dyDescent="0.2">
      <c r="B10" s="53" t="s">
        <v>842</v>
      </c>
      <c r="C10" s="53" t="s">
        <v>843</v>
      </c>
      <c r="D10" s="53" t="s">
        <v>844</v>
      </c>
      <c r="E10" s="53" t="s">
        <v>46</v>
      </c>
    </row>
    <row r="11" spans="2:8" x14ac:dyDescent="0.2">
      <c r="B11" s="53" t="s">
        <v>845</v>
      </c>
      <c r="C11" s="53" t="s">
        <v>846</v>
      </c>
      <c r="D11" s="53" t="s">
        <v>847</v>
      </c>
      <c r="E11" s="53" t="s">
        <v>46</v>
      </c>
    </row>
    <row r="12" spans="2:8" x14ac:dyDescent="0.2">
      <c r="B12" s="53" t="s">
        <v>848</v>
      </c>
      <c r="C12" s="53" t="s">
        <v>849</v>
      </c>
      <c r="D12" s="53" t="s">
        <v>850</v>
      </c>
      <c r="E12" s="53" t="s">
        <v>46</v>
      </c>
    </row>
    <row r="14" spans="2:8" x14ac:dyDescent="0.2">
      <c r="B14" s="53" t="s">
        <v>851</v>
      </c>
      <c r="C14" s="53" t="s">
        <v>831</v>
      </c>
      <c r="D14" s="53" t="s">
        <v>46</v>
      </c>
      <c r="E14" s="53" t="s">
        <v>46</v>
      </c>
    </row>
    <row r="16" spans="2:8" x14ac:dyDescent="0.2">
      <c r="B16" s="53" t="s">
        <v>852</v>
      </c>
      <c r="C16" s="53" t="s">
        <v>834</v>
      </c>
      <c r="D16" s="53" t="s">
        <v>46</v>
      </c>
      <c r="E16" s="53" t="s">
        <v>46</v>
      </c>
    </row>
    <row r="18" spans="2:5" x14ac:dyDescent="0.2">
      <c r="B18" s="53" t="s">
        <v>853</v>
      </c>
      <c r="C18" s="53" t="s">
        <v>837</v>
      </c>
      <c r="D18" s="53" t="s">
        <v>46</v>
      </c>
      <c r="E18" s="53" t="s">
        <v>46</v>
      </c>
    </row>
    <row r="20" spans="2:5" x14ac:dyDescent="0.2">
      <c r="B20" s="53" t="s">
        <v>854</v>
      </c>
      <c r="C20" s="53" t="s">
        <v>840</v>
      </c>
      <c r="D20" s="53" t="s">
        <v>46</v>
      </c>
      <c r="E20" s="53" t="s">
        <v>46</v>
      </c>
    </row>
    <row r="22" spans="2:5" x14ac:dyDescent="0.2">
      <c r="B22" s="53" t="s">
        <v>855</v>
      </c>
      <c r="C22" s="53" t="s">
        <v>843</v>
      </c>
      <c r="D22" s="53" t="s">
        <v>46</v>
      </c>
      <c r="E22" s="53" t="s">
        <v>46</v>
      </c>
    </row>
    <row r="24" spans="2:5" x14ac:dyDescent="0.2">
      <c r="B24" s="53" t="s">
        <v>856</v>
      </c>
      <c r="C24" s="53" t="s">
        <v>846</v>
      </c>
      <c r="D24" s="53" t="s">
        <v>46</v>
      </c>
      <c r="E24" s="53" t="s">
        <v>46</v>
      </c>
    </row>
    <row r="26" spans="2:5" x14ac:dyDescent="0.2">
      <c r="B26" s="53" t="s">
        <v>857</v>
      </c>
      <c r="C26" s="53" t="s">
        <v>849</v>
      </c>
      <c r="D26" s="53" t="s">
        <v>46</v>
      </c>
      <c r="E26" s="53" t="s">
        <v>46</v>
      </c>
    </row>
    <row r="28" spans="2:5" x14ac:dyDescent="0.2">
      <c r="B28" s="53" t="s">
        <v>858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859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860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861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862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863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864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865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866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867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868</v>
      </c>
      <c r="C38" s="53" t="s">
        <v>46</v>
      </c>
      <c r="D38" s="53" t="s">
        <v>46</v>
      </c>
      <c r="E38" s="53" t="s">
        <v>46</v>
      </c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2026-06-22T08:25:39Z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