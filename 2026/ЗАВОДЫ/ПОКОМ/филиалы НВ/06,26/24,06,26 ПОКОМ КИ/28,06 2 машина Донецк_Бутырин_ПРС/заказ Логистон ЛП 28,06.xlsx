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A66F8E40-1BF8-443B-82E4-E77D9051C1B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заказа'!$X$532:$X$532</definedName>
    <definedName name="GrossWeightTotalR">'Бланк заказа'!$Y$532:$Y$532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заказа'!$X$533:$X$533</definedName>
    <definedName name="PalletQtyTotalR">'Бланк заказа'!$Y$533:$Y$533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заказа'!$B$372:$B$372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заказа'!$B$385:$B$385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заказа'!$B$391:$B$391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заказа'!$B$411:$B$411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заказа'!$B$421:$B$421</definedName>
    <definedName name="ProductId216">'Бланк заказа'!$B$422:$B$422</definedName>
    <definedName name="ProductId217">'Бланк заказа'!$B$426:$B$426</definedName>
    <definedName name="ProductId218">'Бланк заказа'!$B$431:$B$431</definedName>
    <definedName name="ProductId219">'Бланк заказа'!$B$432:$B$432</definedName>
    <definedName name="ProductId22">'Бланк заказа'!$B$63:$B$63</definedName>
    <definedName name="ProductId220">'Бланк заказа'!$B$436:$B$436</definedName>
    <definedName name="ProductId221">'Бланк заказа'!$B$440:$B$440</definedName>
    <definedName name="ProductId222">'Бланк заказа'!$B$441:$B$441</definedName>
    <definedName name="ProductId223">'Бланк заказа'!$B$442:$B$442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заказа'!$B$457:$B$457</definedName>
    <definedName name="ProductId231">'Бланк заказа'!$B$458:$B$458</definedName>
    <definedName name="ProductId232">'Бланк заказа'!$B$463:$B$463</definedName>
    <definedName name="ProductId233">'Бланк заказа'!$B$467:$B$467</definedName>
    <definedName name="ProductId234">'Бланк заказа'!$B$468:$B$468</definedName>
    <definedName name="ProductId235">'Бланк заказа'!$B$469:$B$469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заказа'!$B$505:$B$505</definedName>
    <definedName name="ProductId256">'Бланк заказа'!$B$509:$B$509</definedName>
    <definedName name="ProductId257">'Бланк заказа'!$B$513:$B$513</definedName>
    <definedName name="ProductId258">'Бланк заказа'!$B$514:$B$514</definedName>
    <definedName name="ProductId259">'Бланк заказа'!$B$518:$B$518</definedName>
    <definedName name="ProductId26">'Бланк заказа'!$B$67:$B$67</definedName>
    <definedName name="ProductId260">'Бланк заказа'!$B$522:$B$522</definedName>
    <definedName name="ProductId261">'Бланк заказа'!$B$523:$B$523</definedName>
    <definedName name="ProductId262">'Бланк заказа'!$B$528:$B$528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заказа'!$X$372:$X$372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заказа'!$X$385:$X$385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заказа'!$X$391:$X$391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заказа'!$X$411:$X$411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заказа'!$X$421:$X$421</definedName>
    <definedName name="SalesQty216">'Бланк заказа'!$X$422:$X$422</definedName>
    <definedName name="SalesQty217">'Бланк заказа'!$X$426:$X$426</definedName>
    <definedName name="SalesQty218">'Бланк заказа'!$X$431:$X$431</definedName>
    <definedName name="SalesQty219">'Бланк заказа'!$X$432:$X$432</definedName>
    <definedName name="SalesQty22">'Бланк заказа'!$X$63:$X$63</definedName>
    <definedName name="SalesQty220">'Бланк заказа'!$X$436:$X$436</definedName>
    <definedName name="SalesQty221">'Бланк заказа'!$X$440:$X$440</definedName>
    <definedName name="SalesQty222">'Бланк заказа'!$X$441:$X$441</definedName>
    <definedName name="SalesQty223">'Бланк заказа'!$X$442:$X$442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заказа'!$X$457:$X$457</definedName>
    <definedName name="SalesQty231">'Бланк заказа'!$X$458:$X$458</definedName>
    <definedName name="SalesQty232">'Бланк заказа'!$X$463:$X$463</definedName>
    <definedName name="SalesQty233">'Бланк заказа'!$X$467:$X$467</definedName>
    <definedName name="SalesQty234">'Бланк заказа'!$X$468:$X$468</definedName>
    <definedName name="SalesQty235">'Бланк заказа'!$X$469:$X$469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заказа'!$X$505:$X$505</definedName>
    <definedName name="SalesQty256">'Бланк заказа'!$X$509:$X$509</definedName>
    <definedName name="SalesQty257">'Бланк заказа'!$X$513:$X$513</definedName>
    <definedName name="SalesQty258">'Бланк заказа'!$X$514:$X$514</definedName>
    <definedName name="SalesQty259">'Бланк заказа'!$X$518:$X$518</definedName>
    <definedName name="SalesQty26">'Бланк заказа'!$X$67:$X$67</definedName>
    <definedName name="SalesQty260">'Бланк заказа'!$X$522:$X$522</definedName>
    <definedName name="SalesQty261">'Бланк заказа'!$X$523:$X$523</definedName>
    <definedName name="SalesQty262">'Бланк заказа'!$X$528:$X$528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заказа'!$Y$372:$Y$372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заказа'!$Y$385:$Y$385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заказа'!$Y$391:$Y$391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заказа'!$Y$411:$Y$411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заказа'!$Y$421:$Y$421</definedName>
    <definedName name="SalesRoundBox216">'Бланк заказа'!$Y$422:$Y$422</definedName>
    <definedName name="SalesRoundBox217">'Бланк заказа'!$Y$426:$Y$426</definedName>
    <definedName name="SalesRoundBox218">'Бланк заказа'!$Y$431:$Y$431</definedName>
    <definedName name="SalesRoundBox219">'Бланк заказа'!$Y$432:$Y$432</definedName>
    <definedName name="SalesRoundBox22">'Бланк заказа'!$Y$63:$Y$63</definedName>
    <definedName name="SalesRoundBox220">'Бланк заказа'!$Y$436:$Y$436</definedName>
    <definedName name="SalesRoundBox221">'Бланк заказа'!$Y$440:$Y$440</definedName>
    <definedName name="SalesRoundBox222">'Бланк заказа'!$Y$441:$Y$441</definedName>
    <definedName name="SalesRoundBox223">'Бланк заказа'!$Y$442:$Y$442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заказа'!$Y$457:$Y$457</definedName>
    <definedName name="SalesRoundBox231">'Бланк заказа'!$Y$458:$Y$458</definedName>
    <definedName name="SalesRoundBox232">'Бланк заказа'!$Y$463:$Y$463</definedName>
    <definedName name="SalesRoundBox233">'Бланк заказа'!$Y$467:$Y$467</definedName>
    <definedName name="SalesRoundBox234">'Бланк заказа'!$Y$468:$Y$468</definedName>
    <definedName name="SalesRoundBox235">'Бланк заказа'!$Y$469:$Y$469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заказа'!$Y$505:$Y$505</definedName>
    <definedName name="SalesRoundBox256">'Бланк заказа'!$Y$509:$Y$509</definedName>
    <definedName name="SalesRoundBox257">'Бланк заказа'!$Y$513:$Y$513</definedName>
    <definedName name="SalesRoundBox258">'Бланк заказа'!$Y$514:$Y$514</definedName>
    <definedName name="SalesRoundBox259">'Бланк заказа'!$Y$518:$Y$518</definedName>
    <definedName name="SalesRoundBox26">'Бланк заказа'!$Y$67:$Y$67</definedName>
    <definedName name="SalesRoundBox260">'Бланк заказа'!$Y$522:$Y$522</definedName>
    <definedName name="SalesRoundBox261">'Бланк заказа'!$Y$523:$Y$523</definedName>
    <definedName name="SalesRoundBox262">'Бланк заказа'!$Y$528:$Y$528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заказа'!$W$372:$W$372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заказа'!$W$385:$W$385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заказа'!$W$391:$W$391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заказа'!$W$411:$W$411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заказа'!$W$421:$W$421</definedName>
    <definedName name="UnitOfMeasure216">'Бланк заказа'!$W$422:$W$422</definedName>
    <definedName name="UnitOfMeasure217">'Бланк заказа'!$W$426:$W$426</definedName>
    <definedName name="UnitOfMeasure218">'Бланк заказа'!$W$431:$W$431</definedName>
    <definedName name="UnitOfMeasure219">'Бланк заказа'!$W$432:$W$432</definedName>
    <definedName name="UnitOfMeasure22">'Бланк заказа'!$W$63:$W$63</definedName>
    <definedName name="UnitOfMeasure220">'Бланк заказа'!$W$436:$W$436</definedName>
    <definedName name="UnitOfMeasure221">'Бланк заказа'!$W$440:$W$440</definedName>
    <definedName name="UnitOfMeasure222">'Бланк заказа'!$W$441:$W$441</definedName>
    <definedName name="UnitOfMeasure223">'Бланк заказа'!$W$442:$W$442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заказа'!$W$457:$W$457</definedName>
    <definedName name="UnitOfMeasure231">'Бланк заказа'!$W$458:$W$458</definedName>
    <definedName name="UnitOfMeasure232">'Бланк заказа'!$W$463:$W$463</definedName>
    <definedName name="UnitOfMeasure233">'Бланк заказа'!$W$467:$W$467</definedName>
    <definedName name="UnitOfMeasure234">'Бланк заказа'!$W$468:$W$468</definedName>
    <definedName name="UnitOfMeasure235">'Бланк заказа'!$W$469:$W$469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заказа'!$W$505:$W$505</definedName>
    <definedName name="UnitOfMeasure256">'Бланк заказа'!$W$509:$W$509</definedName>
    <definedName name="UnitOfMeasure257">'Бланк заказа'!$W$513:$W$513</definedName>
    <definedName name="UnitOfMeasure258">'Бланк заказа'!$W$514:$W$514</definedName>
    <definedName name="UnitOfMeasure259">'Бланк заказа'!$W$518:$W$518</definedName>
    <definedName name="UnitOfMeasure26">'Бланк заказа'!$W$67:$W$67</definedName>
    <definedName name="UnitOfMeasure260">'Бланк заказа'!$W$522:$W$522</definedName>
    <definedName name="UnitOfMeasure261">'Бланк заказа'!$W$523:$W$523</definedName>
    <definedName name="UnitOfMeasure262">'Бланк заказа'!$W$528:$W$528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0" i="2" l="1"/>
  <c r="X529" i="2"/>
  <c r="BO528" i="2"/>
  <c r="BM528" i="2"/>
  <c r="Y528" i="2"/>
  <c r="AB541" i="2" s="1"/>
  <c r="P528" i="2"/>
  <c r="X525" i="2"/>
  <c r="X524" i="2"/>
  <c r="BO523" i="2"/>
  <c r="BM523" i="2"/>
  <c r="Y523" i="2"/>
  <c r="BP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N513" i="2"/>
  <c r="BM513" i="2"/>
  <c r="Z513" i="2"/>
  <c r="Y513" i="2"/>
  <c r="BP513" i="2" s="1"/>
  <c r="P513" i="2"/>
  <c r="X511" i="2"/>
  <c r="X510" i="2"/>
  <c r="BO509" i="2"/>
  <c r="BM509" i="2"/>
  <c r="Y509" i="2"/>
  <c r="P509" i="2"/>
  <c r="X507" i="2"/>
  <c r="X506" i="2"/>
  <c r="BO505" i="2"/>
  <c r="BM505" i="2"/>
  <c r="Y505" i="2"/>
  <c r="Y506" i="2" s="1"/>
  <c r="P505" i="2"/>
  <c r="X501" i="2"/>
  <c r="X500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Z463" i="2" s="1"/>
  <c r="Z464" i="2" s="1"/>
  <c r="P463" i="2"/>
  <c r="X460" i="2"/>
  <c r="X459" i="2"/>
  <c r="BO458" i="2"/>
  <c r="BM458" i="2"/>
  <c r="Y458" i="2"/>
  <c r="BN458" i="2" s="1"/>
  <c r="P458" i="2"/>
  <c r="BO457" i="2"/>
  <c r="BM457" i="2"/>
  <c r="Y457" i="2"/>
  <c r="Z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BP448" i="2" s="1"/>
  <c r="P448" i="2"/>
  <c r="X444" i="2"/>
  <c r="X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Y444" i="2" s="1"/>
  <c r="P440" i="2"/>
  <c r="X438" i="2"/>
  <c r="X437" i="2"/>
  <c r="BO436" i="2"/>
  <c r="BM436" i="2"/>
  <c r="Y436" i="2"/>
  <c r="Y438" i="2" s="1"/>
  <c r="P436" i="2"/>
  <c r="X434" i="2"/>
  <c r="X433" i="2"/>
  <c r="BO432" i="2"/>
  <c r="BM432" i="2"/>
  <c r="Y432" i="2"/>
  <c r="BP432" i="2" s="1"/>
  <c r="P432" i="2"/>
  <c r="BO431" i="2"/>
  <c r="BM431" i="2"/>
  <c r="Y431" i="2"/>
  <c r="Y433" i="2" s="1"/>
  <c r="P431" i="2"/>
  <c r="X428" i="2"/>
  <c r="X427" i="2"/>
  <c r="BO426" i="2"/>
  <c r="BM426" i="2"/>
  <c r="Y426" i="2"/>
  <c r="Y428" i="2" s="1"/>
  <c r="P426" i="2"/>
  <c r="X424" i="2"/>
  <c r="X423" i="2"/>
  <c r="BO422" i="2"/>
  <c r="BM422" i="2"/>
  <c r="Y422" i="2"/>
  <c r="BN422" i="2" s="1"/>
  <c r="P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BO410" i="2"/>
  <c r="BM410" i="2"/>
  <c r="Y410" i="2"/>
  <c r="Z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Z405" i="2" s="1"/>
  <c r="P405" i="2"/>
  <c r="BO404" i="2"/>
  <c r="BM404" i="2"/>
  <c r="Y404" i="2"/>
  <c r="P404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U541" i="2" s="1"/>
  <c r="P396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N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X380" i="2"/>
  <c r="X379" i="2"/>
  <c r="BO378" i="2"/>
  <c r="BM378" i="2"/>
  <c r="Y378" i="2"/>
  <c r="BN378" i="2" s="1"/>
  <c r="P378" i="2"/>
  <c r="BO377" i="2"/>
  <c r="BM377" i="2"/>
  <c r="Y377" i="2"/>
  <c r="BN377" i="2" s="1"/>
  <c r="P377" i="2"/>
  <c r="BO376" i="2"/>
  <c r="BM376" i="2"/>
  <c r="Y376" i="2"/>
  <c r="Y379" i="2" s="1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Z350" i="2" s="1"/>
  <c r="P350" i="2"/>
  <c r="X347" i="2"/>
  <c r="X346" i="2"/>
  <c r="BO345" i="2"/>
  <c r="BM345" i="2"/>
  <c r="Y345" i="2"/>
  <c r="BN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40" i="2"/>
  <c r="X339" i="2"/>
  <c r="BO338" i="2"/>
  <c r="BM338" i="2"/>
  <c r="Y338" i="2"/>
  <c r="P338" i="2"/>
  <c r="BO337" i="2"/>
  <c r="BM337" i="2"/>
  <c r="Y337" i="2"/>
  <c r="P337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2" i="2"/>
  <c r="X301" i="2"/>
  <c r="BO300" i="2"/>
  <c r="BM300" i="2"/>
  <c r="Y300" i="2"/>
  <c r="BP300" i="2" s="1"/>
  <c r="P300" i="2"/>
  <c r="X298" i="2"/>
  <c r="X297" i="2"/>
  <c r="BO296" i="2"/>
  <c r="BM296" i="2"/>
  <c r="Y296" i="2"/>
  <c r="Y298" i="2" s="1"/>
  <c r="P296" i="2"/>
  <c r="X294" i="2"/>
  <c r="X293" i="2"/>
  <c r="BO292" i="2"/>
  <c r="BM292" i="2"/>
  <c r="Y292" i="2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X278" i="2"/>
  <c r="X277" i="2"/>
  <c r="BO276" i="2"/>
  <c r="BM276" i="2"/>
  <c r="Y276" i="2"/>
  <c r="BN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Z250" i="2" s="1"/>
  <c r="P250" i="2"/>
  <c r="BO249" i="2"/>
  <c r="BM249" i="2"/>
  <c r="Y249" i="2"/>
  <c r="P249" i="2"/>
  <c r="X247" i="2"/>
  <c r="X246" i="2"/>
  <c r="BO245" i="2"/>
  <c r="BM245" i="2"/>
  <c r="Y245" i="2"/>
  <c r="Z245" i="2" s="1"/>
  <c r="P245" i="2"/>
  <c r="BO244" i="2"/>
  <c r="BM244" i="2"/>
  <c r="Y244" i="2"/>
  <c r="Y247" i="2" s="1"/>
  <c r="P244" i="2"/>
  <c r="X241" i="2"/>
  <c r="X240" i="2"/>
  <c r="BO239" i="2"/>
  <c r="BM239" i="2"/>
  <c r="Y239" i="2"/>
  <c r="P239" i="2"/>
  <c r="X237" i="2"/>
  <c r="X236" i="2"/>
  <c r="BO235" i="2"/>
  <c r="BM235" i="2"/>
  <c r="Y235" i="2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X204" i="2"/>
  <c r="X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P161" i="2"/>
  <c r="BO160" i="2"/>
  <c r="BM160" i="2"/>
  <c r="Y160" i="2"/>
  <c r="P160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P92" i="2"/>
  <c r="BO91" i="2"/>
  <c r="BM91" i="2"/>
  <c r="Y91" i="2"/>
  <c r="BP91" i="2" s="1"/>
  <c r="P91" i="2"/>
  <c r="X88" i="2"/>
  <c r="X87" i="2"/>
  <c r="BO86" i="2"/>
  <c r="BM86" i="2"/>
  <c r="Y86" i="2"/>
  <c r="BN86" i="2" s="1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Z76" i="2" s="1"/>
  <c r="P76" i="2"/>
  <c r="BO75" i="2"/>
  <c r="BM75" i="2"/>
  <c r="Y75" i="2"/>
  <c r="P75" i="2"/>
  <c r="BO74" i="2"/>
  <c r="BM74" i="2"/>
  <c r="Y74" i="2"/>
  <c r="BP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P64" i="2"/>
  <c r="BO63" i="2"/>
  <c r="BM63" i="2"/>
  <c r="Y63" i="2"/>
  <c r="BP63" i="2" s="1"/>
  <c r="P63" i="2"/>
  <c r="X60" i="2"/>
  <c r="X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Z55" i="2" s="1"/>
  <c r="P55" i="2"/>
  <c r="X51" i="2"/>
  <c r="X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BO46" i="2"/>
  <c r="BM46" i="2"/>
  <c r="Y46" i="2"/>
  <c r="P46" i="2"/>
  <c r="X42" i="2"/>
  <c r="X41" i="2"/>
  <c r="BO40" i="2"/>
  <c r="BM40" i="2"/>
  <c r="Y40" i="2"/>
  <c r="P40" i="2"/>
  <c r="X38" i="2"/>
  <c r="X37" i="2"/>
  <c r="BO36" i="2"/>
  <c r="BM36" i="2"/>
  <c r="Y36" i="2"/>
  <c r="P36" i="2"/>
  <c r="BO35" i="2"/>
  <c r="BM35" i="2"/>
  <c r="Y35" i="2"/>
  <c r="Z35" i="2" s="1"/>
  <c r="P35" i="2"/>
  <c r="BO34" i="2"/>
  <c r="BM34" i="2"/>
  <c r="Y34" i="2"/>
  <c r="Z34" i="2" s="1"/>
  <c r="P34" i="2"/>
  <c r="BO33" i="2"/>
  <c r="BM33" i="2"/>
  <c r="Y33" i="2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X26" i="2"/>
  <c r="X25" i="2"/>
  <c r="BO24" i="2"/>
  <c r="BM24" i="2"/>
  <c r="Y24" i="2"/>
  <c r="Z24" i="2" s="1"/>
  <c r="P24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BP31" i="2" l="1"/>
  <c r="BP258" i="2"/>
  <c r="BP170" i="2"/>
  <c r="Z385" i="2"/>
  <c r="BN385" i="2"/>
  <c r="Z117" i="2"/>
  <c r="BN117" i="2"/>
  <c r="Y310" i="2"/>
  <c r="Z29" i="2"/>
  <c r="BN29" i="2"/>
  <c r="BP49" i="2"/>
  <c r="Z154" i="2"/>
  <c r="BN154" i="2"/>
  <c r="Z256" i="2"/>
  <c r="BN256" i="2"/>
  <c r="BP267" i="2"/>
  <c r="Y301" i="2"/>
  <c r="Z372" i="2"/>
  <c r="BN372" i="2"/>
  <c r="BP377" i="2"/>
  <c r="Z432" i="2"/>
  <c r="BN432" i="2"/>
  <c r="BP482" i="2"/>
  <c r="Y519" i="2"/>
  <c r="Z522" i="2"/>
  <c r="BP214" i="2"/>
  <c r="B541" i="2"/>
  <c r="BP22" i="2"/>
  <c r="BN28" i="2"/>
  <c r="BN30" i="2"/>
  <c r="BN32" i="2"/>
  <c r="BP32" i="2"/>
  <c r="BP36" i="2"/>
  <c r="BN36" i="2"/>
  <c r="Z36" i="2"/>
  <c r="Y42" i="2"/>
  <c r="Y41" i="2"/>
  <c r="BP40" i="2"/>
  <c r="BN40" i="2"/>
  <c r="Z40" i="2"/>
  <c r="Z41" i="2" s="1"/>
  <c r="BN48" i="2"/>
  <c r="BP48" i="2"/>
  <c r="BN67" i="2"/>
  <c r="BN99" i="2"/>
  <c r="BN110" i="2"/>
  <c r="BN125" i="2"/>
  <c r="BP127" i="2"/>
  <c r="BN127" i="2"/>
  <c r="Z127" i="2"/>
  <c r="Y133" i="2"/>
  <c r="Y132" i="2"/>
  <c r="BP131" i="2"/>
  <c r="BN131" i="2"/>
  <c r="Z131" i="2"/>
  <c r="Z132" i="2" s="1"/>
  <c r="Y148" i="2"/>
  <c r="BP146" i="2"/>
  <c r="BN172" i="2"/>
  <c r="BP174" i="2"/>
  <c r="BN174" i="2"/>
  <c r="Z174" i="2"/>
  <c r="BP178" i="2"/>
  <c r="BN178" i="2"/>
  <c r="Z178" i="2"/>
  <c r="BN188" i="2"/>
  <c r="BN201" i="2"/>
  <c r="BN215" i="2"/>
  <c r="BP215" i="2"/>
  <c r="BN223" i="2"/>
  <c r="Z223" i="2"/>
  <c r="BP229" i="2"/>
  <c r="BN229" i="2"/>
  <c r="Z229" i="2"/>
  <c r="BN234" i="2"/>
  <c r="BP234" i="2"/>
  <c r="BP56" i="2"/>
  <c r="BN56" i="2"/>
  <c r="Z56" i="2"/>
  <c r="BN63" i="2"/>
  <c r="Y83" i="2"/>
  <c r="BN85" i="2"/>
  <c r="BN106" i="2"/>
  <c r="BN116" i="2"/>
  <c r="BN169" i="2"/>
  <c r="BP169" i="2"/>
  <c r="BP213" i="2"/>
  <c r="BN213" i="2"/>
  <c r="Z213" i="2"/>
  <c r="BN261" i="2"/>
  <c r="BN271" i="2"/>
  <c r="BN308" i="2"/>
  <c r="BN314" i="2"/>
  <c r="BN350" i="2"/>
  <c r="BN365" i="2"/>
  <c r="Z376" i="2"/>
  <c r="BN376" i="2"/>
  <c r="BP376" i="2"/>
  <c r="BP378" i="2"/>
  <c r="BP382" i="2"/>
  <c r="Z397" i="2"/>
  <c r="BN398" i="2"/>
  <c r="BN407" i="2"/>
  <c r="BN415" i="2"/>
  <c r="BP422" i="2"/>
  <c r="Z448" i="2"/>
  <c r="BN448" i="2"/>
  <c r="BN449" i="2"/>
  <c r="BP452" i="2"/>
  <c r="BN457" i="2"/>
  <c r="BN467" i="2"/>
  <c r="BN489" i="2"/>
  <c r="BN518" i="2"/>
  <c r="BN254" i="2"/>
  <c r="BN24" i="2"/>
  <c r="BN34" i="2"/>
  <c r="BN57" i="2"/>
  <c r="BN66" i="2"/>
  <c r="BN76" i="2"/>
  <c r="BN91" i="2"/>
  <c r="BN100" i="2"/>
  <c r="BN107" i="2"/>
  <c r="BN112" i="2"/>
  <c r="BN120" i="2"/>
  <c r="I541" i="2"/>
  <c r="BN182" i="2"/>
  <c r="BN211" i="2"/>
  <c r="BN218" i="2"/>
  <c r="BN224" i="2"/>
  <c r="BN245" i="2"/>
  <c r="BN250" i="2"/>
  <c r="BP257" i="2"/>
  <c r="BN275" i="2"/>
  <c r="BP289" i="2"/>
  <c r="BN291" i="2"/>
  <c r="Z296" i="2"/>
  <c r="Z297" i="2" s="1"/>
  <c r="BN296" i="2"/>
  <c r="BP296" i="2"/>
  <c r="Y297" i="2"/>
  <c r="BN300" i="2"/>
  <c r="BN304" i="2"/>
  <c r="BN316" i="2"/>
  <c r="Z331" i="2"/>
  <c r="BN331" i="2"/>
  <c r="BN332" i="2"/>
  <c r="BP333" i="2"/>
  <c r="BN344" i="2"/>
  <c r="BN352" i="2"/>
  <c r="Z361" i="2"/>
  <c r="BN361" i="2"/>
  <c r="BN405" i="2"/>
  <c r="BN410" i="2"/>
  <c r="BN463" i="2"/>
  <c r="BP477" i="2"/>
  <c r="BN479" i="2"/>
  <c r="BN494" i="2"/>
  <c r="Z177" i="2"/>
  <c r="BN177" i="2"/>
  <c r="BN239" i="2"/>
  <c r="BP239" i="2"/>
  <c r="Z260" i="2"/>
  <c r="BN260" i="2"/>
  <c r="BP265" i="2"/>
  <c r="Z265" i="2"/>
  <c r="Z270" i="2"/>
  <c r="BN270" i="2"/>
  <c r="BP315" i="2"/>
  <c r="BN315" i="2"/>
  <c r="Z370" i="2"/>
  <c r="BN370" i="2"/>
  <c r="BP442" i="2"/>
  <c r="Z442" i="2"/>
  <c r="Z481" i="2"/>
  <c r="BN481" i="2"/>
  <c r="Y500" i="2"/>
  <c r="BN493" i="2"/>
  <c r="BP493" i="2"/>
  <c r="Y78" i="2"/>
  <c r="Z86" i="2"/>
  <c r="Z173" i="2"/>
  <c r="BN173" i="2"/>
  <c r="BN189" i="2"/>
  <c r="BP189" i="2"/>
  <c r="Z202" i="2"/>
  <c r="BP212" i="2"/>
  <c r="BP222" i="2"/>
  <c r="BN235" i="2"/>
  <c r="BP235" i="2"/>
  <c r="Y236" i="2"/>
  <c r="BP255" i="2"/>
  <c r="BP266" i="2"/>
  <c r="Z276" i="2"/>
  <c r="Y293" i="2"/>
  <c r="BP287" i="2"/>
  <c r="Z287" i="2"/>
  <c r="Y318" i="2"/>
  <c r="BN323" i="2"/>
  <c r="BP323" i="2"/>
  <c r="Z330" i="2"/>
  <c r="BN338" i="2"/>
  <c r="BP338" i="2"/>
  <c r="BP359" i="2"/>
  <c r="Y367" i="2"/>
  <c r="Z360" i="2"/>
  <c r="BN360" i="2"/>
  <c r="Y393" i="2"/>
  <c r="BN389" i="2"/>
  <c r="BP406" i="2"/>
  <c r="Z406" i="2"/>
  <c r="BP411" i="2"/>
  <c r="Z411" i="2"/>
  <c r="Y427" i="2"/>
  <c r="Y437" i="2"/>
  <c r="Z458" i="2"/>
  <c r="BP468" i="2"/>
  <c r="Z468" i="2"/>
  <c r="Z541" i="2"/>
  <c r="Z493" i="2"/>
  <c r="Z509" i="2"/>
  <c r="Z510" i="2" s="1"/>
  <c r="BN509" i="2"/>
  <c r="BP514" i="2"/>
  <c r="Z514" i="2"/>
  <c r="Z515" i="2" s="1"/>
  <c r="Y88" i="2"/>
  <c r="Z207" i="2"/>
  <c r="Z208" i="2" s="1"/>
  <c r="Y208" i="2"/>
  <c r="BN207" i="2"/>
  <c r="BP217" i="2"/>
  <c r="BP276" i="2"/>
  <c r="BP292" i="2"/>
  <c r="BN292" i="2"/>
  <c r="BP351" i="2"/>
  <c r="BN351" i="2"/>
  <c r="F9" i="2"/>
  <c r="BP35" i="2"/>
  <c r="BP55" i="2"/>
  <c r="Y70" i="2"/>
  <c r="Z73" i="2"/>
  <c r="Z111" i="2"/>
  <c r="BP111" i="2"/>
  <c r="BP155" i="2"/>
  <c r="Z155" i="2"/>
  <c r="H9" i="2"/>
  <c r="Z63" i="2"/>
  <c r="Z67" i="2"/>
  <c r="BN68" i="2"/>
  <c r="BP76" i="2"/>
  <c r="Z107" i="2"/>
  <c r="Y156" i="2"/>
  <c r="BP182" i="2"/>
  <c r="BN183" i="2"/>
  <c r="BP184" i="2"/>
  <c r="BN184" i="2"/>
  <c r="Y204" i="2"/>
  <c r="BP201" i="2"/>
  <c r="Y209" i="2"/>
  <c r="Z212" i="2"/>
  <c r="BN217" i="2"/>
  <c r="BP218" i="2"/>
  <c r="BN228" i="2"/>
  <c r="Y237" i="2"/>
  <c r="BN233" i="2"/>
  <c r="BP233" i="2"/>
  <c r="BP249" i="2"/>
  <c r="Y252" i="2"/>
  <c r="BP250" i="2"/>
  <c r="Z255" i="2"/>
  <c r="BN265" i="2"/>
  <c r="Z266" i="2"/>
  <c r="BP272" i="2"/>
  <c r="BN272" i="2"/>
  <c r="BN288" i="2"/>
  <c r="BP288" i="2"/>
  <c r="BP305" i="2"/>
  <c r="BN305" i="2"/>
  <c r="Z355" i="2"/>
  <c r="BN355" i="2"/>
  <c r="BP384" i="2"/>
  <c r="BP409" i="2"/>
  <c r="Z416" i="2"/>
  <c r="BP417" i="2"/>
  <c r="Z417" i="2"/>
  <c r="BN442" i="2"/>
  <c r="Y471" i="2"/>
  <c r="BN469" i="2"/>
  <c r="Y515" i="2"/>
  <c r="Y529" i="2"/>
  <c r="BP183" i="2"/>
  <c r="BP202" i="2"/>
  <c r="BP219" i="2"/>
  <c r="BN219" i="2"/>
  <c r="BN268" i="2"/>
  <c r="BP268" i="2"/>
  <c r="Z280" i="2"/>
  <c r="BN280" i="2"/>
  <c r="BP330" i="2"/>
  <c r="BP345" i="2"/>
  <c r="Z345" i="2"/>
  <c r="BP362" i="2"/>
  <c r="Z362" i="2"/>
  <c r="Y443" i="2"/>
  <c r="BP440" i="2"/>
  <c r="BP458" i="2"/>
  <c r="Y490" i="2"/>
  <c r="Y491" i="2"/>
  <c r="BP86" i="2"/>
  <c r="Z126" i="2"/>
  <c r="BN126" i="2"/>
  <c r="BP24" i="2"/>
  <c r="Z30" i="2"/>
  <c r="BP34" i="2"/>
  <c r="BN35" i="2"/>
  <c r="BN55" i="2"/>
  <c r="E541" i="2"/>
  <c r="BP66" i="2"/>
  <c r="BN73" i="2"/>
  <c r="Z81" i="2"/>
  <c r="BP81" i="2"/>
  <c r="BN94" i="2"/>
  <c r="BP94" i="2"/>
  <c r="Z100" i="2"/>
  <c r="BN101" i="2"/>
  <c r="BP152" i="2"/>
  <c r="BN153" i="2"/>
  <c r="BN155" i="2"/>
  <c r="Y166" i="2"/>
  <c r="BP177" i="2"/>
  <c r="Z184" i="2"/>
  <c r="Z185" i="2" s="1"/>
  <c r="Y185" i="2"/>
  <c r="Z188" i="2"/>
  <c r="BP207" i="2"/>
  <c r="BN222" i="2"/>
  <c r="BP223" i="2"/>
  <c r="Y230" i="2"/>
  <c r="Z233" i="2"/>
  <c r="Z254" i="2"/>
  <c r="BP260" i="2"/>
  <c r="BP270" i="2"/>
  <c r="Z272" i="2"/>
  <c r="BP280" i="2"/>
  <c r="BN287" i="2"/>
  <c r="Z305" i="2"/>
  <c r="BP370" i="2"/>
  <c r="Z384" i="2"/>
  <c r="BP397" i="2"/>
  <c r="Z409" i="2"/>
  <c r="BN411" i="2"/>
  <c r="Y460" i="2"/>
  <c r="BN468" i="2"/>
  <c r="BP480" i="2"/>
  <c r="Z480" i="2"/>
  <c r="BP481" i="2"/>
  <c r="BP487" i="2"/>
  <c r="BN497" i="2"/>
  <c r="BP497" i="2"/>
  <c r="BP499" i="2"/>
  <c r="Z499" i="2"/>
  <c r="BN514" i="2"/>
  <c r="Z523" i="2"/>
  <c r="Y524" i="2"/>
  <c r="BP275" i="2"/>
  <c r="O541" i="2"/>
  <c r="BP291" i="2"/>
  <c r="BP308" i="2"/>
  <c r="BP350" i="2"/>
  <c r="Z418" i="2"/>
  <c r="BP415" i="2"/>
  <c r="Y424" i="2"/>
  <c r="Z459" i="2"/>
  <c r="BP457" i="2"/>
  <c r="BP463" i="2"/>
  <c r="Y470" i="2"/>
  <c r="AA541" i="2"/>
  <c r="BP505" i="2"/>
  <c r="Y507" i="2"/>
  <c r="X541" i="2"/>
  <c r="BP99" i="2"/>
  <c r="BP110" i="2"/>
  <c r="BP116" i="2"/>
  <c r="BP120" i="2"/>
  <c r="BP125" i="2"/>
  <c r="BP172" i="2"/>
  <c r="BP245" i="2"/>
  <c r="Y262" i="2"/>
  <c r="Y283" i="2"/>
  <c r="Z286" i="2"/>
  <c r="BP286" i="2"/>
  <c r="BP314" i="2"/>
  <c r="Z316" i="2"/>
  <c r="Y325" i="2"/>
  <c r="Z332" i="2"/>
  <c r="BP344" i="2"/>
  <c r="Z352" i="2"/>
  <c r="Y357" i="2"/>
  <c r="BP365" i="2"/>
  <c r="Z371" i="2"/>
  <c r="Y380" i="2"/>
  <c r="Y387" i="2"/>
  <c r="BP398" i="2"/>
  <c r="Y413" i="2"/>
  <c r="BP405" i="2"/>
  <c r="Z407" i="2"/>
  <c r="BP410" i="2"/>
  <c r="Y418" i="2"/>
  <c r="Z421" i="2"/>
  <c r="BP421" i="2"/>
  <c r="Y434" i="2"/>
  <c r="Y455" i="2"/>
  <c r="Z467" i="2"/>
  <c r="Z479" i="2"/>
  <c r="Z489" i="2"/>
  <c r="Z505" i="2"/>
  <c r="Z506" i="2" s="1"/>
  <c r="Y541" i="2"/>
  <c r="BP119" i="2"/>
  <c r="Z119" i="2"/>
  <c r="BN119" i="2"/>
  <c r="BP161" i="2"/>
  <c r="BN161" i="2"/>
  <c r="Y143" i="2"/>
  <c r="Z161" i="2"/>
  <c r="BP221" i="2"/>
  <c r="Z221" i="2"/>
  <c r="BN221" i="2"/>
  <c r="L541" i="2"/>
  <c r="X533" i="2"/>
  <c r="BP23" i="2"/>
  <c r="BN23" i="2"/>
  <c r="Z23" i="2"/>
  <c r="BP142" i="2"/>
  <c r="Z142" i="2"/>
  <c r="BN142" i="2"/>
  <c r="Y225" i="2"/>
  <c r="BP92" i="2"/>
  <c r="Z92" i="2"/>
  <c r="BN92" i="2"/>
  <c r="BP200" i="2"/>
  <c r="BN200" i="2"/>
  <c r="Z200" i="2"/>
  <c r="K541" i="2"/>
  <c r="BP33" i="2"/>
  <c r="BN33" i="2"/>
  <c r="Z33" i="2"/>
  <c r="Y37" i="2"/>
  <c r="Y122" i="2"/>
  <c r="Y139" i="2"/>
  <c r="H541" i="2"/>
  <c r="Y138" i="2"/>
  <c r="BP136" i="2"/>
  <c r="BN136" i="2"/>
  <c r="Z136" i="2"/>
  <c r="Z138" i="2" s="1"/>
  <c r="BP98" i="2"/>
  <c r="Z98" i="2"/>
  <c r="BN98" i="2"/>
  <c r="Y103" i="2"/>
  <c r="Y60" i="2"/>
  <c r="BP58" i="2"/>
  <c r="Z58" i="2"/>
  <c r="BN58" i="2"/>
  <c r="BP65" i="2"/>
  <c r="BN65" i="2"/>
  <c r="Y102" i="2"/>
  <c r="Y392" i="2"/>
  <c r="BP390" i="2"/>
  <c r="BN390" i="2"/>
  <c r="Z390" i="2"/>
  <c r="BP47" i="2"/>
  <c r="BN47" i="2"/>
  <c r="Z65" i="2"/>
  <c r="BP109" i="2"/>
  <c r="Z109" i="2"/>
  <c r="BN109" i="2"/>
  <c r="Y144" i="2"/>
  <c r="BP274" i="2"/>
  <c r="Z274" i="2"/>
  <c r="BN274" i="2"/>
  <c r="BP307" i="2"/>
  <c r="Z307" i="2"/>
  <c r="BN307" i="2"/>
  <c r="BP337" i="2"/>
  <c r="BN337" i="2"/>
  <c r="Z337" i="2"/>
  <c r="Y340" i="2"/>
  <c r="Y339" i="2"/>
  <c r="Z47" i="2"/>
  <c r="BP93" i="2"/>
  <c r="BN93" i="2"/>
  <c r="Y51" i="2"/>
  <c r="C541" i="2"/>
  <c r="Y50" i="2"/>
  <c r="BP46" i="2"/>
  <c r="Z46" i="2"/>
  <c r="BN46" i="2"/>
  <c r="X535" i="2"/>
  <c r="X531" i="2"/>
  <c r="Z93" i="2"/>
  <c r="G541" i="2"/>
  <c r="BP137" i="2"/>
  <c r="BN137" i="2"/>
  <c r="X532" i="2"/>
  <c r="Y26" i="2"/>
  <c r="Y59" i="2"/>
  <c r="BP244" i="2"/>
  <c r="Z244" i="2"/>
  <c r="Z246" i="2" s="1"/>
  <c r="BN244" i="2"/>
  <c r="Y246" i="2"/>
  <c r="M541" i="2"/>
  <c r="R541" i="2"/>
  <c r="BP391" i="2"/>
  <c r="BN391" i="2"/>
  <c r="Z391" i="2"/>
  <c r="BP69" i="2"/>
  <c r="Z69" i="2"/>
  <c r="BN69" i="2"/>
  <c r="Z75" i="2"/>
  <c r="BP75" i="2"/>
  <c r="BN75" i="2"/>
  <c r="Y113" i="2"/>
  <c r="Y163" i="2"/>
  <c r="Y162" i="2"/>
  <c r="BP160" i="2"/>
  <c r="Z160" i="2"/>
  <c r="BN160" i="2"/>
  <c r="J541" i="2"/>
  <c r="BP176" i="2"/>
  <c r="Z176" i="2"/>
  <c r="BN176" i="2"/>
  <c r="Y195" i="2"/>
  <c r="Y194" i="2"/>
  <c r="BP193" i="2"/>
  <c r="BN193" i="2"/>
  <c r="Y128" i="2"/>
  <c r="Y373" i="2"/>
  <c r="Z74" i="2"/>
  <c r="Y334" i="2"/>
  <c r="Z363" i="2"/>
  <c r="Z396" i="2"/>
  <c r="Z399" i="2" s="1"/>
  <c r="Z408" i="2"/>
  <c r="Y501" i="2"/>
  <c r="Z32" i="2"/>
  <c r="Y95" i="2"/>
  <c r="Y114" i="2"/>
  <c r="Z146" i="2"/>
  <c r="Z215" i="2"/>
  <c r="Y226" i="2"/>
  <c r="Z235" i="2"/>
  <c r="Y240" i="2"/>
  <c r="Z258" i="2"/>
  <c r="Z268" i="2"/>
  <c r="Z289" i="2"/>
  <c r="Y302" i="2"/>
  <c r="Z323" i="2"/>
  <c r="Z378" i="2"/>
  <c r="Z436" i="2"/>
  <c r="Z437" i="2" s="1"/>
  <c r="BN450" i="2"/>
  <c r="BN475" i="2"/>
  <c r="Z483" i="2"/>
  <c r="BN495" i="2"/>
  <c r="BP509" i="2"/>
  <c r="Y520" i="2"/>
  <c r="Z475" i="2"/>
  <c r="Z118" i="2"/>
  <c r="Z165" i="2"/>
  <c r="Z166" i="2" s="1"/>
  <c r="Z175" i="2"/>
  <c r="Z306" i="2"/>
  <c r="Z353" i="2"/>
  <c r="Z22" i="2"/>
  <c r="Z170" i="2"/>
  <c r="Y38" i="2"/>
  <c r="Z49" i="2"/>
  <c r="BN64" i="2"/>
  <c r="BN74" i="2"/>
  <c r="Y77" i="2"/>
  <c r="BN108" i="2"/>
  <c r="BN118" i="2"/>
  <c r="Y121" i="2"/>
  <c r="Y129" i="2"/>
  <c r="BN141" i="2"/>
  <c r="Z152" i="2"/>
  <c r="BN165" i="2"/>
  <c r="BN175" i="2"/>
  <c r="Y186" i="2"/>
  <c r="BN199" i="2"/>
  <c r="BN220" i="2"/>
  <c r="Y231" i="2"/>
  <c r="BN273" i="2"/>
  <c r="BN306" i="2"/>
  <c r="Y309" i="2"/>
  <c r="BN317" i="2"/>
  <c r="Z329" i="2"/>
  <c r="BN353" i="2"/>
  <c r="Y356" i="2"/>
  <c r="BN363" i="2"/>
  <c r="Y366" i="2"/>
  <c r="Y374" i="2"/>
  <c r="Z383" i="2"/>
  <c r="BN396" i="2"/>
  <c r="Y399" i="2"/>
  <c r="BN408" i="2"/>
  <c r="Y419" i="2"/>
  <c r="BN431" i="2"/>
  <c r="Z441" i="2"/>
  <c r="Z453" i="2"/>
  <c r="Z478" i="2"/>
  <c r="Z488" i="2"/>
  <c r="Z498" i="2"/>
  <c r="Y525" i="2"/>
  <c r="Y326" i="2"/>
  <c r="Z64" i="2"/>
  <c r="Z108" i="2"/>
  <c r="Z273" i="2"/>
  <c r="Z431" i="2"/>
  <c r="BN22" i="2"/>
  <c r="Y25" i="2"/>
  <c r="Y335" i="2"/>
  <c r="BN436" i="2"/>
  <c r="BP450" i="2"/>
  <c r="Y464" i="2"/>
  <c r="BP475" i="2"/>
  <c r="BN483" i="2"/>
  <c r="BP495" i="2"/>
  <c r="Y510" i="2"/>
  <c r="P541" i="2"/>
  <c r="Y149" i="2"/>
  <c r="Z450" i="2"/>
  <c r="Z141" i="2"/>
  <c r="Y190" i="2"/>
  <c r="Z199" i="2"/>
  <c r="Z220" i="2"/>
  <c r="Z317" i="2"/>
  <c r="Y423" i="2"/>
  <c r="Y82" i="2"/>
  <c r="BN146" i="2"/>
  <c r="Y191" i="2"/>
  <c r="Y251" i="2"/>
  <c r="BP64" i="2"/>
  <c r="Y87" i="2"/>
  <c r="Y96" i="2"/>
  <c r="Z106" i="2"/>
  <c r="BP141" i="2"/>
  <c r="BN152" i="2"/>
  <c r="BP165" i="2"/>
  <c r="BP199" i="2"/>
  <c r="Z228" i="2"/>
  <c r="Z230" i="2" s="1"/>
  <c r="Y241" i="2"/>
  <c r="Z261" i="2"/>
  <c r="Z271" i="2"/>
  <c r="Z281" i="2"/>
  <c r="Z292" i="2"/>
  <c r="Z304" i="2"/>
  <c r="Z315" i="2"/>
  <c r="BN329" i="2"/>
  <c r="BN383" i="2"/>
  <c r="Y386" i="2"/>
  <c r="BP396" i="2"/>
  <c r="BP431" i="2"/>
  <c r="BN441" i="2"/>
  <c r="BN453" i="2"/>
  <c r="BN478" i="2"/>
  <c r="BN488" i="2"/>
  <c r="BN498" i="2"/>
  <c r="Q541" i="2"/>
  <c r="Y400" i="2"/>
  <c r="BP436" i="2"/>
  <c r="Z469" i="2"/>
  <c r="BN505" i="2"/>
  <c r="Z528" i="2"/>
  <c r="Z529" i="2" s="1"/>
  <c r="BN371" i="2"/>
  <c r="BN406" i="2"/>
  <c r="BN416" i="2"/>
  <c r="Z426" i="2"/>
  <c r="Z427" i="2" s="1"/>
  <c r="Z451" i="2"/>
  <c r="Y465" i="2"/>
  <c r="Z476" i="2"/>
  <c r="Z496" i="2"/>
  <c r="Y511" i="2"/>
  <c r="BN522" i="2"/>
  <c r="S541" i="2"/>
  <c r="Y484" i="2"/>
  <c r="Y516" i="2"/>
  <c r="BN528" i="2"/>
  <c r="T541" i="2"/>
  <c r="Z249" i="2"/>
  <c r="Z251" i="2" s="1"/>
  <c r="Z259" i="2"/>
  <c r="Z269" i="2"/>
  <c r="BP281" i="2"/>
  <c r="Z290" i="2"/>
  <c r="Z313" i="2"/>
  <c r="Z324" i="2"/>
  <c r="Z359" i="2"/>
  <c r="Z369" i="2"/>
  <c r="Z404" i="2"/>
  <c r="BN426" i="2"/>
  <c r="BN451" i="2"/>
  <c r="Y454" i="2"/>
  <c r="BN476" i="2"/>
  <c r="BN496" i="2"/>
  <c r="Z354" i="2"/>
  <c r="Z364" i="2"/>
  <c r="Y71" i="2"/>
  <c r="Z80" i="2"/>
  <c r="Z147" i="2"/>
  <c r="Z171" i="2"/>
  <c r="Z28" i="2"/>
  <c r="Z85" i="2"/>
  <c r="Z153" i="2"/>
  <c r="Y179" i="2"/>
  <c r="Y203" i="2"/>
  <c r="Z211" i="2"/>
  <c r="Y277" i="2"/>
  <c r="Y319" i="2"/>
  <c r="BN343" i="2"/>
  <c r="Y346" i="2"/>
  <c r="BN354" i="2"/>
  <c r="BN364" i="2"/>
  <c r="Y412" i="2"/>
  <c r="Y459" i="2"/>
  <c r="BP528" i="2"/>
  <c r="V541" i="2"/>
  <c r="Z124" i="2"/>
  <c r="Z216" i="2"/>
  <c r="Z57" i="2"/>
  <c r="Z68" i="2"/>
  <c r="BN80" i="2"/>
  <c r="Z91" i="2"/>
  <c r="Z101" i="2"/>
  <c r="Z112" i="2"/>
  <c r="BN124" i="2"/>
  <c r="BN147" i="2"/>
  <c r="BN171" i="2"/>
  <c r="BN216" i="2"/>
  <c r="Z224" i="2"/>
  <c r="BN249" i="2"/>
  <c r="BN259" i="2"/>
  <c r="BN269" i="2"/>
  <c r="Y282" i="2"/>
  <c r="BN290" i="2"/>
  <c r="Z300" i="2"/>
  <c r="Z301" i="2" s="1"/>
  <c r="BN313" i="2"/>
  <c r="BN324" i="2"/>
  <c r="BN359" i="2"/>
  <c r="BN369" i="2"/>
  <c r="Z389" i="2"/>
  <c r="BN404" i="2"/>
  <c r="BP426" i="2"/>
  <c r="Z449" i="2"/>
  <c r="Y485" i="2"/>
  <c r="Z494" i="2"/>
  <c r="Z518" i="2"/>
  <c r="Z519" i="2" s="1"/>
  <c r="D541" i="2"/>
  <c r="W541" i="2"/>
  <c r="Z343" i="2"/>
  <c r="Y180" i="2"/>
  <c r="Z234" i="2"/>
  <c r="Z257" i="2"/>
  <c r="Z267" i="2"/>
  <c r="Y278" i="2"/>
  <c r="Z288" i="2"/>
  <c r="Z322" i="2"/>
  <c r="Z333" i="2"/>
  <c r="Y347" i="2"/>
  <c r="Z377" i="2"/>
  <c r="BP404" i="2"/>
  <c r="Z422" i="2"/>
  <c r="Z423" i="2" s="1"/>
  <c r="Z482" i="2"/>
  <c r="F541" i="2"/>
  <c r="Z31" i="2"/>
  <c r="Z169" i="2"/>
  <c r="Z189" i="2"/>
  <c r="Z190" i="2" s="1"/>
  <c r="Z214" i="2"/>
  <c r="J9" i="2"/>
  <c r="Z94" i="2"/>
  <c r="Z239" i="2"/>
  <c r="Z240" i="2" s="1"/>
  <c r="Y263" i="2"/>
  <c r="Y294" i="2"/>
  <c r="Z338" i="2"/>
  <c r="Z382" i="2"/>
  <c r="Z440" i="2"/>
  <c r="Z452" i="2"/>
  <c r="Z477" i="2"/>
  <c r="Z487" i="2"/>
  <c r="Z497" i="2"/>
  <c r="BN523" i="2"/>
  <c r="A10" i="2"/>
  <c r="Y157" i="2"/>
  <c r="BN322" i="2"/>
  <c r="BP389" i="2"/>
  <c r="Y530" i="2"/>
  <c r="Z48" i="2"/>
  <c r="BN440" i="2"/>
  <c r="BN487" i="2"/>
  <c r="Z373" i="2" l="1"/>
  <c r="Z277" i="2"/>
  <c r="Z346" i="2"/>
  <c r="Z59" i="2"/>
  <c r="Z128" i="2"/>
  <c r="Z318" i="2"/>
  <c r="Z309" i="2"/>
  <c r="Z282" i="2"/>
  <c r="Z203" i="2"/>
  <c r="Z143" i="2"/>
  <c r="Z433" i="2"/>
  <c r="Z162" i="2"/>
  <c r="Z524" i="2"/>
  <c r="Z50" i="2"/>
  <c r="Z392" i="2"/>
  <c r="Z82" i="2"/>
  <c r="Z470" i="2"/>
  <c r="Z262" i="2"/>
  <c r="Z148" i="2"/>
  <c r="Y533" i="2"/>
  <c r="Z443" i="2"/>
  <c r="Z293" i="2"/>
  <c r="Z356" i="2"/>
  <c r="Z121" i="2"/>
  <c r="Z77" i="2"/>
  <c r="Z236" i="2"/>
  <c r="Z386" i="2"/>
  <c r="Z95" i="2"/>
  <c r="Z87" i="2"/>
  <c r="Z484" i="2"/>
  <c r="Z379" i="2"/>
  <c r="Z102" i="2"/>
  <c r="Z325" i="2"/>
  <c r="Z156" i="2"/>
  <c r="Y532" i="2"/>
  <c r="Z334" i="2"/>
  <c r="Y531" i="2"/>
  <c r="Z37" i="2"/>
  <c r="X534" i="2"/>
  <c r="Z179" i="2"/>
  <c r="Z113" i="2"/>
  <c r="Z25" i="2"/>
  <c r="Z412" i="2"/>
  <c r="Z339" i="2"/>
  <c r="Y535" i="2"/>
  <c r="Z490" i="2"/>
  <c r="Z70" i="2"/>
  <c r="Z500" i="2"/>
  <c r="Z454" i="2"/>
  <c r="Z225" i="2"/>
  <c r="Z366" i="2"/>
  <c r="Y534" i="2" l="1"/>
  <c r="Z536" i="2"/>
</calcChain>
</file>

<file path=xl/sharedStrings.xml><?xml version="1.0" encoding="utf-8"?>
<sst xmlns="http://schemas.openxmlformats.org/spreadsheetml/2006/main" count="4008" uniqueCount="856">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</sst>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1"/>
  <sheetViews>
    <sheetView showGridLines="0" tabSelected="1" topLeftCell="A508" zoomScaleNormal="100" zoomScaleSheetLayoutView="100" workbookViewId="0">
      <selection activeCell="X118" sqref="X11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0" t="s">
        <v>26</v>
      </c>
      <c r="E1" s="610"/>
      <c r="F1" s="610"/>
      <c r="G1" s="14" t="s">
        <v>67</v>
      </c>
      <c r="H1" s="610" t="s">
        <v>47</v>
      </c>
      <c r="I1" s="610"/>
      <c r="J1" s="610"/>
      <c r="K1" s="610"/>
      <c r="L1" s="610"/>
      <c r="M1" s="610"/>
      <c r="N1" s="610"/>
      <c r="O1" s="610"/>
      <c r="P1" s="610"/>
      <c r="Q1" s="610"/>
      <c r="R1" s="611" t="s">
        <v>68</v>
      </c>
      <c r="S1" s="612"/>
      <c r="T1" s="61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3"/>
      <c r="R2" s="613"/>
      <c r="S2" s="613"/>
      <c r="T2" s="613"/>
      <c r="U2" s="613"/>
      <c r="V2" s="613"/>
      <c r="W2" s="61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3"/>
      <c r="Q3" s="613"/>
      <c r="R3" s="613"/>
      <c r="S3" s="613"/>
      <c r="T3" s="613"/>
      <c r="U3" s="613"/>
      <c r="V3" s="613"/>
      <c r="W3" s="61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4" t="s">
        <v>8</v>
      </c>
      <c r="B5" s="614"/>
      <c r="C5" s="614"/>
      <c r="D5" s="615"/>
      <c r="E5" s="615"/>
      <c r="F5" s="616" t="s">
        <v>14</v>
      </c>
      <c r="G5" s="616"/>
      <c r="H5" s="615"/>
      <c r="I5" s="615"/>
      <c r="J5" s="615"/>
      <c r="K5" s="615"/>
      <c r="L5" s="615"/>
      <c r="M5" s="615"/>
      <c r="N5" s="72"/>
      <c r="P5" s="27" t="s">
        <v>4</v>
      </c>
      <c r="Q5" s="617">
        <v>46198</v>
      </c>
      <c r="R5" s="617"/>
      <c r="T5" s="618" t="s">
        <v>3</v>
      </c>
      <c r="U5" s="619"/>
      <c r="V5" s="620" t="s">
        <v>832</v>
      </c>
      <c r="W5" s="621"/>
      <c r="AB5" s="59"/>
      <c r="AC5" s="59"/>
      <c r="AD5" s="59"/>
      <c r="AE5" s="59"/>
    </row>
    <row r="6" spans="1:32" s="17" customFormat="1" ht="24" customHeight="1" x14ac:dyDescent="0.2">
      <c r="A6" s="614" t="s">
        <v>1</v>
      </c>
      <c r="B6" s="614"/>
      <c r="C6" s="614"/>
      <c r="D6" s="622" t="s">
        <v>839</v>
      </c>
      <c r="E6" s="622"/>
      <c r="F6" s="622"/>
      <c r="G6" s="622"/>
      <c r="H6" s="622"/>
      <c r="I6" s="622"/>
      <c r="J6" s="622"/>
      <c r="K6" s="622"/>
      <c r="L6" s="622"/>
      <c r="M6" s="622"/>
      <c r="N6" s="73"/>
      <c r="P6" s="27" t="s">
        <v>27</v>
      </c>
      <c r="Q6" s="623" t="str">
        <f>IF(Q5=0," ",CHOOSE(WEEKDAY(Q5,2),"Понедельник","Вторник","Среда","Четверг","Пятница","Суббота","Воскресенье"))</f>
        <v>Четверг</v>
      </c>
      <c r="R6" s="623"/>
      <c r="T6" s="624" t="s">
        <v>5</v>
      </c>
      <c r="U6" s="625"/>
      <c r="V6" s="626" t="s">
        <v>70</v>
      </c>
      <c r="W6" s="62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2" t="str">
        <f>IFERROR(VLOOKUP(DeliveryAddress,Table,3,0),1)</f>
        <v>3</v>
      </c>
      <c r="E7" s="633"/>
      <c r="F7" s="633"/>
      <c r="G7" s="633"/>
      <c r="H7" s="633"/>
      <c r="I7" s="633"/>
      <c r="J7" s="633"/>
      <c r="K7" s="633"/>
      <c r="L7" s="633"/>
      <c r="M7" s="634"/>
      <c r="N7" s="74"/>
      <c r="P7" s="29"/>
      <c r="Q7" s="48"/>
      <c r="R7" s="48"/>
      <c r="T7" s="624"/>
      <c r="U7" s="625"/>
      <c r="V7" s="628"/>
      <c r="W7" s="629"/>
      <c r="AB7" s="59"/>
      <c r="AC7" s="59"/>
      <c r="AD7" s="59"/>
      <c r="AE7" s="59"/>
    </row>
    <row r="8" spans="1:32" s="17" customFormat="1" ht="25.5" customHeight="1" x14ac:dyDescent="0.2">
      <c r="A8" s="635" t="s">
        <v>58</v>
      </c>
      <c r="B8" s="635"/>
      <c r="C8" s="635"/>
      <c r="D8" s="636"/>
      <c r="E8" s="636"/>
      <c r="F8" s="636"/>
      <c r="G8" s="636"/>
      <c r="H8" s="636"/>
      <c r="I8" s="636"/>
      <c r="J8" s="636"/>
      <c r="K8" s="636"/>
      <c r="L8" s="636"/>
      <c r="M8" s="636"/>
      <c r="N8" s="75"/>
      <c r="P8" s="27" t="s">
        <v>11</v>
      </c>
      <c r="Q8" s="637">
        <v>0.41666666666666669</v>
      </c>
      <c r="R8" s="637"/>
      <c r="T8" s="624"/>
      <c r="U8" s="625"/>
      <c r="V8" s="628"/>
      <c r="W8" s="629"/>
      <c r="AB8" s="59"/>
      <c r="AC8" s="59"/>
      <c r="AD8" s="59"/>
      <c r="AE8" s="59"/>
    </row>
    <row r="9" spans="1:32" s="17" customFormat="1" ht="39.950000000000003" customHeight="1" x14ac:dyDescent="0.2">
      <c r="A9" s="63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8"/>
      <c r="C9" s="638"/>
      <c r="D9" s="639" t="s">
        <v>46</v>
      </c>
      <c r="E9" s="640"/>
      <c r="F9" s="63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8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1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1"/>
      <c r="L9" s="641"/>
      <c r="M9" s="641"/>
      <c r="N9" s="70"/>
      <c r="P9" s="31" t="s">
        <v>15</v>
      </c>
      <c r="Q9" s="642"/>
      <c r="R9" s="642"/>
      <c r="T9" s="624"/>
      <c r="U9" s="625"/>
      <c r="V9" s="630"/>
      <c r="W9" s="63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8"/>
      <c r="C10" s="638"/>
      <c r="D10" s="639"/>
      <c r="E10" s="640"/>
      <c r="F10" s="63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8"/>
      <c r="H10" s="643" t="str">
        <f>IFERROR(VLOOKUP($D$10,Proxy,2,FALSE),"")</f>
        <v/>
      </c>
      <c r="I10" s="643"/>
      <c r="J10" s="643"/>
      <c r="K10" s="643"/>
      <c r="L10" s="643"/>
      <c r="M10" s="643"/>
      <c r="N10" s="71"/>
      <c r="P10" s="31" t="s">
        <v>32</v>
      </c>
      <c r="Q10" s="644"/>
      <c r="R10" s="644"/>
      <c r="U10" s="29" t="s">
        <v>12</v>
      </c>
      <c r="V10" s="645" t="s">
        <v>71</v>
      </c>
      <c r="W10" s="64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7"/>
      <c r="R11" s="647"/>
      <c r="U11" s="29" t="s">
        <v>28</v>
      </c>
      <c r="V11" s="648" t="s">
        <v>55</v>
      </c>
      <c r="W11" s="6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9" t="s">
        <v>72</v>
      </c>
      <c r="B12" s="649"/>
      <c r="C12" s="649"/>
      <c r="D12" s="649"/>
      <c r="E12" s="649"/>
      <c r="F12" s="649"/>
      <c r="G12" s="649"/>
      <c r="H12" s="649"/>
      <c r="I12" s="649"/>
      <c r="J12" s="649"/>
      <c r="K12" s="649"/>
      <c r="L12" s="649"/>
      <c r="M12" s="649"/>
      <c r="N12" s="76"/>
      <c r="P12" s="27" t="s">
        <v>30</v>
      </c>
      <c r="Q12" s="637"/>
      <c r="R12" s="637"/>
      <c r="S12" s="28"/>
      <c r="T12"/>
      <c r="U12" s="29" t="s">
        <v>46</v>
      </c>
      <c r="V12" s="650"/>
      <c r="W12" s="650"/>
      <c r="X12"/>
      <c r="AB12" s="59"/>
      <c r="AC12" s="59"/>
      <c r="AD12" s="59"/>
      <c r="AE12" s="59"/>
    </row>
    <row r="13" spans="1:32" s="17" customFormat="1" ht="23.25" customHeight="1" x14ac:dyDescent="0.2">
      <c r="A13" s="649" t="s">
        <v>73</v>
      </c>
      <c r="B13" s="649"/>
      <c r="C13" s="649"/>
      <c r="D13" s="649"/>
      <c r="E13" s="649"/>
      <c r="F13" s="649"/>
      <c r="G13" s="649"/>
      <c r="H13" s="649"/>
      <c r="I13" s="649"/>
      <c r="J13" s="649"/>
      <c r="K13" s="649"/>
      <c r="L13" s="649"/>
      <c r="M13" s="649"/>
      <c r="N13" s="76"/>
      <c r="O13" s="31"/>
      <c r="P13" s="31" t="s">
        <v>31</v>
      </c>
      <c r="Q13" s="648"/>
      <c r="R13" s="6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9" t="s">
        <v>74</v>
      </c>
      <c r="B14" s="649"/>
      <c r="C14" s="649"/>
      <c r="D14" s="649"/>
      <c r="E14" s="649"/>
      <c r="F14" s="649"/>
      <c r="G14" s="649"/>
      <c r="H14" s="649"/>
      <c r="I14" s="649"/>
      <c r="J14" s="649"/>
      <c r="K14" s="649"/>
      <c r="L14" s="649"/>
      <c r="M14" s="64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1" t="s">
        <v>75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1"/>
      <c r="N15" s="77"/>
      <c r="O15"/>
      <c r="P15" s="652" t="s">
        <v>61</v>
      </c>
      <c r="Q15" s="652"/>
      <c r="R15" s="652"/>
      <c r="S15" s="652"/>
      <c r="T15" s="65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3"/>
      <c r="Q16" s="653"/>
      <c r="R16" s="653"/>
      <c r="S16" s="653"/>
      <c r="T16" s="65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6" t="s">
        <v>59</v>
      </c>
      <c r="B17" s="656" t="s">
        <v>49</v>
      </c>
      <c r="C17" s="658" t="s">
        <v>48</v>
      </c>
      <c r="D17" s="660" t="s">
        <v>50</v>
      </c>
      <c r="E17" s="661"/>
      <c r="F17" s="656" t="s">
        <v>21</v>
      </c>
      <c r="G17" s="656" t="s">
        <v>24</v>
      </c>
      <c r="H17" s="656" t="s">
        <v>22</v>
      </c>
      <c r="I17" s="656" t="s">
        <v>23</v>
      </c>
      <c r="J17" s="656" t="s">
        <v>16</v>
      </c>
      <c r="K17" s="656" t="s">
        <v>66</v>
      </c>
      <c r="L17" s="656" t="s">
        <v>64</v>
      </c>
      <c r="M17" s="656" t="s">
        <v>2</v>
      </c>
      <c r="N17" s="656" t="s">
        <v>63</v>
      </c>
      <c r="O17" s="656" t="s">
        <v>25</v>
      </c>
      <c r="P17" s="660" t="s">
        <v>17</v>
      </c>
      <c r="Q17" s="664"/>
      <c r="R17" s="664"/>
      <c r="S17" s="664"/>
      <c r="T17" s="661"/>
      <c r="U17" s="654" t="s">
        <v>56</v>
      </c>
      <c r="V17" s="655"/>
      <c r="W17" s="656" t="s">
        <v>6</v>
      </c>
      <c r="X17" s="656" t="s">
        <v>41</v>
      </c>
      <c r="Y17" s="666" t="s">
        <v>54</v>
      </c>
      <c r="Z17" s="668" t="s">
        <v>18</v>
      </c>
      <c r="AA17" s="670" t="s">
        <v>60</v>
      </c>
      <c r="AB17" s="670" t="s">
        <v>19</v>
      </c>
      <c r="AC17" s="670" t="s">
        <v>65</v>
      </c>
      <c r="AD17" s="672" t="s">
        <v>57</v>
      </c>
      <c r="AE17" s="673"/>
      <c r="AF17" s="674"/>
      <c r="AG17" s="82"/>
      <c r="BD17" s="81" t="s">
        <v>62</v>
      </c>
    </row>
    <row r="18" spans="1:68" ht="14.25" customHeight="1" x14ac:dyDescent="0.2">
      <c r="A18" s="657"/>
      <c r="B18" s="657"/>
      <c r="C18" s="659"/>
      <c r="D18" s="662"/>
      <c r="E18" s="663"/>
      <c r="F18" s="657"/>
      <c r="G18" s="657"/>
      <c r="H18" s="657"/>
      <c r="I18" s="657"/>
      <c r="J18" s="657"/>
      <c r="K18" s="657"/>
      <c r="L18" s="657"/>
      <c r="M18" s="657"/>
      <c r="N18" s="657"/>
      <c r="O18" s="657"/>
      <c r="P18" s="662"/>
      <c r="Q18" s="665"/>
      <c r="R18" s="665"/>
      <c r="S18" s="665"/>
      <c r="T18" s="663"/>
      <c r="U18" s="83" t="s">
        <v>44</v>
      </c>
      <c r="V18" s="83" t="s">
        <v>43</v>
      </c>
      <c r="W18" s="657"/>
      <c r="X18" s="657"/>
      <c r="Y18" s="667"/>
      <c r="Z18" s="669"/>
      <c r="AA18" s="671"/>
      <c r="AB18" s="671"/>
      <c r="AC18" s="671"/>
      <c r="AD18" s="675"/>
      <c r="AE18" s="676"/>
      <c r="AF18" s="677"/>
      <c r="AG18" s="82"/>
      <c r="BD18" s="81"/>
    </row>
    <row r="19" spans="1:68" ht="27.75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customHeight="1" x14ac:dyDescent="0.25">
      <c r="A20" s="679" t="s">
        <v>76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5"/>
      <c r="AB20" s="65"/>
      <c r="AC20" s="79"/>
    </row>
    <row r="21" spans="1:68" ht="14.25" customHeight="1" x14ac:dyDescent="0.25">
      <c r="A21" s="680" t="s">
        <v>77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81">
        <v>4680115887510</v>
      </c>
      <c r="E22" s="681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83"/>
      <c r="R22" s="683"/>
      <c r="S22" s="683"/>
      <c r="T22" s="68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81">
        <v>4680115886643</v>
      </c>
      <c r="E23" s="681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83"/>
      <c r="R23" s="683"/>
      <c r="S23" s="683"/>
      <c r="T23" s="68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81">
        <v>4680115889071</v>
      </c>
      <c r="E24" s="681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68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83"/>
      <c r="R24" s="683"/>
      <c r="S24" s="683"/>
      <c r="T24" s="684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">
      <c r="A25" s="690"/>
      <c r="B25" s="690"/>
      <c r="C25" s="690"/>
      <c r="D25" s="690"/>
      <c r="E25" s="690"/>
      <c r="F25" s="690"/>
      <c r="G25" s="690"/>
      <c r="H25" s="690"/>
      <c r="I25" s="690"/>
      <c r="J25" s="690"/>
      <c r="K25" s="690"/>
      <c r="L25" s="690"/>
      <c r="M25" s="690"/>
      <c r="N25" s="690"/>
      <c r="O25" s="691"/>
      <c r="P25" s="687" t="s">
        <v>40</v>
      </c>
      <c r="Q25" s="688"/>
      <c r="R25" s="688"/>
      <c r="S25" s="688"/>
      <c r="T25" s="688"/>
      <c r="U25" s="688"/>
      <c r="V25" s="689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">
      <c r="A26" s="690"/>
      <c r="B26" s="690"/>
      <c r="C26" s="690"/>
      <c r="D26" s="690"/>
      <c r="E26" s="690"/>
      <c r="F26" s="690"/>
      <c r="G26" s="690"/>
      <c r="H26" s="690"/>
      <c r="I26" s="690"/>
      <c r="J26" s="690"/>
      <c r="K26" s="690"/>
      <c r="L26" s="690"/>
      <c r="M26" s="690"/>
      <c r="N26" s="690"/>
      <c r="O26" s="691"/>
      <c r="P26" s="687" t="s">
        <v>40</v>
      </c>
      <c r="Q26" s="688"/>
      <c r="R26" s="688"/>
      <c r="S26" s="688"/>
      <c r="T26" s="688"/>
      <c r="U26" s="688"/>
      <c r="V26" s="689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80" t="s">
        <v>90</v>
      </c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0"/>
      <c r="P27" s="680"/>
      <c r="Q27" s="680"/>
      <c r="R27" s="680"/>
      <c r="S27" s="680"/>
      <c r="T27" s="680"/>
      <c r="U27" s="680"/>
      <c r="V27" s="680"/>
      <c r="W27" s="680"/>
      <c r="X27" s="680"/>
      <c r="Y27" s="680"/>
      <c r="Z27" s="680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81">
        <v>4680115885912</v>
      </c>
      <c r="E28" s="68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69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83"/>
      <c r="R28" s="683"/>
      <c r="S28" s="683"/>
      <c r="T28" s="68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81">
        <v>4607091388237</v>
      </c>
      <c r="E29" s="681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6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83"/>
      <c r="R29" s="683"/>
      <c r="S29" s="683"/>
      <c r="T29" s="68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81">
        <v>4680115887350</v>
      </c>
      <c r="E30" s="68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69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83"/>
      <c r="R30" s="683"/>
      <c r="S30" s="683"/>
      <c r="T30" s="68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81">
        <v>4680115886230</v>
      </c>
      <c r="E31" s="681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69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83"/>
      <c r="R31" s="683"/>
      <c r="S31" s="683"/>
      <c r="T31" s="68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81">
        <v>4680115886278</v>
      </c>
      <c r="E32" s="681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69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83"/>
      <c r="R32" s="683"/>
      <c r="S32" s="683"/>
      <c r="T32" s="68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81">
        <v>4680115886247</v>
      </c>
      <c r="E33" s="681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69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83"/>
      <c r="R33" s="683"/>
      <c r="S33" s="683"/>
      <c r="T33" s="684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81">
        <v>4680115885905</v>
      </c>
      <c r="E34" s="681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69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83"/>
      <c r="R34" s="683"/>
      <c r="S34" s="683"/>
      <c r="T34" s="684"/>
      <c r="U34" s="39" t="s">
        <v>46</v>
      </c>
      <c r="V34" s="39" t="s">
        <v>46</v>
      </c>
      <c r="W34" s="40" t="s">
        <v>0</v>
      </c>
      <c r="X34" s="58">
        <v>90</v>
      </c>
      <c r="Y34" s="55">
        <f t="shared" si="0"/>
        <v>90</v>
      </c>
      <c r="Z34" s="41">
        <f t="shared" si="1"/>
        <v>0.32550000000000001</v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159</v>
      </c>
      <c r="BN34" s="78">
        <f t="shared" si="3"/>
        <v>159</v>
      </c>
      <c r="BO34" s="78">
        <f t="shared" si="4"/>
        <v>0.27472527472527475</v>
      </c>
      <c r="BP34" s="78">
        <f t="shared" si="5"/>
        <v>0.27472527472527475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81">
        <v>4680115887657</v>
      </c>
      <c r="E35" s="681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6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83"/>
      <c r="R35" s="683"/>
      <c r="S35" s="683"/>
      <c r="T35" s="684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81">
        <v>4680115887619</v>
      </c>
      <c r="E36" s="681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70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83"/>
      <c r="R36" s="683"/>
      <c r="S36" s="683"/>
      <c r="T36" s="684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">
      <c r="A37" s="690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691"/>
      <c r="P37" s="687" t="s">
        <v>40</v>
      </c>
      <c r="Q37" s="688"/>
      <c r="R37" s="688"/>
      <c r="S37" s="688"/>
      <c r="T37" s="688"/>
      <c r="U37" s="688"/>
      <c r="V37" s="689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50</v>
      </c>
      <c r="Y37" s="43">
        <f>IFERROR(Y28/H28,"0")+IFERROR(Y29/H29,"0")+IFERROR(Y30/H30,"0")+IFERROR(Y31/H31,"0")+IFERROR(Y32/H32,"0")+IFERROR(Y33/H33,"0")+IFERROR(Y34/H34,"0")+IFERROR(Y35/H35,"0")+IFERROR(Y36/H36,"0")</f>
        <v>50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0.32550000000000001</v>
      </c>
      <c r="AA37" s="67"/>
      <c r="AB37" s="67"/>
      <c r="AC37" s="67"/>
    </row>
    <row r="38" spans="1:68" x14ac:dyDescent="0.2">
      <c r="A38" s="690"/>
      <c r="B38" s="690"/>
      <c r="C38" s="690"/>
      <c r="D38" s="690"/>
      <c r="E38" s="690"/>
      <c r="F38" s="690"/>
      <c r="G38" s="690"/>
      <c r="H38" s="690"/>
      <c r="I38" s="690"/>
      <c r="J38" s="690"/>
      <c r="K38" s="690"/>
      <c r="L38" s="690"/>
      <c r="M38" s="690"/>
      <c r="N38" s="690"/>
      <c r="O38" s="691"/>
      <c r="P38" s="687" t="s">
        <v>40</v>
      </c>
      <c r="Q38" s="688"/>
      <c r="R38" s="688"/>
      <c r="S38" s="688"/>
      <c r="T38" s="688"/>
      <c r="U38" s="688"/>
      <c r="V38" s="689"/>
      <c r="W38" s="42" t="s">
        <v>0</v>
      </c>
      <c r="X38" s="43">
        <f>IFERROR(SUM(X28:X36),"0")</f>
        <v>90</v>
      </c>
      <c r="Y38" s="43">
        <f>IFERROR(SUM(Y28:Y36),"0")</f>
        <v>90</v>
      </c>
      <c r="Z38" s="42"/>
      <c r="AA38" s="67"/>
      <c r="AB38" s="67"/>
      <c r="AC38" s="67"/>
    </row>
    <row r="39" spans="1:68" ht="14.25" customHeight="1" x14ac:dyDescent="0.25">
      <c r="A39" s="680" t="s">
        <v>118</v>
      </c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0"/>
      <c r="V39" s="680"/>
      <c r="W39" s="680"/>
      <c r="X39" s="680"/>
      <c r="Y39" s="680"/>
      <c r="Z39" s="680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81">
        <v>4607091388503</v>
      </c>
      <c r="E40" s="681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70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83"/>
      <c r="R40" s="683"/>
      <c r="S40" s="683"/>
      <c r="T40" s="68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1"/>
      <c r="P41" s="687" t="s">
        <v>40</v>
      </c>
      <c r="Q41" s="688"/>
      <c r="R41" s="688"/>
      <c r="S41" s="688"/>
      <c r="T41" s="688"/>
      <c r="U41" s="688"/>
      <c r="V41" s="689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1"/>
      <c r="P42" s="687" t="s">
        <v>40</v>
      </c>
      <c r="Q42" s="688"/>
      <c r="R42" s="688"/>
      <c r="S42" s="688"/>
      <c r="T42" s="688"/>
      <c r="U42" s="688"/>
      <c r="V42" s="689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">
      <c r="A43" s="678" t="s">
        <v>45</v>
      </c>
      <c r="B43" s="678"/>
      <c r="C43" s="678"/>
      <c r="D43" s="678"/>
      <c r="E43" s="678"/>
      <c r="F43" s="678"/>
      <c r="G43" s="678"/>
      <c r="H43" s="678"/>
      <c r="I43" s="678"/>
      <c r="J43" s="678"/>
      <c r="K43" s="678"/>
      <c r="L43" s="678"/>
      <c r="M43" s="678"/>
      <c r="N43" s="678"/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54"/>
      <c r="AB43" s="54"/>
      <c r="AC43" s="54"/>
    </row>
    <row r="44" spans="1:68" ht="16.5" customHeight="1" x14ac:dyDescent="0.25">
      <c r="A44" s="679" t="s">
        <v>124</v>
      </c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  <c r="AA44" s="65"/>
      <c r="AB44" s="65"/>
      <c r="AC44" s="79"/>
    </row>
    <row r="45" spans="1:68" ht="14.25" customHeight="1" x14ac:dyDescent="0.25">
      <c r="A45" s="680" t="s">
        <v>90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81">
        <v>4680115888463</v>
      </c>
      <c r="E46" s="68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7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83"/>
      <c r="R46" s="683"/>
      <c r="S46" s="683"/>
      <c r="T46" s="68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81">
        <v>4680115888494</v>
      </c>
      <c r="E47" s="681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70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83"/>
      <c r="R47" s="683"/>
      <c r="S47" s="683"/>
      <c r="T47" s="68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81">
        <v>4680115888272</v>
      </c>
      <c r="E48" s="681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7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83"/>
      <c r="R48" s="683"/>
      <c r="S48" s="683"/>
      <c r="T48" s="68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81">
        <v>4680115888364</v>
      </c>
      <c r="E49" s="681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7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83"/>
      <c r="R49" s="683"/>
      <c r="S49" s="683"/>
      <c r="T49" s="68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690"/>
      <c r="N50" s="690"/>
      <c r="O50" s="691"/>
      <c r="P50" s="687" t="s">
        <v>40</v>
      </c>
      <c r="Q50" s="688"/>
      <c r="R50" s="688"/>
      <c r="S50" s="688"/>
      <c r="T50" s="688"/>
      <c r="U50" s="688"/>
      <c r="V50" s="689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690"/>
      <c r="N51" s="690"/>
      <c r="O51" s="691"/>
      <c r="P51" s="687" t="s">
        <v>40</v>
      </c>
      <c r="Q51" s="688"/>
      <c r="R51" s="688"/>
      <c r="S51" s="688"/>
      <c r="T51" s="688"/>
      <c r="U51" s="688"/>
      <c r="V51" s="689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">
      <c r="A52" s="678" t="s">
        <v>137</v>
      </c>
      <c r="B52" s="678"/>
      <c r="C52" s="678"/>
      <c r="D52" s="678"/>
      <c r="E52" s="678"/>
      <c r="F52" s="678"/>
      <c r="G52" s="678"/>
      <c r="H52" s="678"/>
      <c r="I52" s="678"/>
      <c r="J52" s="678"/>
      <c r="K52" s="678"/>
      <c r="L52" s="678"/>
      <c r="M52" s="678"/>
      <c r="N52" s="678"/>
      <c r="O52" s="678"/>
      <c r="P52" s="678"/>
      <c r="Q52" s="678"/>
      <c r="R52" s="678"/>
      <c r="S52" s="678"/>
      <c r="T52" s="678"/>
      <c r="U52" s="678"/>
      <c r="V52" s="678"/>
      <c r="W52" s="678"/>
      <c r="X52" s="678"/>
      <c r="Y52" s="678"/>
      <c r="Z52" s="678"/>
      <c r="AA52" s="54"/>
      <c r="AB52" s="54"/>
      <c r="AC52" s="54"/>
    </row>
    <row r="53" spans="1:68" ht="16.5" customHeight="1" x14ac:dyDescent="0.25">
      <c r="A53" s="679" t="s">
        <v>138</v>
      </c>
      <c r="B53" s="679"/>
      <c r="C53" s="679"/>
      <c r="D53" s="679"/>
      <c r="E53" s="679"/>
      <c r="F53" s="679"/>
      <c r="G53" s="679"/>
      <c r="H53" s="679"/>
      <c r="I53" s="679"/>
      <c r="J53" s="679"/>
      <c r="K53" s="679"/>
      <c r="L53" s="679"/>
      <c r="M53" s="679"/>
      <c r="N53" s="679"/>
      <c r="O53" s="679"/>
      <c r="P53" s="679"/>
      <c r="Q53" s="679"/>
      <c r="R53" s="679"/>
      <c r="S53" s="679"/>
      <c r="T53" s="679"/>
      <c r="U53" s="679"/>
      <c r="V53" s="679"/>
      <c r="W53" s="679"/>
      <c r="X53" s="679"/>
      <c r="Y53" s="679"/>
      <c r="Z53" s="679"/>
      <c r="AA53" s="65"/>
      <c r="AB53" s="65"/>
      <c r="AC53" s="79"/>
    </row>
    <row r="54" spans="1:68" ht="14.25" customHeight="1" x14ac:dyDescent="0.25">
      <c r="A54" s="680" t="s">
        <v>139</v>
      </c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0"/>
      <c r="P54" s="680"/>
      <c r="Q54" s="680"/>
      <c r="R54" s="680"/>
      <c r="S54" s="680"/>
      <c r="T54" s="680"/>
      <c r="U54" s="680"/>
      <c r="V54" s="680"/>
      <c r="W54" s="680"/>
      <c r="X54" s="680"/>
      <c r="Y54" s="680"/>
      <c r="Z54" s="680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81">
        <v>4607091385670</v>
      </c>
      <c r="E55" s="681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7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83"/>
      <c r="R55" s="683"/>
      <c r="S55" s="683"/>
      <c r="T55" s="68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81">
        <v>4680115887725</v>
      </c>
      <c r="E56" s="681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70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83"/>
      <c r="R56" s="683"/>
      <c r="S56" s="683"/>
      <c r="T56" s="684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81">
        <v>4607091385687</v>
      </c>
      <c r="E57" s="681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7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83"/>
      <c r="R57" s="683"/>
      <c r="S57" s="683"/>
      <c r="T57" s="684"/>
      <c r="U57" s="39" t="s">
        <v>46</v>
      </c>
      <c r="V57" s="39" t="s">
        <v>46</v>
      </c>
      <c r="W57" s="40" t="s">
        <v>0</v>
      </c>
      <c r="X57" s="58">
        <v>84</v>
      </c>
      <c r="Y57" s="55">
        <f>IFERROR(IF(X57="",0,CEILING((X57/$H57),1)*$H57),"")</f>
        <v>84</v>
      </c>
      <c r="Z57" s="41">
        <f>IFERROR(IF(Y57=0,"",ROUNDUP(Y57/H57,0)*0.00902),"")</f>
        <v>0.18942000000000001</v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87.990000000000009</v>
      </c>
      <c r="BN57" s="78">
        <f>IFERROR(Y57*I57/H57,"0")</f>
        <v>87.990000000000009</v>
      </c>
      <c r="BO57" s="78">
        <f>IFERROR(1/J57*(X57/H57),"0")</f>
        <v>0.15909090909090909</v>
      </c>
      <c r="BP57" s="78">
        <f>IFERROR(1/J57*(Y57/H57),"0")</f>
        <v>0.15909090909090909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81">
        <v>4680115882539</v>
      </c>
      <c r="E58" s="681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83"/>
      <c r="R58" s="683"/>
      <c r="S58" s="683"/>
      <c r="T58" s="684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">
      <c r="A59" s="690"/>
      <c r="B59" s="690"/>
      <c r="C59" s="690"/>
      <c r="D59" s="690"/>
      <c r="E59" s="690"/>
      <c r="F59" s="690"/>
      <c r="G59" s="690"/>
      <c r="H59" s="690"/>
      <c r="I59" s="690"/>
      <c r="J59" s="690"/>
      <c r="K59" s="690"/>
      <c r="L59" s="690"/>
      <c r="M59" s="690"/>
      <c r="N59" s="690"/>
      <c r="O59" s="691"/>
      <c r="P59" s="687" t="s">
        <v>40</v>
      </c>
      <c r="Q59" s="688"/>
      <c r="R59" s="688"/>
      <c r="S59" s="688"/>
      <c r="T59" s="688"/>
      <c r="U59" s="688"/>
      <c r="V59" s="689"/>
      <c r="W59" s="42" t="s">
        <v>39</v>
      </c>
      <c r="X59" s="43">
        <f>IFERROR(X55/H55,"0")+IFERROR(X56/H56,"0")+IFERROR(X57/H57,"0")+IFERROR(X58/H58,"0")</f>
        <v>21</v>
      </c>
      <c r="Y59" s="43">
        <f>IFERROR(Y55/H55,"0")+IFERROR(Y56/H56,"0")+IFERROR(Y57/H57,"0")+IFERROR(Y58/H58,"0")</f>
        <v>21</v>
      </c>
      <c r="Z59" s="43">
        <f>IFERROR(IF(Z55="",0,Z55),"0")+IFERROR(IF(Z56="",0,Z56),"0")+IFERROR(IF(Z57="",0,Z57),"0")+IFERROR(IF(Z58="",0,Z58),"0")</f>
        <v>0.18942000000000001</v>
      </c>
      <c r="AA59" s="67"/>
      <c r="AB59" s="67"/>
      <c r="AC59" s="67"/>
    </row>
    <row r="60" spans="1:68" x14ac:dyDescent="0.2">
      <c r="A60" s="690"/>
      <c r="B60" s="690"/>
      <c r="C60" s="690"/>
      <c r="D60" s="690"/>
      <c r="E60" s="690"/>
      <c r="F60" s="690"/>
      <c r="G60" s="690"/>
      <c r="H60" s="690"/>
      <c r="I60" s="690"/>
      <c r="J60" s="690"/>
      <c r="K60" s="690"/>
      <c r="L60" s="690"/>
      <c r="M60" s="690"/>
      <c r="N60" s="690"/>
      <c r="O60" s="691"/>
      <c r="P60" s="687" t="s">
        <v>40</v>
      </c>
      <c r="Q60" s="688"/>
      <c r="R60" s="688"/>
      <c r="S60" s="688"/>
      <c r="T60" s="688"/>
      <c r="U60" s="688"/>
      <c r="V60" s="689"/>
      <c r="W60" s="42" t="s">
        <v>0</v>
      </c>
      <c r="X60" s="43">
        <f>IFERROR(SUM(X55:X58),"0")</f>
        <v>84</v>
      </c>
      <c r="Y60" s="43">
        <f>IFERROR(SUM(Y55:Y58),"0")</f>
        <v>84</v>
      </c>
      <c r="Z60" s="42"/>
      <c r="AA60" s="67"/>
      <c r="AB60" s="67"/>
      <c r="AC60" s="67"/>
    </row>
    <row r="61" spans="1:68" ht="16.5" customHeight="1" x14ac:dyDescent="0.25">
      <c r="A61" s="679" t="s">
        <v>154</v>
      </c>
      <c r="B61" s="679"/>
      <c r="C61" s="679"/>
      <c r="D61" s="679"/>
      <c r="E61" s="679"/>
      <c r="F61" s="679"/>
      <c r="G61" s="679"/>
      <c r="H61" s="679"/>
      <c r="I61" s="679"/>
      <c r="J61" s="679"/>
      <c r="K61" s="679"/>
      <c r="L61" s="679"/>
      <c r="M61" s="679"/>
      <c r="N61" s="679"/>
      <c r="O61" s="679"/>
      <c r="P61" s="679"/>
      <c r="Q61" s="679"/>
      <c r="R61" s="679"/>
      <c r="S61" s="679"/>
      <c r="T61" s="679"/>
      <c r="U61" s="679"/>
      <c r="V61" s="679"/>
      <c r="W61" s="679"/>
      <c r="X61" s="679"/>
      <c r="Y61" s="679"/>
      <c r="Z61" s="679"/>
      <c r="AA61" s="65"/>
      <c r="AB61" s="65"/>
      <c r="AC61" s="79"/>
    </row>
    <row r="62" spans="1:68" ht="14.25" customHeight="1" x14ac:dyDescent="0.25">
      <c r="A62" s="680" t="s">
        <v>139</v>
      </c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0"/>
      <c r="W62" s="680"/>
      <c r="X62" s="680"/>
      <c r="Y62" s="680"/>
      <c r="Z62" s="680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81">
        <v>4680115885882</v>
      </c>
      <c r="E63" s="681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71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83"/>
      <c r="R63" s="683"/>
      <c r="S63" s="683"/>
      <c r="T63" s="68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81">
        <v>4680115885882</v>
      </c>
      <c r="E64" s="681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71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83"/>
      <c r="R64" s="683"/>
      <c r="S64" s="683"/>
      <c r="T64" s="68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81">
        <v>4680115881426</v>
      </c>
      <c r="E65" s="68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83"/>
      <c r="R65" s="683"/>
      <c r="S65" s="683"/>
      <c r="T65" s="68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81">
        <v>4680115880283</v>
      </c>
      <c r="E66" s="681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7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83"/>
      <c r="R66" s="683"/>
      <c r="S66" s="683"/>
      <c r="T66" s="68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81">
        <v>4680115881525</v>
      </c>
      <c r="E67" s="681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7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83"/>
      <c r="R67" s="683"/>
      <c r="S67" s="683"/>
      <c r="T67" s="684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81">
        <v>4680115885899</v>
      </c>
      <c r="E68" s="681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71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83"/>
      <c r="R68" s="683"/>
      <c r="S68" s="683"/>
      <c r="T68" s="684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81">
        <v>4680115881419</v>
      </c>
      <c r="E69" s="681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7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83"/>
      <c r="R69" s="683"/>
      <c r="S69" s="683"/>
      <c r="T69" s="684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">
      <c r="A70" s="690"/>
      <c r="B70" s="690"/>
      <c r="C70" s="690"/>
      <c r="D70" s="690"/>
      <c r="E70" s="690"/>
      <c r="F70" s="690"/>
      <c r="G70" s="690"/>
      <c r="H70" s="690"/>
      <c r="I70" s="690"/>
      <c r="J70" s="690"/>
      <c r="K70" s="690"/>
      <c r="L70" s="690"/>
      <c r="M70" s="690"/>
      <c r="N70" s="690"/>
      <c r="O70" s="691"/>
      <c r="P70" s="687" t="s">
        <v>40</v>
      </c>
      <c r="Q70" s="688"/>
      <c r="R70" s="688"/>
      <c r="S70" s="688"/>
      <c r="T70" s="688"/>
      <c r="U70" s="688"/>
      <c r="V70" s="689"/>
      <c r="W70" s="42" t="s">
        <v>39</v>
      </c>
      <c r="X70" s="43">
        <f>IFERROR(X63/H63,"0")+IFERROR(X64/H64,"0")+IFERROR(X65/H65,"0")+IFERROR(X66/H66,"0")+IFERROR(X67/H67,"0")+IFERROR(X68/H68,"0")+IFERROR(X69/H69,"0")</f>
        <v>0</v>
      </c>
      <c r="Y70" s="43">
        <f>IFERROR(Y63/H63,"0")+IFERROR(Y64/H64,"0")+IFERROR(Y65/H65,"0")+IFERROR(Y66/H66,"0")+IFERROR(Y67/H67,"0")+IFERROR(Y68/H68,"0")+IFERROR(Y69/H69,"0")</f>
        <v>0</v>
      </c>
      <c r="Z70" s="43">
        <f>IFERROR(IF(Z63="",0,Z63),"0")+IFERROR(IF(Z64="",0,Z64),"0")+IFERROR(IF(Z65="",0,Z65),"0")+IFERROR(IF(Z66="",0,Z66),"0")+IFERROR(IF(Z67="",0,Z67),"0")+IFERROR(IF(Z68="",0,Z68),"0")+IFERROR(IF(Z69="",0,Z69),"0")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90"/>
      <c r="B71" s="690"/>
      <c r="C71" s="690"/>
      <c r="D71" s="690"/>
      <c r="E71" s="690"/>
      <c r="F71" s="690"/>
      <c r="G71" s="690"/>
      <c r="H71" s="690"/>
      <c r="I71" s="690"/>
      <c r="J71" s="690"/>
      <c r="K71" s="690"/>
      <c r="L71" s="690"/>
      <c r="M71" s="690"/>
      <c r="N71" s="690"/>
      <c r="O71" s="691"/>
      <c r="P71" s="687" t="s">
        <v>40</v>
      </c>
      <c r="Q71" s="688"/>
      <c r="R71" s="688"/>
      <c r="S71" s="688"/>
      <c r="T71" s="688"/>
      <c r="U71" s="688"/>
      <c r="V71" s="689"/>
      <c r="W71" s="42" t="s">
        <v>0</v>
      </c>
      <c r="X71" s="43">
        <f>IFERROR(SUM(X63:X69),"0")</f>
        <v>0</v>
      </c>
      <c r="Y71" s="43">
        <f>IFERROR(SUM(Y63:Y69),"0")</f>
        <v>0</v>
      </c>
      <c r="Z71" s="42"/>
      <c r="AA71" s="67"/>
      <c r="AB71" s="67"/>
      <c r="AC71" s="67"/>
    </row>
    <row r="72" spans="1:68" ht="14.25" customHeight="1" x14ac:dyDescent="0.25">
      <c r="A72" s="680" t="s">
        <v>174</v>
      </c>
      <c r="B72" s="680"/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680"/>
      <c r="Q72" s="680"/>
      <c r="R72" s="680"/>
      <c r="S72" s="680"/>
      <c r="T72" s="680"/>
      <c r="U72" s="680"/>
      <c r="V72" s="680"/>
      <c r="W72" s="680"/>
      <c r="X72" s="680"/>
      <c r="Y72" s="680"/>
      <c r="Z72" s="680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81">
        <v>4680115881440</v>
      </c>
      <c r="E73" s="681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71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83"/>
      <c r="R73" s="683"/>
      <c r="S73" s="683"/>
      <c r="T73" s="68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81">
        <v>4680115885950</v>
      </c>
      <c r="E74" s="681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7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83"/>
      <c r="R74" s="683"/>
      <c r="S74" s="683"/>
      <c r="T74" s="68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81">
        <v>4680115887688</v>
      </c>
      <c r="E75" s="681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7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83"/>
      <c r="R75" s="683"/>
      <c r="S75" s="683"/>
      <c r="T75" s="684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81">
        <v>4680115881433</v>
      </c>
      <c r="E76" s="681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7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83"/>
      <c r="R76" s="683"/>
      <c r="S76" s="683"/>
      <c r="T76" s="684"/>
      <c r="U76" s="39" t="s">
        <v>46</v>
      </c>
      <c r="V76" s="39" t="s">
        <v>46</v>
      </c>
      <c r="W76" s="40" t="s">
        <v>0</v>
      </c>
      <c r="X76" s="58">
        <v>76.05</v>
      </c>
      <c r="Y76" s="55">
        <f>IFERROR(IF(X76="",0,CEILING((X76/$H76),1)*$H76),"")</f>
        <v>78.300000000000011</v>
      </c>
      <c r="Z76" s="41">
        <f>IFERROR(IF(Y76=0,"",ROUNDUP(Y76/H76,0)*0.00651),"")</f>
        <v>0.18879000000000001</v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81.11999999999999</v>
      </c>
      <c r="BN76" s="78">
        <f>IFERROR(Y76*I76/H76,"0")</f>
        <v>83.52</v>
      </c>
      <c r="BO76" s="78">
        <f>IFERROR(1/J76*(X76/H76),"0")</f>
        <v>0.15476190476190477</v>
      </c>
      <c r="BP76" s="78">
        <f>IFERROR(1/J76*(Y76/H76),"0")</f>
        <v>0.15934065934065939</v>
      </c>
    </row>
    <row r="77" spans="1:68" x14ac:dyDescent="0.2">
      <c r="A77" s="690"/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L77" s="690"/>
      <c r="M77" s="690"/>
      <c r="N77" s="690"/>
      <c r="O77" s="691"/>
      <c r="P77" s="687" t="s">
        <v>40</v>
      </c>
      <c r="Q77" s="688"/>
      <c r="R77" s="688"/>
      <c r="S77" s="688"/>
      <c r="T77" s="688"/>
      <c r="U77" s="688"/>
      <c r="V77" s="689"/>
      <c r="W77" s="42" t="s">
        <v>39</v>
      </c>
      <c r="X77" s="43">
        <f>IFERROR(X73/H73,"0")+IFERROR(X74/H74,"0")+IFERROR(X75/H75,"0")+IFERROR(X76/H76,"0")</f>
        <v>28.166666666666664</v>
      </c>
      <c r="Y77" s="43">
        <f>IFERROR(Y73/H73,"0")+IFERROR(Y74/H74,"0")+IFERROR(Y75/H75,"0")+IFERROR(Y76/H76,"0")</f>
        <v>29.000000000000004</v>
      </c>
      <c r="Z77" s="43">
        <f>IFERROR(IF(Z73="",0,Z73),"0")+IFERROR(IF(Z74="",0,Z74),"0")+IFERROR(IF(Z75="",0,Z75),"0")+IFERROR(IF(Z76="",0,Z76),"0")</f>
        <v>0.18879000000000001</v>
      </c>
      <c r="AA77" s="67"/>
      <c r="AB77" s="67"/>
      <c r="AC77" s="67"/>
    </row>
    <row r="78" spans="1:68" x14ac:dyDescent="0.2">
      <c r="A78" s="690"/>
      <c r="B78" s="690"/>
      <c r="C78" s="690"/>
      <c r="D78" s="690"/>
      <c r="E78" s="690"/>
      <c r="F78" s="690"/>
      <c r="G78" s="690"/>
      <c r="H78" s="690"/>
      <c r="I78" s="690"/>
      <c r="J78" s="690"/>
      <c r="K78" s="690"/>
      <c r="L78" s="690"/>
      <c r="M78" s="690"/>
      <c r="N78" s="690"/>
      <c r="O78" s="691"/>
      <c r="P78" s="687" t="s">
        <v>40</v>
      </c>
      <c r="Q78" s="688"/>
      <c r="R78" s="688"/>
      <c r="S78" s="688"/>
      <c r="T78" s="688"/>
      <c r="U78" s="688"/>
      <c r="V78" s="689"/>
      <c r="W78" s="42" t="s">
        <v>0</v>
      </c>
      <c r="X78" s="43">
        <f>IFERROR(SUM(X73:X76),"0")</f>
        <v>76.05</v>
      </c>
      <c r="Y78" s="43">
        <f>IFERROR(SUM(Y73:Y76),"0")</f>
        <v>78.300000000000011</v>
      </c>
      <c r="Z78" s="42"/>
      <c r="AA78" s="67"/>
      <c r="AB78" s="67"/>
      <c r="AC78" s="67"/>
    </row>
    <row r="79" spans="1:68" ht="14.25" customHeight="1" x14ac:dyDescent="0.25">
      <c r="A79" s="680" t="s">
        <v>90</v>
      </c>
      <c r="B79" s="680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81">
        <v>4680115884311</v>
      </c>
      <c r="E80" s="681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7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83"/>
      <c r="R80" s="683"/>
      <c r="S80" s="683"/>
      <c r="T80" s="684"/>
      <c r="U80" s="39" t="s">
        <v>46</v>
      </c>
      <c r="V80" s="39" t="s">
        <v>46</v>
      </c>
      <c r="W80" s="40" t="s">
        <v>0</v>
      </c>
      <c r="X80" s="58">
        <v>75</v>
      </c>
      <c r="Y80" s="55">
        <f>IFERROR(IF(X80="",0,CEILING((X80/$H80),1)*$H80),"")</f>
        <v>75.600000000000009</v>
      </c>
      <c r="Z80" s="41">
        <f>IFERROR(IF(Y80=0,"",ROUNDUP(Y80/H80,0)*0.00651),"")</f>
        <v>0.27342</v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85.249999999999986</v>
      </c>
      <c r="BN80" s="78">
        <f>IFERROR(Y80*I80/H80,"0")</f>
        <v>85.932000000000002</v>
      </c>
      <c r="BO80" s="78">
        <f>IFERROR(1/J80*(X80/H80),"0")</f>
        <v>0.22893772893772893</v>
      </c>
      <c r="BP80" s="78">
        <f>IFERROR(1/J80*(Y80/H80),"0")</f>
        <v>0.23076923076923084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81">
        <v>4680115884403</v>
      </c>
      <c r="E81" s="681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7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83"/>
      <c r="R81" s="683"/>
      <c r="S81" s="683"/>
      <c r="T81" s="684"/>
      <c r="U81" s="39" t="s">
        <v>46</v>
      </c>
      <c r="V81" s="39" t="s">
        <v>46</v>
      </c>
      <c r="W81" s="40" t="s">
        <v>0</v>
      </c>
      <c r="X81" s="58">
        <v>75</v>
      </c>
      <c r="Y81" s="55">
        <f>IFERROR(IF(X81="",0,CEILING((X81/$H81),1)*$H81),"")</f>
        <v>75.600000000000009</v>
      </c>
      <c r="Z81" s="41">
        <f>IFERROR(IF(Y81=0,"",ROUNDUP(Y81/H81,0)*0.00651),"")</f>
        <v>0.27342</v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82.5</v>
      </c>
      <c r="BN81" s="78">
        <f>IFERROR(Y81*I81/H81,"0")</f>
        <v>83.160000000000011</v>
      </c>
      <c r="BO81" s="78">
        <f>IFERROR(1/J81*(X81/H81),"0")</f>
        <v>0.22893772893772893</v>
      </c>
      <c r="BP81" s="78">
        <f>IFERROR(1/J81*(Y81/H81),"0")</f>
        <v>0.23076923076923084</v>
      </c>
    </row>
    <row r="82" spans="1:68" x14ac:dyDescent="0.2">
      <c r="A82" s="690"/>
      <c r="B82" s="690"/>
      <c r="C82" s="690"/>
      <c r="D82" s="690"/>
      <c r="E82" s="690"/>
      <c r="F82" s="690"/>
      <c r="G82" s="690"/>
      <c r="H82" s="690"/>
      <c r="I82" s="690"/>
      <c r="J82" s="690"/>
      <c r="K82" s="690"/>
      <c r="L82" s="690"/>
      <c r="M82" s="690"/>
      <c r="N82" s="690"/>
      <c r="O82" s="691"/>
      <c r="P82" s="687" t="s">
        <v>40</v>
      </c>
      <c r="Q82" s="688"/>
      <c r="R82" s="688"/>
      <c r="S82" s="688"/>
      <c r="T82" s="688"/>
      <c r="U82" s="688"/>
      <c r="V82" s="689"/>
      <c r="W82" s="42" t="s">
        <v>39</v>
      </c>
      <c r="X82" s="43">
        <f>IFERROR(X80/H80,"0")+IFERROR(X81/H81,"0")</f>
        <v>83.333333333333329</v>
      </c>
      <c r="Y82" s="43">
        <f>IFERROR(Y80/H80,"0")+IFERROR(Y81/H81,"0")</f>
        <v>84.000000000000014</v>
      </c>
      <c r="Z82" s="43">
        <f>IFERROR(IF(Z80="",0,Z80),"0")+IFERROR(IF(Z81="",0,Z81),"0")</f>
        <v>0.54683999999999999</v>
      </c>
      <c r="AA82" s="67"/>
      <c r="AB82" s="67"/>
      <c r="AC82" s="67"/>
    </row>
    <row r="83" spans="1:68" x14ac:dyDescent="0.2">
      <c r="A83" s="690"/>
      <c r="B83" s="690"/>
      <c r="C83" s="690"/>
      <c r="D83" s="690"/>
      <c r="E83" s="690"/>
      <c r="F83" s="690"/>
      <c r="G83" s="690"/>
      <c r="H83" s="690"/>
      <c r="I83" s="690"/>
      <c r="J83" s="690"/>
      <c r="K83" s="690"/>
      <c r="L83" s="690"/>
      <c r="M83" s="690"/>
      <c r="N83" s="690"/>
      <c r="O83" s="691"/>
      <c r="P83" s="687" t="s">
        <v>40</v>
      </c>
      <c r="Q83" s="688"/>
      <c r="R83" s="688"/>
      <c r="S83" s="688"/>
      <c r="T83" s="688"/>
      <c r="U83" s="688"/>
      <c r="V83" s="689"/>
      <c r="W83" s="42" t="s">
        <v>0</v>
      </c>
      <c r="X83" s="43">
        <f>IFERROR(SUM(X80:X81),"0")</f>
        <v>150</v>
      </c>
      <c r="Y83" s="43">
        <f>IFERROR(SUM(Y80:Y81),"0")</f>
        <v>151.20000000000002</v>
      </c>
      <c r="Z83" s="42"/>
      <c r="AA83" s="67"/>
      <c r="AB83" s="67"/>
      <c r="AC83" s="67"/>
    </row>
    <row r="84" spans="1:68" ht="14.25" customHeight="1" x14ac:dyDescent="0.25">
      <c r="A84" s="680" t="s">
        <v>191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81">
        <v>4680115881532</v>
      </c>
      <c r="E85" s="681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72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83"/>
      <c r="R85" s="683"/>
      <c r="S85" s="683"/>
      <c r="T85" s="68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81">
        <v>4680115881464</v>
      </c>
      <c r="E86" s="681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7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83"/>
      <c r="R86" s="683"/>
      <c r="S86" s="683"/>
      <c r="T86" s="684"/>
      <c r="U86" s="39" t="s">
        <v>46</v>
      </c>
      <c r="V86" s="39" t="s">
        <v>46</v>
      </c>
      <c r="W86" s="40" t="s">
        <v>0</v>
      </c>
      <c r="X86" s="58">
        <v>48</v>
      </c>
      <c r="Y86" s="55">
        <f>IFERROR(IF(X86="",0,CEILING((X86/$H86),1)*$H86),"")</f>
        <v>48</v>
      </c>
      <c r="Z86" s="41">
        <f>IFERROR(IF(Y86=0,"",ROUNDUP(Y86/H86,0)*0.00902),"")</f>
        <v>0.1804</v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51.8</v>
      </c>
      <c r="BN86" s="78">
        <f>IFERROR(Y86*I86/H86,"0")</f>
        <v>51.8</v>
      </c>
      <c r="BO86" s="78">
        <f>IFERROR(1/J86*(X86/H86),"0")</f>
        <v>0.15151515151515152</v>
      </c>
      <c r="BP86" s="78">
        <f>IFERROR(1/J86*(Y86/H86),"0")</f>
        <v>0.15151515151515152</v>
      </c>
    </row>
    <row r="87" spans="1:68" x14ac:dyDescent="0.2">
      <c r="A87" s="690"/>
      <c r="B87" s="690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0"/>
      <c r="N87" s="690"/>
      <c r="O87" s="691"/>
      <c r="P87" s="687" t="s">
        <v>40</v>
      </c>
      <c r="Q87" s="688"/>
      <c r="R87" s="688"/>
      <c r="S87" s="688"/>
      <c r="T87" s="688"/>
      <c r="U87" s="688"/>
      <c r="V87" s="689"/>
      <c r="W87" s="42" t="s">
        <v>39</v>
      </c>
      <c r="X87" s="43">
        <f>IFERROR(X85/H85,"0")+IFERROR(X86/H86,"0")</f>
        <v>20</v>
      </c>
      <c r="Y87" s="43">
        <f>IFERROR(Y85/H85,"0")+IFERROR(Y86/H86,"0")</f>
        <v>20</v>
      </c>
      <c r="Z87" s="43">
        <f>IFERROR(IF(Z85="",0,Z85),"0")+IFERROR(IF(Z86="",0,Z86),"0")</f>
        <v>0.1804</v>
      </c>
      <c r="AA87" s="67"/>
      <c r="AB87" s="67"/>
      <c r="AC87" s="67"/>
    </row>
    <row r="88" spans="1:68" x14ac:dyDescent="0.2">
      <c r="A88" s="690"/>
      <c r="B88" s="690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0"/>
      <c r="N88" s="690"/>
      <c r="O88" s="691"/>
      <c r="P88" s="687" t="s">
        <v>40</v>
      </c>
      <c r="Q88" s="688"/>
      <c r="R88" s="688"/>
      <c r="S88" s="688"/>
      <c r="T88" s="688"/>
      <c r="U88" s="688"/>
      <c r="V88" s="689"/>
      <c r="W88" s="42" t="s">
        <v>0</v>
      </c>
      <c r="X88" s="43">
        <f>IFERROR(SUM(X85:X86),"0")</f>
        <v>48</v>
      </c>
      <c r="Y88" s="43">
        <f>IFERROR(SUM(Y85:Y86),"0")</f>
        <v>48</v>
      </c>
      <c r="Z88" s="42"/>
      <c r="AA88" s="67"/>
      <c r="AB88" s="67"/>
      <c r="AC88" s="67"/>
    </row>
    <row r="89" spans="1:68" ht="16.5" customHeight="1" x14ac:dyDescent="0.25">
      <c r="A89" s="679" t="s">
        <v>198</v>
      </c>
      <c r="B89" s="679"/>
      <c r="C89" s="679"/>
      <c r="D89" s="679"/>
      <c r="E89" s="679"/>
      <c r="F89" s="679"/>
      <c r="G89" s="679"/>
      <c r="H89" s="679"/>
      <c r="I89" s="679"/>
      <c r="J89" s="679"/>
      <c r="K89" s="679"/>
      <c r="L89" s="679"/>
      <c r="M89" s="679"/>
      <c r="N89" s="679"/>
      <c r="O89" s="679"/>
      <c r="P89" s="679"/>
      <c r="Q89" s="679"/>
      <c r="R89" s="679"/>
      <c r="S89" s="679"/>
      <c r="T89" s="679"/>
      <c r="U89" s="679"/>
      <c r="V89" s="679"/>
      <c r="W89" s="679"/>
      <c r="X89" s="679"/>
      <c r="Y89" s="679"/>
      <c r="Z89" s="679"/>
      <c r="AA89" s="65"/>
      <c r="AB89" s="65"/>
      <c r="AC89" s="79"/>
    </row>
    <row r="90" spans="1:68" ht="14.25" customHeight="1" x14ac:dyDescent="0.25">
      <c r="A90" s="680" t="s">
        <v>139</v>
      </c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0"/>
      <c r="P90" s="680"/>
      <c r="Q90" s="680"/>
      <c r="R90" s="680"/>
      <c r="S90" s="680"/>
      <c r="T90" s="680"/>
      <c r="U90" s="680"/>
      <c r="V90" s="680"/>
      <c r="W90" s="680"/>
      <c r="X90" s="680"/>
      <c r="Y90" s="680"/>
      <c r="Z90" s="680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81">
        <v>4680115881327</v>
      </c>
      <c r="E91" s="681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7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83"/>
      <c r="R91" s="683"/>
      <c r="S91" s="683"/>
      <c r="T91" s="68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81">
        <v>4680115887732</v>
      </c>
      <c r="E92" s="681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72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83"/>
      <c r="R92" s="683"/>
      <c r="S92" s="683"/>
      <c r="T92" s="684"/>
      <c r="U92" s="39" t="s">
        <v>46</v>
      </c>
      <c r="V92" s="39" t="s">
        <v>46</v>
      </c>
      <c r="W92" s="40" t="s">
        <v>0</v>
      </c>
      <c r="X92" s="58">
        <v>15.3</v>
      </c>
      <c r="Y92" s="55">
        <f>IFERROR(IF(X92="",0,CEILING((X92/$H92),1)*$H92),"")</f>
        <v>15.299999999999999</v>
      </c>
      <c r="Z92" s="41">
        <f>IFERROR(IF(Y92=0,"",ROUNDUP(Y92/H92,0)*0.00726),"")</f>
        <v>6.5339999999999995E-2</v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16.200000000000003</v>
      </c>
      <c r="BN92" s="78">
        <f>IFERROR(Y92*I92/H92,"0")</f>
        <v>16.2</v>
      </c>
      <c r="BO92" s="78">
        <f>IFERROR(1/J92*(X92/H92),"0")</f>
        <v>4.6875E-2</v>
      </c>
      <c r="BP92" s="78">
        <f>IFERROR(1/J92*(Y92/H92),"0")</f>
        <v>4.6875E-2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81">
        <v>4680115881518</v>
      </c>
      <c r="E93" s="681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83"/>
      <c r="R93" s="683"/>
      <c r="S93" s="683"/>
      <c r="T93" s="68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81">
        <v>4680115881303</v>
      </c>
      <c r="E94" s="681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83"/>
      <c r="R94" s="683"/>
      <c r="S94" s="683"/>
      <c r="T94" s="684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90"/>
      <c r="B95" s="690"/>
      <c r="C95" s="690"/>
      <c r="D95" s="690"/>
      <c r="E95" s="690"/>
      <c r="F95" s="690"/>
      <c r="G95" s="690"/>
      <c r="H95" s="690"/>
      <c r="I95" s="690"/>
      <c r="J95" s="690"/>
      <c r="K95" s="690"/>
      <c r="L95" s="690"/>
      <c r="M95" s="690"/>
      <c r="N95" s="690"/>
      <c r="O95" s="691"/>
      <c r="P95" s="687" t="s">
        <v>40</v>
      </c>
      <c r="Q95" s="688"/>
      <c r="R95" s="688"/>
      <c r="S95" s="688"/>
      <c r="T95" s="688"/>
      <c r="U95" s="688"/>
      <c r="V95" s="689"/>
      <c r="W95" s="42" t="s">
        <v>39</v>
      </c>
      <c r="X95" s="43">
        <f>IFERROR(X91/H91,"0")+IFERROR(X92/H92,"0")+IFERROR(X93/H93,"0")+IFERROR(X94/H94,"0")</f>
        <v>9</v>
      </c>
      <c r="Y95" s="43">
        <f>IFERROR(Y91/H91,"0")+IFERROR(Y92/H92,"0")+IFERROR(Y93/H93,"0")+IFERROR(Y94/H94,"0")</f>
        <v>9</v>
      </c>
      <c r="Z95" s="43">
        <f>IFERROR(IF(Z91="",0,Z91),"0")+IFERROR(IF(Z92="",0,Z92),"0")+IFERROR(IF(Z93="",0,Z93),"0")+IFERROR(IF(Z94="",0,Z94),"0")</f>
        <v>6.5339999999999995E-2</v>
      </c>
      <c r="AA95" s="67"/>
      <c r="AB95" s="67"/>
      <c r="AC95" s="67"/>
    </row>
    <row r="96" spans="1:68" x14ac:dyDescent="0.2">
      <c r="A96" s="690"/>
      <c r="B96" s="690"/>
      <c r="C96" s="690"/>
      <c r="D96" s="690"/>
      <c r="E96" s="690"/>
      <c r="F96" s="690"/>
      <c r="G96" s="690"/>
      <c r="H96" s="690"/>
      <c r="I96" s="690"/>
      <c r="J96" s="690"/>
      <c r="K96" s="690"/>
      <c r="L96" s="690"/>
      <c r="M96" s="690"/>
      <c r="N96" s="690"/>
      <c r="O96" s="691"/>
      <c r="P96" s="687" t="s">
        <v>40</v>
      </c>
      <c r="Q96" s="688"/>
      <c r="R96" s="688"/>
      <c r="S96" s="688"/>
      <c r="T96" s="688"/>
      <c r="U96" s="688"/>
      <c r="V96" s="689"/>
      <c r="W96" s="42" t="s">
        <v>0</v>
      </c>
      <c r="X96" s="43">
        <f>IFERROR(SUM(X91:X94),"0")</f>
        <v>15.3</v>
      </c>
      <c r="Y96" s="43">
        <f>IFERROR(SUM(Y91:Y94),"0")</f>
        <v>15.299999999999999</v>
      </c>
      <c r="Z96" s="42"/>
      <c r="AA96" s="67"/>
      <c r="AB96" s="67"/>
      <c r="AC96" s="67"/>
    </row>
    <row r="97" spans="1:68" ht="14.25" customHeight="1" x14ac:dyDescent="0.25">
      <c r="A97" s="680" t="s">
        <v>90</v>
      </c>
      <c r="B97" s="680"/>
      <c r="C97" s="680"/>
      <c r="D97" s="680"/>
      <c r="E97" s="680"/>
      <c r="F97" s="680"/>
      <c r="G97" s="680"/>
      <c r="H97" s="680"/>
      <c r="I97" s="680"/>
      <c r="J97" s="680"/>
      <c r="K97" s="680"/>
      <c r="L97" s="680"/>
      <c r="M97" s="680"/>
      <c r="N97" s="680"/>
      <c r="O97" s="680"/>
      <c r="P97" s="680"/>
      <c r="Q97" s="680"/>
      <c r="R97" s="680"/>
      <c r="S97" s="680"/>
      <c r="T97" s="680"/>
      <c r="U97" s="680"/>
      <c r="V97" s="680"/>
      <c r="W97" s="680"/>
      <c r="X97" s="680"/>
      <c r="Y97" s="680"/>
      <c r="Z97" s="680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81">
        <v>4607091386967</v>
      </c>
      <c r="E98" s="681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72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83"/>
      <c r="R98" s="683"/>
      <c r="S98" s="683"/>
      <c r="T98" s="68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81">
        <v>4680115884953</v>
      </c>
      <c r="E99" s="681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73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83"/>
      <c r="R99" s="683"/>
      <c r="S99" s="683"/>
      <c r="T99" s="684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81">
        <v>4607091385731</v>
      </c>
      <c r="E100" s="681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7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83"/>
      <c r="R100" s="683"/>
      <c r="S100" s="683"/>
      <c r="T100" s="684"/>
      <c r="U100" s="39" t="s">
        <v>46</v>
      </c>
      <c r="V100" s="39" t="s">
        <v>46</v>
      </c>
      <c r="W100" s="40" t="s">
        <v>0</v>
      </c>
      <c r="X100" s="58">
        <v>81</v>
      </c>
      <c r="Y100" s="55">
        <f>IFERROR(IF(X100="",0,CEILING((X100/$H100),1)*$H100),"")</f>
        <v>81</v>
      </c>
      <c r="Z100" s="41">
        <f>IFERROR(IF(Y100=0,"",ROUNDUP(Y100/H100,0)*0.00651),"")</f>
        <v>0.1953</v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88.559999999999988</v>
      </c>
      <c r="BN100" s="78">
        <f>IFERROR(Y100*I100/H100,"0")</f>
        <v>88.559999999999988</v>
      </c>
      <c r="BO100" s="78">
        <f>IFERROR(1/J100*(X100/H100),"0")</f>
        <v>0.16483516483516483</v>
      </c>
      <c r="BP100" s="78">
        <f>IFERROR(1/J100*(Y100/H100),"0")</f>
        <v>0.16483516483516483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81">
        <v>4680115880894</v>
      </c>
      <c r="E101" s="681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73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83"/>
      <c r="R101" s="683"/>
      <c r="S101" s="683"/>
      <c r="T101" s="684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90"/>
      <c r="B102" s="690"/>
      <c r="C102" s="690"/>
      <c r="D102" s="690"/>
      <c r="E102" s="690"/>
      <c r="F102" s="690"/>
      <c r="G102" s="690"/>
      <c r="H102" s="690"/>
      <c r="I102" s="690"/>
      <c r="J102" s="690"/>
      <c r="K102" s="690"/>
      <c r="L102" s="690"/>
      <c r="M102" s="690"/>
      <c r="N102" s="690"/>
      <c r="O102" s="691"/>
      <c r="P102" s="687" t="s">
        <v>40</v>
      </c>
      <c r="Q102" s="688"/>
      <c r="R102" s="688"/>
      <c r="S102" s="688"/>
      <c r="T102" s="688"/>
      <c r="U102" s="688"/>
      <c r="V102" s="689"/>
      <c r="W102" s="42" t="s">
        <v>39</v>
      </c>
      <c r="X102" s="43">
        <f>IFERROR(X98/H98,"0")+IFERROR(X99/H99,"0")+IFERROR(X100/H100,"0")+IFERROR(X101/H101,"0")</f>
        <v>29.999999999999996</v>
      </c>
      <c r="Y102" s="43">
        <f>IFERROR(Y98/H98,"0")+IFERROR(Y99/H99,"0")+IFERROR(Y100/H100,"0")+IFERROR(Y101/H101,"0")</f>
        <v>29.999999999999996</v>
      </c>
      <c r="Z102" s="43">
        <f>IFERROR(IF(Z98="",0,Z98),"0")+IFERROR(IF(Z99="",0,Z99),"0")+IFERROR(IF(Z100="",0,Z100),"0")+IFERROR(IF(Z101="",0,Z101),"0")</f>
        <v>0.1953</v>
      </c>
      <c r="AA102" s="67"/>
      <c r="AB102" s="67"/>
      <c r="AC102" s="67"/>
    </row>
    <row r="103" spans="1:68" x14ac:dyDescent="0.2">
      <c r="A103" s="690"/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0"/>
      <c r="N103" s="690"/>
      <c r="O103" s="691"/>
      <c r="P103" s="687" t="s">
        <v>40</v>
      </c>
      <c r="Q103" s="688"/>
      <c r="R103" s="688"/>
      <c r="S103" s="688"/>
      <c r="T103" s="688"/>
      <c r="U103" s="688"/>
      <c r="V103" s="689"/>
      <c r="W103" s="42" t="s">
        <v>0</v>
      </c>
      <c r="X103" s="43">
        <f>IFERROR(SUM(X98:X101),"0")</f>
        <v>81</v>
      </c>
      <c r="Y103" s="43">
        <f>IFERROR(SUM(Y98:Y101),"0")</f>
        <v>81</v>
      </c>
      <c r="Z103" s="42"/>
      <c r="AA103" s="67"/>
      <c r="AB103" s="67"/>
      <c r="AC103" s="67"/>
    </row>
    <row r="104" spans="1:68" ht="16.5" customHeight="1" x14ac:dyDescent="0.25">
      <c r="A104" s="679" t="s">
        <v>219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5"/>
      <c r="AB104" s="65"/>
      <c r="AC104" s="79"/>
    </row>
    <row r="105" spans="1:68" ht="14.25" customHeight="1" x14ac:dyDescent="0.25">
      <c r="A105" s="680" t="s">
        <v>139</v>
      </c>
      <c r="B105" s="680"/>
      <c r="C105" s="680"/>
      <c r="D105" s="680"/>
      <c r="E105" s="680"/>
      <c r="F105" s="680"/>
      <c r="G105" s="680"/>
      <c r="H105" s="680"/>
      <c r="I105" s="680"/>
      <c r="J105" s="680"/>
      <c r="K105" s="680"/>
      <c r="L105" s="680"/>
      <c r="M105" s="680"/>
      <c r="N105" s="680"/>
      <c r="O105" s="680"/>
      <c r="P105" s="680"/>
      <c r="Q105" s="680"/>
      <c r="R105" s="680"/>
      <c r="S105" s="680"/>
      <c r="T105" s="680"/>
      <c r="U105" s="680"/>
      <c r="V105" s="680"/>
      <c r="W105" s="680"/>
      <c r="X105" s="680"/>
      <c r="Y105" s="680"/>
      <c r="Z105" s="680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81">
        <v>4680115882133</v>
      </c>
      <c r="E106" s="68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3"/>
      <c r="R106" s="683"/>
      <c r="S106" s="683"/>
      <c r="T106" s="68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81">
        <v>4680115887718</v>
      </c>
      <c r="E107" s="681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73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83"/>
      <c r="R107" s="683"/>
      <c r="S107" s="683"/>
      <c r="T107" s="684"/>
      <c r="U107" s="39" t="s">
        <v>46</v>
      </c>
      <c r="V107" s="39" t="s">
        <v>46</v>
      </c>
      <c r="W107" s="40" t="s">
        <v>0</v>
      </c>
      <c r="X107" s="58">
        <v>11</v>
      </c>
      <c r="Y107" s="55">
        <f t="shared" si="11"/>
        <v>11</v>
      </c>
      <c r="Z107" s="41">
        <f>IFERROR(IF(Y107=0,"",ROUNDUP(Y107/H107,0)*0.00726),"")</f>
        <v>7.2599999999999998E-2</v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13.1</v>
      </c>
      <c r="BN107" s="78">
        <f t="shared" si="13"/>
        <v>13.1</v>
      </c>
      <c r="BO107" s="78">
        <f t="shared" si="14"/>
        <v>5.2083333333333329E-2</v>
      </c>
      <c r="BP107" s="78">
        <f t="shared" si="15"/>
        <v>5.2083333333333329E-2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81">
        <v>4680115887718</v>
      </c>
      <c r="E108" s="681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73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83"/>
      <c r="R108" s="683"/>
      <c r="S108" s="683"/>
      <c r="T108" s="68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81">
        <v>4680115887749</v>
      </c>
      <c r="E109" s="681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736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83"/>
      <c r="R109" s="683"/>
      <c r="S109" s="683"/>
      <c r="T109" s="68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81">
        <v>4680115880269</v>
      </c>
      <c r="E110" s="681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7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83"/>
      <c r="R110" s="683"/>
      <c r="S110" s="683"/>
      <c r="T110" s="68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81">
        <v>4680115880429</v>
      </c>
      <c r="E111" s="681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73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83"/>
      <c r="R111" s="683"/>
      <c r="S111" s="683"/>
      <c r="T111" s="68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81">
        <v>4680115881457</v>
      </c>
      <c r="E112" s="681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7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83"/>
      <c r="R112" s="683"/>
      <c r="S112" s="683"/>
      <c r="T112" s="68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">
      <c r="A113" s="690"/>
      <c r="B113" s="690"/>
      <c r="C113" s="690"/>
      <c r="D113" s="690"/>
      <c r="E113" s="690"/>
      <c r="F113" s="690"/>
      <c r="G113" s="690"/>
      <c r="H113" s="690"/>
      <c r="I113" s="690"/>
      <c r="J113" s="690"/>
      <c r="K113" s="690"/>
      <c r="L113" s="690"/>
      <c r="M113" s="690"/>
      <c r="N113" s="690"/>
      <c r="O113" s="691"/>
      <c r="P113" s="687" t="s">
        <v>40</v>
      </c>
      <c r="Q113" s="688"/>
      <c r="R113" s="688"/>
      <c r="S113" s="688"/>
      <c r="T113" s="688"/>
      <c r="U113" s="688"/>
      <c r="V113" s="689"/>
      <c r="W113" s="42" t="s">
        <v>39</v>
      </c>
      <c r="X113" s="43">
        <f>IFERROR(X106/H106,"0")+IFERROR(X107/H107,"0")+IFERROR(X108/H108,"0")+IFERROR(X109/H109,"0")+IFERROR(X110/H110,"0")+IFERROR(X111/H111,"0")+IFERROR(X112/H112,"0")</f>
        <v>10</v>
      </c>
      <c r="Y113" s="43">
        <f>IFERROR(Y106/H106,"0")+IFERROR(Y107/H107,"0")+IFERROR(Y108/H108,"0")+IFERROR(Y109/H109,"0")+IFERROR(Y110/H110,"0")+IFERROR(Y111/H111,"0")+IFERROR(Y112/H112,"0")</f>
        <v>10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7.2599999999999998E-2</v>
      </c>
      <c r="AA113" s="67"/>
      <c r="AB113" s="67"/>
      <c r="AC113" s="67"/>
    </row>
    <row r="114" spans="1:68" x14ac:dyDescent="0.2">
      <c r="A114" s="690"/>
      <c r="B114" s="690"/>
      <c r="C114" s="690"/>
      <c r="D114" s="690"/>
      <c r="E114" s="690"/>
      <c r="F114" s="690"/>
      <c r="G114" s="690"/>
      <c r="H114" s="690"/>
      <c r="I114" s="690"/>
      <c r="J114" s="690"/>
      <c r="K114" s="690"/>
      <c r="L114" s="690"/>
      <c r="M114" s="690"/>
      <c r="N114" s="690"/>
      <c r="O114" s="691"/>
      <c r="P114" s="687" t="s">
        <v>40</v>
      </c>
      <c r="Q114" s="688"/>
      <c r="R114" s="688"/>
      <c r="S114" s="688"/>
      <c r="T114" s="688"/>
      <c r="U114" s="688"/>
      <c r="V114" s="689"/>
      <c r="W114" s="42" t="s">
        <v>0</v>
      </c>
      <c r="X114" s="43">
        <f>IFERROR(SUM(X106:X112),"0")</f>
        <v>11</v>
      </c>
      <c r="Y114" s="43">
        <f>IFERROR(SUM(Y106:Y112),"0")</f>
        <v>11</v>
      </c>
      <c r="Z114" s="42"/>
      <c r="AA114" s="67"/>
      <c r="AB114" s="67"/>
      <c r="AC114" s="67"/>
    </row>
    <row r="115" spans="1:68" ht="14.25" customHeight="1" x14ac:dyDescent="0.25">
      <c r="A115" s="680" t="s">
        <v>174</v>
      </c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0"/>
      <c r="P115" s="680"/>
      <c r="Q115" s="680"/>
      <c r="R115" s="680"/>
      <c r="S115" s="680"/>
      <c r="T115" s="680"/>
      <c r="U115" s="680"/>
      <c r="V115" s="680"/>
      <c r="W115" s="680"/>
      <c r="X115" s="680"/>
      <c r="Y115" s="680"/>
      <c r="Z115" s="680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81">
        <v>4680115881488</v>
      </c>
      <c r="E116" s="681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74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83"/>
      <c r="R116" s="683"/>
      <c r="S116" s="683"/>
      <c r="T116" s="68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81">
        <v>4680115887664</v>
      </c>
      <c r="E117" s="681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74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83"/>
      <c r="R117" s="683"/>
      <c r="S117" s="683"/>
      <c r="T117" s="684"/>
      <c r="U117" s="39" t="s">
        <v>46</v>
      </c>
      <c r="V117" s="39" t="s">
        <v>46</v>
      </c>
      <c r="W117" s="40" t="s">
        <v>0</v>
      </c>
      <c r="X117" s="58">
        <v>22.5</v>
      </c>
      <c r="Y117" s="55">
        <f>IFERROR(IF(X117="",0,CEILING((X117/$H117),1)*$H117),"")</f>
        <v>23</v>
      </c>
      <c r="Z117" s="41">
        <f>IFERROR(IF(Y117=0,"",ROUNDUP(Y117/H117,0)*0.00358),"")</f>
        <v>8.2339999999999997E-2</v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27.224999999999998</v>
      </c>
      <c r="BN117" s="78">
        <f>IFERROR(Y117*I117/H117,"0")</f>
        <v>27.83</v>
      </c>
      <c r="BO117" s="78">
        <f>IFERROR(1/J117*(X117/H117),"0")</f>
        <v>5.7397959183673464E-2</v>
      </c>
      <c r="BP117" s="78">
        <f>IFERROR(1/J117*(Y117/H117),"0")</f>
        <v>5.8673469387755098E-2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81">
        <v>4680115887664</v>
      </c>
      <c r="E118" s="681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74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83"/>
      <c r="R118" s="683"/>
      <c r="S118" s="683"/>
      <c r="T118" s="68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81">
        <v>4680115882775</v>
      </c>
      <c r="E119" s="681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74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83"/>
      <c r="R119" s="683"/>
      <c r="S119" s="683"/>
      <c r="T119" s="68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81">
        <v>4680115880658</v>
      </c>
      <c r="E120" s="681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83"/>
      <c r="R120" s="683"/>
      <c r="S120" s="683"/>
      <c r="T120" s="68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90"/>
      <c r="B121" s="690"/>
      <c r="C121" s="690"/>
      <c r="D121" s="690"/>
      <c r="E121" s="690"/>
      <c r="F121" s="690"/>
      <c r="G121" s="690"/>
      <c r="H121" s="690"/>
      <c r="I121" s="690"/>
      <c r="J121" s="690"/>
      <c r="K121" s="690"/>
      <c r="L121" s="690"/>
      <c r="M121" s="690"/>
      <c r="N121" s="690"/>
      <c r="O121" s="691"/>
      <c r="P121" s="687" t="s">
        <v>40</v>
      </c>
      <c r="Q121" s="688"/>
      <c r="R121" s="688"/>
      <c r="S121" s="688"/>
      <c r="T121" s="688"/>
      <c r="U121" s="688"/>
      <c r="V121" s="689"/>
      <c r="W121" s="42" t="s">
        <v>39</v>
      </c>
      <c r="X121" s="43">
        <f>IFERROR(X116/H116,"0")+IFERROR(X117/H117,"0")+IFERROR(X118/H118,"0")+IFERROR(X119/H119,"0")+IFERROR(X120/H120,"0")</f>
        <v>22.5</v>
      </c>
      <c r="Y121" s="43">
        <f>IFERROR(Y116/H116,"0")+IFERROR(Y117/H117,"0")+IFERROR(Y118/H118,"0")+IFERROR(Y119/H119,"0")+IFERROR(Y120/H120,"0")</f>
        <v>23</v>
      </c>
      <c r="Z121" s="43">
        <f>IFERROR(IF(Z116="",0,Z116),"0")+IFERROR(IF(Z117="",0,Z117),"0")+IFERROR(IF(Z118="",0,Z118),"0")+IFERROR(IF(Z119="",0,Z119),"0")+IFERROR(IF(Z120="",0,Z120),"0")</f>
        <v>8.2339999999999997E-2</v>
      </c>
      <c r="AA121" s="67"/>
      <c r="AB121" s="67"/>
      <c r="AC121" s="67"/>
    </row>
    <row r="122" spans="1:68" x14ac:dyDescent="0.2">
      <c r="A122" s="690"/>
      <c r="B122" s="690"/>
      <c r="C122" s="690"/>
      <c r="D122" s="690"/>
      <c r="E122" s="690"/>
      <c r="F122" s="690"/>
      <c r="G122" s="690"/>
      <c r="H122" s="690"/>
      <c r="I122" s="690"/>
      <c r="J122" s="690"/>
      <c r="K122" s="690"/>
      <c r="L122" s="690"/>
      <c r="M122" s="690"/>
      <c r="N122" s="690"/>
      <c r="O122" s="691"/>
      <c r="P122" s="687" t="s">
        <v>40</v>
      </c>
      <c r="Q122" s="688"/>
      <c r="R122" s="688"/>
      <c r="S122" s="688"/>
      <c r="T122" s="688"/>
      <c r="U122" s="688"/>
      <c r="V122" s="689"/>
      <c r="W122" s="42" t="s">
        <v>0</v>
      </c>
      <c r="X122" s="43">
        <f>IFERROR(SUM(X116:X120),"0")</f>
        <v>22.5</v>
      </c>
      <c r="Y122" s="43">
        <f>IFERROR(SUM(Y116:Y120),"0")</f>
        <v>23</v>
      </c>
      <c r="Z122" s="42"/>
      <c r="AA122" s="67"/>
      <c r="AB122" s="67"/>
      <c r="AC122" s="67"/>
    </row>
    <row r="123" spans="1:68" ht="14.25" customHeight="1" x14ac:dyDescent="0.25">
      <c r="A123" s="680" t="s">
        <v>90</v>
      </c>
      <c r="B123" s="680"/>
      <c r="C123" s="680"/>
      <c r="D123" s="680"/>
      <c r="E123" s="680"/>
      <c r="F123" s="680"/>
      <c r="G123" s="680"/>
      <c r="H123" s="680"/>
      <c r="I123" s="680"/>
      <c r="J123" s="680"/>
      <c r="K123" s="680"/>
      <c r="L123" s="680"/>
      <c r="M123" s="680"/>
      <c r="N123" s="680"/>
      <c r="O123" s="680"/>
      <c r="P123" s="680"/>
      <c r="Q123" s="680"/>
      <c r="R123" s="680"/>
      <c r="S123" s="680"/>
      <c r="T123" s="680"/>
      <c r="U123" s="680"/>
      <c r="V123" s="680"/>
      <c r="W123" s="680"/>
      <c r="X123" s="680"/>
      <c r="Y123" s="680"/>
      <c r="Z123" s="680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81">
        <v>4607091385168</v>
      </c>
      <c r="E124" s="68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7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83"/>
      <c r="R124" s="683"/>
      <c r="S124" s="683"/>
      <c r="T124" s="68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81">
        <v>4607091383256</v>
      </c>
      <c r="E125" s="68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7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83"/>
      <c r="R125" s="683"/>
      <c r="S125" s="683"/>
      <c r="T125" s="684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81">
        <v>4607091385748</v>
      </c>
      <c r="E126" s="681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74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83"/>
      <c r="R126" s="683"/>
      <c r="S126" s="683"/>
      <c r="T126" s="68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81">
        <v>4680115884533</v>
      </c>
      <c r="E127" s="681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74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83"/>
      <c r="R127" s="683"/>
      <c r="S127" s="683"/>
      <c r="T127" s="684"/>
      <c r="U127" s="39" t="s">
        <v>46</v>
      </c>
      <c r="V127" s="39" t="s">
        <v>46</v>
      </c>
      <c r="W127" s="40" t="s">
        <v>0</v>
      </c>
      <c r="X127" s="58">
        <v>72</v>
      </c>
      <c r="Y127" s="55">
        <f>IFERROR(IF(X127="",0,CEILING((X127/$H127),1)*$H127),"")</f>
        <v>72</v>
      </c>
      <c r="Z127" s="41">
        <f>IFERROR(IF(Y127=0,"",ROUNDUP(Y127/H127,0)*0.00651),"")</f>
        <v>0.26040000000000002</v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79.2</v>
      </c>
      <c r="BN127" s="78">
        <f>IFERROR(Y127*I127/H127,"0")</f>
        <v>79.2</v>
      </c>
      <c r="BO127" s="78">
        <f>IFERROR(1/J127*(X127/H127),"0")</f>
        <v>0.2197802197802198</v>
      </c>
      <c r="BP127" s="78">
        <f>IFERROR(1/J127*(Y127/H127),"0")</f>
        <v>0.2197802197802198</v>
      </c>
    </row>
    <row r="128" spans="1:68" x14ac:dyDescent="0.2">
      <c r="A128" s="690"/>
      <c r="B128" s="690"/>
      <c r="C128" s="690"/>
      <c r="D128" s="690"/>
      <c r="E128" s="690"/>
      <c r="F128" s="690"/>
      <c r="G128" s="690"/>
      <c r="H128" s="690"/>
      <c r="I128" s="690"/>
      <c r="J128" s="690"/>
      <c r="K128" s="690"/>
      <c r="L128" s="690"/>
      <c r="M128" s="690"/>
      <c r="N128" s="690"/>
      <c r="O128" s="691"/>
      <c r="P128" s="687" t="s">
        <v>40</v>
      </c>
      <c r="Q128" s="688"/>
      <c r="R128" s="688"/>
      <c r="S128" s="688"/>
      <c r="T128" s="688"/>
      <c r="U128" s="688"/>
      <c r="V128" s="689"/>
      <c r="W128" s="42" t="s">
        <v>39</v>
      </c>
      <c r="X128" s="43">
        <f>IFERROR(X124/H124,"0")+IFERROR(X125/H125,"0")+IFERROR(X126/H126,"0")+IFERROR(X127/H127,"0")</f>
        <v>40</v>
      </c>
      <c r="Y128" s="43">
        <f>IFERROR(Y124/H124,"0")+IFERROR(Y125/H125,"0")+IFERROR(Y126/H126,"0")+IFERROR(Y127/H127,"0")</f>
        <v>40</v>
      </c>
      <c r="Z128" s="43">
        <f>IFERROR(IF(Z124="",0,Z124),"0")+IFERROR(IF(Z125="",0,Z125),"0")+IFERROR(IF(Z126="",0,Z126),"0")+IFERROR(IF(Z127="",0,Z127),"0")</f>
        <v>0.26040000000000002</v>
      </c>
      <c r="AA128" s="67"/>
      <c r="AB128" s="67"/>
      <c r="AC128" s="67"/>
    </row>
    <row r="129" spans="1:68" x14ac:dyDescent="0.2">
      <c r="A129" s="690"/>
      <c r="B129" s="690"/>
      <c r="C129" s="690"/>
      <c r="D129" s="690"/>
      <c r="E129" s="690"/>
      <c r="F129" s="690"/>
      <c r="G129" s="690"/>
      <c r="H129" s="690"/>
      <c r="I129" s="690"/>
      <c r="J129" s="690"/>
      <c r="K129" s="690"/>
      <c r="L129" s="690"/>
      <c r="M129" s="690"/>
      <c r="N129" s="690"/>
      <c r="O129" s="691"/>
      <c r="P129" s="687" t="s">
        <v>40</v>
      </c>
      <c r="Q129" s="688"/>
      <c r="R129" s="688"/>
      <c r="S129" s="688"/>
      <c r="T129" s="688"/>
      <c r="U129" s="688"/>
      <c r="V129" s="689"/>
      <c r="W129" s="42" t="s">
        <v>0</v>
      </c>
      <c r="X129" s="43">
        <f>IFERROR(SUM(X124:X127),"0")</f>
        <v>72</v>
      </c>
      <c r="Y129" s="43">
        <f>IFERROR(SUM(Y124:Y127),"0")</f>
        <v>72</v>
      </c>
      <c r="Z129" s="42"/>
      <c r="AA129" s="67"/>
      <c r="AB129" s="67"/>
      <c r="AC129" s="67"/>
    </row>
    <row r="130" spans="1:68" ht="14.25" customHeight="1" x14ac:dyDescent="0.25">
      <c r="A130" s="680" t="s">
        <v>191</v>
      </c>
      <c r="B130" s="680"/>
      <c r="C130" s="680"/>
      <c r="D130" s="680"/>
      <c r="E130" s="680"/>
      <c r="F130" s="680"/>
      <c r="G130" s="680"/>
      <c r="H130" s="680"/>
      <c r="I130" s="680"/>
      <c r="J130" s="680"/>
      <c r="K130" s="680"/>
      <c r="L130" s="680"/>
      <c r="M130" s="680"/>
      <c r="N130" s="680"/>
      <c r="O130" s="680"/>
      <c r="P130" s="680"/>
      <c r="Q130" s="680"/>
      <c r="R130" s="680"/>
      <c r="S130" s="680"/>
      <c r="T130" s="680"/>
      <c r="U130" s="680"/>
      <c r="V130" s="680"/>
      <c r="W130" s="680"/>
      <c r="X130" s="680"/>
      <c r="Y130" s="680"/>
      <c r="Z130" s="680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81">
        <v>4680115880238</v>
      </c>
      <c r="E131" s="681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7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3"/>
      <c r="R131" s="683"/>
      <c r="S131" s="683"/>
      <c r="T131" s="68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90"/>
      <c r="B132" s="690"/>
      <c r="C132" s="690"/>
      <c r="D132" s="690"/>
      <c r="E132" s="690"/>
      <c r="F132" s="690"/>
      <c r="G132" s="690"/>
      <c r="H132" s="690"/>
      <c r="I132" s="690"/>
      <c r="J132" s="690"/>
      <c r="K132" s="690"/>
      <c r="L132" s="690"/>
      <c r="M132" s="690"/>
      <c r="N132" s="690"/>
      <c r="O132" s="691"/>
      <c r="P132" s="687" t="s">
        <v>40</v>
      </c>
      <c r="Q132" s="688"/>
      <c r="R132" s="688"/>
      <c r="S132" s="688"/>
      <c r="T132" s="688"/>
      <c r="U132" s="688"/>
      <c r="V132" s="689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690"/>
      <c r="B133" s="690"/>
      <c r="C133" s="690"/>
      <c r="D133" s="690"/>
      <c r="E133" s="690"/>
      <c r="F133" s="690"/>
      <c r="G133" s="690"/>
      <c r="H133" s="690"/>
      <c r="I133" s="690"/>
      <c r="J133" s="690"/>
      <c r="K133" s="690"/>
      <c r="L133" s="690"/>
      <c r="M133" s="690"/>
      <c r="N133" s="690"/>
      <c r="O133" s="691"/>
      <c r="P133" s="687" t="s">
        <v>40</v>
      </c>
      <c r="Q133" s="688"/>
      <c r="R133" s="688"/>
      <c r="S133" s="688"/>
      <c r="T133" s="688"/>
      <c r="U133" s="688"/>
      <c r="V133" s="689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79" t="s">
        <v>261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5"/>
      <c r="AB134" s="65"/>
      <c r="AC134" s="79"/>
    </row>
    <row r="135" spans="1:68" ht="14.25" customHeight="1" x14ac:dyDescent="0.25">
      <c r="A135" s="680" t="s">
        <v>139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81">
        <v>4680115882577</v>
      </c>
      <c r="E136" s="68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3"/>
      <c r="R136" s="683"/>
      <c r="S136" s="683"/>
      <c r="T136" s="68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81">
        <v>4680115882577</v>
      </c>
      <c r="E137" s="681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3"/>
      <c r="R137" s="683"/>
      <c r="S137" s="683"/>
      <c r="T137" s="68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90"/>
      <c r="B138" s="690"/>
      <c r="C138" s="690"/>
      <c r="D138" s="690"/>
      <c r="E138" s="690"/>
      <c r="F138" s="690"/>
      <c r="G138" s="690"/>
      <c r="H138" s="690"/>
      <c r="I138" s="690"/>
      <c r="J138" s="690"/>
      <c r="K138" s="690"/>
      <c r="L138" s="690"/>
      <c r="M138" s="690"/>
      <c r="N138" s="690"/>
      <c r="O138" s="691"/>
      <c r="P138" s="687" t="s">
        <v>40</v>
      </c>
      <c r="Q138" s="688"/>
      <c r="R138" s="688"/>
      <c r="S138" s="688"/>
      <c r="T138" s="688"/>
      <c r="U138" s="688"/>
      <c r="V138" s="68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90"/>
      <c r="B139" s="690"/>
      <c r="C139" s="690"/>
      <c r="D139" s="690"/>
      <c r="E139" s="690"/>
      <c r="F139" s="690"/>
      <c r="G139" s="690"/>
      <c r="H139" s="690"/>
      <c r="I139" s="690"/>
      <c r="J139" s="690"/>
      <c r="K139" s="690"/>
      <c r="L139" s="690"/>
      <c r="M139" s="690"/>
      <c r="N139" s="690"/>
      <c r="O139" s="691"/>
      <c r="P139" s="687" t="s">
        <v>40</v>
      </c>
      <c r="Q139" s="688"/>
      <c r="R139" s="688"/>
      <c r="S139" s="688"/>
      <c r="T139" s="688"/>
      <c r="U139" s="688"/>
      <c r="V139" s="68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80" t="s">
        <v>77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81">
        <v>4680115883444</v>
      </c>
      <c r="E141" s="68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7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3"/>
      <c r="R141" s="683"/>
      <c r="S141" s="683"/>
      <c r="T141" s="68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81">
        <v>4680115883444</v>
      </c>
      <c r="E142" s="68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7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3"/>
      <c r="R142" s="683"/>
      <c r="S142" s="683"/>
      <c r="T142" s="68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90"/>
      <c r="B143" s="690"/>
      <c r="C143" s="690"/>
      <c r="D143" s="690"/>
      <c r="E143" s="690"/>
      <c r="F143" s="690"/>
      <c r="G143" s="690"/>
      <c r="H143" s="690"/>
      <c r="I143" s="690"/>
      <c r="J143" s="690"/>
      <c r="K143" s="690"/>
      <c r="L143" s="690"/>
      <c r="M143" s="690"/>
      <c r="N143" s="690"/>
      <c r="O143" s="691"/>
      <c r="P143" s="687" t="s">
        <v>40</v>
      </c>
      <c r="Q143" s="688"/>
      <c r="R143" s="688"/>
      <c r="S143" s="688"/>
      <c r="T143" s="688"/>
      <c r="U143" s="688"/>
      <c r="V143" s="68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90"/>
      <c r="B144" s="690"/>
      <c r="C144" s="690"/>
      <c r="D144" s="690"/>
      <c r="E144" s="690"/>
      <c r="F144" s="690"/>
      <c r="G144" s="690"/>
      <c r="H144" s="690"/>
      <c r="I144" s="690"/>
      <c r="J144" s="690"/>
      <c r="K144" s="690"/>
      <c r="L144" s="690"/>
      <c r="M144" s="690"/>
      <c r="N144" s="690"/>
      <c r="O144" s="691"/>
      <c r="P144" s="687" t="s">
        <v>40</v>
      </c>
      <c r="Q144" s="688"/>
      <c r="R144" s="688"/>
      <c r="S144" s="688"/>
      <c r="T144" s="688"/>
      <c r="U144" s="688"/>
      <c r="V144" s="68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80" t="s">
        <v>90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81">
        <v>4680115882584</v>
      </c>
      <c r="E146" s="68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3"/>
      <c r="R146" s="683"/>
      <c r="S146" s="683"/>
      <c r="T146" s="68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81">
        <v>4680115882584</v>
      </c>
      <c r="E147" s="681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7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3"/>
      <c r="R147" s="683"/>
      <c r="S147" s="683"/>
      <c r="T147" s="68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90"/>
      <c r="B148" s="690"/>
      <c r="C148" s="690"/>
      <c r="D148" s="690"/>
      <c r="E148" s="690"/>
      <c r="F148" s="690"/>
      <c r="G148" s="690"/>
      <c r="H148" s="690"/>
      <c r="I148" s="690"/>
      <c r="J148" s="690"/>
      <c r="K148" s="690"/>
      <c r="L148" s="690"/>
      <c r="M148" s="690"/>
      <c r="N148" s="690"/>
      <c r="O148" s="691"/>
      <c r="P148" s="687" t="s">
        <v>40</v>
      </c>
      <c r="Q148" s="688"/>
      <c r="R148" s="688"/>
      <c r="S148" s="688"/>
      <c r="T148" s="688"/>
      <c r="U148" s="688"/>
      <c r="V148" s="689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90"/>
      <c r="B149" s="690"/>
      <c r="C149" s="690"/>
      <c r="D149" s="690"/>
      <c r="E149" s="690"/>
      <c r="F149" s="690"/>
      <c r="G149" s="690"/>
      <c r="H149" s="690"/>
      <c r="I149" s="690"/>
      <c r="J149" s="690"/>
      <c r="K149" s="690"/>
      <c r="L149" s="690"/>
      <c r="M149" s="690"/>
      <c r="N149" s="690"/>
      <c r="O149" s="691"/>
      <c r="P149" s="687" t="s">
        <v>40</v>
      </c>
      <c r="Q149" s="688"/>
      <c r="R149" s="688"/>
      <c r="S149" s="688"/>
      <c r="T149" s="688"/>
      <c r="U149" s="688"/>
      <c r="V149" s="689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79" t="s">
        <v>273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5"/>
      <c r="AB150" s="65"/>
      <c r="AC150" s="79"/>
    </row>
    <row r="151" spans="1:68" ht="14.25" customHeight="1" x14ac:dyDescent="0.25">
      <c r="A151" s="680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81">
        <v>4680115888203</v>
      </c>
      <c r="E152" s="68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7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83"/>
      <c r="R152" s="683"/>
      <c r="S152" s="683"/>
      <c r="T152" s="68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81">
        <v>4680115888180</v>
      </c>
      <c r="E153" s="68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75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83"/>
      <c r="R153" s="683"/>
      <c r="S153" s="683"/>
      <c r="T153" s="68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81">
        <v>4680115888197</v>
      </c>
      <c r="E154" s="68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75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83"/>
      <c r="R154" s="683"/>
      <c r="S154" s="683"/>
      <c r="T154" s="68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81">
        <v>4680115888210</v>
      </c>
      <c r="E155" s="68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7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83"/>
      <c r="R155" s="683"/>
      <c r="S155" s="683"/>
      <c r="T155" s="68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90"/>
      <c r="B156" s="690"/>
      <c r="C156" s="690"/>
      <c r="D156" s="690"/>
      <c r="E156" s="690"/>
      <c r="F156" s="690"/>
      <c r="G156" s="690"/>
      <c r="H156" s="690"/>
      <c r="I156" s="690"/>
      <c r="J156" s="690"/>
      <c r="K156" s="690"/>
      <c r="L156" s="690"/>
      <c r="M156" s="690"/>
      <c r="N156" s="690"/>
      <c r="O156" s="691"/>
      <c r="P156" s="687" t="s">
        <v>40</v>
      </c>
      <c r="Q156" s="688"/>
      <c r="R156" s="688"/>
      <c r="S156" s="688"/>
      <c r="T156" s="688"/>
      <c r="U156" s="688"/>
      <c r="V156" s="689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90"/>
      <c r="B157" s="690"/>
      <c r="C157" s="690"/>
      <c r="D157" s="690"/>
      <c r="E157" s="690"/>
      <c r="F157" s="690"/>
      <c r="G157" s="690"/>
      <c r="H157" s="690"/>
      <c r="I157" s="690"/>
      <c r="J157" s="690"/>
      <c r="K157" s="690"/>
      <c r="L157" s="690"/>
      <c r="M157" s="690"/>
      <c r="N157" s="690"/>
      <c r="O157" s="691"/>
      <c r="P157" s="687" t="s">
        <v>40</v>
      </c>
      <c r="Q157" s="688"/>
      <c r="R157" s="688"/>
      <c r="S157" s="688"/>
      <c r="T157" s="688"/>
      <c r="U157" s="688"/>
      <c r="V157" s="689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79" t="s">
        <v>137</v>
      </c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79"/>
      <c r="P158" s="679"/>
      <c r="Q158" s="679"/>
      <c r="R158" s="679"/>
      <c r="S158" s="679"/>
      <c r="T158" s="679"/>
      <c r="U158" s="679"/>
      <c r="V158" s="679"/>
      <c r="W158" s="679"/>
      <c r="X158" s="679"/>
      <c r="Y158" s="679"/>
      <c r="Z158" s="679"/>
      <c r="AA158" s="65"/>
      <c r="AB158" s="65"/>
      <c r="AC158" s="79"/>
    </row>
    <row r="159" spans="1:68" ht="14.25" customHeight="1" x14ac:dyDescent="0.25">
      <c r="A159" s="680" t="s">
        <v>139</v>
      </c>
      <c r="B159" s="680"/>
      <c r="C159" s="680"/>
      <c r="D159" s="680"/>
      <c r="E159" s="680"/>
      <c r="F159" s="680"/>
      <c r="G159" s="680"/>
      <c r="H159" s="680"/>
      <c r="I159" s="680"/>
      <c r="J159" s="680"/>
      <c r="K159" s="680"/>
      <c r="L159" s="680"/>
      <c r="M159" s="680"/>
      <c r="N159" s="680"/>
      <c r="O159" s="680"/>
      <c r="P159" s="680"/>
      <c r="Q159" s="680"/>
      <c r="R159" s="680"/>
      <c r="S159" s="680"/>
      <c r="T159" s="680"/>
      <c r="U159" s="680"/>
      <c r="V159" s="680"/>
      <c r="W159" s="680"/>
      <c r="X159" s="680"/>
      <c r="Y159" s="680"/>
      <c r="Z159" s="680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81">
        <v>4680115887374</v>
      </c>
      <c r="E160" s="681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76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83"/>
      <c r="R160" s="683"/>
      <c r="S160" s="683"/>
      <c r="T160" s="68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81">
        <v>4607091384604</v>
      </c>
      <c r="E161" s="681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7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83"/>
      <c r="R161" s="683"/>
      <c r="S161" s="683"/>
      <c r="T161" s="68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90"/>
      <c r="B162" s="690"/>
      <c r="C162" s="690"/>
      <c r="D162" s="690"/>
      <c r="E162" s="690"/>
      <c r="F162" s="690"/>
      <c r="G162" s="690"/>
      <c r="H162" s="690"/>
      <c r="I162" s="690"/>
      <c r="J162" s="690"/>
      <c r="K162" s="690"/>
      <c r="L162" s="690"/>
      <c r="M162" s="690"/>
      <c r="N162" s="690"/>
      <c r="O162" s="691"/>
      <c r="P162" s="687" t="s">
        <v>40</v>
      </c>
      <c r="Q162" s="688"/>
      <c r="R162" s="688"/>
      <c r="S162" s="688"/>
      <c r="T162" s="688"/>
      <c r="U162" s="688"/>
      <c r="V162" s="689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690"/>
      <c r="B163" s="690"/>
      <c r="C163" s="690"/>
      <c r="D163" s="690"/>
      <c r="E163" s="690"/>
      <c r="F163" s="690"/>
      <c r="G163" s="690"/>
      <c r="H163" s="690"/>
      <c r="I163" s="690"/>
      <c r="J163" s="690"/>
      <c r="K163" s="690"/>
      <c r="L163" s="690"/>
      <c r="M163" s="690"/>
      <c r="N163" s="690"/>
      <c r="O163" s="691"/>
      <c r="P163" s="687" t="s">
        <v>40</v>
      </c>
      <c r="Q163" s="688"/>
      <c r="R163" s="688"/>
      <c r="S163" s="688"/>
      <c r="T163" s="688"/>
      <c r="U163" s="688"/>
      <c r="V163" s="689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80" t="s">
        <v>174</v>
      </c>
      <c r="B164" s="680"/>
      <c r="C164" s="680"/>
      <c r="D164" s="680"/>
      <c r="E164" s="680"/>
      <c r="F164" s="680"/>
      <c r="G164" s="680"/>
      <c r="H164" s="680"/>
      <c r="I164" s="680"/>
      <c r="J164" s="680"/>
      <c r="K164" s="680"/>
      <c r="L164" s="680"/>
      <c r="M164" s="680"/>
      <c r="N164" s="680"/>
      <c r="O164" s="680"/>
      <c r="P164" s="680"/>
      <c r="Q164" s="680"/>
      <c r="R164" s="680"/>
      <c r="S164" s="680"/>
      <c r="T164" s="680"/>
      <c r="U164" s="680"/>
      <c r="V164" s="680"/>
      <c r="W164" s="680"/>
      <c r="X164" s="680"/>
      <c r="Y164" s="680"/>
      <c r="Z164" s="680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81">
        <v>4680115887695</v>
      </c>
      <c r="E165" s="681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7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83"/>
      <c r="R165" s="683"/>
      <c r="S165" s="683"/>
      <c r="T165" s="68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90"/>
      <c r="B166" s="690"/>
      <c r="C166" s="690"/>
      <c r="D166" s="690"/>
      <c r="E166" s="690"/>
      <c r="F166" s="690"/>
      <c r="G166" s="690"/>
      <c r="H166" s="690"/>
      <c r="I166" s="690"/>
      <c r="J166" s="690"/>
      <c r="K166" s="690"/>
      <c r="L166" s="690"/>
      <c r="M166" s="690"/>
      <c r="N166" s="690"/>
      <c r="O166" s="691"/>
      <c r="P166" s="687" t="s">
        <v>40</v>
      </c>
      <c r="Q166" s="688"/>
      <c r="R166" s="688"/>
      <c r="S166" s="688"/>
      <c r="T166" s="688"/>
      <c r="U166" s="688"/>
      <c r="V166" s="689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90"/>
      <c r="B167" s="690"/>
      <c r="C167" s="690"/>
      <c r="D167" s="690"/>
      <c r="E167" s="690"/>
      <c r="F167" s="690"/>
      <c r="G167" s="690"/>
      <c r="H167" s="690"/>
      <c r="I167" s="690"/>
      <c r="J167" s="690"/>
      <c r="K167" s="690"/>
      <c r="L167" s="690"/>
      <c r="M167" s="690"/>
      <c r="N167" s="690"/>
      <c r="O167" s="691"/>
      <c r="P167" s="687" t="s">
        <v>40</v>
      </c>
      <c r="Q167" s="688"/>
      <c r="R167" s="688"/>
      <c r="S167" s="688"/>
      <c r="T167" s="688"/>
      <c r="U167" s="688"/>
      <c r="V167" s="689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80" t="s">
        <v>77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81">
        <v>4680115887428</v>
      </c>
      <c r="E169" s="68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83"/>
      <c r="R169" s="683"/>
      <c r="S169" s="683"/>
      <c r="T169" s="68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81">
        <v>4607091382426</v>
      </c>
      <c r="E170" s="681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83"/>
      <c r="R170" s="683"/>
      <c r="S170" s="683"/>
      <c r="T170" s="68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81">
        <v>4680115887398</v>
      </c>
      <c r="E171" s="68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83"/>
      <c r="R171" s="683"/>
      <c r="S171" s="683"/>
      <c r="T171" s="68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81">
        <v>4680115887336</v>
      </c>
      <c r="E172" s="68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76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83"/>
      <c r="R172" s="683"/>
      <c r="S172" s="683"/>
      <c r="T172" s="68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81">
        <v>4680115887787</v>
      </c>
      <c r="E173" s="68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7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83"/>
      <c r="R173" s="683"/>
      <c r="S173" s="683"/>
      <c r="T173" s="68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81">
        <v>4680115887503</v>
      </c>
      <c r="E174" s="681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83"/>
      <c r="R174" s="683"/>
      <c r="S174" s="683"/>
      <c r="T174" s="68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81">
        <v>4680115887763</v>
      </c>
      <c r="E175" s="681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7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3"/>
      <c r="R175" s="683"/>
      <c r="S175" s="683"/>
      <c r="T175" s="68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81">
        <v>4680115887480</v>
      </c>
      <c r="E176" s="68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7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3"/>
      <c r="R176" s="683"/>
      <c r="S176" s="683"/>
      <c r="T176" s="68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81">
        <v>4680115888067</v>
      </c>
      <c r="E177" s="68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7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3"/>
      <c r="R177" s="683"/>
      <c r="S177" s="683"/>
      <c r="T177" s="68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81">
        <v>4680115887435</v>
      </c>
      <c r="E178" s="68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77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3"/>
      <c r="R178" s="683"/>
      <c r="S178" s="683"/>
      <c r="T178" s="68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">
      <c r="A179" s="690"/>
      <c r="B179" s="690"/>
      <c r="C179" s="690"/>
      <c r="D179" s="690"/>
      <c r="E179" s="690"/>
      <c r="F179" s="690"/>
      <c r="G179" s="690"/>
      <c r="H179" s="690"/>
      <c r="I179" s="690"/>
      <c r="J179" s="690"/>
      <c r="K179" s="690"/>
      <c r="L179" s="690"/>
      <c r="M179" s="690"/>
      <c r="N179" s="690"/>
      <c r="O179" s="691"/>
      <c r="P179" s="687" t="s">
        <v>40</v>
      </c>
      <c r="Q179" s="688"/>
      <c r="R179" s="688"/>
      <c r="S179" s="688"/>
      <c r="T179" s="688"/>
      <c r="U179" s="688"/>
      <c r="V179" s="689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90"/>
      <c r="B180" s="690"/>
      <c r="C180" s="690"/>
      <c r="D180" s="690"/>
      <c r="E180" s="690"/>
      <c r="F180" s="690"/>
      <c r="G180" s="690"/>
      <c r="H180" s="690"/>
      <c r="I180" s="690"/>
      <c r="J180" s="690"/>
      <c r="K180" s="690"/>
      <c r="L180" s="690"/>
      <c r="M180" s="690"/>
      <c r="N180" s="690"/>
      <c r="O180" s="691"/>
      <c r="P180" s="687" t="s">
        <v>40</v>
      </c>
      <c r="Q180" s="688"/>
      <c r="R180" s="688"/>
      <c r="S180" s="688"/>
      <c r="T180" s="688"/>
      <c r="U180" s="688"/>
      <c r="V180" s="689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80" t="s">
        <v>90</v>
      </c>
      <c r="B181" s="680"/>
      <c r="C181" s="680"/>
      <c r="D181" s="680"/>
      <c r="E181" s="680"/>
      <c r="F181" s="680"/>
      <c r="G181" s="680"/>
      <c r="H181" s="680"/>
      <c r="I181" s="680"/>
      <c r="J181" s="680"/>
      <c r="K181" s="680"/>
      <c r="L181" s="680"/>
      <c r="M181" s="680"/>
      <c r="N181" s="680"/>
      <c r="O181" s="680"/>
      <c r="P181" s="680"/>
      <c r="Q181" s="680"/>
      <c r="R181" s="680"/>
      <c r="S181" s="680"/>
      <c r="T181" s="680"/>
      <c r="U181" s="680"/>
      <c r="V181" s="680"/>
      <c r="W181" s="680"/>
      <c r="X181" s="680"/>
      <c r="Y181" s="680"/>
      <c r="Z181" s="680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81">
        <v>4680115888395</v>
      </c>
      <c r="E182" s="68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77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3"/>
      <c r="R182" s="683"/>
      <c r="S182" s="683"/>
      <c r="T182" s="68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81">
        <v>4680115888371</v>
      </c>
      <c r="E183" s="68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77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3"/>
      <c r="R183" s="683"/>
      <c r="S183" s="683"/>
      <c r="T183" s="68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81">
        <v>4680115887459</v>
      </c>
      <c r="E184" s="68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7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3"/>
      <c r="R184" s="683"/>
      <c r="S184" s="683"/>
      <c r="T184" s="68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0"/>
      <c r="B185" s="690"/>
      <c r="C185" s="690"/>
      <c r="D185" s="690"/>
      <c r="E185" s="690"/>
      <c r="F185" s="690"/>
      <c r="G185" s="690"/>
      <c r="H185" s="690"/>
      <c r="I185" s="690"/>
      <c r="J185" s="690"/>
      <c r="K185" s="690"/>
      <c r="L185" s="690"/>
      <c r="M185" s="690"/>
      <c r="N185" s="690"/>
      <c r="O185" s="691"/>
      <c r="P185" s="687" t="s">
        <v>40</v>
      </c>
      <c r="Q185" s="688"/>
      <c r="R185" s="688"/>
      <c r="S185" s="688"/>
      <c r="T185" s="688"/>
      <c r="U185" s="688"/>
      <c r="V185" s="689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90"/>
      <c r="B186" s="690"/>
      <c r="C186" s="690"/>
      <c r="D186" s="690"/>
      <c r="E186" s="690"/>
      <c r="F186" s="690"/>
      <c r="G186" s="690"/>
      <c r="H186" s="690"/>
      <c r="I186" s="690"/>
      <c r="J186" s="690"/>
      <c r="K186" s="690"/>
      <c r="L186" s="690"/>
      <c r="M186" s="690"/>
      <c r="N186" s="690"/>
      <c r="O186" s="691"/>
      <c r="P186" s="687" t="s">
        <v>40</v>
      </c>
      <c r="Q186" s="688"/>
      <c r="R186" s="688"/>
      <c r="S186" s="688"/>
      <c r="T186" s="688"/>
      <c r="U186" s="688"/>
      <c r="V186" s="689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80" t="s">
        <v>118</v>
      </c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0"/>
      <c r="P187" s="680"/>
      <c r="Q187" s="680"/>
      <c r="R187" s="680"/>
      <c r="S187" s="680"/>
      <c r="T187" s="680"/>
      <c r="U187" s="680"/>
      <c r="V187" s="680"/>
      <c r="W187" s="680"/>
      <c r="X187" s="680"/>
      <c r="Y187" s="680"/>
      <c r="Z187" s="680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81">
        <v>4680115889026</v>
      </c>
      <c r="E188" s="68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7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3"/>
      <c r="R188" s="683"/>
      <c r="S188" s="683"/>
      <c r="T188" s="68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81">
        <v>4680115889088</v>
      </c>
      <c r="E189" s="68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77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3"/>
      <c r="R189" s="683"/>
      <c r="S189" s="683"/>
      <c r="T189" s="68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90"/>
      <c r="B190" s="690"/>
      <c r="C190" s="690"/>
      <c r="D190" s="690"/>
      <c r="E190" s="690"/>
      <c r="F190" s="690"/>
      <c r="G190" s="690"/>
      <c r="H190" s="690"/>
      <c r="I190" s="690"/>
      <c r="J190" s="690"/>
      <c r="K190" s="690"/>
      <c r="L190" s="690"/>
      <c r="M190" s="690"/>
      <c r="N190" s="690"/>
      <c r="O190" s="691"/>
      <c r="P190" s="687" t="s">
        <v>40</v>
      </c>
      <c r="Q190" s="688"/>
      <c r="R190" s="688"/>
      <c r="S190" s="688"/>
      <c r="T190" s="688"/>
      <c r="U190" s="688"/>
      <c r="V190" s="68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90"/>
      <c r="B191" s="690"/>
      <c r="C191" s="690"/>
      <c r="D191" s="690"/>
      <c r="E191" s="690"/>
      <c r="F191" s="690"/>
      <c r="G191" s="690"/>
      <c r="H191" s="690"/>
      <c r="I191" s="690"/>
      <c r="J191" s="690"/>
      <c r="K191" s="690"/>
      <c r="L191" s="690"/>
      <c r="M191" s="690"/>
      <c r="N191" s="690"/>
      <c r="O191" s="691"/>
      <c r="P191" s="687" t="s">
        <v>40</v>
      </c>
      <c r="Q191" s="688"/>
      <c r="R191" s="688"/>
      <c r="S191" s="688"/>
      <c r="T191" s="688"/>
      <c r="U191" s="688"/>
      <c r="V191" s="68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80" t="s">
        <v>340</v>
      </c>
      <c r="B192" s="680"/>
      <c r="C192" s="680"/>
      <c r="D192" s="680"/>
      <c r="E192" s="680"/>
      <c r="F192" s="680"/>
      <c r="G192" s="680"/>
      <c r="H192" s="680"/>
      <c r="I192" s="680"/>
      <c r="J192" s="680"/>
      <c r="K192" s="680"/>
      <c r="L192" s="680"/>
      <c r="M192" s="680"/>
      <c r="N192" s="680"/>
      <c r="O192" s="680"/>
      <c r="P192" s="680"/>
      <c r="Q192" s="680"/>
      <c r="R192" s="680"/>
      <c r="S192" s="680"/>
      <c r="T192" s="680"/>
      <c r="U192" s="680"/>
      <c r="V192" s="680"/>
      <c r="W192" s="680"/>
      <c r="X192" s="680"/>
      <c r="Y192" s="680"/>
      <c r="Z192" s="680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81">
        <v>4680115889033</v>
      </c>
      <c r="E193" s="68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7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3"/>
      <c r="R193" s="683"/>
      <c r="S193" s="683"/>
      <c r="T193" s="68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90"/>
      <c r="B194" s="690"/>
      <c r="C194" s="690"/>
      <c r="D194" s="690"/>
      <c r="E194" s="690"/>
      <c r="F194" s="690"/>
      <c r="G194" s="690"/>
      <c r="H194" s="690"/>
      <c r="I194" s="690"/>
      <c r="J194" s="690"/>
      <c r="K194" s="690"/>
      <c r="L194" s="690"/>
      <c r="M194" s="690"/>
      <c r="N194" s="690"/>
      <c r="O194" s="691"/>
      <c r="P194" s="687" t="s">
        <v>40</v>
      </c>
      <c r="Q194" s="688"/>
      <c r="R194" s="688"/>
      <c r="S194" s="688"/>
      <c r="T194" s="688"/>
      <c r="U194" s="688"/>
      <c r="V194" s="68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90"/>
      <c r="B195" s="690"/>
      <c r="C195" s="690"/>
      <c r="D195" s="690"/>
      <c r="E195" s="690"/>
      <c r="F195" s="690"/>
      <c r="G195" s="690"/>
      <c r="H195" s="690"/>
      <c r="I195" s="690"/>
      <c r="J195" s="690"/>
      <c r="K195" s="690"/>
      <c r="L195" s="690"/>
      <c r="M195" s="690"/>
      <c r="N195" s="690"/>
      <c r="O195" s="691"/>
      <c r="P195" s="687" t="s">
        <v>40</v>
      </c>
      <c r="Q195" s="688"/>
      <c r="R195" s="688"/>
      <c r="S195" s="688"/>
      <c r="T195" s="688"/>
      <c r="U195" s="688"/>
      <c r="V195" s="68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78" t="s">
        <v>344</v>
      </c>
      <c r="B196" s="678"/>
      <c r="C196" s="678"/>
      <c r="D196" s="678"/>
      <c r="E196" s="678"/>
      <c r="F196" s="678"/>
      <c r="G196" s="678"/>
      <c r="H196" s="678"/>
      <c r="I196" s="678"/>
      <c r="J196" s="678"/>
      <c r="K196" s="678"/>
      <c r="L196" s="678"/>
      <c r="M196" s="678"/>
      <c r="N196" s="678"/>
      <c r="O196" s="678"/>
      <c r="P196" s="678"/>
      <c r="Q196" s="678"/>
      <c r="R196" s="678"/>
      <c r="S196" s="678"/>
      <c r="T196" s="678"/>
      <c r="U196" s="678"/>
      <c r="V196" s="678"/>
      <c r="W196" s="678"/>
      <c r="X196" s="678"/>
      <c r="Y196" s="678"/>
      <c r="Z196" s="678"/>
      <c r="AA196" s="54"/>
      <c r="AB196" s="54"/>
      <c r="AC196" s="54"/>
    </row>
    <row r="197" spans="1:68" ht="16.5" customHeight="1" x14ac:dyDescent="0.25">
      <c r="A197" s="679" t="s">
        <v>345</v>
      </c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79"/>
      <c r="P197" s="679"/>
      <c r="Q197" s="679"/>
      <c r="R197" s="679"/>
      <c r="S197" s="679"/>
      <c r="T197" s="679"/>
      <c r="U197" s="679"/>
      <c r="V197" s="679"/>
      <c r="W197" s="679"/>
      <c r="X197" s="679"/>
      <c r="Y197" s="679"/>
      <c r="Z197" s="679"/>
      <c r="AA197" s="65"/>
      <c r="AB197" s="65"/>
      <c r="AC197" s="79"/>
    </row>
    <row r="198" spans="1:68" ht="14.25" customHeight="1" x14ac:dyDescent="0.25">
      <c r="A198" s="680" t="s">
        <v>139</v>
      </c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81">
        <v>4607091383423</v>
      </c>
      <c r="E199" s="681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7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83"/>
      <c r="R199" s="683"/>
      <c r="S199" s="683"/>
      <c r="T199" s="68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81">
        <v>4680115886957</v>
      </c>
      <c r="E200" s="681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8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83"/>
      <c r="R200" s="683"/>
      <c r="S200" s="683"/>
      <c r="T200" s="68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81">
        <v>4680115885660</v>
      </c>
      <c r="E201" s="681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83"/>
      <c r="R201" s="683"/>
      <c r="S201" s="683"/>
      <c r="T201" s="68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81">
        <v>4680115886773</v>
      </c>
      <c r="E202" s="681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8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83"/>
      <c r="R202" s="683"/>
      <c r="S202" s="683"/>
      <c r="T202" s="68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90"/>
      <c r="B203" s="690"/>
      <c r="C203" s="690"/>
      <c r="D203" s="690"/>
      <c r="E203" s="690"/>
      <c r="F203" s="690"/>
      <c r="G203" s="690"/>
      <c r="H203" s="690"/>
      <c r="I203" s="690"/>
      <c r="J203" s="690"/>
      <c r="K203" s="690"/>
      <c r="L203" s="690"/>
      <c r="M203" s="690"/>
      <c r="N203" s="690"/>
      <c r="O203" s="691"/>
      <c r="P203" s="687" t="s">
        <v>40</v>
      </c>
      <c r="Q203" s="688"/>
      <c r="R203" s="688"/>
      <c r="S203" s="688"/>
      <c r="T203" s="688"/>
      <c r="U203" s="688"/>
      <c r="V203" s="689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90"/>
      <c r="B204" s="690"/>
      <c r="C204" s="690"/>
      <c r="D204" s="690"/>
      <c r="E204" s="690"/>
      <c r="F204" s="690"/>
      <c r="G204" s="690"/>
      <c r="H204" s="690"/>
      <c r="I204" s="690"/>
      <c r="J204" s="690"/>
      <c r="K204" s="690"/>
      <c r="L204" s="690"/>
      <c r="M204" s="690"/>
      <c r="N204" s="690"/>
      <c r="O204" s="691"/>
      <c r="P204" s="687" t="s">
        <v>40</v>
      </c>
      <c r="Q204" s="688"/>
      <c r="R204" s="688"/>
      <c r="S204" s="688"/>
      <c r="T204" s="688"/>
      <c r="U204" s="688"/>
      <c r="V204" s="689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79" t="s">
        <v>357</v>
      </c>
      <c r="B205" s="679"/>
      <c r="C205" s="679"/>
      <c r="D205" s="679"/>
      <c r="E205" s="679"/>
      <c r="F205" s="679"/>
      <c r="G205" s="679"/>
      <c r="H205" s="679"/>
      <c r="I205" s="679"/>
      <c r="J205" s="679"/>
      <c r="K205" s="679"/>
      <c r="L205" s="679"/>
      <c r="M205" s="679"/>
      <c r="N205" s="679"/>
      <c r="O205" s="679"/>
      <c r="P205" s="679"/>
      <c r="Q205" s="679"/>
      <c r="R205" s="679"/>
      <c r="S205" s="679"/>
      <c r="T205" s="679"/>
      <c r="U205" s="679"/>
      <c r="V205" s="679"/>
      <c r="W205" s="679"/>
      <c r="X205" s="679"/>
      <c r="Y205" s="679"/>
      <c r="Z205" s="679"/>
      <c r="AA205" s="65"/>
      <c r="AB205" s="65"/>
      <c r="AC205" s="79"/>
    </row>
    <row r="206" spans="1:68" ht="14.25" customHeight="1" x14ac:dyDescent="0.25">
      <c r="A206" s="680" t="s">
        <v>174</v>
      </c>
      <c r="B206" s="680"/>
      <c r="C206" s="680"/>
      <c r="D206" s="680"/>
      <c r="E206" s="680"/>
      <c r="F206" s="680"/>
      <c r="G206" s="680"/>
      <c r="H206" s="680"/>
      <c r="I206" s="680"/>
      <c r="J206" s="680"/>
      <c r="K206" s="680"/>
      <c r="L206" s="680"/>
      <c r="M206" s="680"/>
      <c r="N206" s="680"/>
      <c r="O206" s="680"/>
      <c r="P206" s="680"/>
      <c r="Q206" s="680"/>
      <c r="R206" s="680"/>
      <c r="S206" s="680"/>
      <c r="T206" s="680"/>
      <c r="U206" s="680"/>
      <c r="V206" s="680"/>
      <c r="W206" s="680"/>
      <c r="X206" s="680"/>
      <c r="Y206" s="680"/>
      <c r="Z206" s="680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81">
        <v>4680115886223</v>
      </c>
      <c r="E207" s="681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83"/>
      <c r="R207" s="683"/>
      <c r="S207" s="683"/>
      <c r="T207" s="684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90"/>
      <c r="B208" s="690"/>
      <c r="C208" s="690"/>
      <c r="D208" s="690"/>
      <c r="E208" s="690"/>
      <c r="F208" s="690"/>
      <c r="G208" s="690"/>
      <c r="H208" s="690"/>
      <c r="I208" s="690"/>
      <c r="J208" s="690"/>
      <c r="K208" s="690"/>
      <c r="L208" s="690"/>
      <c r="M208" s="690"/>
      <c r="N208" s="690"/>
      <c r="O208" s="691"/>
      <c r="P208" s="687" t="s">
        <v>40</v>
      </c>
      <c r="Q208" s="688"/>
      <c r="R208" s="688"/>
      <c r="S208" s="688"/>
      <c r="T208" s="688"/>
      <c r="U208" s="688"/>
      <c r="V208" s="689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690"/>
      <c r="B209" s="690"/>
      <c r="C209" s="690"/>
      <c r="D209" s="690"/>
      <c r="E209" s="690"/>
      <c r="F209" s="690"/>
      <c r="G209" s="690"/>
      <c r="H209" s="690"/>
      <c r="I209" s="690"/>
      <c r="J209" s="690"/>
      <c r="K209" s="690"/>
      <c r="L209" s="690"/>
      <c r="M209" s="690"/>
      <c r="N209" s="690"/>
      <c r="O209" s="691"/>
      <c r="P209" s="687" t="s">
        <v>40</v>
      </c>
      <c r="Q209" s="688"/>
      <c r="R209" s="688"/>
      <c r="S209" s="688"/>
      <c r="T209" s="688"/>
      <c r="U209" s="688"/>
      <c r="V209" s="689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80" t="s">
        <v>77</v>
      </c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0"/>
      <c r="P210" s="680"/>
      <c r="Q210" s="680"/>
      <c r="R210" s="680"/>
      <c r="S210" s="680"/>
      <c r="T210" s="680"/>
      <c r="U210" s="680"/>
      <c r="V210" s="680"/>
      <c r="W210" s="680"/>
      <c r="X210" s="680"/>
      <c r="Y210" s="680"/>
      <c r="Z210" s="680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81">
        <v>4680115880993</v>
      </c>
      <c r="E211" s="681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8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83"/>
      <c r="R211" s="683"/>
      <c r="S211" s="683"/>
      <c r="T211" s="68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81">
        <v>4680115881761</v>
      </c>
      <c r="E212" s="681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83"/>
      <c r="R212" s="683"/>
      <c r="S212" s="683"/>
      <c r="T212" s="68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81">
        <v>4680115881563</v>
      </c>
      <c r="E213" s="681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83"/>
      <c r="R213" s="683"/>
      <c r="S213" s="683"/>
      <c r="T213" s="68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81">
        <v>4680115887565</v>
      </c>
      <c r="E214" s="681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83"/>
      <c r="R214" s="683"/>
      <c r="S214" s="683"/>
      <c r="T214" s="684"/>
      <c r="U214" s="39" t="s">
        <v>46</v>
      </c>
      <c r="V214" s="39" t="s">
        <v>46</v>
      </c>
      <c r="W214" s="40" t="s">
        <v>0</v>
      </c>
      <c r="X214" s="58">
        <v>20.8</v>
      </c>
      <c r="Y214" s="55">
        <f t="shared" si="21"/>
        <v>20.8</v>
      </c>
      <c r="Z214" s="41">
        <f>IFERROR(IF(Y214=0,"",ROUNDUP(Y214/H214,0)*0.00556),"")</f>
        <v>0.14455999999999999</v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24.18</v>
      </c>
      <c r="BN214" s="78">
        <f t="shared" si="23"/>
        <v>24.18</v>
      </c>
      <c r="BO214" s="78">
        <f t="shared" si="24"/>
        <v>0.10317460317460317</v>
      </c>
      <c r="BP214" s="78">
        <f t="shared" si="25"/>
        <v>0.10317460317460317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81">
        <v>4680115880986</v>
      </c>
      <c r="E215" s="681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8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83"/>
      <c r="R215" s="683"/>
      <c r="S215" s="683"/>
      <c r="T215" s="68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81">
        <v>4680115887213</v>
      </c>
      <c r="E216" s="681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83"/>
      <c r="R216" s="683"/>
      <c r="S216" s="683"/>
      <c r="T216" s="68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81">
        <v>4680115881785</v>
      </c>
      <c r="E217" s="68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9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83"/>
      <c r="R217" s="683"/>
      <c r="S217" s="683"/>
      <c r="T217" s="68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81">
        <v>4680115888432</v>
      </c>
      <c r="E218" s="681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83"/>
      <c r="R218" s="683"/>
      <c r="S218" s="683"/>
      <c r="T218" s="68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81">
        <v>4680115888104</v>
      </c>
      <c r="E219" s="681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9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83"/>
      <c r="R219" s="683"/>
      <c r="S219" s="683"/>
      <c r="T219" s="68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81">
        <v>4680115886537</v>
      </c>
      <c r="E220" s="68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9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83"/>
      <c r="R220" s="683"/>
      <c r="S220" s="683"/>
      <c r="T220" s="68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81">
        <v>4680115887596</v>
      </c>
      <c r="E221" s="681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83"/>
      <c r="R221" s="683"/>
      <c r="S221" s="683"/>
      <c r="T221" s="684"/>
      <c r="U221" s="39" t="s">
        <v>46</v>
      </c>
      <c r="V221" s="39" t="s">
        <v>46</v>
      </c>
      <c r="W221" s="40" t="s">
        <v>0</v>
      </c>
      <c r="X221" s="58">
        <v>18.48</v>
      </c>
      <c r="Y221" s="55">
        <f t="shared" si="21"/>
        <v>19.200000000000003</v>
      </c>
      <c r="Z221" s="41">
        <f>IFERROR(IF(Y221=0,"",ROUNDUP(Y221/H221,0)*0.00417),"")</f>
        <v>0.10008</v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23.331</v>
      </c>
      <c r="BN221" s="78">
        <f t="shared" si="23"/>
        <v>24.240000000000002</v>
      </c>
      <c r="BO221" s="78">
        <f t="shared" si="24"/>
        <v>6.8749999999999992E-2</v>
      </c>
      <c r="BP221" s="78">
        <f t="shared" si="25"/>
        <v>7.1428571428571438E-2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81">
        <v>4680115881679</v>
      </c>
      <c r="E222" s="68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83"/>
      <c r="R222" s="683"/>
      <c r="S222" s="683"/>
      <c r="T222" s="68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81">
        <v>4680115880191</v>
      </c>
      <c r="E223" s="681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83"/>
      <c r="R223" s="683"/>
      <c r="S223" s="683"/>
      <c r="T223" s="68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81">
        <v>4680115883963</v>
      </c>
      <c r="E224" s="681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83"/>
      <c r="R224" s="683"/>
      <c r="S224" s="683"/>
      <c r="T224" s="68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90"/>
      <c r="B225" s="690"/>
      <c r="C225" s="690"/>
      <c r="D225" s="690"/>
      <c r="E225" s="690"/>
      <c r="F225" s="690"/>
      <c r="G225" s="690"/>
      <c r="H225" s="690"/>
      <c r="I225" s="690"/>
      <c r="J225" s="690"/>
      <c r="K225" s="690"/>
      <c r="L225" s="690"/>
      <c r="M225" s="690"/>
      <c r="N225" s="690"/>
      <c r="O225" s="691"/>
      <c r="P225" s="687" t="s">
        <v>40</v>
      </c>
      <c r="Q225" s="688"/>
      <c r="R225" s="688"/>
      <c r="S225" s="688"/>
      <c r="T225" s="688"/>
      <c r="U225" s="688"/>
      <c r="V225" s="689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49.099999999999994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50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0.24464</v>
      </c>
      <c r="AA225" s="67"/>
      <c r="AB225" s="67"/>
      <c r="AC225" s="67"/>
    </row>
    <row r="226" spans="1:68" x14ac:dyDescent="0.2">
      <c r="A226" s="690"/>
      <c r="B226" s="690"/>
      <c r="C226" s="690"/>
      <c r="D226" s="690"/>
      <c r="E226" s="690"/>
      <c r="F226" s="690"/>
      <c r="G226" s="690"/>
      <c r="H226" s="690"/>
      <c r="I226" s="690"/>
      <c r="J226" s="690"/>
      <c r="K226" s="690"/>
      <c r="L226" s="690"/>
      <c r="M226" s="690"/>
      <c r="N226" s="690"/>
      <c r="O226" s="691"/>
      <c r="P226" s="687" t="s">
        <v>40</v>
      </c>
      <c r="Q226" s="688"/>
      <c r="R226" s="688"/>
      <c r="S226" s="688"/>
      <c r="T226" s="688"/>
      <c r="U226" s="688"/>
      <c r="V226" s="689"/>
      <c r="W226" s="42" t="s">
        <v>0</v>
      </c>
      <c r="X226" s="43">
        <f>IFERROR(SUM(X211:X224),"0")</f>
        <v>39.28</v>
      </c>
      <c r="Y226" s="43">
        <f>IFERROR(SUM(Y211:Y224),"0")</f>
        <v>40</v>
      </c>
      <c r="Z226" s="42"/>
      <c r="AA226" s="67"/>
      <c r="AB226" s="67"/>
      <c r="AC226" s="67"/>
    </row>
    <row r="227" spans="1:68" ht="14.25" customHeight="1" x14ac:dyDescent="0.25">
      <c r="A227" s="680" t="s">
        <v>90</v>
      </c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0"/>
      <c r="P227" s="680"/>
      <c r="Q227" s="680"/>
      <c r="R227" s="680"/>
      <c r="S227" s="680"/>
      <c r="T227" s="680"/>
      <c r="U227" s="680"/>
      <c r="V227" s="680"/>
      <c r="W227" s="680"/>
      <c r="X227" s="680"/>
      <c r="Y227" s="680"/>
      <c r="Z227" s="680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81">
        <v>4680115888982</v>
      </c>
      <c r="E228" s="681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83"/>
      <c r="R228" s="683"/>
      <c r="S228" s="683"/>
      <c r="T228" s="684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81">
        <v>4680115888951</v>
      </c>
      <c r="E229" s="681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3"/>
      <c r="R229" s="683"/>
      <c r="S229" s="683"/>
      <c r="T229" s="684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90"/>
      <c r="B230" s="690"/>
      <c r="C230" s="690"/>
      <c r="D230" s="690"/>
      <c r="E230" s="690"/>
      <c r="F230" s="690"/>
      <c r="G230" s="690"/>
      <c r="H230" s="690"/>
      <c r="I230" s="690"/>
      <c r="J230" s="690"/>
      <c r="K230" s="690"/>
      <c r="L230" s="690"/>
      <c r="M230" s="690"/>
      <c r="N230" s="690"/>
      <c r="O230" s="691"/>
      <c r="P230" s="687" t="s">
        <v>40</v>
      </c>
      <c r="Q230" s="688"/>
      <c r="R230" s="688"/>
      <c r="S230" s="688"/>
      <c r="T230" s="688"/>
      <c r="U230" s="688"/>
      <c r="V230" s="689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90"/>
      <c r="B231" s="690"/>
      <c r="C231" s="690"/>
      <c r="D231" s="690"/>
      <c r="E231" s="690"/>
      <c r="F231" s="690"/>
      <c r="G231" s="690"/>
      <c r="H231" s="690"/>
      <c r="I231" s="690"/>
      <c r="J231" s="690"/>
      <c r="K231" s="690"/>
      <c r="L231" s="690"/>
      <c r="M231" s="690"/>
      <c r="N231" s="690"/>
      <c r="O231" s="691"/>
      <c r="P231" s="687" t="s">
        <v>40</v>
      </c>
      <c r="Q231" s="688"/>
      <c r="R231" s="688"/>
      <c r="S231" s="688"/>
      <c r="T231" s="688"/>
      <c r="U231" s="688"/>
      <c r="V231" s="689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80" t="s">
        <v>118</v>
      </c>
      <c r="B232" s="680"/>
      <c r="C232" s="680"/>
      <c r="D232" s="680"/>
      <c r="E232" s="680"/>
      <c r="F232" s="680"/>
      <c r="G232" s="680"/>
      <c r="H232" s="680"/>
      <c r="I232" s="680"/>
      <c r="J232" s="680"/>
      <c r="K232" s="680"/>
      <c r="L232" s="680"/>
      <c r="M232" s="680"/>
      <c r="N232" s="680"/>
      <c r="O232" s="680"/>
      <c r="P232" s="680"/>
      <c r="Q232" s="680"/>
      <c r="R232" s="680"/>
      <c r="S232" s="680"/>
      <c r="T232" s="680"/>
      <c r="U232" s="680"/>
      <c r="V232" s="680"/>
      <c r="W232" s="680"/>
      <c r="X232" s="680"/>
      <c r="Y232" s="680"/>
      <c r="Z232" s="680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81">
        <v>4680115886780</v>
      </c>
      <c r="E233" s="681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8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83"/>
      <c r="R233" s="683"/>
      <c r="S233" s="683"/>
      <c r="T233" s="68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81">
        <v>4680115886742</v>
      </c>
      <c r="E234" s="681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8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83"/>
      <c r="R234" s="683"/>
      <c r="S234" s="683"/>
      <c r="T234" s="68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81">
        <v>4680115886766</v>
      </c>
      <c r="E235" s="681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8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83"/>
      <c r="R235" s="683"/>
      <c r="S235" s="683"/>
      <c r="T235" s="684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690"/>
      <c r="B236" s="690"/>
      <c r="C236" s="690"/>
      <c r="D236" s="690"/>
      <c r="E236" s="690"/>
      <c r="F236" s="690"/>
      <c r="G236" s="690"/>
      <c r="H236" s="690"/>
      <c r="I236" s="690"/>
      <c r="J236" s="690"/>
      <c r="K236" s="690"/>
      <c r="L236" s="690"/>
      <c r="M236" s="690"/>
      <c r="N236" s="690"/>
      <c r="O236" s="691"/>
      <c r="P236" s="687" t="s">
        <v>40</v>
      </c>
      <c r="Q236" s="688"/>
      <c r="R236" s="688"/>
      <c r="S236" s="688"/>
      <c r="T236" s="688"/>
      <c r="U236" s="688"/>
      <c r="V236" s="689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690"/>
      <c r="B237" s="690"/>
      <c r="C237" s="690"/>
      <c r="D237" s="690"/>
      <c r="E237" s="690"/>
      <c r="F237" s="690"/>
      <c r="G237" s="690"/>
      <c r="H237" s="690"/>
      <c r="I237" s="690"/>
      <c r="J237" s="690"/>
      <c r="K237" s="690"/>
      <c r="L237" s="690"/>
      <c r="M237" s="690"/>
      <c r="N237" s="690"/>
      <c r="O237" s="691"/>
      <c r="P237" s="687" t="s">
        <v>40</v>
      </c>
      <c r="Q237" s="688"/>
      <c r="R237" s="688"/>
      <c r="S237" s="688"/>
      <c r="T237" s="688"/>
      <c r="U237" s="688"/>
      <c r="V237" s="689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80" t="s">
        <v>413</v>
      </c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0"/>
      <c r="P238" s="680"/>
      <c r="Q238" s="680"/>
      <c r="R238" s="680"/>
      <c r="S238" s="680"/>
      <c r="T238" s="680"/>
      <c r="U238" s="680"/>
      <c r="V238" s="680"/>
      <c r="W238" s="680"/>
      <c r="X238" s="680"/>
      <c r="Y238" s="680"/>
      <c r="Z238" s="680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81">
        <v>4680115886797</v>
      </c>
      <c r="E239" s="68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8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83"/>
      <c r="R239" s="683"/>
      <c r="S239" s="683"/>
      <c r="T239" s="68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90"/>
      <c r="B240" s="690"/>
      <c r="C240" s="690"/>
      <c r="D240" s="690"/>
      <c r="E240" s="690"/>
      <c r="F240" s="690"/>
      <c r="G240" s="690"/>
      <c r="H240" s="690"/>
      <c r="I240" s="690"/>
      <c r="J240" s="690"/>
      <c r="K240" s="690"/>
      <c r="L240" s="690"/>
      <c r="M240" s="690"/>
      <c r="N240" s="690"/>
      <c r="O240" s="691"/>
      <c r="P240" s="687" t="s">
        <v>40</v>
      </c>
      <c r="Q240" s="688"/>
      <c r="R240" s="688"/>
      <c r="S240" s="688"/>
      <c r="T240" s="688"/>
      <c r="U240" s="688"/>
      <c r="V240" s="689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690"/>
      <c r="B241" s="690"/>
      <c r="C241" s="690"/>
      <c r="D241" s="690"/>
      <c r="E241" s="690"/>
      <c r="F241" s="690"/>
      <c r="G241" s="690"/>
      <c r="H241" s="690"/>
      <c r="I241" s="690"/>
      <c r="J241" s="690"/>
      <c r="K241" s="690"/>
      <c r="L241" s="690"/>
      <c r="M241" s="690"/>
      <c r="N241" s="690"/>
      <c r="O241" s="691"/>
      <c r="P241" s="687" t="s">
        <v>40</v>
      </c>
      <c r="Q241" s="688"/>
      <c r="R241" s="688"/>
      <c r="S241" s="688"/>
      <c r="T241" s="688"/>
      <c r="U241" s="688"/>
      <c r="V241" s="689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79" t="s">
        <v>416</v>
      </c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79"/>
      <c r="P242" s="679"/>
      <c r="Q242" s="679"/>
      <c r="R242" s="679"/>
      <c r="S242" s="679"/>
      <c r="T242" s="679"/>
      <c r="U242" s="679"/>
      <c r="V242" s="679"/>
      <c r="W242" s="679"/>
      <c r="X242" s="679"/>
      <c r="Y242" s="679"/>
      <c r="Z242" s="679"/>
      <c r="AA242" s="65"/>
      <c r="AB242" s="65"/>
      <c r="AC242" s="79"/>
    </row>
    <row r="243" spans="1:68" ht="14.25" customHeight="1" x14ac:dyDescent="0.25">
      <c r="A243" s="680" t="s">
        <v>139</v>
      </c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0"/>
      <c r="P243" s="680"/>
      <c r="Q243" s="680"/>
      <c r="R243" s="680"/>
      <c r="S243" s="680"/>
      <c r="T243" s="680"/>
      <c r="U243" s="680"/>
      <c r="V243" s="680"/>
      <c r="W243" s="680"/>
      <c r="X243" s="680"/>
      <c r="Y243" s="680"/>
      <c r="Z243" s="680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81">
        <v>4680115881402</v>
      </c>
      <c r="E244" s="681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83"/>
      <c r="R244" s="683"/>
      <c r="S244" s="683"/>
      <c r="T244" s="68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81">
        <v>4680115881396</v>
      </c>
      <c r="E245" s="681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83"/>
      <c r="R245" s="683"/>
      <c r="S245" s="683"/>
      <c r="T245" s="68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90"/>
      <c r="B246" s="690"/>
      <c r="C246" s="690"/>
      <c r="D246" s="690"/>
      <c r="E246" s="690"/>
      <c r="F246" s="690"/>
      <c r="G246" s="690"/>
      <c r="H246" s="690"/>
      <c r="I246" s="690"/>
      <c r="J246" s="690"/>
      <c r="K246" s="690"/>
      <c r="L246" s="690"/>
      <c r="M246" s="690"/>
      <c r="N246" s="690"/>
      <c r="O246" s="691"/>
      <c r="P246" s="687" t="s">
        <v>40</v>
      </c>
      <c r="Q246" s="688"/>
      <c r="R246" s="688"/>
      <c r="S246" s="688"/>
      <c r="T246" s="688"/>
      <c r="U246" s="688"/>
      <c r="V246" s="689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690"/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1"/>
      <c r="P247" s="687" t="s">
        <v>40</v>
      </c>
      <c r="Q247" s="688"/>
      <c r="R247" s="688"/>
      <c r="S247" s="688"/>
      <c r="T247" s="688"/>
      <c r="U247" s="688"/>
      <c r="V247" s="689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80" t="s">
        <v>174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81">
        <v>4680115882935</v>
      </c>
      <c r="E249" s="68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83"/>
      <c r="R249" s="683"/>
      <c r="S249" s="683"/>
      <c r="T249" s="68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81">
        <v>4680115880764</v>
      </c>
      <c r="E250" s="681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83"/>
      <c r="R250" s="683"/>
      <c r="S250" s="683"/>
      <c r="T250" s="68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0"/>
      <c r="B251" s="690"/>
      <c r="C251" s="690"/>
      <c r="D251" s="690"/>
      <c r="E251" s="690"/>
      <c r="F251" s="690"/>
      <c r="G251" s="690"/>
      <c r="H251" s="690"/>
      <c r="I251" s="690"/>
      <c r="J251" s="690"/>
      <c r="K251" s="690"/>
      <c r="L251" s="690"/>
      <c r="M251" s="690"/>
      <c r="N251" s="690"/>
      <c r="O251" s="691"/>
      <c r="P251" s="687" t="s">
        <v>40</v>
      </c>
      <c r="Q251" s="688"/>
      <c r="R251" s="688"/>
      <c r="S251" s="688"/>
      <c r="T251" s="688"/>
      <c r="U251" s="688"/>
      <c r="V251" s="689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0"/>
      <c r="B252" s="690"/>
      <c r="C252" s="690"/>
      <c r="D252" s="690"/>
      <c r="E252" s="690"/>
      <c r="F252" s="690"/>
      <c r="G252" s="690"/>
      <c r="H252" s="690"/>
      <c r="I252" s="690"/>
      <c r="J252" s="690"/>
      <c r="K252" s="690"/>
      <c r="L252" s="690"/>
      <c r="M252" s="690"/>
      <c r="N252" s="690"/>
      <c r="O252" s="691"/>
      <c r="P252" s="687" t="s">
        <v>40</v>
      </c>
      <c r="Q252" s="688"/>
      <c r="R252" s="688"/>
      <c r="S252" s="688"/>
      <c r="T252" s="688"/>
      <c r="U252" s="688"/>
      <c r="V252" s="689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0" t="s">
        <v>77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81">
        <v>4680115882683</v>
      </c>
      <c r="E254" s="681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83"/>
      <c r="R254" s="683"/>
      <c r="S254" s="683"/>
      <c r="T254" s="684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81">
        <v>4680115882690</v>
      </c>
      <c r="E255" s="681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83"/>
      <c r="R255" s="683"/>
      <c r="S255" s="683"/>
      <c r="T255" s="684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81">
        <v>4680115882669</v>
      </c>
      <c r="E256" s="681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83"/>
      <c r="R256" s="683"/>
      <c r="S256" s="683"/>
      <c r="T256" s="684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81">
        <v>4680115882676</v>
      </c>
      <c r="E257" s="681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83"/>
      <c r="R257" s="683"/>
      <c r="S257" s="683"/>
      <c r="T257" s="684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81">
        <v>4680115884014</v>
      </c>
      <c r="E258" s="681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8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83"/>
      <c r="R258" s="683"/>
      <c r="S258" s="683"/>
      <c r="T258" s="684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81">
        <v>4680115884007</v>
      </c>
      <c r="E259" s="681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83"/>
      <c r="R259" s="683"/>
      <c r="S259" s="683"/>
      <c r="T259" s="68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81">
        <v>4680115884038</v>
      </c>
      <c r="E260" s="681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83"/>
      <c r="R260" s="683"/>
      <c r="S260" s="683"/>
      <c r="T260" s="68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81">
        <v>4680115884021</v>
      </c>
      <c r="E261" s="681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83"/>
      <c r="R261" s="683"/>
      <c r="S261" s="683"/>
      <c r="T261" s="68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">
      <c r="A262" s="690"/>
      <c r="B262" s="690"/>
      <c r="C262" s="690"/>
      <c r="D262" s="690"/>
      <c r="E262" s="690"/>
      <c r="F262" s="690"/>
      <c r="G262" s="690"/>
      <c r="H262" s="690"/>
      <c r="I262" s="690"/>
      <c r="J262" s="690"/>
      <c r="K262" s="690"/>
      <c r="L262" s="690"/>
      <c r="M262" s="690"/>
      <c r="N262" s="690"/>
      <c r="O262" s="691"/>
      <c r="P262" s="687" t="s">
        <v>40</v>
      </c>
      <c r="Q262" s="688"/>
      <c r="R262" s="688"/>
      <c r="S262" s="688"/>
      <c r="T262" s="688"/>
      <c r="U262" s="688"/>
      <c r="V262" s="689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">
      <c r="A263" s="690"/>
      <c r="B263" s="690"/>
      <c r="C263" s="690"/>
      <c r="D263" s="690"/>
      <c r="E263" s="690"/>
      <c r="F263" s="690"/>
      <c r="G263" s="690"/>
      <c r="H263" s="690"/>
      <c r="I263" s="690"/>
      <c r="J263" s="690"/>
      <c r="K263" s="690"/>
      <c r="L263" s="690"/>
      <c r="M263" s="690"/>
      <c r="N263" s="690"/>
      <c r="O263" s="691"/>
      <c r="P263" s="687" t="s">
        <v>40</v>
      </c>
      <c r="Q263" s="688"/>
      <c r="R263" s="688"/>
      <c r="S263" s="688"/>
      <c r="T263" s="688"/>
      <c r="U263" s="688"/>
      <c r="V263" s="689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80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81">
        <v>4680115889064</v>
      </c>
      <c r="E265" s="681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83"/>
      <c r="R265" s="683"/>
      <c r="S265" s="683"/>
      <c r="T265" s="68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81">
        <v>4680115881594</v>
      </c>
      <c r="E266" s="681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8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3"/>
      <c r="R266" s="683"/>
      <c r="S266" s="683"/>
      <c r="T266" s="68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81">
        <v>4680115881617</v>
      </c>
      <c r="E267" s="681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81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3"/>
      <c r="R267" s="683"/>
      <c r="S267" s="683"/>
      <c r="T267" s="684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81">
        <v>4680115880573</v>
      </c>
      <c r="E268" s="681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8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3"/>
      <c r="R268" s="683"/>
      <c r="S268" s="683"/>
      <c r="T268" s="68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81">
        <v>4680115882195</v>
      </c>
      <c r="E269" s="681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3"/>
      <c r="R269" s="683"/>
      <c r="S269" s="683"/>
      <c r="T269" s="68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81">
        <v>4680115882607</v>
      </c>
      <c r="E270" s="681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8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3"/>
      <c r="R270" s="683"/>
      <c r="S270" s="683"/>
      <c r="T270" s="68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81">
        <v>4680115882607</v>
      </c>
      <c r="E271" s="681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3"/>
      <c r="R271" s="683"/>
      <c r="S271" s="683"/>
      <c r="T271" s="68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81">
        <v>4680115880092</v>
      </c>
      <c r="E272" s="68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8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3"/>
      <c r="R272" s="683"/>
      <c r="S272" s="683"/>
      <c r="T272" s="684"/>
      <c r="U272" s="39" t="s">
        <v>46</v>
      </c>
      <c r="V272" s="39" t="s">
        <v>46</v>
      </c>
      <c r="W272" s="40" t="s">
        <v>0</v>
      </c>
      <c r="X272" s="58">
        <v>85.2</v>
      </c>
      <c r="Y272" s="55">
        <f t="shared" si="32"/>
        <v>86.399999999999991</v>
      </c>
      <c r="Z272" s="41">
        <f>IFERROR(IF(Y272=0,"",ROUNDUP(Y272/H272,0)*0.00651),"")</f>
        <v>0.23436000000000001</v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94.146000000000015</v>
      </c>
      <c r="BN272" s="78">
        <f t="shared" si="34"/>
        <v>95.472000000000008</v>
      </c>
      <c r="BO272" s="78">
        <f t="shared" si="35"/>
        <v>0.19505494505494508</v>
      </c>
      <c r="BP272" s="78">
        <f t="shared" si="36"/>
        <v>0.19780219780219782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81">
        <v>4680115880221</v>
      </c>
      <c r="E273" s="681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8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83"/>
      <c r="R273" s="683"/>
      <c r="S273" s="683"/>
      <c r="T273" s="684"/>
      <c r="U273" s="39" t="s">
        <v>46</v>
      </c>
      <c r="V273" s="39" t="s">
        <v>46</v>
      </c>
      <c r="W273" s="40" t="s">
        <v>0</v>
      </c>
      <c r="X273" s="58">
        <v>87.2</v>
      </c>
      <c r="Y273" s="55">
        <f t="shared" si="32"/>
        <v>88.8</v>
      </c>
      <c r="Z273" s="41">
        <f>IFERROR(IF(Y273=0,"",ROUNDUP(Y273/H273,0)*0.00651),"")</f>
        <v>0.24087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96.356000000000023</v>
      </c>
      <c r="BN273" s="78">
        <f t="shared" si="34"/>
        <v>98.124000000000009</v>
      </c>
      <c r="BO273" s="78">
        <f t="shared" si="35"/>
        <v>0.19963369963369967</v>
      </c>
      <c r="BP273" s="78">
        <f t="shared" si="36"/>
        <v>0.20329670329670332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81">
        <v>4680115880504</v>
      </c>
      <c r="E274" s="681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8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83"/>
      <c r="R274" s="683"/>
      <c r="S274" s="683"/>
      <c r="T274" s="68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81">
        <v>4680115882164</v>
      </c>
      <c r="E275" s="681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8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83"/>
      <c r="R275" s="683"/>
      <c r="S275" s="683"/>
      <c r="T275" s="68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81">
        <v>4680115888340</v>
      </c>
      <c r="E276" s="68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83"/>
      <c r="R276" s="683"/>
      <c r="S276" s="683"/>
      <c r="T276" s="68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">
      <c r="A277" s="690"/>
      <c r="B277" s="690"/>
      <c r="C277" s="690"/>
      <c r="D277" s="690"/>
      <c r="E277" s="690"/>
      <c r="F277" s="690"/>
      <c r="G277" s="690"/>
      <c r="H277" s="690"/>
      <c r="I277" s="690"/>
      <c r="J277" s="690"/>
      <c r="K277" s="690"/>
      <c r="L277" s="690"/>
      <c r="M277" s="690"/>
      <c r="N277" s="690"/>
      <c r="O277" s="691"/>
      <c r="P277" s="687" t="s">
        <v>40</v>
      </c>
      <c r="Q277" s="688"/>
      <c r="R277" s="688"/>
      <c r="S277" s="688"/>
      <c r="T277" s="688"/>
      <c r="U277" s="688"/>
      <c r="V277" s="689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71.833333333333343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73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0.47523000000000004</v>
      </c>
      <c r="AA277" s="67"/>
      <c r="AB277" s="67"/>
      <c r="AC277" s="67"/>
    </row>
    <row r="278" spans="1:68" x14ac:dyDescent="0.2">
      <c r="A278" s="690"/>
      <c r="B278" s="690"/>
      <c r="C278" s="690"/>
      <c r="D278" s="690"/>
      <c r="E278" s="690"/>
      <c r="F278" s="690"/>
      <c r="G278" s="690"/>
      <c r="H278" s="690"/>
      <c r="I278" s="690"/>
      <c r="J278" s="690"/>
      <c r="K278" s="690"/>
      <c r="L278" s="690"/>
      <c r="M278" s="690"/>
      <c r="N278" s="690"/>
      <c r="O278" s="691"/>
      <c r="P278" s="687" t="s">
        <v>40</v>
      </c>
      <c r="Q278" s="688"/>
      <c r="R278" s="688"/>
      <c r="S278" s="688"/>
      <c r="T278" s="688"/>
      <c r="U278" s="688"/>
      <c r="V278" s="689"/>
      <c r="W278" s="42" t="s">
        <v>0</v>
      </c>
      <c r="X278" s="43">
        <f>IFERROR(SUM(X265:X276),"0")</f>
        <v>172.4</v>
      </c>
      <c r="Y278" s="43">
        <f>IFERROR(SUM(Y265:Y276),"0")</f>
        <v>175.2</v>
      </c>
      <c r="Z278" s="42"/>
      <c r="AA278" s="67"/>
      <c r="AB278" s="67"/>
      <c r="AC278" s="67"/>
    </row>
    <row r="279" spans="1:68" ht="14.25" customHeight="1" x14ac:dyDescent="0.25">
      <c r="A279" s="680" t="s">
        <v>191</v>
      </c>
      <c r="B279" s="680"/>
      <c r="C279" s="680"/>
      <c r="D279" s="680"/>
      <c r="E279" s="680"/>
      <c r="F279" s="680"/>
      <c r="G279" s="680"/>
      <c r="H279" s="680"/>
      <c r="I279" s="680"/>
      <c r="J279" s="680"/>
      <c r="K279" s="680"/>
      <c r="L279" s="680"/>
      <c r="M279" s="680"/>
      <c r="N279" s="680"/>
      <c r="O279" s="680"/>
      <c r="P279" s="680"/>
      <c r="Q279" s="680"/>
      <c r="R279" s="680"/>
      <c r="S279" s="680"/>
      <c r="T279" s="680"/>
      <c r="U279" s="680"/>
      <c r="V279" s="680"/>
      <c r="W279" s="680"/>
      <c r="X279" s="680"/>
      <c r="Y279" s="680"/>
      <c r="Z279" s="680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81">
        <v>4680115880818</v>
      </c>
      <c r="E280" s="681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8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83"/>
      <c r="R280" s="683"/>
      <c r="S280" s="683"/>
      <c r="T280" s="684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81">
        <v>4680115880801</v>
      </c>
      <c r="E281" s="68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8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83"/>
      <c r="R281" s="683"/>
      <c r="S281" s="683"/>
      <c r="T281" s="684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90"/>
      <c r="B282" s="690"/>
      <c r="C282" s="690"/>
      <c r="D282" s="690"/>
      <c r="E282" s="690"/>
      <c r="F282" s="690"/>
      <c r="G282" s="690"/>
      <c r="H282" s="690"/>
      <c r="I282" s="690"/>
      <c r="J282" s="690"/>
      <c r="K282" s="690"/>
      <c r="L282" s="690"/>
      <c r="M282" s="690"/>
      <c r="N282" s="690"/>
      <c r="O282" s="691"/>
      <c r="P282" s="687" t="s">
        <v>40</v>
      </c>
      <c r="Q282" s="688"/>
      <c r="R282" s="688"/>
      <c r="S282" s="688"/>
      <c r="T282" s="688"/>
      <c r="U282" s="688"/>
      <c r="V282" s="689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">
      <c r="A283" s="690"/>
      <c r="B283" s="690"/>
      <c r="C283" s="690"/>
      <c r="D283" s="690"/>
      <c r="E283" s="690"/>
      <c r="F283" s="690"/>
      <c r="G283" s="690"/>
      <c r="H283" s="690"/>
      <c r="I283" s="690"/>
      <c r="J283" s="690"/>
      <c r="K283" s="690"/>
      <c r="L283" s="690"/>
      <c r="M283" s="690"/>
      <c r="N283" s="690"/>
      <c r="O283" s="691"/>
      <c r="P283" s="687" t="s">
        <v>40</v>
      </c>
      <c r="Q283" s="688"/>
      <c r="R283" s="688"/>
      <c r="S283" s="688"/>
      <c r="T283" s="688"/>
      <c r="U283" s="688"/>
      <c r="V283" s="689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79" t="s">
        <v>484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5"/>
      <c r="AB284" s="65"/>
      <c r="AC284" s="79"/>
    </row>
    <row r="285" spans="1:68" ht="14.25" customHeight="1" x14ac:dyDescent="0.25">
      <c r="A285" s="680" t="s">
        <v>139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81">
        <v>4680115884137</v>
      </c>
      <c r="E286" s="681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83"/>
      <c r="R286" s="683"/>
      <c r="S286" s="683"/>
      <c r="T286" s="68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81">
        <v>4680115884236</v>
      </c>
      <c r="E287" s="681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8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83"/>
      <c r="R287" s="683"/>
      <c r="S287" s="683"/>
      <c r="T287" s="68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81">
        <v>4680115884175</v>
      </c>
      <c r="E288" s="681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8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83"/>
      <c r="R288" s="683"/>
      <c r="S288" s="683"/>
      <c r="T288" s="68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81">
        <v>4680115884144</v>
      </c>
      <c r="E289" s="681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8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83"/>
      <c r="R289" s="683"/>
      <c r="S289" s="683"/>
      <c r="T289" s="684"/>
      <c r="U289" s="39" t="s">
        <v>46</v>
      </c>
      <c r="V289" s="39" t="s">
        <v>46</v>
      </c>
      <c r="W289" s="40" t="s">
        <v>0</v>
      </c>
      <c r="X289" s="58">
        <v>92</v>
      </c>
      <c r="Y289" s="55">
        <f t="shared" si="37"/>
        <v>92</v>
      </c>
      <c r="Z289" s="41">
        <f>IFERROR(IF(Y289=0,"",ROUNDUP(Y289/H289,0)*0.00902),"")</f>
        <v>0.20746000000000001</v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96.37</v>
      </c>
      <c r="BN289" s="78">
        <f t="shared" si="39"/>
        <v>96.37</v>
      </c>
      <c r="BO289" s="78">
        <f t="shared" si="40"/>
        <v>0.17424242424242425</v>
      </c>
      <c r="BP289" s="78">
        <f t="shared" si="41"/>
        <v>0.17424242424242425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81">
        <v>4680115886551</v>
      </c>
      <c r="E290" s="681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8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83"/>
      <c r="R290" s="683"/>
      <c r="S290" s="683"/>
      <c r="T290" s="68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81">
        <v>4680115887282</v>
      </c>
      <c r="E291" s="681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8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83"/>
      <c r="R291" s="683"/>
      <c r="S291" s="683"/>
      <c r="T291" s="68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81">
        <v>4680115884205</v>
      </c>
      <c r="E292" s="68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8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83"/>
      <c r="R292" s="683"/>
      <c r="S292" s="683"/>
      <c r="T292" s="684"/>
      <c r="U292" s="39" t="s">
        <v>46</v>
      </c>
      <c r="V292" s="39" t="s">
        <v>46</v>
      </c>
      <c r="W292" s="40" t="s">
        <v>0</v>
      </c>
      <c r="X292" s="58">
        <v>105.2</v>
      </c>
      <c r="Y292" s="55">
        <f t="shared" si="37"/>
        <v>108</v>
      </c>
      <c r="Z292" s="41">
        <f>IFERROR(IF(Y292=0,"",ROUNDUP(Y292/H292,0)*0.00902),"")</f>
        <v>0.24354000000000001</v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110.19700000000002</v>
      </c>
      <c r="BN292" s="78">
        <f t="shared" si="39"/>
        <v>113.13000000000001</v>
      </c>
      <c r="BO292" s="78">
        <f t="shared" si="40"/>
        <v>0.19924242424242425</v>
      </c>
      <c r="BP292" s="78">
        <f t="shared" si="41"/>
        <v>0.20454545454545456</v>
      </c>
    </row>
    <row r="293" spans="1:68" x14ac:dyDescent="0.2">
      <c r="A293" s="690"/>
      <c r="B293" s="690"/>
      <c r="C293" s="690"/>
      <c r="D293" s="690"/>
      <c r="E293" s="690"/>
      <c r="F293" s="690"/>
      <c r="G293" s="690"/>
      <c r="H293" s="690"/>
      <c r="I293" s="690"/>
      <c r="J293" s="690"/>
      <c r="K293" s="690"/>
      <c r="L293" s="690"/>
      <c r="M293" s="690"/>
      <c r="N293" s="690"/>
      <c r="O293" s="691"/>
      <c r="P293" s="687" t="s">
        <v>40</v>
      </c>
      <c r="Q293" s="688"/>
      <c r="R293" s="688"/>
      <c r="S293" s="688"/>
      <c r="T293" s="688"/>
      <c r="U293" s="688"/>
      <c r="V293" s="689"/>
      <c r="W293" s="42" t="s">
        <v>39</v>
      </c>
      <c r="X293" s="43">
        <f>IFERROR(X286/H286,"0")+IFERROR(X287/H287,"0")+IFERROR(X288/H288,"0")+IFERROR(X289/H289,"0")+IFERROR(X290/H290,"0")+IFERROR(X291/H291,"0")+IFERROR(X292/H292,"0")</f>
        <v>49.3</v>
      </c>
      <c r="Y293" s="43">
        <f>IFERROR(Y286/H286,"0")+IFERROR(Y287/H287,"0")+IFERROR(Y288/H288,"0")+IFERROR(Y289/H289,"0")+IFERROR(Y290/H290,"0")+IFERROR(Y291/H291,"0")+IFERROR(Y292/H292,"0")</f>
        <v>50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0.45100000000000001</v>
      </c>
      <c r="AA293" s="67"/>
      <c r="AB293" s="67"/>
      <c r="AC293" s="67"/>
    </row>
    <row r="294" spans="1:68" x14ac:dyDescent="0.2">
      <c r="A294" s="690"/>
      <c r="B294" s="690"/>
      <c r="C294" s="690"/>
      <c r="D294" s="690"/>
      <c r="E294" s="690"/>
      <c r="F294" s="690"/>
      <c r="G294" s="690"/>
      <c r="H294" s="690"/>
      <c r="I294" s="690"/>
      <c r="J294" s="690"/>
      <c r="K294" s="690"/>
      <c r="L294" s="690"/>
      <c r="M294" s="690"/>
      <c r="N294" s="690"/>
      <c r="O294" s="691"/>
      <c r="P294" s="687" t="s">
        <v>40</v>
      </c>
      <c r="Q294" s="688"/>
      <c r="R294" s="688"/>
      <c r="S294" s="688"/>
      <c r="T294" s="688"/>
      <c r="U294" s="688"/>
      <c r="V294" s="689"/>
      <c r="W294" s="42" t="s">
        <v>0</v>
      </c>
      <c r="X294" s="43">
        <f>IFERROR(SUM(X286:X292),"0")</f>
        <v>197.2</v>
      </c>
      <c r="Y294" s="43">
        <f>IFERROR(SUM(Y286:Y292),"0")</f>
        <v>200</v>
      </c>
      <c r="Z294" s="42"/>
      <c r="AA294" s="67"/>
      <c r="AB294" s="67"/>
      <c r="AC294" s="67"/>
    </row>
    <row r="295" spans="1:68" ht="14.25" customHeight="1" x14ac:dyDescent="0.25">
      <c r="A295" s="680" t="s">
        <v>174</v>
      </c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0"/>
      <c r="P295" s="680"/>
      <c r="Q295" s="680"/>
      <c r="R295" s="680"/>
      <c r="S295" s="680"/>
      <c r="T295" s="680"/>
      <c r="U295" s="680"/>
      <c r="V295" s="680"/>
      <c r="W295" s="680"/>
      <c r="X295" s="680"/>
      <c r="Y295" s="680"/>
      <c r="Z295" s="680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81">
        <v>4680115885981</v>
      </c>
      <c r="E296" s="681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8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83"/>
      <c r="R296" s="683"/>
      <c r="S296" s="683"/>
      <c r="T296" s="68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90"/>
      <c r="B297" s="690"/>
      <c r="C297" s="690"/>
      <c r="D297" s="690"/>
      <c r="E297" s="690"/>
      <c r="F297" s="690"/>
      <c r="G297" s="690"/>
      <c r="H297" s="690"/>
      <c r="I297" s="690"/>
      <c r="J297" s="690"/>
      <c r="K297" s="690"/>
      <c r="L297" s="690"/>
      <c r="M297" s="690"/>
      <c r="N297" s="690"/>
      <c r="O297" s="691"/>
      <c r="P297" s="687" t="s">
        <v>40</v>
      </c>
      <c r="Q297" s="688"/>
      <c r="R297" s="688"/>
      <c r="S297" s="688"/>
      <c r="T297" s="688"/>
      <c r="U297" s="688"/>
      <c r="V297" s="689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">
      <c r="A298" s="690"/>
      <c r="B298" s="690"/>
      <c r="C298" s="690"/>
      <c r="D298" s="690"/>
      <c r="E298" s="690"/>
      <c r="F298" s="690"/>
      <c r="G298" s="690"/>
      <c r="H298" s="690"/>
      <c r="I298" s="690"/>
      <c r="J298" s="690"/>
      <c r="K298" s="690"/>
      <c r="L298" s="690"/>
      <c r="M298" s="690"/>
      <c r="N298" s="690"/>
      <c r="O298" s="691"/>
      <c r="P298" s="687" t="s">
        <v>40</v>
      </c>
      <c r="Q298" s="688"/>
      <c r="R298" s="688"/>
      <c r="S298" s="688"/>
      <c r="T298" s="688"/>
      <c r="U298" s="688"/>
      <c r="V298" s="689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80" t="s">
        <v>506</v>
      </c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80"/>
      <c r="P299" s="680"/>
      <c r="Q299" s="680"/>
      <c r="R299" s="680"/>
      <c r="S299" s="680"/>
      <c r="T299" s="680"/>
      <c r="U299" s="680"/>
      <c r="V299" s="680"/>
      <c r="W299" s="680"/>
      <c r="X299" s="680"/>
      <c r="Y299" s="680"/>
      <c r="Z299" s="680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81">
        <v>4680115886803</v>
      </c>
      <c r="E300" s="681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8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83"/>
      <c r="R300" s="683"/>
      <c r="S300" s="683"/>
      <c r="T300" s="684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90"/>
      <c r="B301" s="690"/>
      <c r="C301" s="690"/>
      <c r="D301" s="690"/>
      <c r="E301" s="690"/>
      <c r="F301" s="690"/>
      <c r="G301" s="690"/>
      <c r="H301" s="690"/>
      <c r="I301" s="690"/>
      <c r="J301" s="690"/>
      <c r="K301" s="690"/>
      <c r="L301" s="690"/>
      <c r="M301" s="690"/>
      <c r="N301" s="690"/>
      <c r="O301" s="691"/>
      <c r="P301" s="687" t="s">
        <v>40</v>
      </c>
      <c r="Q301" s="688"/>
      <c r="R301" s="688"/>
      <c r="S301" s="688"/>
      <c r="T301" s="688"/>
      <c r="U301" s="688"/>
      <c r="V301" s="689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">
      <c r="A302" s="690"/>
      <c r="B302" s="690"/>
      <c r="C302" s="690"/>
      <c r="D302" s="690"/>
      <c r="E302" s="690"/>
      <c r="F302" s="690"/>
      <c r="G302" s="690"/>
      <c r="H302" s="690"/>
      <c r="I302" s="690"/>
      <c r="J302" s="690"/>
      <c r="K302" s="690"/>
      <c r="L302" s="690"/>
      <c r="M302" s="690"/>
      <c r="N302" s="690"/>
      <c r="O302" s="691"/>
      <c r="P302" s="687" t="s">
        <v>40</v>
      </c>
      <c r="Q302" s="688"/>
      <c r="R302" s="688"/>
      <c r="S302" s="688"/>
      <c r="T302" s="688"/>
      <c r="U302" s="688"/>
      <c r="V302" s="689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80" t="s">
        <v>340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81">
        <v>4680115886704</v>
      </c>
      <c r="E304" s="681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83"/>
      <c r="R304" s="683"/>
      <c r="S304" s="683"/>
      <c r="T304" s="684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81">
        <v>4680115886681</v>
      </c>
      <c r="E305" s="68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8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83"/>
      <c r="R305" s="683"/>
      <c r="S305" s="683"/>
      <c r="T305" s="68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81">
        <v>4680115886735</v>
      </c>
      <c r="E306" s="681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8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83"/>
      <c r="R306" s="683"/>
      <c r="S306" s="683"/>
      <c r="T306" s="684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81">
        <v>4680115886728</v>
      </c>
      <c r="E307" s="681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8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83"/>
      <c r="R307" s="683"/>
      <c r="S307" s="683"/>
      <c r="T307" s="68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81">
        <v>4680115886711</v>
      </c>
      <c r="E308" s="681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8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83"/>
      <c r="R308" s="683"/>
      <c r="S308" s="683"/>
      <c r="T308" s="684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90"/>
      <c r="B309" s="690"/>
      <c r="C309" s="690"/>
      <c r="D309" s="690"/>
      <c r="E309" s="690"/>
      <c r="F309" s="690"/>
      <c r="G309" s="690"/>
      <c r="H309" s="690"/>
      <c r="I309" s="690"/>
      <c r="J309" s="690"/>
      <c r="K309" s="690"/>
      <c r="L309" s="690"/>
      <c r="M309" s="690"/>
      <c r="N309" s="690"/>
      <c r="O309" s="691"/>
      <c r="P309" s="687" t="s">
        <v>40</v>
      </c>
      <c r="Q309" s="688"/>
      <c r="R309" s="688"/>
      <c r="S309" s="688"/>
      <c r="T309" s="688"/>
      <c r="U309" s="688"/>
      <c r="V309" s="689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90"/>
      <c r="B310" s="690"/>
      <c r="C310" s="690"/>
      <c r="D310" s="690"/>
      <c r="E310" s="690"/>
      <c r="F310" s="690"/>
      <c r="G310" s="690"/>
      <c r="H310" s="690"/>
      <c r="I310" s="690"/>
      <c r="J310" s="690"/>
      <c r="K310" s="690"/>
      <c r="L310" s="690"/>
      <c r="M310" s="690"/>
      <c r="N310" s="690"/>
      <c r="O310" s="691"/>
      <c r="P310" s="687" t="s">
        <v>40</v>
      </c>
      <c r="Q310" s="688"/>
      <c r="R310" s="688"/>
      <c r="S310" s="688"/>
      <c r="T310" s="688"/>
      <c r="U310" s="688"/>
      <c r="V310" s="689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79" t="s">
        <v>521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5"/>
      <c r="AB311" s="65"/>
      <c r="AC311" s="79"/>
    </row>
    <row r="312" spans="1:68" ht="14.25" customHeight="1" x14ac:dyDescent="0.25">
      <c r="A312" s="680" t="s">
        <v>139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81">
        <v>4680115885837</v>
      </c>
      <c r="E313" s="681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8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83"/>
      <c r="R313" s="683"/>
      <c r="S313" s="683"/>
      <c r="T313" s="684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81">
        <v>4680115887237</v>
      </c>
      <c r="E314" s="681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8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83"/>
      <c r="R314" s="683"/>
      <c r="S314" s="683"/>
      <c r="T314" s="684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81">
        <v>4680115885806</v>
      </c>
      <c r="E315" s="681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83"/>
      <c r="R315" s="683"/>
      <c r="S315" s="683"/>
      <c r="T315" s="68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81">
        <v>4680115885844</v>
      </c>
      <c r="E316" s="681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83"/>
      <c r="R316" s="683"/>
      <c r="S316" s="683"/>
      <c r="T316" s="68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81">
        <v>4680115885820</v>
      </c>
      <c r="E317" s="681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8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83"/>
      <c r="R317" s="683"/>
      <c r="S317" s="683"/>
      <c r="T317" s="684"/>
      <c r="U317" s="39" t="s">
        <v>46</v>
      </c>
      <c r="V317" s="39" t="s">
        <v>46</v>
      </c>
      <c r="W317" s="40" t="s">
        <v>0</v>
      </c>
      <c r="X317" s="58">
        <v>120</v>
      </c>
      <c r="Y317" s="55">
        <f>IFERROR(IF(X317="",0,CEILING((X317/$H317),1)*$H317),"")</f>
        <v>120</v>
      </c>
      <c r="Z317" s="41">
        <f>IFERROR(IF(Y317=0,"",ROUNDUP(Y317/H317,0)*0.00902),"")</f>
        <v>0.27060000000000001</v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125.70000000000002</v>
      </c>
      <c r="BN317" s="78">
        <f>IFERROR(Y317*I317/H317,"0")</f>
        <v>125.70000000000002</v>
      </c>
      <c r="BO317" s="78">
        <f>IFERROR(1/J317*(X317/H317),"0")</f>
        <v>0.22727272727272729</v>
      </c>
      <c r="BP317" s="78">
        <f>IFERROR(1/J317*(Y317/H317),"0")</f>
        <v>0.22727272727272729</v>
      </c>
    </row>
    <row r="318" spans="1:68" x14ac:dyDescent="0.2">
      <c r="A318" s="690"/>
      <c r="B318" s="690"/>
      <c r="C318" s="690"/>
      <c r="D318" s="690"/>
      <c r="E318" s="690"/>
      <c r="F318" s="690"/>
      <c r="G318" s="690"/>
      <c r="H318" s="690"/>
      <c r="I318" s="690"/>
      <c r="J318" s="690"/>
      <c r="K318" s="690"/>
      <c r="L318" s="690"/>
      <c r="M318" s="690"/>
      <c r="N318" s="690"/>
      <c r="O318" s="691"/>
      <c r="P318" s="687" t="s">
        <v>40</v>
      </c>
      <c r="Q318" s="688"/>
      <c r="R318" s="688"/>
      <c r="S318" s="688"/>
      <c r="T318" s="688"/>
      <c r="U318" s="688"/>
      <c r="V318" s="689"/>
      <c r="W318" s="42" t="s">
        <v>39</v>
      </c>
      <c r="X318" s="43">
        <f>IFERROR(X313/H313,"0")+IFERROR(X314/H314,"0")+IFERROR(X315/H315,"0")+IFERROR(X316/H316,"0")+IFERROR(X317/H317,"0")</f>
        <v>30</v>
      </c>
      <c r="Y318" s="43">
        <f>IFERROR(Y313/H313,"0")+IFERROR(Y314/H314,"0")+IFERROR(Y315/H315,"0")+IFERROR(Y316/H316,"0")+IFERROR(Y317/H317,"0")</f>
        <v>30</v>
      </c>
      <c r="Z318" s="43">
        <f>IFERROR(IF(Z313="",0,Z313),"0")+IFERROR(IF(Z314="",0,Z314),"0")+IFERROR(IF(Z315="",0,Z315),"0")+IFERROR(IF(Z316="",0,Z316),"0")+IFERROR(IF(Z317="",0,Z317),"0")</f>
        <v>0.27060000000000001</v>
      </c>
      <c r="AA318" s="67"/>
      <c r="AB318" s="67"/>
      <c r="AC318" s="67"/>
    </row>
    <row r="319" spans="1:68" x14ac:dyDescent="0.2">
      <c r="A319" s="690"/>
      <c r="B319" s="690"/>
      <c r="C319" s="690"/>
      <c r="D319" s="690"/>
      <c r="E319" s="690"/>
      <c r="F319" s="690"/>
      <c r="G319" s="690"/>
      <c r="H319" s="690"/>
      <c r="I319" s="690"/>
      <c r="J319" s="690"/>
      <c r="K319" s="690"/>
      <c r="L319" s="690"/>
      <c r="M319" s="690"/>
      <c r="N319" s="690"/>
      <c r="O319" s="691"/>
      <c r="P319" s="687" t="s">
        <v>40</v>
      </c>
      <c r="Q319" s="688"/>
      <c r="R319" s="688"/>
      <c r="S319" s="688"/>
      <c r="T319" s="688"/>
      <c r="U319" s="688"/>
      <c r="V319" s="689"/>
      <c r="W319" s="42" t="s">
        <v>0</v>
      </c>
      <c r="X319" s="43">
        <f>IFERROR(SUM(X313:X317),"0")</f>
        <v>120</v>
      </c>
      <c r="Y319" s="43">
        <f>IFERROR(SUM(Y313:Y317),"0")</f>
        <v>120</v>
      </c>
      <c r="Z319" s="42"/>
      <c r="AA319" s="67"/>
      <c r="AB319" s="67"/>
      <c r="AC319" s="67"/>
    </row>
    <row r="320" spans="1:68" ht="16.5" customHeight="1" x14ac:dyDescent="0.25">
      <c r="A320" s="679" t="s">
        <v>537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5"/>
      <c r="AB320" s="65"/>
      <c r="AC320" s="79"/>
    </row>
    <row r="321" spans="1:68" ht="14.25" customHeight="1" x14ac:dyDescent="0.25">
      <c r="A321" s="680" t="s">
        <v>90</v>
      </c>
      <c r="B321" s="680"/>
      <c r="C321" s="680"/>
      <c r="D321" s="680"/>
      <c r="E321" s="680"/>
      <c r="F321" s="680"/>
      <c r="G321" s="680"/>
      <c r="H321" s="680"/>
      <c r="I321" s="680"/>
      <c r="J321" s="680"/>
      <c r="K321" s="680"/>
      <c r="L321" s="680"/>
      <c r="M321" s="680"/>
      <c r="N321" s="680"/>
      <c r="O321" s="680"/>
      <c r="P321" s="680"/>
      <c r="Q321" s="680"/>
      <c r="R321" s="680"/>
      <c r="S321" s="680"/>
      <c r="T321" s="680"/>
      <c r="U321" s="680"/>
      <c r="V321" s="680"/>
      <c r="W321" s="680"/>
      <c r="X321" s="680"/>
      <c r="Y321" s="680"/>
      <c r="Z321" s="680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81">
        <v>4680115886186</v>
      </c>
      <c r="E322" s="681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83"/>
      <c r="R322" s="683"/>
      <c r="S322" s="683"/>
      <c r="T322" s="68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81">
        <v>4680115881228</v>
      </c>
      <c r="E323" s="681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8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83"/>
      <c r="R323" s="683"/>
      <c r="S323" s="683"/>
      <c r="T323" s="684"/>
      <c r="U323" s="39" t="s">
        <v>46</v>
      </c>
      <c r="V323" s="39" t="s">
        <v>46</v>
      </c>
      <c r="W323" s="40" t="s">
        <v>0</v>
      </c>
      <c r="X323" s="58">
        <v>96</v>
      </c>
      <c r="Y323" s="55">
        <f>IFERROR(IF(X323="",0,CEILING((X323/$H323),1)*$H323),"")</f>
        <v>96</v>
      </c>
      <c r="Z323" s="41">
        <f>IFERROR(IF(Y323=0,"",ROUNDUP(Y323/H323,0)*0.00651),"")</f>
        <v>0.26040000000000002</v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106.08000000000001</v>
      </c>
      <c r="BN323" s="78">
        <f>IFERROR(Y323*I323/H323,"0")</f>
        <v>106.08000000000001</v>
      </c>
      <c r="BO323" s="78">
        <f>IFERROR(1/J323*(X323/H323),"0")</f>
        <v>0.2197802197802198</v>
      </c>
      <c r="BP323" s="78">
        <f>IFERROR(1/J323*(Y323/H323),"0")</f>
        <v>0.2197802197802198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81">
        <v>4680115881211</v>
      </c>
      <c r="E324" s="681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8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83"/>
      <c r="R324" s="683"/>
      <c r="S324" s="683"/>
      <c r="T324" s="684"/>
      <c r="U324" s="39" t="s">
        <v>46</v>
      </c>
      <c r="V324" s="39" t="s">
        <v>46</v>
      </c>
      <c r="W324" s="40" t="s">
        <v>0</v>
      </c>
      <c r="X324" s="58">
        <v>60</v>
      </c>
      <c r="Y324" s="55">
        <f>IFERROR(IF(X324="",0,CEILING((X324/$H324),1)*$H324),"")</f>
        <v>60</v>
      </c>
      <c r="Z324" s="41">
        <f>IFERROR(IF(Y324=0,"",ROUNDUP(Y324/H324,0)*0.00651),"")</f>
        <v>0.16275000000000001</v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64.500000000000014</v>
      </c>
      <c r="BN324" s="78">
        <f>IFERROR(Y324*I324/H324,"0")</f>
        <v>64.500000000000014</v>
      </c>
      <c r="BO324" s="78">
        <f>IFERROR(1/J324*(X324/H324),"0")</f>
        <v>0.13736263736263737</v>
      </c>
      <c r="BP324" s="78">
        <f>IFERROR(1/J324*(Y324/H324),"0")</f>
        <v>0.13736263736263737</v>
      </c>
    </row>
    <row r="325" spans="1:68" x14ac:dyDescent="0.2">
      <c r="A325" s="690"/>
      <c r="B325" s="690"/>
      <c r="C325" s="690"/>
      <c r="D325" s="690"/>
      <c r="E325" s="690"/>
      <c r="F325" s="690"/>
      <c r="G325" s="690"/>
      <c r="H325" s="690"/>
      <c r="I325" s="690"/>
      <c r="J325" s="690"/>
      <c r="K325" s="690"/>
      <c r="L325" s="690"/>
      <c r="M325" s="690"/>
      <c r="N325" s="690"/>
      <c r="O325" s="691"/>
      <c r="P325" s="687" t="s">
        <v>40</v>
      </c>
      <c r="Q325" s="688"/>
      <c r="R325" s="688"/>
      <c r="S325" s="688"/>
      <c r="T325" s="688"/>
      <c r="U325" s="688"/>
      <c r="V325" s="689"/>
      <c r="W325" s="42" t="s">
        <v>39</v>
      </c>
      <c r="X325" s="43">
        <f>IFERROR(X322/H322,"0")+IFERROR(X323/H323,"0")+IFERROR(X324/H324,"0")</f>
        <v>65</v>
      </c>
      <c r="Y325" s="43">
        <f>IFERROR(Y322/H322,"0")+IFERROR(Y323/H323,"0")+IFERROR(Y324/H324,"0")</f>
        <v>65</v>
      </c>
      <c r="Z325" s="43">
        <f>IFERROR(IF(Z322="",0,Z322),"0")+IFERROR(IF(Z323="",0,Z323),"0")+IFERROR(IF(Z324="",0,Z324),"0")</f>
        <v>0.42315000000000003</v>
      </c>
      <c r="AA325" s="67"/>
      <c r="AB325" s="67"/>
      <c r="AC325" s="67"/>
    </row>
    <row r="326" spans="1:68" x14ac:dyDescent="0.2">
      <c r="A326" s="690"/>
      <c r="B326" s="690"/>
      <c r="C326" s="690"/>
      <c r="D326" s="690"/>
      <c r="E326" s="690"/>
      <c r="F326" s="690"/>
      <c r="G326" s="690"/>
      <c r="H326" s="690"/>
      <c r="I326" s="690"/>
      <c r="J326" s="690"/>
      <c r="K326" s="690"/>
      <c r="L326" s="690"/>
      <c r="M326" s="690"/>
      <c r="N326" s="690"/>
      <c r="O326" s="691"/>
      <c r="P326" s="687" t="s">
        <v>40</v>
      </c>
      <c r="Q326" s="688"/>
      <c r="R326" s="688"/>
      <c r="S326" s="688"/>
      <c r="T326" s="688"/>
      <c r="U326" s="688"/>
      <c r="V326" s="689"/>
      <c r="W326" s="42" t="s">
        <v>0</v>
      </c>
      <c r="X326" s="43">
        <f>IFERROR(SUM(X322:X324),"0")</f>
        <v>156</v>
      </c>
      <c r="Y326" s="43">
        <f>IFERROR(SUM(Y322:Y324),"0")</f>
        <v>156</v>
      </c>
      <c r="Z326" s="42"/>
      <c r="AA326" s="67"/>
      <c r="AB326" s="67"/>
      <c r="AC326" s="67"/>
    </row>
    <row r="327" spans="1:68" ht="16.5" customHeight="1" x14ac:dyDescent="0.25">
      <c r="A327" s="679" t="s">
        <v>546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5"/>
      <c r="AB327" s="65"/>
      <c r="AC327" s="79"/>
    </row>
    <row r="328" spans="1:68" ht="14.25" customHeight="1" x14ac:dyDescent="0.25">
      <c r="A328" s="680" t="s">
        <v>77</v>
      </c>
      <c r="B328" s="680"/>
      <c r="C328" s="680"/>
      <c r="D328" s="680"/>
      <c r="E328" s="680"/>
      <c r="F328" s="680"/>
      <c r="G328" s="680"/>
      <c r="H328" s="680"/>
      <c r="I328" s="680"/>
      <c r="J328" s="680"/>
      <c r="K328" s="680"/>
      <c r="L328" s="680"/>
      <c r="M328" s="680"/>
      <c r="N328" s="680"/>
      <c r="O328" s="680"/>
      <c r="P328" s="680"/>
      <c r="Q328" s="680"/>
      <c r="R328" s="680"/>
      <c r="S328" s="680"/>
      <c r="T328" s="680"/>
      <c r="U328" s="680"/>
      <c r="V328" s="680"/>
      <c r="W328" s="680"/>
      <c r="X328" s="680"/>
      <c r="Y328" s="680"/>
      <c r="Z328" s="680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81">
        <v>4680115888319</v>
      </c>
      <c r="E329" s="681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85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83"/>
      <c r="R329" s="683"/>
      <c r="S329" s="683"/>
      <c r="T329" s="68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81">
        <v>4680115884700</v>
      </c>
      <c r="E330" s="681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85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83"/>
      <c r="R330" s="683"/>
      <c r="S330" s="683"/>
      <c r="T330" s="68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81">
        <v>4680115880344</v>
      </c>
      <c r="E331" s="681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8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83"/>
      <c r="R331" s="683"/>
      <c r="S331" s="683"/>
      <c r="T331" s="68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81">
        <v>4680115886919</v>
      </c>
      <c r="E332" s="681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83"/>
      <c r="R332" s="683"/>
      <c r="S332" s="683"/>
      <c r="T332" s="68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81">
        <v>4680115883970</v>
      </c>
      <c r="E333" s="681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8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83"/>
      <c r="R333" s="683"/>
      <c r="S333" s="683"/>
      <c r="T333" s="68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90"/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  <c r="L334" s="690"/>
      <c r="M334" s="690"/>
      <c r="N334" s="690"/>
      <c r="O334" s="691"/>
      <c r="P334" s="687" t="s">
        <v>40</v>
      </c>
      <c r="Q334" s="688"/>
      <c r="R334" s="688"/>
      <c r="S334" s="688"/>
      <c r="T334" s="688"/>
      <c r="U334" s="688"/>
      <c r="V334" s="689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90"/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  <c r="L335" s="690"/>
      <c r="M335" s="690"/>
      <c r="N335" s="690"/>
      <c r="O335" s="691"/>
      <c r="P335" s="687" t="s">
        <v>40</v>
      </c>
      <c r="Q335" s="688"/>
      <c r="R335" s="688"/>
      <c r="S335" s="688"/>
      <c r="T335" s="688"/>
      <c r="U335" s="688"/>
      <c r="V335" s="689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80" t="s">
        <v>90</v>
      </c>
      <c r="B336" s="680"/>
      <c r="C336" s="680"/>
      <c r="D336" s="680"/>
      <c r="E336" s="680"/>
      <c r="F336" s="680"/>
      <c r="G336" s="680"/>
      <c r="H336" s="680"/>
      <c r="I336" s="680"/>
      <c r="J336" s="680"/>
      <c r="K336" s="680"/>
      <c r="L336" s="680"/>
      <c r="M336" s="680"/>
      <c r="N336" s="680"/>
      <c r="O336" s="680"/>
      <c r="P336" s="680"/>
      <c r="Q336" s="680"/>
      <c r="R336" s="680"/>
      <c r="S336" s="680"/>
      <c r="T336" s="680"/>
      <c r="U336" s="680"/>
      <c r="V336" s="680"/>
      <c r="W336" s="680"/>
      <c r="X336" s="680"/>
      <c r="Y336" s="680"/>
      <c r="Z336" s="680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81">
        <v>4680115884618</v>
      </c>
      <c r="E337" s="681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8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83"/>
      <c r="R337" s="683"/>
      <c r="S337" s="683"/>
      <c r="T337" s="684"/>
      <c r="U337" s="39" t="s">
        <v>46</v>
      </c>
      <c r="V337" s="39" t="s">
        <v>46</v>
      </c>
      <c r="W337" s="40" t="s">
        <v>0</v>
      </c>
      <c r="X337" s="58">
        <v>108</v>
      </c>
      <c r="Y337" s="55">
        <f>IFERROR(IF(X337="",0,CEILING((X337/$H337),1)*$H337),"")</f>
        <v>108</v>
      </c>
      <c r="Z337" s="41">
        <f>IFERROR(IF(Y337=0,"",ROUNDUP(Y337/H337,0)*0.00902),"")</f>
        <v>0.27060000000000001</v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113.69999999999999</v>
      </c>
      <c r="BN337" s="78">
        <f>IFERROR(Y337*I337/H337,"0")</f>
        <v>113.69999999999999</v>
      </c>
      <c r="BO337" s="78">
        <f>IFERROR(1/J337*(X337/H337),"0")</f>
        <v>0.22727272727272729</v>
      </c>
      <c r="BP337" s="78">
        <f>IFERROR(1/J337*(Y337/H337),"0")</f>
        <v>0.22727272727272729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81">
        <v>4680115887114</v>
      </c>
      <c r="E338" s="681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8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83"/>
      <c r="R338" s="683"/>
      <c r="S338" s="683"/>
      <c r="T338" s="68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90"/>
      <c r="B339" s="690"/>
      <c r="C339" s="690"/>
      <c r="D339" s="690"/>
      <c r="E339" s="690"/>
      <c r="F339" s="690"/>
      <c r="G339" s="690"/>
      <c r="H339" s="690"/>
      <c r="I339" s="690"/>
      <c r="J339" s="690"/>
      <c r="K339" s="690"/>
      <c r="L339" s="690"/>
      <c r="M339" s="690"/>
      <c r="N339" s="690"/>
      <c r="O339" s="691"/>
      <c r="P339" s="687" t="s">
        <v>40</v>
      </c>
      <c r="Q339" s="688"/>
      <c r="R339" s="688"/>
      <c r="S339" s="688"/>
      <c r="T339" s="688"/>
      <c r="U339" s="688"/>
      <c r="V339" s="689"/>
      <c r="W339" s="42" t="s">
        <v>39</v>
      </c>
      <c r="X339" s="43">
        <f>IFERROR(X337/H337,"0")+IFERROR(X338/H338,"0")</f>
        <v>30</v>
      </c>
      <c r="Y339" s="43">
        <f>IFERROR(Y337/H337,"0")+IFERROR(Y338/H338,"0")</f>
        <v>30</v>
      </c>
      <c r="Z339" s="43">
        <f>IFERROR(IF(Z337="",0,Z337),"0")+IFERROR(IF(Z338="",0,Z338),"0")</f>
        <v>0.27060000000000001</v>
      </c>
      <c r="AA339" s="67"/>
      <c r="AB339" s="67"/>
      <c r="AC339" s="67"/>
    </row>
    <row r="340" spans="1:68" x14ac:dyDescent="0.2">
      <c r="A340" s="690"/>
      <c r="B340" s="690"/>
      <c r="C340" s="690"/>
      <c r="D340" s="690"/>
      <c r="E340" s="690"/>
      <c r="F340" s="690"/>
      <c r="G340" s="690"/>
      <c r="H340" s="690"/>
      <c r="I340" s="690"/>
      <c r="J340" s="690"/>
      <c r="K340" s="690"/>
      <c r="L340" s="690"/>
      <c r="M340" s="690"/>
      <c r="N340" s="690"/>
      <c r="O340" s="691"/>
      <c r="P340" s="687" t="s">
        <v>40</v>
      </c>
      <c r="Q340" s="688"/>
      <c r="R340" s="688"/>
      <c r="S340" s="688"/>
      <c r="T340" s="688"/>
      <c r="U340" s="688"/>
      <c r="V340" s="689"/>
      <c r="W340" s="42" t="s">
        <v>0</v>
      </c>
      <c r="X340" s="43">
        <f>IFERROR(SUM(X337:X338),"0")</f>
        <v>108</v>
      </c>
      <c r="Y340" s="43">
        <f>IFERROR(SUM(Y337:Y338),"0")</f>
        <v>108</v>
      </c>
      <c r="Z340" s="42"/>
      <c r="AA340" s="67"/>
      <c r="AB340" s="67"/>
      <c r="AC340" s="67"/>
    </row>
    <row r="341" spans="1:68" ht="16.5" customHeight="1" x14ac:dyDescent="0.25">
      <c r="A341" s="679" t="s">
        <v>567</v>
      </c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79"/>
      <c r="P341" s="679"/>
      <c r="Q341" s="679"/>
      <c r="R341" s="679"/>
      <c r="S341" s="679"/>
      <c r="T341" s="679"/>
      <c r="U341" s="679"/>
      <c r="V341" s="679"/>
      <c r="W341" s="679"/>
      <c r="X341" s="679"/>
      <c r="Y341" s="679"/>
      <c r="Z341" s="679"/>
      <c r="AA341" s="65"/>
      <c r="AB341" s="65"/>
      <c r="AC341" s="79"/>
    </row>
    <row r="342" spans="1:68" ht="14.25" customHeight="1" x14ac:dyDescent="0.25">
      <c r="A342" s="680" t="s">
        <v>139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81">
        <v>4680115887947</v>
      </c>
      <c r="E343" s="681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8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83"/>
      <c r="R343" s="683"/>
      <c r="S343" s="683"/>
      <c r="T343" s="68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81">
        <v>4680115887978</v>
      </c>
      <c r="E344" s="681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8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83"/>
      <c r="R344" s="683"/>
      <c r="S344" s="683"/>
      <c r="T344" s="68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81">
        <v>4680115887992</v>
      </c>
      <c r="E345" s="681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8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83"/>
      <c r="R345" s="683"/>
      <c r="S345" s="683"/>
      <c r="T345" s="68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90"/>
      <c r="B346" s="690"/>
      <c r="C346" s="690"/>
      <c r="D346" s="690"/>
      <c r="E346" s="690"/>
      <c r="F346" s="690"/>
      <c r="G346" s="690"/>
      <c r="H346" s="690"/>
      <c r="I346" s="690"/>
      <c r="J346" s="690"/>
      <c r="K346" s="690"/>
      <c r="L346" s="690"/>
      <c r="M346" s="690"/>
      <c r="N346" s="690"/>
      <c r="O346" s="691"/>
      <c r="P346" s="687" t="s">
        <v>40</v>
      </c>
      <c r="Q346" s="688"/>
      <c r="R346" s="688"/>
      <c r="S346" s="688"/>
      <c r="T346" s="688"/>
      <c r="U346" s="688"/>
      <c r="V346" s="689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90"/>
      <c r="B347" s="690"/>
      <c r="C347" s="690"/>
      <c r="D347" s="690"/>
      <c r="E347" s="690"/>
      <c r="F347" s="690"/>
      <c r="G347" s="690"/>
      <c r="H347" s="690"/>
      <c r="I347" s="690"/>
      <c r="J347" s="690"/>
      <c r="K347" s="690"/>
      <c r="L347" s="690"/>
      <c r="M347" s="690"/>
      <c r="N347" s="690"/>
      <c r="O347" s="691"/>
      <c r="P347" s="687" t="s">
        <v>40</v>
      </c>
      <c r="Q347" s="688"/>
      <c r="R347" s="688"/>
      <c r="S347" s="688"/>
      <c r="T347" s="688"/>
      <c r="U347" s="688"/>
      <c r="V347" s="689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79" t="s">
        <v>577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5"/>
      <c r="AB348" s="65"/>
      <c r="AC348" s="79"/>
    </row>
    <row r="349" spans="1:68" ht="14.25" customHeight="1" x14ac:dyDescent="0.25">
      <c r="A349" s="680" t="s">
        <v>139</v>
      </c>
      <c r="B349" s="680"/>
      <c r="C349" s="680"/>
      <c r="D349" s="680"/>
      <c r="E349" s="680"/>
      <c r="F349" s="680"/>
      <c r="G349" s="680"/>
      <c r="H349" s="680"/>
      <c r="I349" s="680"/>
      <c r="J349" s="680"/>
      <c r="K349" s="680"/>
      <c r="L349" s="680"/>
      <c r="M349" s="680"/>
      <c r="N349" s="680"/>
      <c r="O349" s="680"/>
      <c r="P349" s="680"/>
      <c r="Q349" s="680"/>
      <c r="R349" s="680"/>
      <c r="S349" s="680"/>
      <c r="T349" s="680"/>
      <c r="U349" s="680"/>
      <c r="V349" s="680"/>
      <c r="W349" s="680"/>
      <c r="X349" s="680"/>
      <c r="Y349" s="680"/>
      <c r="Z349" s="680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4301012126</v>
      </c>
      <c r="D350" s="681">
        <v>4607091386004</v>
      </c>
      <c r="E350" s="681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86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0" s="683"/>
      <c r="R350" s="683"/>
      <c r="S350" s="683"/>
      <c r="T350" s="684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ref="Y350:Y355" si="42"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 t="shared" ref="BM350:BM355" si="43">IFERROR(X350*I350/H350,"0")</f>
        <v>0</v>
      </c>
      <c r="BN350" s="78">
        <f t="shared" ref="BN350:BN355" si="44">IFERROR(Y350*I350/H350,"0")</f>
        <v>0</v>
      </c>
      <c r="BO350" s="78">
        <f t="shared" ref="BO350:BO355" si="45">IFERROR(1/J350*(X350/H350),"0")</f>
        <v>0</v>
      </c>
      <c r="BP350" s="78">
        <f t="shared" ref="BP350:BP355" si="46">IFERROR(1/J350*(Y350/H350),"0")</f>
        <v>0</v>
      </c>
    </row>
    <row r="351" spans="1:68" ht="27" customHeight="1" x14ac:dyDescent="0.25">
      <c r="A351" s="63" t="s">
        <v>581</v>
      </c>
      <c r="B351" s="63" t="s">
        <v>582</v>
      </c>
      <c r="C351" s="36">
        <v>4301012235</v>
      </c>
      <c r="D351" s="681">
        <v>4680115887190</v>
      </c>
      <c r="E351" s="681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86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1" s="683"/>
      <c r="R351" s="683"/>
      <c r="S351" s="683"/>
      <c r="T351" s="684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2"/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 t="shared" si="43"/>
        <v>0</v>
      </c>
      <c r="BN351" s="78">
        <f t="shared" si="44"/>
        <v>0</v>
      </c>
      <c r="BO351" s="78">
        <f t="shared" si="45"/>
        <v>0</v>
      </c>
      <c r="BP351" s="78">
        <f t="shared" si="46"/>
        <v>0</v>
      </c>
    </row>
    <row r="352" spans="1:68" ht="37.5" customHeight="1" x14ac:dyDescent="0.25">
      <c r="A352" s="63" t="s">
        <v>584</v>
      </c>
      <c r="B352" s="63" t="s">
        <v>585</v>
      </c>
      <c r="C352" s="36">
        <v>4301012233</v>
      </c>
      <c r="D352" s="681">
        <v>4680115887138</v>
      </c>
      <c r="E352" s="681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143</v>
      </c>
      <c r="N352" s="38"/>
      <c r="O352" s="37">
        <v>55</v>
      </c>
      <c r="P352" s="8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2" s="683"/>
      <c r="R352" s="683"/>
      <c r="S352" s="683"/>
      <c r="T352" s="684"/>
      <c r="U352" s="39" t="s">
        <v>46</v>
      </c>
      <c r="V352" s="39" t="s">
        <v>46</v>
      </c>
      <c r="W352" s="40" t="s">
        <v>0</v>
      </c>
      <c r="X352" s="58">
        <v>0</v>
      </c>
      <c r="Y352" s="55">
        <f t="shared" si="42"/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 t="shared" si="43"/>
        <v>0</v>
      </c>
      <c r="BN352" s="78">
        <f t="shared" si="44"/>
        <v>0</v>
      </c>
      <c r="BO352" s="78">
        <f t="shared" si="45"/>
        <v>0</v>
      </c>
      <c r="BP352" s="78">
        <f t="shared" si="46"/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4301012016</v>
      </c>
      <c r="D353" s="681">
        <v>4680115885554</v>
      </c>
      <c r="E353" s="68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144</v>
      </c>
      <c r="L353" s="37" t="s">
        <v>46</v>
      </c>
      <c r="M353" s="38" t="s">
        <v>94</v>
      </c>
      <c r="N353" s="38"/>
      <c r="O353" s="37">
        <v>55</v>
      </c>
      <c r="P353" s="8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3" s="683"/>
      <c r="R353" s="683"/>
      <c r="S353" s="683"/>
      <c r="T353" s="68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2"/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589</v>
      </c>
      <c r="AG353" s="78"/>
      <c r="AJ353" s="84" t="s">
        <v>46</v>
      </c>
      <c r="AK353" s="84">
        <v>0</v>
      </c>
      <c r="BB353" s="439" t="s">
        <v>67</v>
      </c>
      <c r="BM353" s="78">
        <f t="shared" si="43"/>
        <v>0</v>
      </c>
      <c r="BN353" s="78">
        <f t="shared" si="44"/>
        <v>0</v>
      </c>
      <c r="BO353" s="78">
        <f t="shared" si="45"/>
        <v>0</v>
      </c>
      <c r="BP353" s="78">
        <f t="shared" si="46"/>
        <v>0</v>
      </c>
    </row>
    <row r="354" spans="1:68" ht="27" customHeight="1" x14ac:dyDescent="0.25">
      <c r="A354" s="63" t="s">
        <v>590</v>
      </c>
      <c r="B354" s="63" t="s">
        <v>591</v>
      </c>
      <c r="C354" s="36">
        <v>4301012236</v>
      </c>
      <c r="D354" s="681">
        <v>4680115887220</v>
      </c>
      <c r="E354" s="68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86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4" s="683"/>
      <c r="R354" s="683"/>
      <c r="S354" s="683"/>
      <c r="T354" s="68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583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4301011859</v>
      </c>
      <c r="D355" s="681">
        <v>4680115885608</v>
      </c>
      <c r="E355" s="681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151</v>
      </c>
      <c r="L355" s="37" t="s">
        <v>46</v>
      </c>
      <c r="M355" s="38" t="s">
        <v>143</v>
      </c>
      <c r="N355" s="38"/>
      <c r="O355" s="37">
        <v>55</v>
      </c>
      <c r="P355" s="8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5" s="683"/>
      <c r="R355" s="683"/>
      <c r="S355" s="683"/>
      <c r="T355" s="684"/>
      <c r="U355" s="39" t="s">
        <v>46</v>
      </c>
      <c r="V355" s="39" t="s">
        <v>46</v>
      </c>
      <c r="W355" s="40" t="s">
        <v>0</v>
      </c>
      <c r="X355" s="58">
        <v>72</v>
      </c>
      <c r="Y355" s="55">
        <f t="shared" si="42"/>
        <v>72</v>
      </c>
      <c r="Z355" s="41">
        <f>IFERROR(IF(Y355=0,"",ROUNDUP(Y355/H355,0)*0.00902),"")</f>
        <v>0.16236</v>
      </c>
      <c r="AA355" s="68" t="s">
        <v>46</v>
      </c>
      <c r="AB355" s="69" t="s">
        <v>46</v>
      </c>
      <c r="AC355" s="442" t="s">
        <v>594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75.42</v>
      </c>
      <c r="BN355" s="78">
        <f t="shared" si="44"/>
        <v>75.42</v>
      </c>
      <c r="BO355" s="78">
        <f t="shared" si="45"/>
        <v>0.13636363636363635</v>
      </c>
      <c r="BP355" s="78">
        <f t="shared" si="46"/>
        <v>0.13636363636363635</v>
      </c>
    </row>
    <row r="356" spans="1:68" x14ac:dyDescent="0.2">
      <c r="A356" s="690"/>
      <c r="B356" s="690"/>
      <c r="C356" s="690"/>
      <c r="D356" s="690"/>
      <c r="E356" s="690"/>
      <c r="F356" s="690"/>
      <c r="G356" s="690"/>
      <c r="H356" s="690"/>
      <c r="I356" s="690"/>
      <c r="J356" s="690"/>
      <c r="K356" s="690"/>
      <c r="L356" s="690"/>
      <c r="M356" s="690"/>
      <c r="N356" s="690"/>
      <c r="O356" s="691"/>
      <c r="P356" s="687" t="s">
        <v>40</v>
      </c>
      <c r="Q356" s="688"/>
      <c r="R356" s="688"/>
      <c r="S356" s="688"/>
      <c r="T356" s="688"/>
      <c r="U356" s="688"/>
      <c r="V356" s="689"/>
      <c r="W356" s="42" t="s">
        <v>39</v>
      </c>
      <c r="X356" s="43">
        <f>IFERROR(X350/H350,"0")+IFERROR(X351/H351,"0")+IFERROR(X352/H352,"0")+IFERROR(X353/H353,"0")+IFERROR(X354/H354,"0")+IFERROR(X355/H355,"0")</f>
        <v>18</v>
      </c>
      <c r="Y356" s="43">
        <f>IFERROR(Y350/H350,"0")+IFERROR(Y351/H351,"0")+IFERROR(Y352/H352,"0")+IFERROR(Y353/H353,"0")+IFERROR(Y354/H354,"0")+IFERROR(Y355/H355,"0")</f>
        <v>18</v>
      </c>
      <c r="Z356" s="43">
        <f>IFERROR(IF(Z350="",0,Z350),"0")+IFERROR(IF(Z351="",0,Z351),"0")+IFERROR(IF(Z352="",0,Z352),"0")+IFERROR(IF(Z353="",0,Z353),"0")+IFERROR(IF(Z354="",0,Z354),"0")+IFERROR(IF(Z355="",0,Z355),"0")</f>
        <v>0.16236</v>
      </c>
      <c r="AA356" s="67"/>
      <c r="AB356" s="67"/>
      <c r="AC356" s="67"/>
    </row>
    <row r="357" spans="1:68" x14ac:dyDescent="0.2">
      <c r="A357" s="690"/>
      <c r="B357" s="690"/>
      <c r="C357" s="690"/>
      <c r="D357" s="690"/>
      <c r="E357" s="690"/>
      <c r="F357" s="690"/>
      <c r="G357" s="690"/>
      <c r="H357" s="690"/>
      <c r="I357" s="690"/>
      <c r="J357" s="690"/>
      <c r="K357" s="690"/>
      <c r="L357" s="690"/>
      <c r="M357" s="690"/>
      <c r="N357" s="690"/>
      <c r="O357" s="691"/>
      <c r="P357" s="687" t="s">
        <v>40</v>
      </c>
      <c r="Q357" s="688"/>
      <c r="R357" s="688"/>
      <c r="S357" s="688"/>
      <c r="T357" s="688"/>
      <c r="U357" s="688"/>
      <c r="V357" s="689"/>
      <c r="W357" s="42" t="s">
        <v>0</v>
      </c>
      <c r="X357" s="43">
        <f>IFERROR(SUM(X350:X355),"0")</f>
        <v>72</v>
      </c>
      <c r="Y357" s="43">
        <f>IFERROR(SUM(Y350:Y355),"0")</f>
        <v>72</v>
      </c>
      <c r="Z357" s="42"/>
      <c r="AA357" s="67"/>
      <c r="AB357" s="67"/>
      <c r="AC357" s="67"/>
    </row>
    <row r="358" spans="1:68" ht="14.25" customHeight="1" x14ac:dyDescent="0.25">
      <c r="A358" s="680" t="s">
        <v>77</v>
      </c>
      <c r="B358" s="680"/>
      <c r="C358" s="680"/>
      <c r="D358" s="680"/>
      <c r="E358" s="680"/>
      <c r="F358" s="680"/>
      <c r="G358" s="680"/>
      <c r="H358" s="680"/>
      <c r="I358" s="680"/>
      <c r="J358" s="680"/>
      <c r="K358" s="680"/>
      <c r="L358" s="680"/>
      <c r="M358" s="680"/>
      <c r="N358" s="680"/>
      <c r="O358" s="680"/>
      <c r="P358" s="680"/>
      <c r="Q358" s="680"/>
      <c r="R358" s="680"/>
      <c r="S358" s="680"/>
      <c r="T358" s="680"/>
      <c r="U358" s="680"/>
      <c r="V358" s="680"/>
      <c r="W358" s="680"/>
      <c r="X358" s="680"/>
      <c r="Y358" s="680"/>
      <c r="Z358" s="68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4301030878</v>
      </c>
      <c r="D359" s="681">
        <v>4607091387193</v>
      </c>
      <c r="E359" s="681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35</v>
      </c>
      <c r="P359" s="8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9" s="683"/>
      <c r="R359" s="683"/>
      <c r="S359" s="683"/>
      <c r="T359" s="68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47">IFERROR(IF(X359="",0,CEILING((X359/$H359),1)*$H359),"")</f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ref="BM359:BM365" si="48">IFERROR(X359*I359/H359,"0")</f>
        <v>0</v>
      </c>
      <c r="BN359" s="78">
        <f t="shared" ref="BN359:BN365" si="49">IFERROR(Y359*I359/H359,"0")</f>
        <v>0</v>
      </c>
      <c r="BO359" s="78">
        <f t="shared" ref="BO359:BO365" si="50">IFERROR(1/J359*(X359/H359),"0")</f>
        <v>0</v>
      </c>
      <c r="BP359" s="78">
        <f t="shared" ref="BP359:BP365" si="51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4301031153</v>
      </c>
      <c r="D360" s="681">
        <v>4607091387230</v>
      </c>
      <c r="E360" s="681"/>
      <c r="F360" s="62">
        <v>0.7</v>
      </c>
      <c r="G360" s="37">
        <v>6</v>
      </c>
      <c r="H360" s="62">
        <v>4.2</v>
      </c>
      <c r="I360" s="62">
        <v>4.45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40</v>
      </c>
      <c r="P360" s="8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0" s="683"/>
      <c r="R360" s="683"/>
      <c r="S360" s="683"/>
      <c r="T360" s="68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4301031154</v>
      </c>
      <c r="D361" s="681">
        <v>4607091387292</v>
      </c>
      <c r="E361" s="681"/>
      <c r="F361" s="62">
        <v>0.73</v>
      </c>
      <c r="G361" s="37">
        <v>6</v>
      </c>
      <c r="H361" s="62">
        <v>4.38</v>
      </c>
      <c r="I361" s="62">
        <v>4.63</v>
      </c>
      <c r="J361" s="37">
        <v>132</v>
      </c>
      <c r="K361" s="37" t="s">
        <v>151</v>
      </c>
      <c r="L361" s="37" t="s">
        <v>46</v>
      </c>
      <c r="M361" s="38" t="s">
        <v>81</v>
      </c>
      <c r="N361" s="38"/>
      <c r="O361" s="37">
        <v>45</v>
      </c>
      <c r="P361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1" s="683"/>
      <c r="R361" s="683"/>
      <c r="S361" s="683"/>
      <c r="T361" s="68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603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4301031152</v>
      </c>
      <c r="D362" s="681">
        <v>4607091387285</v>
      </c>
      <c r="E362" s="681"/>
      <c r="F362" s="62">
        <v>0.35</v>
      </c>
      <c r="G362" s="37">
        <v>6</v>
      </c>
      <c r="H362" s="62">
        <v>2.1</v>
      </c>
      <c r="I362" s="62">
        <v>2.23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8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2" s="683"/>
      <c r="R362" s="683"/>
      <c r="S362" s="683"/>
      <c r="T362" s="68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600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4301031305</v>
      </c>
      <c r="D363" s="681">
        <v>4607091389845</v>
      </c>
      <c r="E363" s="681"/>
      <c r="F363" s="62">
        <v>0.35</v>
      </c>
      <c r="G363" s="37">
        <v>6</v>
      </c>
      <c r="H363" s="62">
        <v>2.1</v>
      </c>
      <c r="I363" s="62">
        <v>2.2000000000000002</v>
      </c>
      <c r="J363" s="37">
        <v>234</v>
      </c>
      <c r="K363" s="37" t="s">
        <v>86</v>
      </c>
      <c r="L363" s="37" t="s">
        <v>46</v>
      </c>
      <c r="M363" s="38" t="s">
        <v>81</v>
      </c>
      <c r="N363" s="38"/>
      <c r="O363" s="37">
        <v>40</v>
      </c>
      <c r="P363" s="8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3" s="683"/>
      <c r="R363" s="683"/>
      <c r="S363" s="683"/>
      <c r="T363" s="684"/>
      <c r="U363" s="39" t="s">
        <v>46</v>
      </c>
      <c r="V363" s="39" t="s">
        <v>46</v>
      </c>
      <c r="W363" s="40" t="s">
        <v>0</v>
      </c>
      <c r="X363" s="58">
        <v>71.400000000000006</v>
      </c>
      <c r="Y363" s="55">
        <f t="shared" si="47"/>
        <v>71.400000000000006</v>
      </c>
      <c r="Z363" s="41">
        <f>IFERROR(IF(Y363=0,"",ROUNDUP(Y363/H363,0)*0.00502),"")</f>
        <v>0.17068</v>
      </c>
      <c r="AA363" s="68" t="s">
        <v>46</v>
      </c>
      <c r="AB363" s="69" t="s">
        <v>46</v>
      </c>
      <c r="AC363" s="452" t="s">
        <v>608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74.8</v>
      </c>
      <c r="BN363" s="78">
        <f t="shared" si="49"/>
        <v>74.8</v>
      </c>
      <c r="BO363" s="78">
        <f t="shared" si="50"/>
        <v>0.14529914529914531</v>
      </c>
      <c r="BP363" s="78">
        <f t="shared" si="51"/>
        <v>0.14529914529914531</v>
      </c>
    </row>
    <row r="364" spans="1:68" ht="27" customHeight="1" x14ac:dyDescent="0.25">
      <c r="A364" s="63" t="s">
        <v>609</v>
      </c>
      <c r="B364" s="63" t="s">
        <v>610</v>
      </c>
      <c r="C364" s="36">
        <v>4301031460</v>
      </c>
      <c r="D364" s="681">
        <v>4680115887442</v>
      </c>
      <c r="E364" s="68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151</v>
      </c>
      <c r="L364" s="37" t="s">
        <v>46</v>
      </c>
      <c r="M364" s="38" t="s">
        <v>81</v>
      </c>
      <c r="N364" s="38"/>
      <c r="O364" s="37">
        <v>45</v>
      </c>
      <c r="P364" s="8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4" s="683"/>
      <c r="R364" s="683"/>
      <c r="S364" s="683"/>
      <c r="T364" s="68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4301031066</v>
      </c>
      <c r="D365" s="681">
        <v>4607091383836</v>
      </c>
      <c r="E365" s="681"/>
      <c r="F365" s="62">
        <v>0.3</v>
      </c>
      <c r="G365" s="37">
        <v>6</v>
      </c>
      <c r="H365" s="62">
        <v>1.8</v>
      </c>
      <c r="I365" s="62">
        <v>2.028</v>
      </c>
      <c r="J365" s="37">
        <v>182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5" s="683"/>
      <c r="R365" s="683"/>
      <c r="S365" s="683"/>
      <c r="T365" s="684"/>
      <c r="U365" s="39" t="s">
        <v>46</v>
      </c>
      <c r="V365" s="39" t="s">
        <v>46</v>
      </c>
      <c r="W365" s="40" t="s">
        <v>0</v>
      </c>
      <c r="X365" s="58">
        <v>57.3</v>
      </c>
      <c r="Y365" s="55">
        <f t="shared" si="47"/>
        <v>57.6</v>
      </c>
      <c r="Z365" s="41">
        <f>IFERROR(IF(Y365=0,"",ROUNDUP(Y365/H365,0)*0.00651),"")</f>
        <v>0.20832000000000001</v>
      </c>
      <c r="AA365" s="68" t="s">
        <v>46</v>
      </c>
      <c r="AB365" s="69" t="s">
        <v>46</v>
      </c>
      <c r="AC365" s="456" t="s">
        <v>613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64.557999999999993</v>
      </c>
      <c r="BN365" s="78">
        <f t="shared" si="49"/>
        <v>64.896000000000001</v>
      </c>
      <c r="BO365" s="78">
        <f t="shared" si="50"/>
        <v>0.17490842490842493</v>
      </c>
      <c r="BP365" s="78">
        <f t="shared" si="51"/>
        <v>0.17582417582417584</v>
      </c>
    </row>
    <row r="366" spans="1:68" x14ac:dyDescent="0.2">
      <c r="A366" s="690"/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  <c r="L366" s="690"/>
      <c r="M366" s="690"/>
      <c r="N366" s="690"/>
      <c r="O366" s="691"/>
      <c r="P366" s="687" t="s">
        <v>40</v>
      </c>
      <c r="Q366" s="688"/>
      <c r="R366" s="688"/>
      <c r="S366" s="688"/>
      <c r="T366" s="688"/>
      <c r="U366" s="688"/>
      <c r="V366" s="689"/>
      <c r="W366" s="42" t="s">
        <v>39</v>
      </c>
      <c r="X366" s="43">
        <f>IFERROR(X359/H359,"0")+IFERROR(X360/H360,"0")+IFERROR(X361/H361,"0")+IFERROR(X362/H362,"0")+IFERROR(X363/H363,"0")+IFERROR(X364/H364,"0")+IFERROR(X365/H365,"0")</f>
        <v>65.833333333333329</v>
      </c>
      <c r="Y366" s="43">
        <f>IFERROR(Y359/H359,"0")+IFERROR(Y360/H360,"0")+IFERROR(Y361/H361,"0")+IFERROR(Y362/H362,"0")+IFERROR(Y363/H363,"0")+IFERROR(Y364/H364,"0")+IFERROR(Y365/H365,"0")</f>
        <v>66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0.379</v>
      </c>
      <c r="AA366" s="67"/>
      <c r="AB366" s="67"/>
      <c r="AC366" s="67"/>
    </row>
    <row r="367" spans="1:68" x14ac:dyDescent="0.2">
      <c r="A367" s="690"/>
      <c r="B367" s="690"/>
      <c r="C367" s="690"/>
      <c r="D367" s="690"/>
      <c r="E367" s="690"/>
      <c r="F367" s="690"/>
      <c r="G367" s="690"/>
      <c r="H367" s="690"/>
      <c r="I367" s="690"/>
      <c r="J367" s="690"/>
      <c r="K367" s="690"/>
      <c r="L367" s="690"/>
      <c r="M367" s="690"/>
      <c r="N367" s="690"/>
      <c r="O367" s="691"/>
      <c r="P367" s="687" t="s">
        <v>40</v>
      </c>
      <c r="Q367" s="688"/>
      <c r="R367" s="688"/>
      <c r="S367" s="688"/>
      <c r="T367" s="688"/>
      <c r="U367" s="688"/>
      <c r="V367" s="689"/>
      <c r="W367" s="42" t="s">
        <v>0</v>
      </c>
      <c r="X367" s="43">
        <f>IFERROR(SUM(X359:X365),"0")</f>
        <v>128.69999999999999</v>
      </c>
      <c r="Y367" s="43">
        <f>IFERROR(SUM(Y359:Y365),"0")</f>
        <v>129</v>
      </c>
      <c r="Z367" s="42"/>
      <c r="AA367" s="67"/>
      <c r="AB367" s="67"/>
      <c r="AC367" s="67"/>
    </row>
    <row r="368" spans="1:68" ht="14.25" customHeight="1" x14ac:dyDescent="0.25">
      <c r="A368" s="680" t="s">
        <v>90</v>
      </c>
      <c r="B368" s="680"/>
      <c r="C368" s="680"/>
      <c r="D368" s="680"/>
      <c r="E368" s="680"/>
      <c r="F368" s="680"/>
      <c r="G368" s="680"/>
      <c r="H368" s="680"/>
      <c r="I368" s="680"/>
      <c r="J368" s="680"/>
      <c r="K368" s="680"/>
      <c r="L368" s="680"/>
      <c r="M368" s="680"/>
      <c r="N368" s="680"/>
      <c r="O368" s="680"/>
      <c r="P368" s="680"/>
      <c r="Q368" s="680"/>
      <c r="R368" s="680"/>
      <c r="S368" s="680"/>
      <c r="T368" s="680"/>
      <c r="U368" s="680"/>
      <c r="V368" s="680"/>
      <c r="W368" s="680"/>
      <c r="X368" s="680"/>
      <c r="Y368" s="680"/>
      <c r="Z368" s="680"/>
      <c r="AA368" s="66"/>
      <c r="AB368" s="66"/>
      <c r="AC368" s="80"/>
    </row>
    <row r="369" spans="1:68" ht="27" customHeight="1" x14ac:dyDescent="0.25">
      <c r="A369" s="63" t="s">
        <v>614</v>
      </c>
      <c r="B369" s="63" t="s">
        <v>615</v>
      </c>
      <c r="C369" s="36">
        <v>4301051100</v>
      </c>
      <c r="D369" s="681">
        <v>4607091387766</v>
      </c>
      <c r="E369" s="681"/>
      <c r="F369" s="62">
        <v>1.3</v>
      </c>
      <c r="G369" s="37">
        <v>6</v>
      </c>
      <c r="H369" s="62">
        <v>7.8</v>
      </c>
      <c r="I369" s="62">
        <v>8.2880000000000003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9" s="683"/>
      <c r="R369" s="683"/>
      <c r="S369" s="683"/>
      <c r="T369" s="684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617</v>
      </c>
      <c r="B370" s="63" t="s">
        <v>618</v>
      </c>
      <c r="C370" s="36">
        <v>4301051818</v>
      </c>
      <c r="D370" s="681">
        <v>4607091387957</v>
      </c>
      <c r="E370" s="681"/>
      <c r="F370" s="62">
        <v>1.3</v>
      </c>
      <c r="G370" s="37">
        <v>6</v>
      </c>
      <c r="H370" s="62">
        <v>7.8</v>
      </c>
      <c r="I370" s="62">
        <v>8.2940000000000005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8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0" s="683"/>
      <c r="R370" s="683"/>
      <c r="S370" s="683"/>
      <c r="T370" s="68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620</v>
      </c>
      <c r="B371" s="63" t="s">
        <v>621</v>
      </c>
      <c r="C371" s="36">
        <v>4301051819</v>
      </c>
      <c r="D371" s="681">
        <v>4607091387964</v>
      </c>
      <c r="E371" s="681"/>
      <c r="F371" s="62">
        <v>1.35</v>
      </c>
      <c r="G371" s="37">
        <v>6</v>
      </c>
      <c r="H371" s="62">
        <v>8.1</v>
      </c>
      <c r="I371" s="62">
        <v>8.5760000000000005</v>
      </c>
      <c r="J371" s="37">
        <v>64</v>
      </c>
      <c r="K371" s="37" t="s">
        <v>144</v>
      </c>
      <c r="L371" s="37" t="s">
        <v>46</v>
      </c>
      <c r="M371" s="38" t="s">
        <v>94</v>
      </c>
      <c r="N371" s="38"/>
      <c r="O371" s="37">
        <v>40</v>
      </c>
      <c r="P371" s="8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1" s="683"/>
      <c r="R371" s="683"/>
      <c r="S371" s="683"/>
      <c r="T371" s="68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622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4301051734</v>
      </c>
      <c r="D372" s="681">
        <v>4680115884588</v>
      </c>
      <c r="E372" s="681"/>
      <c r="F372" s="62">
        <v>0.5</v>
      </c>
      <c r="G372" s="37">
        <v>6</v>
      </c>
      <c r="H372" s="62">
        <v>3</v>
      </c>
      <c r="I372" s="62">
        <v>3.246</v>
      </c>
      <c r="J372" s="37">
        <v>182</v>
      </c>
      <c r="K372" s="37" t="s">
        <v>82</v>
      </c>
      <c r="L372" s="37" t="s">
        <v>46</v>
      </c>
      <c r="M372" s="38" t="s">
        <v>94</v>
      </c>
      <c r="N372" s="38"/>
      <c r="O372" s="37">
        <v>40</v>
      </c>
      <c r="P372" s="8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2" s="683"/>
      <c r="R372" s="683"/>
      <c r="S372" s="683"/>
      <c r="T372" s="68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IFERROR(IF(Y372=0,"",ROUNDUP(Y372/H372,0)*0.00651),"")</f>
        <v/>
      </c>
      <c r="AA372" s="68" t="s">
        <v>46</v>
      </c>
      <c r="AB372" s="69" t="s">
        <v>46</v>
      </c>
      <c r="AC372" s="464" t="s">
        <v>616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">
      <c r="A373" s="690"/>
      <c r="B373" s="690"/>
      <c r="C373" s="690"/>
      <c r="D373" s="690"/>
      <c r="E373" s="690"/>
      <c r="F373" s="690"/>
      <c r="G373" s="690"/>
      <c r="H373" s="690"/>
      <c r="I373" s="690"/>
      <c r="J373" s="690"/>
      <c r="K373" s="690"/>
      <c r="L373" s="690"/>
      <c r="M373" s="690"/>
      <c r="N373" s="690"/>
      <c r="O373" s="691"/>
      <c r="P373" s="687" t="s">
        <v>40</v>
      </c>
      <c r="Q373" s="688"/>
      <c r="R373" s="688"/>
      <c r="S373" s="688"/>
      <c r="T373" s="688"/>
      <c r="U373" s="688"/>
      <c r="V373" s="689"/>
      <c r="W373" s="42" t="s">
        <v>39</v>
      </c>
      <c r="X373" s="43">
        <f>IFERROR(X369/H369,"0")+IFERROR(X370/H370,"0")+IFERROR(X371/H371,"0")+IFERROR(X372/H372,"0")</f>
        <v>0</v>
      </c>
      <c r="Y373" s="43">
        <f>IFERROR(Y369/H369,"0")+IFERROR(Y370/H370,"0")+IFERROR(Y371/H371,"0")+IFERROR(Y372/H372,"0")</f>
        <v>0</v>
      </c>
      <c r="Z373" s="43">
        <f>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">
      <c r="A374" s="690"/>
      <c r="B374" s="690"/>
      <c r="C374" s="690"/>
      <c r="D374" s="690"/>
      <c r="E374" s="690"/>
      <c r="F374" s="690"/>
      <c r="G374" s="690"/>
      <c r="H374" s="690"/>
      <c r="I374" s="690"/>
      <c r="J374" s="690"/>
      <c r="K374" s="690"/>
      <c r="L374" s="690"/>
      <c r="M374" s="690"/>
      <c r="N374" s="690"/>
      <c r="O374" s="691"/>
      <c r="P374" s="687" t="s">
        <v>40</v>
      </c>
      <c r="Q374" s="688"/>
      <c r="R374" s="688"/>
      <c r="S374" s="688"/>
      <c r="T374" s="688"/>
      <c r="U374" s="688"/>
      <c r="V374" s="689"/>
      <c r="W374" s="42" t="s">
        <v>0</v>
      </c>
      <c r="X374" s="43">
        <f>IFERROR(SUM(X369:X372),"0")</f>
        <v>0</v>
      </c>
      <c r="Y374" s="43">
        <f>IFERROR(SUM(Y369:Y372),"0")</f>
        <v>0</v>
      </c>
      <c r="Z374" s="42"/>
      <c r="AA374" s="67"/>
      <c r="AB374" s="67"/>
      <c r="AC374" s="67"/>
    </row>
    <row r="375" spans="1:68" ht="14.25" customHeight="1" x14ac:dyDescent="0.25">
      <c r="A375" s="680" t="s">
        <v>191</v>
      </c>
      <c r="B375" s="680"/>
      <c r="C375" s="680"/>
      <c r="D375" s="680"/>
      <c r="E375" s="680"/>
      <c r="F375" s="680"/>
      <c r="G375" s="680"/>
      <c r="H375" s="680"/>
      <c r="I375" s="680"/>
      <c r="J375" s="680"/>
      <c r="K375" s="680"/>
      <c r="L375" s="680"/>
      <c r="M375" s="680"/>
      <c r="N375" s="680"/>
      <c r="O375" s="680"/>
      <c r="P375" s="680"/>
      <c r="Q375" s="680"/>
      <c r="R375" s="680"/>
      <c r="S375" s="680"/>
      <c r="T375" s="680"/>
      <c r="U375" s="680"/>
      <c r="V375" s="680"/>
      <c r="W375" s="680"/>
      <c r="X375" s="680"/>
      <c r="Y375" s="680"/>
      <c r="Z375" s="680"/>
      <c r="AA375" s="66"/>
      <c r="AB375" s="66"/>
      <c r="AC375" s="80"/>
    </row>
    <row r="376" spans="1:68" ht="27" customHeight="1" x14ac:dyDescent="0.25">
      <c r="A376" s="63" t="s">
        <v>625</v>
      </c>
      <c r="B376" s="63" t="s">
        <v>626</v>
      </c>
      <c r="C376" s="36">
        <v>4301060387</v>
      </c>
      <c r="D376" s="681">
        <v>4607091380880</v>
      </c>
      <c r="E376" s="681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6" s="683"/>
      <c r="R376" s="683"/>
      <c r="S376" s="683"/>
      <c r="T376" s="684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4301060406</v>
      </c>
      <c r="D377" s="681">
        <v>4607091384482</v>
      </c>
      <c r="E377" s="681"/>
      <c r="F377" s="62">
        <v>1.3</v>
      </c>
      <c r="G377" s="37">
        <v>6</v>
      </c>
      <c r="H377" s="62">
        <v>7.8</v>
      </c>
      <c r="I377" s="62">
        <v>8.2940000000000005</v>
      </c>
      <c r="J377" s="37">
        <v>64</v>
      </c>
      <c r="K377" s="37" t="s">
        <v>144</v>
      </c>
      <c r="L377" s="37" t="s">
        <v>46</v>
      </c>
      <c r="M377" s="38" t="s">
        <v>94</v>
      </c>
      <c r="N377" s="38"/>
      <c r="O377" s="37">
        <v>30</v>
      </c>
      <c r="P377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7" s="683"/>
      <c r="R377" s="683"/>
      <c r="S377" s="683"/>
      <c r="T377" s="684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16.5" customHeight="1" x14ac:dyDescent="0.25">
      <c r="A378" s="63" t="s">
        <v>631</v>
      </c>
      <c r="B378" s="63" t="s">
        <v>632</v>
      </c>
      <c r="C378" s="36">
        <v>4301060484</v>
      </c>
      <c r="D378" s="681">
        <v>4607091380897</v>
      </c>
      <c r="E378" s="681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144</v>
      </c>
      <c r="L378" s="37" t="s">
        <v>46</v>
      </c>
      <c r="M378" s="38" t="s">
        <v>100</v>
      </c>
      <c r="N378" s="38"/>
      <c r="O378" s="37">
        <v>30</v>
      </c>
      <c r="P378" s="8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8" s="683"/>
      <c r="R378" s="683"/>
      <c r="S378" s="683"/>
      <c r="T378" s="68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633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90"/>
      <c r="B379" s="690"/>
      <c r="C379" s="690"/>
      <c r="D379" s="690"/>
      <c r="E379" s="690"/>
      <c r="F379" s="690"/>
      <c r="G379" s="690"/>
      <c r="H379" s="690"/>
      <c r="I379" s="690"/>
      <c r="J379" s="690"/>
      <c r="K379" s="690"/>
      <c r="L379" s="690"/>
      <c r="M379" s="690"/>
      <c r="N379" s="690"/>
      <c r="O379" s="691"/>
      <c r="P379" s="687" t="s">
        <v>40</v>
      </c>
      <c r="Q379" s="688"/>
      <c r="R379" s="688"/>
      <c r="S379" s="688"/>
      <c r="T379" s="688"/>
      <c r="U379" s="688"/>
      <c r="V379" s="689"/>
      <c r="W379" s="42" t="s">
        <v>39</v>
      </c>
      <c r="X379" s="43">
        <f>IFERROR(X376/H376,"0")+IFERROR(X377/H377,"0")+IFERROR(X378/H378,"0")</f>
        <v>0</v>
      </c>
      <c r="Y379" s="43">
        <f>IFERROR(Y376/H376,"0")+IFERROR(Y377/H377,"0")+IFERROR(Y378/H378,"0")</f>
        <v>0</v>
      </c>
      <c r="Z379" s="43">
        <f>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90"/>
      <c r="B380" s="690"/>
      <c r="C380" s="690"/>
      <c r="D380" s="690"/>
      <c r="E380" s="690"/>
      <c r="F380" s="690"/>
      <c r="G380" s="690"/>
      <c r="H380" s="690"/>
      <c r="I380" s="690"/>
      <c r="J380" s="690"/>
      <c r="K380" s="690"/>
      <c r="L380" s="690"/>
      <c r="M380" s="690"/>
      <c r="N380" s="690"/>
      <c r="O380" s="691"/>
      <c r="P380" s="687" t="s">
        <v>40</v>
      </c>
      <c r="Q380" s="688"/>
      <c r="R380" s="688"/>
      <c r="S380" s="688"/>
      <c r="T380" s="688"/>
      <c r="U380" s="688"/>
      <c r="V380" s="689"/>
      <c r="W380" s="42" t="s">
        <v>0</v>
      </c>
      <c r="X380" s="43">
        <f>IFERROR(SUM(X376:X378),"0")</f>
        <v>0</v>
      </c>
      <c r="Y380" s="43">
        <f>IFERROR(SUM(Y376:Y378),"0")</f>
        <v>0</v>
      </c>
      <c r="Z380" s="42"/>
      <c r="AA380" s="67"/>
      <c r="AB380" s="67"/>
      <c r="AC380" s="67"/>
    </row>
    <row r="381" spans="1:68" ht="14.25" customHeight="1" x14ac:dyDescent="0.25">
      <c r="A381" s="680" t="s">
        <v>118</v>
      </c>
      <c r="B381" s="680"/>
      <c r="C381" s="680"/>
      <c r="D381" s="680"/>
      <c r="E381" s="680"/>
      <c r="F381" s="680"/>
      <c r="G381" s="680"/>
      <c r="H381" s="680"/>
      <c r="I381" s="680"/>
      <c r="J381" s="680"/>
      <c r="K381" s="680"/>
      <c r="L381" s="680"/>
      <c r="M381" s="680"/>
      <c r="N381" s="680"/>
      <c r="O381" s="680"/>
      <c r="P381" s="680"/>
      <c r="Q381" s="680"/>
      <c r="R381" s="680"/>
      <c r="S381" s="680"/>
      <c r="T381" s="680"/>
      <c r="U381" s="680"/>
      <c r="V381" s="680"/>
      <c r="W381" s="680"/>
      <c r="X381" s="680"/>
      <c r="Y381" s="680"/>
      <c r="Z381" s="680"/>
      <c r="AA381" s="66"/>
      <c r="AB381" s="66"/>
      <c r="AC381" s="80"/>
    </row>
    <row r="382" spans="1:68" ht="27" customHeight="1" x14ac:dyDescent="0.25">
      <c r="A382" s="63" t="s">
        <v>634</v>
      </c>
      <c r="B382" s="63" t="s">
        <v>635</v>
      </c>
      <c r="C382" s="36">
        <v>4301030235</v>
      </c>
      <c r="D382" s="681">
        <v>4607091388381</v>
      </c>
      <c r="E382" s="681"/>
      <c r="F382" s="62">
        <v>0.38</v>
      </c>
      <c r="G382" s="37">
        <v>8</v>
      </c>
      <c r="H382" s="62">
        <v>3.04</v>
      </c>
      <c r="I382" s="62">
        <v>3.31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8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2" s="683"/>
      <c r="R382" s="683"/>
      <c r="S382" s="683"/>
      <c r="T382" s="68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636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637</v>
      </c>
      <c r="B383" s="63" t="s">
        <v>638</v>
      </c>
      <c r="C383" s="36">
        <v>4301030232</v>
      </c>
      <c r="D383" s="681">
        <v>4607091388374</v>
      </c>
      <c r="E383" s="681"/>
      <c r="F383" s="62">
        <v>0.38</v>
      </c>
      <c r="G383" s="37">
        <v>8</v>
      </c>
      <c r="H383" s="62">
        <v>3.04</v>
      </c>
      <c r="I383" s="62">
        <v>3.27</v>
      </c>
      <c r="J383" s="37">
        <v>132</v>
      </c>
      <c r="K383" s="37" t="s">
        <v>151</v>
      </c>
      <c r="L383" s="37" t="s">
        <v>46</v>
      </c>
      <c r="M383" s="38" t="s">
        <v>123</v>
      </c>
      <c r="N383" s="38"/>
      <c r="O383" s="37">
        <v>180</v>
      </c>
      <c r="P383" s="8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3" s="683"/>
      <c r="R383" s="683"/>
      <c r="S383" s="683"/>
      <c r="T383" s="68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4" t="s">
        <v>636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4301032015</v>
      </c>
      <c r="D384" s="681">
        <v>4607091383102</v>
      </c>
      <c r="E384" s="681"/>
      <c r="F384" s="62">
        <v>0.17</v>
      </c>
      <c r="G384" s="37">
        <v>15</v>
      </c>
      <c r="H384" s="62">
        <v>2.5499999999999998</v>
      </c>
      <c r="I384" s="62">
        <v>2.9550000000000001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8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4" s="683"/>
      <c r="R384" s="683"/>
      <c r="S384" s="683"/>
      <c r="T384" s="684"/>
      <c r="U384" s="39" t="s">
        <v>46</v>
      </c>
      <c r="V384" s="39" t="s">
        <v>46</v>
      </c>
      <c r="W384" s="40" t="s">
        <v>0</v>
      </c>
      <c r="X384" s="58">
        <v>20.059999999999999</v>
      </c>
      <c r="Y384" s="55">
        <f>IFERROR(IF(X384="",0,CEILING((X384/$H384),1)*$H384),"")</f>
        <v>20.399999999999999</v>
      </c>
      <c r="Z384" s="41">
        <f>IFERROR(IF(Y384=0,"",ROUNDUP(Y384/H384,0)*0.00651),"")</f>
        <v>5.2080000000000001E-2</v>
      </c>
      <c r="AA384" s="68" t="s">
        <v>46</v>
      </c>
      <c r="AB384" s="69" t="s">
        <v>46</v>
      </c>
      <c r="AC384" s="476" t="s">
        <v>636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23.245999999999999</v>
      </c>
      <c r="BN384" s="78">
        <f>IFERROR(Y384*I384/H384,"0")</f>
        <v>23.64</v>
      </c>
      <c r="BO384" s="78">
        <f>IFERROR(1/J384*(X384/H384),"0")</f>
        <v>4.3223443223443229E-2</v>
      </c>
      <c r="BP384" s="78">
        <f>IFERROR(1/J384*(Y384/H384),"0")</f>
        <v>4.3956043956043959E-2</v>
      </c>
    </row>
    <row r="385" spans="1:68" ht="27" customHeight="1" x14ac:dyDescent="0.25">
      <c r="A385" s="63" t="s">
        <v>641</v>
      </c>
      <c r="B385" s="63" t="s">
        <v>642</v>
      </c>
      <c r="C385" s="36">
        <v>4301030233</v>
      </c>
      <c r="D385" s="681">
        <v>4607091388404</v>
      </c>
      <c r="E385" s="681"/>
      <c r="F385" s="62">
        <v>0.17</v>
      </c>
      <c r="G385" s="37">
        <v>15</v>
      </c>
      <c r="H385" s="62">
        <v>2.5499999999999998</v>
      </c>
      <c r="I385" s="62">
        <v>2.88</v>
      </c>
      <c r="J385" s="37">
        <v>182</v>
      </c>
      <c r="K385" s="37" t="s">
        <v>82</v>
      </c>
      <c r="L385" s="37" t="s">
        <v>46</v>
      </c>
      <c r="M385" s="38" t="s">
        <v>123</v>
      </c>
      <c r="N385" s="38"/>
      <c r="O385" s="37">
        <v>180</v>
      </c>
      <c r="P385" s="8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5" s="683"/>
      <c r="R385" s="683"/>
      <c r="S385" s="683"/>
      <c r="T385" s="68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8" t="s">
        <v>636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90"/>
      <c r="B386" s="690"/>
      <c r="C386" s="690"/>
      <c r="D386" s="690"/>
      <c r="E386" s="690"/>
      <c r="F386" s="690"/>
      <c r="G386" s="690"/>
      <c r="H386" s="690"/>
      <c r="I386" s="690"/>
      <c r="J386" s="690"/>
      <c r="K386" s="690"/>
      <c r="L386" s="690"/>
      <c r="M386" s="690"/>
      <c r="N386" s="690"/>
      <c r="O386" s="691"/>
      <c r="P386" s="687" t="s">
        <v>40</v>
      </c>
      <c r="Q386" s="688"/>
      <c r="R386" s="688"/>
      <c r="S386" s="688"/>
      <c r="T386" s="688"/>
      <c r="U386" s="688"/>
      <c r="V386" s="689"/>
      <c r="W386" s="42" t="s">
        <v>39</v>
      </c>
      <c r="X386" s="43">
        <f>IFERROR(X382/H382,"0")+IFERROR(X383/H383,"0")+IFERROR(X384/H384,"0")+IFERROR(X385/H385,"0")</f>
        <v>7.8666666666666671</v>
      </c>
      <c r="Y386" s="43">
        <f>IFERROR(Y382/H382,"0")+IFERROR(Y383/H383,"0")+IFERROR(Y384/H384,"0")+IFERROR(Y385/H385,"0")</f>
        <v>8</v>
      </c>
      <c r="Z386" s="43">
        <f>IFERROR(IF(Z382="",0,Z382),"0")+IFERROR(IF(Z383="",0,Z383),"0")+IFERROR(IF(Z384="",0,Z384),"0")+IFERROR(IF(Z385="",0,Z385),"0")</f>
        <v>5.2080000000000001E-2</v>
      </c>
      <c r="AA386" s="67"/>
      <c r="AB386" s="67"/>
      <c r="AC386" s="67"/>
    </row>
    <row r="387" spans="1:68" x14ac:dyDescent="0.2">
      <c r="A387" s="690"/>
      <c r="B387" s="690"/>
      <c r="C387" s="690"/>
      <c r="D387" s="690"/>
      <c r="E387" s="690"/>
      <c r="F387" s="690"/>
      <c r="G387" s="690"/>
      <c r="H387" s="690"/>
      <c r="I387" s="690"/>
      <c r="J387" s="690"/>
      <c r="K387" s="690"/>
      <c r="L387" s="690"/>
      <c r="M387" s="690"/>
      <c r="N387" s="690"/>
      <c r="O387" s="691"/>
      <c r="P387" s="687" t="s">
        <v>40</v>
      </c>
      <c r="Q387" s="688"/>
      <c r="R387" s="688"/>
      <c r="S387" s="688"/>
      <c r="T387" s="688"/>
      <c r="U387" s="688"/>
      <c r="V387" s="689"/>
      <c r="W387" s="42" t="s">
        <v>0</v>
      </c>
      <c r="X387" s="43">
        <f>IFERROR(SUM(X382:X385),"0")</f>
        <v>20.059999999999999</v>
      </c>
      <c r="Y387" s="43">
        <f>IFERROR(SUM(Y382:Y385),"0")</f>
        <v>20.399999999999999</v>
      </c>
      <c r="Z387" s="42"/>
      <c r="AA387" s="67"/>
      <c r="AB387" s="67"/>
      <c r="AC387" s="67"/>
    </row>
    <row r="388" spans="1:68" ht="14.25" customHeight="1" x14ac:dyDescent="0.25">
      <c r="A388" s="680" t="s">
        <v>643</v>
      </c>
      <c r="B388" s="680"/>
      <c r="C388" s="680"/>
      <c r="D388" s="680"/>
      <c r="E388" s="680"/>
      <c r="F388" s="680"/>
      <c r="G388" s="680"/>
      <c r="H388" s="680"/>
      <c r="I388" s="680"/>
      <c r="J388" s="680"/>
      <c r="K388" s="680"/>
      <c r="L388" s="680"/>
      <c r="M388" s="680"/>
      <c r="N388" s="680"/>
      <c r="O388" s="680"/>
      <c r="P388" s="680"/>
      <c r="Q388" s="680"/>
      <c r="R388" s="680"/>
      <c r="S388" s="680"/>
      <c r="T388" s="680"/>
      <c r="U388" s="680"/>
      <c r="V388" s="680"/>
      <c r="W388" s="680"/>
      <c r="X388" s="680"/>
      <c r="Y388" s="680"/>
      <c r="Z388" s="680"/>
      <c r="AA388" s="66"/>
      <c r="AB388" s="66"/>
      <c r="AC388" s="80"/>
    </row>
    <row r="389" spans="1:68" ht="16.5" customHeight="1" x14ac:dyDescent="0.25">
      <c r="A389" s="63" t="s">
        <v>644</v>
      </c>
      <c r="B389" s="63" t="s">
        <v>645</v>
      </c>
      <c r="C389" s="36">
        <v>4301180007</v>
      </c>
      <c r="D389" s="681">
        <v>4680115881808</v>
      </c>
      <c r="E389" s="681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647</v>
      </c>
      <c r="N389" s="38"/>
      <c r="O389" s="37">
        <v>731</v>
      </c>
      <c r="P389" s="8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9" s="683"/>
      <c r="R389" s="683"/>
      <c r="S389" s="683"/>
      <c r="T389" s="68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646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648</v>
      </c>
      <c r="B390" s="63" t="s">
        <v>649</v>
      </c>
      <c r="C390" s="36">
        <v>4301180006</v>
      </c>
      <c r="D390" s="681">
        <v>4680115881822</v>
      </c>
      <c r="E390" s="681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647</v>
      </c>
      <c r="N390" s="38"/>
      <c r="O390" s="37">
        <v>731</v>
      </c>
      <c r="P390" s="8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0" s="683"/>
      <c r="R390" s="683"/>
      <c r="S390" s="683"/>
      <c r="T390" s="68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646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4301180001</v>
      </c>
      <c r="D391" s="681">
        <v>4680115880016</v>
      </c>
      <c r="E391" s="681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82</v>
      </c>
      <c r="L391" s="37" t="s">
        <v>46</v>
      </c>
      <c r="M391" s="38" t="s">
        <v>647</v>
      </c>
      <c r="N391" s="38"/>
      <c r="O391" s="37">
        <v>731</v>
      </c>
      <c r="P391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1" s="683"/>
      <c r="R391" s="683"/>
      <c r="S391" s="683"/>
      <c r="T391" s="684"/>
      <c r="U391" s="39" t="s">
        <v>46</v>
      </c>
      <c r="V391" s="39" t="s">
        <v>46</v>
      </c>
      <c r="W391" s="40" t="s">
        <v>0</v>
      </c>
      <c r="X391" s="58">
        <v>18.7</v>
      </c>
      <c r="Y391" s="55">
        <f>IFERROR(IF(X391="",0,CEILING((X391/$H391),1)*$H391),"")</f>
        <v>20</v>
      </c>
      <c r="Z391" s="41">
        <f>IFERROR(IF(Y391=0,"",ROUNDUP(Y391/H391,0)*0.00474),"")</f>
        <v>4.7400000000000005E-2</v>
      </c>
      <c r="AA391" s="68" t="s">
        <v>46</v>
      </c>
      <c r="AB391" s="69" t="s">
        <v>46</v>
      </c>
      <c r="AC391" s="484" t="s">
        <v>646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20.944000000000003</v>
      </c>
      <c r="BN391" s="78">
        <f>IFERROR(Y391*I391/H391,"0")</f>
        <v>22.400000000000002</v>
      </c>
      <c r="BO391" s="78">
        <f>IFERROR(1/J391*(X391/H391),"0")</f>
        <v>3.9285714285714285E-2</v>
      </c>
      <c r="BP391" s="78">
        <f>IFERROR(1/J391*(Y391/H391),"0")</f>
        <v>4.2016806722689072E-2</v>
      </c>
    </row>
    <row r="392" spans="1:68" x14ac:dyDescent="0.2">
      <c r="A392" s="690"/>
      <c r="B392" s="690"/>
      <c r="C392" s="690"/>
      <c r="D392" s="690"/>
      <c r="E392" s="690"/>
      <c r="F392" s="690"/>
      <c r="G392" s="690"/>
      <c r="H392" s="690"/>
      <c r="I392" s="690"/>
      <c r="J392" s="690"/>
      <c r="K392" s="690"/>
      <c r="L392" s="690"/>
      <c r="M392" s="690"/>
      <c r="N392" s="690"/>
      <c r="O392" s="691"/>
      <c r="P392" s="687" t="s">
        <v>40</v>
      </c>
      <c r="Q392" s="688"/>
      <c r="R392" s="688"/>
      <c r="S392" s="688"/>
      <c r="T392" s="688"/>
      <c r="U392" s="688"/>
      <c r="V392" s="689"/>
      <c r="W392" s="42" t="s">
        <v>39</v>
      </c>
      <c r="X392" s="43">
        <f>IFERROR(X389/H389,"0")+IFERROR(X390/H390,"0")+IFERROR(X391/H391,"0")</f>
        <v>9.35</v>
      </c>
      <c r="Y392" s="43">
        <f>IFERROR(Y389/H389,"0")+IFERROR(Y390/H390,"0")+IFERROR(Y391/H391,"0")</f>
        <v>10</v>
      </c>
      <c r="Z392" s="43">
        <f>IFERROR(IF(Z389="",0,Z389),"0")+IFERROR(IF(Z390="",0,Z390),"0")+IFERROR(IF(Z391="",0,Z391),"0")</f>
        <v>4.7400000000000005E-2</v>
      </c>
      <c r="AA392" s="67"/>
      <c r="AB392" s="67"/>
      <c r="AC392" s="67"/>
    </row>
    <row r="393" spans="1:68" x14ac:dyDescent="0.2">
      <c r="A393" s="690"/>
      <c r="B393" s="690"/>
      <c r="C393" s="690"/>
      <c r="D393" s="690"/>
      <c r="E393" s="690"/>
      <c r="F393" s="690"/>
      <c r="G393" s="690"/>
      <c r="H393" s="690"/>
      <c r="I393" s="690"/>
      <c r="J393" s="690"/>
      <c r="K393" s="690"/>
      <c r="L393" s="690"/>
      <c r="M393" s="690"/>
      <c r="N393" s="690"/>
      <c r="O393" s="691"/>
      <c r="P393" s="687" t="s">
        <v>40</v>
      </c>
      <c r="Q393" s="688"/>
      <c r="R393" s="688"/>
      <c r="S393" s="688"/>
      <c r="T393" s="688"/>
      <c r="U393" s="688"/>
      <c r="V393" s="689"/>
      <c r="W393" s="42" t="s">
        <v>0</v>
      </c>
      <c r="X393" s="43">
        <f>IFERROR(SUM(X389:X391),"0")</f>
        <v>18.7</v>
      </c>
      <c r="Y393" s="43">
        <f>IFERROR(SUM(Y389:Y391),"0")</f>
        <v>20</v>
      </c>
      <c r="Z393" s="42"/>
      <c r="AA393" s="67"/>
      <c r="AB393" s="67"/>
      <c r="AC393" s="67"/>
    </row>
    <row r="394" spans="1:68" ht="16.5" customHeight="1" x14ac:dyDescent="0.25">
      <c r="A394" s="679" t="s">
        <v>652</v>
      </c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79"/>
      <c r="P394" s="679"/>
      <c r="Q394" s="679"/>
      <c r="R394" s="679"/>
      <c r="S394" s="679"/>
      <c r="T394" s="679"/>
      <c r="U394" s="679"/>
      <c r="V394" s="679"/>
      <c r="W394" s="679"/>
      <c r="X394" s="679"/>
      <c r="Y394" s="679"/>
      <c r="Z394" s="679"/>
      <c r="AA394" s="65"/>
      <c r="AB394" s="65"/>
      <c r="AC394" s="79"/>
    </row>
    <row r="395" spans="1:68" ht="14.25" customHeight="1" x14ac:dyDescent="0.25">
      <c r="A395" s="680" t="s">
        <v>90</v>
      </c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0"/>
      <c r="P395" s="680"/>
      <c r="Q395" s="680"/>
      <c r="R395" s="680"/>
      <c r="S395" s="680"/>
      <c r="T395" s="680"/>
      <c r="U395" s="680"/>
      <c r="V395" s="680"/>
      <c r="W395" s="680"/>
      <c r="X395" s="680"/>
      <c r="Y395" s="680"/>
      <c r="Z395" s="680"/>
      <c r="AA395" s="66"/>
      <c r="AB395" s="66"/>
      <c r="AC395" s="80"/>
    </row>
    <row r="396" spans="1:68" ht="37.5" customHeight="1" x14ac:dyDescent="0.25">
      <c r="A396" s="63" t="s">
        <v>653</v>
      </c>
      <c r="B396" s="63" t="s">
        <v>654</v>
      </c>
      <c r="C396" s="36">
        <v>4301051489</v>
      </c>
      <c r="D396" s="681">
        <v>4607091387919</v>
      </c>
      <c r="E396" s="681"/>
      <c r="F396" s="62">
        <v>1.35</v>
      </c>
      <c r="G396" s="37">
        <v>6</v>
      </c>
      <c r="H396" s="62">
        <v>8.1</v>
      </c>
      <c r="I396" s="62">
        <v>8.5939999999999994</v>
      </c>
      <c r="J396" s="37">
        <v>64</v>
      </c>
      <c r="K396" s="37" t="s">
        <v>144</v>
      </c>
      <c r="L396" s="37" t="s">
        <v>46</v>
      </c>
      <c r="M396" s="38" t="s">
        <v>100</v>
      </c>
      <c r="N396" s="38"/>
      <c r="O396" s="37">
        <v>45</v>
      </c>
      <c r="P396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6" s="683"/>
      <c r="R396" s="683"/>
      <c r="S396" s="683"/>
      <c r="T396" s="68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37.5" customHeight="1" x14ac:dyDescent="0.25">
      <c r="A397" s="63" t="s">
        <v>656</v>
      </c>
      <c r="B397" s="63" t="s">
        <v>657</v>
      </c>
      <c r="C397" s="36">
        <v>4301051461</v>
      </c>
      <c r="D397" s="681">
        <v>4680115883604</v>
      </c>
      <c r="E397" s="681"/>
      <c r="F397" s="62">
        <v>0.35</v>
      </c>
      <c r="G397" s="37">
        <v>6</v>
      </c>
      <c r="H397" s="62">
        <v>2.1</v>
      </c>
      <c r="I397" s="62">
        <v>2.3519999999999999</v>
      </c>
      <c r="J397" s="37">
        <v>182</v>
      </c>
      <c r="K397" s="37" t="s">
        <v>82</v>
      </c>
      <c r="L397" s="37" t="s">
        <v>46</v>
      </c>
      <c r="M397" s="38" t="s">
        <v>94</v>
      </c>
      <c r="N397" s="38"/>
      <c r="O397" s="37">
        <v>45</v>
      </c>
      <c r="P397" s="8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7" s="683"/>
      <c r="R397" s="683"/>
      <c r="S397" s="683"/>
      <c r="T397" s="684"/>
      <c r="U397" s="39" t="s">
        <v>46</v>
      </c>
      <c r="V397" s="39" t="s">
        <v>46</v>
      </c>
      <c r="W397" s="40" t="s">
        <v>0</v>
      </c>
      <c r="X397" s="58">
        <v>90.65</v>
      </c>
      <c r="Y397" s="55">
        <f>IFERROR(IF(X397="",0,CEILING((X397/$H397),1)*$H397),"")</f>
        <v>92.4</v>
      </c>
      <c r="Z397" s="41">
        <f>IFERROR(IF(Y397=0,"",ROUNDUP(Y397/H397,0)*0.00651),"")</f>
        <v>0.28644000000000003</v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101.52799999999999</v>
      </c>
      <c r="BN397" s="78">
        <f>IFERROR(Y397*I397/H397,"0")</f>
        <v>103.488</v>
      </c>
      <c r="BO397" s="78">
        <f>IFERROR(1/J397*(X397/H397),"0")</f>
        <v>0.2371794871794872</v>
      </c>
      <c r="BP397" s="78">
        <f>IFERROR(1/J397*(Y397/H397),"0")</f>
        <v>0.24175824175824179</v>
      </c>
    </row>
    <row r="398" spans="1:68" ht="27" customHeight="1" x14ac:dyDescent="0.25">
      <c r="A398" s="63" t="s">
        <v>659</v>
      </c>
      <c r="B398" s="63" t="s">
        <v>660</v>
      </c>
      <c r="C398" s="36">
        <v>4301051864</v>
      </c>
      <c r="D398" s="681">
        <v>4680115883567</v>
      </c>
      <c r="E398" s="681"/>
      <c r="F398" s="62">
        <v>0.35</v>
      </c>
      <c r="G398" s="37">
        <v>6</v>
      </c>
      <c r="H398" s="62">
        <v>2.1</v>
      </c>
      <c r="I398" s="62">
        <v>2.34</v>
      </c>
      <c r="J398" s="37">
        <v>182</v>
      </c>
      <c r="K398" s="37" t="s">
        <v>82</v>
      </c>
      <c r="L398" s="37" t="s">
        <v>46</v>
      </c>
      <c r="M398" s="38" t="s">
        <v>100</v>
      </c>
      <c r="N398" s="38"/>
      <c r="O398" s="37">
        <v>40</v>
      </c>
      <c r="P398" s="8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8" s="683"/>
      <c r="R398" s="683"/>
      <c r="S398" s="683"/>
      <c r="T398" s="684"/>
      <c r="U398" s="39" t="s">
        <v>46</v>
      </c>
      <c r="V398" s="39" t="s">
        <v>46</v>
      </c>
      <c r="W398" s="40" t="s">
        <v>0</v>
      </c>
      <c r="X398" s="58">
        <v>63</v>
      </c>
      <c r="Y398" s="55">
        <f>IFERROR(IF(X398="",0,CEILING((X398/$H398),1)*$H398),"")</f>
        <v>63</v>
      </c>
      <c r="Z398" s="41">
        <f>IFERROR(IF(Y398=0,"",ROUNDUP(Y398/H398,0)*0.00651),"")</f>
        <v>0.1953</v>
      </c>
      <c r="AA398" s="68" t="s">
        <v>46</v>
      </c>
      <c r="AB398" s="69" t="s">
        <v>46</v>
      </c>
      <c r="AC398" s="490" t="s">
        <v>661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70.199999999999989</v>
      </c>
      <c r="BN398" s="78">
        <f>IFERROR(Y398*I398/H398,"0")</f>
        <v>70.199999999999989</v>
      </c>
      <c r="BO398" s="78">
        <f>IFERROR(1/J398*(X398/H398),"0")</f>
        <v>0.16483516483516486</v>
      </c>
      <c r="BP398" s="78">
        <f>IFERROR(1/J398*(Y398/H398),"0")</f>
        <v>0.16483516483516486</v>
      </c>
    </row>
    <row r="399" spans="1:68" x14ac:dyDescent="0.2">
      <c r="A399" s="690"/>
      <c r="B399" s="690"/>
      <c r="C399" s="690"/>
      <c r="D399" s="690"/>
      <c r="E399" s="690"/>
      <c r="F399" s="690"/>
      <c r="G399" s="690"/>
      <c r="H399" s="690"/>
      <c r="I399" s="690"/>
      <c r="J399" s="690"/>
      <c r="K399" s="690"/>
      <c r="L399" s="690"/>
      <c r="M399" s="690"/>
      <c r="N399" s="690"/>
      <c r="O399" s="691"/>
      <c r="P399" s="687" t="s">
        <v>40</v>
      </c>
      <c r="Q399" s="688"/>
      <c r="R399" s="688"/>
      <c r="S399" s="688"/>
      <c r="T399" s="688"/>
      <c r="U399" s="688"/>
      <c r="V399" s="689"/>
      <c r="W399" s="42" t="s">
        <v>39</v>
      </c>
      <c r="X399" s="43">
        <f>IFERROR(X396/H396,"0")+IFERROR(X397/H397,"0")+IFERROR(X398/H398,"0")</f>
        <v>73.166666666666657</v>
      </c>
      <c r="Y399" s="43">
        <f>IFERROR(Y396/H396,"0")+IFERROR(Y397/H397,"0")+IFERROR(Y398/H398,"0")</f>
        <v>74</v>
      </c>
      <c r="Z399" s="43">
        <f>IFERROR(IF(Z396="",0,Z396),"0")+IFERROR(IF(Z397="",0,Z397),"0")+IFERROR(IF(Z398="",0,Z398),"0")</f>
        <v>0.48174000000000006</v>
      </c>
      <c r="AA399" s="67"/>
      <c r="AB399" s="67"/>
      <c r="AC399" s="67"/>
    </row>
    <row r="400" spans="1:68" x14ac:dyDescent="0.2">
      <c r="A400" s="690"/>
      <c r="B400" s="690"/>
      <c r="C400" s="690"/>
      <c r="D400" s="690"/>
      <c r="E400" s="690"/>
      <c r="F400" s="690"/>
      <c r="G400" s="690"/>
      <c r="H400" s="690"/>
      <c r="I400" s="690"/>
      <c r="J400" s="690"/>
      <c r="K400" s="690"/>
      <c r="L400" s="690"/>
      <c r="M400" s="690"/>
      <c r="N400" s="690"/>
      <c r="O400" s="691"/>
      <c r="P400" s="687" t="s">
        <v>40</v>
      </c>
      <c r="Q400" s="688"/>
      <c r="R400" s="688"/>
      <c r="S400" s="688"/>
      <c r="T400" s="688"/>
      <c r="U400" s="688"/>
      <c r="V400" s="689"/>
      <c r="W400" s="42" t="s">
        <v>0</v>
      </c>
      <c r="X400" s="43">
        <f>IFERROR(SUM(X396:X398),"0")</f>
        <v>153.65</v>
      </c>
      <c r="Y400" s="43">
        <f>IFERROR(SUM(Y396:Y398),"0")</f>
        <v>155.4</v>
      </c>
      <c r="Z400" s="42"/>
      <c r="AA400" s="67"/>
      <c r="AB400" s="67"/>
      <c r="AC400" s="67"/>
    </row>
    <row r="401" spans="1:68" ht="27.75" customHeight="1" x14ac:dyDescent="0.2">
      <c r="A401" s="678" t="s">
        <v>662</v>
      </c>
      <c r="B401" s="678"/>
      <c r="C401" s="678"/>
      <c r="D401" s="678"/>
      <c r="E401" s="678"/>
      <c r="F401" s="678"/>
      <c r="G401" s="678"/>
      <c r="H401" s="678"/>
      <c r="I401" s="678"/>
      <c r="J401" s="678"/>
      <c r="K401" s="678"/>
      <c r="L401" s="678"/>
      <c r="M401" s="678"/>
      <c r="N401" s="678"/>
      <c r="O401" s="678"/>
      <c r="P401" s="678"/>
      <c r="Q401" s="678"/>
      <c r="R401" s="678"/>
      <c r="S401" s="678"/>
      <c r="T401" s="678"/>
      <c r="U401" s="678"/>
      <c r="V401" s="678"/>
      <c r="W401" s="678"/>
      <c r="X401" s="678"/>
      <c r="Y401" s="678"/>
      <c r="Z401" s="678"/>
      <c r="AA401" s="54"/>
      <c r="AB401" s="54"/>
      <c r="AC401" s="54"/>
    </row>
    <row r="402" spans="1:68" ht="16.5" customHeight="1" x14ac:dyDescent="0.25">
      <c r="A402" s="679" t="s">
        <v>663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5"/>
      <c r="AB402" s="65"/>
      <c r="AC402" s="79"/>
    </row>
    <row r="403" spans="1:68" ht="14.25" customHeight="1" x14ac:dyDescent="0.25">
      <c r="A403" s="680" t="s">
        <v>139</v>
      </c>
      <c r="B403" s="680"/>
      <c r="C403" s="680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80"/>
      <c r="P403" s="680"/>
      <c r="Q403" s="680"/>
      <c r="R403" s="680"/>
      <c r="S403" s="680"/>
      <c r="T403" s="680"/>
      <c r="U403" s="680"/>
      <c r="V403" s="680"/>
      <c r="W403" s="680"/>
      <c r="X403" s="680"/>
      <c r="Y403" s="680"/>
      <c r="Z403" s="680"/>
      <c r="AA403" s="66"/>
      <c r="AB403" s="66"/>
      <c r="AC403" s="80"/>
    </row>
    <row r="404" spans="1:68" ht="27" customHeight="1" x14ac:dyDescent="0.25">
      <c r="A404" s="63" t="s">
        <v>664</v>
      </c>
      <c r="B404" s="63" t="s">
        <v>665</v>
      </c>
      <c r="C404" s="36">
        <v>4301012332</v>
      </c>
      <c r="D404" s="681">
        <v>4680115888401</v>
      </c>
      <c r="E404" s="681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100</v>
      </c>
      <c r="N404" s="38"/>
      <c r="O404" s="37">
        <v>60</v>
      </c>
      <c r="P404" s="89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4" s="683"/>
      <c r="R404" s="683"/>
      <c r="S404" s="683"/>
      <c r="T404" s="684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ref="Y404:Y411" si="52">IFERROR(IF(X404="",0,CEILING((X404/$H404),1)*$H404),"")</f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ref="BM404:BM411" si="53">IFERROR(X404*I404/H404,"0")</f>
        <v>0</v>
      </c>
      <c r="BN404" s="78">
        <f t="shared" ref="BN404:BN411" si="54">IFERROR(Y404*I404/H404,"0")</f>
        <v>0</v>
      </c>
      <c r="BO404" s="78">
        <f t="shared" ref="BO404:BO411" si="55">IFERROR(1/J404*(X404/H404),"0")</f>
        <v>0</v>
      </c>
      <c r="BP404" s="78">
        <f t="shared" ref="BP404:BP411" si="56">IFERROR(1/J404*(Y404/H404),"0")</f>
        <v>0</v>
      </c>
    </row>
    <row r="405" spans="1:68" ht="37.5" customHeight="1" x14ac:dyDescent="0.25">
      <c r="A405" s="63" t="s">
        <v>667</v>
      </c>
      <c r="B405" s="63" t="s">
        <v>668</v>
      </c>
      <c r="C405" s="36">
        <v>4301011869</v>
      </c>
      <c r="D405" s="681">
        <v>4680115884847</v>
      </c>
      <c r="E405" s="681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81</v>
      </c>
      <c r="N405" s="38"/>
      <c r="O405" s="37">
        <v>60</v>
      </c>
      <c r="P405" s="8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5" s="683"/>
      <c r="R405" s="683"/>
      <c r="S405" s="683"/>
      <c r="T405" s="684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2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0</v>
      </c>
      <c r="BN405" s="78">
        <f t="shared" si="54"/>
        <v>0</v>
      </c>
      <c r="BO405" s="78">
        <f t="shared" si="55"/>
        <v>0</v>
      </c>
      <c r="BP405" s="78">
        <f t="shared" si="56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4301012083</v>
      </c>
      <c r="D406" s="681">
        <v>4680115884854</v>
      </c>
      <c r="E406" s="681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143</v>
      </c>
      <c r="N406" s="38"/>
      <c r="O406" s="37">
        <v>60</v>
      </c>
      <c r="P406" s="8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6" s="683"/>
      <c r="R406" s="683"/>
      <c r="S406" s="683"/>
      <c r="T406" s="684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2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0</v>
      </c>
      <c r="BN406" s="78">
        <f t="shared" si="54"/>
        <v>0</v>
      </c>
      <c r="BO406" s="78">
        <f t="shared" si="55"/>
        <v>0</v>
      </c>
      <c r="BP406" s="78">
        <f t="shared" si="56"/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4301011867</v>
      </c>
      <c r="D407" s="681">
        <v>4680115884830</v>
      </c>
      <c r="E407" s="68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81</v>
      </c>
      <c r="N407" s="38"/>
      <c r="O407" s="37">
        <v>60</v>
      </c>
      <c r="P407" s="8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7" s="683"/>
      <c r="R407" s="683"/>
      <c r="S407" s="683"/>
      <c r="T407" s="68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4301012215</v>
      </c>
      <c r="D408" s="681">
        <v>4680115887046</v>
      </c>
      <c r="E408" s="68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144</v>
      </c>
      <c r="L408" s="37" t="s">
        <v>46</v>
      </c>
      <c r="M408" s="38" t="s">
        <v>100</v>
      </c>
      <c r="N408" s="38"/>
      <c r="O408" s="37">
        <v>60</v>
      </c>
      <c r="P408" s="8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8" s="683"/>
      <c r="R408" s="683"/>
      <c r="S408" s="683"/>
      <c r="T408" s="684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2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0</v>
      </c>
      <c r="BN408" s="78">
        <f t="shared" si="54"/>
        <v>0</v>
      </c>
      <c r="BO408" s="78">
        <f t="shared" si="55"/>
        <v>0</v>
      </c>
      <c r="BP408" s="78">
        <f t="shared" si="56"/>
        <v>0</v>
      </c>
    </row>
    <row r="409" spans="1:68" ht="27" customHeight="1" x14ac:dyDescent="0.25">
      <c r="A409" s="63" t="s">
        <v>679</v>
      </c>
      <c r="B409" s="63" t="s">
        <v>680</v>
      </c>
      <c r="C409" s="36">
        <v>4301011433</v>
      </c>
      <c r="D409" s="681">
        <v>4680115882638</v>
      </c>
      <c r="E409" s="681"/>
      <c r="F409" s="62">
        <v>0.4</v>
      </c>
      <c r="G409" s="37">
        <v>10</v>
      </c>
      <c r="H409" s="62">
        <v>4</v>
      </c>
      <c r="I409" s="62">
        <v>4.1900000000000004</v>
      </c>
      <c r="J409" s="37">
        <v>132</v>
      </c>
      <c r="K409" s="37" t="s">
        <v>151</v>
      </c>
      <c r="L409" s="37" t="s">
        <v>46</v>
      </c>
      <c r="M409" s="38" t="s">
        <v>143</v>
      </c>
      <c r="N409" s="38"/>
      <c r="O409" s="37">
        <v>90</v>
      </c>
      <c r="P409" s="8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9" s="683"/>
      <c r="R409" s="683"/>
      <c r="S409" s="683"/>
      <c r="T409" s="68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ht="27" customHeight="1" x14ac:dyDescent="0.25">
      <c r="A410" s="63" t="s">
        <v>682</v>
      </c>
      <c r="B410" s="63" t="s">
        <v>683</v>
      </c>
      <c r="C410" s="36">
        <v>4301011952</v>
      </c>
      <c r="D410" s="681">
        <v>4680115884922</v>
      </c>
      <c r="E410" s="681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8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0" s="683"/>
      <c r="R410" s="683"/>
      <c r="S410" s="683"/>
      <c r="T410" s="68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2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53"/>
        <v>0</v>
      </c>
      <c r="BN410" s="78">
        <f t="shared" si="54"/>
        <v>0</v>
      </c>
      <c r="BO410" s="78">
        <f t="shared" si="55"/>
        <v>0</v>
      </c>
      <c r="BP410" s="78">
        <f t="shared" si="56"/>
        <v>0</v>
      </c>
    </row>
    <row r="411" spans="1:68" ht="37.5" customHeight="1" x14ac:dyDescent="0.25">
      <c r="A411" s="63" t="s">
        <v>685</v>
      </c>
      <c r="B411" s="63" t="s">
        <v>686</v>
      </c>
      <c r="C411" s="36">
        <v>4301011868</v>
      </c>
      <c r="D411" s="681">
        <v>4680115884861</v>
      </c>
      <c r="E411" s="681"/>
      <c r="F411" s="62">
        <v>0.5</v>
      </c>
      <c r="G411" s="37">
        <v>10</v>
      </c>
      <c r="H411" s="62">
        <v>5</v>
      </c>
      <c r="I411" s="62">
        <v>5.19</v>
      </c>
      <c r="J411" s="37">
        <v>132</v>
      </c>
      <c r="K411" s="37" t="s">
        <v>151</v>
      </c>
      <c r="L411" s="37" t="s">
        <v>46</v>
      </c>
      <c r="M411" s="38" t="s">
        <v>81</v>
      </c>
      <c r="N411" s="38"/>
      <c r="O411" s="37">
        <v>60</v>
      </c>
      <c r="P411" s="8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1" s="683"/>
      <c r="R411" s="683"/>
      <c r="S411" s="683"/>
      <c r="T411" s="684"/>
      <c r="U411" s="39" t="s">
        <v>46</v>
      </c>
      <c r="V411" s="39" t="s">
        <v>46</v>
      </c>
      <c r="W411" s="40" t="s">
        <v>0</v>
      </c>
      <c r="X411" s="58">
        <v>150</v>
      </c>
      <c r="Y411" s="55">
        <f t="shared" si="52"/>
        <v>150</v>
      </c>
      <c r="Z411" s="41">
        <f>IFERROR(IF(Y411=0,"",ROUNDUP(Y411/H411,0)*0.00902),"")</f>
        <v>0.27060000000000001</v>
      </c>
      <c r="AA411" s="68" t="s">
        <v>46</v>
      </c>
      <c r="AB411" s="69" t="s">
        <v>46</v>
      </c>
      <c r="AC411" s="506" t="s">
        <v>687</v>
      </c>
      <c r="AG411" s="78"/>
      <c r="AJ411" s="84" t="s">
        <v>46</v>
      </c>
      <c r="AK411" s="84">
        <v>0</v>
      </c>
      <c r="BB411" s="507" t="s">
        <v>67</v>
      </c>
      <c r="BM411" s="78">
        <f t="shared" si="53"/>
        <v>155.70000000000002</v>
      </c>
      <c r="BN411" s="78">
        <f t="shared" si="54"/>
        <v>155.70000000000002</v>
      </c>
      <c r="BO411" s="78">
        <f t="shared" si="55"/>
        <v>0.22727272727272729</v>
      </c>
      <c r="BP411" s="78">
        <f t="shared" si="56"/>
        <v>0.22727272727272729</v>
      </c>
    </row>
    <row r="412" spans="1:68" x14ac:dyDescent="0.2">
      <c r="A412" s="690"/>
      <c r="B412" s="690"/>
      <c r="C412" s="690"/>
      <c r="D412" s="690"/>
      <c r="E412" s="690"/>
      <c r="F412" s="690"/>
      <c r="G412" s="690"/>
      <c r="H412" s="690"/>
      <c r="I412" s="690"/>
      <c r="J412" s="690"/>
      <c r="K412" s="690"/>
      <c r="L412" s="690"/>
      <c r="M412" s="690"/>
      <c r="N412" s="690"/>
      <c r="O412" s="691"/>
      <c r="P412" s="687" t="s">
        <v>40</v>
      </c>
      <c r="Q412" s="688"/>
      <c r="R412" s="688"/>
      <c r="S412" s="688"/>
      <c r="T412" s="688"/>
      <c r="U412" s="688"/>
      <c r="V412" s="689"/>
      <c r="W412" s="42" t="s">
        <v>39</v>
      </c>
      <c r="X412" s="43">
        <f>IFERROR(X404/H404,"0")+IFERROR(X405/H405,"0")+IFERROR(X406/H406,"0")+IFERROR(X407/H407,"0")+IFERROR(X408/H408,"0")+IFERROR(X409/H409,"0")+IFERROR(X410/H410,"0")+IFERROR(X411/H411,"0")</f>
        <v>30</v>
      </c>
      <c r="Y412" s="43">
        <f>IFERROR(Y404/H404,"0")+IFERROR(Y405/H405,"0")+IFERROR(Y406/H406,"0")+IFERROR(Y407/H407,"0")+IFERROR(Y408/H408,"0")+IFERROR(Y409/H409,"0")+IFERROR(Y410/H410,"0")+IFERROR(Y411/H411,"0")</f>
        <v>30</v>
      </c>
      <c r="Z412" s="43">
        <f>IFERROR(IF(Z404="",0,Z404),"0")+IFERROR(IF(Z405="",0,Z405),"0")+IFERROR(IF(Z406="",0,Z406),"0")+IFERROR(IF(Z407="",0,Z407),"0")+IFERROR(IF(Z408="",0,Z408),"0")+IFERROR(IF(Z409="",0,Z409),"0")+IFERROR(IF(Z410="",0,Z410),"0")+IFERROR(IF(Z411="",0,Z411),"0")</f>
        <v>0.27060000000000001</v>
      </c>
      <c r="AA412" s="67"/>
      <c r="AB412" s="67"/>
      <c r="AC412" s="67"/>
    </row>
    <row r="413" spans="1:68" x14ac:dyDescent="0.2">
      <c r="A413" s="690"/>
      <c r="B413" s="690"/>
      <c r="C413" s="690"/>
      <c r="D413" s="690"/>
      <c r="E413" s="690"/>
      <c r="F413" s="690"/>
      <c r="G413" s="690"/>
      <c r="H413" s="690"/>
      <c r="I413" s="690"/>
      <c r="J413" s="690"/>
      <c r="K413" s="690"/>
      <c r="L413" s="690"/>
      <c r="M413" s="690"/>
      <c r="N413" s="690"/>
      <c r="O413" s="691"/>
      <c r="P413" s="687" t="s">
        <v>40</v>
      </c>
      <c r="Q413" s="688"/>
      <c r="R413" s="688"/>
      <c r="S413" s="688"/>
      <c r="T413" s="688"/>
      <c r="U413" s="688"/>
      <c r="V413" s="689"/>
      <c r="W413" s="42" t="s">
        <v>0</v>
      </c>
      <c r="X413" s="43">
        <f>IFERROR(SUM(X404:X411),"0")</f>
        <v>150</v>
      </c>
      <c r="Y413" s="43">
        <f>IFERROR(SUM(Y404:Y411),"0")</f>
        <v>150</v>
      </c>
      <c r="Z413" s="42"/>
      <c r="AA413" s="67"/>
      <c r="AB413" s="67"/>
      <c r="AC413" s="67"/>
    </row>
    <row r="414" spans="1:68" ht="14.25" customHeight="1" x14ac:dyDescent="0.25">
      <c r="A414" s="680" t="s">
        <v>174</v>
      </c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0"/>
      <c r="P414" s="680"/>
      <c r="Q414" s="680"/>
      <c r="R414" s="680"/>
      <c r="S414" s="680"/>
      <c r="T414" s="680"/>
      <c r="U414" s="680"/>
      <c r="V414" s="680"/>
      <c r="W414" s="680"/>
      <c r="X414" s="680"/>
      <c r="Y414" s="680"/>
      <c r="Z414" s="680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4301020178</v>
      </c>
      <c r="D415" s="681">
        <v>4607091383980</v>
      </c>
      <c r="E415" s="68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9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5" s="683"/>
      <c r="R415" s="683"/>
      <c r="S415" s="683"/>
      <c r="T415" s="68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4301020355</v>
      </c>
      <c r="D416" s="681">
        <v>4680115888425</v>
      </c>
      <c r="E416" s="68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144</v>
      </c>
      <c r="L416" s="37" t="s">
        <v>46</v>
      </c>
      <c r="M416" s="38" t="s">
        <v>143</v>
      </c>
      <c r="N416" s="38"/>
      <c r="O416" s="37">
        <v>50</v>
      </c>
      <c r="P416" s="9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6" s="683"/>
      <c r="R416" s="683"/>
      <c r="S416" s="683"/>
      <c r="T416" s="68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4301020179</v>
      </c>
      <c r="D417" s="681">
        <v>4607091384178</v>
      </c>
      <c r="E417" s="681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151</v>
      </c>
      <c r="L417" s="37" t="s">
        <v>46</v>
      </c>
      <c r="M417" s="38" t="s">
        <v>143</v>
      </c>
      <c r="N417" s="38"/>
      <c r="O417" s="37">
        <v>50</v>
      </c>
      <c r="P417" s="9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7" s="683"/>
      <c r="R417" s="683"/>
      <c r="S417" s="683"/>
      <c r="T417" s="684"/>
      <c r="U417" s="39" t="s">
        <v>46</v>
      </c>
      <c r="V417" s="39" t="s">
        <v>46</v>
      </c>
      <c r="W417" s="40" t="s">
        <v>0</v>
      </c>
      <c r="X417" s="58">
        <v>120</v>
      </c>
      <c r="Y417" s="55">
        <f>IFERROR(IF(X417="",0,CEILING((X417/$H417),1)*$H417),"")</f>
        <v>120</v>
      </c>
      <c r="Z417" s="41">
        <f>IFERROR(IF(Y417=0,"",ROUNDUP(Y417/H417,0)*0.00902),"")</f>
        <v>0.27060000000000001</v>
      </c>
      <c r="AA417" s="68" t="s">
        <v>46</v>
      </c>
      <c r="AB417" s="69" t="s">
        <v>46</v>
      </c>
      <c r="AC417" s="512" t="s">
        <v>696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125.70000000000002</v>
      </c>
      <c r="BN417" s="78">
        <f>IFERROR(Y417*I417/H417,"0")</f>
        <v>125.70000000000002</v>
      </c>
      <c r="BO417" s="78">
        <f>IFERROR(1/J417*(X417/H417),"0")</f>
        <v>0.22727272727272729</v>
      </c>
      <c r="BP417" s="78">
        <f>IFERROR(1/J417*(Y417/H417),"0")</f>
        <v>0.22727272727272729</v>
      </c>
    </row>
    <row r="418" spans="1:68" x14ac:dyDescent="0.2">
      <c r="A418" s="690"/>
      <c r="B418" s="690"/>
      <c r="C418" s="690"/>
      <c r="D418" s="690"/>
      <c r="E418" s="690"/>
      <c r="F418" s="690"/>
      <c r="G418" s="690"/>
      <c r="H418" s="690"/>
      <c r="I418" s="690"/>
      <c r="J418" s="690"/>
      <c r="K418" s="690"/>
      <c r="L418" s="690"/>
      <c r="M418" s="690"/>
      <c r="N418" s="690"/>
      <c r="O418" s="691"/>
      <c r="P418" s="687" t="s">
        <v>40</v>
      </c>
      <c r="Q418" s="688"/>
      <c r="R418" s="688"/>
      <c r="S418" s="688"/>
      <c r="T418" s="688"/>
      <c r="U418" s="688"/>
      <c r="V418" s="689"/>
      <c r="W418" s="42" t="s">
        <v>39</v>
      </c>
      <c r="X418" s="43">
        <f>IFERROR(X415/H415,"0")+IFERROR(X416/H416,"0")+IFERROR(X417/H417,"0")</f>
        <v>30</v>
      </c>
      <c r="Y418" s="43">
        <f>IFERROR(Y415/H415,"0")+IFERROR(Y416/H416,"0")+IFERROR(Y417/H417,"0")</f>
        <v>30</v>
      </c>
      <c r="Z418" s="43">
        <f>IFERROR(IF(Z415="",0,Z415),"0")+IFERROR(IF(Z416="",0,Z416),"0")+IFERROR(IF(Z417="",0,Z417),"0")</f>
        <v>0.27060000000000001</v>
      </c>
      <c r="AA418" s="67"/>
      <c r="AB418" s="67"/>
      <c r="AC418" s="67"/>
    </row>
    <row r="419" spans="1:68" x14ac:dyDescent="0.2">
      <c r="A419" s="690"/>
      <c r="B419" s="690"/>
      <c r="C419" s="690"/>
      <c r="D419" s="690"/>
      <c r="E419" s="690"/>
      <c r="F419" s="690"/>
      <c r="G419" s="690"/>
      <c r="H419" s="690"/>
      <c r="I419" s="690"/>
      <c r="J419" s="690"/>
      <c r="K419" s="690"/>
      <c r="L419" s="690"/>
      <c r="M419" s="690"/>
      <c r="N419" s="690"/>
      <c r="O419" s="691"/>
      <c r="P419" s="687" t="s">
        <v>40</v>
      </c>
      <c r="Q419" s="688"/>
      <c r="R419" s="688"/>
      <c r="S419" s="688"/>
      <c r="T419" s="688"/>
      <c r="U419" s="688"/>
      <c r="V419" s="689"/>
      <c r="W419" s="42" t="s">
        <v>0</v>
      </c>
      <c r="X419" s="43">
        <f>IFERROR(SUM(X415:X417),"0")</f>
        <v>120</v>
      </c>
      <c r="Y419" s="43">
        <f>IFERROR(SUM(Y415:Y417),"0")</f>
        <v>120</v>
      </c>
      <c r="Z419" s="42"/>
      <c r="AA419" s="67"/>
      <c r="AB419" s="67"/>
      <c r="AC419" s="67"/>
    </row>
    <row r="420" spans="1:68" ht="14.25" customHeight="1" x14ac:dyDescent="0.25">
      <c r="A420" s="680" t="s">
        <v>90</v>
      </c>
      <c r="B420" s="680"/>
      <c r="C420" s="680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80"/>
      <c r="P420" s="680"/>
      <c r="Q420" s="680"/>
      <c r="R420" s="680"/>
      <c r="S420" s="680"/>
      <c r="T420" s="680"/>
      <c r="U420" s="680"/>
      <c r="V420" s="680"/>
      <c r="W420" s="680"/>
      <c r="X420" s="680"/>
      <c r="Y420" s="680"/>
      <c r="Z420" s="680"/>
      <c r="AA420" s="66"/>
      <c r="AB420" s="66"/>
      <c r="AC420" s="80"/>
    </row>
    <row r="421" spans="1:68" ht="27" customHeight="1" x14ac:dyDescent="0.25">
      <c r="A421" s="63" t="s">
        <v>697</v>
      </c>
      <c r="B421" s="63" t="s">
        <v>698</v>
      </c>
      <c r="C421" s="36">
        <v>4301051903</v>
      </c>
      <c r="D421" s="681">
        <v>4607091383928</v>
      </c>
      <c r="E421" s="681"/>
      <c r="F421" s="62">
        <v>1.5</v>
      </c>
      <c r="G421" s="37">
        <v>6</v>
      </c>
      <c r="H421" s="62">
        <v>9</v>
      </c>
      <c r="I421" s="62">
        <v>9.5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9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1" s="683"/>
      <c r="R421" s="683"/>
      <c r="S421" s="683"/>
      <c r="T421" s="68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700</v>
      </c>
      <c r="B422" s="63" t="s">
        <v>701</v>
      </c>
      <c r="C422" s="36">
        <v>4301051897</v>
      </c>
      <c r="D422" s="681">
        <v>4607091384260</v>
      </c>
      <c r="E422" s="681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144</v>
      </c>
      <c r="L422" s="37" t="s">
        <v>46</v>
      </c>
      <c r="M422" s="38" t="s">
        <v>94</v>
      </c>
      <c r="N422" s="38"/>
      <c r="O422" s="37">
        <v>40</v>
      </c>
      <c r="P422" s="9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2" s="683"/>
      <c r="R422" s="683"/>
      <c r="S422" s="683"/>
      <c r="T422" s="68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6" t="s">
        <v>702</v>
      </c>
      <c r="AG422" s="78"/>
      <c r="AJ422" s="84" t="s">
        <v>46</v>
      </c>
      <c r="AK422" s="84">
        <v>0</v>
      </c>
      <c r="BB422" s="517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90"/>
      <c r="B423" s="690"/>
      <c r="C423" s="690"/>
      <c r="D423" s="690"/>
      <c r="E423" s="690"/>
      <c r="F423" s="690"/>
      <c r="G423" s="690"/>
      <c r="H423" s="690"/>
      <c r="I423" s="690"/>
      <c r="J423" s="690"/>
      <c r="K423" s="690"/>
      <c r="L423" s="690"/>
      <c r="M423" s="690"/>
      <c r="N423" s="690"/>
      <c r="O423" s="691"/>
      <c r="P423" s="687" t="s">
        <v>40</v>
      </c>
      <c r="Q423" s="688"/>
      <c r="R423" s="688"/>
      <c r="S423" s="688"/>
      <c r="T423" s="688"/>
      <c r="U423" s="688"/>
      <c r="V423" s="689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x14ac:dyDescent="0.2">
      <c r="A424" s="690"/>
      <c r="B424" s="690"/>
      <c r="C424" s="690"/>
      <c r="D424" s="690"/>
      <c r="E424" s="690"/>
      <c r="F424" s="690"/>
      <c r="G424" s="690"/>
      <c r="H424" s="690"/>
      <c r="I424" s="690"/>
      <c r="J424" s="690"/>
      <c r="K424" s="690"/>
      <c r="L424" s="690"/>
      <c r="M424" s="690"/>
      <c r="N424" s="690"/>
      <c r="O424" s="691"/>
      <c r="P424" s="687" t="s">
        <v>40</v>
      </c>
      <c r="Q424" s="688"/>
      <c r="R424" s="688"/>
      <c r="S424" s="688"/>
      <c r="T424" s="688"/>
      <c r="U424" s="688"/>
      <c r="V424" s="689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4.25" customHeight="1" x14ac:dyDescent="0.25">
      <c r="A425" s="680" t="s">
        <v>191</v>
      </c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0"/>
      <c r="P425" s="680"/>
      <c r="Q425" s="680"/>
      <c r="R425" s="680"/>
      <c r="S425" s="680"/>
      <c r="T425" s="680"/>
      <c r="U425" s="680"/>
      <c r="V425" s="680"/>
      <c r="W425" s="680"/>
      <c r="X425" s="680"/>
      <c r="Y425" s="680"/>
      <c r="Z425" s="680"/>
      <c r="AA425" s="66"/>
      <c r="AB425" s="66"/>
      <c r="AC425" s="80"/>
    </row>
    <row r="426" spans="1:68" ht="16.5" customHeight="1" x14ac:dyDescent="0.25">
      <c r="A426" s="63" t="s">
        <v>703</v>
      </c>
      <c r="B426" s="63" t="s">
        <v>704</v>
      </c>
      <c r="C426" s="36">
        <v>4301060524</v>
      </c>
      <c r="D426" s="681">
        <v>4607091384673</v>
      </c>
      <c r="E426" s="681"/>
      <c r="F426" s="62">
        <v>1.5</v>
      </c>
      <c r="G426" s="37">
        <v>6</v>
      </c>
      <c r="H426" s="62">
        <v>9</v>
      </c>
      <c r="I426" s="62">
        <v>9.4939999999999998</v>
      </c>
      <c r="J426" s="37">
        <v>64</v>
      </c>
      <c r="K426" s="37" t="s">
        <v>144</v>
      </c>
      <c r="L426" s="37" t="s">
        <v>46</v>
      </c>
      <c r="M426" s="38" t="s">
        <v>94</v>
      </c>
      <c r="N426" s="38"/>
      <c r="O426" s="37">
        <v>40</v>
      </c>
      <c r="P426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6" s="683"/>
      <c r="R426" s="683"/>
      <c r="S426" s="683"/>
      <c r="T426" s="68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8" t="s">
        <v>705</v>
      </c>
      <c r="AG426" s="78"/>
      <c r="AJ426" s="84" t="s">
        <v>46</v>
      </c>
      <c r="AK426" s="84">
        <v>0</v>
      </c>
      <c r="BB426" s="519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90"/>
      <c r="B427" s="690"/>
      <c r="C427" s="690"/>
      <c r="D427" s="690"/>
      <c r="E427" s="690"/>
      <c r="F427" s="690"/>
      <c r="G427" s="690"/>
      <c r="H427" s="690"/>
      <c r="I427" s="690"/>
      <c r="J427" s="690"/>
      <c r="K427" s="690"/>
      <c r="L427" s="690"/>
      <c r="M427" s="690"/>
      <c r="N427" s="690"/>
      <c r="O427" s="691"/>
      <c r="P427" s="687" t="s">
        <v>40</v>
      </c>
      <c r="Q427" s="688"/>
      <c r="R427" s="688"/>
      <c r="S427" s="688"/>
      <c r="T427" s="688"/>
      <c r="U427" s="688"/>
      <c r="V427" s="689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690"/>
      <c r="B428" s="690"/>
      <c r="C428" s="690"/>
      <c r="D428" s="690"/>
      <c r="E428" s="690"/>
      <c r="F428" s="690"/>
      <c r="G428" s="690"/>
      <c r="H428" s="690"/>
      <c r="I428" s="690"/>
      <c r="J428" s="690"/>
      <c r="K428" s="690"/>
      <c r="L428" s="690"/>
      <c r="M428" s="690"/>
      <c r="N428" s="690"/>
      <c r="O428" s="691"/>
      <c r="P428" s="687" t="s">
        <v>40</v>
      </c>
      <c r="Q428" s="688"/>
      <c r="R428" s="688"/>
      <c r="S428" s="688"/>
      <c r="T428" s="688"/>
      <c r="U428" s="688"/>
      <c r="V428" s="689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6.5" customHeight="1" x14ac:dyDescent="0.25">
      <c r="A429" s="679" t="s">
        <v>706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5"/>
      <c r="AB429" s="65"/>
      <c r="AC429" s="79"/>
    </row>
    <row r="430" spans="1:68" ht="14.25" customHeight="1" x14ac:dyDescent="0.25">
      <c r="A430" s="680" t="s">
        <v>139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"/>
      <c r="AB430" s="66"/>
      <c r="AC430" s="80"/>
    </row>
    <row r="431" spans="1:68" ht="27" customHeight="1" x14ac:dyDescent="0.25">
      <c r="A431" s="63" t="s">
        <v>707</v>
      </c>
      <c r="B431" s="63" t="s">
        <v>708</v>
      </c>
      <c r="C431" s="36">
        <v>4301011875</v>
      </c>
      <c r="D431" s="681">
        <v>4680115884885</v>
      </c>
      <c r="E431" s="681"/>
      <c r="F431" s="62">
        <v>0.8</v>
      </c>
      <c r="G431" s="37">
        <v>15</v>
      </c>
      <c r="H431" s="62">
        <v>12</v>
      </c>
      <c r="I431" s="62">
        <v>12.41</v>
      </c>
      <c r="J431" s="37">
        <v>64</v>
      </c>
      <c r="K431" s="37" t="s">
        <v>144</v>
      </c>
      <c r="L431" s="37" t="s">
        <v>46</v>
      </c>
      <c r="M431" s="38" t="s">
        <v>81</v>
      </c>
      <c r="N431" s="38"/>
      <c r="O431" s="37">
        <v>60</v>
      </c>
      <c r="P431" s="9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1" s="683"/>
      <c r="R431" s="683"/>
      <c r="S431" s="683"/>
      <c r="T431" s="68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0" t="s">
        <v>709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37.5" customHeight="1" x14ac:dyDescent="0.25">
      <c r="A432" s="63" t="s">
        <v>710</v>
      </c>
      <c r="B432" s="63" t="s">
        <v>711</v>
      </c>
      <c r="C432" s="36">
        <v>4301011871</v>
      </c>
      <c r="D432" s="681">
        <v>4680115884908</v>
      </c>
      <c r="E432" s="681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151</v>
      </c>
      <c r="L432" s="37" t="s">
        <v>46</v>
      </c>
      <c r="M432" s="38" t="s">
        <v>81</v>
      </c>
      <c r="N432" s="38"/>
      <c r="O432" s="37">
        <v>60</v>
      </c>
      <c r="P432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2" s="683"/>
      <c r="R432" s="683"/>
      <c r="S432" s="683"/>
      <c r="T432" s="68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2" t="s">
        <v>709</v>
      </c>
      <c r="AG432" s="78"/>
      <c r="AJ432" s="84" t="s">
        <v>46</v>
      </c>
      <c r="AK432" s="84">
        <v>0</v>
      </c>
      <c r="BB432" s="523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90"/>
      <c r="B433" s="690"/>
      <c r="C433" s="690"/>
      <c r="D433" s="690"/>
      <c r="E433" s="690"/>
      <c r="F433" s="690"/>
      <c r="G433" s="690"/>
      <c r="H433" s="690"/>
      <c r="I433" s="690"/>
      <c r="J433" s="690"/>
      <c r="K433" s="690"/>
      <c r="L433" s="690"/>
      <c r="M433" s="690"/>
      <c r="N433" s="690"/>
      <c r="O433" s="691"/>
      <c r="P433" s="687" t="s">
        <v>40</v>
      </c>
      <c r="Q433" s="688"/>
      <c r="R433" s="688"/>
      <c r="S433" s="688"/>
      <c r="T433" s="688"/>
      <c r="U433" s="688"/>
      <c r="V433" s="689"/>
      <c r="W433" s="42" t="s">
        <v>39</v>
      </c>
      <c r="X433" s="43">
        <f>IFERROR(X431/H431,"0")+IFERROR(X432/H432,"0")</f>
        <v>0</v>
      </c>
      <c r="Y433" s="43">
        <f>IFERROR(Y431/H431,"0")+IFERROR(Y432/H432,"0")</f>
        <v>0</v>
      </c>
      <c r="Z433" s="43">
        <f>IFERROR(IF(Z431="",0,Z431),"0")+IFERROR(IF(Z432="",0,Z432),"0")</f>
        <v>0</v>
      </c>
      <c r="AA433" s="67"/>
      <c r="AB433" s="67"/>
      <c r="AC433" s="67"/>
    </row>
    <row r="434" spans="1:68" x14ac:dyDescent="0.2">
      <c r="A434" s="690"/>
      <c r="B434" s="690"/>
      <c r="C434" s="690"/>
      <c r="D434" s="690"/>
      <c r="E434" s="690"/>
      <c r="F434" s="690"/>
      <c r="G434" s="690"/>
      <c r="H434" s="690"/>
      <c r="I434" s="690"/>
      <c r="J434" s="690"/>
      <c r="K434" s="690"/>
      <c r="L434" s="690"/>
      <c r="M434" s="690"/>
      <c r="N434" s="690"/>
      <c r="O434" s="691"/>
      <c r="P434" s="687" t="s">
        <v>40</v>
      </c>
      <c r="Q434" s="688"/>
      <c r="R434" s="688"/>
      <c r="S434" s="688"/>
      <c r="T434" s="688"/>
      <c r="U434" s="688"/>
      <c r="V434" s="689"/>
      <c r="W434" s="42" t="s">
        <v>0</v>
      </c>
      <c r="X434" s="43">
        <f>IFERROR(SUM(X431:X432),"0")</f>
        <v>0</v>
      </c>
      <c r="Y434" s="43">
        <f>IFERROR(SUM(Y431:Y432),"0")</f>
        <v>0</v>
      </c>
      <c r="Z434" s="42"/>
      <c r="AA434" s="67"/>
      <c r="AB434" s="67"/>
      <c r="AC434" s="67"/>
    </row>
    <row r="435" spans="1:68" ht="14.25" customHeight="1" x14ac:dyDescent="0.25">
      <c r="A435" s="680" t="s">
        <v>77</v>
      </c>
      <c r="B435" s="680"/>
      <c r="C435" s="680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80"/>
      <c r="R435" s="680"/>
      <c r="S435" s="680"/>
      <c r="T435" s="680"/>
      <c r="U435" s="680"/>
      <c r="V435" s="680"/>
      <c r="W435" s="680"/>
      <c r="X435" s="680"/>
      <c r="Y435" s="680"/>
      <c r="Z435" s="680"/>
      <c r="AA435" s="66"/>
      <c r="AB435" s="66"/>
      <c r="AC435" s="80"/>
    </row>
    <row r="436" spans="1:68" ht="27" customHeight="1" x14ac:dyDescent="0.25">
      <c r="A436" s="63" t="s">
        <v>712</v>
      </c>
      <c r="B436" s="63" t="s">
        <v>713</v>
      </c>
      <c r="C436" s="36">
        <v>4301031457</v>
      </c>
      <c r="D436" s="681">
        <v>4607091384802</v>
      </c>
      <c r="E436" s="681"/>
      <c r="F436" s="62">
        <v>0.7</v>
      </c>
      <c r="G436" s="37">
        <v>6</v>
      </c>
      <c r="H436" s="62">
        <v>4.2</v>
      </c>
      <c r="I436" s="62">
        <v>4.45</v>
      </c>
      <c r="J436" s="37">
        <v>132</v>
      </c>
      <c r="K436" s="37" t="s">
        <v>151</v>
      </c>
      <c r="L436" s="37" t="s">
        <v>46</v>
      </c>
      <c r="M436" s="38" t="s">
        <v>81</v>
      </c>
      <c r="N436" s="38"/>
      <c r="O436" s="37">
        <v>50</v>
      </c>
      <c r="P436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6" s="683"/>
      <c r="R436" s="683"/>
      <c r="S436" s="683"/>
      <c r="T436" s="68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24" t="s">
        <v>714</v>
      </c>
      <c r="AG436" s="78"/>
      <c r="AJ436" s="84" t="s">
        <v>46</v>
      </c>
      <c r="AK436" s="84">
        <v>0</v>
      </c>
      <c r="BB436" s="525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90"/>
      <c r="B437" s="690"/>
      <c r="C437" s="690"/>
      <c r="D437" s="690"/>
      <c r="E437" s="690"/>
      <c r="F437" s="690"/>
      <c r="G437" s="690"/>
      <c r="H437" s="690"/>
      <c r="I437" s="690"/>
      <c r="J437" s="690"/>
      <c r="K437" s="690"/>
      <c r="L437" s="690"/>
      <c r="M437" s="690"/>
      <c r="N437" s="690"/>
      <c r="O437" s="691"/>
      <c r="P437" s="687" t="s">
        <v>40</v>
      </c>
      <c r="Q437" s="688"/>
      <c r="R437" s="688"/>
      <c r="S437" s="688"/>
      <c r="T437" s="688"/>
      <c r="U437" s="688"/>
      <c r="V437" s="689"/>
      <c r="W437" s="42" t="s">
        <v>39</v>
      </c>
      <c r="X437" s="43">
        <f>IFERROR(X436/H436,"0")</f>
        <v>0</v>
      </c>
      <c r="Y437" s="43">
        <f>IFERROR(Y436/H436,"0")</f>
        <v>0</v>
      </c>
      <c r="Z437" s="43">
        <f>IFERROR(IF(Z436="",0,Z436),"0")</f>
        <v>0</v>
      </c>
      <c r="AA437" s="67"/>
      <c r="AB437" s="67"/>
      <c r="AC437" s="67"/>
    </row>
    <row r="438" spans="1:68" x14ac:dyDescent="0.2">
      <c r="A438" s="690"/>
      <c r="B438" s="690"/>
      <c r="C438" s="690"/>
      <c r="D438" s="690"/>
      <c r="E438" s="690"/>
      <c r="F438" s="690"/>
      <c r="G438" s="690"/>
      <c r="H438" s="690"/>
      <c r="I438" s="690"/>
      <c r="J438" s="690"/>
      <c r="K438" s="690"/>
      <c r="L438" s="690"/>
      <c r="M438" s="690"/>
      <c r="N438" s="690"/>
      <c r="O438" s="691"/>
      <c r="P438" s="687" t="s">
        <v>40</v>
      </c>
      <c r="Q438" s="688"/>
      <c r="R438" s="688"/>
      <c r="S438" s="688"/>
      <c r="T438" s="688"/>
      <c r="U438" s="688"/>
      <c r="V438" s="689"/>
      <c r="W438" s="42" t="s">
        <v>0</v>
      </c>
      <c r="X438" s="43">
        <f>IFERROR(SUM(X436:X436),"0")</f>
        <v>0</v>
      </c>
      <c r="Y438" s="43">
        <f>IFERROR(SUM(Y436:Y436),"0")</f>
        <v>0</v>
      </c>
      <c r="Z438" s="42"/>
      <c r="AA438" s="67"/>
      <c r="AB438" s="67"/>
      <c r="AC438" s="67"/>
    </row>
    <row r="439" spans="1:68" ht="14.25" customHeight="1" x14ac:dyDescent="0.25">
      <c r="A439" s="680" t="s">
        <v>90</v>
      </c>
      <c r="B439" s="680"/>
      <c r="C439" s="680"/>
      <c r="D439" s="680"/>
      <c r="E439" s="680"/>
      <c r="F439" s="680"/>
      <c r="G439" s="680"/>
      <c r="H439" s="680"/>
      <c r="I439" s="680"/>
      <c r="J439" s="680"/>
      <c r="K439" s="680"/>
      <c r="L439" s="680"/>
      <c r="M439" s="680"/>
      <c r="N439" s="680"/>
      <c r="O439" s="680"/>
      <c r="P439" s="680"/>
      <c r="Q439" s="680"/>
      <c r="R439" s="680"/>
      <c r="S439" s="680"/>
      <c r="T439" s="680"/>
      <c r="U439" s="680"/>
      <c r="V439" s="680"/>
      <c r="W439" s="680"/>
      <c r="X439" s="680"/>
      <c r="Y439" s="680"/>
      <c r="Z439" s="680"/>
      <c r="AA439" s="66"/>
      <c r="AB439" s="66"/>
      <c r="AC439" s="80"/>
    </row>
    <row r="440" spans="1:68" ht="27" customHeight="1" x14ac:dyDescent="0.25">
      <c r="A440" s="63" t="s">
        <v>715</v>
      </c>
      <c r="B440" s="63" t="s">
        <v>716</v>
      </c>
      <c r="C440" s="36">
        <v>4301051899</v>
      </c>
      <c r="D440" s="681">
        <v>4607091384246</v>
      </c>
      <c r="E440" s="681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144</v>
      </c>
      <c r="L440" s="37" t="s">
        <v>46</v>
      </c>
      <c r="M440" s="38" t="s">
        <v>94</v>
      </c>
      <c r="N440" s="38"/>
      <c r="O440" s="37">
        <v>40</v>
      </c>
      <c r="P440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0" s="683"/>
      <c r="R440" s="683"/>
      <c r="S440" s="683"/>
      <c r="T440" s="68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26" t="s">
        <v>717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4301051660</v>
      </c>
      <c r="D441" s="681">
        <v>4607091384253</v>
      </c>
      <c r="E441" s="681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9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1" s="683"/>
      <c r="R441" s="683"/>
      <c r="S441" s="683"/>
      <c r="T441" s="68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717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718</v>
      </c>
      <c r="B442" s="63" t="s">
        <v>720</v>
      </c>
      <c r="C442" s="36">
        <v>4301052069</v>
      </c>
      <c r="D442" s="681">
        <v>4607091384253</v>
      </c>
      <c r="E442" s="681"/>
      <c r="F442" s="62">
        <v>0.4</v>
      </c>
      <c r="G442" s="37">
        <v>6</v>
      </c>
      <c r="H442" s="62">
        <v>2.4</v>
      </c>
      <c r="I442" s="62">
        <v>2.6640000000000001</v>
      </c>
      <c r="J442" s="37">
        <v>182</v>
      </c>
      <c r="K442" s="37" t="s">
        <v>82</v>
      </c>
      <c r="L442" s="37" t="s">
        <v>46</v>
      </c>
      <c r="M442" s="38" t="s">
        <v>94</v>
      </c>
      <c r="N442" s="38"/>
      <c r="O442" s="37">
        <v>40</v>
      </c>
      <c r="P442" s="9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2" s="683"/>
      <c r="R442" s="683"/>
      <c r="S442" s="683"/>
      <c r="T442" s="68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46</v>
      </c>
      <c r="AB442" s="69" t="s">
        <v>46</v>
      </c>
      <c r="AC442" s="530" t="s">
        <v>721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90"/>
      <c r="B443" s="690"/>
      <c r="C443" s="690"/>
      <c r="D443" s="690"/>
      <c r="E443" s="690"/>
      <c r="F443" s="690"/>
      <c r="G443" s="690"/>
      <c r="H443" s="690"/>
      <c r="I443" s="690"/>
      <c r="J443" s="690"/>
      <c r="K443" s="690"/>
      <c r="L443" s="690"/>
      <c r="M443" s="690"/>
      <c r="N443" s="690"/>
      <c r="O443" s="691"/>
      <c r="P443" s="687" t="s">
        <v>40</v>
      </c>
      <c r="Q443" s="688"/>
      <c r="R443" s="688"/>
      <c r="S443" s="688"/>
      <c r="T443" s="688"/>
      <c r="U443" s="688"/>
      <c r="V443" s="689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90"/>
      <c r="B444" s="690"/>
      <c r="C444" s="690"/>
      <c r="D444" s="690"/>
      <c r="E444" s="690"/>
      <c r="F444" s="690"/>
      <c r="G444" s="690"/>
      <c r="H444" s="690"/>
      <c r="I444" s="690"/>
      <c r="J444" s="690"/>
      <c r="K444" s="690"/>
      <c r="L444" s="690"/>
      <c r="M444" s="690"/>
      <c r="N444" s="690"/>
      <c r="O444" s="691"/>
      <c r="P444" s="687" t="s">
        <v>40</v>
      </c>
      <c r="Q444" s="688"/>
      <c r="R444" s="688"/>
      <c r="S444" s="688"/>
      <c r="T444" s="688"/>
      <c r="U444" s="688"/>
      <c r="V444" s="689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27.75" customHeight="1" x14ac:dyDescent="0.2">
      <c r="A445" s="678" t="s">
        <v>722</v>
      </c>
      <c r="B445" s="678"/>
      <c r="C445" s="678"/>
      <c r="D445" s="678"/>
      <c r="E445" s="678"/>
      <c r="F445" s="678"/>
      <c r="G445" s="678"/>
      <c r="H445" s="678"/>
      <c r="I445" s="678"/>
      <c r="J445" s="678"/>
      <c r="K445" s="678"/>
      <c r="L445" s="678"/>
      <c r="M445" s="678"/>
      <c r="N445" s="678"/>
      <c r="O445" s="678"/>
      <c r="P445" s="678"/>
      <c r="Q445" s="678"/>
      <c r="R445" s="678"/>
      <c r="S445" s="678"/>
      <c r="T445" s="678"/>
      <c r="U445" s="678"/>
      <c r="V445" s="678"/>
      <c r="W445" s="678"/>
      <c r="X445" s="678"/>
      <c r="Y445" s="678"/>
      <c r="Z445" s="678"/>
      <c r="AA445" s="54"/>
      <c r="AB445" s="54"/>
      <c r="AC445" s="54"/>
    </row>
    <row r="446" spans="1:68" ht="16.5" customHeight="1" x14ac:dyDescent="0.25">
      <c r="A446" s="679" t="s">
        <v>723</v>
      </c>
      <c r="B446" s="679"/>
      <c r="C446" s="679"/>
      <c r="D446" s="679"/>
      <c r="E446" s="679"/>
      <c r="F446" s="679"/>
      <c r="G446" s="679"/>
      <c r="H446" s="679"/>
      <c r="I446" s="679"/>
      <c r="J446" s="679"/>
      <c r="K446" s="679"/>
      <c r="L446" s="679"/>
      <c r="M446" s="679"/>
      <c r="N446" s="679"/>
      <c r="O446" s="679"/>
      <c r="P446" s="679"/>
      <c r="Q446" s="679"/>
      <c r="R446" s="679"/>
      <c r="S446" s="679"/>
      <c r="T446" s="679"/>
      <c r="U446" s="679"/>
      <c r="V446" s="679"/>
      <c r="W446" s="679"/>
      <c r="X446" s="679"/>
      <c r="Y446" s="679"/>
      <c r="Z446" s="679"/>
      <c r="AA446" s="65"/>
      <c r="AB446" s="65"/>
      <c r="AC446" s="79"/>
    </row>
    <row r="447" spans="1:68" ht="14.25" customHeight="1" x14ac:dyDescent="0.25">
      <c r="A447" s="680" t="s">
        <v>77</v>
      </c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0"/>
      <c r="P447" s="680"/>
      <c r="Q447" s="680"/>
      <c r="R447" s="680"/>
      <c r="S447" s="680"/>
      <c r="T447" s="680"/>
      <c r="U447" s="680"/>
      <c r="V447" s="680"/>
      <c r="W447" s="680"/>
      <c r="X447" s="680"/>
      <c r="Y447" s="680"/>
      <c r="Z447" s="680"/>
      <c r="AA447" s="66"/>
      <c r="AB447" s="66"/>
      <c r="AC447" s="80"/>
    </row>
    <row r="448" spans="1:68" ht="27" customHeight="1" x14ac:dyDescent="0.25">
      <c r="A448" s="63" t="s">
        <v>724</v>
      </c>
      <c r="B448" s="63" t="s">
        <v>725</v>
      </c>
      <c r="C448" s="36">
        <v>4301031405</v>
      </c>
      <c r="D448" s="681">
        <v>4680115886100</v>
      </c>
      <c r="E448" s="681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91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8" s="683"/>
      <c r="R448" s="683"/>
      <c r="S448" s="683"/>
      <c r="T448" s="684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ref="Y448:Y453" si="57"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ref="BM448:BM453" si="58">IFERROR(X448*I448/H448,"0")</f>
        <v>0</v>
      </c>
      <c r="BN448" s="78">
        <f t="shared" ref="BN448:BN453" si="59">IFERROR(Y448*I448/H448,"0")</f>
        <v>0</v>
      </c>
      <c r="BO448" s="78">
        <f t="shared" ref="BO448:BO453" si="60">IFERROR(1/J448*(X448/H448),"0")</f>
        <v>0</v>
      </c>
      <c r="BP448" s="78">
        <f t="shared" ref="BP448:BP453" si="61">IFERROR(1/J448*(Y448/H448),"0")</f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4301031402</v>
      </c>
      <c r="D449" s="681">
        <v>4680115886124</v>
      </c>
      <c r="E449" s="681"/>
      <c r="F449" s="62">
        <v>0.9</v>
      </c>
      <c r="G449" s="37">
        <v>6</v>
      </c>
      <c r="H449" s="62">
        <v>5.4</v>
      </c>
      <c r="I449" s="62">
        <v>5.59</v>
      </c>
      <c r="J449" s="37">
        <v>132</v>
      </c>
      <c r="K449" s="37" t="s">
        <v>151</v>
      </c>
      <c r="L449" s="37" t="s">
        <v>46</v>
      </c>
      <c r="M449" s="38" t="s">
        <v>81</v>
      </c>
      <c r="N449" s="38"/>
      <c r="O449" s="37">
        <v>50</v>
      </c>
      <c r="P449" s="9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9" s="683"/>
      <c r="R449" s="683"/>
      <c r="S449" s="683"/>
      <c r="T449" s="684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34" t="s">
        <v>729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customHeight="1" x14ac:dyDescent="0.25">
      <c r="A450" s="63" t="s">
        <v>730</v>
      </c>
      <c r="B450" s="63" t="s">
        <v>731</v>
      </c>
      <c r="C450" s="36">
        <v>4301031362</v>
      </c>
      <c r="D450" s="681">
        <v>4607091384338</v>
      </c>
      <c r="E450" s="681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9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0" s="683"/>
      <c r="R450" s="683"/>
      <c r="S450" s="683"/>
      <c r="T450" s="684"/>
      <c r="U450" s="39" t="s">
        <v>46</v>
      </c>
      <c r="V450" s="39" t="s">
        <v>46</v>
      </c>
      <c r="W450" s="40" t="s">
        <v>0</v>
      </c>
      <c r="X450" s="58">
        <v>122.5</v>
      </c>
      <c r="Y450" s="55">
        <f t="shared" si="57"/>
        <v>123.9</v>
      </c>
      <c r="Z450" s="41">
        <f>IFERROR(IF(Y450=0,"",ROUNDUP(Y450/H450,0)*0.00502),"")</f>
        <v>0.29618</v>
      </c>
      <c r="AA450" s="68" t="s">
        <v>46</v>
      </c>
      <c r="AB450" s="69" t="s">
        <v>46</v>
      </c>
      <c r="AC450" s="536" t="s">
        <v>726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130.08333333333334</v>
      </c>
      <c r="BN450" s="78">
        <f t="shared" si="59"/>
        <v>131.57</v>
      </c>
      <c r="BO450" s="78">
        <f t="shared" si="60"/>
        <v>0.2492877492877493</v>
      </c>
      <c r="BP450" s="78">
        <f t="shared" si="61"/>
        <v>0.25213675213675218</v>
      </c>
    </row>
    <row r="451" spans="1:68" ht="27" customHeight="1" x14ac:dyDescent="0.25">
      <c r="A451" s="63" t="s">
        <v>732</v>
      </c>
      <c r="B451" s="63" t="s">
        <v>733</v>
      </c>
      <c r="C451" s="36">
        <v>4301031364</v>
      </c>
      <c r="D451" s="681">
        <v>4680115883161</v>
      </c>
      <c r="E451" s="681"/>
      <c r="F451" s="62">
        <v>0.28000000000000003</v>
      </c>
      <c r="G451" s="37">
        <v>6</v>
      </c>
      <c r="H451" s="62">
        <v>1.68</v>
      </c>
      <c r="I451" s="62">
        <v>1.81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9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1" s="683"/>
      <c r="R451" s="683"/>
      <c r="S451" s="683"/>
      <c r="T451" s="68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t="27" customHeight="1" x14ac:dyDescent="0.25">
      <c r="A452" s="63" t="s">
        <v>735</v>
      </c>
      <c r="B452" s="63" t="s">
        <v>736</v>
      </c>
      <c r="C452" s="36">
        <v>4301031358</v>
      </c>
      <c r="D452" s="681">
        <v>4607091389531</v>
      </c>
      <c r="E452" s="681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2" s="683"/>
      <c r="R452" s="683"/>
      <c r="S452" s="683"/>
      <c r="T452" s="684"/>
      <c r="U452" s="39" t="s">
        <v>46</v>
      </c>
      <c r="V452" s="39" t="s">
        <v>46</v>
      </c>
      <c r="W452" s="40" t="s">
        <v>0</v>
      </c>
      <c r="X452" s="58">
        <v>42</v>
      </c>
      <c r="Y452" s="55">
        <f t="shared" si="57"/>
        <v>42</v>
      </c>
      <c r="Z452" s="41">
        <f>IFERROR(IF(Y452=0,"",ROUNDUP(Y452/H452,0)*0.00502),"")</f>
        <v>0.1004</v>
      </c>
      <c r="AA452" s="68" t="s">
        <v>46</v>
      </c>
      <c r="AB452" s="69" t="s">
        <v>46</v>
      </c>
      <c r="AC452" s="540" t="s">
        <v>737</v>
      </c>
      <c r="AG452" s="78"/>
      <c r="AJ452" s="84" t="s">
        <v>46</v>
      </c>
      <c r="AK452" s="84">
        <v>0</v>
      </c>
      <c r="BB452" s="541" t="s">
        <v>67</v>
      </c>
      <c r="BM452" s="78">
        <f t="shared" si="58"/>
        <v>44.599999999999994</v>
      </c>
      <c r="BN452" s="78">
        <f t="shared" si="59"/>
        <v>44.599999999999994</v>
      </c>
      <c r="BO452" s="78">
        <f t="shared" si="60"/>
        <v>8.5470085470085472E-2</v>
      </c>
      <c r="BP452" s="78">
        <f t="shared" si="61"/>
        <v>8.5470085470085472E-2</v>
      </c>
    </row>
    <row r="453" spans="1:68" ht="37.5" customHeight="1" x14ac:dyDescent="0.25">
      <c r="A453" s="63" t="s">
        <v>738</v>
      </c>
      <c r="B453" s="63" t="s">
        <v>739</v>
      </c>
      <c r="C453" s="36">
        <v>4301031360</v>
      </c>
      <c r="D453" s="681">
        <v>4607091384345</v>
      </c>
      <c r="E453" s="68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86</v>
      </c>
      <c r="L453" s="37" t="s">
        <v>46</v>
      </c>
      <c r="M453" s="38" t="s">
        <v>81</v>
      </c>
      <c r="N453" s="38"/>
      <c r="O453" s="37">
        <v>50</v>
      </c>
      <c r="P453" s="9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3" s="683"/>
      <c r="R453" s="683"/>
      <c r="S453" s="683"/>
      <c r="T453" s="684"/>
      <c r="U453" s="39" t="s">
        <v>46</v>
      </c>
      <c r="V453" s="39" t="s">
        <v>46</v>
      </c>
      <c r="W453" s="40" t="s">
        <v>0</v>
      </c>
      <c r="X453" s="58">
        <v>122.5</v>
      </c>
      <c r="Y453" s="55">
        <f t="shared" si="57"/>
        <v>123.9</v>
      </c>
      <c r="Z453" s="41">
        <f>IFERROR(IF(Y453=0,"",ROUNDUP(Y453/H453,0)*0.00502),"")</f>
        <v>0.29618</v>
      </c>
      <c r="AA453" s="68" t="s">
        <v>46</v>
      </c>
      <c r="AB453" s="69" t="s">
        <v>46</v>
      </c>
      <c r="AC453" s="542" t="s">
        <v>734</v>
      </c>
      <c r="AG453" s="78"/>
      <c r="AJ453" s="84" t="s">
        <v>46</v>
      </c>
      <c r="AK453" s="84">
        <v>0</v>
      </c>
      <c r="BB453" s="543" t="s">
        <v>67</v>
      </c>
      <c r="BM453" s="78">
        <f t="shared" si="58"/>
        <v>130.08333333333334</v>
      </c>
      <c r="BN453" s="78">
        <f t="shared" si="59"/>
        <v>131.57</v>
      </c>
      <c r="BO453" s="78">
        <f t="shared" si="60"/>
        <v>0.2492877492877493</v>
      </c>
      <c r="BP453" s="78">
        <f t="shared" si="61"/>
        <v>0.25213675213675218</v>
      </c>
    </row>
    <row r="454" spans="1:68" x14ac:dyDescent="0.2">
      <c r="A454" s="690"/>
      <c r="B454" s="690"/>
      <c r="C454" s="690"/>
      <c r="D454" s="690"/>
      <c r="E454" s="690"/>
      <c r="F454" s="690"/>
      <c r="G454" s="690"/>
      <c r="H454" s="690"/>
      <c r="I454" s="690"/>
      <c r="J454" s="690"/>
      <c r="K454" s="690"/>
      <c r="L454" s="690"/>
      <c r="M454" s="690"/>
      <c r="N454" s="690"/>
      <c r="O454" s="691"/>
      <c r="P454" s="687" t="s">
        <v>40</v>
      </c>
      <c r="Q454" s="688"/>
      <c r="R454" s="688"/>
      <c r="S454" s="688"/>
      <c r="T454" s="688"/>
      <c r="U454" s="688"/>
      <c r="V454" s="689"/>
      <c r="W454" s="42" t="s">
        <v>39</v>
      </c>
      <c r="X454" s="43">
        <f>IFERROR(X448/H448,"0")+IFERROR(X449/H449,"0")+IFERROR(X450/H450,"0")+IFERROR(X451/H451,"0")+IFERROR(X452/H452,"0")+IFERROR(X453/H453,"0")</f>
        <v>136.66666666666666</v>
      </c>
      <c r="Y454" s="43">
        <f>IFERROR(Y448/H448,"0")+IFERROR(Y449/H449,"0")+IFERROR(Y450/H450,"0")+IFERROR(Y451/H451,"0")+IFERROR(Y452/H452,"0")+IFERROR(Y453/H453,"0")</f>
        <v>138</v>
      </c>
      <c r="Z454" s="43">
        <f>IFERROR(IF(Z448="",0,Z448),"0")+IFERROR(IF(Z449="",0,Z449),"0")+IFERROR(IF(Z450="",0,Z450),"0")+IFERROR(IF(Z451="",0,Z451),"0")+IFERROR(IF(Z452="",0,Z452),"0")+IFERROR(IF(Z453="",0,Z453),"0")</f>
        <v>0.69276000000000004</v>
      </c>
      <c r="AA454" s="67"/>
      <c r="AB454" s="67"/>
      <c r="AC454" s="67"/>
    </row>
    <row r="455" spans="1:68" x14ac:dyDescent="0.2">
      <c r="A455" s="690"/>
      <c r="B455" s="690"/>
      <c r="C455" s="690"/>
      <c r="D455" s="690"/>
      <c r="E455" s="690"/>
      <c r="F455" s="690"/>
      <c r="G455" s="690"/>
      <c r="H455" s="690"/>
      <c r="I455" s="690"/>
      <c r="J455" s="690"/>
      <c r="K455" s="690"/>
      <c r="L455" s="690"/>
      <c r="M455" s="690"/>
      <c r="N455" s="690"/>
      <c r="O455" s="691"/>
      <c r="P455" s="687" t="s">
        <v>40</v>
      </c>
      <c r="Q455" s="688"/>
      <c r="R455" s="688"/>
      <c r="S455" s="688"/>
      <c r="T455" s="688"/>
      <c r="U455" s="688"/>
      <c r="V455" s="689"/>
      <c r="W455" s="42" t="s">
        <v>0</v>
      </c>
      <c r="X455" s="43">
        <f>IFERROR(SUM(X448:X453),"0")</f>
        <v>287</v>
      </c>
      <c r="Y455" s="43">
        <f>IFERROR(SUM(Y448:Y453),"0")</f>
        <v>289.8</v>
      </c>
      <c r="Z455" s="42"/>
      <c r="AA455" s="67"/>
      <c r="AB455" s="67"/>
      <c r="AC455" s="67"/>
    </row>
    <row r="456" spans="1:68" ht="14.25" customHeight="1" x14ac:dyDescent="0.25">
      <c r="A456" s="680" t="s">
        <v>90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"/>
      <c r="AB456" s="66"/>
      <c r="AC456" s="80"/>
    </row>
    <row r="457" spans="1:68" ht="27" customHeight="1" x14ac:dyDescent="0.25">
      <c r="A457" s="63" t="s">
        <v>740</v>
      </c>
      <c r="B457" s="63" t="s">
        <v>741</v>
      </c>
      <c r="C457" s="36">
        <v>4301051284</v>
      </c>
      <c r="D457" s="681">
        <v>4607091384352</v>
      </c>
      <c r="E457" s="681"/>
      <c r="F457" s="62">
        <v>0.6</v>
      </c>
      <c r="G457" s="37">
        <v>4</v>
      </c>
      <c r="H457" s="62">
        <v>2.4</v>
      </c>
      <c r="I457" s="62">
        <v>2.6259999999999999</v>
      </c>
      <c r="J457" s="37">
        <v>132</v>
      </c>
      <c r="K457" s="37" t="s">
        <v>151</v>
      </c>
      <c r="L457" s="37" t="s">
        <v>46</v>
      </c>
      <c r="M457" s="38" t="s">
        <v>94</v>
      </c>
      <c r="N457" s="38"/>
      <c r="O457" s="37">
        <v>45</v>
      </c>
      <c r="P457" s="9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7" s="683"/>
      <c r="R457" s="683"/>
      <c r="S457" s="683"/>
      <c r="T457" s="684"/>
      <c r="U457" s="39" t="s">
        <v>46</v>
      </c>
      <c r="V457" s="39" t="s">
        <v>46</v>
      </c>
      <c r="W457" s="40" t="s">
        <v>0</v>
      </c>
      <c r="X457" s="58">
        <v>175.8</v>
      </c>
      <c r="Y457" s="55">
        <f>IFERROR(IF(X457="",0,CEILING((X457/$H457),1)*$H457),"")</f>
        <v>177.6</v>
      </c>
      <c r="Z457" s="41">
        <f>IFERROR(IF(Y457=0,"",ROUNDUP(Y457/H457,0)*0.00902),"")</f>
        <v>0.66748000000000007</v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192.3545</v>
      </c>
      <c r="BN457" s="78">
        <f>IFERROR(Y457*I457/H457,"0")</f>
        <v>194.32399999999998</v>
      </c>
      <c r="BO457" s="78">
        <f>IFERROR(1/J457*(X457/H457),"0")</f>
        <v>0.55492424242424254</v>
      </c>
      <c r="BP457" s="78">
        <f>IFERROR(1/J457*(Y457/H457),"0")</f>
        <v>0.56060606060606066</v>
      </c>
    </row>
    <row r="458" spans="1:68" ht="27" customHeight="1" x14ac:dyDescent="0.25">
      <c r="A458" s="63" t="s">
        <v>743</v>
      </c>
      <c r="B458" s="63" t="s">
        <v>744</v>
      </c>
      <c r="C458" s="36">
        <v>4301051431</v>
      </c>
      <c r="D458" s="681">
        <v>4607091389654</v>
      </c>
      <c r="E458" s="681"/>
      <c r="F458" s="62">
        <v>0.33</v>
      </c>
      <c r="G458" s="37">
        <v>6</v>
      </c>
      <c r="H458" s="62">
        <v>1.98</v>
      </c>
      <c r="I458" s="62">
        <v>2.238</v>
      </c>
      <c r="J458" s="37">
        <v>182</v>
      </c>
      <c r="K458" s="37" t="s">
        <v>82</v>
      </c>
      <c r="L458" s="37" t="s">
        <v>46</v>
      </c>
      <c r="M458" s="38" t="s">
        <v>94</v>
      </c>
      <c r="N458" s="38"/>
      <c r="O458" s="37">
        <v>45</v>
      </c>
      <c r="P458" s="9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8" s="683"/>
      <c r="R458" s="683"/>
      <c r="S458" s="683"/>
      <c r="T458" s="684"/>
      <c r="U458" s="39" t="s">
        <v>46</v>
      </c>
      <c r="V458" s="39" t="s">
        <v>46</v>
      </c>
      <c r="W458" s="40" t="s">
        <v>0</v>
      </c>
      <c r="X458" s="58">
        <v>82.5</v>
      </c>
      <c r="Y458" s="55">
        <f>IFERROR(IF(X458="",0,CEILING((X458/$H458),1)*$H458),"")</f>
        <v>83.16</v>
      </c>
      <c r="Z458" s="41">
        <f>IFERROR(IF(Y458=0,"",ROUNDUP(Y458/H458,0)*0.00651),"")</f>
        <v>0.27342</v>
      </c>
      <c r="AA458" s="68" t="s">
        <v>46</v>
      </c>
      <c r="AB458" s="69" t="s">
        <v>46</v>
      </c>
      <c r="AC458" s="546" t="s">
        <v>745</v>
      </c>
      <c r="AG458" s="78"/>
      <c r="AJ458" s="84" t="s">
        <v>46</v>
      </c>
      <c r="AK458" s="84">
        <v>0</v>
      </c>
      <c r="BB458" s="547" t="s">
        <v>67</v>
      </c>
      <c r="BM458" s="78">
        <f>IFERROR(X458*I458/H458,"0")</f>
        <v>93.25</v>
      </c>
      <c r="BN458" s="78">
        <f>IFERROR(Y458*I458/H458,"0")</f>
        <v>93.995999999999995</v>
      </c>
      <c r="BO458" s="78">
        <f>IFERROR(1/J458*(X458/H458),"0")</f>
        <v>0.22893772893772893</v>
      </c>
      <c r="BP458" s="78">
        <f>IFERROR(1/J458*(Y458/H458),"0")</f>
        <v>0.23076923076923078</v>
      </c>
    </row>
    <row r="459" spans="1:68" x14ac:dyDescent="0.2">
      <c r="A459" s="690"/>
      <c r="B459" s="690"/>
      <c r="C459" s="690"/>
      <c r="D459" s="690"/>
      <c r="E459" s="690"/>
      <c r="F459" s="690"/>
      <c r="G459" s="690"/>
      <c r="H459" s="690"/>
      <c r="I459" s="690"/>
      <c r="J459" s="690"/>
      <c r="K459" s="690"/>
      <c r="L459" s="690"/>
      <c r="M459" s="690"/>
      <c r="N459" s="690"/>
      <c r="O459" s="691"/>
      <c r="P459" s="687" t="s">
        <v>40</v>
      </c>
      <c r="Q459" s="688"/>
      <c r="R459" s="688"/>
      <c r="S459" s="688"/>
      <c r="T459" s="688"/>
      <c r="U459" s="688"/>
      <c r="V459" s="689"/>
      <c r="W459" s="42" t="s">
        <v>39</v>
      </c>
      <c r="X459" s="43">
        <f>IFERROR(X457/H457,"0")+IFERROR(X458/H458,"0")</f>
        <v>114.91666666666669</v>
      </c>
      <c r="Y459" s="43">
        <f>IFERROR(Y457/H457,"0")+IFERROR(Y458/H458,"0")</f>
        <v>116</v>
      </c>
      <c r="Z459" s="43">
        <f>IFERROR(IF(Z457="",0,Z457),"0")+IFERROR(IF(Z458="",0,Z458),"0")</f>
        <v>0.94090000000000007</v>
      </c>
      <c r="AA459" s="67"/>
      <c r="AB459" s="67"/>
      <c r="AC459" s="67"/>
    </row>
    <row r="460" spans="1:68" x14ac:dyDescent="0.2">
      <c r="A460" s="690"/>
      <c r="B460" s="690"/>
      <c r="C460" s="690"/>
      <c r="D460" s="690"/>
      <c r="E460" s="690"/>
      <c r="F460" s="690"/>
      <c r="G460" s="690"/>
      <c r="H460" s="690"/>
      <c r="I460" s="690"/>
      <c r="J460" s="690"/>
      <c r="K460" s="690"/>
      <c r="L460" s="690"/>
      <c r="M460" s="690"/>
      <c r="N460" s="690"/>
      <c r="O460" s="691"/>
      <c r="P460" s="687" t="s">
        <v>40</v>
      </c>
      <c r="Q460" s="688"/>
      <c r="R460" s="688"/>
      <c r="S460" s="688"/>
      <c r="T460" s="688"/>
      <c r="U460" s="688"/>
      <c r="V460" s="689"/>
      <c r="W460" s="42" t="s">
        <v>0</v>
      </c>
      <c r="X460" s="43">
        <f>IFERROR(SUM(X457:X458),"0")</f>
        <v>258.3</v>
      </c>
      <c r="Y460" s="43">
        <f>IFERROR(SUM(Y457:Y458),"0")</f>
        <v>260.76</v>
      </c>
      <c r="Z460" s="42"/>
      <c r="AA460" s="67"/>
      <c r="AB460" s="67"/>
      <c r="AC460" s="67"/>
    </row>
    <row r="461" spans="1:68" ht="16.5" customHeight="1" x14ac:dyDescent="0.25">
      <c r="A461" s="679" t="s">
        <v>746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5"/>
      <c r="AB461" s="65"/>
      <c r="AC461" s="79"/>
    </row>
    <row r="462" spans="1:68" ht="14.25" customHeight="1" x14ac:dyDescent="0.25">
      <c r="A462" s="680" t="s">
        <v>174</v>
      </c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0"/>
      <c r="P462" s="680"/>
      <c r="Q462" s="680"/>
      <c r="R462" s="680"/>
      <c r="S462" s="680"/>
      <c r="T462" s="680"/>
      <c r="U462" s="680"/>
      <c r="V462" s="680"/>
      <c r="W462" s="680"/>
      <c r="X462" s="680"/>
      <c r="Y462" s="680"/>
      <c r="Z462" s="680"/>
      <c r="AA462" s="66"/>
      <c r="AB462" s="66"/>
      <c r="AC462" s="80"/>
    </row>
    <row r="463" spans="1:68" ht="27" customHeight="1" x14ac:dyDescent="0.25">
      <c r="A463" s="63" t="s">
        <v>747</v>
      </c>
      <c r="B463" s="63" t="s">
        <v>748</v>
      </c>
      <c r="C463" s="36">
        <v>4301020416</v>
      </c>
      <c r="D463" s="681">
        <v>4680115885240</v>
      </c>
      <c r="E463" s="681"/>
      <c r="F463" s="62">
        <v>0.35</v>
      </c>
      <c r="G463" s="37">
        <v>6</v>
      </c>
      <c r="H463" s="62">
        <v>2.1</v>
      </c>
      <c r="I463" s="62">
        <v>2.31</v>
      </c>
      <c r="J463" s="37">
        <v>182</v>
      </c>
      <c r="K463" s="37" t="s">
        <v>82</v>
      </c>
      <c r="L463" s="37" t="s">
        <v>46</v>
      </c>
      <c r="M463" s="38" t="s">
        <v>81</v>
      </c>
      <c r="N463" s="38"/>
      <c r="O463" s="37">
        <v>40</v>
      </c>
      <c r="P46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3" s="683"/>
      <c r="R463" s="683"/>
      <c r="S463" s="683"/>
      <c r="T463" s="68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48" t="s">
        <v>749</v>
      </c>
      <c r="AG463" s="78"/>
      <c r="AJ463" s="84" t="s">
        <v>46</v>
      </c>
      <c r="AK463" s="84">
        <v>0</v>
      </c>
      <c r="BB463" s="54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90"/>
      <c r="B464" s="690"/>
      <c r="C464" s="690"/>
      <c r="D464" s="690"/>
      <c r="E464" s="690"/>
      <c r="F464" s="690"/>
      <c r="G464" s="690"/>
      <c r="H464" s="690"/>
      <c r="I464" s="690"/>
      <c r="J464" s="690"/>
      <c r="K464" s="690"/>
      <c r="L464" s="690"/>
      <c r="M464" s="690"/>
      <c r="N464" s="690"/>
      <c r="O464" s="691"/>
      <c r="P464" s="687" t="s">
        <v>40</v>
      </c>
      <c r="Q464" s="688"/>
      <c r="R464" s="688"/>
      <c r="S464" s="688"/>
      <c r="T464" s="688"/>
      <c r="U464" s="688"/>
      <c r="V464" s="68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">
      <c r="A465" s="690"/>
      <c r="B465" s="690"/>
      <c r="C465" s="690"/>
      <c r="D465" s="690"/>
      <c r="E465" s="690"/>
      <c r="F465" s="690"/>
      <c r="G465" s="690"/>
      <c r="H465" s="690"/>
      <c r="I465" s="690"/>
      <c r="J465" s="690"/>
      <c r="K465" s="690"/>
      <c r="L465" s="690"/>
      <c r="M465" s="690"/>
      <c r="N465" s="690"/>
      <c r="O465" s="691"/>
      <c r="P465" s="687" t="s">
        <v>40</v>
      </c>
      <c r="Q465" s="688"/>
      <c r="R465" s="688"/>
      <c r="S465" s="688"/>
      <c r="T465" s="688"/>
      <c r="U465" s="688"/>
      <c r="V465" s="68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80" t="s">
        <v>77</v>
      </c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0"/>
      <c r="P466" s="680"/>
      <c r="Q466" s="680"/>
      <c r="R466" s="680"/>
      <c r="S466" s="680"/>
      <c r="T466" s="680"/>
      <c r="U466" s="680"/>
      <c r="V466" s="680"/>
      <c r="W466" s="680"/>
      <c r="X466" s="680"/>
      <c r="Y466" s="680"/>
      <c r="Z466" s="680"/>
      <c r="AA466" s="66"/>
      <c r="AB466" s="66"/>
      <c r="AC466" s="80"/>
    </row>
    <row r="467" spans="1:68" ht="27" customHeight="1" x14ac:dyDescent="0.25">
      <c r="A467" s="63" t="s">
        <v>750</v>
      </c>
      <c r="B467" s="63" t="s">
        <v>751</v>
      </c>
      <c r="C467" s="36">
        <v>4301031407</v>
      </c>
      <c r="D467" s="681">
        <v>4680115886094</v>
      </c>
      <c r="E467" s="681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151</v>
      </c>
      <c r="L467" s="37" t="s">
        <v>46</v>
      </c>
      <c r="M467" s="38" t="s">
        <v>81</v>
      </c>
      <c r="N467" s="38"/>
      <c r="O467" s="37">
        <v>50</v>
      </c>
      <c r="P467" s="9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7" s="683"/>
      <c r="R467" s="683"/>
      <c r="S467" s="683"/>
      <c r="T467" s="68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4301031373</v>
      </c>
      <c r="D468" s="681">
        <v>4680115880771</v>
      </c>
      <c r="E468" s="681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9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8" s="683"/>
      <c r="R468" s="683"/>
      <c r="S468" s="683"/>
      <c r="T468" s="68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755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756</v>
      </c>
      <c r="B469" s="63" t="s">
        <v>757</v>
      </c>
      <c r="C469" s="36">
        <v>4301031359</v>
      </c>
      <c r="D469" s="681">
        <v>4607091389500</v>
      </c>
      <c r="E469" s="681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86</v>
      </c>
      <c r="L469" s="37" t="s">
        <v>46</v>
      </c>
      <c r="M469" s="38" t="s">
        <v>81</v>
      </c>
      <c r="N469" s="38"/>
      <c r="O469" s="37">
        <v>50</v>
      </c>
      <c r="P469" s="9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9" s="683"/>
      <c r="R469" s="683"/>
      <c r="S469" s="683"/>
      <c r="T469" s="68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54" t="s">
        <v>755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90"/>
      <c r="B470" s="690"/>
      <c r="C470" s="690"/>
      <c r="D470" s="690"/>
      <c r="E470" s="690"/>
      <c r="F470" s="690"/>
      <c r="G470" s="690"/>
      <c r="H470" s="690"/>
      <c r="I470" s="690"/>
      <c r="J470" s="690"/>
      <c r="K470" s="690"/>
      <c r="L470" s="690"/>
      <c r="M470" s="690"/>
      <c r="N470" s="690"/>
      <c r="O470" s="691"/>
      <c r="P470" s="687" t="s">
        <v>40</v>
      </c>
      <c r="Q470" s="688"/>
      <c r="R470" s="688"/>
      <c r="S470" s="688"/>
      <c r="T470" s="688"/>
      <c r="U470" s="688"/>
      <c r="V470" s="68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">
      <c r="A471" s="690"/>
      <c r="B471" s="690"/>
      <c r="C471" s="690"/>
      <c r="D471" s="690"/>
      <c r="E471" s="690"/>
      <c r="F471" s="690"/>
      <c r="G471" s="690"/>
      <c r="H471" s="690"/>
      <c r="I471" s="690"/>
      <c r="J471" s="690"/>
      <c r="K471" s="690"/>
      <c r="L471" s="690"/>
      <c r="M471" s="690"/>
      <c r="N471" s="690"/>
      <c r="O471" s="691"/>
      <c r="P471" s="687" t="s">
        <v>40</v>
      </c>
      <c r="Q471" s="688"/>
      <c r="R471" s="688"/>
      <c r="S471" s="688"/>
      <c r="T471" s="688"/>
      <c r="U471" s="688"/>
      <c r="V471" s="68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">
      <c r="A472" s="678" t="s">
        <v>758</v>
      </c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8"/>
      <c r="P472" s="678"/>
      <c r="Q472" s="678"/>
      <c r="R472" s="678"/>
      <c r="S472" s="678"/>
      <c r="T472" s="678"/>
      <c r="U472" s="678"/>
      <c r="V472" s="678"/>
      <c r="W472" s="678"/>
      <c r="X472" s="678"/>
      <c r="Y472" s="678"/>
      <c r="Z472" s="678"/>
      <c r="AA472" s="54"/>
      <c r="AB472" s="54"/>
      <c r="AC472" s="54"/>
    </row>
    <row r="473" spans="1:68" ht="16.5" customHeight="1" x14ac:dyDescent="0.25">
      <c r="A473" s="679" t="s">
        <v>758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5"/>
      <c r="AB473" s="65"/>
      <c r="AC473" s="79"/>
    </row>
    <row r="474" spans="1:68" ht="14.25" customHeight="1" x14ac:dyDescent="0.25">
      <c r="A474" s="680" t="s">
        <v>139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"/>
      <c r="AB474" s="66"/>
      <c r="AC474" s="80"/>
    </row>
    <row r="475" spans="1:68" ht="27" customHeight="1" x14ac:dyDescent="0.25">
      <c r="A475" s="63" t="s">
        <v>759</v>
      </c>
      <c r="B475" s="63" t="s">
        <v>760</v>
      </c>
      <c r="C475" s="36">
        <v>4301011769</v>
      </c>
      <c r="D475" s="681">
        <v>4607091389067</v>
      </c>
      <c r="E475" s="681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94</v>
      </c>
      <c r="N475" s="38"/>
      <c r="O475" s="37">
        <v>60</v>
      </c>
      <c r="P475" s="92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5" s="683"/>
      <c r="R475" s="683"/>
      <c r="S475" s="683"/>
      <c r="T475" s="68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3" si="62">IFERROR(IF(X475="",0,CEILING((X475/$H475),1)*$H475),"")</f>
        <v>0</v>
      </c>
      <c r="Z475" s="41" t="str">
        <f t="shared" ref="Z475:Z480" si="63">IFERROR(IF(Y475=0,"",ROUNDUP(Y475/H475,0)*0.01196),"")</f>
        <v/>
      </c>
      <c r="AA475" s="68" t="s">
        <v>46</v>
      </c>
      <c r="AB475" s="69" t="s">
        <v>46</v>
      </c>
      <c r="AC475" s="556" t="s">
        <v>142</v>
      </c>
      <c r="AG475" s="78"/>
      <c r="AJ475" s="84" t="s">
        <v>46</v>
      </c>
      <c r="AK475" s="84">
        <v>0</v>
      </c>
      <c r="BB475" s="557" t="s">
        <v>67</v>
      </c>
      <c r="BM475" s="78">
        <f t="shared" ref="BM475:BM483" si="64">IFERROR(X475*I475/H475,"0")</f>
        <v>0</v>
      </c>
      <c r="BN475" s="78">
        <f t="shared" ref="BN475:BN483" si="65">IFERROR(Y475*I475/H475,"0")</f>
        <v>0</v>
      </c>
      <c r="BO475" s="78">
        <f t="shared" ref="BO475:BO483" si="66">IFERROR(1/J475*(X475/H475),"0")</f>
        <v>0</v>
      </c>
      <c r="BP475" s="78">
        <f t="shared" ref="BP475:BP483" si="67">IFERROR(1/J475*(Y475/H475),"0")</f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4301012210</v>
      </c>
      <c r="D476" s="681">
        <v>4607091383522</v>
      </c>
      <c r="E476" s="681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92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6" s="683"/>
      <c r="R476" s="683"/>
      <c r="S476" s="683"/>
      <c r="T476" s="68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 t="shared" si="63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4301011961</v>
      </c>
      <c r="D477" s="681">
        <v>4680115885271</v>
      </c>
      <c r="E477" s="681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9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7" s="683"/>
      <c r="R477" s="683"/>
      <c r="S477" s="683"/>
      <c r="T477" s="68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767</v>
      </c>
      <c r="B478" s="63" t="s">
        <v>768</v>
      </c>
      <c r="C478" s="36">
        <v>4301011369</v>
      </c>
      <c r="D478" s="681">
        <v>4680115885226</v>
      </c>
      <c r="E478" s="68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143</v>
      </c>
      <c r="N478" s="38"/>
      <c r="O478" s="37">
        <v>60</v>
      </c>
      <c r="P478" s="9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8" s="683"/>
      <c r="R478" s="683"/>
      <c r="S478" s="683"/>
      <c r="T478" s="68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2"/>
        <v>0</v>
      </c>
      <c r="Z478" s="41" t="str">
        <f t="shared" si="63"/>
        <v/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t="16.5" customHeight="1" x14ac:dyDescent="0.25">
      <c r="A479" s="63" t="s">
        <v>770</v>
      </c>
      <c r="B479" s="63" t="s">
        <v>771</v>
      </c>
      <c r="C479" s="36">
        <v>4301011797</v>
      </c>
      <c r="D479" s="681">
        <v>4680115884502</v>
      </c>
      <c r="E479" s="68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94</v>
      </c>
      <c r="N479" s="38"/>
      <c r="O479" s="37">
        <v>60</v>
      </c>
      <c r="P479" s="92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9" s="683"/>
      <c r="R479" s="683"/>
      <c r="S479" s="683"/>
      <c r="T479" s="68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 t="shared" si="63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4301011771</v>
      </c>
      <c r="D480" s="681">
        <v>4607091389104</v>
      </c>
      <c r="E480" s="68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144</v>
      </c>
      <c r="L480" s="37" t="s">
        <v>46</v>
      </c>
      <c r="M480" s="38" t="s">
        <v>143</v>
      </c>
      <c r="N480" s="38"/>
      <c r="O480" s="37">
        <v>60</v>
      </c>
      <c r="P480" s="9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0" s="683"/>
      <c r="R480" s="683"/>
      <c r="S480" s="683"/>
      <c r="T480" s="68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 t="shared" si="63"/>
        <v/>
      </c>
      <c r="AA480" s="68" t="s">
        <v>46</v>
      </c>
      <c r="AB480" s="69" t="s">
        <v>46</v>
      </c>
      <c r="AC480" s="566" t="s">
        <v>775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776</v>
      </c>
      <c r="B481" s="63" t="s">
        <v>777</v>
      </c>
      <c r="C481" s="36">
        <v>4301012125</v>
      </c>
      <c r="D481" s="681">
        <v>4680115886391</v>
      </c>
      <c r="E481" s="681"/>
      <c r="F481" s="62">
        <v>0.4</v>
      </c>
      <c r="G481" s="37">
        <v>6</v>
      </c>
      <c r="H481" s="62">
        <v>2.4</v>
      </c>
      <c r="I481" s="62">
        <v>2.58</v>
      </c>
      <c r="J481" s="37">
        <v>182</v>
      </c>
      <c r="K481" s="37" t="s">
        <v>82</v>
      </c>
      <c r="L481" s="37" t="s">
        <v>46</v>
      </c>
      <c r="M481" s="38" t="s">
        <v>94</v>
      </c>
      <c r="N481" s="38"/>
      <c r="O481" s="37">
        <v>60</v>
      </c>
      <c r="P481" s="9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1" s="683"/>
      <c r="R481" s="683"/>
      <c r="S481" s="683"/>
      <c r="T481" s="68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ht="27" customHeight="1" x14ac:dyDescent="0.25">
      <c r="A482" s="63" t="s">
        <v>778</v>
      </c>
      <c r="B482" s="63" t="s">
        <v>779</v>
      </c>
      <c r="C482" s="36">
        <v>4301012048</v>
      </c>
      <c r="D482" s="681">
        <v>4680115880603</v>
      </c>
      <c r="E482" s="681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94</v>
      </c>
      <c r="N482" s="38"/>
      <c r="O482" s="37">
        <v>60</v>
      </c>
      <c r="P482" s="9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2" s="683"/>
      <c r="R482" s="683"/>
      <c r="S482" s="683"/>
      <c r="T482" s="684"/>
      <c r="U482" s="39" t="s">
        <v>46</v>
      </c>
      <c r="V482" s="39" t="s">
        <v>46</v>
      </c>
      <c r="W482" s="40" t="s">
        <v>0</v>
      </c>
      <c r="X482" s="58">
        <v>120</v>
      </c>
      <c r="Y482" s="55">
        <f t="shared" si="62"/>
        <v>120</v>
      </c>
      <c r="Z482" s="41">
        <f>IFERROR(IF(Y482=0,"",ROUNDUP(Y482/H482,0)*0.00902),"")</f>
        <v>0.22550000000000001</v>
      </c>
      <c r="AA482" s="68" t="s">
        <v>46</v>
      </c>
      <c r="AB482" s="69" t="s">
        <v>46</v>
      </c>
      <c r="AC482" s="570" t="s">
        <v>142</v>
      </c>
      <c r="AG482" s="78"/>
      <c r="AJ482" s="84" t="s">
        <v>46</v>
      </c>
      <c r="AK482" s="84">
        <v>0</v>
      </c>
      <c r="BB482" s="571" t="s">
        <v>67</v>
      </c>
      <c r="BM482" s="78">
        <f t="shared" si="64"/>
        <v>172.75000000000003</v>
      </c>
      <c r="BN482" s="78">
        <f t="shared" si="65"/>
        <v>172.75000000000003</v>
      </c>
      <c r="BO482" s="78">
        <f t="shared" si="66"/>
        <v>0.18939393939393939</v>
      </c>
      <c r="BP482" s="78">
        <f t="shared" si="67"/>
        <v>0.18939393939393939</v>
      </c>
    </row>
    <row r="483" spans="1:68" ht="27" customHeight="1" x14ac:dyDescent="0.25">
      <c r="A483" s="63" t="s">
        <v>780</v>
      </c>
      <c r="B483" s="63" t="s">
        <v>781</v>
      </c>
      <c r="C483" s="36">
        <v>4301012034</v>
      </c>
      <c r="D483" s="681">
        <v>4607091389982</v>
      </c>
      <c r="E483" s="681"/>
      <c r="F483" s="62">
        <v>0.6</v>
      </c>
      <c r="G483" s="37">
        <v>8</v>
      </c>
      <c r="H483" s="62">
        <v>4.8</v>
      </c>
      <c r="I483" s="62">
        <v>6.91</v>
      </c>
      <c r="J483" s="37">
        <v>132</v>
      </c>
      <c r="K483" s="37" t="s">
        <v>151</v>
      </c>
      <c r="L483" s="37" t="s">
        <v>46</v>
      </c>
      <c r="M483" s="38" t="s">
        <v>143</v>
      </c>
      <c r="N483" s="38"/>
      <c r="O483" s="37">
        <v>60</v>
      </c>
      <c r="P483" s="9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3" s="683"/>
      <c r="R483" s="683"/>
      <c r="S483" s="683"/>
      <c r="T483" s="684"/>
      <c r="U483" s="39" t="s">
        <v>46</v>
      </c>
      <c r="V483" s="39" t="s">
        <v>46</v>
      </c>
      <c r="W483" s="40" t="s">
        <v>0</v>
      </c>
      <c r="X483" s="58">
        <v>142.19999999999999</v>
      </c>
      <c r="Y483" s="55">
        <f t="shared" si="62"/>
        <v>144</v>
      </c>
      <c r="Z483" s="41">
        <f>IFERROR(IF(Y483=0,"",ROUNDUP(Y483/H483,0)*0.00902),"")</f>
        <v>0.27060000000000001</v>
      </c>
      <c r="AA483" s="68" t="s">
        <v>46</v>
      </c>
      <c r="AB483" s="69" t="s">
        <v>46</v>
      </c>
      <c r="AC483" s="572" t="s">
        <v>775</v>
      </c>
      <c r="AG483" s="78"/>
      <c r="AJ483" s="84" t="s">
        <v>46</v>
      </c>
      <c r="AK483" s="84">
        <v>0</v>
      </c>
      <c r="BB483" s="573" t="s">
        <v>67</v>
      </c>
      <c r="BM483" s="78">
        <f t="shared" si="64"/>
        <v>204.70875000000001</v>
      </c>
      <c r="BN483" s="78">
        <f t="shared" si="65"/>
        <v>207.3</v>
      </c>
      <c r="BO483" s="78">
        <f t="shared" si="66"/>
        <v>0.22443181818181818</v>
      </c>
      <c r="BP483" s="78">
        <f t="shared" si="67"/>
        <v>0.22727272727272729</v>
      </c>
    </row>
    <row r="484" spans="1:68" x14ac:dyDescent="0.2">
      <c r="A484" s="690"/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1"/>
      <c r="P484" s="687" t="s">
        <v>40</v>
      </c>
      <c r="Q484" s="688"/>
      <c r="R484" s="688"/>
      <c r="S484" s="688"/>
      <c r="T484" s="688"/>
      <c r="U484" s="688"/>
      <c r="V484" s="689"/>
      <c r="W484" s="42" t="s">
        <v>39</v>
      </c>
      <c r="X484" s="43">
        <f>IFERROR(X475/H475,"0")+IFERROR(X476/H476,"0")+IFERROR(X477/H477,"0")+IFERROR(X478/H478,"0")+IFERROR(X479/H479,"0")+IFERROR(X480/H480,"0")+IFERROR(X481/H481,"0")+IFERROR(X482/H482,"0")+IFERROR(X483/H483,"0")</f>
        <v>54.625</v>
      </c>
      <c r="Y484" s="43">
        <f>IFERROR(Y475/H475,"0")+IFERROR(Y476/H476,"0")+IFERROR(Y477/H477,"0")+IFERROR(Y478/H478,"0")+IFERROR(Y479/H479,"0")+IFERROR(Y480/H480,"0")+IFERROR(Y481/H481,"0")+IFERROR(Y482/H482,"0")+IFERROR(Y483/H483,"0")</f>
        <v>55</v>
      </c>
      <c r="Z484" s="43">
        <f>IFERROR(IF(Z475="",0,Z475),"0")+IFERROR(IF(Z476="",0,Z476),"0")+IFERROR(IF(Z477="",0,Z477),"0")+IFERROR(IF(Z478="",0,Z478),"0")+IFERROR(IF(Z479="",0,Z479),"0")+IFERROR(IF(Z480="",0,Z480),"0")+IFERROR(IF(Z481="",0,Z481),"0")+IFERROR(IF(Z482="",0,Z482),"0")+IFERROR(IF(Z483="",0,Z483),"0")</f>
        <v>0.49609999999999999</v>
      </c>
      <c r="AA484" s="67"/>
      <c r="AB484" s="67"/>
      <c r="AC484" s="67"/>
    </row>
    <row r="485" spans="1:68" x14ac:dyDescent="0.2">
      <c r="A485" s="690"/>
      <c r="B485" s="690"/>
      <c r="C485" s="690"/>
      <c r="D485" s="690"/>
      <c r="E485" s="690"/>
      <c r="F485" s="690"/>
      <c r="G485" s="690"/>
      <c r="H485" s="690"/>
      <c r="I485" s="690"/>
      <c r="J485" s="690"/>
      <c r="K485" s="690"/>
      <c r="L485" s="690"/>
      <c r="M485" s="690"/>
      <c r="N485" s="690"/>
      <c r="O485" s="691"/>
      <c r="P485" s="687" t="s">
        <v>40</v>
      </c>
      <c r="Q485" s="688"/>
      <c r="R485" s="688"/>
      <c r="S485" s="688"/>
      <c r="T485" s="688"/>
      <c r="U485" s="688"/>
      <c r="V485" s="689"/>
      <c r="W485" s="42" t="s">
        <v>0</v>
      </c>
      <c r="X485" s="43">
        <f>IFERROR(SUM(X475:X483),"0")</f>
        <v>262.2</v>
      </c>
      <c r="Y485" s="43">
        <f>IFERROR(SUM(Y475:Y483),"0")</f>
        <v>264</v>
      </c>
      <c r="Z485" s="42"/>
      <c r="AA485" s="67"/>
      <c r="AB485" s="67"/>
      <c r="AC485" s="67"/>
    </row>
    <row r="486" spans="1:68" ht="14.25" customHeight="1" x14ac:dyDescent="0.25">
      <c r="A486" s="680" t="s">
        <v>174</v>
      </c>
      <c r="B486" s="680"/>
      <c r="C486" s="680"/>
      <c r="D486" s="680"/>
      <c r="E486" s="680"/>
      <c r="F486" s="680"/>
      <c r="G486" s="680"/>
      <c r="H486" s="680"/>
      <c r="I486" s="680"/>
      <c r="J486" s="680"/>
      <c r="K486" s="680"/>
      <c r="L486" s="680"/>
      <c r="M486" s="680"/>
      <c r="N486" s="680"/>
      <c r="O486" s="680"/>
      <c r="P486" s="680"/>
      <c r="Q486" s="680"/>
      <c r="R486" s="680"/>
      <c r="S486" s="680"/>
      <c r="T486" s="680"/>
      <c r="U486" s="680"/>
      <c r="V486" s="680"/>
      <c r="W486" s="680"/>
      <c r="X486" s="680"/>
      <c r="Y486" s="680"/>
      <c r="Z486" s="680"/>
      <c r="AA486" s="66"/>
      <c r="AB486" s="66"/>
      <c r="AC486" s="80"/>
    </row>
    <row r="487" spans="1:68" ht="16.5" customHeight="1" x14ac:dyDescent="0.25">
      <c r="A487" s="63" t="s">
        <v>782</v>
      </c>
      <c r="B487" s="63" t="s">
        <v>783</v>
      </c>
      <c r="C487" s="36">
        <v>4301020334</v>
      </c>
      <c r="D487" s="681">
        <v>4607091388930</v>
      </c>
      <c r="E487" s="68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144</v>
      </c>
      <c r="L487" s="37" t="s">
        <v>46</v>
      </c>
      <c r="M487" s="38" t="s">
        <v>94</v>
      </c>
      <c r="N487" s="38"/>
      <c r="O487" s="37">
        <v>70</v>
      </c>
      <c r="P487" s="9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7" s="683"/>
      <c r="R487" s="683"/>
      <c r="S487" s="683"/>
      <c r="T487" s="684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IFERROR(IF(Y487=0,"",ROUNDUP(Y487/H487,0)*0.01196),"")</f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785</v>
      </c>
      <c r="B488" s="63" t="s">
        <v>786</v>
      </c>
      <c r="C488" s="36">
        <v>4301020374</v>
      </c>
      <c r="D488" s="681">
        <v>4680115886407</v>
      </c>
      <c r="E488" s="681"/>
      <c r="F488" s="62">
        <v>0.4</v>
      </c>
      <c r="G488" s="37">
        <v>6</v>
      </c>
      <c r="H488" s="62">
        <v>2.4</v>
      </c>
      <c r="I488" s="62">
        <v>2.58</v>
      </c>
      <c r="J488" s="37">
        <v>182</v>
      </c>
      <c r="K488" s="37" t="s">
        <v>82</v>
      </c>
      <c r="L488" s="37" t="s">
        <v>46</v>
      </c>
      <c r="M488" s="38" t="s">
        <v>143</v>
      </c>
      <c r="N488" s="38"/>
      <c r="O488" s="37">
        <v>70</v>
      </c>
      <c r="P488" s="9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8" s="683"/>
      <c r="R488" s="683"/>
      <c r="S488" s="683"/>
      <c r="T488" s="68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76" t="s">
        <v>784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16.5" customHeight="1" x14ac:dyDescent="0.25">
      <c r="A489" s="63" t="s">
        <v>787</v>
      </c>
      <c r="B489" s="63" t="s">
        <v>788</v>
      </c>
      <c r="C489" s="36">
        <v>4301020385</v>
      </c>
      <c r="D489" s="681">
        <v>4680115880054</v>
      </c>
      <c r="E489" s="681"/>
      <c r="F489" s="62">
        <v>0.6</v>
      </c>
      <c r="G489" s="37">
        <v>8</v>
      </c>
      <c r="H489" s="62">
        <v>4.8</v>
      </c>
      <c r="I489" s="62">
        <v>6.91</v>
      </c>
      <c r="J489" s="37">
        <v>132</v>
      </c>
      <c r="K489" s="37" t="s">
        <v>151</v>
      </c>
      <c r="L489" s="37" t="s">
        <v>46</v>
      </c>
      <c r="M489" s="38" t="s">
        <v>143</v>
      </c>
      <c r="N489" s="38"/>
      <c r="O489" s="37">
        <v>70</v>
      </c>
      <c r="P489" s="9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9" s="683"/>
      <c r="R489" s="683"/>
      <c r="S489" s="683"/>
      <c r="T489" s="68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78" t="s">
        <v>784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90"/>
      <c r="B490" s="690"/>
      <c r="C490" s="690"/>
      <c r="D490" s="690"/>
      <c r="E490" s="690"/>
      <c r="F490" s="690"/>
      <c r="G490" s="690"/>
      <c r="H490" s="690"/>
      <c r="I490" s="690"/>
      <c r="J490" s="690"/>
      <c r="K490" s="690"/>
      <c r="L490" s="690"/>
      <c r="M490" s="690"/>
      <c r="N490" s="690"/>
      <c r="O490" s="691"/>
      <c r="P490" s="687" t="s">
        <v>40</v>
      </c>
      <c r="Q490" s="688"/>
      <c r="R490" s="688"/>
      <c r="S490" s="688"/>
      <c r="T490" s="688"/>
      <c r="U490" s="688"/>
      <c r="V490" s="689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90"/>
      <c r="B491" s="690"/>
      <c r="C491" s="690"/>
      <c r="D491" s="690"/>
      <c r="E491" s="690"/>
      <c r="F491" s="690"/>
      <c r="G491" s="690"/>
      <c r="H491" s="690"/>
      <c r="I491" s="690"/>
      <c r="J491" s="690"/>
      <c r="K491" s="690"/>
      <c r="L491" s="690"/>
      <c r="M491" s="690"/>
      <c r="N491" s="690"/>
      <c r="O491" s="691"/>
      <c r="P491" s="687" t="s">
        <v>40</v>
      </c>
      <c r="Q491" s="688"/>
      <c r="R491" s="688"/>
      <c r="S491" s="688"/>
      <c r="T491" s="688"/>
      <c r="U491" s="688"/>
      <c r="V491" s="689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14.25" customHeight="1" x14ac:dyDescent="0.25">
      <c r="A492" s="680" t="s">
        <v>77</v>
      </c>
      <c r="B492" s="680"/>
      <c r="C492" s="680"/>
      <c r="D492" s="680"/>
      <c r="E492" s="680"/>
      <c r="F492" s="680"/>
      <c r="G492" s="680"/>
      <c r="H492" s="680"/>
      <c r="I492" s="680"/>
      <c r="J492" s="680"/>
      <c r="K492" s="680"/>
      <c r="L492" s="680"/>
      <c r="M492" s="680"/>
      <c r="N492" s="680"/>
      <c r="O492" s="680"/>
      <c r="P492" s="680"/>
      <c r="Q492" s="680"/>
      <c r="R492" s="680"/>
      <c r="S492" s="680"/>
      <c r="T492" s="680"/>
      <c r="U492" s="680"/>
      <c r="V492" s="680"/>
      <c r="W492" s="680"/>
      <c r="X492" s="680"/>
      <c r="Y492" s="680"/>
      <c r="Z492" s="680"/>
      <c r="AA492" s="66"/>
      <c r="AB492" s="66"/>
      <c r="AC492" s="80"/>
    </row>
    <row r="493" spans="1:68" ht="27" customHeight="1" x14ac:dyDescent="0.25">
      <c r="A493" s="63" t="s">
        <v>789</v>
      </c>
      <c r="B493" s="63" t="s">
        <v>790</v>
      </c>
      <c r="C493" s="36">
        <v>4301031349</v>
      </c>
      <c r="D493" s="681">
        <v>4680115883116</v>
      </c>
      <c r="E493" s="681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143</v>
      </c>
      <c r="N493" s="38"/>
      <c r="O493" s="37">
        <v>70</v>
      </c>
      <c r="P493" s="9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3" s="683"/>
      <c r="R493" s="683"/>
      <c r="S493" s="683"/>
      <c r="T493" s="68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ref="Y493:Y499" si="68">IFERROR(IF(X493="",0,CEILING((X493/$H493),1)*$H493),"")</f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ref="BM493:BM499" si="69">IFERROR(X493*I493/H493,"0")</f>
        <v>0</v>
      </c>
      <c r="BN493" s="78">
        <f t="shared" ref="BN493:BN499" si="70">IFERROR(Y493*I493/H493,"0")</f>
        <v>0</v>
      </c>
      <c r="BO493" s="78">
        <f t="shared" ref="BO493:BO499" si="71">IFERROR(1/J493*(X493/H493),"0")</f>
        <v>0</v>
      </c>
      <c r="BP493" s="78">
        <f t="shared" ref="BP493:BP499" si="72">IFERROR(1/J493*(Y493/H493),"0")</f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4301031350</v>
      </c>
      <c r="D494" s="681">
        <v>4680115883093</v>
      </c>
      <c r="E494" s="681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9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4" s="683"/>
      <c r="R494" s="683"/>
      <c r="S494" s="683"/>
      <c r="T494" s="68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4301031353</v>
      </c>
      <c r="D495" s="681">
        <v>4680115883109</v>
      </c>
      <c r="E495" s="681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144</v>
      </c>
      <c r="L495" s="37" t="s">
        <v>46</v>
      </c>
      <c r="M495" s="38" t="s">
        <v>81</v>
      </c>
      <c r="N495" s="38"/>
      <c r="O495" s="37">
        <v>70</v>
      </c>
      <c r="P495" s="9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5" s="683"/>
      <c r="R495" s="683"/>
      <c r="S495" s="683"/>
      <c r="T495" s="684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4" t="s">
        <v>797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customHeight="1" x14ac:dyDescent="0.25">
      <c r="A496" s="63" t="s">
        <v>798</v>
      </c>
      <c r="B496" s="63" t="s">
        <v>799</v>
      </c>
      <c r="C496" s="36">
        <v>4301031419</v>
      </c>
      <c r="D496" s="681">
        <v>4680115882072</v>
      </c>
      <c r="E496" s="681"/>
      <c r="F496" s="62">
        <v>0.6</v>
      </c>
      <c r="G496" s="37">
        <v>8</v>
      </c>
      <c r="H496" s="62">
        <v>4.8</v>
      </c>
      <c r="I496" s="62">
        <v>6.91</v>
      </c>
      <c r="J496" s="37">
        <v>132</v>
      </c>
      <c r="K496" s="37" t="s">
        <v>151</v>
      </c>
      <c r="L496" s="37" t="s">
        <v>46</v>
      </c>
      <c r="M496" s="38" t="s">
        <v>143</v>
      </c>
      <c r="N496" s="38"/>
      <c r="O496" s="37">
        <v>70</v>
      </c>
      <c r="P496" s="9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6" s="683"/>
      <c r="R496" s="683"/>
      <c r="S496" s="683"/>
      <c r="T496" s="68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4301031352</v>
      </c>
      <c r="D497" s="681">
        <v>4680115882102</v>
      </c>
      <c r="E497" s="681"/>
      <c r="F497" s="62">
        <v>0.6</v>
      </c>
      <c r="G497" s="37">
        <v>6</v>
      </c>
      <c r="H497" s="62">
        <v>3.6</v>
      </c>
      <c r="I497" s="62">
        <v>3.79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7" s="683"/>
      <c r="R497" s="683"/>
      <c r="S497" s="683"/>
      <c r="T497" s="68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794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t="27" customHeight="1" x14ac:dyDescent="0.25">
      <c r="A498" s="63" t="s">
        <v>800</v>
      </c>
      <c r="B498" s="63" t="s">
        <v>802</v>
      </c>
      <c r="C498" s="36">
        <v>4301031418</v>
      </c>
      <c r="D498" s="681">
        <v>4680115882102</v>
      </c>
      <c r="E498" s="681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8" s="683"/>
      <c r="R498" s="683"/>
      <c r="S498" s="683"/>
      <c r="T498" s="68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8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9"/>
        <v>0</v>
      </c>
      <c r="BN498" s="78">
        <f t="shared" si="70"/>
        <v>0</v>
      </c>
      <c r="BO498" s="78">
        <f t="shared" si="71"/>
        <v>0</v>
      </c>
      <c r="BP498" s="78">
        <f t="shared" si="72"/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4301031417</v>
      </c>
      <c r="D499" s="681">
        <v>4680115882096</v>
      </c>
      <c r="E499" s="681"/>
      <c r="F499" s="62">
        <v>0.6</v>
      </c>
      <c r="G499" s="37">
        <v>8</v>
      </c>
      <c r="H499" s="62">
        <v>4.8</v>
      </c>
      <c r="I499" s="62">
        <v>6.67</v>
      </c>
      <c r="J499" s="37">
        <v>132</v>
      </c>
      <c r="K499" s="37" t="s">
        <v>151</v>
      </c>
      <c r="L499" s="37" t="s">
        <v>46</v>
      </c>
      <c r="M499" s="38" t="s">
        <v>81</v>
      </c>
      <c r="N499" s="38"/>
      <c r="O499" s="37">
        <v>70</v>
      </c>
      <c r="P499" s="94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9" s="683"/>
      <c r="R499" s="683"/>
      <c r="S499" s="683"/>
      <c r="T499" s="68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8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797</v>
      </c>
      <c r="AG499" s="78"/>
      <c r="AJ499" s="84" t="s">
        <v>46</v>
      </c>
      <c r="AK499" s="84">
        <v>0</v>
      </c>
      <c r="BB499" s="593" t="s">
        <v>67</v>
      </c>
      <c r="BM499" s="78">
        <f t="shared" si="69"/>
        <v>0</v>
      </c>
      <c r="BN499" s="78">
        <f t="shared" si="70"/>
        <v>0</v>
      </c>
      <c r="BO499" s="78">
        <f t="shared" si="71"/>
        <v>0</v>
      </c>
      <c r="BP499" s="78">
        <f t="shared" si="72"/>
        <v>0</v>
      </c>
    </row>
    <row r="500" spans="1:68" x14ac:dyDescent="0.2">
      <c r="A500" s="690"/>
      <c r="B500" s="690"/>
      <c r="C500" s="690"/>
      <c r="D500" s="690"/>
      <c r="E500" s="690"/>
      <c r="F500" s="690"/>
      <c r="G500" s="690"/>
      <c r="H500" s="690"/>
      <c r="I500" s="690"/>
      <c r="J500" s="690"/>
      <c r="K500" s="690"/>
      <c r="L500" s="690"/>
      <c r="M500" s="690"/>
      <c r="N500" s="690"/>
      <c r="O500" s="691"/>
      <c r="P500" s="687" t="s">
        <v>40</v>
      </c>
      <c r="Q500" s="688"/>
      <c r="R500" s="688"/>
      <c r="S500" s="688"/>
      <c r="T500" s="688"/>
      <c r="U500" s="688"/>
      <c r="V500" s="689"/>
      <c r="W500" s="42" t="s">
        <v>39</v>
      </c>
      <c r="X500" s="43">
        <f>IFERROR(X493/H493,"0")+IFERROR(X494/H494,"0")+IFERROR(X495/H495,"0")+IFERROR(X496/H496,"0")+IFERROR(X497/H497,"0")+IFERROR(X498/H498,"0")+IFERROR(X499/H499,"0")</f>
        <v>0</v>
      </c>
      <c r="Y500" s="43">
        <f>IFERROR(Y493/H493,"0")+IFERROR(Y494/H494,"0")+IFERROR(Y495/H495,"0")+IFERROR(Y496/H496,"0")+IFERROR(Y497/H497,"0")+IFERROR(Y498/H498,"0")+IFERROR(Y499/H499,"0")</f>
        <v>0</v>
      </c>
      <c r="Z500" s="43">
        <f>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90"/>
      <c r="B501" s="690"/>
      <c r="C501" s="690"/>
      <c r="D501" s="690"/>
      <c r="E501" s="690"/>
      <c r="F501" s="690"/>
      <c r="G501" s="690"/>
      <c r="H501" s="690"/>
      <c r="I501" s="690"/>
      <c r="J501" s="690"/>
      <c r="K501" s="690"/>
      <c r="L501" s="690"/>
      <c r="M501" s="690"/>
      <c r="N501" s="690"/>
      <c r="O501" s="691"/>
      <c r="P501" s="687" t="s">
        <v>40</v>
      </c>
      <c r="Q501" s="688"/>
      <c r="R501" s="688"/>
      <c r="S501" s="688"/>
      <c r="T501" s="688"/>
      <c r="U501" s="688"/>
      <c r="V501" s="689"/>
      <c r="W501" s="42" t="s">
        <v>0</v>
      </c>
      <c r="X501" s="43">
        <f>IFERROR(SUM(X493:X499),"0")</f>
        <v>0</v>
      </c>
      <c r="Y501" s="43">
        <f>IFERROR(SUM(Y493:Y499),"0")</f>
        <v>0</v>
      </c>
      <c r="Z501" s="42"/>
      <c r="AA501" s="67"/>
      <c r="AB501" s="67"/>
      <c r="AC501" s="67"/>
    </row>
    <row r="502" spans="1:68" ht="27.75" customHeight="1" x14ac:dyDescent="0.2">
      <c r="A502" s="678" t="s">
        <v>805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customHeight="1" x14ac:dyDescent="0.25">
      <c r="A503" s="679" t="s">
        <v>805</v>
      </c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79"/>
      <c r="P503" s="679"/>
      <c r="Q503" s="679"/>
      <c r="R503" s="679"/>
      <c r="S503" s="679"/>
      <c r="T503" s="679"/>
      <c r="U503" s="679"/>
      <c r="V503" s="679"/>
      <c r="W503" s="679"/>
      <c r="X503" s="679"/>
      <c r="Y503" s="679"/>
      <c r="Z503" s="679"/>
      <c r="AA503" s="65"/>
      <c r="AB503" s="65"/>
      <c r="AC503" s="79"/>
    </row>
    <row r="504" spans="1:68" ht="14.25" customHeight="1" x14ac:dyDescent="0.25">
      <c r="A504" s="680" t="s">
        <v>139</v>
      </c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80"/>
      <c r="R504" s="680"/>
      <c r="S504" s="680"/>
      <c r="T504" s="680"/>
      <c r="U504" s="680"/>
      <c r="V504" s="680"/>
      <c r="W504" s="680"/>
      <c r="X504" s="680"/>
      <c r="Y504" s="680"/>
      <c r="Z504" s="680"/>
      <c r="AA504" s="66"/>
      <c r="AB504" s="66"/>
      <c r="AC504" s="80"/>
    </row>
    <row r="505" spans="1:68" ht="27" customHeight="1" x14ac:dyDescent="0.25">
      <c r="A505" s="63" t="s">
        <v>806</v>
      </c>
      <c r="B505" s="63" t="s">
        <v>807</v>
      </c>
      <c r="C505" s="36">
        <v>4301011584</v>
      </c>
      <c r="D505" s="681">
        <v>4640242180564</v>
      </c>
      <c r="E505" s="681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144</v>
      </c>
      <c r="L505" s="37" t="s">
        <v>46</v>
      </c>
      <c r="M505" s="38" t="s">
        <v>143</v>
      </c>
      <c r="N505" s="38"/>
      <c r="O505" s="37">
        <v>50</v>
      </c>
      <c r="P505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5" s="683"/>
      <c r="R505" s="683"/>
      <c r="S505" s="683"/>
      <c r="T505" s="684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94" t="s">
        <v>808</v>
      </c>
      <c r="AG505" s="78"/>
      <c r="AJ505" s="84" t="s">
        <v>46</v>
      </c>
      <c r="AK505" s="84">
        <v>0</v>
      </c>
      <c r="BB505" s="595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90"/>
      <c r="B506" s="690"/>
      <c r="C506" s="690"/>
      <c r="D506" s="690"/>
      <c r="E506" s="690"/>
      <c r="F506" s="690"/>
      <c r="G506" s="690"/>
      <c r="H506" s="690"/>
      <c r="I506" s="690"/>
      <c r="J506" s="690"/>
      <c r="K506" s="690"/>
      <c r="L506" s="690"/>
      <c r="M506" s="690"/>
      <c r="N506" s="690"/>
      <c r="O506" s="691"/>
      <c r="P506" s="687" t="s">
        <v>40</v>
      </c>
      <c r="Q506" s="688"/>
      <c r="R506" s="688"/>
      <c r="S506" s="688"/>
      <c r="T506" s="688"/>
      <c r="U506" s="688"/>
      <c r="V506" s="689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">
      <c r="A507" s="690"/>
      <c r="B507" s="690"/>
      <c r="C507" s="690"/>
      <c r="D507" s="690"/>
      <c r="E507" s="690"/>
      <c r="F507" s="690"/>
      <c r="G507" s="690"/>
      <c r="H507" s="690"/>
      <c r="I507" s="690"/>
      <c r="J507" s="690"/>
      <c r="K507" s="690"/>
      <c r="L507" s="690"/>
      <c r="M507" s="690"/>
      <c r="N507" s="690"/>
      <c r="O507" s="691"/>
      <c r="P507" s="687" t="s">
        <v>40</v>
      </c>
      <c r="Q507" s="688"/>
      <c r="R507" s="688"/>
      <c r="S507" s="688"/>
      <c r="T507" s="688"/>
      <c r="U507" s="688"/>
      <c r="V507" s="689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80" t="s">
        <v>174</v>
      </c>
      <c r="B508" s="680"/>
      <c r="C508" s="680"/>
      <c r="D508" s="680"/>
      <c r="E508" s="680"/>
      <c r="F508" s="680"/>
      <c r="G508" s="680"/>
      <c r="H508" s="680"/>
      <c r="I508" s="680"/>
      <c r="J508" s="680"/>
      <c r="K508" s="680"/>
      <c r="L508" s="680"/>
      <c r="M508" s="680"/>
      <c r="N508" s="680"/>
      <c r="O508" s="680"/>
      <c r="P508" s="680"/>
      <c r="Q508" s="680"/>
      <c r="R508" s="680"/>
      <c r="S508" s="680"/>
      <c r="T508" s="680"/>
      <c r="U508" s="680"/>
      <c r="V508" s="680"/>
      <c r="W508" s="680"/>
      <c r="X508" s="680"/>
      <c r="Y508" s="680"/>
      <c r="Z508" s="680"/>
      <c r="AA508" s="66"/>
      <c r="AB508" s="66"/>
      <c r="AC508" s="80"/>
    </row>
    <row r="509" spans="1:68" ht="27" customHeight="1" x14ac:dyDescent="0.25">
      <c r="A509" s="63" t="s">
        <v>809</v>
      </c>
      <c r="B509" s="63" t="s">
        <v>810</v>
      </c>
      <c r="C509" s="36">
        <v>4301020400</v>
      </c>
      <c r="D509" s="681">
        <v>4640242180519</v>
      </c>
      <c r="E509" s="681"/>
      <c r="F509" s="62">
        <v>1.5</v>
      </c>
      <c r="G509" s="37">
        <v>8</v>
      </c>
      <c r="H509" s="62">
        <v>12</v>
      </c>
      <c r="I509" s="62">
        <v>12.41</v>
      </c>
      <c r="J509" s="37">
        <v>64</v>
      </c>
      <c r="K509" s="37" t="s">
        <v>144</v>
      </c>
      <c r="L509" s="37" t="s">
        <v>46</v>
      </c>
      <c r="M509" s="38" t="s">
        <v>143</v>
      </c>
      <c r="N509" s="38"/>
      <c r="O509" s="37">
        <v>50</v>
      </c>
      <c r="P509" s="94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9" s="683"/>
      <c r="R509" s="683"/>
      <c r="S509" s="683"/>
      <c r="T509" s="68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IFERROR(IF(Y509=0,"",ROUNDUP(Y509/H509,0)*0.01898),"")</f>
        <v/>
      </c>
      <c r="AA509" s="68" t="s">
        <v>46</v>
      </c>
      <c r="AB509" s="69" t="s">
        <v>46</v>
      </c>
      <c r="AC509" s="596" t="s">
        <v>811</v>
      </c>
      <c r="AG509" s="78"/>
      <c r="AJ509" s="84" t="s">
        <v>46</v>
      </c>
      <c r="AK509" s="84">
        <v>0</v>
      </c>
      <c r="BB509" s="59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90"/>
      <c r="B510" s="690"/>
      <c r="C510" s="690"/>
      <c r="D510" s="690"/>
      <c r="E510" s="690"/>
      <c r="F510" s="690"/>
      <c r="G510" s="690"/>
      <c r="H510" s="690"/>
      <c r="I510" s="690"/>
      <c r="J510" s="690"/>
      <c r="K510" s="690"/>
      <c r="L510" s="690"/>
      <c r="M510" s="690"/>
      <c r="N510" s="690"/>
      <c r="O510" s="691"/>
      <c r="P510" s="687" t="s">
        <v>40</v>
      </c>
      <c r="Q510" s="688"/>
      <c r="R510" s="688"/>
      <c r="S510" s="688"/>
      <c r="T510" s="688"/>
      <c r="U510" s="688"/>
      <c r="V510" s="689"/>
      <c r="W510" s="42" t="s">
        <v>39</v>
      </c>
      <c r="X510" s="43">
        <f>IFERROR(X509/H509,"0")</f>
        <v>0</v>
      </c>
      <c r="Y510" s="43">
        <f>IFERROR(Y509/H509,"0")</f>
        <v>0</v>
      </c>
      <c r="Z510" s="43">
        <f>IFERROR(IF(Z509="",0,Z509),"0")</f>
        <v>0</v>
      </c>
      <c r="AA510" s="67"/>
      <c r="AB510" s="67"/>
      <c r="AC510" s="67"/>
    </row>
    <row r="511" spans="1:68" x14ac:dyDescent="0.2">
      <c r="A511" s="690"/>
      <c r="B511" s="690"/>
      <c r="C511" s="690"/>
      <c r="D511" s="690"/>
      <c r="E511" s="690"/>
      <c r="F511" s="690"/>
      <c r="G511" s="690"/>
      <c r="H511" s="690"/>
      <c r="I511" s="690"/>
      <c r="J511" s="690"/>
      <c r="K511" s="690"/>
      <c r="L511" s="690"/>
      <c r="M511" s="690"/>
      <c r="N511" s="690"/>
      <c r="O511" s="691"/>
      <c r="P511" s="687" t="s">
        <v>40</v>
      </c>
      <c r="Q511" s="688"/>
      <c r="R511" s="688"/>
      <c r="S511" s="688"/>
      <c r="T511" s="688"/>
      <c r="U511" s="688"/>
      <c r="V511" s="689"/>
      <c r="W511" s="42" t="s">
        <v>0</v>
      </c>
      <c r="X511" s="43">
        <f>IFERROR(SUM(X509:X509),"0")</f>
        <v>0</v>
      </c>
      <c r="Y511" s="43">
        <f>IFERROR(SUM(Y509:Y509),"0")</f>
        <v>0</v>
      </c>
      <c r="Z511" s="42"/>
      <c r="AA511" s="67"/>
      <c r="AB511" s="67"/>
      <c r="AC511" s="67"/>
    </row>
    <row r="512" spans="1:68" ht="14.25" customHeight="1" x14ac:dyDescent="0.25">
      <c r="A512" s="680" t="s">
        <v>77</v>
      </c>
      <c r="B512" s="680"/>
      <c r="C512" s="680"/>
      <c r="D512" s="680"/>
      <c r="E512" s="680"/>
      <c r="F512" s="680"/>
      <c r="G512" s="680"/>
      <c r="H512" s="680"/>
      <c r="I512" s="680"/>
      <c r="J512" s="680"/>
      <c r="K512" s="680"/>
      <c r="L512" s="680"/>
      <c r="M512" s="680"/>
      <c r="N512" s="680"/>
      <c r="O512" s="680"/>
      <c r="P512" s="680"/>
      <c r="Q512" s="680"/>
      <c r="R512" s="680"/>
      <c r="S512" s="680"/>
      <c r="T512" s="680"/>
      <c r="U512" s="680"/>
      <c r="V512" s="680"/>
      <c r="W512" s="680"/>
      <c r="X512" s="680"/>
      <c r="Y512" s="680"/>
      <c r="Z512" s="680"/>
      <c r="AA512" s="66"/>
      <c r="AB512" s="66"/>
      <c r="AC512" s="80"/>
    </row>
    <row r="513" spans="1:68" ht="27" customHeight="1" x14ac:dyDescent="0.25">
      <c r="A513" s="63" t="s">
        <v>812</v>
      </c>
      <c r="B513" s="63" t="s">
        <v>813</v>
      </c>
      <c r="C513" s="36">
        <v>4301031467</v>
      </c>
      <c r="D513" s="681">
        <v>4640242180595</v>
      </c>
      <c r="E513" s="681"/>
      <c r="F513" s="62">
        <v>0.8</v>
      </c>
      <c r="G513" s="37">
        <v>6</v>
      </c>
      <c r="H513" s="62">
        <v>4.8</v>
      </c>
      <c r="I513" s="62">
        <v>5.05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94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3"/>
      <c r="R513" s="683"/>
      <c r="S513" s="683"/>
      <c r="T513" s="684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814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27" customHeight="1" x14ac:dyDescent="0.25">
      <c r="A514" s="63" t="s">
        <v>812</v>
      </c>
      <c r="B514" s="63" t="s">
        <v>815</v>
      </c>
      <c r="C514" s="36">
        <v>4301031500</v>
      </c>
      <c r="D514" s="681">
        <v>4640242180595</v>
      </c>
      <c r="E514" s="681"/>
      <c r="F514" s="62">
        <v>0.7</v>
      </c>
      <c r="G514" s="37">
        <v>6</v>
      </c>
      <c r="H514" s="62">
        <v>4.2</v>
      </c>
      <c r="I514" s="62">
        <v>4.45</v>
      </c>
      <c r="J514" s="37">
        <v>132</v>
      </c>
      <c r="K514" s="37" t="s">
        <v>151</v>
      </c>
      <c r="L514" s="37" t="s">
        <v>46</v>
      </c>
      <c r="M514" s="38" t="s">
        <v>81</v>
      </c>
      <c r="N514" s="38"/>
      <c r="O514" s="37">
        <v>40</v>
      </c>
      <c r="P514" s="94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4" s="683"/>
      <c r="R514" s="683"/>
      <c r="S514" s="683"/>
      <c r="T514" s="684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0" t="s">
        <v>816</v>
      </c>
      <c r="AG514" s="78"/>
      <c r="AJ514" s="84" t="s">
        <v>46</v>
      </c>
      <c r="AK514" s="84">
        <v>0</v>
      </c>
      <c r="BB514" s="601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90"/>
      <c r="B515" s="690"/>
      <c r="C515" s="690"/>
      <c r="D515" s="690"/>
      <c r="E515" s="690"/>
      <c r="F515" s="690"/>
      <c r="G515" s="690"/>
      <c r="H515" s="690"/>
      <c r="I515" s="690"/>
      <c r="J515" s="690"/>
      <c r="K515" s="690"/>
      <c r="L515" s="690"/>
      <c r="M515" s="690"/>
      <c r="N515" s="690"/>
      <c r="O515" s="691"/>
      <c r="P515" s="687" t="s">
        <v>40</v>
      </c>
      <c r="Q515" s="688"/>
      <c r="R515" s="688"/>
      <c r="S515" s="688"/>
      <c r="T515" s="688"/>
      <c r="U515" s="688"/>
      <c r="V515" s="689"/>
      <c r="W515" s="42" t="s">
        <v>39</v>
      </c>
      <c r="X515" s="43">
        <f>IFERROR(X513/H513,"0")+IFERROR(X514/H514,"0")</f>
        <v>0</v>
      </c>
      <c r="Y515" s="43">
        <f>IFERROR(Y513/H513,"0")+IFERROR(Y514/H514,"0")</f>
        <v>0</v>
      </c>
      <c r="Z515" s="43">
        <f>IFERROR(IF(Z513="",0,Z513),"0")+IFERROR(IF(Z514="",0,Z514),"0")</f>
        <v>0</v>
      </c>
      <c r="AA515" s="67"/>
      <c r="AB515" s="67"/>
      <c r="AC515" s="67"/>
    </row>
    <row r="516" spans="1:68" x14ac:dyDescent="0.2">
      <c r="A516" s="690"/>
      <c r="B516" s="690"/>
      <c r="C516" s="690"/>
      <c r="D516" s="690"/>
      <c r="E516" s="690"/>
      <c r="F516" s="690"/>
      <c r="G516" s="690"/>
      <c r="H516" s="690"/>
      <c r="I516" s="690"/>
      <c r="J516" s="690"/>
      <c r="K516" s="690"/>
      <c r="L516" s="690"/>
      <c r="M516" s="690"/>
      <c r="N516" s="690"/>
      <c r="O516" s="691"/>
      <c r="P516" s="687" t="s">
        <v>40</v>
      </c>
      <c r="Q516" s="688"/>
      <c r="R516" s="688"/>
      <c r="S516" s="688"/>
      <c r="T516" s="688"/>
      <c r="U516" s="688"/>
      <c r="V516" s="689"/>
      <c r="W516" s="42" t="s">
        <v>0</v>
      </c>
      <c r="X516" s="43">
        <f>IFERROR(SUM(X513:X514),"0")</f>
        <v>0</v>
      </c>
      <c r="Y516" s="43">
        <f>IFERROR(SUM(Y513:Y514),"0")</f>
        <v>0</v>
      </c>
      <c r="Z516" s="42"/>
      <c r="AA516" s="67"/>
      <c r="AB516" s="67"/>
      <c r="AC516" s="67"/>
    </row>
    <row r="517" spans="1:68" ht="14.25" customHeight="1" x14ac:dyDescent="0.25">
      <c r="A517" s="680" t="s">
        <v>90</v>
      </c>
      <c r="B517" s="680"/>
      <c r="C517" s="680"/>
      <c r="D517" s="680"/>
      <c r="E517" s="680"/>
      <c r="F517" s="680"/>
      <c r="G517" s="680"/>
      <c r="H517" s="680"/>
      <c r="I517" s="680"/>
      <c r="J517" s="680"/>
      <c r="K517" s="680"/>
      <c r="L517" s="680"/>
      <c r="M517" s="680"/>
      <c r="N517" s="680"/>
      <c r="O517" s="680"/>
      <c r="P517" s="680"/>
      <c r="Q517" s="680"/>
      <c r="R517" s="680"/>
      <c r="S517" s="680"/>
      <c r="T517" s="680"/>
      <c r="U517" s="680"/>
      <c r="V517" s="680"/>
      <c r="W517" s="680"/>
      <c r="X517" s="680"/>
      <c r="Y517" s="680"/>
      <c r="Z517" s="680"/>
      <c r="AA517" s="66"/>
      <c r="AB517" s="66"/>
      <c r="AC517" s="80"/>
    </row>
    <row r="518" spans="1:68" ht="27" customHeight="1" x14ac:dyDescent="0.25">
      <c r="A518" s="63" t="s">
        <v>817</v>
      </c>
      <c r="B518" s="63" t="s">
        <v>818</v>
      </c>
      <c r="C518" s="36">
        <v>4301052046</v>
      </c>
      <c r="D518" s="681">
        <v>4640242180533</v>
      </c>
      <c r="E518" s="681"/>
      <c r="F518" s="62">
        <v>1.5</v>
      </c>
      <c r="G518" s="37">
        <v>6</v>
      </c>
      <c r="H518" s="62">
        <v>9</v>
      </c>
      <c r="I518" s="62">
        <v>9.4939999999999998</v>
      </c>
      <c r="J518" s="37">
        <v>64</v>
      </c>
      <c r="K518" s="37" t="s">
        <v>144</v>
      </c>
      <c r="L518" s="37" t="s">
        <v>46</v>
      </c>
      <c r="M518" s="38" t="s">
        <v>100</v>
      </c>
      <c r="N518" s="38"/>
      <c r="O518" s="37">
        <v>45</v>
      </c>
      <c r="P518" s="9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8" s="683"/>
      <c r="R518" s="683"/>
      <c r="S518" s="683"/>
      <c r="T518" s="684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602" t="s">
        <v>819</v>
      </c>
      <c r="AG518" s="78"/>
      <c r="AJ518" s="84" t="s">
        <v>46</v>
      </c>
      <c r="AK518" s="84">
        <v>0</v>
      </c>
      <c r="BB518" s="60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90"/>
      <c r="B519" s="690"/>
      <c r="C519" s="690"/>
      <c r="D519" s="690"/>
      <c r="E519" s="690"/>
      <c r="F519" s="690"/>
      <c r="G519" s="690"/>
      <c r="H519" s="690"/>
      <c r="I519" s="690"/>
      <c r="J519" s="690"/>
      <c r="K519" s="690"/>
      <c r="L519" s="690"/>
      <c r="M519" s="690"/>
      <c r="N519" s="690"/>
      <c r="O519" s="691"/>
      <c r="P519" s="687" t="s">
        <v>40</v>
      </c>
      <c r="Q519" s="688"/>
      <c r="R519" s="688"/>
      <c r="S519" s="688"/>
      <c r="T519" s="688"/>
      <c r="U519" s="688"/>
      <c r="V519" s="689"/>
      <c r="W519" s="42" t="s">
        <v>39</v>
      </c>
      <c r="X519" s="43">
        <f>IFERROR(X518/H518,"0")</f>
        <v>0</v>
      </c>
      <c r="Y519" s="43">
        <f>IFERROR(Y518/H518,"0")</f>
        <v>0</v>
      </c>
      <c r="Z519" s="43">
        <f>IFERROR(IF(Z518="",0,Z518),"0")</f>
        <v>0</v>
      </c>
      <c r="AA519" s="67"/>
      <c r="AB519" s="67"/>
      <c r="AC519" s="67"/>
    </row>
    <row r="520" spans="1:68" x14ac:dyDescent="0.2">
      <c r="A520" s="690"/>
      <c r="B520" s="690"/>
      <c r="C520" s="690"/>
      <c r="D520" s="690"/>
      <c r="E520" s="690"/>
      <c r="F520" s="690"/>
      <c r="G520" s="690"/>
      <c r="H520" s="690"/>
      <c r="I520" s="690"/>
      <c r="J520" s="690"/>
      <c r="K520" s="690"/>
      <c r="L520" s="690"/>
      <c r="M520" s="690"/>
      <c r="N520" s="690"/>
      <c r="O520" s="691"/>
      <c r="P520" s="687" t="s">
        <v>40</v>
      </c>
      <c r="Q520" s="688"/>
      <c r="R520" s="688"/>
      <c r="S520" s="688"/>
      <c r="T520" s="688"/>
      <c r="U520" s="688"/>
      <c r="V520" s="689"/>
      <c r="W520" s="42" t="s">
        <v>0</v>
      </c>
      <c r="X520" s="43">
        <f>IFERROR(SUM(X518:X518),"0")</f>
        <v>0</v>
      </c>
      <c r="Y520" s="43">
        <f>IFERROR(SUM(Y518:Y518),"0")</f>
        <v>0</v>
      </c>
      <c r="Z520" s="42"/>
      <c r="AA520" s="67"/>
      <c r="AB520" s="67"/>
      <c r="AC520" s="67"/>
    </row>
    <row r="521" spans="1:68" ht="14.25" customHeight="1" x14ac:dyDescent="0.25">
      <c r="A521" s="680" t="s">
        <v>191</v>
      </c>
      <c r="B521" s="680"/>
      <c r="C521" s="680"/>
      <c r="D521" s="680"/>
      <c r="E521" s="680"/>
      <c r="F521" s="680"/>
      <c r="G521" s="680"/>
      <c r="H521" s="680"/>
      <c r="I521" s="680"/>
      <c r="J521" s="680"/>
      <c r="K521" s="680"/>
      <c r="L521" s="680"/>
      <c r="M521" s="680"/>
      <c r="N521" s="680"/>
      <c r="O521" s="680"/>
      <c r="P521" s="680"/>
      <c r="Q521" s="680"/>
      <c r="R521" s="680"/>
      <c r="S521" s="680"/>
      <c r="T521" s="680"/>
      <c r="U521" s="680"/>
      <c r="V521" s="680"/>
      <c r="W521" s="680"/>
      <c r="X521" s="680"/>
      <c r="Y521" s="680"/>
      <c r="Z521" s="680"/>
      <c r="AA521" s="66"/>
      <c r="AB521" s="66"/>
      <c r="AC521" s="80"/>
    </row>
    <row r="522" spans="1:68" ht="27" customHeight="1" x14ac:dyDescent="0.25">
      <c r="A522" s="63" t="s">
        <v>820</v>
      </c>
      <c r="B522" s="63" t="s">
        <v>821</v>
      </c>
      <c r="C522" s="36">
        <v>4301060491</v>
      </c>
      <c r="D522" s="681">
        <v>4640242180120</v>
      </c>
      <c r="E522" s="681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94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2" s="683"/>
      <c r="R522" s="683"/>
      <c r="S522" s="683"/>
      <c r="T522" s="68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customHeight="1" x14ac:dyDescent="0.25">
      <c r="A523" s="63" t="s">
        <v>823</v>
      </c>
      <c r="B523" s="63" t="s">
        <v>824</v>
      </c>
      <c r="C523" s="36">
        <v>4301060536</v>
      </c>
      <c r="D523" s="681">
        <v>4640242180137</v>
      </c>
      <c r="E523" s="681"/>
      <c r="F523" s="62">
        <v>1.5</v>
      </c>
      <c r="G523" s="37">
        <v>6</v>
      </c>
      <c r="H523" s="62">
        <v>9</v>
      </c>
      <c r="I523" s="62">
        <v>9.41</v>
      </c>
      <c r="J523" s="37">
        <v>64</v>
      </c>
      <c r="K523" s="37" t="s">
        <v>144</v>
      </c>
      <c r="L523" s="37" t="s">
        <v>46</v>
      </c>
      <c r="M523" s="38" t="s">
        <v>94</v>
      </c>
      <c r="N523" s="38"/>
      <c r="O523" s="37">
        <v>40</v>
      </c>
      <c r="P523" s="94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3" s="683"/>
      <c r="R523" s="683"/>
      <c r="S523" s="683"/>
      <c r="T523" s="684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606" t="s">
        <v>825</v>
      </c>
      <c r="AG523" s="78"/>
      <c r="AJ523" s="84" t="s">
        <v>46</v>
      </c>
      <c r="AK523" s="84">
        <v>0</v>
      </c>
      <c r="BB523" s="607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90"/>
      <c r="B524" s="690"/>
      <c r="C524" s="690"/>
      <c r="D524" s="690"/>
      <c r="E524" s="690"/>
      <c r="F524" s="690"/>
      <c r="G524" s="690"/>
      <c r="H524" s="690"/>
      <c r="I524" s="690"/>
      <c r="J524" s="690"/>
      <c r="K524" s="690"/>
      <c r="L524" s="690"/>
      <c r="M524" s="690"/>
      <c r="N524" s="690"/>
      <c r="O524" s="691"/>
      <c r="P524" s="687" t="s">
        <v>40</v>
      </c>
      <c r="Q524" s="688"/>
      <c r="R524" s="688"/>
      <c r="S524" s="688"/>
      <c r="T524" s="688"/>
      <c r="U524" s="688"/>
      <c r="V524" s="689"/>
      <c r="W524" s="42" t="s">
        <v>39</v>
      </c>
      <c r="X524" s="43">
        <f>IFERROR(X522/H522,"0")+IFERROR(X523/H523,"0")</f>
        <v>0</v>
      </c>
      <c r="Y524" s="43">
        <f>IFERROR(Y522/H522,"0")+IFERROR(Y523/H523,"0")</f>
        <v>0</v>
      </c>
      <c r="Z524" s="43">
        <f>IFERROR(IF(Z522="",0,Z522),"0")+IFERROR(IF(Z523="",0,Z523),"0")</f>
        <v>0</v>
      </c>
      <c r="AA524" s="67"/>
      <c r="AB524" s="67"/>
      <c r="AC524" s="67"/>
    </row>
    <row r="525" spans="1:68" x14ac:dyDescent="0.2">
      <c r="A525" s="690"/>
      <c r="B525" s="690"/>
      <c r="C525" s="690"/>
      <c r="D525" s="690"/>
      <c r="E525" s="690"/>
      <c r="F525" s="690"/>
      <c r="G525" s="690"/>
      <c r="H525" s="690"/>
      <c r="I525" s="690"/>
      <c r="J525" s="690"/>
      <c r="K525" s="690"/>
      <c r="L525" s="690"/>
      <c r="M525" s="690"/>
      <c r="N525" s="690"/>
      <c r="O525" s="691"/>
      <c r="P525" s="687" t="s">
        <v>40</v>
      </c>
      <c r="Q525" s="688"/>
      <c r="R525" s="688"/>
      <c r="S525" s="688"/>
      <c r="T525" s="688"/>
      <c r="U525" s="688"/>
      <c r="V525" s="689"/>
      <c r="W525" s="42" t="s">
        <v>0</v>
      </c>
      <c r="X525" s="43">
        <f>IFERROR(SUM(X522:X523),"0")</f>
        <v>0</v>
      </c>
      <c r="Y525" s="43">
        <f>IFERROR(SUM(Y522:Y523),"0")</f>
        <v>0</v>
      </c>
      <c r="Z525" s="42"/>
      <c r="AA525" s="67"/>
      <c r="AB525" s="67"/>
      <c r="AC525" s="67"/>
    </row>
    <row r="526" spans="1:68" ht="16.5" customHeight="1" x14ac:dyDescent="0.25">
      <c r="A526" s="679" t="s">
        <v>826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5"/>
      <c r="AB526" s="65"/>
      <c r="AC526" s="79"/>
    </row>
    <row r="527" spans="1:68" ht="14.25" customHeight="1" x14ac:dyDescent="0.25">
      <c r="A527" s="680" t="s">
        <v>174</v>
      </c>
      <c r="B527" s="680"/>
      <c r="C527" s="680"/>
      <c r="D527" s="680"/>
      <c r="E527" s="680"/>
      <c r="F527" s="680"/>
      <c r="G527" s="680"/>
      <c r="H527" s="680"/>
      <c r="I527" s="680"/>
      <c r="J527" s="680"/>
      <c r="K527" s="680"/>
      <c r="L527" s="680"/>
      <c r="M527" s="680"/>
      <c r="N527" s="680"/>
      <c r="O527" s="680"/>
      <c r="P527" s="680"/>
      <c r="Q527" s="680"/>
      <c r="R527" s="680"/>
      <c r="S527" s="680"/>
      <c r="T527" s="680"/>
      <c r="U527" s="680"/>
      <c r="V527" s="680"/>
      <c r="W527" s="680"/>
      <c r="X527" s="680"/>
      <c r="Y527" s="680"/>
      <c r="Z527" s="680"/>
      <c r="AA527" s="66"/>
      <c r="AB527" s="66"/>
      <c r="AC527" s="80"/>
    </row>
    <row r="528" spans="1:68" ht="27" customHeight="1" x14ac:dyDescent="0.25">
      <c r="A528" s="63" t="s">
        <v>827</v>
      </c>
      <c r="B528" s="63" t="s">
        <v>828</v>
      </c>
      <c r="C528" s="36">
        <v>4301020428</v>
      </c>
      <c r="D528" s="681">
        <v>4640242180090</v>
      </c>
      <c r="E528" s="68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144</v>
      </c>
      <c r="L528" s="37" t="s">
        <v>46</v>
      </c>
      <c r="M528" s="38" t="s">
        <v>143</v>
      </c>
      <c r="N528" s="38"/>
      <c r="O528" s="37">
        <v>50</v>
      </c>
      <c r="P528" s="9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8" s="683"/>
      <c r="R528" s="683"/>
      <c r="S528" s="683"/>
      <c r="T528" s="68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08" t="s">
        <v>829</v>
      </c>
      <c r="AG528" s="78"/>
      <c r="AJ528" s="84" t="s">
        <v>46</v>
      </c>
      <c r="AK528" s="84">
        <v>0</v>
      </c>
      <c r="BB528" s="609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32" x14ac:dyDescent="0.2">
      <c r="A529" s="690"/>
      <c r="B529" s="690"/>
      <c r="C529" s="690"/>
      <c r="D529" s="690"/>
      <c r="E529" s="690"/>
      <c r="F529" s="690"/>
      <c r="G529" s="690"/>
      <c r="H529" s="690"/>
      <c r="I529" s="690"/>
      <c r="J529" s="690"/>
      <c r="K529" s="690"/>
      <c r="L529" s="690"/>
      <c r="M529" s="690"/>
      <c r="N529" s="690"/>
      <c r="O529" s="691"/>
      <c r="P529" s="687" t="s">
        <v>40</v>
      </c>
      <c r="Q529" s="688"/>
      <c r="R529" s="688"/>
      <c r="S529" s="688"/>
      <c r="T529" s="688"/>
      <c r="U529" s="688"/>
      <c r="V529" s="689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32" x14ac:dyDescent="0.2">
      <c r="A530" s="690"/>
      <c r="B530" s="690"/>
      <c r="C530" s="690"/>
      <c r="D530" s="690"/>
      <c r="E530" s="690"/>
      <c r="F530" s="690"/>
      <c r="G530" s="690"/>
      <c r="H530" s="690"/>
      <c r="I530" s="690"/>
      <c r="J530" s="690"/>
      <c r="K530" s="690"/>
      <c r="L530" s="690"/>
      <c r="M530" s="690"/>
      <c r="N530" s="690"/>
      <c r="O530" s="691"/>
      <c r="P530" s="687" t="s">
        <v>40</v>
      </c>
      <c r="Q530" s="688"/>
      <c r="R530" s="688"/>
      <c r="S530" s="688"/>
      <c r="T530" s="688"/>
      <c r="U530" s="688"/>
      <c r="V530" s="689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32" ht="15" customHeight="1" x14ac:dyDescent="0.2">
      <c r="A531" s="690"/>
      <c r="B531" s="690"/>
      <c r="C531" s="690"/>
      <c r="D531" s="690"/>
      <c r="E531" s="690"/>
      <c r="F531" s="690"/>
      <c r="G531" s="690"/>
      <c r="H531" s="690"/>
      <c r="I531" s="690"/>
      <c r="J531" s="690"/>
      <c r="K531" s="690"/>
      <c r="L531" s="690"/>
      <c r="M531" s="690"/>
      <c r="N531" s="690"/>
      <c r="O531" s="954"/>
      <c r="P531" s="951" t="s">
        <v>33</v>
      </c>
      <c r="Q531" s="952"/>
      <c r="R531" s="952"/>
      <c r="S531" s="952"/>
      <c r="T531" s="952"/>
      <c r="U531" s="952"/>
      <c r="V531" s="953"/>
      <c r="W531" s="42" t="s">
        <v>0</v>
      </c>
      <c r="X531" s="43">
        <f>IFERROR(X26+X38+X42+X51+X60+X71+X78+X83+X88+X96+X103+X114+X122+X129+X133+X139+X144+X149+X157+X163+X167+X180+X186+X191+X195+X204+X209+X226+X231+X237+X241+X247+X252+X263+X278+X283+X294+X298+X302+X310+X319+X326+X335+X340+X347+X357+X367+X374+X380+X387+X393+X400+X413+X419+X424+X428+X434+X438+X444+X455+X460+X465+X471+X485+X491+X501+X507+X511+X516+X520+X525+X530,"0")</f>
        <v>2913.34</v>
      </c>
      <c r="Y531" s="43">
        <f>IFERROR(Y26+Y38+Y42+Y51+Y60+Y71+Y78+Y83+Y88+Y96+Y103+Y114+Y122+Y129+Y133+Y139+Y144+Y149+Y157+Y163+Y167+Y180+Y186+Y191+Y195+Y204+Y209+Y226+Y231+Y237+Y241+Y247+Y252+Y263+Y278+Y283+Y294+Y298+Y302+Y310+Y319+Y326+Y335+Y340+Y347+Y357+Y367+Y374+Y380+Y387+Y393+Y400+Y413+Y419+Y424+Y428+Y434+Y438+Y444+Y455+Y460+Y465+Y471+Y485+Y491+Y501+Y507+Y511+Y516+Y520+Y525+Y530,"0")</f>
        <v>2934.3600000000006</v>
      </c>
      <c r="Z531" s="42"/>
      <c r="AA531" s="67"/>
      <c r="AB531" s="67"/>
      <c r="AC531" s="67"/>
    </row>
    <row r="532" spans="1:32" x14ac:dyDescent="0.2">
      <c r="A532" s="690"/>
      <c r="B532" s="690"/>
      <c r="C532" s="690"/>
      <c r="D532" s="690"/>
      <c r="E532" s="690"/>
      <c r="F532" s="690"/>
      <c r="G532" s="690"/>
      <c r="H532" s="690"/>
      <c r="I532" s="690"/>
      <c r="J532" s="690"/>
      <c r="K532" s="690"/>
      <c r="L532" s="690"/>
      <c r="M532" s="690"/>
      <c r="N532" s="690"/>
      <c r="O532" s="954"/>
      <c r="P532" s="951" t="s">
        <v>34</v>
      </c>
      <c r="Q532" s="952"/>
      <c r="R532" s="952"/>
      <c r="S532" s="952"/>
      <c r="T532" s="952"/>
      <c r="U532" s="952"/>
      <c r="V532" s="953"/>
      <c r="W532" s="42" t="s">
        <v>0</v>
      </c>
      <c r="X532" s="43">
        <f>IFERROR(SUM(BM22:BM528),"0")</f>
        <v>3306.4309166666662</v>
      </c>
      <c r="Y532" s="43">
        <f>IFERROR(SUM(BN22:BN528),"0")</f>
        <v>3330.1420000000007</v>
      </c>
      <c r="Z532" s="42"/>
      <c r="AA532" s="67"/>
      <c r="AB532" s="67"/>
      <c r="AC532" s="67"/>
    </row>
    <row r="533" spans="1:32" x14ac:dyDescent="0.2">
      <c r="A533" s="690"/>
      <c r="B533" s="690"/>
      <c r="C533" s="690"/>
      <c r="D533" s="690"/>
      <c r="E533" s="690"/>
      <c r="F533" s="690"/>
      <c r="G533" s="690"/>
      <c r="H533" s="690"/>
      <c r="I533" s="690"/>
      <c r="J533" s="690"/>
      <c r="K533" s="690"/>
      <c r="L533" s="690"/>
      <c r="M533" s="690"/>
      <c r="N533" s="690"/>
      <c r="O533" s="954"/>
      <c r="P533" s="951" t="s">
        <v>35</v>
      </c>
      <c r="Q533" s="952"/>
      <c r="R533" s="952"/>
      <c r="S533" s="952"/>
      <c r="T533" s="952"/>
      <c r="U533" s="952"/>
      <c r="V533" s="953"/>
      <c r="W533" s="42" t="s">
        <v>20</v>
      </c>
      <c r="X533" s="44">
        <f>ROUNDUP(SUM(BO22:BO528),0)</f>
        <v>7</v>
      </c>
      <c r="Y533" s="44">
        <f>ROUNDUP(SUM(BP22:BP528),0)</f>
        <v>7</v>
      </c>
      <c r="Z533" s="42"/>
      <c r="AA533" s="67"/>
      <c r="AB533" s="67"/>
      <c r="AC533" s="67"/>
    </row>
    <row r="534" spans="1:32" x14ac:dyDescent="0.2">
      <c r="A534" s="690"/>
      <c r="B534" s="690"/>
      <c r="C534" s="690"/>
      <c r="D534" s="690"/>
      <c r="E534" s="690"/>
      <c r="F534" s="690"/>
      <c r="G534" s="690"/>
      <c r="H534" s="690"/>
      <c r="I534" s="690"/>
      <c r="J534" s="690"/>
      <c r="K534" s="690"/>
      <c r="L534" s="690"/>
      <c r="M534" s="690"/>
      <c r="N534" s="690"/>
      <c r="O534" s="954"/>
      <c r="P534" s="951" t="s">
        <v>36</v>
      </c>
      <c r="Q534" s="952"/>
      <c r="R534" s="952"/>
      <c r="S534" s="952"/>
      <c r="T534" s="952"/>
      <c r="U534" s="952"/>
      <c r="V534" s="953"/>
      <c r="W534" s="42" t="s">
        <v>0</v>
      </c>
      <c r="X534" s="43">
        <f>GrossWeightTotal+PalletQtyTotal*25</f>
        <v>3481.4309166666662</v>
      </c>
      <c r="Y534" s="43">
        <f>GrossWeightTotalR+PalletQtyTotalR*25</f>
        <v>3505.1420000000007</v>
      </c>
      <c r="Z534" s="42"/>
      <c r="AA534" s="67"/>
      <c r="AB534" s="67"/>
      <c r="AC534" s="67"/>
    </row>
    <row r="535" spans="1:32" x14ac:dyDescent="0.2">
      <c r="A535" s="690"/>
      <c r="B535" s="690"/>
      <c r="C535" s="690"/>
      <c r="D535" s="690"/>
      <c r="E535" s="690"/>
      <c r="F535" s="690"/>
      <c r="G535" s="690"/>
      <c r="H535" s="690"/>
      <c r="I535" s="690"/>
      <c r="J535" s="690"/>
      <c r="K535" s="690"/>
      <c r="L535" s="690"/>
      <c r="M535" s="690"/>
      <c r="N535" s="690"/>
      <c r="O535" s="954"/>
      <c r="P535" s="951" t="s">
        <v>37</v>
      </c>
      <c r="Q535" s="952"/>
      <c r="R535" s="952"/>
      <c r="S535" s="952"/>
      <c r="T535" s="952"/>
      <c r="U535" s="952"/>
      <c r="V535" s="953"/>
      <c r="W535" s="42" t="s">
        <v>20</v>
      </c>
      <c r="X535" s="43">
        <f>IFERROR(X25+X37+X41+X50+X59+X70+X77+X82+X87+X95+X102+X113+X121+X128+X132+X138+X143+X148+X156+X162+X166+X179+X185+X190+X194+X203+X208+X225+X230+X236+X240+X246+X251+X262+X277+X282+X293+X297+X301+X309+X318+X325+X334+X339+X346+X356+X366+X373+X379+X386+X392+X399+X412+X418+X423+X427+X433+X437+X443+X454+X459+X464+X470+X484+X490+X500+X506+X510+X515+X519+X524+X529,"0")</f>
        <v>1149.6583333333333</v>
      </c>
      <c r="Y535" s="43">
        <f>IFERROR(Y25+Y37+Y41+Y50+Y59+Y70+Y77+Y82+Y87+Y95+Y102+Y113+Y121+Y128+Y132+Y138+Y143+Y148+Y156+Y162+Y166+Y179+Y185+Y190+Y194+Y203+Y208+Y225+Y230+Y236+Y240+Y246+Y251+Y262+Y277+Y282+Y293+Y297+Y301+Y309+Y318+Y325+Y334+Y339+Y346+Y356+Y366+Y373+Y379+Y386+Y392+Y399+Y412+Y418+Y423+Y427+Y433+Y437+Y443+Y454+Y459+Y464+Y470+Y484+Y490+Y500+Y506+Y510+Y515+Y519+Y524+Y529,"0")</f>
        <v>1159</v>
      </c>
      <c r="Z535" s="42"/>
      <c r="AA535" s="67"/>
      <c r="AB535" s="67"/>
      <c r="AC535" s="67"/>
    </row>
    <row r="536" spans="1:32" ht="14.25" x14ac:dyDescent="0.2">
      <c r="A536" s="690"/>
      <c r="B536" s="690"/>
      <c r="C536" s="690"/>
      <c r="D536" s="690"/>
      <c r="E536" s="690"/>
      <c r="F536" s="690"/>
      <c r="G536" s="690"/>
      <c r="H536" s="690"/>
      <c r="I536" s="690"/>
      <c r="J536" s="690"/>
      <c r="K536" s="690"/>
      <c r="L536" s="690"/>
      <c r="M536" s="690"/>
      <c r="N536" s="690"/>
      <c r="O536" s="954"/>
      <c r="P536" s="951" t="s">
        <v>38</v>
      </c>
      <c r="Q536" s="952"/>
      <c r="R536" s="952"/>
      <c r="S536" s="952"/>
      <c r="T536" s="952"/>
      <c r="U536" s="952"/>
      <c r="V536" s="953"/>
      <c r="W536" s="45" t="s">
        <v>52</v>
      </c>
      <c r="X536" s="42"/>
      <c r="Y536" s="42"/>
      <c r="Z536" s="42">
        <f>IFERROR(Z25+Z37+Z41+Z50+Z59+Z70+Z77+Z82+Z87+Z95+Z102+Z113+Z121+Z128+Z132+Z138+Z143+Z148+Z156+Z162+Z166+Z179+Z185+Z190+Z194+Z203+Z208+Z225+Z230+Z236+Z240+Z246+Z251+Z262+Z277+Z282+Z293+Z297+Z301+Z309+Z318+Z325+Z334+Z339+Z346+Z356+Z366+Z373+Z379+Z386+Z392+Z399+Z412+Z418+Z423+Z427+Z433+Z437+Z443+Z454+Z459+Z464+Z470+Z484+Z490+Z500+Z506+Z510+Z515+Z519+Z524+Z529,"0")</f>
        <v>8.0356899999999989</v>
      </c>
      <c r="AA536" s="67"/>
      <c r="AB536" s="67"/>
      <c r="AC536" s="67"/>
    </row>
    <row r="537" spans="1:32" ht="13.5" thickBot="1" x14ac:dyDescent="0.25"/>
    <row r="538" spans="1:32" ht="27" thickTop="1" thickBot="1" x14ac:dyDescent="0.25">
      <c r="A538" s="46" t="s">
        <v>9</v>
      </c>
      <c r="B538" s="85" t="s">
        <v>76</v>
      </c>
      <c r="C538" s="85" t="s">
        <v>45</v>
      </c>
      <c r="D538" s="957" t="s">
        <v>137</v>
      </c>
      <c r="E538" s="957" t="s">
        <v>137</v>
      </c>
      <c r="F538" s="957" t="s">
        <v>137</v>
      </c>
      <c r="G538" s="957" t="s">
        <v>137</v>
      </c>
      <c r="H538" s="957" t="s">
        <v>137</v>
      </c>
      <c r="I538" s="957" t="s">
        <v>137</v>
      </c>
      <c r="J538" s="957" t="s">
        <v>137</v>
      </c>
      <c r="K538" s="957" t="s">
        <v>344</v>
      </c>
      <c r="L538" s="957" t="s">
        <v>344</v>
      </c>
      <c r="M538" s="957" t="s">
        <v>344</v>
      </c>
      <c r="N538" s="958"/>
      <c r="O538" s="957" t="s">
        <v>344</v>
      </c>
      <c r="P538" s="957" t="s">
        <v>344</v>
      </c>
      <c r="Q538" s="957" t="s">
        <v>344</v>
      </c>
      <c r="R538" s="957" t="s">
        <v>344</v>
      </c>
      <c r="S538" s="957" t="s">
        <v>344</v>
      </c>
      <c r="T538" s="957" t="s">
        <v>344</v>
      </c>
      <c r="U538" s="957" t="s">
        <v>344</v>
      </c>
      <c r="V538" s="957" t="s">
        <v>662</v>
      </c>
      <c r="W538" s="957" t="s">
        <v>662</v>
      </c>
      <c r="X538" s="957" t="s">
        <v>722</v>
      </c>
      <c r="Y538" s="957" t="s">
        <v>722</v>
      </c>
      <c r="Z538" s="85" t="s">
        <v>758</v>
      </c>
      <c r="AA538" s="957" t="s">
        <v>805</v>
      </c>
      <c r="AB538" s="957" t="s">
        <v>805</v>
      </c>
      <c r="AC538" s="60"/>
      <c r="AF538" s="1"/>
    </row>
    <row r="539" spans="1:32" ht="14.25" customHeight="1" thickTop="1" x14ac:dyDescent="0.2">
      <c r="A539" s="955" t="s">
        <v>10</v>
      </c>
      <c r="B539" s="957" t="s">
        <v>76</v>
      </c>
      <c r="C539" s="957" t="s">
        <v>124</v>
      </c>
      <c r="D539" s="957" t="s">
        <v>138</v>
      </c>
      <c r="E539" s="957" t="s">
        <v>154</v>
      </c>
      <c r="F539" s="957" t="s">
        <v>198</v>
      </c>
      <c r="G539" s="957" t="s">
        <v>219</v>
      </c>
      <c r="H539" s="957" t="s">
        <v>261</v>
      </c>
      <c r="I539" s="957" t="s">
        <v>273</v>
      </c>
      <c r="J539" s="957" t="s">
        <v>137</v>
      </c>
      <c r="K539" s="957" t="s">
        <v>345</v>
      </c>
      <c r="L539" s="957" t="s">
        <v>357</v>
      </c>
      <c r="M539" s="957" t="s">
        <v>416</v>
      </c>
      <c r="N539" s="1"/>
      <c r="O539" s="957" t="s">
        <v>484</v>
      </c>
      <c r="P539" s="957" t="s">
        <v>521</v>
      </c>
      <c r="Q539" s="957" t="s">
        <v>537</v>
      </c>
      <c r="R539" s="957" t="s">
        <v>546</v>
      </c>
      <c r="S539" s="957" t="s">
        <v>567</v>
      </c>
      <c r="T539" s="957" t="s">
        <v>577</v>
      </c>
      <c r="U539" s="957" t="s">
        <v>652</v>
      </c>
      <c r="V539" s="957" t="s">
        <v>663</v>
      </c>
      <c r="W539" s="957" t="s">
        <v>706</v>
      </c>
      <c r="X539" s="957" t="s">
        <v>723</v>
      </c>
      <c r="Y539" s="957" t="s">
        <v>746</v>
      </c>
      <c r="Z539" s="957" t="s">
        <v>758</v>
      </c>
      <c r="AA539" s="957" t="s">
        <v>805</v>
      </c>
      <c r="AB539" s="957" t="s">
        <v>826</v>
      </c>
      <c r="AC539" s="60"/>
      <c r="AF539" s="1"/>
    </row>
    <row r="540" spans="1:32" ht="13.5" thickBot="1" x14ac:dyDescent="0.25">
      <c r="A540" s="956"/>
      <c r="B540" s="957"/>
      <c r="C540" s="957"/>
      <c r="D540" s="957"/>
      <c r="E540" s="957"/>
      <c r="F540" s="957"/>
      <c r="G540" s="957"/>
      <c r="H540" s="957"/>
      <c r="I540" s="957"/>
      <c r="J540" s="957"/>
      <c r="K540" s="957"/>
      <c r="L540" s="957"/>
      <c r="M540" s="957"/>
      <c r="N540" s="1"/>
      <c r="O540" s="957"/>
      <c r="P540" s="957"/>
      <c r="Q540" s="957"/>
      <c r="R540" s="957"/>
      <c r="S540" s="957"/>
      <c r="T540" s="957"/>
      <c r="U540" s="957"/>
      <c r="V540" s="957"/>
      <c r="W540" s="957"/>
      <c r="X540" s="957"/>
      <c r="Y540" s="957"/>
      <c r="Z540" s="957"/>
      <c r="AA540" s="957"/>
      <c r="AB540" s="957"/>
      <c r="AC540" s="60"/>
      <c r="AF540" s="1"/>
    </row>
    <row r="541" spans="1:32" ht="18" thickTop="1" thickBot="1" x14ac:dyDescent="0.25">
      <c r="A541" s="46" t="s">
        <v>13</v>
      </c>
      <c r="B541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90</v>
      </c>
      <c r="C541" s="52">
        <f>IFERROR(Y46*1,"0")+IFERROR(Y47*1,"0")+IFERROR(Y48*1,"0")+IFERROR(Y49*1,"0")</f>
        <v>0</v>
      </c>
      <c r="D541" s="52">
        <f>IFERROR(Y55*1,"0")+IFERROR(Y56*1,"0")+IFERROR(Y57*1,"0")+IFERROR(Y58*1,"0")</f>
        <v>84</v>
      </c>
      <c r="E541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277.50000000000006</v>
      </c>
      <c r="F541" s="52">
        <f>IFERROR(Y91*1,"0")+IFERROR(Y92*1,"0")+IFERROR(Y93*1,"0")+IFERROR(Y94*1,"0")+IFERROR(Y98*1,"0")+IFERROR(Y99*1,"0")+IFERROR(Y100*1,"0")+IFERROR(Y101*1,"0")</f>
        <v>96.3</v>
      </c>
      <c r="G541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106</v>
      </c>
      <c r="H541" s="52">
        <f>IFERROR(Y136*1,"0")+IFERROR(Y137*1,"0")+IFERROR(Y141*1,"0")+IFERROR(Y142*1,"0")+IFERROR(Y146*1,"0")+IFERROR(Y147*1,"0")</f>
        <v>0</v>
      </c>
      <c r="I541" s="52">
        <f>IFERROR(Y152*1,"0")+IFERROR(Y153*1,"0")+IFERROR(Y154*1,"0")+IFERROR(Y155*1,"0")</f>
        <v>0</v>
      </c>
      <c r="J541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1" s="52">
        <f>IFERROR(Y199*1,"0")+IFERROR(Y200*1,"0")+IFERROR(Y201*1,"0")+IFERROR(Y202*1,"0")</f>
        <v>0</v>
      </c>
      <c r="L541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40</v>
      </c>
      <c r="M541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175.2</v>
      </c>
      <c r="N541" s="1"/>
      <c r="O541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200</v>
      </c>
      <c r="P541" s="52">
        <f>IFERROR(Y313*1,"0")+IFERROR(Y314*1,"0")+IFERROR(Y315*1,"0")+IFERROR(Y316*1,"0")+IFERROR(Y317*1,"0")</f>
        <v>120</v>
      </c>
      <c r="Q541" s="52">
        <f>IFERROR(Y322*1,"0")+IFERROR(Y323*1,"0")+IFERROR(Y324*1,"0")</f>
        <v>156</v>
      </c>
      <c r="R541" s="52">
        <f>IFERROR(Y329*1,"0")+IFERROR(Y330*1,"0")+IFERROR(Y331*1,"0")+IFERROR(Y332*1,"0")+IFERROR(Y333*1,"0")+IFERROR(Y337*1,"0")+IFERROR(Y338*1,"0")</f>
        <v>108</v>
      </c>
      <c r="S541" s="52">
        <f>IFERROR(Y343*1,"0")+IFERROR(Y344*1,"0")+IFERROR(Y345*1,"0")</f>
        <v>0</v>
      </c>
      <c r="T541" s="52">
        <f>IFERROR(Y350*1,"0")+IFERROR(Y351*1,"0")+IFERROR(Y352*1,"0")+IFERROR(Y353*1,"0")+IFERROR(Y354*1,"0")+IFERROR(Y355*1,"0")+IFERROR(Y359*1,"0")+IFERROR(Y360*1,"0")+IFERROR(Y361*1,"0")+IFERROR(Y362*1,"0")+IFERROR(Y363*1,"0")+IFERROR(Y364*1,"0")+IFERROR(Y365*1,"0")+IFERROR(Y369*1,"0")+IFERROR(Y370*1,"0")+IFERROR(Y371*1,"0")+IFERROR(Y372*1,"0")+IFERROR(Y376*1,"0")+IFERROR(Y377*1,"0")+IFERROR(Y378*1,"0")+IFERROR(Y382*1,"0")+IFERROR(Y383*1,"0")+IFERROR(Y384*1,"0")+IFERROR(Y385*1,"0")+IFERROR(Y389*1,"0")+IFERROR(Y390*1,"0")+IFERROR(Y391*1,"0")</f>
        <v>241.4</v>
      </c>
      <c r="U541" s="52">
        <f>IFERROR(Y396*1,"0")+IFERROR(Y397*1,"0")+IFERROR(Y398*1,"0")</f>
        <v>155.4</v>
      </c>
      <c r="V541" s="52">
        <f>IFERROR(Y404*1,"0")+IFERROR(Y405*1,"0")+IFERROR(Y406*1,"0")+IFERROR(Y407*1,"0")+IFERROR(Y408*1,"0")+IFERROR(Y409*1,"0")+IFERROR(Y410*1,"0")+IFERROR(Y411*1,"0")+IFERROR(Y415*1,"0")+IFERROR(Y416*1,"0")+IFERROR(Y417*1,"0")+IFERROR(Y421*1,"0")+IFERROR(Y422*1,"0")+IFERROR(Y426*1,"0")</f>
        <v>270</v>
      </c>
      <c r="W541" s="52">
        <f>IFERROR(Y431*1,"0")+IFERROR(Y432*1,"0")+IFERROR(Y436*1,"0")+IFERROR(Y440*1,"0")+IFERROR(Y441*1,"0")+IFERROR(Y442*1,"0")</f>
        <v>0</v>
      </c>
      <c r="X541" s="52">
        <f>IFERROR(Y448*1,"0")+IFERROR(Y449*1,"0")+IFERROR(Y450*1,"0")+IFERROR(Y451*1,"0")+IFERROR(Y452*1,"0")+IFERROR(Y453*1,"0")+IFERROR(Y457*1,"0")+IFERROR(Y458*1,"0")</f>
        <v>550.55999999999995</v>
      </c>
      <c r="Y541" s="52">
        <f>IFERROR(Y463*1,"0")+IFERROR(Y467*1,"0")+IFERROR(Y468*1,"0")+IFERROR(Y469*1,"0")</f>
        <v>0</v>
      </c>
      <c r="Z541" s="52">
        <f>IFERROR(Y475*1,"0")+IFERROR(Y476*1,"0")+IFERROR(Y477*1,"0")+IFERROR(Y478*1,"0")+IFERROR(Y479*1,"0")+IFERROR(Y480*1,"0")+IFERROR(Y481*1,"0")+IFERROR(Y482*1,"0")+IFERROR(Y483*1,"0")+IFERROR(Y487*1,"0")+IFERROR(Y488*1,"0")+IFERROR(Y489*1,"0")+IFERROR(Y493*1,"0")+IFERROR(Y494*1,"0")+IFERROR(Y495*1,"0")+IFERROR(Y496*1,"0")+IFERROR(Y497*1,"0")+IFERROR(Y498*1,"0")+IFERROR(Y499*1,"0")</f>
        <v>264</v>
      </c>
      <c r="AA541" s="52">
        <f>IFERROR(Y505*1,"0")+IFERROR(Y509*1,"0")+IFERROR(Y513*1,"0")+IFERROR(Y514*1,"0")+IFERROR(Y518*1,"0")+IFERROR(Y522*1,"0")+IFERROR(Y523*1,"0")</f>
        <v>0</v>
      </c>
      <c r="AB541" s="52">
        <f>IFERROR(Y528*1,"0")</f>
        <v>0</v>
      </c>
      <c r="AC541" s="60"/>
      <c r="AF541" s="1"/>
    </row>
  </sheetData>
  <sheetProtection algorithmName="SHA-512" hashValue="yyuTFFsFlhnLMXL5Clbwg+YPSzm3E5K2ZvGQOYlNXkGu3CYiGb55U+Z40Je7nu5sMFxwbyBntuSGs6UIoyBTIA==" saltValue="aSsNWvAKocQ5svwoAvcDag==" spinCount="100000" sheet="1" objects="1" scenarios="1" sort="0" autoFilter="0" pivotTables="0"/>
  <autoFilter ref="A18:AF53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1">
    <mergeCell ref="U539:U540"/>
    <mergeCell ref="V539:V540"/>
    <mergeCell ref="W539:W540"/>
    <mergeCell ref="X539:X540"/>
    <mergeCell ref="Y539:Y540"/>
    <mergeCell ref="Z539:Z540"/>
    <mergeCell ref="AA539:AA540"/>
    <mergeCell ref="AB539:AB540"/>
    <mergeCell ref="D538:J538"/>
    <mergeCell ref="K538:U538"/>
    <mergeCell ref="V538:W538"/>
    <mergeCell ref="X538:Y538"/>
    <mergeCell ref="AA538:AB538"/>
    <mergeCell ref="J539:J540"/>
    <mergeCell ref="K539:K540"/>
    <mergeCell ref="L539:L540"/>
    <mergeCell ref="M539:M540"/>
    <mergeCell ref="O539:O540"/>
    <mergeCell ref="P539:P540"/>
    <mergeCell ref="Q539:Q540"/>
    <mergeCell ref="R539:R540"/>
    <mergeCell ref="S539:S540"/>
    <mergeCell ref="T539:T540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27:Z527"/>
    <mergeCell ref="D528:E528"/>
    <mergeCell ref="P528:T528"/>
    <mergeCell ref="P529:V529"/>
    <mergeCell ref="A529:O530"/>
    <mergeCell ref="P530:V530"/>
    <mergeCell ref="P531:V531"/>
    <mergeCell ref="A531:O536"/>
    <mergeCell ref="P532:V532"/>
    <mergeCell ref="P533:V533"/>
    <mergeCell ref="P534:V534"/>
    <mergeCell ref="P535:V535"/>
    <mergeCell ref="P536:V536"/>
    <mergeCell ref="A521:Z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P515:V515"/>
    <mergeCell ref="A515:O516"/>
    <mergeCell ref="P516:V516"/>
    <mergeCell ref="A517:Z517"/>
    <mergeCell ref="D518:E518"/>
    <mergeCell ref="P518:T518"/>
    <mergeCell ref="P519:V519"/>
    <mergeCell ref="A519:O520"/>
    <mergeCell ref="P520:V520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A502:Z502"/>
    <mergeCell ref="A503:Z503"/>
    <mergeCell ref="A504:Z504"/>
    <mergeCell ref="D505:E505"/>
    <mergeCell ref="P505:T505"/>
    <mergeCell ref="P506:V506"/>
    <mergeCell ref="A506:O507"/>
    <mergeCell ref="P507:V507"/>
    <mergeCell ref="A508:Z508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D495:E495"/>
    <mergeCell ref="P495:T495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45:Z445"/>
    <mergeCell ref="A446:Z446"/>
    <mergeCell ref="A447:Z447"/>
    <mergeCell ref="D448:E448"/>
    <mergeCell ref="P448:T448"/>
    <mergeCell ref="D449:E449"/>
    <mergeCell ref="P449:T449"/>
    <mergeCell ref="D450:E450"/>
    <mergeCell ref="P450:T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P437:V437"/>
    <mergeCell ref="A437:O438"/>
    <mergeCell ref="P438:V438"/>
    <mergeCell ref="A425:Z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P418:V418"/>
    <mergeCell ref="A418:O419"/>
    <mergeCell ref="P419:V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A401:Z401"/>
    <mergeCell ref="A402:Z402"/>
    <mergeCell ref="A403:Z403"/>
    <mergeCell ref="D404:E404"/>
    <mergeCell ref="P404:T404"/>
    <mergeCell ref="D405:E405"/>
    <mergeCell ref="P405:T405"/>
    <mergeCell ref="D406:E406"/>
    <mergeCell ref="P406:T406"/>
    <mergeCell ref="A394:Z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830</v>
      </c>
      <c r="H1" s="9"/>
    </row>
    <row r="3" spans="2:8" x14ac:dyDescent="0.2">
      <c r="B3" s="53" t="s">
        <v>831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833</v>
      </c>
      <c r="C6" s="53" t="s">
        <v>834</v>
      </c>
      <c r="D6" s="53" t="s">
        <v>835</v>
      </c>
      <c r="E6" s="53" t="s">
        <v>46</v>
      </c>
    </row>
    <row r="7" spans="2:8" x14ac:dyDescent="0.2">
      <c r="B7" s="53" t="s">
        <v>836</v>
      </c>
      <c r="C7" s="53" t="s">
        <v>837</v>
      </c>
      <c r="D7" s="53" t="s">
        <v>838</v>
      </c>
      <c r="E7" s="53" t="s">
        <v>46</v>
      </c>
    </row>
    <row r="8" spans="2:8" x14ac:dyDescent="0.2">
      <c r="B8" s="53" t="s">
        <v>839</v>
      </c>
      <c r="C8" s="53" t="s">
        <v>840</v>
      </c>
      <c r="D8" s="53" t="s">
        <v>841</v>
      </c>
      <c r="E8" s="53" t="s">
        <v>46</v>
      </c>
    </row>
    <row r="10" spans="2:8" x14ac:dyDescent="0.2">
      <c r="B10" s="53" t="s">
        <v>842</v>
      </c>
      <c r="C10" s="53" t="s">
        <v>834</v>
      </c>
      <c r="D10" s="53" t="s">
        <v>46</v>
      </c>
      <c r="E10" s="53" t="s">
        <v>46</v>
      </c>
    </row>
    <row r="12" spans="2:8" x14ac:dyDescent="0.2">
      <c r="B12" s="53" t="s">
        <v>843</v>
      </c>
      <c r="C12" s="53" t="s">
        <v>837</v>
      </c>
      <c r="D12" s="53" t="s">
        <v>46</v>
      </c>
      <c r="E12" s="53" t="s">
        <v>46</v>
      </c>
    </row>
    <row r="14" spans="2:8" x14ac:dyDescent="0.2">
      <c r="B14" s="53" t="s">
        <v>844</v>
      </c>
      <c r="C14" s="53" t="s">
        <v>840</v>
      </c>
      <c r="D14" s="53" t="s">
        <v>46</v>
      </c>
      <c r="E14" s="53" t="s">
        <v>46</v>
      </c>
    </row>
    <row r="16" spans="2:8" x14ac:dyDescent="0.2">
      <c r="B16" s="53" t="s">
        <v>845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848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849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855</v>
      </c>
      <c r="C26" s="53" t="s">
        <v>46</v>
      </c>
      <c r="D26" s="53" t="s">
        <v>46</v>
      </c>
      <c r="E26" s="53" t="s">
        <v>46</v>
      </c>
    </row>
  </sheetData>
  <sheetProtection algorithmName="SHA-512" hashValue="JLNQkVz//TeZW/Qq16yV1Umb1gytTxKsqIc9Z6mprRyYZqr08sy1IZsTaPo/ZuhxCUteEtkYOUMvFc1COkp0vQ==" saltValue="bgBRHjdt4ZGLtqLmIwqu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2026-06-24T07:02:36Z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