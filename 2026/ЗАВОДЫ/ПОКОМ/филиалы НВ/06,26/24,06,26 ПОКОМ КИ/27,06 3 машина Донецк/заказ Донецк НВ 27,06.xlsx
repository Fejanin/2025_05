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3E6C97E-82C5-4A0F-9E6B-8ED876ED31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9" i="1" l="1"/>
  <c r="X528" i="1"/>
  <c r="BO527" i="1"/>
  <c r="BM527" i="1"/>
  <c r="Y527" i="1"/>
  <c r="P527" i="1"/>
  <c r="X524" i="1"/>
  <c r="X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X510" i="1"/>
  <c r="X509" i="1"/>
  <c r="BO508" i="1"/>
  <c r="BM508" i="1"/>
  <c r="Y508" i="1"/>
  <c r="P508" i="1"/>
  <c r="X506" i="1"/>
  <c r="X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X490" i="1"/>
  <c r="X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BO475" i="1"/>
  <c r="BM475" i="1"/>
  <c r="Y475" i="1"/>
  <c r="P475" i="1"/>
  <c r="BO474" i="1"/>
  <c r="BM474" i="1"/>
  <c r="Y474" i="1"/>
  <c r="P474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X437" i="1"/>
  <c r="Y436" i="1"/>
  <c r="X436" i="1"/>
  <c r="BP435" i="1"/>
  <c r="BO435" i="1"/>
  <c r="BN435" i="1"/>
  <c r="BM435" i="1"/>
  <c r="Z435" i="1"/>
  <c r="Z436" i="1" s="1"/>
  <c r="Y435" i="1"/>
  <c r="Y437" i="1" s="1"/>
  <c r="P435" i="1"/>
  <c r="X433" i="1"/>
  <c r="X432" i="1"/>
  <c r="BO431" i="1"/>
  <c r="BM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X423" i="1"/>
  <c r="X422" i="1"/>
  <c r="BO421" i="1"/>
  <c r="BM421" i="1"/>
  <c r="Y421" i="1"/>
  <c r="P421" i="1"/>
  <c r="BO420" i="1"/>
  <c r="BM420" i="1"/>
  <c r="Y420" i="1"/>
  <c r="P420" i="1"/>
  <c r="X418" i="1"/>
  <c r="X417" i="1"/>
  <c r="BO416" i="1"/>
  <c r="BM416" i="1"/>
  <c r="Y416" i="1"/>
  <c r="P416" i="1"/>
  <c r="BO415" i="1"/>
  <c r="BM415" i="1"/>
  <c r="Y415" i="1"/>
  <c r="P415" i="1"/>
  <c r="BO414" i="1"/>
  <c r="BM414" i="1"/>
  <c r="Y414" i="1"/>
  <c r="Y417" i="1" s="1"/>
  <c r="P414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BO360" i="1"/>
  <c r="BM360" i="1"/>
  <c r="Y360" i="1"/>
  <c r="P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0" i="1"/>
  <c r="X309" i="1"/>
  <c r="BO308" i="1"/>
  <c r="BM308" i="1"/>
  <c r="Y308" i="1"/>
  <c r="BP308" i="1" s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BP304" i="1" s="1"/>
  <c r="P304" i="1"/>
  <c r="X302" i="1"/>
  <c r="X301" i="1"/>
  <c r="BO300" i="1"/>
  <c r="BM300" i="1"/>
  <c r="Y300" i="1"/>
  <c r="Y302" i="1" s="1"/>
  <c r="P300" i="1"/>
  <c r="X298" i="1"/>
  <c r="X297" i="1"/>
  <c r="BO296" i="1"/>
  <c r="BM296" i="1"/>
  <c r="Y296" i="1"/>
  <c r="Y298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BP281" i="1" s="1"/>
  <c r="P281" i="1"/>
  <c r="BO280" i="1"/>
  <c r="BM280" i="1"/>
  <c r="Y280" i="1"/>
  <c r="Y282" i="1" s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BP260" i="1" s="1"/>
  <c r="P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Y252" i="1" s="1"/>
  <c r="P249" i="1"/>
  <c r="X247" i="1"/>
  <c r="X246" i="1"/>
  <c r="BO245" i="1"/>
  <c r="BM245" i="1"/>
  <c r="Y245" i="1"/>
  <c r="BP245" i="1" s="1"/>
  <c r="P245" i="1"/>
  <c r="BO244" i="1"/>
  <c r="BM244" i="1"/>
  <c r="Y244" i="1"/>
  <c r="P244" i="1"/>
  <c r="X241" i="1"/>
  <c r="X240" i="1"/>
  <c r="BO239" i="1"/>
  <c r="BM239" i="1"/>
  <c r="Y239" i="1"/>
  <c r="P239" i="1"/>
  <c r="X237" i="1"/>
  <c r="X236" i="1"/>
  <c r="BO235" i="1"/>
  <c r="BM235" i="1"/>
  <c r="Y235" i="1"/>
  <c r="BP235" i="1" s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X231" i="1"/>
  <c r="X230" i="1"/>
  <c r="BO229" i="1"/>
  <c r="BM229" i="1"/>
  <c r="Y229" i="1"/>
  <c r="BP229" i="1" s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X209" i="1"/>
  <c r="Y208" i="1"/>
  <c r="X208" i="1"/>
  <c r="BP207" i="1"/>
  <c r="BO207" i="1"/>
  <c r="BN207" i="1"/>
  <c r="BM207" i="1"/>
  <c r="Z207" i="1"/>
  <c r="Z208" i="1" s="1"/>
  <c r="Y207" i="1"/>
  <c r="P207" i="1"/>
  <c r="X204" i="1"/>
  <c r="X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BP189" i="1" s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X167" i="1"/>
  <c r="X166" i="1"/>
  <c r="BO165" i="1"/>
  <c r="BM165" i="1"/>
  <c r="Y165" i="1"/>
  <c r="Y166" i="1" s="1"/>
  <c r="P165" i="1"/>
  <c r="X163" i="1"/>
  <c r="X162" i="1"/>
  <c r="BO161" i="1"/>
  <c r="BM161" i="1"/>
  <c r="Y161" i="1"/>
  <c r="BP161" i="1" s="1"/>
  <c r="P161" i="1"/>
  <c r="BO160" i="1"/>
  <c r="BM160" i="1"/>
  <c r="Y160" i="1"/>
  <c r="BP160" i="1" s="1"/>
  <c r="P160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I540" i="1" s="1"/>
  <c r="P152" i="1"/>
  <c r="X149" i="1"/>
  <c r="X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3" i="1"/>
  <c r="Y132" i="1"/>
  <c r="X132" i="1"/>
  <c r="BP131" i="1"/>
  <c r="BO131" i="1"/>
  <c r="BN131" i="1"/>
  <c r="BM131" i="1"/>
  <c r="Z131" i="1"/>
  <c r="Z132" i="1" s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40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P98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8" i="1"/>
  <c r="X87" i="1"/>
  <c r="BO86" i="1"/>
  <c r="BM86" i="1"/>
  <c r="Y86" i="1"/>
  <c r="BP86" i="1" s="1"/>
  <c r="P86" i="1"/>
  <c r="BO85" i="1"/>
  <c r="BM85" i="1"/>
  <c r="Y85" i="1"/>
  <c r="BP85" i="1" s="1"/>
  <c r="P85" i="1"/>
  <c r="X83" i="1"/>
  <c r="X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BP63" i="1" s="1"/>
  <c r="P63" i="1"/>
  <c r="X60" i="1"/>
  <c r="X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D540" i="1" s="1"/>
  <c r="P55" i="1"/>
  <c r="X51" i="1"/>
  <c r="X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BP47" i="1" s="1"/>
  <c r="P47" i="1"/>
  <c r="BO46" i="1"/>
  <c r="BM46" i="1"/>
  <c r="Y46" i="1"/>
  <c r="BP46" i="1" s="1"/>
  <c r="P46" i="1"/>
  <c r="X42" i="1"/>
  <c r="X41" i="1"/>
  <c r="BO40" i="1"/>
  <c r="BM40" i="1"/>
  <c r="Y40" i="1"/>
  <c r="Y42" i="1" s="1"/>
  <c r="P40" i="1"/>
  <c r="X38" i="1"/>
  <c r="X37" i="1"/>
  <c r="BO36" i="1"/>
  <c r="BM36" i="1"/>
  <c r="Y36" i="1"/>
  <c r="BP36" i="1" s="1"/>
  <c r="P36" i="1"/>
  <c r="BO35" i="1"/>
  <c r="BM35" i="1"/>
  <c r="Y35" i="1"/>
  <c r="BP35" i="1" s="1"/>
  <c r="P35" i="1"/>
  <c r="BO34" i="1"/>
  <c r="BM34" i="1"/>
  <c r="Y34" i="1"/>
  <c r="BP34" i="1" s="1"/>
  <c r="P34" i="1"/>
  <c r="BO33" i="1"/>
  <c r="BM33" i="1"/>
  <c r="Y33" i="1"/>
  <c r="BP33" i="1" s="1"/>
  <c r="P33" i="1"/>
  <c r="BP32" i="1"/>
  <c r="BO32" i="1"/>
  <c r="BN32" i="1"/>
  <c r="BM32" i="1"/>
  <c r="Z32" i="1"/>
  <c r="Y32" i="1"/>
  <c r="P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X26" i="1"/>
  <c r="X25" i="1"/>
  <c r="BO24" i="1"/>
  <c r="BM24" i="1"/>
  <c r="Y24" i="1"/>
  <c r="BP24" i="1" s="1"/>
  <c r="P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BP109" i="1" l="1"/>
  <c r="BN109" i="1"/>
  <c r="Z109" i="1"/>
  <c r="BP146" i="1"/>
  <c r="BN146" i="1"/>
  <c r="Z146" i="1"/>
  <c r="BP178" i="1"/>
  <c r="BN178" i="1"/>
  <c r="Z178" i="1"/>
  <c r="BP215" i="1"/>
  <c r="BN215" i="1"/>
  <c r="Z215" i="1"/>
  <c r="Y241" i="1"/>
  <c r="Y240" i="1"/>
  <c r="BP239" i="1"/>
  <c r="BN239" i="1"/>
  <c r="Z239" i="1"/>
  <c r="Z240" i="1" s="1"/>
  <c r="BP244" i="1"/>
  <c r="BN244" i="1"/>
  <c r="Z244" i="1"/>
  <c r="BP271" i="1"/>
  <c r="BN271" i="1"/>
  <c r="Z271" i="1"/>
  <c r="BP306" i="1"/>
  <c r="BN306" i="1"/>
  <c r="Z306" i="1"/>
  <c r="BP333" i="1"/>
  <c r="BN333" i="1"/>
  <c r="Z333" i="1"/>
  <c r="BP369" i="1"/>
  <c r="BN369" i="1"/>
  <c r="Z369" i="1"/>
  <c r="BP406" i="1"/>
  <c r="BN406" i="1"/>
  <c r="Z406" i="1"/>
  <c r="BP449" i="1"/>
  <c r="BN449" i="1"/>
  <c r="Z449" i="1"/>
  <c r="BP487" i="1"/>
  <c r="BN487" i="1"/>
  <c r="Z487" i="1"/>
  <c r="Z28" i="1"/>
  <c r="BN28" i="1"/>
  <c r="Z36" i="1"/>
  <c r="BN36" i="1"/>
  <c r="Z58" i="1"/>
  <c r="BN58" i="1"/>
  <c r="Z69" i="1"/>
  <c r="BN69" i="1"/>
  <c r="Y77" i="1"/>
  <c r="Z85" i="1"/>
  <c r="BN85" i="1"/>
  <c r="F540" i="1"/>
  <c r="BP94" i="1"/>
  <c r="BN94" i="1"/>
  <c r="Z94" i="1"/>
  <c r="BP125" i="1"/>
  <c r="BN125" i="1"/>
  <c r="Z125" i="1"/>
  <c r="BP170" i="1"/>
  <c r="BN170" i="1"/>
  <c r="Z170" i="1"/>
  <c r="BP200" i="1"/>
  <c r="BN200" i="1"/>
  <c r="Z200" i="1"/>
  <c r="BP223" i="1"/>
  <c r="BN223" i="1"/>
  <c r="Z223" i="1"/>
  <c r="BP258" i="1"/>
  <c r="BN258" i="1"/>
  <c r="Z258" i="1"/>
  <c r="BP288" i="1"/>
  <c r="BN288" i="1"/>
  <c r="Z288" i="1"/>
  <c r="BP322" i="1"/>
  <c r="BN322" i="1"/>
  <c r="Z322" i="1"/>
  <c r="BP353" i="1"/>
  <c r="BN353" i="1"/>
  <c r="Z353" i="1"/>
  <c r="BP383" i="1"/>
  <c r="BN383" i="1"/>
  <c r="Z383" i="1"/>
  <c r="BP416" i="1"/>
  <c r="BN416" i="1"/>
  <c r="Z416" i="1"/>
  <c r="BP420" i="1"/>
  <c r="BN420" i="1"/>
  <c r="Z420" i="1"/>
  <c r="BP475" i="1"/>
  <c r="BN475" i="1"/>
  <c r="Z475" i="1"/>
  <c r="BP513" i="1"/>
  <c r="BN513" i="1"/>
  <c r="Z513" i="1"/>
  <c r="Y102" i="1"/>
  <c r="Q540" i="1"/>
  <c r="BP324" i="1"/>
  <c r="BN324" i="1"/>
  <c r="Z324" i="1"/>
  <c r="Y339" i="1"/>
  <c r="BP337" i="1"/>
  <c r="BN337" i="1"/>
  <c r="Z337" i="1"/>
  <c r="BP359" i="1"/>
  <c r="BN359" i="1"/>
  <c r="Z359" i="1"/>
  <c r="BP371" i="1"/>
  <c r="BN371" i="1"/>
  <c r="Z371" i="1"/>
  <c r="BP389" i="1"/>
  <c r="BN389" i="1"/>
  <c r="Z389" i="1"/>
  <c r="BP408" i="1"/>
  <c r="BN408" i="1"/>
  <c r="Z408" i="1"/>
  <c r="BP431" i="1"/>
  <c r="BN431" i="1"/>
  <c r="Z431" i="1"/>
  <c r="BP451" i="1"/>
  <c r="BN451" i="1"/>
  <c r="Z451" i="1"/>
  <c r="BP477" i="1"/>
  <c r="BN477" i="1"/>
  <c r="Z477" i="1"/>
  <c r="BP493" i="1"/>
  <c r="BN493" i="1"/>
  <c r="Z493" i="1"/>
  <c r="Y519" i="1"/>
  <c r="Y518" i="1"/>
  <c r="BP517" i="1"/>
  <c r="BN517" i="1"/>
  <c r="Z517" i="1"/>
  <c r="Z518" i="1" s="1"/>
  <c r="Y523" i="1"/>
  <c r="BP521" i="1"/>
  <c r="BN521" i="1"/>
  <c r="Z521" i="1"/>
  <c r="Z24" i="1"/>
  <c r="BN24" i="1"/>
  <c r="X530" i="1"/>
  <c r="Y38" i="1"/>
  <c r="Z30" i="1"/>
  <c r="BN30" i="1"/>
  <c r="Z34" i="1"/>
  <c r="BN34" i="1"/>
  <c r="Z40" i="1"/>
  <c r="Z41" i="1" s="1"/>
  <c r="BN40" i="1"/>
  <c r="BP40" i="1"/>
  <c r="Y41" i="1"/>
  <c r="Z46" i="1"/>
  <c r="BN46" i="1"/>
  <c r="Z56" i="1"/>
  <c r="BN56" i="1"/>
  <c r="Z63" i="1"/>
  <c r="BN63" i="1"/>
  <c r="Z67" i="1"/>
  <c r="BN67" i="1"/>
  <c r="Z73" i="1"/>
  <c r="BN73" i="1"/>
  <c r="BP73" i="1"/>
  <c r="Z81" i="1"/>
  <c r="BN81" i="1"/>
  <c r="Y87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9" i="1"/>
  <c r="Z127" i="1"/>
  <c r="BN127" i="1"/>
  <c r="H540" i="1"/>
  <c r="Z142" i="1"/>
  <c r="BN142" i="1"/>
  <c r="Y148" i="1"/>
  <c r="Z153" i="1"/>
  <c r="BN153" i="1"/>
  <c r="Z160" i="1"/>
  <c r="BN160" i="1"/>
  <c r="Y180" i="1"/>
  <c r="Z172" i="1"/>
  <c r="BN172" i="1"/>
  <c r="Z176" i="1"/>
  <c r="BN176" i="1"/>
  <c r="Z182" i="1"/>
  <c r="BN182" i="1"/>
  <c r="BP182" i="1"/>
  <c r="Z188" i="1"/>
  <c r="BN188" i="1"/>
  <c r="BP188" i="1"/>
  <c r="K540" i="1"/>
  <c r="Z202" i="1"/>
  <c r="BN202" i="1"/>
  <c r="Y225" i="1"/>
  <c r="Z213" i="1"/>
  <c r="BN213" i="1"/>
  <c r="Z217" i="1"/>
  <c r="BN217" i="1"/>
  <c r="Z221" i="1"/>
  <c r="BN221" i="1"/>
  <c r="Z229" i="1"/>
  <c r="BN229" i="1"/>
  <c r="Y237" i="1"/>
  <c r="Z235" i="1"/>
  <c r="BN235" i="1"/>
  <c r="Z250" i="1"/>
  <c r="BN250" i="1"/>
  <c r="Y262" i="1"/>
  <c r="Z256" i="1"/>
  <c r="BN256" i="1"/>
  <c r="Z260" i="1"/>
  <c r="BN260" i="1"/>
  <c r="Y277" i="1"/>
  <c r="Z268" i="1"/>
  <c r="BN268" i="1"/>
  <c r="Z269" i="1"/>
  <c r="BN269" i="1"/>
  <c r="Z273" i="1"/>
  <c r="BN273" i="1"/>
  <c r="Z281" i="1"/>
  <c r="BN281" i="1"/>
  <c r="Z286" i="1"/>
  <c r="BN286" i="1"/>
  <c r="Z290" i="1"/>
  <c r="BN290" i="1"/>
  <c r="Z296" i="1"/>
  <c r="Z297" i="1" s="1"/>
  <c r="BN296" i="1"/>
  <c r="BP296" i="1"/>
  <c r="Y297" i="1"/>
  <c r="Z300" i="1"/>
  <c r="Z301" i="1" s="1"/>
  <c r="BN300" i="1"/>
  <c r="BP300" i="1"/>
  <c r="Y301" i="1"/>
  <c r="Z304" i="1"/>
  <c r="BN304" i="1"/>
  <c r="Z308" i="1"/>
  <c r="BN308" i="1"/>
  <c r="Z315" i="1"/>
  <c r="BN315" i="1"/>
  <c r="BP317" i="1"/>
  <c r="BN317" i="1"/>
  <c r="Z317" i="1"/>
  <c r="BP331" i="1"/>
  <c r="BN331" i="1"/>
  <c r="Z331" i="1"/>
  <c r="BP351" i="1"/>
  <c r="BN351" i="1"/>
  <c r="Z351" i="1"/>
  <c r="BP363" i="1"/>
  <c r="BN363" i="1"/>
  <c r="Z363" i="1"/>
  <c r="BP377" i="1"/>
  <c r="BN377" i="1"/>
  <c r="Z377" i="1"/>
  <c r="BP381" i="1"/>
  <c r="BN381" i="1"/>
  <c r="Z381" i="1"/>
  <c r="BP404" i="1"/>
  <c r="BN404" i="1"/>
  <c r="Z404" i="1"/>
  <c r="Y418" i="1"/>
  <c r="BP414" i="1"/>
  <c r="BN414" i="1"/>
  <c r="Z414" i="1"/>
  <c r="BP441" i="1"/>
  <c r="BN441" i="1"/>
  <c r="Z441" i="1"/>
  <c r="BP447" i="1"/>
  <c r="BN447" i="1"/>
  <c r="Z447" i="1"/>
  <c r="Y464" i="1"/>
  <c r="Y540" i="1"/>
  <c r="Y463" i="1"/>
  <c r="BP462" i="1"/>
  <c r="BN462" i="1"/>
  <c r="Z462" i="1"/>
  <c r="Z463" i="1" s="1"/>
  <c r="BP467" i="1"/>
  <c r="BN467" i="1"/>
  <c r="Z467" i="1"/>
  <c r="BP481" i="1"/>
  <c r="BN481" i="1"/>
  <c r="Z481" i="1"/>
  <c r="BP497" i="1"/>
  <c r="BN497" i="1"/>
  <c r="Z497" i="1"/>
  <c r="Y379" i="1"/>
  <c r="Y378" i="1"/>
  <c r="Y443" i="1"/>
  <c r="Y442" i="1"/>
  <c r="Y25" i="1"/>
  <c r="Y37" i="1"/>
  <c r="Y78" i="1"/>
  <c r="Y82" i="1"/>
  <c r="Y139" i="1"/>
  <c r="Y156" i="1"/>
  <c r="Y163" i="1"/>
  <c r="Y179" i="1"/>
  <c r="Y185" i="1"/>
  <c r="Y195" i="1"/>
  <c r="Y203" i="1"/>
  <c r="Y226" i="1"/>
  <c r="Y230" i="1"/>
  <c r="Y236" i="1"/>
  <c r="Y247" i="1"/>
  <c r="Y251" i="1"/>
  <c r="Y263" i="1"/>
  <c r="BP270" i="1"/>
  <c r="BN270" i="1"/>
  <c r="Z270" i="1"/>
  <c r="BP274" i="1"/>
  <c r="BN274" i="1"/>
  <c r="Z274" i="1"/>
  <c r="BP287" i="1"/>
  <c r="BN287" i="1"/>
  <c r="Z287" i="1"/>
  <c r="BP291" i="1"/>
  <c r="BN291" i="1"/>
  <c r="Z291" i="1"/>
  <c r="BP307" i="1"/>
  <c r="BN307" i="1"/>
  <c r="Z307" i="1"/>
  <c r="BP332" i="1"/>
  <c r="BN332" i="1"/>
  <c r="Z332" i="1"/>
  <c r="BP382" i="1"/>
  <c r="BN382" i="1"/>
  <c r="Z382" i="1"/>
  <c r="Y386" i="1"/>
  <c r="BP390" i="1"/>
  <c r="BN390" i="1"/>
  <c r="Z390" i="1"/>
  <c r="Y392" i="1"/>
  <c r="Y398" i="1"/>
  <c r="BP395" i="1"/>
  <c r="BN395" i="1"/>
  <c r="Z395" i="1"/>
  <c r="U540" i="1"/>
  <c r="Y399" i="1"/>
  <c r="BP405" i="1"/>
  <c r="BN405" i="1"/>
  <c r="Z405" i="1"/>
  <c r="BP409" i="1"/>
  <c r="BN409" i="1"/>
  <c r="Z409" i="1"/>
  <c r="BP448" i="1"/>
  <c r="BN448" i="1"/>
  <c r="Z448" i="1"/>
  <c r="BP452" i="1"/>
  <c r="BN452" i="1"/>
  <c r="Z452" i="1"/>
  <c r="Y454" i="1"/>
  <c r="Y459" i="1"/>
  <c r="BP456" i="1"/>
  <c r="BN456" i="1"/>
  <c r="Z456" i="1"/>
  <c r="Z458" i="1" s="1"/>
  <c r="Y458" i="1"/>
  <c r="Y51" i="1"/>
  <c r="Y59" i="1"/>
  <c r="Y70" i="1"/>
  <c r="Y88" i="1"/>
  <c r="Y95" i="1"/>
  <c r="Y103" i="1"/>
  <c r="Y114" i="1"/>
  <c r="Y122" i="1"/>
  <c r="Y128" i="1"/>
  <c r="Y143" i="1"/>
  <c r="Y149" i="1"/>
  <c r="Y167" i="1"/>
  <c r="Y191" i="1"/>
  <c r="H9" i="1"/>
  <c r="B540" i="1"/>
  <c r="X531" i="1"/>
  <c r="X532" i="1"/>
  <c r="Z23" i="1"/>
  <c r="BN23" i="1"/>
  <c r="X534" i="1"/>
  <c r="Y26" i="1"/>
  <c r="Z29" i="1"/>
  <c r="BN29" i="1"/>
  <c r="Z31" i="1"/>
  <c r="BN31" i="1"/>
  <c r="Z33" i="1"/>
  <c r="BN33" i="1"/>
  <c r="Z35" i="1"/>
  <c r="BN35" i="1"/>
  <c r="C540" i="1"/>
  <c r="Z47" i="1"/>
  <c r="BN47" i="1"/>
  <c r="Z49" i="1"/>
  <c r="BN49" i="1"/>
  <c r="Y50" i="1"/>
  <c r="Z55" i="1"/>
  <c r="BN55" i="1"/>
  <c r="BP55" i="1"/>
  <c r="Z57" i="1"/>
  <c r="BN57" i="1"/>
  <c r="Y60" i="1"/>
  <c r="E540" i="1"/>
  <c r="Z64" i="1"/>
  <c r="BN64" i="1"/>
  <c r="Z66" i="1"/>
  <c r="BN66" i="1"/>
  <c r="Z68" i="1"/>
  <c r="BN68" i="1"/>
  <c r="Y71" i="1"/>
  <c r="Z74" i="1"/>
  <c r="BN74" i="1"/>
  <c r="Z76" i="1"/>
  <c r="BN76" i="1"/>
  <c r="Z80" i="1"/>
  <c r="Z82" i="1" s="1"/>
  <c r="BN80" i="1"/>
  <c r="BP80" i="1"/>
  <c r="Z86" i="1"/>
  <c r="Z87" i="1" s="1"/>
  <c r="BN86" i="1"/>
  <c r="Z91" i="1"/>
  <c r="BN91" i="1"/>
  <c r="BP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BN124" i="1"/>
  <c r="BP124" i="1"/>
  <c r="Z126" i="1"/>
  <c r="BN126" i="1"/>
  <c r="Z137" i="1"/>
  <c r="Z138" i="1" s="1"/>
  <c r="BN137" i="1"/>
  <c r="Y138" i="1"/>
  <c r="Z141" i="1"/>
  <c r="BN141" i="1"/>
  <c r="BP141" i="1"/>
  <c r="Z147" i="1"/>
  <c r="Z148" i="1" s="1"/>
  <c r="BN147" i="1"/>
  <c r="Z152" i="1"/>
  <c r="BN152" i="1"/>
  <c r="BP152" i="1"/>
  <c r="Z154" i="1"/>
  <c r="BN154" i="1"/>
  <c r="Y157" i="1"/>
  <c r="J540" i="1"/>
  <c r="Z161" i="1"/>
  <c r="Z162" i="1" s="1"/>
  <c r="BN161" i="1"/>
  <c r="Y162" i="1"/>
  <c r="Z165" i="1"/>
  <c r="Z166" i="1" s="1"/>
  <c r="BN165" i="1"/>
  <c r="BP165" i="1"/>
  <c r="Z169" i="1"/>
  <c r="BN169" i="1"/>
  <c r="BP169" i="1"/>
  <c r="Z171" i="1"/>
  <c r="BN171" i="1"/>
  <c r="Z173" i="1"/>
  <c r="BN173" i="1"/>
  <c r="Z175" i="1"/>
  <c r="BN175" i="1"/>
  <c r="Z177" i="1"/>
  <c r="BN177" i="1"/>
  <c r="Z183" i="1"/>
  <c r="Z185" i="1" s="1"/>
  <c r="BN183" i="1"/>
  <c r="Z189" i="1"/>
  <c r="BN189" i="1"/>
  <c r="Z193" i="1"/>
  <c r="Z194" i="1" s="1"/>
  <c r="BN193" i="1"/>
  <c r="BP193" i="1"/>
  <c r="Z199" i="1"/>
  <c r="BN199" i="1"/>
  <c r="BP199" i="1"/>
  <c r="Z201" i="1"/>
  <c r="BN201" i="1"/>
  <c r="Y204" i="1"/>
  <c r="L540" i="1"/>
  <c r="Y209" i="1"/>
  <c r="Z212" i="1"/>
  <c r="BN212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8" i="1"/>
  <c r="BN228" i="1"/>
  <c r="BP228" i="1"/>
  <c r="Z234" i="1"/>
  <c r="BN234" i="1"/>
  <c r="M540" i="1"/>
  <c r="Z245" i="1"/>
  <c r="BN245" i="1"/>
  <c r="Y246" i="1"/>
  <c r="Z249" i="1"/>
  <c r="BN249" i="1"/>
  <c r="BP249" i="1"/>
  <c r="Z255" i="1"/>
  <c r="BN255" i="1"/>
  <c r="Z257" i="1"/>
  <c r="BN257" i="1"/>
  <c r="Z259" i="1"/>
  <c r="BN259" i="1"/>
  <c r="Z261" i="1"/>
  <c r="BN261" i="1"/>
  <c r="Z265" i="1"/>
  <c r="BN265" i="1"/>
  <c r="BP265" i="1"/>
  <c r="Z267" i="1"/>
  <c r="BN267" i="1"/>
  <c r="BP272" i="1"/>
  <c r="BN272" i="1"/>
  <c r="Z272" i="1"/>
  <c r="BP276" i="1"/>
  <c r="BN276" i="1"/>
  <c r="Z276" i="1"/>
  <c r="Y278" i="1"/>
  <c r="Y283" i="1"/>
  <c r="BP280" i="1"/>
  <c r="BN280" i="1"/>
  <c r="Z280" i="1"/>
  <c r="BP289" i="1"/>
  <c r="BN289" i="1"/>
  <c r="Z289" i="1"/>
  <c r="Y293" i="1"/>
  <c r="BP305" i="1"/>
  <c r="BN305" i="1"/>
  <c r="Z305" i="1"/>
  <c r="Z309" i="1" s="1"/>
  <c r="Y309" i="1"/>
  <c r="BP314" i="1"/>
  <c r="BN314" i="1"/>
  <c r="Z314" i="1"/>
  <c r="Y318" i="1"/>
  <c r="BP323" i="1"/>
  <c r="BN323" i="1"/>
  <c r="Z323" i="1"/>
  <c r="Z325" i="1" s="1"/>
  <c r="Y325" i="1"/>
  <c r="BP345" i="1"/>
  <c r="BN345" i="1"/>
  <c r="Z345" i="1"/>
  <c r="Y347" i="1"/>
  <c r="T540" i="1"/>
  <c r="Y355" i="1"/>
  <c r="BP350" i="1"/>
  <c r="BN350" i="1"/>
  <c r="Z350" i="1"/>
  <c r="BP354" i="1"/>
  <c r="BN354" i="1"/>
  <c r="Z354" i="1"/>
  <c r="Y356" i="1"/>
  <c r="Y365" i="1"/>
  <c r="BP358" i="1"/>
  <c r="BN358" i="1"/>
  <c r="Z358" i="1"/>
  <c r="Y366" i="1"/>
  <c r="BP362" i="1"/>
  <c r="BN362" i="1"/>
  <c r="Z362" i="1"/>
  <c r="BP370" i="1"/>
  <c r="BN370" i="1"/>
  <c r="Z370" i="1"/>
  <c r="BP421" i="1"/>
  <c r="BN421" i="1"/>
  <c r="Z421" i="1"/>
  <c r="Z422" i="1" s="1"/>
  <c r="Y423" i="1"/>
  <c r="Y426" i="1"/>
  <c r="BP425" i="1"/>
  <c r="BN425" i="1"/>
  <c r="Z425" i="1"/>
  <c r="Z426" i="1" s="1"/>
  <c r="Y427" i="1"/>
  <c r="W540" i="1"/>
  <c r="Y433" i="1"/>
  <c r="BP430" i="1"/>
  <c r="BN430" i="1"/>
  <c r="Z430" i="1"/>
  <c r="Y432" i="1"/>
  <c r="O540" i="1"/>
  <c r="Y294" i="1"/>
  <c r="Y310" i="1"/>
  <c r="BP316" i="1"/>
  <c r="BN316" i="1"/>
  <c r="Z316" i="1"/>
  <c r="Y326" i="1"/>
  <c r="BP330" i="1"/>
  <c r="BN330" i="1"/>
  <c r="Z330" i="1"/>
  <c r="Z334" i="1" s="1"/>
  <c r="Y334" i="1"/>
  <c r="BP338" i="1"/>
  <c r="BN338" i="1"/>
  <c r="Z338" i="1"/>
  <c r="Z339" i="1" s="1"/>
  <c r="Y340" i="1"/>
  <c r="S540" i="1"/>
  <c r="Y346" i="1"/>
  <c r="BP343" i="1"/>
  <c r="BN343" i="1"/>
  <c r="Z343" i="1"/>
  <c r="Z346" i="1" s="1"/>
  <c r="BP352" i="1"/>
  <c r="BN352" i="1"/>
  <c r="Z352" i="1"/>
  <c r="BP360" i="1"/>
  <c r="BN360" i="1"/>
  <c r="Z360" i="1"/>
  <c r="BP364" i="1"/>
  <c r="BN364" i="1"/>
  <c r="Z364" i="1"/>
  <c r="Y373" i="1"/>
  <c r="BP368" i="1"/>
  <c r="BN368" i="1"/>
  <c r="Z368" i="1"/>
  <c r="Y372" i="1"/>
  <c r="BP376" i="1"/>
  <c r="BN376" i="1"/>
  <c r="Z376" i="1"/>
  <c r="Y385" i="1"/>
  <c r="BP384" i="1"/>
  <c r="BN384" i="1"/>
  <c r="Z384" i="1"/>
  <c r="Y391" i="1"/>
  <c r="BP388" i="1"/>
  <c r="BN388" i="1"/>
  <c r="Z388" i="1"/>
  <c r="BP397" i="1"/>
  <c r="BN397" i="1"/>
  <c r="Z397" i="1"/>
  <c r="V540" i="1"/>
  <c r="Y412" i="1"/>
  <c r="BP403" i="1"/>
  <c r="BN403" i="1"/>
  <c r="Z403" i="1"/>
  <c r="BP407" i="1"/>
  <c r="BN407" i="1"/>
  <c r="Z407" i="1"/>
  <c r="Y411" i="1"/>
  <c r="BP415" i="1"/>
  <c r="BN415" i="1"/>
  <c r="Z415" i="1"/>
  <c r="Z417" i="1" s="1"/>
  <c r="Y422" i="1"/>
  <c r="Z442" i="1"/>
  <c r="BP440" i="1"/>
  <c r="BN440" i="1"/>
  <c r="Z440" i="1"/>
  <c r="BP450" i="1"/>
  <c r="BN450" i="1"/>
  <c r="Z450" i="1"/>
  <c r="BP468" i="1"/>
  <c r="BN468" i="1"/>
  <c r="Z468" i="1"/>
  <c r="Y470" i="1"/>
  <c r="Z540" i="1"/>
  <c r="Y483" i="1"/>
  <c r="BP474" i="1"/>
  <c r="BN474" i="1"/>
  <c r="Z474" i="1"/>
  <c r="BP478" i="1"/>
  <c r="BN478" i="1"/>
  <c r="Z478" i="1"/>
  <c r="BP482" i="1"/>
  <c r="BN482" i="1"/>
  <c r="Z482" i="1"/>
  <c r="Y484" i="1"/>
  <c r="Y489" i="1"/>
  <c r="BP486" i="1"/>
  <c r="BN486" i="1"/>
  <c r="Z486" i="1"/>
  <c r="Y490" i="1"/>
  <c r="BP494" i="1"/>
  <c r="BN494" i="1"/>
  <c r="Z494" i="1"/>
  <c r="BP498" i="1"/>
  <c r="BN498" i="1"/>
  <c r="Z498" i="1"/>
  <c r="Y500" i="1"/>
  <c r="Y505" i="1"/>
  <c r="BP504" i="1"/>
  <c r="BN504" i="1"/>
  <c r="Z504" i="1"/>
  <c r="Z505" i="1" s="1"/>
  <c r="AA540" i="1"/>
  <c r="Y506" i="1"/>
  <c r="Y509" i="1"/>
  <c r="BP508" i="1"/>
  <c r="BN508" i="1"/>
  <c r="Z508" i="1"/>
  <c r="Z509" i="1" s="1"/>
  <c r="Y510" i="1"/>
  <c r="Y515" i="1"/>
  <c r="BP512" i="1"/>
  <c r="BN512" i="1"/>
  <c r="Z512" i="1"/>
  <c r="Z514" i="1" s="1"/>
  <c r="Y514" i="1"/>
  <c r="P540" i="1"/>
  <c r="Y319" i="1"/>
  <c r="R540" i="1"/>
  <c r="Y335" i="1"/>
  <c r="X540" i="1"/>
  <c r="Y453" i="1"/>
  <c r="Y469" i="1"/>
  <c r="BP466" i="1"/>
  <c r="BN466" i="1"/>
  <c r="Z466" i="1"/>
  <c r="Z469" i="1" s="1"/>
  <c r="BP476" i="1"/>
  <c r="BN476" i="1"/>
  <c r="Z476" i="1"/>
  <c r="BP480" i="1"/>
  <c r="BN480" i="1"/>
  <c r="Z480" i="1"/>
  <c r="BP488" i="1"/>
  <c r="BN488" i="1"/>
  <c r="Z488" i="1"/>
  <c r="Y499" i="1"/>
  <c r="BP492" i="1"/>
  <c r="BN492" i="1"/>
  <c r="Z492" i="1"/>
  <c r="BP496" i="1"/>
  <c r="BN496" i="1"/>
  <c r="Z496" i="1"/>
  <c r="BP522" i="1"/>
  <c r="BN522" i="1"/>
  <c r="Z522" i="1"/>
  <c r="Y524" i="1"/>
  <c r="AB540" i="1"/>
  <c r="Y528" i="1"/>
  <c r="BP527" i="1"/>
  <c r="BN527" i="1"/>
  <c r="Z527" i="1"/>
  <c r="Z528" i="1" s="1"/>
  <c r="Y529" i="1"/>
  <c r="Z246" i="1" l="1"/>
  <c r="Z230" i="1"/>
  <c r="Z203" i="1"/>
  <c r="Z179" i="1"/>
  <c r="Z143" i="1"/>
  <c r="Z128" i="1"/>
  <c r="Z59" i="1"/>
  <c r="Z25" i="1"/>
  <c r="Z262" i="1"/>
  <c r="Z225" i="1"/>
  <c r="Z77" i="1"/>
  <c r="Y532" i="1"/>
  <c r="Z37" i="1"/>
  <c r="Z523" i="1"/>
  <c r="Z499" i="1"/>
  <c r="Z411" i="1"/>
  <c r="Z391" i="1"/>
  <c r="Z378" i="1"/>
  <c r="Z432" i="1"/>
  <c r="Z318" i="1"/>
  <c r="Z282" i="1"/>
  <c r="Z251" i="1"/>
  <c r="Z236" i="1"/>
  <c r="Z190" i="1"/>
  <c r="Z102" i="1"/>
  <c r="Z70" i="1"/>
  <c r="Z50" i="1"/>
  <c r="Y531" i="1"/>
  <c r="Z453" i="1"/>
  <c r="Z385" i="1"/>
  <c r="Z293" i="1"/>
  <c r="Y533" i="1"/>
  <c r="Z277" i="1"/>
  <c r="X533" i="1"/>
  <c r="Z398" i="1"/>
  <c r="Z489" i="1"/>
  <c r="Z483" i="1"/>
  <c r="Z372" i="1"/>
  <c r="Z365" i="1"/>
  <c r="Z355" i="1"/>
  <c r="Z156" i="1"/>
  <c r="Z121" i="1"/>
  <c r="Z113" i="1"/>
  <c r="Z95" i="1"/>
  <c r="Z535" i="1" s="1"/>
  <c r="Y530" i="1"/>
  <c r="Y534" i="1"/>
</calcChain>
</file>

<file path=xl/sharedStrings.xml><?xml version="1.0" encoding="utf-8"?>
<sst xmlns="http://schemas.openxmlformats.org/spreadsheetml/2006/main" count="2386" uniqueCount="869">
  <si>
    <t xml:space="preserve">  БЛАНК ЗАКАЗА </t>
  </si>
  <si>
    <t>КИ</t>
  </si>
  <si>
    <t>на отгрузку продукции с ООО Трейд-Сервис с</t>
  </si>
  <si>
    <t>22.06.2026</t>
  </si>
  <si>
    <t>бланк создан</t>
  </si>
  <si>
    <t>17.06.2026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</si>
  <si>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</si>
  <si>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</si>
  <si>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</si>
  <si>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</si>
  <si>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загрузить отдельно, подписать №1, машина 8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</si>
  <si>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</si>
  <si>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</si>
  <si>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</si>
  <si>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</si>
  <si>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</si>
  <si>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</si>
  <si>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</si>
  <si>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</si>
  <si>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</si>
  <si>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</si>
  <si>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</si>
  <si>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</si>
  <si>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</si>
  <si>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</si>
  <si>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</si>
  <si>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</si>
  <si>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</si>
  <si>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</si>
  <si>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</si>
  <si>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</si>
  <si>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</si>
  <si>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</si>
  <si>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</si>
  <si>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</si>
  <si>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</si>
  <si>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</si>
  <si>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</si>
  <si>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</si>
  <si>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</si>
  <si>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</si>
  <si>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</si>
  <si>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</si>
  <si>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</si>
  <si>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</si>
  <si>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</si>
  <si>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</si>
  <si>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</si>
  <si>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</si>
  <si>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</si>
  <si>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</si>
  <si>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</si>
  <si>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</si>
  <si>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</si>
  <si>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</si>
  <si>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</si>
  <si>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</si>
  <si>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</si>
  <si>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</si>
  <si>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</si>
  <si>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</si>
  <si>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</si>
  <si>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</si>
  <si>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</si>
  <si>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</si>
  <si>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</si>
  <si>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</si>
  <si>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</si>
  <si>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</si>
  <si>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</si>
  <si>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</si>
  <si>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</si>
  <si>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</si>
  <si>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</si>
  <si>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</si>
  <si>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</si>
  <si>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</si>
  <si>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</si>
  <si>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</si>
  <si>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</si>
  <si>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</si>
  <si>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</si>
  <si>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</si>
  <si>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</si>
  <si>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</si>
  <si>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</si>
  <si>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</si>
  <si>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</si>
  <si>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</si>
  <si>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</si>
  <si>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</si>
  <si>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</si>
  <si>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</si>
  <si>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</si>
  <si>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</si>
  <si>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</si>
  <si>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</si>
  <si>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</si>
  <si>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</si>
  <si>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</si>
  <si>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</si>
  <si>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</si>
  <si>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</si>
  <si>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</si>
  <si>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</si>
  <si>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</si>
  <si>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</si>
  <si>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</si>
  <si>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</si>
  <si>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</si>
  <si>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</si>
  <si>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</si>
  <si>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</si>
  <si>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</si>
  <si>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</si>
  <si>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</si>
  <si>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</si>
  <si>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</si>
  <si>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</si>
  <si>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</si>
  <si>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</si>
  <si>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</si>
  <si>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</si>
  <si>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</si>
  <si>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</si>
  <si>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</si>
  <si>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</si>
  <si>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</si>
  <si>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</si>
  <si>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</si>
  <si>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</si>
  <si>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</si>
  <si>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</si>
  <si>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</si>
  <si>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</si>
  <si>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</si>
  <si>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</si>
  <si>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</si>
  <si>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</si>
  <si>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</si>
  <si>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</si>
  <si>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</si>
  <si>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</si>
  <si>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</si>
  <si>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</si>
  <si>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</si>
  <si>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</si>
  <si>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</si>
  <si>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</si>
  <si>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</si>
  <si>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</si>
  <si>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</si>
  <si>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</si>
  <si>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</si>
  <si>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</si>
  <si>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</si>
  <si>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</si>
  <si>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</si>
  <si>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</si>
  <si>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</si>
  <si>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</si>
  <si>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</si>
  <si>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</si>
  <si>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</si>
  <si>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</si>
  <si>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</si>
  <si>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</si>
  <si>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</si>
  <si>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</si>
  <si>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</si>
  <si>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</si>
  <si>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</si>
  <si>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</si>
  <si>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</si>
  <si>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</si>
  <si>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</si>
  <si>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</si>
  <si>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</si>
  <si>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</si>
  <si>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</si>
  <si>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</si>
  <si>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</si>
  <si>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</si>
  <si>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</si>
  <si>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</si>
  <si>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</si>
  <si>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</si>
  <si>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</si>
  <si>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</si>
  <si>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</si>
  <si>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</si>
  <si>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</si>
  <si>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</si>
  <si>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</si>
  <si>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</si>
  <si>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</si>
  <si>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</si>
  <si>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</si>
  <si>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</si>
  <si>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</si>
  <si>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</si>
  <si>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</si>
  <si>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</si>
  <si>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</si>
  <si>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</si>
  <si>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</si>
  <si>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</si>
  <si>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</si>
  <si>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</si>
  <si>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</si>
  <si>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</si>
  <si>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</si>
  <si>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</si>
  <si>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</si>
  <si>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</si>
  <si>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</si>
  <si>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</si>
  <si>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</si>
  <si>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</si>
  <si>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</si>
  <si>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</si>
  <si>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</si>
  <si>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</si>
  <si>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</si>
  <si>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</si>
  <si>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</si>
  <si>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</si>
  <si>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</si>
  <si>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</si>
  <si>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</si>
  <si>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</si>
  <si>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</si>
  <si>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</si>
  <si>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</si>
  <si>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</si>
  <si>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</si>
  <si>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</si>
  <si>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</si>
  <si>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</si>
  <si>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</si>
  <si>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</si>
  <si>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</si>
  <si>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</si>
  <si>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</si>
  <si>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</si>
  <si>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</si>
  <si>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</si>
  <si>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</si>
  <si>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</si>
  <si>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</si>
  <si>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</si>
  <si>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</si>
  <si>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</si>
  <si>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</si>
  <si>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</si>
  <si>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</si>
  <si>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</si>
  <si>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</si>
  <si>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</si>
  <si>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</si>
  <si>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</si>
  <si>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</si>
  <si>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</si>
  <si>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</si>
  <si>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</si>
  <si>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</si>
  <si>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</si>
  <si>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</si>
  <si>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</si>
  <si>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</si>
  <si>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</si>
  <si>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</si>
  <si>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</si>
  <si>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</si>
  <si>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</si>
  <si>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</si>
  <si>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</si>
  <si>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</si>
  <si>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</si>
  <si>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</si>
  <si>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</si>
  <si>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</si>
  <si>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</si>
  <si>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</si>
  <si>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</si>
  <si>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</si>
  <si>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</si>
  <si>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</si>
  <si>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</si>
  <si>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</si>
  <si>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</si>
  <si>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</si>
  <si>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</si>
  <si>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</si>
  <si>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</si>
  <si>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</si>
  <si>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</si>
  <si>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</si>
  <si>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</si>
  <si>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</si>
  <si>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</si>
  <si>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</si>
  <si>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</si>
  <si>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</si>
  <si>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</si>
  <si>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</si>
  <si>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</si>
  <si>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</si>
  <si>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</si>
  <si>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</si>
  <si>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</si>
  <si>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</si>
  <si>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</si>
  <si>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</si>
  <si>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</si>
  <si>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Новинка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</si>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</sst>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7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43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topLeftCell="A514" zoomScaleNormal="100" zoomScaleSheetLayoutView="100" workbookViewId="0">
      <selection activeCell="AA536" sqref="AA536"/>
    </sheetView>
  </sheetViews>
  <sheetFormatPr defaultColWidth="9.140625" defaultRowHeight="12.75" x14ac:dyDescent="0.2"/>
  <cols>
    <col min="1" max="1" width="9.140625" style="59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7" customWidth="1"/>
    <col min="19" max="19" width="6.140625" style="59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7" customWidth="1"/>
    <col min="25" max="25" width="11" style="597" customWidth="1"/>
    <col min="26" max="26" width="10" style="597" customWidth="1"/>
    <col min="27" max="27" width="11.5703125" style="597" customWidth="1"/>
    <col min="28" max="28" width="10.42578125" style="597" customWidth="1"/>
    <col min="29" max="29" width="30" style="59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7" customWidth="1"/>
    <col min="34" max="34" width="9.140625" style="597" customWidth="1"/>
    <col min="35" max="16384" width="9.140625" style="597"/>
  </cols>
  <sheetData>
    <row r="1" spans="1:32" s="593" customFormat="1" ht="45" customHeight="1" x14ac:dyDescent="0.2">
      <c r="A1" s="41"/>
      <c r="B1" s="41"/>
      <c r="C1" s="41"/>
      <c r="D1" s="685" t="s">
        <v>0</v>
      </c>
      <c r="E1" s="632"/>
      <c r="F1" s="632"/>
      <c r="G1" s="12" t="s">
        <v>1</v>
      </c>
      <c r="H1" s="685" t="s">
        <v>2</v>
      </c>
      <c r="I1" s="632"/>
      <c r="J1" s="632"/>
      <c r="K1" s="632"/>
      <c r="L1" s="632"/>
      <c r="M1" s="632"/>
      <c r="N1" s="632"/>
      <c r="O1" s="632"/>
      <c r="P1" s="632"/>
      <c r="Q1" s="632"/>
      <c r="R1" s="631" t="s">
        <v>3</v>
      </c>
      <c r="S1" s="632"/>
      <c r="T1" s="63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2"/>
      <c r="R2" s="612"/>
      <c r="S2" s="612"/>
      <c r="T2" s="612"/>
      <c r="U2" s="612"/>
      <c r="V2" s="612"/>
      <c r="W2" s="612"/>
      <c r="X2" s="16"/>
      <c r="Y2" s="16"/>
      <c r="Z2" s="16"/>
      <c r="AA2" s="16"/>
      <c r="AB2" s="51"/>
      <c r="AC2" s="51"/>
      <c r="AD2" s="51"/>
      <c r="AE2" s="51"/>
    </row>
    <row r="3" spans="1:32" s="59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2"/>
      <c r="Q3" s="612"/>
      <c r="R3" s="612"/>
      <c r="S3" s="612"/>
      <c r="T3" s="612"/>
      <c r="U3" s="612"/>
      <c r="V3" s="612"/>
      <c r="W3" s="612"/>
      <c r="X3" s="16"/>
      <c r="Y3" s="16"/>
      <c r="Z3" s="16"/>
      <c r="AA3" s="16"/>
      <c r="AB3" s="51"/>
      <c r="AC3" s="51"/>
      <c r="AD3" s="51"/>
      <c r="AE3" s="51"/>
    </row>
    <row r="4" spans="1:32" s="59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3" customFormat="1" ht="23.45" customHeight="1" x14ac:dyDescent="0.2">
      <c r="A5" s="735" t="s">
        <v>8</v>
      </c>
      <c r="B5" s="647"/>
      <c r="C5" s="648"/>
      <c r="D5" s="692"/>
      <c r="E5" s="693"/>
      <c r="F5" s="908" t="s">
        <v>9</v>
      </c>
      <c r="G5" s="648"/>
      <c r="H5" s="692" t="s">
        <v>10</v>
      </c>
      <c r="I5" s="854"/>
      <c r="J5" s="854"/>
      <c r="K5" s="854"/>
      <c r="L5" s="854"/>
      <c r="M5" s="693"/>
      <c r="N5" s="58"/>
      <c r="P5" s="24" t="s">
        <v>11</v>
      </c>
      <c r="Q5" s="920">
        <v>46195</v>
      </c>
      <c r="R5" s="733"/>
      <c r="T5" s="778" t="s">
        <v>12</v>
      </c>
      <c r="U5" s="626"/>
      <c r="V5" s="780" t="s">
        <v>13</v>
      </c>
      <c r="W5" s="733"/>
      <c r="AB5" s="51"/>
      <c r="AC5" s="51"/>
      <c r="AD5" s="51"/>
      <c r="AE5" s="51"/>
    </row>
    <row r="6" spans="1:32" s="593" customFormat="1" ht="24" customHeight="1" x14ac:dyDescent="0.2">
      <c r="A6" s="735" t="s">
        <v>14</v>
      </c>
      <c r="B6" s="647"/>
      <c r="C6" s="648"/>
      <c r="D6" s="857" t="s">
        <v>15</v>
      </c>
      <c r="E6" s="858"/>
      <c r="F6" s="858"/>
      <c r="G6" s="858"/>
      <c r="H6" s="858"/>
      <c r="I6" s="858"/>
      <c r="J6" s="858"/>
      <c r="K6" s="858"/>
      <c r="L6" s="858"/>
      <c r="M6" s="733"/>
      <c r="N6" s="59"/>
      <c r="P6" s="24" t="s">
        <v>16</v>
      </c>
      <c r="Q6" s="930" t="str">
        <f>IF(Q5=0," ",CHOOSE(WEEKDAY(Q5,2),"Понедельник","Вторник","Среда","Четверг","Пятница","Суббота","Воскресенье"))</f>
        <v>Понедельник</v>
      </c>
      <c r="R6" s="615"/>
      <c r="T6" s="786" t="s">
        <v>17</v>
      </c>
      <c r="U6" s="626"/>
      <c r="V6" s="836" t="s">
        <v>18</v>
      </c>
      <c r="W6" s="653"/>
      <c r="AB6" s="51"/>
      <c r="AC6" s="51"/>
      <c r="AD6" s="51"/>
      <c r="AE6" s="51"/>
    </row>
    <row r="7" spans="1:32" s="593" customFormat="1" ht="21.75" hidden="1" customHeight="1" x14ac:dyDescent="0.2">
      <c r="A7" s="55"/>
      <c r="B7" s="55"/>
      <c r="C7" s="55"/>
      <c r="D7" s="663" t="str">
        <f>IFERROR(VLOOKUP(DeliveryAddress,Table,3,0),1)</f>
        <v>5</v>
      </c>
      <c r="E7" s="664"/>
      <c r="F7" s="664"/>
      <c r="G7" s="664"/>
      <c r="H7" s="664"/>
      <c r="I7" s="664"/>
      <c r="J7" s="664"/>
      <c r="K7" s="664"/>
      <c r="L7" s="664"/>
      <c r="M7" s="665"/>
      <c r="N7" s="60"/>
      <c r="P7" s="24"/>
      <c r="Q7" s="42"/>
      <c r="R7" s="42"/>
      <c r="T7" s="612"/>
      <c r="U7" s="626"/>
      <c r="V7" s="837"/>
      <c r="W7" s="838"/>
      <c r="AB7" s="51"/>
      <c r="AC7" s="51"/>
      <c r="AD7" s="51"/>
      <c r="AE7" s="51"/>
    </row>
    <row r="8" spans="1:32" s="593" customFormat="1" ht="25.5" customHeight="1" x14ac:dyDescent="0.2">
      <c r="A8" s="946" t="s">
        <v>19</v>
      </c>
      <c r="B8" s="604"/>
      <c r="C8" s="605"/>
      <c r="D8" s="674"/>
      <c r="E8" s="675"/>
      <c r="F8" s="675"/>
      <c r="G8" s="675"/>
      <c r="H8" s="675"/>
      <c r="I8" s="675"/>
      <c r="J8" s="675"/>
      <c r="K8" s="675"/>
      <c r="L8" s="675"/>
      <c r="M8" s="676"/>
      <c r="N8" s="61"/>
      <c r="P8" s="24" t="s">
        <v>20</v>
      </c>
      <c r="Q8" s="747">
        <v>0.625</v>
      </c>
      <c r="R8" s="665"/>
      <c r="T8" s="612"/>
      <c r="U8" s="626"/>
      <c r="V8" s="837"/>
      <c r="W8" s="838"/>
      <c r="AB8" s="51"/>
      <c r="AC8" s="51"/>
      <c r="AD8" s="51"/>
      <c r="AE8" s="51"/>
    </row>
    <row r="9" spans="1:32" s="593" customFormat="1" ht="39.950000000000003" customHeight="1" x14ac:dyDescent="0.2">
      <c r="A9" s="7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2"/>
      <c r="C9" s="612"/>
      <c r="D9" s="758"/>
      <c r="E9" s="617"/>
      <c r="F9" s="7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2"/>
      <c r="H9" s="616" t="str">
        <f>IF(AND($A$9="Тип доверенности/получателя при получении в адресе перегруза:",$D$9="Разовая доверенность"),"Введите ФИО","")</f>
        <v/>
      </c>
      <c r="I9" s="617"/>
      <c r="J9" s="6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7"/>
      <c r="L9" s="617"/>
      <c r="M9" s="617"/>
      <c r="N9" s="591"/>
      <c r="P9" s="26" t="s">
        <v>21</v>
      </c>
      <c r="Q9" s="730"/>
      <c r="R9" s="731"/>
      <c r="T9" s="612"/>
      <c r="U9" s="62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593" customFormat="1" ht="26.45" customHeight="1" x14ac:dyDescent="0.2">
      <c r="A10" s="7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2"/>
      <c r="C10" s="612"/>
      <c r="D10" s="758"/>
      <c r="E10" s="617"/>
      <c r="F10" s="7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2"/>
      <c r="H10" s="829" t="str">
        <f>IFERROR(VLOOKUP($D$10,Proxy,2,FALSE),"")</f>
        <v/>
      </c>
      <c r="I10" s="612"/>
      <c r="J10" s="612"/>
      <c r="K10" s="612"/>
      <c r="L10" s="612"/>
      <c r="M10" s="612"/>
      <c r="N10" s="592"/>
      <c r="P10" s="26" t="s">
        <v>22</v>
      </c>
      <c r="Q10" s="787"/>
      <c r="R10" s="788"/>
      <c r="U10" s="24" t="s">
        <v>23</v>
      </c>
      <c r="V10" s="652" t="s">
        <v>24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59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32"/>
      <c r="R11" s="733"/>
      <c r="U11" s="24" t="s">
        <v>27</v>
      </c>
      <c r="V11" s="879" t="s">
        <v>28</v>
      </c>
      <c r="W11" s="731"/>
      <c r="X11" s="45"/>
      <c r="Y11" s="45"/>
      <c r="Z11" s="45"/>
      <c r="AA11" s="45"/>
      <c r="AB11" s="51"/>
      <c r="AC11" s="51"/>
      <c r="AD11" s="51"/>
      <c r="AE11" s="51"/>
    </row>
    <row r="12" spans="1:32" s="593" customFormat="1" ht="18.600000000000001" customHeight="1" x14ac:dyDescent="0.2">
      <c r="A12" s="776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747"/>
      <c r="R12" s="665"/>
      <c r="S12" s="23"/>
      <c r="U12" s="24"/>
      <c r="V12" s="632"/>
      <c r="W12" s="612"/>
      <c r="AB12" s="51"/>
      <c r="AC12" s="51"/>
      <c r="AD12" s="51"/>
      <c r="AE12" s="51"/>
    </row>
    <row r="13" spans="1:32" s="593" customFormat="1" ht="23.25" customHeight="1" x14ac:dyDescent="0.2">
      <c r="A13" s="776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79"/>
      <c r="R13" s="7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3" customFormat="1" ht="18.600000000000001" customHeight="1" x14ac:dyDescent="0.2">
      <c r="A14" s="776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3" customFormat="1" ht="22.5" customHeight="1" x14ac:dyDescent="0.2">
      <c r="A15" s="800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69" t="s">
        <v>35</v>
      </c>
      <c r="Q15" s="632"/>
      <c r="R15" s="632"/>
      <c r="S15" s="632"/>
      <c r="T15" s="63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4" t="s">
        <v>36</v>
      </c>
      <c r="B17" s="644" t="s">
        <v>37</v>
      </c>
      <c r="C17" s="754" t="s">
        <v>38</v>
      </c>
      <c r="D17" s="644" t="s">
        <v>39</v>
      </c>
      <c r="E17" s="708"/>
      <c r="F17" s="644" t="s">
        <v>40</v>
      </c>
      <c r="G17" s="644" t="s">
        <v>41</v>
      </c>
      <c r="H17" s="644" t="s">
        <v>42</v>
      </c>
      <c r="I17" s="644" t="s">
        <v>43</v>
      </c>
      <c r="J17" s="644" t="s">
        <v>44</v>
      </c>
      <c r="K17" s="644" t="s">
        <v>45</v>
      </c>
      <c r="L17" s="644" t="s">
        <v>46</v>
      </c>
      <c r="M17" s="644" t="s">
        <v>47</v>
      </c>
      <c r="N17" s="644" t="s">
        <v>48</v>
      </c>
      <c r="O17" s="644" t="s">
        <v>49</v>
      </c>
      <c r="P17" s="644" t="s">
        <v>50</v>
      </c>
      <c r="Q17" s="707"/>
      <c r="R17" s="707"/>
      <c r="S17" s="707"/>
      <c r="T17" s="708"/>
      <c r="U17" s="944" t="s">
        <v>51</v>
      </c>
      <c r="V17" s="648"/>
      <c r="W17" s="644" t="s">
        <v>52</v>
      </c>
      <c r="X17" s="644" t="s">
        <v>53</v>
      </c>
      <c r="Y17" s="942" t="s">
        <v>54</v>
      </c>
      <c r="Z17" s="852" t="s">
        <v>55</v>
      </c>
      <c r="AA17" s="827" t="s">
        <v>56</v>
      </c>
      <c r="AB17" s="827" t="s">
        <v>57</v>
      </c>
      <c r="AC17" s="827" t="s">
        <v>58</v>
      </c>
      <c r="AD17" s="827" t="s">
        <v>59</v>
      </c>
      <c r="AE17" s="903"/>
      <c r="AF17" s="904"/>
      <c r="AG17" s="66"/>
      <c r="BD17" s="65" t="s">
        <v>60</v>
      </c>
    </row>
    <row r="18" spans="1:68" ht="14.25" customHeight="1" x14ac:dyDescent="0.2">
      <c r="A18" s="645"/>
      <c r="B18" s="645"/>
      <c r="C18" s="645"/>
      <c r="D18" s="709"/>
      <c r="E18" s="711"/>
      <c r="F18" s="645"/>
      <c r="G18" s="645"/>
      <c r="H18" s="645"/>
      <c r="I18" s="645"/>
      <c r="J18" s="645"/>
      <c r="K18" s="645"/>
      <c r="L18" s="645"/>
      <c r="M18" s="645"/>
      <c r="N18" s="645"/>
      <c r="O18" s="645"/>
      <c r="P18" s="709"/>
      <c r="Q18" s="710"/>
      <c r="R18" s="710"/>
      <c r="S18" s="710"/>
      <c r="T18" s="711"/>
      <c r="U18" s="67" t="s">
        <v>61</v>
      </c>
      <c r="V18" s="67" t="s">
        <v>62</v>
      </c>
      <c r="W18" s="645"/>
      <c r="X18" s="645"/>
      <c r="Y18" s="943"/>
      <c r="Z18" s="853"/>
      <c r="AA18" s="828"/>
      <c r="AB18" s="828"/>
      <c r="AC18" s="828"/>
      <c r="AD18" s="905"/>
      <c r="AE18" s="906"/>
      <c r="AF18" s="907"/>
      <c r="AG18" s="66"/>
      <c r="BD18" s="65"/>
    </row>
    <row r="19" spans="1:68" ht="27.75" customHeight="1" x14ac:dyDescent="0.2">
      <c r="A19" s="683" t="s">
        <v>63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48"/>
      <c r="AB19" s="48"/>
      <c r="AC19" s="48"/>
    </row>
    <row r="20" spans="1:68" ht="16.5" customHeight="1" x14ac:dyDescent="0.25">
      <c r="A20" s="622" t="s">
        <v>63</v>
      </c>
      <c r="B20" s="612"/>
      <c r="C20" s="612"/>
      <c r="D20" s="612"/>
      <c r="E20" s="612"/>
      <c r="F20" s="612"/>
      <c r="G20" s="612"/>
      <c r="H20" s="612"/>
      <c r="I20" s="612"/>
      <c r="J20" s="612"/>
      <c r="K20" s="612"/>
      <c r="L20" s="612"/>
      <c r="M20" s="612"/>
      <c r="N20" s="612"/>
      <c r="O20" s="612"/>
      <c r="P20" s="612"/>
      <c r="Q20" s="612"/>
      <c r="R20" s="612"/>
      <c r="S20" s="612"/>
      <c r="T20" s="612"/>
      <c r="U20" s="612"/>
      <c r="V20" s="612"/>
      <c r="W20" s="612"/>
      <c r="X20" s="612"/>
      <c r="Y20" s="612"/>
      <c r="Z20" s="612"/>
      <c r="AA20" s="594"/>
      <c r="AB20" s="594"/>
      <c r="AC20" s="594"/>
    </row>
    <row r="21" spans="1:68" ht="14.25" customHeight="1" x14ac:dyDescent="0.25">
      <c r="A21" s="659" t="s">
        <v>64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  <c r="Q21" s="612"/>
      <c r="R21" s="612"/>
      <c r="S21" s="612"/>
      <c r="T21" s="612"/>
      <c r="U21" s="612"/>
      <c r="V21" s="612"/>
      <c r="W21" s="612"/>
      <c r="X21" s="612"/>
      <c r="Y21" s="612"/>
      <c r="Z21" s="612"/>
      <c r="AA21" s="595"/>
      <c r="AB21" s="595"/>
      <c r="AC21" s="59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614">
        <v>4680115887510</v>
      </c>
      <c r="E22" s="615"/>
      <c r="F22" s="598">
        <v>0.2</v>
      </c>
      <c r="G22" s="32">
        <v>6</v>
      </c>
      <c r="H22" s="598">
        <v>1.2</v>
      </c>
      <c r="I22" s="59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4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07"/>
      <c r="R22" s="607"/>
      <c r="S22" s="607"/>
      <c r="T22" s="608"/>
      <c r="U22" s="34"/>
      <c r="V22" s="34"/>
      <c r="W22" s="35" t="s">
        <v>69</v>
      </c>
      <c r="X22" s="599">
        <v>0</v>
      </c>
      <c r="Y22" s="60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614">
        <v>4680115886643</v>
      </c>
      <c r="E23" s="615"/>
      <c r="F23" s="598">
        <v>0.19</v>
      </c>
      <c r="G23" s="32">
        <v>10</v>
      </c>
      <c r="H23" s="598">
        <v>1.9</v>
      </c>
      <c r="I23" s="59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07"/>
      <c r="R23" s="607"/>
      <c r="S23" s="607"/>
      <c r="T23" s="608"/>
      <c r="U23" s="34"/>
      <c r="V23" s="34"/>
      <c r="W23" s="35" t="s">
        <v>69</v>
      </c>
      <c r="X23" s="599">
        <v>0</v>
      </c>
      <c r="Y23" s="60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4301031508</v>
      </c>
      <c r="D24" s="614">
        <v>4680115889071</v>
      </c>
      <c r="E24" s="615"/>
      <c r="F24" s="598">
        <v>0.3</v>
      </c>
      <c r="G24" s="32">
        <v>6</v>
      </c>
      <c r="H24" s="598">
        <v>1.8</v>
      </c>
      <c r="I24" s="598">
        <v>1.93</v>
      </c>
      <c r="J24" s="32">
        <v>234</v>
      </c>
      <c r="K24" s="32" t="s">
        <v>73</v>
      </c>
      <c r="L24" s="32"/>
      <c r="M24" s="33" t="s">
        <v>68</v>
      </c>
      <c r="N24" s="33"/>
      <c r="O24" s="32">
        <v>40</v>
      </c>
      <c r="P24" s="79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07"/>
      <c r="R24" s="607"/>
      <c r="S24" s="607"/>
      <c r="T24" s="608"/>
      <c r="U24" s="34"/>
      <c r="V24" s="34"/>
      <c r="W24" s="35" t="s">
        <v>69</v>
      </c>
      <c r="X24" s="599">
        <v>0</v>
      </c>
      <c r="Y24" s="600">
        <f>IFERROR(IF(X24="",0,CEILING((X24/$H24),1)*$H24),"")</f>
        <v>0</v>
      </c>
      <c r="Z24" s="36" t="str">
        <f>IFERROR(IF(Y24=0,"",ROUNDUP(Y24/H24,0)*0.00502),"")</f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x14ac:dyDescent="0.2">
      <c r="A25" s="611"/>
      <c r="B25" s="612"/>
      <c r="C25" s="612"/>
      <c r="D25" s="612"/>
      <c r="E25" s="612"/>
      <c r="F25" s="612"/>
      <c r="G25" s="612"/>
      <c r="H25" s="612"/>
      <c r="I25" s="612"/>
      <c r="J25" s="612"/>
      <c r="K25" s="612"/>
      <c r="L25" s="612"/>
      <c r="M25" s="612"/>
      <c r="N25" s="612"/>
      <c r="O25" s="613"/>
      <c r="P25" s="603" t="s">
        <v>78</v>
      </c>
      <c r="Q25" s="604"/>
      <c r="R25" s="604"/>
      <c r="S25" s="604"/>
      <c r="T25" s="604"/>
      <c r="U25" s="604"/>
      <c r="V25" s="605"/>
      <c r="W25" s="37" t="s">
        <v>79</v>
      </c>
      <c r="X25" s="601">
        <f>IFERROR(X22/H22,"0")+IFERROR(X23/H23,"0")+IFERROR(X24/H24,"0")</f>
        <v>0</v>
      </c>
      <c r="Y25" s="601">
        <f>IFERROR(Y22/H22,"0")+IFERROR(Y23/H23,"0")+IFERROR(Y24/H24,"0")</f>
        <v>0</v>
      </c>
      <c r="Z25" s="601">
        <f>IFERROR(IF(Z22="",0,Z22),"0")+IFERROR(IF(Z23="",0,Z23),"0")+IFERROR(IF(Z24="",0,Z24),"0")</f>
        <v>0</v>
      </c>
      <c r="AA25" s="602"/>
      <c r="AB25" s="602"/>
      <c r="AC25" s="602"/>
    </row>
    <row r="26" spans="1:68" x14ac:dyDescent="0.2">
      <c r="A26" s="612"/>
      <c r="B26" s="612"/>
      <c r="C26" s="612"/>
      <c r="D26" s="612"/>
      <c r="E26" s="612"/>
      <c r="F26" s="612"/>
      <c r="G26" s="612"/>
      <c r="H26" s="612"/>
      <c r="I26" s="612"/>
      <c r="J26" s="612"/>
      <c r="K26" s="612"/>
      <c r="L26" s="612"/>
      <c r="M26" s="612"/>
      <c r="N26" s="612"/>
      <c r="O26" s="613"/>
      <c r="P26" s="603" t="s">
        <v>78</v>
      </c>
      <c r="Q26" s="604"/>
      <c r="R26" s="604"/>
      <c r="S26" s="604"/>
      <c r="T26" s="604"/>
      <c r="U26" s="604"/>
      <c r="V26" s="605"/>
      <c r="W26" s="37" t="s">
        <v>69</v>
      </c>
      <c r="X26" s="601">
        <f>IFERROR(SUM(X22:X24),"0")</f>
        <v>0</v>
      </c>
      <c r="Y26" s="601">
        <f>IFERROR(SUM(Y22:Y24),"0")</f>
        <v>0</v>
      </c>
      <c r="Z26" s="37"/>
      <c r="AA26" s="602"/>
      <c r="AB26" s="602"/>
      <c r="AC26" s="602"/>
    </row>
    <row r="27" spans="1:68" ht="14.25" customHeight="1" x14ac:dyDescent="0.25">
      <c r="A27" s="659" t="s">
        <v>80</v>
      </c>
      <c r="B27" s="612"/>
      <c r="C27" s="612"/>
      <c r="D27" s="612"/>
      <c r="E27" s="612"/>
      <c r="F27" s="612"/>
      <c r="G27" s="612"/>
      <c r="H27" s="612"/>
      <c r="I27" s="612"/>
      <c r="J27" s="612"/>
      <c r="K27" s="612"/>
      <c r="L27" s="612"/>
      <c r="M27" s="612"/>
      <c r="N27" s="612"/>
      <c r="O27" s="612"/>
      <c r="P27" s="612"/>
      <c r="Q27" s="612"/>
      <c r="R27" s="612"/>
      <c r="S27" s="612"/>
      <c r="T27" s="612"/>
      <c r="U27" s="612"/>
      <c r="V27" s="612"/>
      <c r="W27" s="612"/>
      <c r="X27" s="612"/>
      <c r="Y27" s="612"/>
      <c r="Z27" s="612"/>
      <c r="AA27" s="595"/>
      <c r="AB27" s="595"/>
      <c r="AC27" s="595"/>
    </row>
    <row r="28" spans="1:68" ht="27" customHeight="1" x14ac:dyDescent="0.25">
      <c r="A28" s="54" t="s">
        <v>81</v>
      </c>
      <c r="B28" s="54" t="s">
        <v>82</v>
      </c>
      <c r="C28" s="31">
        <v>4301051866</v>
      </c>
      <c r="D28" s="614">
        <v>4680115885912</v>
      </c>
      <c r="E28" s="615"/>
      <c r="F28" s="598">
        <v>0.3</v>
      </c>
      <c r="G28" s="32">
        <v>6</v>
      </c>
      <c r="H28" s="598">
        <v>1.8</v>
      </c>
      <c r="I28" s="598">
        <v>3.18</v>
      </c>
      <c r="J28" s="32">
        <v>182</v>
      </c>
      <c r="K28" s="32" t="s">
        <v>67</v>
      </c>
      <c r="L28" s="32"/>
      <c r="M28" s="33" t="s">
        <v>83</v>
      </c>
      <c r="N28" s="33"/>
      <c r="O28" s="32">
        <v>40</v>
      </c>
      <c r="P28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7"/>
      <c r="R28" s="607"/>
      <c r="S28" s="607"/>
      <c r="T28" s="608"/>
      <c r="U28" s="34"/>
      <c r="V28" s="34"/>
      <c r="W28" s="35" t="s">
        <v>69</v>
      </c>
      <c r="X28" s="599">
        <v>0</v>
      </c>
      <c r="Y28" s="600">
        <f t="shared" ref="Y28:Y36" si="0">IFERROR(IF(X28="",0,CEILING((X28/$H28),1)*$H28),"")</f>
        <v>0</v>
      </c>
      <c r="Z28" s="36" t="str">
        <f t="shared" ref="Z28:Z36" si="1"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 t="shared" ref="BM28:BM36" si="2">IFERROR(X28*I28/H28,"0")</f>
        <v>0</v>
      </c>
      <c r="BN28" s="64">
        <f t="shared" ref="BN28:BN36" si="3">IFERROR(Y28*I28/H28,"0")</f>
        <v>0</v>
      </c>
      <c r="BO28" s="64">
        <f t="shared" ref="BO28:BO36" si="4">IFERROR(1/J28*(X28/H28),"0")</f>
        <v>0</v>
      </c>
      <c r="BP28" s="64">
        <f t="shared" ref="BP28:BP36" si="5"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4301051776</v>
      </c>
      <c r="D29" s="614">
        <v>4607091388237</v>
      </c>
      <c r="E29" s="615"/>
      <c r="F29" s="598">
        <v>0.42</v>
      </c>
      <c r="G29" s="32">
        <v>6</v>
      </c>
      <c r="H29" s="598">
        <v>2.52</v>
      </c>
      <c r="I29" s="598">
        <v>2.766</v>
      </c>
      <c r="J29" s="32">
        <v>182</v>
      </c>
      <c r="K29" s="32" t="s">
        <v>67</v>
      </c>
      <c r="L29" s="32"/>
      <c r="M29" s="33" t="s">
        <v>83</v>
      </c>
      <c r="N29" s="33"/>
      <c r="O29" s="32">
        <v>40</v>
      </c>
      <c r="P29" s="6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7"/>
      <c r="R29" s="607"/>
      <c r="S29" s="607"/>
      <c r="T29" s="608"/>
      <c r="U29" s="34"/>
      <c r="V29" s="34"/>
      <c r="W29" s="35" t="s">
        <v>69</v>
      </c>
      <c r="X29" s="599">
        <v>0</v>
      </c>
      <c r="Y29" s="600">
        <f t="shared" si="0"/>
        <v>0</v>
      </c>
      <c r="Z29" s="36" t="str">
        <f t="shared" si="1"/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87</v>
      </c>
      <c r="B30" s="54" t="s">
        <v>88</v>
      </c>
      <c r="C30" s="31">
        <v>4301052063</v>
      </c>
      <c r="D30" s="614">
        <v>4680115887350</v>
      </c>
      <c r="E30" s="615"/>
      <c r="F30" s="598">
        <v>0.3</v>
      </c>
      <c r="G30" s="32">
        <v>6</v>
      </c>
      <c r="H30" s="598">
        <v>1.8</v>
      </c>
      <c r="I30" s="598">
        <v>3.18</v>
      </c>
      <c r="J30" s="32">
        <v>182</v>
      </c>
      <c r="K30" s="32" t="s">
        <v>67</v>
      </c>
      <c r="L30" s="32"/>
      <c r="M30" s="33" t="s">
        <v>89</v>
      </c>
      <c r="N30" s="33"/>
      <c r="O30" s="32">
        <v>40</v>
      </c>
      <c r="P30" s="6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7"/>
      <c r="R30" s="607"/>
      <c r="S30" s="607"/>
      <c r="T30" s="608"/>
      <c r="U30" s="34"/>
      <c r="V30" s="34"/>
      <c r="W30" s="35" t="s">
        <v>69</v>
      </c>
      <c r="X30" s="599">
        <v>0</v>
      </c>
      <c r="Y30" s="600">
        <f t="shared" si="0"/>
        <v>0</v>
      </c>
      <c r="Z30" s="36" t="str">
        <f t="shared" si="1"/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4301051912</v>
      </c>
      <c r="D31" s="614">
        <v>4680115886230</v>
      </c>
      <c r="E31" s="615"/>
      <c r="F31" s="598">
        <v>0.3</v>
      </c>
      <c r="G31" s="32">
        <v>6</v>
      </c>
      <c r="H31" s="598">
        <v>1.8</v>
      </c>
      <c r="I31" s="598">
        <v>2.0459999999999998</v>
      </c>
      <c r="J31" s="32">
        <v>182</v>
      </c>
      <c r="K31" s="32" t="s">
        <v>67</v>
      </c>
      <c r="L31" s="32"/>
      <c r="M31" s="33" t="s">
        <v>89</v>
      </c>
      <c r="N31" s="33"/>
      <c r="O31" s="32">
        <v>40</v>
      </c>
      <c r="P31" s="677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7"/>
      <c r="R31" s="607"/>
      <c r="S31" s="607"/>
      <c r="T31" s="608"/>
      <c r="U31" s="34"/>
      <c r="V31" s="34"/>
      <c r="W31" s="35" t="s">
        <v>69</v>
      </c>
      <c r="X31" s="599">
        <v>0</v>
      </c>
      <c r="Y31" s="600">
        <f t="shared" si="0"/>
        <v>0</v>
      </c>
      <c r="Z31" s="36" t="str">
        <f t="shared" si="1"/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94</v>
      </c>
      <c r="B32" s="54" t="s">
        <v>95</v>
      </c>
      <c r="C32" s="31">
        <v>4301051919</v>
      </c>
      <c r="D32" s="614">
        <v>4680115886278</v>
      </c>
      <c r="E32" s="615"/>
      <c r="F32" s="598">
        <v>0.3</v>
      </c>
      <c r="G32" s="32">
        <v>6</v>
      </c>
      <c r="H32" s="598">
        <v>1.8</v>
      </c>
      <c r="I32" s="598">
        <v>2.0459999999999998</v>
      </c>
      <c r="J32" s="32">
        <v>182</v>
      </c>
      <c r="K32" s="32" t="s">
        <v>67</v>
      </c>
      <c r="L32" s="32"/>
      <c r="M32" s="33" t="s">
        <v>89</v>
      </c>
      <c r="N32" s="33"/>
      <c r="O32" s="32">
        <v>40</v>
      </c>
      <c r="P32" s="702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7"/>
      <c r="R32" s="607"/>
      <c r="S32" s="607"/>
      <c r="T32" s="608"/>
      <c r="U32" s="34"/>
      <c r="V32" s="34"/>
      <c r="W32" s="35" t="s">
        <v>69</v>
      </c>
      <c r="X32" s="599">
        <v>0</v>
      </c>
      <c r="Y32" s="600">
        <f t="shared" si="0"/>
        <v>0</v>
      </c>
      <c r="Z32" s="36" t="str">
        <f t="shared" si="1"/>
        <v/>
      </c>
      <c r="AA32" s="56"/>
      <c r="AB32" s="57"/>
      <c r="AC32" s="83" t="s">
        <v>93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t="27" customHeight="1" x14ac:dyDescent="0.25">
      <c r="A33" s="54" t="s">
        <v>96</v>
      </c>
      <c r="B33" s="54" t="s">
        <v>97</v>
      </c>
      <c r="C33" s="31">
        <v>4301051913</v>
      </c>
      <c r="D33" s="614">
        <v>4680115886247</v>
      </c>
      <c r="E33" s="615"/>
      <c r="F33" s="598">
        <v>0.3</v>
      </c>
      <c r="G33" s="32">
        <v>6</v>
      </c>
      <c r="H33" s="598">
        <v>1.8</v>
      </c>
      <c r="I33" s="598">
        <v>2.0459999999999998</v>
      </c>
      <c r="J33" s="32">
        <v>182</v>
      </c>
      <c r="K33" s="32" t="s">
        <v>67</v>
      </c>
      <c r="L33" s="32"/>
      <c r="M33" s="33" t="s">
        <v>89</v>
      </c>
      <c r="N33" s="33"/>
      <c r="O33" s="32">
        <v>40</v>
      </c>
      <c r="P33" s="862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7"/>
      <c r="R33" s="607"/>
      <c r="S33" s="607"/>
      <c r="T33" s="608"/>
      <c r="U33" s="34"/>
      <c r="V33" s="34"/>
      <c r="W33" s="35" t="s">
        <v>69</v>
      </c>
      <c r="X33" s="599">
        <v>0</v>
      </c>
      <c r="Y33" s="600">
        <f t="shared" si="0"/>
        <v>0</v>
      </c>
      <c r="Z33" s="36" t="str">
        <f t="shared" si="1"/>
        <v/>
      </c>
      <c r="AA33" s="56"/>
      <c r="AB33" s="57"/>
      <c r="AC33" s="85" t="s">
        <v>98</v>
      </c>
      <c r="AG33" s="64"/>
      <c r="AJ33" s="68"/>
      <c r="AK33" s="68">
        <v>0</v>
      </c>
      <c r="BB33" s="86" t="s">
        <v>1</v>
      </c>
      <c r="BM33" s="64">
        <f t="shared" si="2"/>
        <v>0</v>
      </c>
      <c r="BN33" s="64">
        <f t="shared" si="3"/>
        <v>0</v>
      </c>
      <c r="BO33" s="64">
        <f t="shared" si="4"/>
        <v>0</v>
      </c>
      <c r="BP33" s="64">
        <f t="shared" si="5"/>
        <v>0</v>
      </c>
    </row>
    <row r="34" spans="1:68" ht="27" customHeight="1" x14ac:dyDescent="0.25">
      <c r="A34" s="54" t="s">
        <v>99</v>
      </c>
      <c r="B34" s="54" t="s">
        <v>100</v>
      </c>
      <c r="C34" s="31">
        <v>4301051863</v>
      </c>
      <c r="D34" s="614">
        <v>4680115885905</v>
      </c>
      <c r="E34" s="615"/>
      <c r="F34" s="598">
        <v>0.3</v>
      </c>
      <c r="G34" s="32">
        <v>6</v>
      </c>
      <c r="H34" s="598">
        <v>1.8</v>
      </c>
      <c r="I34" s="598">
        <v>3.18</v>
      </c>
      <c r="J34" s="32">
        <v>182</v>
      </c>
      <c r="K34" s="32" t="s">
        <v>67</v>
      </c>
      <c r="L34" s="32"/>
      <c r="M34" s="33" t="s">
        <v>89</v>
      </c>
      <c r="N34" s="33"/>
      <c r="O34" s="32">
        <v>40</v>
      </c>
      <c r="P34" s="88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7"/>
      <c r="R34" s="607"/>
      <c r="S34" s="607"/>
      <c r="T34" s="608"/>
      <c r="U34" s="34"/>
      <c r="V34" s="34"/>
      <c r="W34" s="35" t="s">
        <v>69</v>
      </c>
      <c r="X34" s="599">
        <v>0</v>
      </c>
      <c r="Y34" s="600">
        <f t="shared" si="0"/>
        <v>0</v>
      </c>
      <c r="Z34" s="36" t="str">
        <f t="shared" si="1"/>
        <v/>
      </c>
      <c r="AA34" s="56"/>
      <c r="AB34" s="57"/>
      <c r="AC34" s="87" t="s">
        <v>101</v>
      </c>
      <c r="AG34" s="64"/>
      <c r="AJ34" s="68"/>
      <c r="AK34" s="68">
        <v>0</v>
      </c>
      <c r="BB34" s="88" t="s">
        <v>1</v>
      </c>
      <c r="BM34" s="64">
        <f t="shared" si="2"/>
        <v>0</v>
      </c>
      <c r="BN34" s="64">
        <f t="shared" si="3"/>
        <v>0</v>
      </c>
      <c r="BO34" s="64">
        <f t="shared" si="4"/>
        <v>0</v>
      </c>
      <c r="BP34" s="64">
        <f t="shared" si="5"/>
        <v>0</v>
      </c>
    </row>
    <row r="35" spans="1:68" ht="27" customHeight="1" x14ac:dyDescent="0.25">
      <c r="A35" s="54" t="s">
        <v>102</v>
      </c>
      <c r="B35" s="54" t="s">
        <v>103</v>
      </c>
      <c r="C35" s="31">
        <v>4301052078</v>
      </c>
      <c r="D35" s="614">
        <v>4680115887657</v>
      </c>
      <c r="E35" s="615"/>
      <c r="F35" s="598">
        <v>0.33</v>
      </c>
      <c r="G35" s="32">
        <v>6</v>
      </c>
      <c r="H35" s="598">
        <v>1.98</v>
      </c>
      <c r="I35" s="598">
        <v>2.16</v>
      </c>
      <c r="J35" s="32">
        <v>182</v>
      </c>
      <c r="K35" s="32" t="s">
        <v>67</v>
      </c>
      <c r="L35" s="32"/>
      <c r="M35" s="33" t="s">
        <v>89</v>
      </c>
      <c r="N35" s="33"/>
      <c r="O35" s="32">
        <v>40</v>
      </c>
      <c r="P35" s="86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7"/>
      <c r="R35" s="607"/>
      <c r="S35" s="607"/>
      <c r="T35" s="608"/>
      <c r="U35" s="34"/>
      <c r="V35" s="34"/>
      <c r="W35" s="35" t="s">
        <v>69</v>
      </c>
      <c r="X35" s="599">
        <v>0</v>
      </c>
      <c r="Y35" s="600">
        <f t="shared" si="0"/>
        <v>0</v>
      </c>
      <c r="Z35" s="36" t="str">
        <f t="shared" si="1"/>
        <v/>
      </c>
      <c r="AA35" s="56"/>
      <c r="AB35" s="57"/>
      <c r="AC35" s="89" t="s">
        <v>104</v>
      </c>
      <c r="AG35" s="64"/>
      <c r="AJ35" s="68"/>
      <c r="AK35" s="68">
        <v>0</v>
      </c>
      <c r="BB35" s="90" t="s">
        <v>1</v>
      </c>
      <c r="BM35" s="64">
        <f t="shared" si="2"/>
        <v>0</v>
      </c>
      <c r="BN35" s="64">
        <f t="shared" si="3"/>
        <v>0</v>
      </c>
      <c r="BO35" s="64">
        <f t="shared" si="4"/>
        <v>0</v>
      </c>
      <c r="BP35" s="64">
        <f t="shared" si="5"/>
        <v>0</v>
      </c>
    </row>
    <row r="36" spans="1:68" ht="27" customHeight="1" x14ac:dyDescent="0.25">
      <c r="A36" s="54" t="s">
        <v>105</v>
      </c>
      <c r="B36" s="54" t="s">
        <v>106</v>
      </c>
      <c r="C36" s="31">
        <v>4301052071</v>
      </c>
      <c r="D36" s="614">
        <v>4680115887619</v>
      </c>
      <c r="E36" s="615"/>
      <c r="F36" s="598">
        <v>0.33</v>
      </c>
      <c r="G36" s="32">
        <v>6</v>
      </c>
      <c r="H36" s="598">
        <v>1.98</v>
      </c>
      <c r="I36" s="598">
        <v>2.16</v>
      </c>
      <c r="J36" s="32">
        <v>182</v>
      </c>
      <c r="K36" s="32" t="s">
        <v>67</v>
      </c>
      <c r="L36" s="32"/>
      <c r="M36" s="33" t="s">
        <v>83</v>
      </c>
      <c r="N36" s="33"/>
      <c r="O36" s="32">
        <v>40</v>
      </c>
      <c r="P36" s="88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07"/>
      <c r="R36" s="607"/>
      <c r="S36" s="607"/>
      <c r="T36" s="608"/>
      <c r="U36" s="34"/>
      <c r="V36" s="34"/>
      <c r="W36" s="35" t="s">
        <v>69</v>
      </c>
      <c r="X36" s="599">
        <v>0</v>
      </c>
      <c r="Y36" s="600">
        <f t="shared" si="0"/>
        <v>0</v>
      </c>
      <c r="Z36" s="36" t="str">
        <f t="shared" si="1"/>
        <v/>
      </c>
      <c r="AA36" s="56"/>
      <c r="AB36" s="57"/>
      <c r="AC36" s="91" t="s">
        <v>107</v>
      </c>
      <c r="AG36" s="64"/>
      <c r="AJ36" s="68"/>
      <c r="AK36" s="68">
        <v>0</v>
      </c>
      <c r="BB36" s="92" t="s">
        <v>1</v>
      </c>
      <c r="BM36" s="64">
        <f t="shared" si="2"/>
        <v>0</v>
      </c>
      <c r="BN36" s="64">
        <f t="shared" si="3"/>
        <v>0</v>
      </c>
      <c r="BO36" s="64">
        <f t="shared" si="4"/>
        <v>0</v>
      </c>
      <c r="BP36" s="64">
        <f t="shared" si="5"/>
        <v>0</v>
      </c>
    </row>
    <row r="37" spans="1:68" x14ac:dyDescent="0.2">
      <c r="A37" s="611"/>
      <c r="B37" s="612"/>
      <c r="C37" s="612"/>
      <c r="D37" s="612"/>
      <c r="E37" s="612"/>
      <c r="F37" s="612"/>
      <c r="G37" s="612"/>
      <c r="H37" s="612"/>
      <c r="I37" s="612"/>
      <c r="J37" s="612"/>
      <c r="K37" s="612"/>
      <c r="L37" s="612"/>
      <c r="M37" s="612"/>
      <c r="N37" s="612"/>
      <c r="O37" s="613"/>
      <c r="P37" s="603" t="s">
        <v>78</v>
      </c>
      <c r="Q37" s="604"/>
      <c r="R37" s="604"/>
      <c r="S37" s="604"/>
      <c r="T37" s="604"/>
      <c r="U37" s="604"/>
      <c r="V37" s="605"/>
      <c r="W37" s="37" t="s">
        <v>79</v>
      </c>
      <c r="X37" s="601">
        <f>IFERROR(X28/H28,"0")+IFERROR(X29/H29,"0")+IFERROR(X30/H30,"0")+IFERROR(X31/H31,"0")+IFERROR(X32/H32,"0")+IFERROR(X33/H33,"0")+IFERROR(X34/H34,"0")+IFERROR(X35/H35,"0")+IFERROR(X36/H36,"0")</f>
        <v>0</v>
      </c>
      <c r="Y37" s="601">
        <f>IFERROR(Y28/H28,"0")+IFERROR(Y29/H29,"0")+IFERROR(Y30/H30,"0")+IFERROR(Y31/H31,"0")+IFERROR(Y32/H32,"0")+IFERROR(Y33/H33,"0")+IFERROR(Y34/H34,"0")+IFERROR(Y35/H35,"0")+IFERROR(Y36/H36,"0")</f>
        <v>0</v>
      </c>
      <c r="Z37" s="60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02"/>
      <c r="AB37" s="602"/>
      <c r="AC37" s="602"/>
    </row>
    <row r="38" spans="1:68" x14ac:dyDescent="0.2">
      <c r="A38" s="612"/>
      <c r="B38" s="612"/>
      <c r="C38" s="612"/>
      <c r="D38" s="612"/>
      <c r="E38" s="612"/>
      <c r="F38" s="612"/>
      <c r="G38" s="612"/>
      <c r="H38" s="612"/>
      <c r="I38" s="612"/>
      <c r="J38" s="612"/>
      <c r="K38" s="612"/>
      <c r="L38" s="612"/>
      <c r="M38" s="612"/>
      <c r="N38" s="612"/>
      <c r="O38" s="613"/>
      <c r="P38" s="603" t="s">
        <v>78</v>
      </c>
      <c r="Q38" s="604"/>
      <c r="R38" s="604"/>
      <c r="S38" s="604"/>
      <c r="T38" s="604"/>
      <c r="U38" s="604"/>
      <c r="V38" s="605"/>
      <c r="W38" s="37" t="s">
        <v>69</v>
      </c>
      <c r="X38" s="601">
        <f>IFERROR(SUM(X28:X36),"0")</f>
        <v>0</v>
      </c>
      <c r="Y38" s="601">
        <f>IFERROR(SUM(Y28:Y36),"0")</f>
        <v>0</v>
      </c>
      <c r="Z38" s="37"/>
      <c r="AA38" s="602"/>
      <c r="AB38" s="602"/>
      <c r="AC38" s="602"/>
    </row>
    <row r="39" spans="1:68" ht="14.25" customHeight="1" x14ac:dyDescent="0.25">
      <c r="A39" s="659" t="s">
        <v>108</v>
      </c>
      <c r="B39" s="612"/>
      <c r="C39" s="612"/>
      <c r="D39" s="612"/>
      <c r="E39" s="612"/>
      <c r="F39" s="612"/>
      <c r="G39" s="612"/>
      <c r="H39" s="612"/>
      <c r="I39" s="612"/>
      <c r="J39" s="612"/>
      <c r="K39" s="612"/>
      <c r="L39" s="612"/>
      <c r="M39" s="612"/>
      <c r="N39" s="612"/>
      <c r="O39" s="612"/>
      <c r="P39" s="612"/>
      <c r="Q39" s="612"/>
      <c r="R39" s="612"/>
      <c r="S39" s="612"/>
      <c r="T39" s="612"/>
      <c r="U39" s="612"/>
      <c r="V39" s="612"/>
      <c r="W39" s="612"/>
      <c r="X39" s="612"/>
      <c r="Y39" s="612"/>
      <c r="Z39" s="612"/>
      <c r="AA39" s="595"/>
      <c r="AB39" s="595"/>
      <c r="AC39" s="595"/>
    </row>
    <row r="40" spans="1:68" ht="27" customHeight="1" x14ac:dyDescent="0.25">
      <c r="A40" s="54" t="s">
        <v>109</v>
      </c>
      <c r="B40" s="54" t="s">
        <v>110</v>
      </c>
      <c r="C40" s="31">
        <v>4301032013</v>
      </c>
      <c r="D40" s="614">
        <v>4607091388503</v>
      </c>
      <c r="E40" s="615"/>
      <c r="F40" s="598">
        <v>0.05</v>
      </c>
      <c r="G40" s="32">
        <v>12</v>
      </c>
      <c r="H40" s="598">
        <v>0.6</v>
      </c>
      <c r="I40" s="598">
        <v>0.82199999999999995</v>
      </c>
      <c r="J40" s="32">
        <v>182</v>
      </c>
      <c r="K40" s="32" t="s">
        <v>67</v>
      </c>
      <c r="L40" s="32"/>
      <c r="M40" s="33" t="s">
        <v>111</v>
      </c>
      <c r="N40" s="33"/>
      <c r="O40" s="32">
        <v>120</v>
      </c>
      <c r="P40" s="84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07"/>
      <c r="R40" s="607"/>
      <c r="S40" s="607"/>
      <c r="T40" s="608"/>
      <c r="U40" s="34"/>
      <c r="V40" s="34"/>
      <c r="W40" s="35" t="s">
        <v>69</v>
      </c>
      <c r="X40" s="599">
        <v>0</v>
      </c>
      <c r="Y40" s="60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93" t="s">
        <v>112</v>
      </c>
      <c r="AG40" s="64"/>
      <c r="AJ40" s="68"/>
      <c r="AK40" s="68">
        <v>0</v>
      </c>
      <c r="BB40" s="94" t="s">
        <v>113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11"/>
      <c r="B41" s="612"/>
      <c r="C41" s="612"/>
      <c r="D41" s="612"/>
      <c r="E41" s="612"/>
      <c r="F41" s="612"/>
      <c r="G41" s="612"/>
      <c r="H41" s="612"/>
      <c r="I41" s="612"/>
      <c r="J41" s="612"/>
      <c r="K41" s="612"/>
      <c r="L41" s="612"/>
      <c r="M41" s="612"/>
      <c r="N41" s="612"/>
      <c r="O41" s="613"/>
      <c r="P41" s="603" t="s">
        <v>78</v>
      </c>
      <c r="Q41" s="604"/>
      <c r="R41" s="604"/>
      <c r="S41" s="604"/>
      <c r="T41" s="604"/>
      <c r="U41" s="604"/>
      <c r="V41" s="605"/>
      <c r="W41" s="37" t="s">
        <v>79</v>
      </c>
      <c r="X41" s="601">
        <f>IFERROR(X40/H40,"0")</f>
        <v>0</v>
      </c>
      <c r="Y41" s="601">
        <f>IFERROR(Y40/H40,"0")</f>
        <v>0</v>
      </c>
      <c r="Z41" s="601">
        <f>IFERROR(IF(Z40="",0,Z40),"0")</f>
        <v>0</v>
      </c>
      <c r="AA41" s="602"/>
      <c r="AB41" s="602"/>
      <c r="AC41" s="602"/>
    </row>
    <row r="42" spans="1:68" x14ac:dyDescent="0.2">
      <c r="A42" s="612"/>
      <c r="B42" s="612"/>
      <c r="C42" s="612"/>
      <c r="D42" s="612"/>
      <c r="E42" s="612"/>
      <c r="F42" s="612"/>
      <c r="G42" s="612"/>
      <c r="H42" s="612"/>
      <c r="I42" s="612"/>
      <c r="J42" s="612"/>
      <c r="K42" s="612"/>
      <c r="L42" s="612"/>
      <c r="M42" s="612"/>
      <c r="N42" s="612"/>
      <c r="O42" s="613"/>
      <c r="P42" s="603" t="s">
        <v>78</v>
      </c>
      <c r="Q42" s="604"/>
      <c r="R42" s="604"/>
      <c r="S42" s="604"/>
      <c r="T42" s="604"/>
      <c r="U42" s="604"/>
      <c r="V42" s="605"/>
      <c r="W42" s="37" t="s">
        <v>69</v>
      </c>
      <c r="X42" s="601">
        <f>IFERROR(SUM(X40:X40),"0")</f>
        <v>0</v>
      </c>
      <c r="Y42" s="601">
        <f>IFERROR(SUM(Y40:Y40),"0")</f>
        <v>0</v>
      </c>
      <c r="Z42" s="37"/>
      <c r="AA42" s="602"/>
      <c r="AB42" s="602"/>
      <c r="AC42" s="602"/>
    </row>
    <row r="43" spans="1:68" ht="27.75" customHeight="1" x14ac:dyDescent="0.2">
      <c r="A43" s="683" t="s">
        <v>114</v>
      </c>
      <c r="B43" s="684"/>
      <c r="C43" s="684"/>
      <c r="D43" s="684"/>
      <c r="E43" s="684"/>
      <c r="F43" s="684"/>
      <c r="G43" s="684"/>
      <c r="H43" s="684"/>
      <c r="I43" s="684"/>
      <c r="J43" s="684"/>
      <c r="K43" s="684"/>
      <c r="L43" s="684"/>
      <c r="M43" s="684"/>
      <c r="N43" s="684"/>
      <c r="O43" s="684"/>
      <c r="P43" s="684"/>
      <c r="Q43" s="684"/>
      <c r="R43" s="684"/>
      <c r="S43" s="684"/>
      <c r="T43" s="684"/>
      <c r="U43" s="684"/>
      <c r="V43" s="684"/>
      <c r="W43" s="684"/>
      <c r="X43" s="684"/>
      <c r="Y43" s="684"/>
      <c r="Z43" s="684"/>
      <c r="AA43" s="48"/>
      <c r="AB43" s="48"/>
      <c r="AC43" s="48"/>
    </row>
    <row r="44" spans="1:68" ht="16.5" customHeight="1" x14ac:dyDescent="0.25">
      <c r="A44" s="622" t="s">
        <v>115</v>
      </c>
      <c r="B44" s="612"/>
      <c r="C44" s="612"/>
      <c r="D44" s="612"/>
      <c r="E44" s="612"/>
      <c r="F44" s="612"/>
      <c r="G44" s="612"/>
      <c r="H44" s="612"/>
      <c r="I44" s="612"/>
      <c r="J44" s="612"/>
      <c r="K44" s="612"/>
      <c r="L44" s="612"/>
      <c r="M44" s="612"/>
      <c r="N44" s="612"/>
      <c r="O44" s="612"/>
      <c r="P44" s="612"/>
      <c r="Q44" s="612"/>
      <c r="R44" s="612"/>
      <c r="S44" s="612"/>
      <c r="T44" s="612"/>
      <c r="U44" s="612"/>
      <c r="V44" s="612"/>
      <c r="W44" s="612"/>
      <c r="X44" s="612"/>
      <c r="Y44" s="612"/>
      <c r="Z44" s="612"/>
      <c r="AA44" s="594"/>
      <c r="AB44" s="594"/>
      <c r="AC44" s="594"/>
    </row>
    <row r="45" spans="1:68" ht="14.25" customHeight="1" x14ac:dyDescent="0.25">
      <c r="A45" s="659" t="s">
        <v>80</v>
      </c>
      <c r="B45" s="612"/>
      <c r="C45" s="612"/>
      <c r="D45" s="612"/>
      <c r="E45" s="612"/>
      <c r="F45" s="612"/>
      <c r="G45" s="612"/>
      <c r="H45" s="612"/>
      <c r="I45" s="612"/>
      <c r="J45" s="612"/>
      <c r="K45" s="612"/>
      <c r="L45" s="612"/>
      <c r="M45" s="612"/>
      <c r="N45" s="612"/>
      <c r="O45" s="612"/>
      <c r="P45" s="612"/>
      <c r="Q45" s="612"/>
      <c r="R45" s="612"/>
      <c r="S45" s="612"/>
      <c r="T45" s="612"/>
      <c r="U45" s="612"/>
      <c r="V45" s="612"/>
      <c r="W45" s="612"/>
      <c r="X45" s="612"/>
      <c r="Y45" s="612"/>
      <c r="Z45" s="612"/>
      <c r="AA45" s="595"/>
      <c r="AB45" s="595"/>
      <c r="AC45" s="595"/>
    </row>
    <row r="46" spans="1:68" ht="27" customHeight="1" x14ac:dyDescent="0.25">
      <c r="A46" s="54" t="s">
        <v>116</v>
      </c>
      <c r="B46" s="54" t="s">
        <v>117</v>
      </c>
      <c r="C46" s="31">
        <v>4301052198</v>
      </c>
      <c r="D46" s="614">
        <v>4680115888463</v>
      </c>
      <c r="E46" s="615"/>
      <c r="F46" s="598">
        <v>0.32</v>
      </c>
      <c r="G46" s="32">
        <v>6</v>
      </c>
      <c r="H46" s="598">
        <v>1.92</v>
      </c>
      <c r="I46" s="598">
        <v>2.1</v>
      </c>
      <c r="J46" s="32">
        <v>182</v>
      </c>
      <c r="K46" s="32" t="s">
        <v>67</v>
      </c>
      <c r="L46" s="32"/>
      <c r="M46" s="33" t="s">
        <v>83</v>
      </c>
      <c r="N46" s="33"/>
      <c r="O46" s="32">
        <v>40</v>
      </c>
      <c r="P46" s="87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07"/>
      <c r="R46" s="607"/>
      <c r="S46" s="607"/>
      <c r="T46" s="608"/>
      <c r="U46" s="34"/>
      <c r="V46" s="34"/>
      <c r="W46" s="35" t="s">
        <v>69</v>
      </c>
      <c r="X46" s="599">
        <v>0</v>
      </c>
      <c r="Y46" s="60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customHeight="1" x14ac:dyDescent="0.25">
      <c r="A47" s="54" t="s">
        <v>119</v>
      </c>
      <c r="B47" s="54" t="s">
        <v>120</v>
      </c>
      <c r="C47" s="31">
        <v>4301052202</v>
      </c>
      <c r="D47" s="614">
        <v>4680115888494</v>
      </c>
      <c r="E47" s="615"/>
      <c r="F47" s="598">
        <v>0.32</v>
      </c>
      <c r="G47" s="32">
        <v>6</v>
      </c>
      <c r="H47" s="598">
        <v>1.92</v>
      </c>
      <c r="I47" s="598">
        <v>2.1</v>
      </c>
      <c r="J47" s="32">
        <v>182</v>
      </c>
      <c r="K47" s="32" t="s">
        <v>67</v>
      </c>
      <c r="L47" s="32"/>
      <c r="M47" s="33" t="s">
        <v>83</v>
      </c>
      <c r="N47" s="33"/>
      <c r="O47" s="32">
        <v>40</v>
      </c>
      <c r="P47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07"/>
      <c r="R47" s="607"/>
      <c r="S47" s="607"/>
      <c r="T47" s="608"/>
      <c r="U47" s="34"/>
      <c r="V47" s="34"/>
      <c r="W47" s="35" t="s">
        <v>69</v>
      </c>
      <c r="X47" s="599">
        <v>0</v>
      </c>
      <c r="Y47" s="60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7" t="s">
        <v>121</v>
      </c>
      <c r="AG47" s="64"/>
      <c r="AJ47" s="68"/>
      <c r="AK47" s="68">
        <v>0</v>
      </c>
      <c r="BB47" s="98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customHeight="1" x14ac:dyDescent="0.25">
      <c r="A48" s="54" t="s">
        <v>122</v>
      </c>
      <c r="B48" s="54" t="s">
        <v>123</v>
      </c>
      <c r="C48" s="31">
        <v>4301052184</v>
      </c>
      <c r="D48" s="614">
        <v>4680115888272</v>
      </c>
      <c r="E48" s="615"/>
      <c r="F48" s="598">
        <v>0.32</v>
      </c>
      <c r="G48" s="32">
        <v>6</v>
      </c>
      <c r="H48" s="598">
        <v>1.92</v>
      </c>
      <c r="I48" s="598">
        <v>2.1</v>
      </c>
      <c r="J48" s="32">
        <v>182</v>
      </c>
      <c r="K48" s="32" t="s">
        <v>67</v>
      </c>
      <c r="L48" s="32"/>
      <c r="M48" s="33" t="s">
        <v>83</v>
      </c>
      <c r="N48" s="33"/>
      <c r="O48" s="32">
        <v>40</v>
      </c>
      <c r="P48" s="8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07"/>
      <c r="R48" s="607"/>
      <c r="S48" s="607"/>
      <c r="T48" s="608"/>
      <c r="U48" s="34"/>
      <c r="V48" s="34"/>
      <c r="W48" s="35" t="s">
        <v>69</v>
      </c>
      <c r="X48" s="599">
        <v>0</v>
      </c>
      <c r="Y48" s="600">
        <f>IFERROR(IF(X48="",0,CEILING((X48/$H48),1)*$H48),"")</f>
        <v>0</v>
      </c>
      <c r="Z48" s="36" t="str">
        <f>IFERROR(IF(Y48=0,"",ROUNDUP(Y48/H48,0)*0.00651),"")</f>
        <v/>
      </c>
      <c r="AA48" s="56"/>
      <c r="AB48" s="57"/>
      <c r="AC48" s="99" t="s">
        <v>124</v>
      </c>
      <c r="AG48" s="64"/>
      <c r="AJ48" s="68"/>
      <c r="AK48" s="68">
        <v>0</v>
      </c>
      <c r="BB48" s="100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125</v>
      </c>
      <c r="B49" s="54" t="s">
        <v>126</v>
      </c>
      <c r="C49" s="31">
        <v>4301052188</v>
      </c>
      <c r="D49" s="614">
        <v>4680115888364</v>
      </c>
      <c r="E49" s="615"/>
      <c r="F49" s="598">
        <v>0.32</v>
      </c>
      <c r="G49" s="32">
        <v>6</v>
      </c>
      <c r="H49" s="598">
        <v>1.92</v>
      </c>
      <c r="I49" s="598">
        <v>2.1</v>
      </c>
      <c r="J49" s="32">
        <v>182</v>
      </c>
      <c r="K49" s="32" t="s">
        <v>67</v>
      </c>
      <c r="L49" s="32"/>
      <c r="M49" s="33" t="s">
        <v>83</v>
      </c>
      <c r="N49" s="33"/>
      <c r="O49" s="32">
        <v>40</v>
      </c>
      <c r="P49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07"/>
      <c r="R49" s="607"/>
      <c r="S49" s="607"/>
      <c r="T49" s="608"/>
      <c r="U49" s="34"/>
      <c r="V49" s="34"/>
      <c r="W49" s="35" t="s">
        <v>69</v>
      </c>
      <c r="X49" s="599">
        <v>0</v>
      </c>
      <c r="Y49" s="600">
        <f>IFERROR(IF(X49="",0,CEILING((X49/$H49),1)*$H49),"")</f>
        <v>0</v>
      </c>
      <c r="Z49" s="36" t="str">
        <f>IFERROR(IF(Y49=0,"",ROUNDUP(Y49/H49,0)*0.00651),"")</f>
        <v/>
      </c>
      <c r="AA49" s="56"/>
      <c r="AB49" s="57"/>
      <c r="AC49" s="101" t="s">
        <v>127</v>
      </c>
      <c r="AG49" s="64"/>
      <c r="AJ49" s="68"/>
      <c r="AK49" s="68">
        <v>0</v>
      </c>
      <c r="BB49" s="102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11"/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3"/>
      <c r="P50" s="603" t="s">
        <v>78</v>
      </c>
      <c r="Q50" s="604"/>
      <c r="R50" s="604"/>
      <c r="S50" s="604"/>
      <c r="T50" s="604"/>
      <c r="U50" s="604"/>
      <c r="V50" s="605"/>
      <c r="W50" s="37" t="s">
        <v>79</v>
      </c>
      <c r="X50" s="601">
        <f>IFERROR(X46/H46,"0")+IFERROR(X47/H47,"0")+IFERROR(X48/H48,"0")+IFERROR(X49/H49,"0")</f>
        <v>0</v>
      </c>
      <c r="Y50" s="601">
        <f>IFERROR(Y46/H46,"0")+IFERROR(Y47/H47,"0")+IFERROR(Y48/H48,"0")+IFERROR(Y49/H49,"0")</f>
        <v>0</v>
      </c>
      <c r="Z50" s="601">
        <f>IFERROR(IF(Z46="",0,Z46),"0")+IFERROR(IF(Z47="",0,Z47),"0")+IFERROR(IF(Z48="",0,Z48),"0")+IFERROR(IF(Z49="",0,Z49),"0")</f>
        <v>0</v>
      </c>
      <c r="AA50" s="602"/>
      <c r="AB50" s="602"/>
      <c r="AC50" s="602"/>
    </row>
    <row r="51" spans="1:68" x14ac:dyDescent="0.2">
      <c r="A51" s="612"/>
      <c r="B51" s="612"/>
      <c r="C51" s="612"/>
      <c r="D51" s="612"/>
      <c r="E51" s="612"/>
      <c r="F51" s="612"/>
      <c r="G51" s="612"/>
      <c r="H51" s="612"/>
      <c r="I51" s="612"/>
      <c r="J51" s="612"/>
      <c r="K51" s="612"/>
      <c r="L51" s="612"/>
      <c r="M51" s="612"/>
      <c r="N51" s="612"/>
      <c r="O51" s="613"/>
      <c r="P51" s="603" t="s">
        <v>78</v>
      </c>
      <c r="Q51" s="604"/>
      <c r="R51" s="604"/>
      <c r="S51" s="604"/>
      <c r="T51" s="604"/>
      <c r="U51" s="604"/>
      <c r="V51" s="605"/>
      <c r="W51" s="37" t="s">
        <v>69</v>
      </c>
      <c r="X51" s="601">
        <f>IFERROR(SUM(X46:X49),"0")</f>
        <v>0</v>
      </c>
      <c r="Y51" s="601">
        <f>IFERROR(SUM(Y46:Y49),"0")</f>
        <v>0</v>
      </c>
      <c r="Z51" s="37"/>
      <c r="AA51" s="602"/>
      <c r="AB51" s="602"/>
      <c r="AC51" s="602"/>
    </row>
    <row r="52" spans="1:68" ht="27.75" customHeight="1" x14ac:dyDescent="0.2">
      <c r="A52" s="683" t="s">
        <v>128</v>
      </c>
      <c r="B52" s="684"/>
      <c r="C52" s="684"/>
      <c r="D52" s="684"/>
      <c r="E52" s="684"/>
      <c r="F52" s="684"/>
      <c r="G52" s="684"/>
      <c r="H52" s="684"/>
      <c r="I52" s="684"/>
      <c r="J52" s="684"/>
      <c r="K52" s="684"/>
      <c r="L52" s="684"/>
      <c r="M52" s="684"/>
      <c r="N52" s="684"/>
      <c r="O52" s="684"/>
      <c r="P52" s="684"/>
      <c r="Q52" s="684"/>
      <c r="R52" s="684"/>
      <c r="S52" s="684"/>
      <c r="T52" s="684"/>
      <c r="U52" s="684"/>
      <c r="V52" s="684"/>
      <c r="W52" s="684"/>
      <c r="X52" s="684"/>
      <c r="Y52" s="684"/>
      <c r="Z52" s="684"/>
      <c r="AA52" s="48"/>
      <c r="AB52" s="48"/>
      <c r="AC52" s="48"/>
    </row>
    <row r="53" spans="1:68" ht="16.5" customHeight="1" x14ac:dyDescent="0.25">
      <c r="A53" s="622" t="s">
        <v>129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594"/>
      <c r="AB53" s="594"/>
      <c r="AC53" s="594"/>
    </row>
    <row r="54" spans="1:68" ht="14.25" customHeight="1" x14ac:dyDescent="0.25">
      <c r="A54" s="659" t="s">
        <v>130</v>
      </c>
      <c r="B54" s="612"/>
      <c r="C54" s="612"/>
      <c r="D54" s="612"/>
      <c r="E54" s="612"/>
      <c r="F54" s="612"/>
      <c r="G54" s="612"/>
      <c r="H54" s="612"/>
      <c r="I54" s="612"/>
      <c r="J54" s="612"/>
      <c r="K54" s="612"/>
      <c r="L54" s="612"/>
      <c r="M54" s="612"/>
      <c r="N54" s="612"/>
      <c r="O54" s="612"/>
      <c r="P54" s="612"/>
      <c r="Q54" s="612"/>
      <c r="R54" s="612"/>
      <c r="S54" s="612"/>
      <c r="T54" s="612"/>
      <c r="U54" s="612"/>
      <c r="V54" s="612"/>
      <c r="W54" s="612"/>
      <c r="X54" s="612"/>
      <c r="Y54" s="612"/>
      <c r="Z54" s="612"/>
      <c r="AA54" s="595"/>
      <c r="AB54" s="595"/>
      <c r="AC54" s="595"/>
    </row>
    <row r="55" spans="1:68" ht="16.5" customHeight="1" x14ac:dyDescent="0.25">
      <c r="A55" s="54" t="s">
        <v>131</v>
      </c>
      <c r="B55" s="54" t="s">
        <v>132</v>
      </c>
      <c r="C55" s="31">
        <v>4301011380</v>
      </c>
      <c r="D55" s="614">
        <v>4607091385670</v>
      </c>
      <c r="E55" s="615"/>
      <c r="F55" s="598">
        <v>1.35</v>
      </c>
      <c r="G55" s="32">
        <v>8</v>
      </c>
      <c r="H55" s="598">
        <v>10.8</v>
      </c>
      <c r="I55" s="598">
        <v>11.21</v>
      </c>
      <c r="J55" s="32">
        <v>64</v>
      </c>
      <c r="K55" s="32" t="s">
        <v>133</v>
      </c>
      <c r="L55" s="32"/>
      <c r="M55" s="33" t="s">
        <v>134</v>
      </c>
      <c r="N55" s="33"/>
      <c r="O55" s="32">
        <v>50</v>
      </c>
      <c r="P55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07"/>
      <c r="R55" s="607"/>
      <c r="S55" s="607"/>
      <c r="T55" s="608"/>
      <c r="U55" s="34"/>
      <c r="V55" s="34"/>
      <c r="W55" s="35" t="s">
        <v>69</v>
      </c>
      <c r="X55" s="599">
        <v>1180</v>
      </c>
      <c r="Y55" s="600">
        <f>IFERROR(IF(X55="",0,CEILING((X55/$H55),1)*$H55),"")</f>
        <v>1188</v>
      </c>
      <c r="Z55" s="36">
        <f>IFERROR(IF(Y55=0,"",ROUNDUP(Y55/H55,0)*0.01898),"")</f>
        <v>2.0878000000000001</v>
      </c>
      <c r="AA55" s="56"/>
      <c r="AB55" s="57"/>
      <c r="AC55" s="103" t="s">
        <v>135</v>
      </c>
      <c r="AG55" s="64"/>
      <c r="AJ55" s="68"/>
      <c r="AK55" s="68">
        <v>0</v>
      </c>
      <c r="BB55" s="104" t="s">
        <v>1</v>
      </c>
      <c r="BM55" s="64">
        <f>IFERROR(X55*I55/H55,"0")</f>
        <v>1224.7962962962963</v>
      </c>
      <c r="BN55" s="64">
        <f>IFERROR(Y55*I55/H55,"0")</f>
        <v>1233.1000000000001</v>
      </c>
      <c r="BO55" s="64">
        <f>IFERROR(1/J55*(X55/H55),"0")</f>
        <v>1.7071759259259258</v>
      </c>
      <c r="BP55" s="64">
        <f>IFERROR(1/J55*(Y55/H55),"0")</f>
        <v>1.7187499999999998</v>
      </c>
    </row>
    <row r="56" spans="1:68" ht="27" customHeight="1" x14ac:dyDescent="0.25">
      <c r="A56" s="54" t="s">
        <v>136</v>
      </c>
      <c r="B56" s="54" t="s">
        <v>137</v>
      </c>
      <c r="C56" s="31">
        <v>4301012053</v>
      </c>
      <c r="D56" s="614">
        <v>4680115887725</v>
      </c>
      <c r="E56" s="615"/>
      <c r="F56" s="598">
        <v>0.11</v>
      </c>
      <c r="G56" s="32">
        <v>10</v>
      </c>
      <c r="H56" s="598">
        <v>1.1000000000000001</v>
      </c>
      <c r="I56" s="598">
        <v>1.31</v>
      </c>
      <c r="J56" s="32">
        <v>192</v>
      </c>
      <c r="K56" s="32" t="s">
        <v>138</v>
      </c>
      <c r="L56" s="32"/>
      <c r="M56" s="33" t="s">
        <v>68</v>
      </c>
      <c r="N56" s="33"/>
      <c r="O56" s="32">
        <v>30</v>
      </c>
      <c r="P56" s="65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07"/>
      <c r="R56" s="607"/>
      <c r="S56" s="607"/>
      <c r="T56" s="608"/>
      <c r="U56" s="34"/>
      <c r="V56" s="34"/>
      <c r="W56" s="35" t="s">
        <v>69</v>
      </c>
      <c r="X56" s="599">
        <v>0</v>
      </c>
      <c r="Y56" s="600">
        <f>IFERROR(IF(X56="",0,CEILING((X56/$H56),1)*$H56),"")</f>
        <v>0</v>
      </c>
      <c r="Z56" s="36" t="str">
        <f>IFERROR(IF(Y56=0,"",ROUNDUP(Y56/H56,0)*0.00726),"")</f>
        <v/>
      </c>
      <c r="AA56" s="56"/>
      <c r="AB56" s="57"/>
      <c r="AC56" s="105" t="s">
        <v>139</v>
      </c>
      <c r="AG56" s="64"/>
      <c r="AJ56" s="68"/>
      <c r="AK56" s="68">
        <v>0</v>
      </c>
      <c r="BB56" s="106" t="s">
        <v>1</v>
      </c>
      <c r="BM56" s="64">
        <f>IFERROR(X56*I56/H56,"0")</f>
        <v>0</v>
      </c>
      <c r="BN56" s="64">
        <f>IFERROR(Y56*I56/H56,"0")</f>
        <v>0</v>
      </c>
      <c r="BO56" s="64">
        <f>IFERROR(1/J56*(X56/H56),"0")</f>
        <v>0</v>
      </c>
      <c r="BP56" s="64">
        <f>IFERROR(1/J56*(Y56/H56),"0")</f>
        <v>0</v>
      </c>
    </row>
    <row r="57" spans="1:68" ht="27" customHeight="1" x14ac:dyDescent="0.25">
      <c r="A57" s="54" t="s">
        <v>140</v>
      </c>
      <c r="B57" s="54" t="s">
        <v>141</v>
      </c>
      <c r="C57" s="31">
        <v>4301011382</v>
      </c>
      <c r="D57" s="614">
        <v>4607091385687</v>
      </c>
      <c r="E57" s="615"/>
      <c r="F57" s="598">
        <v>0.4</v>
      </c>
      <c r="G57" s="32">
        <v>10</v>
      </c>
      <c r="H57" s="598">
        <v>4</v>
      </c>
      <c r="I57" s="598">
        <v>4.1900000000000004</v>
      </c>
      <c r="J57" s="32">
        <v>132</v>
      </c>
      <c r="K57" s="32" t="s">
        <v>142</v>
      </c>
      <c r="L57" s="32"/>
      <c r="M57" s="33" t="s">
        <v>83</v>
      </c>
      <c r="N57" s="33"/>
      <c r="O57" s="32">
        <v>50</v>
      </c>
      <c r="P57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07"/>
      <c r="R57" s="607"/>
      <c r="S57" s="607"/>
      <c r="T57" s="608"/>
      <c r="U57" s="34"/>
      <c r="V57" s="34"/>
      <c r="W57" s="35" t="s">
        <v>69</v>
      </c>
      <c r="X57" s="599">
        <v>0</v>
      </c>
      <c r="Y57" s="600">
        <f>IFERROR(IF(X57="",0,CEILING((X57/$H57),1)*$H57),"")</f>
        <v>0</v>
      </c>
      <c r="Z57" s="36" t="str">
        <f>IFERROR(IF(Y57=0,"",ROUNDUP(Y57/H57,0)*0.00902),"")</f>
        <v/>
      </c>
      <c r="AA57" s="56"/>
      <c r="AB57" s="57"/>
      <c r="AC57" s="107" t="s">
        <v>135</v>
      </c>
      <c r="AG57" s="64"/>
      <c r="AJ57" s="68"/>
      <c r="AK57" s="68">
        <v>0</v>
      </c>
      <c r="BB57" s="108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143</v>
      </c>
      <c r="B58" s="54" t="s">
        <v>144</v>
      </c>
      <c r="C58" s="31">
        <v>4301011565</v>
      </c>
      <c r="D58" s="614">
        <v>4680115882539</v>
      </c>
      <c r="E58" s="615"/>
      <c r="F58" s="598">
        <v>0.37</v>
      </c>
      <c r="G58" s="32">
        <v>10</v>
      </c>
      <c r="H58" s="598">
        <v>3.7</v>
      </c>
      <c r="I58" s="598">
        <v>3.89</v>
      </c>
      <c r="J58" s="32">
        <v>132</v>
      </c>
      <c r="K58" s="32" t="s">
        <v>142</v>
      </c>
      <c r="L58" s="32"/>
      <c r="M58" s="33" t="s">
        <v>83</v>
      </c>
      <c r="N58" s="33"/>
      <c r="O58" s="32">
        <v>50</v>
      </c>
      <c r="P58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07"/>
      <c r="R58" s="607"/>
      <c r="S58" s="607"/>
      <c r="T58" s="608"/>
      <c r="U58" s="34"/>
      <c r="V58" s="34"/>
      <c r="W58" s="35" t="s">
        <v>69</v>
      </c>
      <c r="X58" s="599">
        <v>30</v>
      </c>
      <c r="Y58" s="600">
        <f>IFERROR(IF(X58="",0,CEILING((X58/$H58),1)*$H58),"")</f>
        <v>33.300000000000004</v>
      </c>
      <c r="Z58" s="36">
        <f>IFERROR(IF(Y58=0,"",ROUNDUP(Y58/H58,0)*0.00902),"")</f>
        <v>8.1180000000000002E-2</v>
      </c>
      <c r="AA58" s="56"/>
      <c r="AB58" s="57"/>
      <c r="AC58" s="109" t="s">
        <v>135</v>
      </c>
      <c r="AG58" s="64"/>
      <c r="AJ58" s="68"/>
      <c r="AK58" s="68">
        <v>0</v>
      </c>
      <c r="BB58" s="110" t="s">
        <v>1</v>
      </c>
      <c r="BM58" s="64">
        <f>IFERROR(X58*I58/H58,"0")</f>
        <v>31.54054054054054</v>
      </c>
      <c r="BN58" s="64">
        <f>IFERROR(Y58*I58/H58,"0")</f>
        <v>35.010000000000005</v>
      </c>
      <c r="BO58" s="64">
        <f>IFERROR(1/J58*(X58/H58),"0")</f>
        <v>6.142506142506142E-2</v>
      </c>
      <c r="BP58" s="64">
        <f>IFERROR(1/J58*(Y58/H58),"0")</f>
        <v>6.8181818181818177E-2</v>
      </c>
    </row>
    <row r="59" spans="1:68" x14ac:dyDescent="0.2">
      <c r="A59" s="611"/>
      <c r="B59" s="612"/>
      <c r="C59" s="612"/>
      <c r="D59" s="612"/>
      <c r="E59" s="612"/>
      <c r="F59" s="612"/>
      <c r="G59" s="612"/>
      <c r="H59" s="612"/>
      <c r="I59" s="612"/>
      <c r="J59" s="612"/>
      <c r="K59" s="612"/>
      <c r="L59" s="612"/>
      <c r="M59" s="612"/>
      <c r="N59" s="612"/>
      <c r="O59" s="613"/>
      <c r="P59" s="603" t="s">
        <v>78</v>
      </c>
      <c r="Q59" s="604"/>
      <c r="R59" s="604"/>
      <c r="S59" s="604"/>
      <c r="T59" s="604"/>
      <c r="U59" s="604"/>
      <c r="V59" s="605"/>
      <c r="W59" s="37" t="s">
        <v>79</v>
      </c>
      <c r="X59" s="601">
        <f>IFERROR(X55/H55,"0")+IFERROR(X56/H56,"0")+IFERROR(X57/H57,"0")+IFERROR(X58/H58,"0")</f>
        <v>117.36736736736736</v>
      </c>
      <c r="Y59" s="601">
        <f>IFERROR(Y55/H55,"0")+IFERROR(Y56/H56,"0")+IFERROR(Y57/H57,"0")+IFERROR(Y58/H58,"0")</f>
        <v>118.99999999999999</v>
      </c>
      <c r="Z59" s="601">
        <f>IFERROR(IF(Z55="",0,Z55),"0")+IFERROR(IF(Z56="",0,Z56),"0")+IFERROR(IF(Z57="",0,Z57),"0")+IFERROR(IF(Z58="",0,Z58),"0")</f>
        <v>2.1689799999999999</v>
      </c>
      <c r="AA59" s="602"/>
      <c r="AB59" s="602"/>
      <c r="AC59" s="602"/>
    </row>
    <row r="60" spans="1:68" x14ac:dyDescent="0.2">
      <c r="A60" s="612"/>
      <c r="B60" s="612"/>
      <c r="C60" s="612"/>
      <c r="D60" s="612"/>
      <c r="E60" s="612"/>
      <c r="F60" s="612"/>
      <c r="G60" s="612"/>
      <c r="H60" s="612"/>
      <c r="I60" s="612"/>
      <c r="J60" s="612"/>
      <c r="K60" s="612"/>
      <c r="L60" s="612"/>
      <c r="M60" s="612"/>
      <c r="N60" s="612"/>
      <c r="O60" s="613"/>
      <c r="P60" s="603" t="s">
        <v>78</v>
      </c>
      <c r="Q60" s="604"/>
      <c r="R60" s="604"/>
      <c r="S60" s="604"/>
      <c r="T60" s="604"/>
      <c r="U60" s="604"/>
      <c r="V60" s="605"/>
      <c r="W60" s="37" t="s">
        <v>69</v>
      </c>
      <c r="X60" s="601">
        <f>IFERROR(SUM(X55:X58),"0")</f>
        <v>1210</v>
      </c>
      <c r="Y60" s="601">
        <f>IFERROR(SUM(Y55:Y58),"0")</f>
        <v>1221.3</v>
      </c>
      <c r="Z60" s="37"/>
      <c r="AA60" s="602"/>
      <c r="AB60" s="602"/>
      <c r="AC60" s="602"/>
    </row>
    <row r="61" spans="1:68" ht="16.5" customHeight="1" x14ac:dyDescent="0.25">
      <c r="A61" s="622" t="s">
        <v>145</v>
      </c>
      <c r="B61" s="612"/>
      <c r="C61" s="612"/>
      <c r="D61" s="612"/>
      <c r="E61" s="612"/>
      <c r="F61" s="612"/>
      <c r="G61" s="612"/>
      <c r="H61" s="612"/>
      <c r="I61" s="612"/>
      <c r="J61" s="612"/>
      <c r="K61" s="612"/>
      <c r="L61" s="612"/>
      <c r="M61" s="612"/>
      <c r="N61" s="612"/>
      <c r="O61" s="612"/>
      <c r="P61" s="612"/>
      <c r="Q61" s="612"/>
      <c r="R61" s="612"/>
      <c r="S61" s="612"/>
      <c r="T61" s="612"/>
      <c r="U61" s="612"/>
      <c r="V61" s="612"/>
      <c r="W61" s="612"/>
      <c r="X61" s="612"/>
      <c r="Y61" s="612"/>
      <c r="Z61" s="612"/>
      <c r="AA61" s="594"/>
      <c r="AB61" s="594"/>
      <c r="AC61" s="594"/>
    </row>
    <row r="62" spans="1:68" ht="14.25" customHeight="1" x14ac:dyDescent="0.25">
      <c r="A62" s="659" t="s">
        <v>130</v>
      </c>
      <c r="B62" s="612"/>
      <c r="C62" s="612"/>
      <c r="D62" s="612"/>
      <c r="E62" s="612"/>
      <c r="F62" s="612"/>
      <c r="G62" s="612"/>
      <c r="H62" s="612"/>
      <c r="I62" s="612"/>
      <c r="J62" s="612"/>
      <c r="K62" s="612"/>
      <c r="L62" s="612"/>
      <c r="M62" s="612"/>
      <c r="N62" s="612"/>
      <c r="O62" s="612"/>
      <c r="P62" s="612"/>
      <c r="Q62" s="612"/>
      <c r="R62" s="612"/>
      <c r="S62" s="612"/>
      <c r="T62" s="612"/>
      <c r="U62" s="612"/>
      <c r="V62" s="612"/>
      <c r="W62" s="612"/>
      <c r="X62" s="612"/>
      <c r="Y62" s="612"/>
      <c r="Z62" s="612"/>
      <c r="AA62" s="595"/>
      <c r="AB62" s="595"/>
      <c r="AC62" s="595"/>
    </row>
    <row r="63" spans="1:68" ht="27" customHeight="1" x14ac:dyDescent="0.25">
      <c r="A63" s="54" t="s">
        <v>146</v>
      </c>
      <c r="B63" s="54" t="s">
        <v>147</v>
      </c>
      <c r="C63" s="31">
        <v>4301012030</v>
      </c>
      <c r="D63" s="614">
        <v>4680115885882</v>
      </c>
      <c r="E63" s="615"/>
      <c r="F63" s="598">
        <v>1.4</v>
      </c>
      <c r="G63" s="32">
        <v>8</v>
      </c>
      <c r="H63" s="598">
        <v>11.2</v>
      </c>
      <c r="I63" s="598">
        <v>11.61</v>
      </c>
      <c r="J63" s="32">
        <v>64</v>
      </c>
      <c r="K63" s="32" t="s">
        <v>133</v>
      </c>
      <c r="L63" s="32"/>
      <c r="M63" s="33" t="s">
        <v>83</v>
      </c>
      <c r="N63" s="33"/>
      <c r="O63" s="32">
        <v>50</v>
      </c>
      <c r="P63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07"/>
      <c r="R63" s="607"/>
      <c r="S63" s="607"/>
      <c r="T63" s="608"/>
      <c r="U63" s="34"/>
      <c r="V63" s="34"/>
      <c r="W63" s="35" t="s">
        <v>69</v>
      </c>
      <c r="X63" s="599">
        <v>0</v>
      </c>
      <c r="Y63" s="600">
        <f t="shared" ref="Y63:Y69" si="6">IFERROR(IF(X63="",0,CEILING((X63/$H63),1)*$H63),"")</f>
        <v>0</v>
      </c>
      <c r="Z63" s="36" t="str">
        <f>IFERROR(IF(Y63=0,"",ROUNDUP(Y63/H63,0)*0.01898),"")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ref="BM63:BM69" si="7">IFERROR(X63*I63/H63,"0")</f>
        <v>0</v>
      </c>
      <c r="BN63" s="64">
        <f t="shared" ref="BN63:BN69" si="8">IFERROR(Y63*I63/H63,"0")</f>
        <v>0</v>
      </c>
      <c r="BO63" s="64">
        <f t="shared" ref="BO63:BO69" si="9">IFERROR(1/J63*(X63/H63),"0")</f>
        <v>0</v>
      </c>
      <c r="BP63" s="64">
        <f t="shared" ref="BP63:BP69" si="10">IFERROR(1/J63*(Y63/H63),"0")</f>
        <v>0</v>
      </c>
    </row>
    <row r="64" spans="1:68" ht="27" customHeight="1" x14ac:dyDescent="0.25">
      <c r="A64" s="54" t="s">
        <v>146</v>
      </c>
      <c r="B64" s="54" t="s">
        <v>149</v>
      </c>
      <c r="C64" s="31">
        <v>4301012161</v>
      </c>
      <c r="D64" s="614">
        <v>4680115885882</v>
      </c>
      <c r="E64" s="615"/>
      <c r="F64" s="598">
        <v>1.4</v>
      </c>
      <c r="G64" s="32">
        <v>8</v>
      </c>
      <c r="H64" s="598">
        <v>11.2</v>
      </c>
      <c r="I64" s="598">
        <v>11.61</v>
      </c>
      <c r="J64" s="32">
        <v>64</v>
      </c>
      <c r="K64" s="32" t="s">
        <v>133</v>
      </c>
      <c r="L64" s="32"/>
      <c r="M64" s="33" t="s">
        <v>134</v>
      </c>
      <c r="N64" s="33"/>
      <c r="O64" s="32">
        <v>50</v>
      </c>
      <c r="P64" s="89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07"/>
      <c r="R64" s="607"/>
      <c r="S64" s="607"/>
      <c r="T64" s="608"/>
      <c r="U64" s="34"/>
      <c r="V64" s="34"/>
      <c r="W64" s="35" t="s">
        <v>69</v>
      </c>
      <c r="X64" s="599">
        <v>0</v>
      </c>
      <c r="Y64" s="600">
        <f t="shared" si="6"/>
        <v>0</v>
      </c>
      <c r="Z64" s="36" t="str">
        <f>IFERROR(IF(Y64=0,"",ROUNDUP(Y64/H64,0)*0.01898),"")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151</v>
      </c>
      <c r="B65" s="54" t="s">
        <v>152</v>
      </c>
      <c r="C65" s="31">
        <v>4301011816</v>
      </c>
      <c r="D65" s="614">
        <v>4680115881426</v>
      </c>
      <c r="E65" s="615"/>
      <c r="F65" s="598">
        <v>1.35</v>
      </c>
      <c r="G65" s="32">
        <v>8</v>
      </c>
      <c r="H65" s="598">
        <v>10.8</v>
      </c>
      <c r="I65" s="598">
        <v>11.21</v>
      </c>
      <c r="J65" s="32">
        <v>64</v>
      </c>
      <c r="K65" s="32" t="s">
        <v>133</v>
      </c>
      <c r="L65" s="32"/>
      <c r="M65" s="33" t="s">
        <v>134</v>
      </c>
      <c r="N65" s="33"/>
      <c r="O65" s="32">
        <v>50</v>
      </c>
      <c r="P65" s="92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7"/>
      <c r="R65" s="607"/>
      <c r="S65" s="607"/>
      <c r="T65" s="608"/>
      <c r="U65" s="34"/>
      <c r="V65" s="34"/>
      <c r="W65" s="35" t="s">
        <v>69</v>
      </c>
      <c r="X65" s="599">
        <v>400</v>
      </c>
      <c r="Y65" s="600">
        <f t="shared" si="6"/>
        <v>410.40000000000003</v>
      </c>
      <c r="Z65" s="36">
        <f>IFERROR(IF(Y65=0,"",ROUNDUP(Y65/H65,0)*0.01898),"")</f>
        <v>0.72123999999999999</v>
      </c>
      <c r="AA65" s="56"/>
      <c r="AB65" s="57"/>
      <c r="AC65" s="115" t="s">
        <v>153</v>
      </c>
      <c r="AG65" s="64"/>
      <c r="AJ65" s="68"/>
      <c r="AK65" s="68">
        <v>0</v>
      </c>
      <c r="BB65" s="116" t="s">
        <v>1</v>
      </c>
      <c r="BM65" s="64">
        <f t="shared" si="7"/>
        <v>415.18518518518516</v>
      </c>
      <c r="BN65" s="64">
        <f t="shared" si="8"/>
        <v>425.98</v>
      </c>
      <c r="BO65" s="64">
        <f t="shared" si="9"/>
        <v>0.57870370370370372</v>
      </c>
      <c r="BP65" s="64">
        <f t="shared" si="10"/>
        <v>0.59375</v>
      </c>
    </row>
    <row r="66" spans="1:68" ht="27" customHeight="1" x14ac:dyDescent="0.25">
      <c r="A66" s="54" t="s">
        <v>154</v>
      </c>
      <c r="B66" s="54" t="s">
        <v>155</v>
      </c>
      <c r="C66" s="31">
        <v>4301011386</v>
      </c>
      <c r="D66" s="614">
        <v>4680115880283</v>
      </c>
      <c r="E66" s="615"/>
      <c r="F66" s="598">
        <v>0.6</v>
      </c>
      <c r="G66" s="32">
        <v>8</v>
      </c>
      <c r="H66" s="598">
        <v>4.8</v>
      </c>
      <c r="I66" s="598">
        <v>4.99</v>
      </c>
      <c r="J66" s="32">
        <v>132</v>
      </c>
      <c r="K66" s="32" t="s">
        <v>142</v>
      </c>
      <c r="L66" s="32"/>
      <c r="M66" s="33" t="s">
        <v>134</v>
      </c>
      <c r="N66" s="33"/>
      <c r="O66" s="32">
        <v>45</v>
      </c>
      <c r="P66" s="7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7"/>
      <c r="R66" s="607"/>
      <c r="S66" s="607"/>
      <c r="T66" s="608"/>
      <c r="U66" s="34"/>
      <c r="V66" s="34"/>
      <c r="W66" s="35" t="s">
        <v>69</v>
      </c>
      <c r="X66" s="599">
        <v>0</v>
      </c>
      <c r="Y66" s="600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156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4301011806</v>
      </c>
      <c r="D67" s="614">
        <v>4680115881525</v>
      </c>
      <c r="E67" s="615"/>
      <c r="F67" s="598">
        <v>0.4</v>
      </c>
      <c r="G67" s="32">
        <v>10</v>
      </c>
      <c r="H67" s="598">
        <v>4</v>
      </c>
      <c r="I67" s="598">
        <v>4.1900000000000004</v>
      </c>
      <c r="J67" s="32">
        <v>132</v>
      </c>
      <c r="K67" s="32" t="s">
        <v>142</v>
      </c>
      <c r="L67" s="32"/>
      <c r="M67" s="33" t="s">
        <v>134</v>
      </c>
      <c r="N67" s="33"/>
      <c r="O67" s="32">
        <v>50</v>
      </c>
      <c r="P67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7"/>
      <c r="R67" s="607"/>
      <c r="S67" s="607"/>
      <c r="T67" s="608"/>
      <c r="U67" s="34"/>
      <c r="V67" s="34"/>
      <c r="W67" s="35" t="s">
        <v>69</v>
      </c>
      <c r="X67" s="599">
        <v>0</v>
      </c>
      <c r="Y67" s="600">
        <f t="shared" si="6"/>
        <v>0</v>
      </c>
      <c r="Z67" s="36" t="str">
        <f>IFERROR(IF(Y67=0,"",ROUNDUP(Y67/H67,0)*0.00902),"")</f>
        <v/>
      </c>
      <c r="AA67" s="56"/>
      <c r="AB67" s="57"/>
      <c r="AC67" s="119" t="s">
        <v>159</v>
      </c>
      <c r="AG67" s="64"/>
      <c r="AJ67" s="68"/>
      <c r="AK67" s="68">
        <v>0</v>
      </c>
      <c r="BB67" s="120" t="s">
        <v>1</v>
      </c>
      <c r="BM67" s="64">
        <f t="shared" si="7"/>
        <v>0</v>
      </c>
      <c r="BN67" s="64">
        <f t="shared" si="8"/>
        <v>0</v>
      </c>
      <c r="BO67" s="64">
        <f t="shared" si="9"/>
        <v>0</v>
      </c>
      <c r="BP67" s="64">
        <f t="shared" si="10"/>
        <v>0</v>
      </c>
    </row>
    <row r="68" spans="1:68" ht="27" customHeight="1" x14ac:dyDescent="0.25">
      <c r="A68" s="54" t="s">
        <v>160</v>
      </c>
      <c r="B68" s="54" t="s">
        <v>161</v>
      </c>
      <c r="C68" s="31">
        <v>4301012165</v>
      </c>
      <c r="D68" s="614">
        <v>4680115885899</v>
      </c>
      <c r="E68" s="615"/>
      <c r="F68" s="598">
        <v>0.35</v>
      </c>
      <c r="G68" s="32">
        <v>6</v>
      </c>
      <c r="H68" s="598">
        <v>2.1</v>
      </c>
      <c r="I68" s="598">
        <v>2.2799999999999998</v>
      </c>
      <c r="J68" s="32">
        <v>182</v>
      </c>
      <c r="K68" s="32" t="s">
        <v>67</v>
      </c>
      <c r="L68" s="32"/>
      <c r="M68" s="33" t="s">
        <v>134</v>
      </c>
      <c r="N68" s="33"/>
      <c r="O68" s="32">
        <v>50</v>
      </c>
      <c r="P68" s="76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07"/>
      <c r="R68" s="607"/>
      <c r="S68" s="607"/>
      <c r="T68" s="608"/>
      <c r="U68" s="34"/>
      <c r="V68" s="34"/>
      <c r="W68" s="35" t="s">
        <v>69</v>
      </c>
      <c r="X68" s="599">
        <v>0</v>
      </c>
      <c r="Y68" s="600">
        <f t="shared" si="6"/>
        <v>0</v>
      </c>
      <c r="Z68" s="36" t="str">
        <f>IFERROR(IF(Y68=0,"",ROUNDUP(Y68/H68,0)*0.00651),"")</f>
        <v/>
      </c>
      <c r="AA68" s="56"/>
      <c r="AB68" s="57"/>
      <c r="AC68" s="121" t="s">
        <v>150</v>
      </c>
      <c r="AG68" s="64"/>
      <c r="AJ68" s="68"/>
      <c r="AK68" s="68">
        <v>0</v>
      </c>
      <c r="BB68" s="122" t="s">
        <v>1</v>
      </c>
      <c r="BM68" s="64">
        <f t="shared" si="7"/>
        <v>0</v>
      </c>
      <c r="BN68" s="64">
        <f t="shared" si="8"/>
        <v>0</v>
      </c>
      <c r="BO68" s="64">
        <f t="shared" si="9"/>
        <v>0</v>
      </c>
      <c r="BP68" s="64">
        <f t="shared" si="10"/>
        <v>0</v>
      </c>
    </row>
    <row r="69" spans="1:68" ht="37.5" customHeight="1" x14ac:dyDescent="0.25">
      <c r="A69" s="54" t="s">
        <v>162</v>
      </c>
      <c r="B69" s="54" t="s">
        <v>163</v>
      </c>
      <c r="C69" s="31">
        <v>4301011801</v>
      </c>
      <c r="D69" s="614">
        <v>4680115881419</v>
      </c>
      <c r="E69" s="615"/>
      <c r="F69" s="598">
        <v>0.45</v>
      </c>
      <c r="G69" s="32">
        <v>10</v>
      </c>
      <c r="H69" s="598">
        <v>4.5</v>
      </c>
      <c r="I69" s="598">
        <v>4.6900000000000004</v>
      </c>
      <c r="J69" s="32">
        <v>132</v>
      </c>
      <c r="K69" s="32" t="s">
        <v>142</v>
      </c>
      <c r="L69" s="32"/>
      <c r="M69" s="33" t="s">
        <v>134</v>
      </c>
      <c r="N69" s="33"/>
      <c r="O69" s="32">
        <v>50</v>
      </c>
      <c r="P69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7"/>
      <c r="R69" s="607"/>
      <c r="S69" s="607"/>
      <c r="T69" s="608"/>
      <c r="U69" s="34"/>
      <c r="V69" s="34"/>
      <c r="W69" s="35" t="s">
        <v>69</v>
      </c>
      <c r="X69" s="599">
        <v>0</v>
      </c>
      <c r="Y69" s="600">
        <f t="shared" si="6"/>
        <v>0</v>
      </c>
      <c r="Z69" s="36" t="str">
        <f>IFERROR(IF(Y69=0,"",ROUNDUP(Y69/H69,0)*0.00902),"")</f>
        <v/>
      </c>
      <c r="AA69" s="56"/>
      <c r="AB69" s="57"/>
      <c r="AC69" s="123" t="s">
        <v>164</v>
      </c>
      <c r="AG69" s="64"/>
      <c r="AJ69" s="68"/>
      <c r="AK69" s="68">
        <v>0</v>
      </c>
      <c r="BB69" s="124" t="s">
        <v>1</v>
      </c>
      <c r="BM69" s="64">
        <f t="shared" si="7"/>
        <v>0</v>
      </c>
      <c r="BN69" s="64">
        <f t="shared" si="8"/>
        <v>0</v>
      </c>
      <c r="BO69" s="64">
        <f t="shared" si="9"/>
        <v>0</v>
      </c>
      <c r="BP69" s="64">
        <f t="shared" si="10"/>
        <v>0</v>
      </c>
    </row>
    <row r="70" spans="1:68" x14ac:dyDescent="0.2">
      <c r="A70" s="611"/>
      <c r="B70" s="612"/>
      <c r="C70" s="612"/>
      <c r="D70" s="612"/>
      <c r="E70" s="612"/>
      <c r="F70" s="612"/>
      <c r="G70" s="612"/>
      <c r="H70" s="612"/>
      <c r="I70" s="612"/>
      <c r="J70" s="612"/>
      <c r="K70" s="612"/>
      <c r="L70" s="612"/>
      <c r="M70" s="612"/>
      <c r="N70" s="612"/>
      <c r="O70" s="613"/>
      <c r="P70" s="603" t="s">
        <v>78</v>
      </c>
      <c r="Q70" s="604"/>
      <c r="R70" s="604"/>
      <c r="S70" s="604"/>
      <c r="T70" s="604"/>
      <c r="U70" s="604"/>
      <c r="V70" s="605"/>
      <c r="W70" s="37" t="s">
        <v>79</v>
      </c>
      <c r="X70" s="601">
        <f>IFERROR(X63/H63,"0")+IFERROR(X64/H64,"0")+IFERROR(X65/H65,"0")+IFERROR(X66/H66,"0")+IFERROR(X67/H67,"0")+IFERROR(X68/H68,"0")+IFERROR(X69/H69,"0")</f>
        <v>37.037037037037038</v>
      </c>
      <c r="Y70" s="601">
        <f>IFERROR(Y63/H63,"0")+IFERROR(Y64/H64,"0")+IFERROR(Y65/H65,"0")+IFERROR(Y66/H66,"0")+IFERROR(Y67/H67,"0")+IFERROR(Y68/H68,"0")+IFERROR(Y69/H69,"0")</f>
        <v>38</v>
      </c>
      <c r="Z70" s="601">
        <f>IFERROR(IF(Z63="",0,Z63),"0")+IFERROR(IF(Z64="",0,Z64),"0")+IFERROR(IF(Z65="",0,Z65),"0")+IFERROR(IF(Z66="",0,Z66),"0")+IFERROR(IF(Z67="",0,Z67),"0")+IFERROR(IF(Z68="",0,Z68),"0")+IFERROR(IF(Z69="",0,Z69),"0")</f>
        <v>0.72123999999999999</v>
      </c>
      <c r="AA70" s="602"/>
      <c r="AB70" s="602"/>
      <c r="AC70" s="602"/>
    </row>
    <row r="71" spans="1:68" x14ac:dyDescent="0.2">
      <c r="A71" s="612"/>
      <c r="B71" s="612"/>
      <c r="C71" s="612"/>
      <c r="D71" s="612"/>
      <c r="E71" s="612"/>
      <c r="F71" s="612"/>
      <c r="G71" s="612"/>
      <c r="H71" s="612"/>
      <c r="I71" s="612"/>
      <c r="J71" s="612"/>
      <c r="K71" s="612"/>
      <c r="L71" s="612"/>
      <c r="M71" s="612"/>
      <c r="N71" s="612"/>
      <c r="O71" s="613"/>
      <c r="P71" s="603" t="s">
        <v>78</v>
      </c>
      <c r="Q71" s="604"/>
      <c r="R71" s="604"/>
      <c r="S71" s="604"/>
      <c r="T71" s="604"/>
      <c r="U71" s="604"/>
      <c r="V71" s="605"/>
      <c r="W71" s="37" t="s">
        <v>69</v>
      </c>
      <c r="X71" s="601">
        <f>IFERROR(SUM(X63:X69),"0")</f>
        <v>400</v>
      </c>
      <c r="Y71" s="601">
        <f>IFERROR(SUM(Y63:Y69),"0")</f>
        <v>410.40000000000003</v>
      </c>
      <c r="Z71" s="37"/>
      <c r="AA71" s="602"/>
      <c r="AB71" s="602"/>
      <c r="AC71" s="602"/>
    </row>
    <row r="72" spans="1:68" ht="14.25" customHeight="1" x14ac:dyDescent="0.25">
      <c r="A72" s="659" t="s">
        <v>165</v>
      </c>
      <c r="B72" s="612"/>
      <c r="C72" s="612"/>
      <c r="D72" s="612"/>
      <c r="E72" s="612"/>
      <c r="F72" s="612"/>
      <c r="G72" s="612"/>
      <c r="H72" s="612"/>
      <c r="I72" s="612"/>
      <c r="J72" s="612"/>
      <c r="K72" s="612"/>
      <c r="L72" s="612"/>
      <c r="M72" s="612"/>
      <c r="N72" s="612"/>
      <c r="O72" s="612"/>
      <c r="P72" s="612"/>
      <c r="Q72" s="612"/>
      <c r="R72" s="612"/>
      <c r="S72" s="612"/>
      <c r="T72" s="612"/>
      <c r="U72" s="612"/>
      <c r="V72" s="612"/>
      <c r="W72" s="612"/>
      <c r="X72" s="612"/>
      <c r="Y72" s="612"/>
      <c r="Z72" s="612"/>
      <c r="AA72" s="595"/>
      <c r="AB72" s="595"/>
      <c r="AC72" s="595"/>
    </row>
    <row r="73" spans="1:68" ht="16.5" customHeight="1" x14ac:dyDescent="0.25">
      <c r="A73" s="54" t="s">
        <v>166</v>
      </c>
      <c r="B73" s="54" t="s">
        <v>167</v>
      </c>
      <c r="C73" s="31">
        <v>4301020298</v>
      </c>
      <c r="D73" s="614">
        <v>4680115881440</v>
      </c>
      <c r="E73" s="615"/>
      <c r="F73" s="598">
        <v>1.35</v>
      </c>
      <c r="G73" s="32">
        <v>8</v>
      </c>
      <c r="H73" s="598">
        <v>10.8</v>
      </c>
      <c r="I73" s="598">
        <v>11.21</v>
      </c>
      <c r="J73" s="32">
        <v>64</v>
      </c>
      <c r="K73" s="32" t="s">
        <v>133</v>
      </c>
      <c r="L73" s="32"/>
      <c r="M73" s="33" t="s">
        <v>134</v>
      </c>
      <c r="N73" s="33"/>
      <c r="O73" s="32">
        <v>50</v>
      </c>
      <c r="P73" s="6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7"/>
      <c r="R73" s="607"/>
      <c r="S73" s="607"/>
      <c r="T73" s="608"/>
      <c r="U73" s="34"/>
      <c r="V73" s="34"/>
      <c r="W73" s="35" t="s">
        <v>69</v>
      </c>
      <c r="X73" s="599">
        <v>0</v>
      </c>
      <c r="Y73" s="600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25" t="s">
        <v>168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4301020358</v>
      </c>
      <c r="D74" s="614">
        <v>4680115885950</v>
      </c>
      <c r="E74" s="615"/>
      <c r="F74" s="598">
        <v>0.37</v>
      </c>
      <c r="G74" s="32">
        <v>6</v>
      </c>
      <c r="H74" s="598">
        <v>2.2200000000000002</v>
      </c>
      <c r="I74" s="598">
        <v>2.4</v>
      </c>
      <c r="J74" s="32">
        <v>182</v>
      </c>
      <c r="K74" s="32" t="s">
        <v>67</v>
      </c>
      <c r="L74" s="32"/>
      <c r="M74" s="33" t="s">
        <v>83</v>
      </c>
      <c r="N74" s="33"/>
      <c r="O74" s="32">
        <v>50</v>
      </c>
      <c r="P74" s="7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7"/>
      <c r="R74" s="607"/>
      <c r="S74" s="607"/>
      <c r="T74" s="608"/>
      <c r="U74" s="34"/>
      <c r="V74" s="34"/>
      <c r="W74" s="35" t="s">
        <v>69</v>
      </c>
      <c r="X74" s="599">
        <v>0</v>
      </c>
      <c r="Y74" s="60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168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16.5" customHeight="1" x14ac:dyDescent="0.25">
      <c r="A75" s="54" t="s">
        <v>171</v>
      </c>
      <c r="B75" s="54" t="s">
        <v>172</v>
      </c>
      <c r="C75" s="31">
        <v>4301020371</v>
      </c>
      <c r="D75" s="614">
        <v>4680115887688</v>
      </c>
      <c r="E75" s="615"/>
      <c r="F75" s="598">
        <v>0.1</v>
      </c>
      <c r="G75" s="32">
        <v>10</v>
      </c>
      <c r="H75" s="598">
        <v>1</v>
      </c>
      <c r="I75" s="598">
        <v>1.21</v>
      </c>
      <c r="J75" s="32">
        <v>192</v>
      </c>
      <c r="K75" s="32" t="s">
        <v>138</v>
      </c>
      <c r="L75" s="32"/>
      <c r="M75" s="33" t="s">
        <v>68</v>
      </c>
      <c r="N75" s="33"/>
      <c r="O75" s="32">
        <v>30</v>
      </c>
      <c r="P75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7"/>
      <c r="R75" s="607"/>
      <c r="S75" s="607"/>
      <c r="T75" s="608"/>
      <c r="U75" s="34"/>
      <c r="V75" s="34"/>
      <c r="W75" s="35" t="s">
        <v>69</v>
      </c>
      <c r="X75" s="599">
        <v>0</v>
      </c>
      <c r="Y75" s="600">
        <f>IFERROR(IF(X75="",0,CEILING((X75/$H75),1)*$H75),"")</f>
        <v>0</v>
      </c>
      <c r="Z75" s="36" t="str">
        <f>IFERROR(IF(Y75=0,"",ROUNDUP(Y75/H75,0)*0.00726),"")</f>
        <v/>
      </c>
      <c r="AA75" s="56"/>
      <c r="AB75" s="57"/>
      <c r="AC75" s="129" t="s">
        <v>173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174</v>
      </c>
      <c r="B76" s="54" t="s">
        <v>175</v>
      </c>
      <c r="C76" s="31">
        <v>4301020296</v>
      </c>
      <c r="D76" s="614">
        <v>4680115881433</v>
      </c>
      <c r="E76" s="615"/>
      <c r="F76" s="598">
        <v>0.45</v>
      </c>
      <c r="G76" s="32">
        <v>6</v>
      </c>
      <c r="H76" s="598">
        <v>2.7</v>
      </c>
      <c r="I76" s="598">
        <v>2.88</v>
      </c>
      <c r="J76" s="32">
        <v>182</v>
      </c>
      <c r="K76" s="32" t="s">
        <v>67</v>
      </c>
      <c r="L76" s="32"/>
      <c r="M76" s="33" t="s">
        <v>134</v>
      </c>
      <c r="N76" s="33"/>
      <c r="O76" s="32">
        <v>50</v>
      </c>
      <c r="P76" s="77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7"/>
      <c r="R76" s="607"/>
      <c r="S76" s="607"/>
      <c r="T76" s="608"/>
      <c r="U76" s="34"/>
      <c r="V76" s="34"/>
      <c r="W76" s="35" t="s">
        <v>69</v>
      </c>
      <c r="X76" s="599">
        <v>0</v>
      </c>
      <c r="Y76" s="600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168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611"/>
      <c r="B77" s="612"/>
      <c r="C77" s="612"/>
      <c r="D77" s="612"/>
      <c r="E77" s="612"/>
      <c r="F77" s="612"/>
      <c r="G77" s="612"/>
      <c r="H77" s="612"/>
      <c r="I77" s="612"/>
      <c r="J77" s="612"/>
      <c r="K77" s="612"/>
      <c r="L77" s="612"/>
      <c r="M77" s="612"/>
      <c r="N77" s="612"/>
      <c r="O77" s="613"/>
      <c r="P77" s="603" t="s">
        <v>78</v>
      </c>
      <c r="Q77" s="604"/>
      <c r="R77" s="604"/>
      <c r="S77" s="604"/>
      <c r="T77" s="604"/>
      <c r="U77" s="604"/>
      <c r="V77" s="605"/>
      <c r="W77" s="37" t="s">
        <v>79</v>
      </c>
      <c r="X77" s="601">
        <f>IFERROR(X73/H73,"0")+IFERROR(X74/H74,"0")+IFERROR(X75/H75,"0")+IFERROR(X76/H76,"0")</f>
        <v>0</v>
      </c>
      <c r="Y77" s="601">
        <f>IFERROR(Y73/H73,"0")+IFERROR(Y74/H74,"0")+IFERROR(Y75/H75,"0")+IFERROR(Y76/H76,"0")</f>
        <v>0</v>
      </c>
      <c r="Z77" s="601">
        <f>IFERROR(IF(Z73="",0,Z73),"0")+IFERROR(IF(Z74="",0,Z74),"0")+IFERROR(IF(Z75="",0,Z75),"0")+IFERROR(IF(Z76="",0,Z76),"0")</f>
        <v>0</v>
      </c>
      <c r="AA77" s="602"/>
      <c r="AB77" s="602"/>
      <c r="AC77" s="602"/>
    </row>
    <row r="78" spans="1:68" x14ac:dyDescent="0.2">
      <c r="A78" s="612"/>
      <c r="B78" s="612"/>
      <c r="C78" s="612"/>
      <c r="D78" s="612"/>
      <c r="E78" s="612"/>
      <c r="F78" s="612"/>
      <c r="G78" s="612"/>
      <c r="H78" s="612"/>
      <c r="I78" s="612"/>
      <c r="J78" s="612"/>
      <c r="K78" s="612"/>
      <c r="L78" s="612"/>
      <c r="M78" s="612"/>
      <c r="N78" s="612"/>
      <c r="O78" s="613"/>
      <c r="P78" s="603" t="s">
        <v>78</v>
      </c>
      <c r="Q78" s="604"/>
      <c r="R78" s="604"/>
      <c r="S78" s="604"/>
      <c r="T78" s="604"/>
      <c r="U78" s="604"/>
      <c r="V78" s="605"/>
      <c r="W78" s="37" t="s">
        <v>69</v>
      </c>
      <c r="X78" s="601">
        <f>IFERROR(SUM(X73:X76),"0")</f>
        <v>0</v>
      </c>
      <c r="Y78" s="601">
        <f>IFERROR(SUM(Y73:Y76),"0")</f>
        <v>0</v>
      </c>
      <c r="Z78" s="37"/>
      <c r="AA78" s="602"/>
      <c r="AB78" s="602"/>
      <c r="AC78" s="602"/>
    </row>
    <row r="79" spans="1:68" ht="14.25" customHeight="1" x14ac:dyDescent="0.25">
      <c r="A79" s="659" t="s">
        <v>80</v>
      </c>
      <c r="B79" s="612"/>
      <c r="C79" s="612"/>
      <c r="D79" s="612"/>
      <c r="E79" s="612"/>
      <c r="F79" s="612"/>
      <c r="G79" s="612"/>
      <c r="H79" s="612"/>
      <c r="I79" s="612"/>
      <c r="J79" s="612"/>
      <c r="K79" s="612"/>
      <c r="L79" s="612"/>
      <c r="M79" s="612"/>
      <c r="N79" s="612"/>
      <c r="O79" s="612"/>
      <c r="P79" s="612"/>
      <c r="Q79" s="612"/>
      <c r="R79" s="612"/>
      <c r="S79" s="612"/>
      <c r="T79" s="612"/>
      <c r="U79" s="612"/>
      <c r="V79" s="612"/>
      <c r="W79" s="612"/>
      <c r="X79" s="612"/>
      <c r="Y79" s="612"/>
      <c r="Z79" s="612"/>
      <c r="AA79" s="595"/>
      <c r="AB79" s="595"/>
      <c r="AC79" s="595"/>
    </row>
    <row r="80" spans="1:68" ht="16.5" customHeight="1" x14ac:dyDescent="0.25">
      <c r="A80" s="54" t="s">
        <v>176</v>
      </c>
      <c r="B80" s="54" t="s">
        <v>177</v>
      </c>
      <c r="C80" s="31">
        <v>4301051837</v>
      </c>
      <c r="D80" s="614">
        <v>4680115884311</v>
      </c>
      <c r="E80" s="615"/>
      <c r="F80" s="598">
        <v>0.3</v>
      </c>
      <c r="G80" s="32">
        <v>6</v>
      </c>
      <c r="H80" s="598">
        <v>1.8</v>
      </c>
      <c r="I80" s="598">
        <v>2.0459999999999998</v>
      </c>
      <c r="J80" s="32">
        <v>182</v>
      </c>
      <c r="K80" s="32" t="s">
        <v>67</v>
      </c>
      <c r="L80" s="32"/>
      <c r="M80" s="33" t="s">
        <v>83</v>
      </c>
      <c r="N80" s="33"/>
      <c r="O80" s="32">
        <v>40</v>
      </c>
      <c r="P80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7"/>
      <c r="R80" s="607"/>
      <c r="S80" s="607"/>
      <c r="T80" s="608"/>
      <c r="U80" s="34"/>
      <c r="V80" s="34"/>
      <c r="W80" s="35" t="s">
        <v>69</v>
      </c>
      <c r="X80" s="599">
        <v>81</v>
      </c>
      <c r="Y80" s="600">
        <f>IFERROR(IF(X80="",0,CEILING((X80/$H80),1)*$H80),"")</f>
        <v>81</v>
      </c>
      <c r="Z80" s="36">
        <f>IFERROR(IF(Y80=0,"",ROUNDUP(Y80/H80,0)*0.00651),"")</f>
        <v>0.29294999999999999</v>
      </c>
      <c r="AA80" s="56"/>
      <c r="AB80" s="57"/>
      <c r="AC80" s="133" t="s">
        <v>178</v>
      </c>
      <c r="AG80" s="64"/>
      <c r="AJ80" s="68"/>
      <c r="AK80" s="68">
        <v>0</v>
      </c>
      <c r="BB80" s="134" t="s">
        <v>1</v>
      </c>
      <c r="BM80" s="64">
        <f>IFERROR(X80*I80/H80,"0")</f>
        <v>92.07</v>
      </c>
      <c r="BN80" s="64">
        <f>IFERROR(Y80*I80/H80,"0")</f>
        <v>92.07</v>
      </c>
      <c r="BO80" s="64">
        <f>IFERROR(1/J80*(X80/H80),"0")</f>
        <v>0.24725274725274726</v>
      </c>
      <c r="BP80" s="64">
        <f>IFERROR(1/J80*(Y80/H80),"0")</f>
        <v>0.24725274725274726</v>
      </c>
    </row>
    <row r="81" spans="1:68" ht="27" customHeight="1" x14ac:dyDescent="0.25">
      <c r="A81" s="54" t="s">
        <v>179</v>
      </c>
      <c r="B81" s="54" t="s">
        <v>180</v>
      </c>
      <c r="C81" s="31">
        <v>4301051929</v>
      </c>
      <c r="D81" s="614">
        <v>4680115884403</v>
      </c>
      <c r="E81" s="615"/>
      <c r="F81" s="598">
        <v>0.3</v>
      </c>
      <c r="G81" s="32">
        <v>6</v>
      </c>
      <c r="H81" s="598">
        <v>1.8</v>
      </c>
      <c r="I81" s="598">
        <v>1.98</v>
      </c>
      <c r="J81" s="32">
        <v>182</v>
      </c>
      <c r="K81" s="32" t="s">
        <v>67</v>
      </c>
      <c r="L81" s="32"/>
      <c r="M81" s="33" t="s">
        <v>83</v>
      </c>
      <c r="N81" s="33"/>
      <c r="O81" s="32">
        <v>40</v>
      </c>
      <c r="P81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7"/>
      <c r="R81" s="607"/>
      <c r="S81" s="607"/>
      <c r="T81" s="608"/>
      <c r="U81" s="34"/>
      <c r="V81" s="34"/>
      <c r="W81" s="35" t="s">
        <v>69</v>
      </c>
      <c r="X81" s="599">
        <v>0</v>
      </c>
      <c r="Y81" s="600">
        <f>IFERROR(IF(X81="",0,CEILING((X81/$H81),1)*$H81),"")</f>
        <v>0</v>
      </c>
      <c r="Z81" s="36" t="str">
        <f>IFERROR(IF(Y81=0,"",ROUNDUP(Y81/H81,0)*0.00651),"")</f>
        <v/>
      </c>
      <c r="AA81" s="56"/>
      <c r="AB81" s="57"/>
      <c r="AC81" s="135" t="s">
        <v>181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11"/>
      <c r="B82" s="612"/>
      <c r="C82" s="612"/>
      <c r="D82" s="612"/>
      <c r="E82" s="612"/>
      <c r="F82" s="612"/>
      <c r="G82" s="612"/>
      <c r="H82" s="612"/>
      <c r="I82" s="612"/>
      <c r="J82" s="612"/>
      <c r="K82" s="612"/>
      <c r="L82" s="612"/>
      <c r="M82" s="612"/>
      <c r="N82" s="612"/>
      <c r="O82" s="613"/>
      <c r="P82" s="603" t="s">
        <v>78</v>
      </c>
      <c r="Q82" s="604"/>
      <c r="R82" s="604"/>
      <c r="S82" s="604"/>
      <c r="T82" s="604"/>
      <c r="U82" s="604"/>
      <c r="V82" s="605"/>
      <c r="W82" s="37" t="s">
        <v>79</v>
      </c>
      <c r="X82" s="601">
        <f>IFERROR(X80/H80,"0")+IFERROR(X81/H81,"0")</f>
        <v>45</v>
      </c>
      <c r="Y82" s="601">
        <f>IFERROR(Y80/H80,"0")+IFERROR(Y81/H81,"0")</f>
        <v>45</v>
      </c>
      <c r="Z82" s="601">
        <f>IFERROR(IF(Z80="",0,Z80),"0")+IFERROR(IF(Z81="",0,Z81),"0")</f>
        <v>0.29294999999999999</v>
      </c>
      <c r="AA82" s="602"/>
      <c r="AB82" s="602"/>
      <c r="AC82" s="602"/>
    </row>
    <row r="83" spans="1:68" x14ac:dyDescent="0.2">
      <c r="A83" s="612"/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2"/>
      <c r="N83" s="612"/>
      <c r="O83" s="613"/>
      <c r="P83" s="603" t="s">
        <v>78</v>
      </c>
      <c r="Q83" s="604"/>
      <c r="R83" s="604"/>
      <c r="S83" s="604"/>
      <c r="T83" s="604"/>
      <c r="U83" s="604"/>
      <c r="V83" s="605"/>
      <c r="W83" s="37" t="s">
        <v>69</v>
      </c>
      <c r="X83" s="601">
        <f>IFERROR(SUM(X80:X81),"0")</f>
        <v>81</v>
      </c>
      <c r="Y83" s="601">
        <f>IFERROR(SUM(Y80:Y81),"0")</f>
        <v>81</v>
      </c>
      <c r="Z83" s="37"/>
      <c r="AA83" s="602"/>
      <c r="AB83" s="602"/>
      <c r="AC83" s="602"/>
    </row>
    <row r="84" spans="1:68" ht="14.25" customHeight="1" x14ac:dyDescent="0.25">
      <c r="A84" s="659" t="s">
        <v>182</v>
      </c>
      <c r="B84" s="612"/>
      <c r="C84" s="612"/>
      <c r="D84" s="612"/>
      <c r="E84" s="612"/>
      <c r="F84" s="612"/>
      <c r="G84" s="612"/>
      <c r="H84" s="612"/>
      <c r="I84" s="612"/>
      <c r="J84" s="612"/>
      <c r="K84" s="612"/>
      <c r="L84" s="612"/>
      <c r="M84" s="612"/>
      <c r="N84" s="612"/>
      <c r="O84" s="612"/>
      <c r="P84" s="612"/>
      <c r="Q84" s="612"/>
      <c r="R84" s="612"/>
      <c r="S84" s="612"/>
      <c r="T84" s="612"/>
      <c r="U84" s="612"/>
      <c r="V84" s="612"/>
      <c r="W84" s="612"/>
      <c r="X84" s="612"/>
      <c r="Y84" s="612"/>
      <c r="Z84" s="612"/>
      <c r="AA84" s="595"/>
      <c r="AB84" s="595"/>
      <c r="AC84" s="595"/>
    </row>
    <row r="85" spans="1:68" ht="27" customHeight="1" x14ac:dyDescent="0.25">
      <c r="A85" s="54" t="s">
        <v>183</v>
      </c>
      <c r="B85" s="54" t="s">
        <v>184</v>
      </c>
      <c r="C85" s="31">
        <v>4301060455</v>
      </c>
      <c r="D85" s="614">
        <v>4680115881532</v>
      </c>
      <c r="E85" s="615"/>
      <c r="F85" s="598">
        <v>1.3</v>
      </c>
      <c r="G85" s="32">
        <v>6</v>
      </c>
      <c r="H85" s="598">
        <v>7.8</v>
      </c>
      <c r="I85" s="598">
        <v>8.2100000000000009</v>
      </c>
      <c r="J85" s="32">
        <v>64</v>
      </c>
      <c r="K85" s="32" t="s">
        <v>133</v>
      </c>
      <c r="L85" s="32"/>
      <c r="M85" s="33" t="s">
        <v>89</v>
      </c>
      <c r="N85" s="33"/>
      <c r="O85" s="32">
        <v>30</v>
      </c>
      <c r="P85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7"/>
      <c r="R85" s="607"/>
      <c r="S85" s="607"/>
      <c r="T85" s="608"/>
      <c r="U85" s="34"/>
      <c r="V85" s="34"/>
      <c r="W85" s="35" t="s">
        <v>69</v>
      </c>
      <c r="X85" s="599">
        <v>0</v>
      </c>
      <c r="Y85" s="60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7" t="s">
        <v>185</v>
      </c>
      <c r="AG85" s="64"/>
      <c r="AJ85" s="68"/>
      <c r="AK85" s="68">
        <v>0</v>
      </c>
      <c r="BB85" s="13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186</v>
      </c>
      <c r="B86" s="54" t="s">
        <v>187</v>
      </c>
      <c r="C86" s="31">
        <v>4301060351</v>
      </c>
      <c r="D86" s="614">
        <v>4680115881464</v>
      </c>
      <c r="E86" s="615"/>
      <c r="F86" s="598">
        <v>0.4</v>
      </c>
      <c r="G86" s="32">
        <v>6</v>
      </c>
      <c r="H86" s="598">
        <v>2.4</v>
      </c>
      <c r="I86" s="598">
        <v>2.59</v>
      </c>
      <c r="J86" s="32">
        <v>132</v>
      </c>
      <c r="K86" s="32" t="s">
        <v>142</v>
      </c>
      <c r="L86" s="32"/>
      <c r="M86" s="33" t="s">
        <v>83</v>
      </c>
      <c r="N86" s="33"/>
      <c r="O86" s="32">
        <v>30</v>
      </c>
      <c r="P86" s="6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7"/>
      <c r="R86" s="607"/>
      <c r="S86" s="607"/>
      <c r="T86" s="608"/>
      <c r="U86" s="34"/>
      <c r="V86" s="34"/>
      <c r="W86" s="35" t="s">
        <v>69</v>
      </c>
      <c r="X86" s="599">
        <v>0</v>
      </c>
      <c r="Y86" s="60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9" t="s">
        <v>188</v>
      </c>
      <c r="AG86" s="64"/>
      <c r="AJ86" s="68"/>
      <c r="AK86" s="68">
        <v>0</v>
      </c>
      <c r="BB86" s="14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">
      <c r="A87" s="611"/>
      <c r="B87" s="612"/>
      <c r="C87" s="612"/>
      <c r="D87" s="612"/>
      <c r="E87" s="612"/>
      <c r="F87" s="612"/>
      <c r="G87" s="612"/>
      <c r="H87" s="612"/>
      <c r="I87" s="612"/>
      <c r="J87" s="612"/>
      <c r="K87" s="612"/>
      <c r="L87" s="612"/>
      <c r="M87" s="612"/>
      <c r="N87" s="612"/>
      <c r="O87" s="613"/>
      <c r="P87" s="603" t="s">
        <v>78</v>
      </c>
      <c r="Q87" s="604"/>
      <c r="R87" s="604"/>
      <c r="S87" s="604"/>
      <c r="T87" s="604"/>
      <c r="U87" s="604"/>
      <c r="V87" s="605"/>
      <c r="W87" s="37" t="s">
        <v>79</v>
      </c>
      <c r="X87" s="601">
        <f>IFERROR(X85/H85,"0")+IFERROR(X86/H86,"0")</f>
        <v>0</v>
      </c>
      <c r="Y87" s="601">
        <f>IFERROR(Y85/H85,"0")+IFERROR(Y86/H86,"0")</f>
        <v>0</v>
      </c>
      <c r="Z87" s="601">
        <f>IFERROR(IF(Z85="",0,Z85),"0")+IFERROR(IF(Z86="",0,Z86),"0")</f>
        <v>0</v>
      </c>
      <c r="AA87" s="602"/>
      <c r="AB87" s="602"/>
      <c r="AC87" s="602"/>
    </row>
    <row r="88" spans="1:68" x14ac:dyDescent="0.2">
      <c r="A88" s="612"/>
      <c r="B88" s="612"/>
      <c r="C88" s="612"/>
      <c r="D88" s="612"/>
      <c r="E88" s="612"/>
      <c r="F88" s="612"/>
      <c r="G88" s="612"/>
      <c r="H88" s="612"/>
      <c r="I88" s="612"/>
      <c r="J88" s="612"/>
      <c r="K88" s="612"/>
      <c r="L88" s="612"/>
      <c r="M88" s="612"/>
      <c r="N88" s="612"/>
      <c r="O88" s="613"/>
      <c r="P88" s="603" t="s">
        <v>78</v>
      </c>
      <c r="Q88" s="604"/>
      <c r="R88" s="604"/>
      <c r="S88" s="604"/>
      <c r="T88" s="604"/>
      <c r="U88" s="604"/>
      <c r="V88" s="605"/>
      <c r="W88" s="37" t="s">
        <v>69</v>
      </c>
      <c r="X88" s="601">
        <f>IFERROR(SUM(X85:X86),"0")</f>
        <v>0</v>
      </c>
      <c r="Y88" s="601">
        <f>IFERROR(SUM(Y85:Y86),"0")</f>
        <v>0</v>
      </c>
      <c r="Z88" s="37"/>
      <c r="AA88" s="602"/>
      <c r="AB88" s="602"/>
      <c r="AC88" s="602"/>
    </row>
    <row r="89" spans="1:68" ht="16.5" customHeight="1" x14ac:dyDescent="0.25">
      <c r="A89" s="622" t="s">
        <v>189</v>
      </c>
      <c r="B89" s="612"/>
      <c r="C89" s="612"/>
      <c r="D89" s="612"/>
      <c r="E89" s="612"/>
      <c r="F89" s="612"/>
      <c r="G89" s="612"/>
      <c r="H89" s="612"/>
      <c r="I89" s="612"/>
      <c r="J89" s="612"/>
      <c r="K89" s="612"/>
      <c r="L89" s="612"/>
      <c r="M89" s="612"/>
      <c r="N89" s="612"/>
      <c r="O89" s="612"/>
      <c r="P89" s="612"/>
      <c r="Q89" s="612"/>
      <c r="R89" s="612"/>
      <c r="S89" s="612"/>
      <c r="T89" s="612"/>
      <c r="U89" s="612"/>
      <c r="V89" s="612"/>
      <c r="W89" s="612"/>
      <c r="X89" s="612"/>
      <c r="Y89" s="612"/>
      <c r="Z89" s="612"/>
      <c r="AA89" s="594"/>
      <c r="AB89" s="594"/>
      <c r="AC89" s="594"/>
    </row>
    <row r="90" spans="1:68" ht="14.25" customHeight="1" x14ac:dyDescent="0.25">
      <c r="A90" s="659" t="s">
        <v>130</v>
      </c>
      <c r="B90" s="612"/>
      <c r="C90" s="612"/>
      <c r="D90" s="612"/>
      <c r="E90" s="612"/>
      <c r="F90" s="612"/>
      <c r="G90" s="612"/>
      <c r="H90" s="612"/>
      <c r="I90" s="612"/>
      <c r="J90" s="612"/>
      <c r="K90" s="612"/>
      <c r="L90" s="612"/>
      <c r="M90" s="612"/>
      <c r="N90" s="612"/>
      <c r="O90" s="612"/>
      <c r="P90" s="612"/>
      <c r="Q90" s="612"/>
      <c r="R90" s="612"/>
      <c r="S90" s="612"/>
      <c r="T90" s="612"/>
      <c r="U90" s="612"/>
      <c r="V90" s="612"/>
      <c r="W90" s="612"/>
      <c r="X90" s="612"/>
      <c r="Y90" s="612"/>
      <c r="Z90" s="612"/>
      <c r="AA90" s="595"/>
      <c r="AB90" s="595"/>
      <c r="AC90" s="595"/>
    </row>
    <row r="91" spans="1:68" ht="27" customHeight="1" x14ac:dyDescent="0.25">
      <c r="A91" s="54" t="s">
        <v>190</v>
      </c>
      <c r="B91" s="54" t="s">
        <v>191</v>
      </c>
      <c r="C91" s="31">
        <v>4301011468</v>
      </c>
      <c r="D91" s="614">
        <v>4680115881327</v>
      </c>
      <c r="E91" s="615"/>
      <c r="F91" s="598">
        <v>1.35</v>
      </c>
      <c r="G91" s="32">
        <v>8</v>
      </c>
      <c r="H91" s="598">
        <v>10.8</v>
      </c>
      <c r="I91" s="598">
        <v>11.21</v>
      </c>
      <c r="J91" s="32">
        <v>64</v>
      </c>
      <c r="K91" s="32" t="s">
        <v>133</v>
      </c>
      <c r="L91" s="32"/>
      <c r="M91" s="33" t="s">
        <v>89</v>
      </c>
      <c r="N91" s="33"/>
      <c r="O91" s="32">
        <v>50</v>
      </c>
      <c r="P91" s="8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7"/>
      <c r="R91" s="607"/>
      <c r="S91" s="607"/>
      <c r="T91" s="608"/>
      <c r="U91" s="34"/>
      <c r="V91" s="34"/>
      <c r="W91" s="35" t="s">
        <v>69</v>
      </c>
      <c r="X91" s="599">
        <v>211</v>
      </c>
      <c r="Y91" s="600">
        <f>IFERROR(IF(X91="",0,CEILING((X91/$H91),1)*$H91),"")</f>
        <v>216</v>
      </c>
      <c r="Z91" s="36">
        <f>IFERROR(IF(Y91=0,"",ROUNDUP(Y91/H91,0)*0.01898),"")</f>
        <v>0.37959999999999999</v>
      </c>
      <c r="AA91" s="56"/>
      <c r="AB91" s="57"/>
      <c r="AC91" s="141" t="s">
        <v>192</v>
      </c>
      <c r="AG91" s="64"/>
      <c r="AJ91" s="68"/>
      <c r="AK91" s="68">
        <v>0</v>
      </c>
      <c r="BB91" s="142" t="s">
        <v>1</v>
      </c>
      <c r="BM91" s="64">
        <f>IFERROR(X91*I91/H91,"0")</f>
        <v>219.01018518518521</v>
      </c>
      <c r="BN91" s="64">
        <f>IFERROR(Y91*I91/H91,"0")</f>
        <v>224.2</v>
      </c>
      <c r="BO91" s="64">
        <f>IFERROR(1/J91*(X91/H91),"0")</f>
        <v>0.30526620370370366</v>
      </c>
      <c r="BP91" s="64">
        <f>IFERROR(1/J91*(Y91/H91),"0")</f>
        <v>0.3125</v>
      </c>
    </row>
    <row r="92" spans="1:68" ht="27" customHeight="1" x14ac:dyDescent="0.25">
      <c r="A92" s="54" t="s">
        <v>193</v>
      </c>
      <c r="B92" s="54" t="s">
        <v>194</v>
      </c>
      <c r="C92" s="31">
        <v>4301011261</v>
      </c>
      <c r="D92" s="614">
        <v>4680115887732</v>
      </c>
      <c r="E92" s="615"/>
      <c r="F92" s="598">
        <v>0.17</v>
      </c>
      <c r="G92" s="32">
        <v>10</v>
      </c>
      <c r="H92" s="598">
        <v>1.7</v>
      </c>
      <c r="I92" s="598">
        <v>1.8</v>
      </c>
      <c r="J92" s="32">
        <v>192</v>
      </c>
      <c r="K92" s="32" t="s">
        <v>138</v>
      </c>
      <c r="L92" s="32"/>
      <c r="M92" s="33" t="s">
        <v>68</v>
      </c>
      <c r="N92" s="33"/>
      <c r="O92" s="32">
        <v>30</v>
      </c>
      <c r="P92" s="6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7"/>
      <c r="R92" s="607"/>
      <c r="S92" s="607"/>
      <c r="T92" s="608"/>
      <c r="U92" s="34"/>
      <c r="V92" s="34"/>
      <c r="W92" s="35" t="s">
        <v>69</v>
      </c>
      <c r="X92" s="599">
        <v>0</v>
      </c>
      <c r="Y92" s="600">
        <f>IFERROR(IF(X92="",0,CEILING((X92/$H92),1)*$H92),"")</f>
        <v>0</v>
      </c>
      <c r="Z92" s="36" t="str">
        <f>IFERROR(IF(Y92=0,"",ROUNDUP(Y92/H92,0)*0.00726),"")</f>
        <v/>
      </c>
      <c r="AA92" s="56"/>
      <c r="AB92" s="57"/>
      <c r="AC92" s="143" t="s">
        <v>195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196</v>
      </c>
      <c r="B93" s="54" t="s">
        <v>197</v>
      </c>
      <c r="C93" s="31">
        <v>4301011476</v>
      </c>
      <c r="D93" s="614">
        <v>4680115881518</v>
      </c>
      <c r="E93" s="615"/>
      <c r="F93" s="598">
        <v>0.4</v>
      </c>
      <c r="G93" s="32">
        <v>10</v>
      </c>
      <c r="H93" s="598">
        <v>4</v>
      </c>
      <c r="I93" s="598">
        <v>4.1900000000000004</v>
      </c>
      <c r="J93" s="32">
        <v>132</v>
      </c>
      <c r="K93" s="32" t="s">
        <v>142</v>
      </c>
      <c r="L93" s="32"/>
      <c r="M93" s="33" t="s">
        <v>83</v>
      </c>
      <c r="N93" s="33"/>
      <c r="O93" s="32">
        <v>50</v>
      </c>
      <c r="P93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7"/>
      <c r="R93" s="607"/>
      <c r="S93" s="607"/>
      <c r="T93" s="608"/>
      <c r="U93" s="34"/>
      <c r="V93" s="34"/>
      <c r="W93" s="35" t="s">
        <v>69</v>
      </c>
      <c r="X93" s="599">
        <v>0</v>
      </c>
      <c r="Y93" s="600">
        <f>IFERROR(IF(X93="",0,CEILING((X93/$H93),1)*$H93),"")</f>
        <v>0</v>
      </c>
      <c r="Z93" s="36" t="str">
        <f>IFERROR(IF(Y93=0,"",ROUNDUP(Y93/H93,0)*0.00902),"")</f>
        <v/>
      </c>
      <c r="AA93" s="56"/>
      <c r="AB93" s="57"/>
      <c r="AC93" s="145" t="s">
        <v>192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198</v>
      </c>
      <c r="B94" s="54" t="s">
        <v>199</v>
      </c>
      <c r="C94" s="31">
        <v>4301011443</v>
      </c>
      <c r="D94" s="614">
        <v>4680115881303</v>
      </c>
      <c r="E94" s="615"/>
      <c r="F94" s="598">
        <v>0.45</v>
      </c>
      <c r="G94" s="32">
        <v>10</v>
      </c>
      <c r="H94" s="598">
        <v>4.5</v>
      </c>
      <c r="I94" s="598">
        <v>4.6900000000000004</v>
      </c>
      <c r="J94" s="32">
        <v>132</v>
      </c>
      <c r="K94" s="32" t="s">
        <v>142</v>
      </c>
      <c r="L94" s="32"/>
      <c r="M94" s="33" t="s">
        <v>89</v>
      </c>
      <c r="N94" s="33"/>
      <c r="O94" s="32">
        <v>50</v>
      </c>
      <c r="P94" s="6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7"/>
      <c r="R94" s="607"/>
      <c r="S94" s="607"/>
      <c r="T94" s="608"/>
      <c r="U94" s="34"/>
      <c r="V94" s="34"/>
      <c r="W94" s="35" t="s">
        <v>69</v>
      </c>
      <c r="X94" s="599">
        <v>109</v>
      </c>
      <c r="Y94" s="600">
        <f>IFERROR(IF(X94="",0,CEILING((X94/$H94),1)*$H94),"")</f>
        <v>112.5</v>
      </c>
      <c r="Z94" s="36">
        <f>IFERROR(IF(Y94=0,"",ROUNDUP(Y94/H94,0)*0.00902),"")</f>
        <v>0.22550000000000001</v>
      </c>
      <c r="AA94" s="56"/>
      <c r="AB94" s="57"/>
      <c r="AC94" s="147" t="s">
        <v>192</v>
      </c>
      <c r="AG94" s="64"/>
      <c r="AJ94" s="68"/>
      <c r="AK94" s="68">
        <v>0</v>
      </c>
      <c r="BB94" s="148" t="s">
        <v>1</v>
      </c>
      <c r="BM94" s="64">
        <f>IFERROR(X94*I94/H94,"0")</f>
        <v>113.60222222222222</v>
      </c>
      <c r="BN94" s="64">
        <f>IFERROR(Y94*I94/H94,"0")</f>
        <v>117.25</v>
      </c>
      <c r="BO94" s="64">
        <f>IFERROR(1/J94*(X94/H94),"0")</f>
        <v>0.1835016835016835</v>
      </c>
      <c r="BP94" s="64">
        <f>IFERROR(1/J94*(Y94/H94),"0")</f>
        <v>0.18939393939393939</v>
      </c>
    </row>
    <row r="95" spans="1:68" x14ac:dyDescent="0.2">
      <c r="A95" s="611"/>
      <c r="B95" s="612"/>
      <c r="C95" s="612"/>
      <c r="D95" s="612"/>
      <c r="E95" s="612"/>
      <c r="F95" s="612"/>
      <c r="G95" s="612"/>
      <c r="H95" s="612"/>
      <c r="I95" s="612"/>
      <c r="J95" s="612"/>
      <c r="K95" s="612"/>
      <c r="L95" s="612"/>
      <c r="M95" s="612"/>
      <c r="N95" s="612"/>
      <c r="O95" s="613"/>
      <c r="P95" s="603" t="s">
        <v>78</v>
      </c>
      <c r="Q95" s="604"/>
      <c r="R95" s="604"/>
      <c r="S95" s="604"/>
      <c r="T95" s="604"/>
      <c r="U95" s="604"/>
      <c r="V95" s="605"/>
      <c r="W95" s="37" t="s">
        <v>79</v>
      </c>
      <c r="X95" s="601">
        <f>IFERROR(X91/H91,"0")+IFERROR(X92/H92,"0")+IFERROR(X93/H93,"0")+IFERROR(X94/H94,"0")</f>
        <v>43.759259259259252</v>
      </c>
      <c r="Y95" s="601">
        <f>IFERROR(Y91/H91,"0")+IFERROR(Y92/H92,"0")+IFERROR(Y93/H93,"0")+IFERROR(Y94/H94,"0")</f>
        <v>45</v>
      </c>
      <c r="Z95" s="601">
        <f>IFERROR(IF(Z91="",0,Z91),"0")+IFERROR(IF(Z92="",0,Z92),"0")+IFERROR(IF(Z93="",0,Z93),"0")+IFERROR(IF(Z94="",0,Z94),"0")</f>
        <v>0.60509999999999997</v>
      </c>
      <c r="AA95" s="602"/>
      <c r="AB95" s="602"/>
      <c r="AC95" s="602"/>
    </row>
    <row r="96" spans="1:68" x14ac:dyDescent="0.2">
      <c r="A96" s="612"/>
      <c r="B96" s="612"/>
      <c r="C96" s="612"/>
      <c r="D96" s="612"/>
      <c r="E96" s="612"/>
      <c r="F96" s="612"/>
      <c r="G96" s="612"/>
      <c r="H96" s="612"/>
      <c r="I96" s="612"/>
      <c r="J96" s="612"/>
      <c r="K96" s="612"/>
      <c r="L96" s="612"/>
      <c r="M96" s="612"/>
      <c r="N96" s="612"/>
      <c r="O96" s="613"/>
      <c r="P96" s="603" t="s">
        <v>78</v>
      </c>
      <c r="Q96" s="604"/>
      <c r="R96" s="604"/>
      <c r="S96" s="604"/>
      <c r="T96" s="604"/>
      <c r="U96" s="604"/>
      <c r="V96" s="605"/>
      <c r="W96" s="37" t="s">
        <v>69</v>
      </c>
      <c r="X96" s="601">
        <f>IFERROR(SUM(X91:X94),"0")</f>
        <v>320</v>
      </c>
      <c r="Y96" s="601">
        <f>IFERROR(SUM(Y91:Y94),"0")</f>
        <v>328.5</v>
      </c>
      <c r="Z96" s="37"/>
      <c r="AA96" s="602"/>
      <c r="AB96" s="602"/>
      <c r="AC96" s="602"/>
    </row>
    <row r="97" spans="1:68" ht="14.25" customHeight="1" x14ac:dyDescent="0.25">
      <c r="A97" s="659" t="s">
        <v>80</v>
      </c>
      <c r="B97" s="612"/>
      <c r="C97" s="612"/>
      <c r="D97" s="612"/>
      <c r="E97" s="612"/>
      <c r="F97" s="612"/>
      <c r="G97" s="612"/>
      <c r="H97" s="612"/>
      <c r="I97" s="612"/>
      <c r="J97" s="612"/>
      <c r="K97" s="612"/>
      <c r="L97" s="612"/>
      <c r="M97" s="612"/>
      <c r="N97" s="612"/>
      <c r="O97" s="612"/>
      <c r="P97" s="612"/>
      <c r="Q97" s="612"/>
      <c r="R97" s="612"/>
      <c r="S97" s="612"/>
      <c r="T97" s="612"/>
      <c r="U97" s="612"/>
      <c r="V97" s="612"/>
      <c r="W97" s="612"/>
      <c r="X97" s="612"/>
      <c r="Y97" s="612"/>
      <c r="Z97" s="612"/>
      <c r="AA97" s="595"/>
      <c r="AB97" s="595"/>
      <c r="AC97" s="595"/>
    </row>
    <row r="98" spans="1:68" ht="27" customHeight="1" x14ac:dyDescent="0.25">
      <c r="A98" s="54" t="s">
        <v>200</v>
      </c>
      <c r="B98" s="54" t="s">
        <v>201</v>
      </c>
      <c r="C98" s="31">
        <v>4301051712</v>
      </c>
      <c r="D98" s="614">
        <v>4607091386967</v>
      </c>
      <c r="E98" s="615"/>
      <c r="F98" s="598">
        <v>1.35</v>
      </c>
      <c r="G98" s="32">
        <v>6</v>
      </c>
      <c r="H98" s="598">
        <v>8.1</v>
      </c>
      <c r="I98" s="598">
        <v>8.5939999999999994</v>
      </c>
      <c r="J98" s="32">
        <v>64</v>
      </c>
      <c r="K98" s="32" t="s">
        <v>133</v>
      </c>
      <c r="L98" s="32"/>
      <c r="M98" s="33" t="s">
        <v>89</v>
      </c>
      <c r="N98" s="33"/>
      <c r="O98" s="32">
        <v>45</v>
      </c>
      <c r="P98" s="8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7"/>
      <c r="R98" s="607"/>
      <c r="S98" s="607"/>
      <c r="T98" s="608"/>
      <c r="U98" s="34"/>
      <c r="V98" s="34"/>
      <c r="W98" s="35" t="s">
        <v>69</v>
      </c>
      <c r="X98" s="599">
        <v>983</v>
      </c>
      <c r="Y98" s="600">
        <f>IFERROR(IF(X98="",0,CEILING((X98/$H98),1)*$H98),"")</f>
        <v>988.19999999999993</v>
      </c>
      <c r="Z98" s="36">
        <f>IFERROR(IF(Y98=0,"",ROUNDUP(Y98/H98,0)*0.01898),"")</f>
        <v>2.3155600000000001</v>
      </c>
      <c r="AA98" s="56"/>
      <c r="AB98" s="57"/>
      <c r="AC98" s="149" t="s">
        <v>202</v>
      </c>
      <c r="AG98" s="64"/>
      <c r="AJ98" s="68"/>
      <c r="AK98" s="68">
        <v>0</v>
      </c>
      <c r="BB98" s="150" t="s">
        <v>1</v>
      </c>
      <c r="BM98" s="64">
        <f>IFERROR(X98*I98/H98,"0")</f>
        <v>1042.950864197531</v>
      </c>
      <c r="BN98" s="64">
        <f>IFERROR(Y98*I98/H98,"0")</f>
        <v>1048.4679999999998</v>
      </c>
      <c r="BO98" s="64">
        <f>IFERROR(1/J98*(X98/H98),"0")</f>
        <v>1.8962191358024691</v>
      </c>
      <c r="BP98" s="64">
        <f>IFERROR(1/J98*(Y98/H98),"0")</f>
        <v>1.90625</v>
      </c>
    </row>
    <row r="99" spans="1:68" ht="27" customHeight="1" x14ac:dyDescent="0.25">
      <c r="A99" s="54" t="s">
        <v>203</v>
      </c>
      <c r="B99" s="54" t="s">
        <v>204</v>
      </c>
      <c r="C99" s="31">
        <v>4301051788</v>
      </c>
      <c r="D99" s="614">
        <v>4680115884953</v>
      </c>
      <c r="E99" s="615"/>
      <c r="F99" s="598">
        <v>0.37</v>
      </c>
      <c r="G99" s="32">
        <v>6</v>
      </c>
      <c r="H99" s="598">
        <v>2.2200000000000002</v>
      </c>
      <c r="I99" s="598">
        <v>2.472</v>
      </c>
      <c r="J99" s="32">
        <v>182</v>
      </c>
      <c r="K99" s="32" t="s">
        <v>67</v>
      </c>
      <c r="L99" s="32"/>
      <c r="M99" s="33" t="s">
        <v>83</v>
      </c>
      <c r="N99" s="33"/>
      <c r="O99" s="32">
        <v>45</v>
      </c>
      <c r="P99" s="6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7"/>
      <c r="R99" s="607"/>
      <c r="S99" s="607"/>
      <c r="T99" s="608"/>
      <c r="U99" s="34"/>
      <c r="V99" s="34"/>
      <c r="W99" s="35" t="s">
        <v>69</v>
      </c>
      <c r="X99" s="599">
        <v>0</v>
      </c>
      <c r="Y99" s="600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202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205</v>
      </c>
      <c r="B100" s="54" t="s">
        <v>206</v>
      </c>
      <c r="C100" s="31">
        <v>4301051718</v>
      </c>
      <c r="D100" s="614">
        <v>4607091385731</v>
      </c>
      <c r="E100" s="615"/>
      <c r="F100" s="598">
        <v>0.45</v>
      </c>
      <c r="G100" s="32">
        <v>6</v>
      </c>
      <c r="H100" s="598">
        <v>2.7</v>
      </c>
      <c r="I100" s="598">
        <v>2.952</v>
      </c>
      <c r="J100" s="32">
        <v>182</v>
      </c>
      <c r="K100" s="32" t="s">
        <v>67</v>
      </c>
      <c r="L100" s="32"/>
      <c r="M100" s="33" t="s">
        <v>89</v>
      </c>
      <c r="N100" s="33"/>
      <c r="O100" s="32">
        <v>45</v>
      </c>
      <c r="P100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7"/>
      <c r="R100" s="607"/>
      <c r="S100" s="607"/>
      <c r="T100" s="608"/>
      <c r="U100" s="34"/>
      <c r="V100" s="34"/>
      <c r="W100" s="35" t="s">
        <v>69</v>
      </c>
      <c r="X100" s="599">
        <v>463</v>
      </c>
      <c r="Y100" s="600">
        <f>IFERROR(IF(X100="",0,CEILING((X100/$H100),1)*$H100),"")</f>
        <v>464.40000000000003</v>
      </c>
      <c r="Z100" s="36">
        <f>IFERROR(IF(Y100=0,"",ROUNDUP(Y100/H100,0)*0.00651),"")</f>
        <v>1.11972</v>
      </c>
      <c r="AA100" s="56"/>
      <c r="AB100" s="57"/>
      <c r="AC100" s="153" t="s">
        <v>202</v>
      </c>
      <c r="AG100" s="64"/>
      <c r="AJ100" s="68"/>
      <c r="AK100" s="68">
        <v>0</v>
      </c>
      <c r="BB100" s="154" t="s">
        <v>1</v>
      </c>
      <c r="BM100" s="64">
        <f>IFERROR(X100*I100/H100,"0")</f>
        <v>506.21333333333331</v>
      </c>
      <c r="BN100" s="64">
        <f>IFERROR(Y100*I100/H100,"0")</f>
        <v>507.74400000000003</v>
      </c>
      <c r="BO100" s="64">
        <f>IFERROR(1/J100*(X100/H100),"0")</f>
        <v>0.94220594220594223</v>
      </c>
      <c r="BP100" s="64">
        <f>IFERROR(1/J100*(Y100/H100),"0")</f>
        <v>0.94505494505494514</v>
      </c>
    </row>
    <row r="101" spans="1:68" ht="16.5" customHeight="1" x14ac:dyDescent="0.25">
      <c r="A101" s="54" t="s">
        <v>207</v>
      </c>
      <c r="B101" s="54" t="s">
        <v>208</v>
      </c>
      <c r="C101" s="31">
        <v>4301052092</v>
      </c>
      <c r="D101" s="614">
        <v>4680115880894</v>
      </c>
      <c r="E101" s="615"/>
      <c r="F101" s="598">
        <v>0.33</v>
      </c>
      <c r="G101" s="32">
        <v>6</v>
      </c>
      <c r="H101" s="598">
        <v>1.98</v>
      </c>
      <c r="I101" s="598">
        <v>2.238</v>
      </c>
      <c r="J101" s="32">
        <v>182</v>
      </c>
      <c r="K101" s="32" t="s">
        <v>67</v>
      </c>
      <c r="L101" s="32"/>
      <c r="M101" s="33" t="s">
        <v>83</v>
      </c>
      <c r="N101" s="33"/>
      <c r="O101" s="32">
        <v>45</v>
      </c>
      <c r="P101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7"/>
      <c r="R101" s="607"/>
      <c r="S101" s="607"/>
      <c r="T101" s="608"/>
      <c r="U101" s="34"/>
      <c r="V101" s="34"/>
      <c r="W101" s="35" t="s">
        <v>69</v>
      </c>
      <c r="X101" s="599">
        <v>0</v>
      </c>
      <c r="Y101" s="600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209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11"/>
      <c r="B102" s="612"/>
      <c r="C102" s="612"/>
      <c r="D102" s="612"/>
      <c r="E102" s="612"/>
      <c r="F102" s="612"/>
      <c r="G102" s="612"/>
      <c r="H102" s="612"/>
      <c r="I102" s="612"/>
      <c r="J102" s="612"/>
      <c r="K102" s="612"/>
      <c r="L102" s="612"/>
      <c r="M102" s="612"/>
      <c r="N102" s="612"/>
      <c r="O102" s="613"/>
      <c r="P102" s="603" t="s">
        <v>78</v>
      </c>
      <c r="Q102" s="604"/>
      <c r="R102" s="604"/>
      <c r="S102" s="604"/>
      <c r="T102" s="604"/>
      <c r="U102" s="604"/>
      <c r="V102" s="605"/>
      <c r="W102" s="37" t="s">
        <v>79</v>
      </c>
      <c r="X102" s="601">
        <f>IFERROR(X98/H98,"0")+IFERROR(X99/H99,"0")+IFERROR(X100/H100,"0")+IFERROR(X101/H101,"0")</f>
        <v>292.83950617283949</v>
      </c>
      <c r="Y102" s="601">
        <f>IFERROR(Y98/H98,"0")+IFERROR(Y99/H99,"0")+IFERROR(Y100/H100,"0")+IFERROR(Y101/H101,"0")</f>
        <v>294</v>
      </c>
      <c r="Z102" s="601">
        <f>IFERROR(IF(Z98="",0,Z98),"0")+IFERROR(IF(Z99="",0,Z99),"0")+IFERROR(IF(Z100="",0,Z100),"0")+IFERROR(IF(Z101="",0,Z101),"0")</f>
        <v>3.4352800000000001</v>
      </c>
      <c r="AA102" s="602"/>
      <c r="AB102" s="602"/>
      <c r="AC102" s="602"/>
    </row>
    <row r="103" spans="1:68" x14ac:dyDescent="0.2">
      <c r="A103" s="612"/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2"/>
      <c r="N103" s="612"/>
      <c r="O103" s="613"/>
      <c r="P103" s="603" t="s">
        <v>78</v>
      </c>
      <c r="Q103" s="604"/>
      <c r="R103" s="604"/>
      <c r="S103" s="604"/>
      <c r="T103" s="604"/>
      <c r="U103" s="604"/>
      <c r="V103" s="605"/>
      <c r="W103" s="37" t="s">
        <v>69</v>
      </c>
      <c r="X103" s="601">
        <f>IFERROR(SUM(X98:X101),"0")</f>
        <v>1446</v>
      </c>
      <c r="Y103" s="601">
        <f>IFERROR(SUM(Y98:Y101),"0")</f>
        <v>1452.6</v>
      </c>
      <c r="Z103" s="37"/>
      <c r="AA103" s="602"/>
      <c r="AB103" s="602"/>
      <c r="AC103" s="602"/>
    </row>
    <row r="104" spans="1:68" ht="16.5" customHeight="1" x14ac:dyDescent="0.25">
      <c r="A104" s="622" t="s">
        <v>210</v>
      </c>
      <c r="B104" s="612"/>
      <c r="C104" s="612"/>
      <c r="D104" s="612"/>
      <c r="E104" s="612"/>
      <c r="F104" s="612"/>
      <c r="G104" s="612"/>
      <c r="H104" s="612"/>
      <c r="I104" s="612"/>
      <c r="J104" s="612"/>
      <c r="K104" s="612"/>
      <c r="L104" s="612"/>
      <c r="M104" s="612"/>
      <c r="N104" s="612"/>
      <c r="O104" s="612"/>
      <c r="P104" s="612"/>
      <c r="Q104" s="612"/>
      <c r="R104" s="612"/>
      <c r="S104" s="612"/>
      <c r="T104" s="612"/>
      <c r="U104" s="612"/>
      <c r="V104" s="612"/>
      <c r="W104" s="612"/>
      <c r="X104" s="612"/>
      <c r="Y104" s="612"/>
      <c r="Z104" s="612"/>
      <c r="AA104" s="594"/>
      <c r="AB104" s="594"/>
      <c r="AC104" s="594"/>
    </row>
    <row r="105" spans="1:68" ht="14.25" customHeight="1" x14ac:dyDescent="0.25">
      <c r="A105" s="659" t="s">
        <v>130</v>
      </c>
      <c r="B105" s="612"/>
      <c r="C105" s="612"/>
      <c r="D105" s="612"/>
      <c r="E105" s="612"/>
      <c r="F105" s="612"/>
      <c r="G105" s="612"/>
      <c r="H105" s="612"/>
      <c r="I105" s="612"/>
      <c r="J105" s="612"/>
      <c r="K105" s="612"/>
      <c r="L105" s="612"/>
      <c r="M105" s="612"/>
      <c r="N105" s="612"/>
      <c r="O105" s="612"/>
      <c r="P105" s="612"/>
      <c r="Q105" s="612"/>
      <c r="R105" s="612"/>
      <c r="S105" s="612"/>
      <c r="T105" s="612"/>
      <c r="U105" s="612"/>
      <c r="V105" s="612"/>
      <c r="W105" s="612"/>
      <c r="X105" s="612"/>
      <c r="Y105" s="612"/>
      <c r="Z105" s="612"/>
      <c r="AA105" s="595"/>
      <c r="AB105" s="595"/>
      <c r="AC105" s="595"/>
    </row>
    <row r="106" spans="1:68" ht="37.5" customHeight="1" x14ac:dyDescent="0.25">
      <c r="A106" s="54" t="s">
        <v>211</v>
      </c>
      <c r="B106" s="54" t="s">
        <v>212</v>
      </c>
      <c r="C106" s="31">
        <v>4301011514</v>
      </c>
      <c r="D106" s="614">
        <v>4680115882133</v>
      </c>
      <c r="E106" s="615"/>
      <c r="F106" s="598">
        <v>1.35</v>
      </c>
      <c r="G106" s="32">
        <v>8</v>
      </c>
      <c r="H106" s="598">
        <v>10.8</v>
      </c>
      <c r="I106" s="598">
        <v>11.21</v>
      </c>
      <c r="J106" s="32">
        <v>64</v>
      </c>
      <c r="K106" s="32" t="s">
        <v>133</v>
      </c>
      <c r="L106" s="32"/>
      <c r="M106" s="33" t="s">
        <v>134</v>
      </c>
      <c r="N106" s="33"/>
      <c r="O106" s="32">
        <v>50</v>
      </c>
      <c r="P106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7"/>
      <c r="R106" s="607"/>
      <c r="S106" s="607"/>
      <c r="T106" s="608"/>
      <c r="U106" s="34"/>
      <c r="V106" s="34"/>
      <c r="W106" s="35" t="s">
        <v>69</v>
      </c>
      <c r="X106" s="599">
        <v>129</v>
      </c>
      <c r="Y106" s="600">
        <f t="shared" ref="Y106:Y112" si="11">IFERROR(IF(X106="",0,CEILING((X106/$H106),1)*$H106),"")</f>
        <v>129.60000000000002</v>
      </c>
      <c r="Z106" s="36">
        <f>IFERROR(IF(Y106=0,"",ROUNDUP(Y106/H106,0)*0.01898),"")</f>
        <v>0.22776000000000002</v>
      </c>
      <c r="AA106" s="56"/>
      <c r="AB106" s="57"/>
      <c r="AC106" s="157" t="s">
        <v>213</v>
      </c>
      <c r="AG106" s="64"/>
      <c r="AJ106" s="68"/>
      <c r="AK106" s="68">
        <v>0</v>
      </c>
      <c r="BB106" s="158" t="s">
        <v>1</v>
      </c>
      <c r="BM106" s="64">
        <f t="shared" ref="BM106:BM112" si="12">IFERROR(X106*I106/H106,"0")</f>
        <v>133.89722222222224</v>
      </c>
      <c r="BN106" s="64">
        <f t="shared" ref="BN106:BN112" si="13">IFERROR(Y106*I106/H106,"0")</f>
        <v>134.52000000000001</v>
      </c>
      <c r="BO106" s="64">
        <f t="shared" ref="BO106:BO112" si="14">IFERROR(1/J106*(X106/H106),"0")</f>
        <v>0.18663194444444442</v>
      </c>
      <c r="BP106" s="64">
        <f t="shared" ref="BP106:BP112" si="15">IFERROR(1/J106*(Y106/H106),"0")</f>
        <v>0.18750000000000003</v>
      </c>
    </row>
    <row r="107" spans="1:68" ht="27" customHeight="1" x14ac:dyDescent="0.25">
      <c r="A107" s="54" t="s">
        <v>214</v>
      </c>
      <c r="B107" s="54" t="s">
        <v>215</v>
      </c>
      <c r="C107" s="31">
        <v>4301012051</v>
      </c>
      <c r="D107" s="614">
        <v>4680115887718</v>
      </c>
      <c r="E107" s="615"/>
      <c r="F107" s="598">
        <v>0.11</v>
      </c>
      <c r="G107" s="32">
        <v>10</v>
      </c>
      <c r="H107" s="598">
        <v>1.1000000000000001</v>
      </c>
      <c r="I107" s="598">
        <v>1.31</v>
      </c>
      <c r="J107" s="32">
        <v>192</v>
      </c>
      <c r="K107" s="32" t="s">
        <v>138</v>
      </c>
      <c r="L107" s="32"/>
      <c r="M107" s="33" t="s">
        <v>68</v>
      </c>
      <c r="N107" s="33"/>
      <c r="O107" s="32">
        <v>30</v>
      </c>
      <c r="P107" s="8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7"/>
      <c r="R107" s="607"/>
      <c r="S107" s="607"/>
      <c r="T107" s="608"/>
      <c r="U107" s="34"/>
      <c r="V107" s="34"/>
      <c r="W107" s="35" t="s">
        <v>69</v>
      </c>
      <c r="X107" s="599">
        <v>0</v>
      </c>
      <c r="Y107" s="600">
        <f t="shared" si="11"/>
        <v>0</v>
      </c>
      <c r="Z107" s="36" t="str">
        <f>IFERROR(IF(Y107=0,"",ROUNDUP(Y107/H107,0)*0.00726),"")</f>
        <v/>
      </c>
      <c r="AA107" s="56"/>
      <c r="AB107" s="57"/>
      <c r="AC107" s="159" t="s">
        <v>216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27" customHeight="1" x14ac:dyDescent="0.25">
      <c r="A108" s="54" t="s">
        <v>214</v>
      </c>
      <c r="B108" s="54" t="s">
        <v>217</v>
      </c>
      <c r="C108" s="31">
        <v>4301012334</v>
      </c>
      <c r="D108" s="614">
        <v>4680115887718</v>
      </c>
      <c r="E108" s="615"/>
      <c r="F108" s="598">
        <v>0.11</v>
      </c>
      <c r="G108" s="32">
        <v>8</v>
      </c>
      <c r="H108" s="598">
        <v>0.88</v>
      </c>
      <c r="I108" s="598">
        <v>1.0680000000000001</v>
      </c>
      <c r="J108" s="32">
        <v>192</v>
      </c>
      <c r="K108" s="32" t="s">
        <v>138</v>
      </c>
      <c r="L108" s="32"/>
      <c r="M108" s="33" t="s">
        <v>68</v>
      </c>
      <c r="N108" s="33"/>
      <c r="O108" s="32">
        <v>30</v>
      </c>
      <c r="P108" s="83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7"/>
      <c r="R108" s="607"/>
      <c r="S108" s="607"/>
      <c r="T108" s="608"/>
      <c r="U108" s="34"/>
      <c r="V108" s="34"/>
      <c r="W108" s="35" t="s">
        <v>69</v>
      </c>
      <c r="X108" s="599">
        <v>0</v>
      </c>
      <c r="Y108" s="600">
        <f t="shared" si="11"/>
        <v>0</v>
      </c>
      <c r="Z108" s="36" t="str">
        <f>IFERROR(IF(Y108=0,"",ROUNDUP(Y108/H108,0)*0.00726),"")</f>
        <v/>
      </c>
      <c r="AA108" s="56"/>
      <c r="AB108" s="57"/>
      <c r="AC108" s="161" t="s">
        <v>216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27" customHeight="1" x14ac:dyDescent="0.25">
      <c r="A109" s="54" t="s">
        <v>218</v>
      </c>
      <c r="B109" s="54" t="s">
        <v>219</v>
      </c>
      <c r="C109" s="31">
        <v>4301012226</v>
      </c>
      <c r="D109" s="614">
        <v>4680115887749</v>
      </c>
      <c r="E109" s="615"/>
      <c r="F109" s="598">
        <v>0.17</v>
      </c>
      <c r="G109" s="32">
        <v>10</v>
      </c>
      <c r="H109" s="598">
        <v>1.7</v>
      </c>
      <c r="I109" s="598">
        <v>1.91</v>
      </c>
      <c r="J109" s="32">
        <v>192</v>
      </c>
      <c r="K109" s="32" t="s">
        <v>138</v>
      </c>
      <c r="L109" s="32"/>
      <c r="M109" s="33" t="s">
        <v>68</v>
      </c>
      <c r="N109" s="33"/>
      <c r="O109" s="32">
        <v>30</v>
      </c>
      <c r="P109" s="84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7"/>
      <c r="R109" s="607"/>
      <c r="S109" s="607"/>
      <c r="T109" s="608"/>
      <c r="U109" s="34"/>
      <c r="V109" s="34"/>
      <c r="W109" s="35" t="s">
        <v>69</v>
      </c>
      <c r="X109" s="599">
        <v>0</v>
      </c>
      <c r="Y109" s="600">
        <f t="shared" si="11"/>
        <v>0</v>
      </c>
      <c r="Z109" s="36" t="str">
        <f>IFERROR(IF(Y109=0,"",ROUNDUP(Y109/H109,0)*0.00726),"")</f>
        <v/>
      </c>
      <c r="AA109" s="56"/>
      <c r="AB109" s="57"/>
      <c r="AC109" s="163" t="s">
        <v>216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ht="37.5" customHeight="1" x14ac:dyDescent="0.25">
      <c r="A110" s="54" t="s">
        <v>220</v>
      </c>
      <c r="B110" s="54" t="s">
        <v>221</v>
      </c>
      <c r="C110" s="31">
        <v>4301011417</v>
      </c>
      <c r="D110" s="614">
        <v>4680115880269</v>
      </c>
      <c r="E110" s="615"/>
      <c r="F110" s="598">
        <v>0.375</v>
      </c>
      <c r="G110" s="32">
        <v>10</v>
      </c>
      <c r="H110" s="598">
        <v>3.75</v>
      </c>
      <c r="I110" s="598">
        <v>3.94</v>
      </c>
      <c r="J110" s="32">
        <v>132</v>
      </c>
      <c r="K110" s="32" t="s">
        <v>142</v>
      </c>
      <c r="L110" s="32"/>
      <c r="M110" s="33" t="s">
        <v>83</v>
      </c>
      <c r="N110" s="33"/>
      <c r="O110" s="32">
        <v>50</v>
      </c>
      <c r="P110" s="9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7"/>
      <c r="R110" s="607"/>
      <c r="S110" s="607"/>
      <c r="T110" s="608"/>
      <c r="U110" s="34"/>
      <c r="V110" s="34"/>
      <c r="W110" s="35" t="s">
        <v>69</v>
      </c>
      <c r="X110" s="599">
        <v>0</v>
      </c>
      <c r="Y110" s="600">
        <f t="shared" si="11"/>
        <v>0</v>
      </c>
      <c r="Z110" s="36" t="str">
        <f>IFERROR(IF(Y110=0,"",ROUNDUP(Y110/H110,0)*0.00902),"")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 t="shared" si="12"/>
        <v>0</v>
      </c>
      <c r="BN110" s="64">
        <f t="shared" si="13"/>
        <v>0</v>
      </c>
      <c r="BO110" s="64">
        <f t="shared" si="14"/>
        <v>0</v>
      </c>
      <c r="BP110" s="64">
        <f t="shared" si="15"/>
        <v>0</v>
      </c>
    </row>
    <row r="111" spans="1:68" ht="37.5" customHeight="1" x14ac:dyDescent="0.25">
      <c r="A111" s="54" t="s">
        <v>222</v>
      </c>
      <c r="B111" s="54" t="s">
        <v>223</v>
      </c>
      <c r="C111" s="31">
        <v>4301011415</v>
      </c>
      <c r="D111" s="614">
        <v>4680115880429</v>
      </c>
      <c r="E111" s="615"/>
      <c r="F111" s="598">
        <v>0.45</v>
      </c>
      <c r="G111" s="32">
        <v>10</v>
      </c>
      <c r="H111" s="598">
        <v>4.5</v>
      </c>
      <c r="I111" s="598">
        <v>4.6900000000000004</v>
      </c>
      <c r="J111" s="32">
        <v>132</v>
      </c>
      <c r="K111" s="32" t="s">
        <v>142</v>
      </c>
      <c r="L111" s="32"/>
      <c r="M111" s="33" t="s">
        <v>83</v>
      </c>
      <c r="N111" s="33"/>
      <c r="O111" s="32">
        <v>50</v>
      </c>
      <c r="P111" s="87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7"/>
      <c r="R111" s="607"/>
      <c r="S111" s="607"/>
      <c r="T111" s="608"/>
      <c r="U111" s="34"/>
      <c r="V111" s="34"/>
      <c r="W111" s="35" t="s">
        <v>69</v>
      </c>
      <c r="X111" s="599">
        <v>261</v>
      </c>
      <c r="Y111" s="600">
        <f t="shared" si="11"/>
        <v>261</v>
      </c>
      <c r="Z111" s="36">
        <f>IFERROR(IF(Y111=0,"",ROUNDUP(Y111/H111,0)*0.00902),"")</f>
        <v>0.52316000000000007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 t="shared" si="12"/>
        <v>272.02000000000004</v>
      </c>
      <c r="BN111" s="64">
        <f t="shared" si="13"/>
        <v>272.02000000000004</v>
      </c>
      <c r="BO111" s="64">
        <f t="shared" si="14"/>
        <v>0.43939393939393939</v>
      </c>
      <c r="BP111" s="64">
        <f t="shared" si="15"/>
        <v>0.43939393939393939</v>
      </c>
    </row>
    <row r="112" spans="1:68" ht="37.5" customHeight="1" x14ac:dyDescent="0.25">
      <c r="A112" s="54" t="s">
        <v>224</v>
      </c>
      <c r="B112" s="54" t="s">
        <v>225</v>
      </c>
      <c r="C112" s="31">
        <v>4301011462</v>
      </c>
      <c r="D112" s="614">
        <v>4680115881457</v>
      </c>
      <c r="E112" s="615"/>
      <c r="F112" s="598">
        <v>0.75</v>
      </c>
      <c r="G112" s="32">
        <v>6</v>
      </c>
      <c r="H112" s="598">
        <v>4.5</v>
      </c>
      <c r="I112" s="598">
        <v>4.6900000000000004</v>
      </c>
      <c r="J112" s="32">
        <v>132</v>
      </c>
      <c r="K112" s="32" t="s">
        <v>142</v>
      </c>
      <c r="L112" s="32"/>
      <c r="M112" s="33" t="s">
        <v>83</v>
      </c>
      <c r="N112" s="33"/>
      <c r="O112" s="32">
        <v>50</v>
      </c>
      <c r="P112" s="8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7"/>
      <c r="R112" s="607"/>
      <c r="S112" s="607"/>
      <c r="T112" s="608"/>
      <c r="U112" s="34"/>
      <c r="V112" s="34"/>
      <c r="W112" s="35" t="s">
        <v>69</v>
      </c>
      <c r="X112" s="599">
        <v>0</v>
      </c>
      <c r="Y112" s="600">
        <f t="shared" si="11"/>
        <v>0</v>
      </c>
      <c r="Z112" s="36" t="str">
        <f>IFERROR(IF(Y112=0,"",ROUNDUP(Y112/H112,0)*0.00902),"")</f>
        <v/>
      </c>
      <c r="AA112" s="56"/>
      <c r="AB112" s="57"/>
      <c r="AC112" s="169" t="s">
        <v>213</v>
      </c>
      <c r="AG112" s="64"/>
      <c r="AJ112" s="68"/>
      <c r="AK112" s="68">
        <v>0</v>
      </c>
      <c r="BB112" s="170" t="s">
        <v>1</v>
      </c>
      <c r="BM112" s="64">
        <f t="shared" si="12"/>
        <v>0</v>
      </c>
      <c r="BN112" s="64">
        <f t="shared" si="13"/>
        <v>0</v>
      </c>
      <c r="BO112" s="64">
        <f t="shared" si="14"/>
        <v>0</v>
      </c>
      <c r="BP112" s="64">
        <f t="shared" si="15"/>
        <v>0</v>
      </c>
    </row>
    <row r="113" spans="1:68" x14ac:dyDescent="0.2">
      <c r="A113" s="611"/>
      <c r="B113" s="612"/>
      <c r="C113" s="612"/>
      <c r="D113" s="612"/>
      <c r="E113" s="612"/>
      <c r="F113" s="612"/>
      <c r="G113" s="612"/>
      <c r="H113" s="612"/>
      <c r="I113" s="612"/>
      <c r="J113" s="612"/>
      <c r="K113" s="612"/>
      <c r="L113" s="612"/>
      <c r="M113" s="612"/>
      <c r="N113" s="612"/>
      <c r="O113" s="613"/>
      <c r="P113" s="603" t="s">
        <v>78</v>
      </c>
      <c r="Q113" s="604"/>
      <c r="R113" s="604"/>
      <c r="S113" s="604"/>
      <c r="T113" s="604"/>
      <c r="U113" s="604"/>
      <c r="V113" s="605"/>
      <c r="W113" s="37" t="s">
        <v>79</v>
      </c>
      <c r="X113" s="601">
        <f>IFERROR(X106/H106,"0")+IFERROR(X107/H107,"0")+IFERROR(X108/H108,"0")+IFERROR(X109/H109,"0")+IFERROR(X110/H110,"0")+IFERROR(X111/H111,"0")+IFERROR(X112/H112,"0")</f>
        <v>69.944444444444443</v>
      </c>
      <c r="Y113" s="601">
        <f>IFERROR(Y106/H106,"0")+IFERROR(Y107/H107,"0")+IFERROR(Y108/H108,"0")+IFERROR(Y109/H109,"0")+IFERROR(Y110/H110,"0")+IFERROR(Y111/H111,"0")+IFERROR(Y112/H112,"0")</f>
        <v>70</v>
      </c>
      <c r="Z113" s="601">
        <f>IFERROR(IF(Z106="",0,Z106),"0")+IFERROR(IF(Z107="",0,Z107),"0")+IFERROR(IF(Z108="",0,Z108),"0")+IFERROR(IF(Z109="",0,Z109),"0")+IFERROR(IF(Z110="",0,Z110),"0")+IFERROR(IF(Z111="",0,Z111),"0")+IFERROR(IF(Z112="",0,Z112),"0")</f>
        <v>0.75092000000000003</v>
      </c>
      <c r="AA113" s="602"/>
      <c r="AB113" s="602"/>
      <c r="AC113" s="602"/>
    </row>
    <row r="114" spans="1:68" x14ac:dyDescent="0.2">
      <c r="A114" s="612"/>
      <c r="B114" s="612"/>
      <c r="C114" s="612"/>
      <c r="D114" s="612"/>
      <c r="E114" s="612"/>
      <c r="F114" s="612"/>
      <c r="G114" s="612"/>
      <c r="H114" s="612"/>
      <c r="I114" s="612"/>
      <c r="J114" s="612"/>
      <c r="K114" s="612"/>
      <c r="L114" s="612"/>
      <c r="M114" s="612"/>
      <c r="N114" s="612"/>
      <c r="O114" s="613"/>
      <c r="P114" s="603" t="s">
        <v>78</v>
      </c>
      <c r="Q114" s="604"/>
      <c r="R114" s="604"/>
      <c r="S114" s="604"/>
      <c r="T114" s="604"/>
      <c r="U114" s="604"/>
      <c r="V114" s="605"/>
      <c r="W114" s="37" t="s">
        <v>69</v>
      </c>
      <c r="X114" s="601">
        <f>IFERROR(SUM(X106:X112),"0")</f>
        <v>390</v>
      </c>
      <c r="Y114" s="601">
        <f>IFERROR(SUM(Y106:Y112),"0")</f>
        <v>390.6</v>
      </c>
      <c r="Z114" s="37"/>
      <c r="AA114" s="602"/>
      <c r="AB114" s="602"/>
      <c r="AC114" s="602"/>
    </row>
    <row r="115" spans="1:68" ht="14.25" customHeight="1" x14ac:dyDescent="0.25">
      <c r="A115" s="659" t="s">
        <v>165</v>
      </c>
      <c r="B115" s="612"/>
      <c r="C115" s="612"/>
      <c r="D115" s="612"/>
      <c r="E115" s="612"/>
      <c r="F115" s="612"/>
      <c r="G115" s="612"/>
      <c r="H115" s="612"/>
      <c r="I115" s="612"/>
      <c r="J115" s="612"/>
      <c r="K115" s="612"/>
      <c r="L115" s="612"/>
      <c r="M115" s="612"/>
      <c r="N115" s="612"/>
      <c r="O115" s="612"/>
      <c r="P115" s="612"/>
      <c r="Q115" s="612"/>
      <c r="R115" s="612"/>
      <c r="S115" s="612"/>
      <c r="T115" s="612"/>
      <c r="U115" s="612"/>
      <c r="V115" s="612"/>
      <c r="W115" s="612"/>
      <c r="X115" s="612"/>
      <c r="Y115" s="612"/>
      <c r="Z115" s="612"/>
      <c r="AA115" s="595"/>
      <c r="AB115" s="595"/>
      <c r="AC115" s="595"/>
    </row>
    <row r="116" spans="1:68" ht="16.5" customHeight="1" x14ac:dyDescent="0.25">
      <c r="A116" s="54" t="s">
        <v>226</v>
      </c>
      <c r="B116" s="54" t="s">
        <v>227</v>
      </c>
      <c r="C116" s="31">
        <v>4301020345</v>
      </c>
      <c r="D116" s="614">
        <v>4680115881488</v>
      </c>
      <c r="E116" s="615"/>
      <c r="F116" s="598">
        <v>1.35</v>
      </c>
      <c r="G116" s="32">
        <v>8</v>
      </c>
      <c r="H116" s="598">
        <v>10.8</v>
      </c>
      <c r="I116" s="598">
        <v>11.21</v>
      </c>
      <c r="J116" s="32">
        <v>64</v>
      </c>
      <c r="K116" s="32" t="s">
        <v>133</v>
      </c>
      <c r="L116" s="32"/>
      <c r="M116" s="33" t="s">
        <v>134</v>
      </c>
      <c r="N116" s="33"/>
      <c r="O116" s="32">
        <v>55</v>
      </c>
      <c r="P116" s="7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7"/>
      <c r="R116" s="607"/>
      <c r="S116" s="607"/>
      <c r="T116" s="608"/>
      <c r="U116" s="34"/>
      <c r="V116" s="34"/>
      <c r="W116" s="35" t="s">
        <v>69</v>
      </c>
      <c r="X116" s="599">
        <v>0</v>
      </c>
      <c r="Y116" s="60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228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229</v>
      </c>
      <c r="B117" s="54" t="s">
        <v>230</v>
      </c>
      <c r="C117" s="31">
        <v>4301020186</v>
      </c>
      <c r="D117" s="614">
        <v>4680115887664</v>
      </c>
      <c r="E117" s="615"/>
      <c r="F117" s="598">
        <v>0.1</v>
      </c>
      <c r="G117" s="32">
        <v>10</v>
      </c>
      <c r="H117" s="598">
        <v>1</v>
      </c>
      <c r="I117" s="598">
        <v>1.21</v>
      </c>
      <c r="J117" s="32">
        <v>392</v>
      </c>
      <c r="K117" s="32" t="s">
        <v>231</v>
      </c>
      <c r="L117" s="32"/>
      <c r="M117" s="33" t="s">
        <v>68</v>
      </c>
      <c r="N117" s="33"/>
      <c r="O117" s="32">
        <v>30</v>
      </c>
      <c r="P117" s="7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7"/>
      <c r="R117" s="607"/>
      <c r="S117" s="607"/>
      <c r="T117" s="608"/>
      <c r="U117" s="34"/>
      <c r="V117" s="34"/>
      <c r="W117" s="35" t="s">
        <v>69</v>
      </c>
      <c r="X117" s="599">
        <v>0</v>
      </c>
      <c r="Y117" s="600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232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233</v>
      </c>
      <c r="C118" s="31">
        <v>4301020430</v>
      </c>
      <c r="D118" s="614">
        <v>4680115887664</v>
      </c>
      <c r="E118" s="615"/>
      <c r="F118" s="598">
        <v>0.1</v>
      </c>
      <c r="G118" s="32">
        <v>8</v>
      </c>
      <c r="H118" s="598">
        <v>0.8</v>
      </c>
      <c r="I118" s="598">
        <v>0.98799999999999999</v>
      </c>
      <c r="J118" s="32">
        <v>392</v>
      </c>
      <c r="K118" s="32" t="s">
        <v>231</v>
      </c>
      <c r="L118" s="32"/>
      <c r="M118" s="33" t="s">
        <v>68</v>
      </c>
      <c r="N118" s="33"/>
      <c r="O118" s="32">
        <v>30</v>
      </c>
      <c r="P118" s="73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7"/>
      <c r="R118" s="607"/>
      <c r="S118" s="607"/>
      <c r="T118" s="608"/>
      <c r="U118" s="34"/>
      <c r="V118" s="34"/>
      <c r="W118" s="35" t="s">
        <v>69</v>
      </c>
      <c r="X118" s="599">
        <v>0</v>
      </c>
      <c r="Y118" s="600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232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234</v>
      </c>
      <c r="B119" s="54" t="s">
        <v>235</v>
      </c>
      <c r="C119" s="31">
        <v>4301020393</v>
      </c>
      <c r="D119" s="614">
        <v>4680115882775</v>
      </c>
      <c r="E119" s="615"/>
      <c r="F119" s="598">
        <v>0.3</v>
      </c>
      <c r="G119" s="32">
        <v>8</v>
      </c>
      <c r="H119" s="598">
        <v>2.4</v>
      </c>
      <c r="I119" s="598">
        <v>2.5</v>
      </c>
      <c r="J119" s="32">
        <v>234</v>
      </c>
      <c r="K119" s="32" t="s">
        <v>73</v>
      </c>
      <c r="L119" s="32"/>
      <c r="M119" s="33" t="s">
        <v>134</v>
      </c>
      <c r="N119" s="33"/>
      <c r="O119" s="32">
        <v>55</v>
      </c>
      <c r="P119" s="74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07"/>
      <c r="R119" s="607"/>
      <c r="S119" s="607"/>
      <c r="T119" s="608"/>
      <c r="U119" s="34"/>
      <c r="V119" s="34"/>
      <c r="W119" s="35" t="s">
        <v>69</v>
      </c>
      <c r="X119" s="599">
        <v>0</v>
      </c>
      <c r="Y119" s="600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236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237</v>
      </c>
      <c r="B120" s="54" t="s">
        <v>238</v>
      </c>
      <c r="C120" s="31">
        <v>4301020344</v>
      </c>
      <c r="D120" s="614">
        <v>4680115880658</v>
      </c>
      <c r="E120" s="615"/>
      <c r="F120" s="598">
        <v>0.4</v>
      </c>
      <c r="G120" s="32">
        <v>6</v>
      </c>
      <c r="H120" s="598">
        <v>2.4</v>
      </c>
      <c r="I120" s="598">
        <v>2.58</v>
      </c>
      <c r="J120" s="32">
        <v>182</v>
      </c>
      <c r="K120" s="32" t="s">
        <v>67</v>
      </c>
      <c r="L120" s="32"/>
      <c r="M120" s="33" t="s">
        <v>134</v>
      </c>
      <c r="N120" s="33"/>
      <c r="O120" s="32">
        <v>55</v>
      </c>
      <c r="P120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7"/>
      <c r="R120" s="607"/>
      <c r="S120" s="607"/>
      <c r="T120" s="608"/>
      <c r="U120" s="34"/>
      <c r="V120" s="34"/>
      <c r="W120" s="35" t="s">
        <v>69</v>
      </c>
      <c r="X120" s="599">
        <v>0</v>
      </c>
      <c r="Y120" s="600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11"/>
      <c r="B121" s="612"/>
      <c r="C121" s="612"/>
      <c r="D121" s="612"/>
      <c r="E121" s="612"/>
      <c r="F121" s="612"/>
      <c r="G121" s="612"/>
      <c r="H121" s="612"/>
      <c r="I121" s="612"/>
      <c r="J121" s="612"/>
      <c r="K121" s="612"/>
      <c r="L121" s="612"/>
      <c r="M121" s="612"/>
      <c r="N121" s="612"/>
      <c r="O121" s="613"/>
      <c r="P121" s="603" t="s">
        <v>78</v>
      </c>
      <c r="Q121" s="604"/>
      <c r="R121" s="604"/>
      <c r="S121" s="604"/>
      <c r="T121" s="604"/>
      <c r="U121" s="604"/>
      <c r="V121" s="605"/>
      <c r="W121" s="37" t="s">
        <v>79</v>
      </c>
      <c r="X121" s="601">
        <f>IFERROR(X116/H116,"0")+IFERROR(X117/H117,"0")+IFERROR(X118/H118,"0")+IFERROR(X119/H119,"0")+IFERROR(X120/H120,"0")</f>
        <v>0</v>
      </c>
      <c r="Y121" s="601">
        <f>IFERROR(Y116/H116,"0")+IFERROR(Y117/H117,"0")+IFERROR(Y118/H118,"0")+IFERROR(Y119/H119,"0")+IFERROR(Y120/H120,"0")</f>
        <v>0</v>
      </c>
      <c r="Z121" s="601">
        <f>IFERROR(IF(Z116="",0,Z116),"0")+IFERROR(IF(Z117="",0,Z117),"0")+IFERROR(IF(Z118="",0,Z118),"0")+IFERROR(IF(Z119="",0,Z119),"0")+IFERROR(IF(Z120="",0,Z120),"0")</f>
        <v>0</v>
      </c>
      <c r="AA121" s="602"/>
      <c r="AB121" s="602"/>
      <c r="AC121" s="602"/>
    </row>
    <row r="122" spans="1:68" x14ac:dyDescent="0.2">
      <c r="A122" s="612"/>
      <c r="B122" s="612"/>
      <c r="C122" s="612"/>
      <c r="D122" s="612"/>
      <c r="E122" s="612"/>
      <c r="F122" s="612"/>
      <c r="G122" s="612"/>
      <c r="H122" s="612"/>
      <c r="I122" s="612"/>
      <c r="J122" s="612"/>
      <c r="K122" s="612"/>
      <c r="L122" s="612"/>
      <c r="M122" s="612"/>
      <c r="N122" s="612"/>
      <c r="O122" s="613"/>
      <c r="P122" s="603" t="s">
        <v>78</v>
      </c>
      <c r="Q122" s="604"/>
      <c r="R122" s="604"/>
      <c r="S122" s="604"/>
      <c r="T122" s="604"/>
      <c r="U122" s="604"/>
      <c r="V122" s="605"/>
      <c r="W122" s="37" t="s">
        <v>69</v>
      </c>
      <c r="X122" s="601">
        <f>IFERROR(SUM(X116:X120),"0")</f>
        <v>0</v>
      </c>
      <c r="Y122" s="601">
        <f>IFERROR(SUM(Y116:Y120),"0")</f>
        <v>0</v>
      </c>
      <c r="Z122" s="37"/>
      <c r="AA122" s="602"/>
      <c r="AB122" s="602"/>
      <c r="AC122" s="602"/>
    </row>
    <row r="123" spans="1:68" ht="14.25" customHeight="1" x14ac:dyDescent="0.25">
      <c r="A123" s="659" t="s">
        <v>80</v>
      </c>
      <c r="B123" s="612"/>
      <c r="C123" s="612"/>
      <c r="D123" s="612"/>
      <c r="E123" s="612"/>
      <c r="F123" s="612"/>
      <c r="G123" s="612"/>
      <c r="H123" s="612"/>
      <c r="I123" s="612"/>
      <c r="J123" s="612"/>
      <c r="K123" s="612"/>
      <c r="L123" s="612"/>
      <c r="M123" s="612"/>
      <c r="N123" s="612"/>
      <c r="O123" s="612"/>
      <c r="P123" s="612"/>
      <c r="Q123" s="612"/>
      <c r="R123" s="612"/>
      <c r="S123" s="612"/>
      <c r="T123" s="612"/>
      <c r="U123" s="612"/>
      <c r="V123" s="612"/>
      <c r="W123" s="612"/>
      <c r="X123" s="612"/>
      <c r="Y123" s="612"/>
      <c r="Z123" s="612"/>
      <c r="AA123" s="595"/>
      <c r="AB123" s="595"/>
      <c r="AC123" s="595"/>
    </row>
    <row r="124" spans="1:68" ht="27" customHeight="1" x14ac:dyDescent="0.25">
      <c r="A124" s="54" t="s">
        <v>239</v>
      </c>
      <c r="B124" s="54" t="s">
        <v>240</v>
      </c>
      <c r="C124" s="31">
        <v>4301051724</v>
      </c>
      <c r="D124" s="614">
        <v>4607091385168</v>
      </c>
      <c r="E124" s="615"/>
      <c r="F124" s="598">
        <v>1.35</v>
      </c>
      <c r="G124" s="32">
        <v>6</v>
      </c>
      <c r="H124" s="598">
        <v>8.1</v>
      </c>
      <c r="I124" s="598">
        <v>8.5879999999999992</v>
      </c>
      <c r="J124" s="32">
        <v>64</v>
      </c>
      <c r="K124" s="32" t="s">
        <v>133</v>
      </c>
      <c r="L124" s="32"/>
      <c r="M124" s="33" t="s">
        <v>89</v>
      </c>
      <c r="N124" s="33"/>
      <c r="O124" s="32">
        <v>45</v>
      </c>
      <c r="P124" s="9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7"/>
      <c r="R124" s="607"/>
      <c r="S124" s="607"/>
      <c r="T124" s="608"/>
      <c r="U124" s="34"/>
      <c r="V124" s="34"/>
      <c r="W124" s="35" t="s">
        <v>69</v>
      </c>
      <c r="X124" s="599">
        <v>562</v>
      </c>
      <c r="Y124" s="600">
        <f>IFERROR(IF(X124="",0,CEILING((X124/$H124),1)*$H124),"")</f>
        <v>567</v>
      </c>
      <c r="Z124" s="36">
        <f>IFERROR(IF(Y124=0,"",ROUNDUP(Y124/H124,0)*0.01898),"")</f>
        <v>1.3286</v>
      </c>
      <c r="AA124" s="56"/>
      <c r="AB124" s="57"/>
      <c r="AC124" s="181" t="s">
        <v>241</v>
      </c>
      <c r="AG124" s="64"/>
      <c r="AJ124" s="68"/>
      <c r="AK124" s="68">
        <v>0</v>
      </c>
      <c r="BB124" s="182" t="s">
        <v>1</v>
      </c>
      <c r="BM124" s="64">
        <f>IFERROR(X124*I124/H124,"0")</f>
        <v>595.85876543209872</v>
      </c>
      <c r="BN124" s="64">
        <f>IFERROR(Y124*I124/H124,"0")</f>
        <v>601.16</v>
      </c>
      <c r="BO124" s="64">
        <f>IFERROR(1/J124*(X124/H124),"0")</f>
        <v>1.084104938271605</v>
      </c>
      <c r="BP124" s="64">
        <f>IFERROR(1/J124*(Y124/H124),"0")</f>
        <v>1.09375</v>
      </c>
    </row>
    <row r="125" spans="1:68" ht="27" customHeight="1" x14ac:dyDescent="0.25">
      <c r="A125" s="54" t="s">
        <v>242</v>
      </c>
      <c r="B125" s="54" t="s">
        <v>243</v>
      </c>
      <c r="C125" s="31">
        <v>4301051730</v>
      </c>
      <c r="D125" s="614">
        <v>4607091383256</v>
      </c>
      <c r="E125" s="615"/>
      <c r="F125" s="598">
        <v>0.33</v>
      </c>
      <c r="G125" s="32">
        <v>6</v>
      </c>
      <c r="H125" s="598">
        <v>1.98</v>
      </c>
      <c r="I125" s="598">
        <v>2.226</v>
      </c>
      <c r="J125" s="32">
        <v>182</v>
      </c>
      <c r="K125" s="32" t="s">
        <v>67</v>
      </c>
      <c r="L125" s="32"/>
      <c r="M125" s="33" t="s">
        <v>89</v>
      </c>
      <c r="N125" s="33"/>
      <c r="O125" s="32">
        <v>45</v>
      </c>
      <c r="P125" s="8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7"/>
      <c r="R125" s="607"/>
      <c r="S125" s="607"/>
      <c r="T125" s="608"/>
      <c r="U125" s="34"/>
      <c r="V125" s="34"/>
      <c r="W125" s="35" t="s">
        <v>69</v>
      </c>
      <c r="X125" s="599">
        <v>0</v>
      </c>
      <c r="Y125" s="60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241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244</v>
      </c>
      <c r="B126" s="54" t="s">
        <v>245</v>
      </c>
      <c r="C126" s="31">
        <v>4301051721</v>
      </c>
      <c r="D126" s="614">
        <v>4607091385748</v>
      </c>
      <c r="E126" s="615"/>
      <c r="F126" s="598">
        <v>0.45</v>
      </c>
      <c r="G126" s="32">
        <v>6</v>
      </c>
      <c r="H126" s="598">
        <v>2.7</v>
      </c>
      <c r="I126" s="598">
        <v>2.952</v>
      </c>
      <c r="J126" s="32">
        <v>182</v>
      </c>
      <c r="K126" s="32" t="s">
        <v>67</v>
      </c>
      <c r="L126" s="32"/>
      <c r="M126" s="33" t="s">
        <v>89</v>
      </c>
      <c r="N126" s="33"/>
      <c r="O126" s="32">
        <v>45</v>
      </c>
      <c r="P126" s="94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7"/>
      <c r="R126" s="607"/>
      <c r="S126" s="607"/>
      <c r="T126" s="608"/>
      <c r="U126" s="34"/>
      <c r="V126" s="34"/>
      <c r="W126" s="35" t="s">
        <v>69</v>
      </c>
      <c r="X126" s="599">
        <v>678</v>
      </c>
      <c r="Y126" s="600">
        <f>IFERROR(IF(X126="",0,CEILING((X126/$H126),1)*$H126),"")</f>
        <v>680.40000000000009</v>
      </c>
      <c r="Z126" s="36">
        <f>IFERROR(IF(Y126=0,"",ROUNDUP(Y126/H126,0)*0.00651),"")</f>
        <v>1.64052</v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741.27999999999986</v>
      </c>
      <c r="BN126" s="64">
        <f>IFERROR(Y126*I126/H126,"0")</f>
        <v>743.904</v>
      </c>
      <c r="BO126" s="64">
        <f>IFERROR(1/J126*(X126/H126),"0")</f>
        <v>1.3797313797313797</v>
      </c>
      <c r="BP126" s="64">
        <f>IFERROR(1/J126*(Y126/H126),"0")</f>
        <v>1.3846153846153848</v>
      </c>
    </row>
    <row r="127" spans="1:68" ht="16.5" customHeight="1" x14ac:dyDescent="0.25">
      <c r="A127" s="54" t="s">
        <v>246</v>
      </c>
      <c r="B127" s="54" t="s">
        <v>247</v>
      </c>
      <c r="C127" s="31">
        <v>4301051740</v>
      </c>
      <c r="D127" s="614">
        <v>4680115884533</v>
      </c>
      <c r="E127" s="615"/>
      <c r="F127" s="598">
        <v>0.3</v>
      </c>
      <c r="G127" s="32">
        <v>6</v>
      </c>
      <c r="H127" s="598">
        <v>1.8</v>
      </c>
      <c r="I127" s="598">
        <v>1.98</v>
      </c>
      <c r="J127" s="32">
        <v>182</v>
      </c>
      <c r="K127" s="32" t="s">
        <v>67</v>
      </c>
      <c r="L127" s="32"/>
      <c r="M127" s="33" t="s">
        <v>83</v>
      </c>
      <c r="N127" s="33"/>
      <c r="O127" s="32">
        <v>45</v>
      </c>
      <c r="P127" s="8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7"/>
      <c r="R127" s="607"/>
      <c r="S127" s="607"/>
      <c r="T127" s="608"/>
      <c r="U127" s="34"/>
      <c r="V127" s="34"/>
      <c r="W127" s="35" t="s">
        <v>69</v>
      </c>
      <c r="X127" s="599">
        <v>0</v>
      </c>
      <c r="Y127" s="60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248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11"/>
      <c r="B128" s="612"/>
      <c r="C128" s="612"/>
      <c r="D128" s="612"/>
      <c r="E128" s="612"/>
      <c r="F128" s="612"/>
      <c r="G128" s="612"/>
      <c r="H128" s="612"/>
      <c r="I128" s="612"/>
      <c r="J128" s="612"/>
      <c r="K128" s="612"/>
      <c r="L128" s="612"/>
      <c r="M128" s="612"/>
      <c r="N128" s="612"/>
      <c r="O128" s="613"/>
      <c r="P128" s="603" t="s">
        <v>78</v>
      </c>
      <c r="Q128" s="604"/>
      <c r="R128" s="604"/>
      <c r="S128" s="604"/>
      <c r="T128" s="604"/>
      <c r="U128" s="604"/>
      <c r="V128" s="605"/>
      <c r="W128" s="37" t="s">
        <v>79</v>
      </c>
      <c r="X128" s="601">
        <f>IFERROR(X124/H124,"0")+IFERROR(X125/H125,"0")+IFERROR(X126/H126,"0")+IFERROR(X127/H127,"0")</f>
        <v>320.49382716049382</v>
      </c>
      <c r="Y128" s="601">
        <f>IFERROR(Y124/H124,"0")+IFERROR(Y125/H125,"0")+IFERROR(Y126/H126,"0")+IFERROR(Y127/H127,"0")</f>
        <v>322</v>
      </c>
      <c r="Z128" s="601">
        <f>IFERROR(IF(Z124="",0,Z124),"0")+IFERROR(IF(Z125="",0,Z125),"0")+IFERROR(IF(Z126="",0,Z126),"0")+IFERROR(IF(Z127="",0,Z127),"0")</f>
        <v>2.9691200000000002</v>
      </c>
      <c r="AA128" s="602"/>
      <c r="AB128" s="602"/>
      <c r="AC128" s="602"/>
    </row>
    <row r="129" spans="1:68" x14ac:dyDescent="0.2">
      <c r="A129" s="612"/>
      <c r="B129" s="612"/>
      <c r="C129" s="612"/>
      <c r="D129" s="612"/>
      <c r="E129" s="612"/>
      <c r="F129" s="612"/>
      <c r="G129" s="612"/>
      <c r="H129" s="612"/>
      <c r="I129" s="612"/>
      <c r="J129" s="612"/>
      <c r="K129" s="612"/>
      <c r="L129" s="612"/>
      <c r="M129" s="612"/>
      <c r="N129" s="612"/>
      <c r="O129" s="613"/>
      <c r="P129" s="603" t="s">
        <v>78</v>
      </c>
      <c r="Q129" s="604"/>
      <c r="R129" s="604"/>
      <c r="S129" s="604"/>
      <c r="T129" s="604"/>
      <c r="U129" s="604"/>
      <c r="V129" s="605"/>
      <c r="W129" s="37" t="s">
        <v>69</v>
      </c>
      <c r="X129" s="601">
        <f>IFERROR(SUM(X124:X127),"0")</f>
        <v>1240</v>
      </c>
      <c r="Y129" s="601">
        <f>IFERROR(SUM(Y124:Y127),"0")</f>
        <v>1247.4000000000001</v>
      </c>
      <c r="Z129" s="37"/>
      <c r="AA129" s="602"/>
      <c r="AB129" s="602"/>
      <c r="AC129" s="602"/>
    </row>
    <row r="130" spans="1:68" ht="14.25" customHeight="1" x14ac:dyDescent="0.25">
      <c r="A130" s="659" t="s">
        <v>182</v>
      </c>
      <c r="B130" s="612"/>
      <c r="C130" s="612"/>
      <c r="D130" s="612"/>
      <c r="E130" s="612"/>
      <c r="F130" s="612"/>
      <c r="G130" s="612"/>
      <c r="H130" s="612"/>
      <c r="I130" s="612"/>
      <c r="J130" s="612"/>
      <c r="K130" s="612"/>
      <c r="L130" s="612"/>
      <c r="M130" s="612"/>
      <c r="N130" s="612"/>
      <c r="O130" s="612"/>
      <c r="P130" s="612"/>
      <c r="Q130" s="612"/>
      <c r="R130" s="612"/>
      <c r="S130" s="612"/>
      <c r="T130" s="612"/>
      <c r="U130" s="612"/>
      <c r="V130" s="612"/>
      <c r="W130" s="612"/>
      <c r="X130" s="612"/>
      <c r="Y130" s="612"/>
      <c r="Z130" s="612"/>
      <c r="AA130" s="595"/>
      <c r="AB130" s="595"/>
      <c r="AC130" s="595"/>
    </row>
    <row r="131" spans="1:68" ht="16.5" customHeight="1" x14ac:dyDescent="0.25">
      <c r="A131" s="54" t="s">
        <v>249</v>
      </c>
      <c r="B131" s="54" t="s">
        <v>250</v>
      </c>
      <c r="C131" s="31">
        <v>4301060317</v>
      </c>
      <c r="D131" s="614">
        <v>4680115880238</v>
      </c>
      <c r="E131" s="615"/>
      <c r="F131" s="598">
        <v>0.33</v>
      </c>
      <c r="G131" s="32">
        <v>6</v>
      </c>
      <c r="H131" s="598">
        <v>1.98</v>
      </c>
      <c r="I131" s="598">
        <v>2.238</v>
      </c>
      <c r="J131" s="32">
        <v>182</v>
      </c>
      <c r="K131" s="32" t="s">
        <v>67</v>
      </c>
      <c r="L131" s="32"/>
      <c r="M131" s="33" t="s">
        <v>83</v>
      </c>
      <c r="N131" s="33"/>
      <c r="O131" s="32">
        <v>40</v>
      </c>
      <c r="P131" s="71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7"/>
      <c r="R131" s="607"/>
      <c r="S131" s="607"/>
      <c r="T131" s="608"/>
      <c r="U131" s="34"/>
      <c r="V131" s="34"/>
      <c r="W131" s="35" t="s">
        <v>69</v>
      </c>
      <c r="X131" s="599">
        <v>0</v>
      </c>
      <c r="Y131" s="60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251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11"/>
      <c r="B132" s="612"/>
      <c r="C132" s="612"/>
      <c r="D132" s="612"/>
      <c r="E132" s="612"/>
      <c r="F132" s="612"/>
      <c r="G132" s="612"/>
      <c r="H132" s="612"/>
      <c r="I132" s="612"/>
      <c r="J132" s="612"/>
      <c r="K132" s="612"/>
      <c r="L132" s="612"/>
      <c r="M132" s="612"/>
      <c r="N132" s="612"/>
      <c r="O132" s="613"/>
      <c r="P132" s="603" t="s">
        <v>78</v>
      </c>
      <c r="Q132" s="604"/>
      <c r="R132" s="604"/>
      <c r="S132" s="604"/>
      <c r="T132" s="604"/>
      <c r="U132" s="604"/>
      <c r="V132" s="605"/>
      <c r="W132" s="37" t="s">
        <v>79</v>
      </c>
      <c r="X132" s="601">
        <f>IFERROR(X131/H131,"0")</f>
        <v>0</v>
      </c>
      <c r="Y132" s="601">
        <f>IFERROR(Y131/H131,"0")</f>
        <v>0</v>
      </c>
      <c r="Z132" s="601">
        <f>IFERROR(IF(Z131="",0,Z131),"0")</f>
        <v>0</v>
      </c>
      <c r="AA132" s="602"/>
      <c r="AB132" s="602"/>
      <c r="AC132" s="602"/>
    </row>
    <row r="133" spans="1:68" x14ac:dyDescent="0.2">
      <c r="A133" s="612"/>
      <c r="B133" s="612"/>
      <c r="C133" s="612"/>
      <c r="D133" s="612"/>
      <c r="E133" s="612"/>
      <c r="F133" s="612"/>
      <c r="G133" s="612"/>
      <c r="H133" s="612"/>
      <c r="I133" s="612"/>
      <c r="J133" s="612"/>
      <c r="K133" s="612"/>
      <c r="L133" s="612"/>
      <c r="M133" s="612"/>
      <c r="N133" s="612"/>
      <c r="O133" s="613"/>
      <c r="P133" s="603" t="s">
        <v>78</v>
      </c>
      <c r="Q133" s="604"/>
      <c r="R133" s="604"/>
      <c r="S133" s="604"/>
      <c r="T133" s="604"/>
      <c r="U133" s="604"/>
      <c r="V133" s="605"/>
      <c r="W133" s="37" t="s">
        <v>69</v>
      </c>
      <c r="X133" s="601">
        <f>IFERROR(SUM(X131:X131),"0")</f>
        <v>0</v>
      </c>
      <c r="Y133" s="601">
        <f>IFERROR(SUM(Y131:Y131),"0")</f>
        <v>0</v>
      </c>
      <c r="Z133" s="37"/>
      <c r="AA133" s="602"/>
      <c r="AB133" s="602"/>
      <c r="AC133" s="602"/>
    </row>
    <row r="134" spans="1:68" ht="16.5" customHeight="1" x14ac:dyDescent="0.25">
      <c r="A134" s="622" t="s">
        <v>252</v>
      </c>
      <c r="B134" s="612"/>
      <c r="C134" s="612"/>
      <c r="D134" s="612"/>
      <c r="E134" s="612"/>
      <c r="F134" s="612"/>
      <c r="G134" s="612"/>
      <c r="H134" s="612"/>
      <c r="I134" s="612"/>
      <c r="J134" s="612"/>
      <c r="K134" s="612"/>
      <c r="L134" s="612"/>
      <c r="M134" s="612"/>
      <c r="N134" s="612"/>
      <c r="O134" s="612"/>
      <c r="P134" s="612"/>
      <c r="Q134" s="612"/>
      <c r="R134" s="612"/>
      <c r="S134" s="612"/>
      <c r="T134" s="612"/>
      <c r="U134" s="612"/>
      <c r="V134" s="612"/>
      <c r="W134" s="612"/>
      <c r="X134" s="612"/>
      <c r="Y134" s="612"/>
      <c r="Z134" s="612"/>
      <c r="AA134" s="594"/>
      <c r="AB134" s="594"/>
      <c r="AC134" s="594"/>
    </row>
    <row r="135" spans="1:68" ht="14.25" customHeight="1" x14ac:dyDescent="0.25">
      <c r="A135" s="659" t="s">
        <v>130</v>
      </c>
      <c r="B135" s="612"/>
      <c r="C135" s="612"/>
      <c r="D135" s="612"/>
      <c r="E135" s="612"/>
      <c r="F135" s="612"/>
      <c r="G135" s="612"/>
      <c r="H135" s="612"/>
      <c r="I135" s="612"/>
      <c r="J135" s="612"/>
      <c r="K135" s="612"/>
      <c r="L135" s="612"/>
      <c r="M135" s="612"/>
      <c r="N135" s="612"/>
      <c r="O135" s="612"/>
      <c r="P135" s="612"/>
      <c r="Q135" s="612"/>
      <c r="R135" s="612"/>
      <c r="S135" s="612"/>
      <c r="T135" s="612"/>
      <c r="U135" s="612"/>
      <c r="V135" s="612"/>
      <c r="W135" s="612"/>
      <c r="X135" s="612"/>
      <c r="Y135" s="612"/>
      <c r="Z135" s="612"/>
      <c r="AA135" s="595"/>
      <c r="AB135" s="595"/>
      <c r="AC135" s="595"/>
    </row>
    <row r="136" spans="1:68" ht="27" customHeight="1" x14ac:dyDescent="0.25">
      <c r="A136" s="54" t="s">
        <v>253</v>
      </c>
      <c r="B136" s="54" t="s">
        <v>254</v>
      </c>
      <c r="C136" s="31">
        <v>4301011562</v>
      </c>
      <c r="D136" s="614">
        <v>4680115882577</v>
      </c>
      <c r="E136" s="615"/>
      <c r="F136" s="598">
        <v>0.4</v>
      </c>
      <c r="G136" s="32">
        <v>8</v>
      </c>
      <c r="H136" s="598">
        <v>3.2</v>
      </c>
      <c r="I136" s="598">
        <v>3.38</v>
      </c>
      <c r="J136" s="32">
        <v>182</v>
      </c>
      <c r="K136" s="32" t="s">
        <v>67</v>
      </c>
      <c r="L136" s="32"/>
      <c r="M136" s="33" t="s">
        <v>111</v>
      </c>
      <c r="N136" s="33"/>
      <c r="O136" s="32">
        <v>90</v>
      </c>
      <c r="P136" s="9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7"/>
      <c r="R136" s="607"/>
      <c r="S136" s="607"/>
      <c r="T136" s="608"/>
      <c r="U136" s="34"/>
      <c r="V136" s="34"/>
      <c r="W136" s="35" t="s">
        <v>69</v>
      </c>
      <c r="X136" s="599">
        <v>0</v>
      </c>
      <c r="Y136" s="60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253</v>
      </c>
      <c r="B137" s="54" t="s">
        <v>256</v>
      </c>
      <c r="C137" s="31">
        <v>4301011564</v>
      </c>
      <c r="D137" s="614">
        <v>4680115882577</v>
      </c>
      <c r="E137" s="615"/>
      <c r="F137" s="598">
        <v>0.4</v>
      </c>
      <c r="G137" s="32">
        <v>8</v>
      </c>
      <c r="H137" s="598">
        <v>3.2</v>
      </c>
      <c r="I137" s="598">
        <v>3.38</v>
      </c>
      <c r="J137" s="32">
        <v>182</v>
      </c>
      <c r="K137" s="32" t="s">
        <v>67</v>
      </c>
      <c r="L137" s="32"/>
      <c r="M137" s="33" t="s">
        <v>111</v>
      </c>
      <c r="N137" s="33"/>
      <c r="O137" s="32">
        <v>90</v>
      </c>
      <c r="P137" s="7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7"/>
      <c r="R137" s="607"/>
      <c r="S137" s="607"/>
      <c r="T137" s="608"/>
      <c r="U137" s="34"/>
      <c r="V137" s="34"/>
      <c r="W137" s="35" t="s">
        <v>69</v>
      </c>
      <c r="X137" s="599">
        <v>0</v>
      </c>
      <c r="Y137" s="60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11"/>
      <c r="B138" s="612"/>
      <c r="C138" s="612"/>
      <c r="D138" s="612"/>
      <c r="E138" s="612"/>
      <c r="F138" s="612"/>
      <c r="G138" s="612"/>
      <c r="H138" s="612"/>
      <c r="I138" s="612"/>
      <c r="J138" s="612"/>
      <c r="K138" s="612"/>
      <c r="L138" s="612"/>
      <c r="M138" s="612"/>
      <c r="N138" s="612"/>
      <c r="O138" s="613"/>
      <c r="P138" s="603" t="s">
        <v>78</v>
      </c>
      <c r="Q138" s="604"/>
      <c r="R138" s="604"/>
      <c r="S138" s="604"/>
      <c r="T138" s="604"/>
      <c r="U138" s="604"/>
      <c r="V138" s="605"/>
      <c r="W138" s="37" t="s">
        <v>79</v>
      </c>
      <c r="X138" s="601">
        <f>IFERROR(X136/H136,"0")+IFERROR(X137/H137,"0")</f>
        <v>0</v>
      </c>
      <c r="Y138" s="601">
        <f>IFERROR(Y136/H136,"0")+IFERROR(Y137/H137,"0")</f>
        <v>0</v>
      </c>
      <c r="Z138" s="601">
        <f>IFERROR(IF(Z136="",0,Z136),"0")+IFERROR(IF(Z137="",0,Z137),"0")</f>
        <v>0</v>
      </c>
      <c r="AA138" s="602"/>
      <c r="AB138" s="602"/>
      <c r="AC138" s="602"/>
    </row>
    <row r="139" spans="1:68" x14ac:dyDescent="0.2">
      <c r="A139" s="612"/>
      <c r="B139" s="612"/>
      <c r="C139" s="612"/>
      <c r="D139" s="612"/>
      <c r="E139" s="612"/>
      <c r="F139" s="612"/>
      <c r="G139" s="612"/>
      <c r="H139" s="612"/>
      <c r="I139" s="612"/>
      <c r="J139" s="612"/>
      <c r="K139" s="612"/>
      <c r="L139" s="612"/>
      <c r="M139" s="612"/>
      <c r="N139" s="612"/>
      <c r="O139" s="613"/>
      <c r="P139" s="603" t="s">
        <v>78</v>
      </c>
      <c r="Q139" s="604"/>
      <c r="R139" s="604"/>
      <c r="S139" s="604"/>
      <c r="T139" s="604"/>
      <c r="U139" s="604"/>
      <c r="V139" s="605"/>
      <c r="W139" s="37" t="s">
        <v>69</v>
      </c>
      <c r="X139" s="601">
        <f>IFERROR(SUM(X136:X137),"0")</f>
        <v>0</v>
      </c>
      <c r="Y139" s="601">
        <f>IFERROR(SUM(Y136:Y137),"0")</f>
        <v>0</v>
      </c>
      <c r="Z139" s="37"/>
      <c r="AA139" s="602"/>
      <c r="AB139" s="602"/>
      <c r="AC139" s="602"/>
    </row>
    <row r="140" spans="1:68" ht="14.25" customHeight="1" x14ac:dyDescent="0.25">
      <c r="A140" s="659" t="s">
        <v>64</v>
      </c>
      <c r="B140" s="612"/>
      <c r="C140" s="612"/>
      <c r="D140" s="612"/>
      <c r="E140" s="612"/>
      <c r="F140" s="612"/>
      <c r="G140" s="612"/>
      <c r="H140" s="612"/>
      <c r="I140" s="612"/>
      <c r="J140" s="612"/>
      <c r="K140" s="612"/>
      <c r="L140" s="612"/>
      <c r="M140" s="612"/>
      <c r="N140" s="612"/>
      <c r="O140" s="612"/>
      <c r="P140" s="612"/>
      <c r="Q140" s="612"/>
      <c r="R140" s="612"/>
      <c r="S140" s="612"/>
      <c r="T140" s="612"/>
      <c r="U140" s="612"/>
      <c r="V140" s="612"/>
      <c r="W140" s="612"/>
      <c r="X140" s="612"/>
      <c r="Y140" s="612"/>
      <c r="Z140" s="612"/>
      <c r="AA140" s="595"/>
      <c r="AB140" s="595"/>
      <c r="AC140" s="595"/>
    </row>
    <row r="141" spans="1:68" ht="27" customHeight="1" x14ac:dyDescent="0.25">
      <c r="A141" s="54" t="s">
        <v>257</v>
      </c>
      <c r="B141" s="54" t="s">
        <v>258</v>
      </c>
      <c r="C141" s="31">
        <v>4301031234</v>
      </c>
      <c r="D141" s="614">
        <v>4680115883444</v>
      </c>
      <c r="E141" s="615"/>
      <c r="F141" s="598">
        <v>0.35</v>
      </c>
      <c r="G141" s="32">
        <v>8</v>
      </c>
      <c r="H141" s="598">
        <v>2.8</v>
      </c>
      <c r="I141" s="598">
        <v>3.0680000000000001</v>
      </c>
      <c r="J141" s="32">
        <v>182</v>
      </c>
      <c r="K141" s="32" t="s">
        <v>67</v>
      </c>
      <c r="L141" s="32"/>
      <c r="M141" s="33" t="s">
        <v>111</v>
      </c>
      <c r="N141" s="33"/>
      <c r="O141" s="32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7"/>
      <c r="R141" s="607"/>
      <c r="S141" s="607"/>
      <c r="T141" s="608"/>
      <c r="U141" s="34"/>
      <c r="V141" s="34"/>
      <c r="W141" s="35" t="s">
        <v>69</v>
      </c>
      <c r="X141" s="599">
        <v>23</v>
      </c>
      <c r="Y141" s="600">
        <f>IFERROR(IF(X141="",0,CEILING((X141/$H141),1)*$H141),"")</f>
        <v>25.2</v>
      </c>
      <c r="Z141" s="36">
        <f>IFERROR(IF(Y141=0,"",ROUNDUP(Y141/H141,0)*0.00651),"")</f>
        <v>5.8590000000000003E-2</v>
      </c>
      <c r="AA141" s="56"/>
      <c r="AB141" s="57"/>
      <c r="AC141" s="195" t="s">
        <v>259</v>
      </c>
      <c r="AG141" s="64"/>
      <c r="AJ141" s="68"/>
      <c r="AK141" s="68">
        <v>0</v>
      </c>
      <c r="BB141" s="196" t="s">
        <v>1</v>
      </c>
      <c r="BM141" s="64">
        <f>IFERROR(X141*I141/H141,"0")</f>
        <v>25.201428571428576</v>
      </c>
      <c r="BN141" s="64">
        <f>IFERROR(Y141*I141/H141,"0")</f>
        <v>27.611999999999998</v>
      </c>
      <c r="BO141" s="64">
        <f>IFERROR(1/J141*(X141/H141),"0")</f>
        <v>4.5133437990580859E-2</v>
      </c>
      <c r="BP141" s="64">
        <f>IFERROR(1/J141*(Y141/H141),"0")</f>
        <v>4.9450549450549455E-2</v>
      </c>
    </row>
    <row r="142" spans="1:68" ht="27" customHeight="1" x14ac:dyDescent="0.25">
      <c r="A142" s="54" t="s">
        <v>257</v>
      </c>
      <c r="B142" s="54" t="s">
        <v>260</v>
      </c>
      <c r="C142" s="31">
        <v>4301031235</v>
      </c>
      <c r="D142" s="614">
        <v>4680115883444</v>
      </c>
      <c r="E142" s="615"/>
      <c r="F142" s="598">
        <v>0.35</v>
      </c>
      <c r="G142" s="32">
        <v>8</v>
      </c>
      <c r="H142" s="598">
        <v>2.8</v>
      </c>
      <c r="I142" s="598">
        <v>3.0680000000000001</v>
      </c>
      <c r="J142" s="32">
        <v>182</v>
      </c>
      <c r="K142" s="32" t="s">
        <v>67</v>
      </c>
      <c r="L142" s="32"/>
      <c r="M142" s="33" t="s">
        <v>111</v>
      </c>
      <c r="N142" s="33"/>
      <c r="O142" s="32">
        <v>90</v>
      </c>
      <c r="P142" s="7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7"/>
      <c r="R142" s="607"/>
      <c r="S142" s="607"/>
      <c r="T142" s="608"/>
      <c r="U142" s="34"/>
      <c r="V142" s="34"/>
      <c r="W142" s="35" t="s">
        <v>69</v>
      </c>
      <c r="X142" s="599">
        <v>0</v>
      </c>
      <c r="Y142" s="60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259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11"/>
      <c r="B143" s="612"/>
      <c r="C143" s="612"/>
      <c r="D143" s="612"/>
      <c r="E143" s="612"/>
      <c r="F143" s="612"/>
      <c r="G143" s="612"/>
      <c r="H143" s="612"/>
      <c r="I143" s="612"/>
      <c r="J143" s="612"/>
      <c r="K143" s="612"/>
      <c r="L143" s="612"/>
      <c r="M143" s="612"/>
      <c r="N143" s="612"/>
      <c r="O143" s="613"/>
      <c r="P143" s="603" t="s">
        <v>78</v>
      </c>
      <c r="Q143" s="604"/>
      <c r="R143" s="604"/>
      <c r="S143" s="604"/>
      <c r="T143" s="604"/>
      <c r="U143" s="604"/>
      <c r="V143" s="605"/>
      <c r="W143" s="37" t="s">
        <v>79</v>
      </c>
      <c r="X143" s="601">
        <f>IFERROR(X141/H141,"0")+IFERROR(X142/H142,"0")</f>
        <v>8.2142857142857153</v>
      </c>
      <c r="Y143" s="601">
        <f>IFERROR(Y141/H141,"0")+IFERROR(Y142/H142,"0")</f>
        <v>9</v>
      </c>
      <c r="Z143" s="601">
        <f>IFERROR(IF(Z141="",0,Z141),"0")+IFERROR(IF(Z142="",0,Z142),"0")</f>
        <v>5.8590000000000003E-2</v>
      </c>
      <c r="AA143" s="602"/>
      <c r="AB143" s="602"/>
      <c r="AC143" s="602"/>
    </row>
    <row r="144" spans="1:68" x14ac:dyDescent="0.2">
      <c r="A144" s="612"/>
      <c r="B144" s="612"/>
      <c r="C144" s="612"/>
      <c r="D144" s="612"/>
      <c r="E144" s="612"/>
      <c r="F144" s="612"/>
      <c r="G144" s="612"/>
      <c r="H144" s="612"/>
      <c r="I144" s="612"/>
      <c r="J144" s="612"/>
      <c r="K144" s="612"/>
      <c r="L144" s="612"/>
      <c r="M144" s="612"/>
      <c r="N144" s="612"/>
      <c r="O144" s="613"/>
      <c r="P144" s="603" t="s">
        <v>78</v>
      </c>
      <c r="Q144" s="604"/>
      <c r="R144" s="604"/>
      <c r="S144" s="604"/>
      <c r="T144" s="604"/>
      <c r="U144" s="604"/>
      <c r="V144" s="605"/>
      <c r="W144" s="37" t="s">
        <v>69</v>
      </c>
      <c r="X144" s="601">
        <f>IFERROR(SUM(X141:X142),"0")</f>
        <v>23</v>
      </c>
      <c r="Y144" s="601">
        <f>IFERROR(SUM(Y141:Y142),"0")</f>
        <v>25.2</v>
      </c>
      <c r="Z144" s="37"/>
      <c r="AA144" s="602"/>
      <c r="AB144" s="602"/>
      <c r="AC144" s="602"/>
    </row>
    <row r="145" spans="1:68" ht="14.25" customHeight="1" x14ac:dyDescent="0.25">
      <c r="A145" s="659" t="s">
        <v>80</v>
      </c>
      <c r="B145" s="612"/>
      <c r="C145" s="612"/>
      <c r="D145" s="612"/>
      <c r="E145" s="612"/>
      <c r="F145" s="612"/>
      <c r="G145" s="612"/>
      <c r="H145" s="612"/>
      <c r="I145" s="612"/>
      <c r="J145" s="612"/>
      <c r="K145" s="612"/>
      <c r="L145" s="612"/>
      <c r="M145" s="612"/>
      <c r="N145" s="612"/>
      <c r="O145" s="612"/>
      <c r="P145" s="612"/>
      <c r="Q145" s="612"/>
      <c r="R145" s="612"/>
      <c r="S145" s="612"/>
      <c r="T145" s="612"/>
      <c r="U145" s="612"/>
      <c r="V145" s="612"/>
      <c r="W145" s="612"/>
      <c r="X145" s="612"/>
      <c r="Y145" s="612"/>
      <c r="Z145" s="612"/>
      <c r="AA145" s="595"/>
      <c r="AB145" s="595"/>
      <c r="AC145" s="595"/>
    </row>
    <row r="146" spans="1:68" ht="16.5" customHeight="1" x14ac:dyDescent="0.25">
      <c r="A146" s="54" t="s">
        <v>261</v>
      </c>
      <c r="B146" s="54" t="s">
        <v>262</v>
      </c>
      <c r="C146" s="31">
        <v>4301051476</v>
      </c>
      <c r="D146" s="614">
        <v>4680115882584</v>
      </c>
      <c r="E146" s="615"/>
      <c r="F146" s="598">
        <v>0.33</v>
      </c>
      <c r="G146" s="32">
        <v>8</v>
      </c>
      <c r="H146" s="598">
        <v>2.64</v>
      </c>
      <c r="I146" s="598">
        <v>2.9079999999999999</v>
      </c>
      <c r="J146" s="32">
        <v>182</v>
      </c>
      <c r="K146" s="32" t="s">
        <v>67</v>
      </c>
      <c r="L146" s="32"/>
      <c r="M146" s="33" t="s">
        <v>111</v>
      </c>
      <c r="N146" s="33"/>
      <c r="O146" s="32">
        <v>60</v>
      </c>
      <c r="P146" s="9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7"/>
      <c r="R146" s="607"/>
      <c r="S146" s="607"/>
      <c r="T146" s="608"/>
      <c r="U146" s="34"/>
      <c r="V146" s="34"/>
      <c r="W146" s="35" t="s">
        <v>69</v>
      </c>
      <c r="X146" s="599">
        <v>0</v>
      </c>
      <c r="Y146" s="60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255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261</v>
      </c>
      <c r="B147" s="54" t="s">
        <v>263</v>
      </c>
      <c r="C147" s="31">
        <v>4301051477</v>
      </c>
      <c r="D147" s="614">
        <v>4680115882584</v>
      </c>
      <c r="E147" s="615"/>
      <c r="F147" s="598">
        <v>0.33</v>
      </c>
      <c r="G147" s="32">
        <v>8</v>
      </c>
      <c r="H147" s="598">
        <v>2.64</v>
      </c>
      <c r="I147" s="598">
        <v>2.9079999999999999</v>
      </c>
      <c r="J147" s="32">
        <v>182</v>
      </c>
      <c r="K147" s="32" t="s">
        <v>67</v>
      </c>
      <c r="L147" s="32"/>
      <c r="M147" s="33" t="s">
        <v>111</v>
      </c>
      <c r="N147" s="33"/>
      <c r="O147" s="32">
        <v>60</v>
      </c>
      <c r="P147" s="66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7"/>
      <c r="R147" s="607"/>
      <c r="S147" s="607"/>
      <c r="T147" s="608"/>
      <c r="U147" s="34"/>
      <c r="V147" s="34"/>
      <c r="W147" s="35" t="s">
        <v>69</v>
      </c>
      <c r="X147" s="599">
        <v>0</v>
      </c>
      <c r="Y147" s="60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255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11"/>
      <c r="B148" s="612"/>
      <c r="C148" s="612"/>
      <c r="D148" s="612"/>
      <c r="E148" s="612"/>
      <c r="F148" s="612"/>
      <c r="G148" s="612"/>
      <c r="H148" s="612"/>
      <c r="I148" s="612"/>
      <c r="J148" s="612"/>
      <c r="K148" s="612"/>
      <c r="L148" s="612"/>
      <c r="M148" s="612"/>
      <c r="N148" s="612"/>
      <c r="O148" s="613"/>
      <c r="P148" s="603" t="s">
        <v>78</v>
      </c>
      <c r="Q148" s="604"/>
      <c r="R148" s="604"/>
      <c r="S148" s="604"/>
      <c r="T148" s="604"/>
      <c r="U148" s="604"/>
      <c r="V148" s="605"/>
      <c r="W148" s="37" t="s">
        <v>79</v>
      </c>
      <c r="X148" s="601">
        <f>IFERROR(X146/H146,"0")+IFERROR(X147/H147,"0")</f>
        <v>0</v>
      </c>
      <c r="Y148" s="601">
        <f>IFERROR(Y146/H146,"0")+IFERROR(Y147/H147,"0")</f>
        <v>0</v>
      </c>
      <c r="Z148" s="601">
        <f>IFERROR(IF(Z146="",0,Z146),"0")+IFERROR(IF(Z147="",0,Z147),"0")</f>
        <v>0</v>
      </c>
      <c r="AA148" s="602"/>
      <c r="AB148" s="602"/>
      <c r="AC148" s="602"/>
    </row>
    <row r="149" spans="1:68" x14ac:dyDescent="0.2">
      <c r="A149" s="612"/>
      <c r="B149" s="612"/>
      <c r="C149" s="612"/>
      <c r="D149" s="612"/>
      <c r="E149" s="612"/>
      <c r="F149" s="612"/>
      <c r="G149" s="612"/>
      <c r="H149" s="612"/>
      <c r="I149" s="612"/>
      <c r="J149" s="612"/>
      <c r="K149" s="612"/>
      <c r="L149" s="612"/>
      <c r="M149" s="612"/>
      <c r="N149" s="612"/>
      <c r="O149" s="613"/>
      <c r="P149" s="603" t="s">
        <v>78</v>
      </c>
      <c r="Q149" s="604"/>
      <c r="R149" s="604"/>
      <c r="S149" s="604"/>
      <c r="T149" s="604"/>
      <c r="U149" s="604"/>
      <c r="V149" s="605"/>
      <c r="W149" s="37" t="s">
        <v>69</v>
      </c>
      <c r="X149" s="601">
        <f>IFERROR(SUM(X146:X147),"0")</f>
        <v>0</v>
      </c>
      <c r="Y149" s="601">
        <f>IFERROR(SUM(Y146:Y147),"0")</f>
        <v>0</v>
      </c>
      <c r="Z149" s="37"/>
      <c r="AA149" s="602"/>
      <c r="AB149" s="602"/>
      <c r="AC149" s="602"/>
    </row>
    <row r="150" spans="1:68" ht="16.5" customHeight="1" x14ac:dyDescent="0.25">
      <c r="A150" s="622" t="s">
        <v>264</v>
      </c>
      <c r="B150" s="612"/>
      <c r="C150" s="612"/>
      <c r="D150" s="612"/>
      <c r="E150" s="612"/>
      <c r="F150" s="612"/>
      <c r="G150" s="612"/>
      <c r="H150" s="612"/>
      <c r="I150" s="612"/>
      <c r="J150" s="612"/>
      <c r="K150" s="612"/>
      <c r="L150" s="612"/>
      <c r="M150" s="612"/>
      <c r="N150" s="612"/>
      <c r="O150" s="612"/>
      <c r="P150" s="612"/>
      <c r="Q150" s="612"/>
      <c r="R150" s="612"/>
      <c r="S150" s="612"/>
      <c r="T150" s="612"/>
      <c r="U150" s="612"/>
      <c r="V150" s="612"/>
      <c r="W150" s="612"/>
      <c r="X150" s="612"/>
      <c r="Y150" s="612"/>
      <c r="Z150" s="612"/>
      <c r="AA150" s="594"/>
      <c r="AB150" s="594"/>
      <c r="AC150" s="594"/>
    </row>
    <row r="151" spans="1:68" ht="14.25" customHeight="1" x14ac:dyDescent="0.25">
      <c r="A151" s="659" t="s">
        <v>80</v>
      </c>
      <c r="B151" s="612"/>
      <c r="C151" s="612"/>
      <c r="D151" s="612"/>
      <c r="E151" s="612"/>
      <c r="F151" s="612"/>
      <c r="G151" s="612"/>
      <c r="H151" s="612"/>
      <c r="I151" s="612"/>
      <c r="J151" s="612"/>
      <c r="K151" s="612"/>
      <c r="L151" s="612"/>
      <c r="M151" s="612"/>
      <c r="N151" s="612"/>
      <c r="O151" s="612"/>
      <c r="P151" s="612"/>
      <c r="Q151" s="612"/>
      <c r="R151" s="612"/>
      <c r="S151" s="612"/>
      <c r="T151" s="612"/>
      <c r="U151" s="612"/>
      <c r="V151" s="612"/>
      <c r="W151" s="612"/>
      <c r="X151" s="612"/>
      <c r="Y151" s="612"/>
      <c r="Z151" s="612"/>
      <c r="AA151" s="595"/>
      <c r="AB151" s="595"/>
      <c r="AC151" s="595"/>
    </row>
    <row r="152" spans="1:68" ht="27" customHeight="1" x14ac:dyDescent="0.25">
      <c r="A152" s="54" t="s">
        <v>265</v>
      </c>
      <c r="B152" s="54" t="s">
        <v>266</v>
      </c>
      <c r="C152" s="31">
        <v>4301052174</v>
      </c>
      <c r="D152" s="614">
        <v>4680115888203</v>
      </c>
      <c r="E152" s="615"/>
      <c r="F152" s="598">
        <v>0.22</v>
      </c>
      <c r="G152" s="32">
        <v>9</v>
      </c>
      <c r="H152" s="598">
        <v>1.98</v>
      </c>
      <c r="I152" s="598">
        <v>2.2589999999999999</v>
      </c>
      <c r="J152" s="32">
        <v>182</v>
      </c>
      <c r="K152" s="32" t="s">
        <v>67</v>
      </c>
      <c r="L152" s="32"/>
      <c r="M152" s="33" t="s">
        <v>89</v>
      </c>
      <c r="N152" s="33"/>
      <c r="O152" s="32">
        <v>40</v>
      </c>
      <c r="P152" s="6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7"/>
      <c r="R152" s="607"/>
      <c r="S152" s="607"/>
      <c r="T152" s="608"/>
      <c r="U152" s="34"/>
      <c r="V152" s="34"/>
      <c r="W152" s="35" t="s">
        <v>69</v>
      </c>
      <c r="X152" s="599">
        <v>0</v>
      </c>
      <c r="Y152" s="60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267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268</v>
      </c>
      <c r="B153" s="54" t="s">
        <v>269</v>
      </c>
      <c r="C153" s="31">
        <v>4301052172</v>
      </c>
      <c r="D153" s="614">
        <v>4680115888180</v>
      </c>
      <c r="E153" s="615"/>
      <c r="F153" s="598">
        <v>0.22</v>
      </c>
      <c r="G153" s="32">
        <v>9</v>
      </c>
      <c r="H153" s="598">
        <v>1.98</v>
      </c>
      <c r="I153" s="598">
        <v>2.2589999999999999</v>
      </c>
      <c r="J153" s="32">
        <v>182</v>
      </c>
      <c r="K153" s="32" t="s">
        <v>67</v>
      </c>
      <c r="L153" s="32"/>
      <c r="M153" s="33" t="s">
        <v>89</v>
      </c>
      <c r="N153" s="33"/>
      <c r="O153" s="32">
        <v>40</v>
      </c>
      <c r="P153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7"/>
      <c r="R153" s="607"/>
      <c r="S153" s="607"/>
      <c r="T153" s="608"/>
      <c r="U153" s="34"/>
      <c r="V153" s="34"/>
      <c r="W153" s="35" t="s">
        <v>69</v>
      </c>
      <c r="X153" s="599">
        <v>0</v>
      </c>
      <c r="Y153" s="600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270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271</v>
      </c>
      <c r="B154" s="54" t="s">
        <v>272</v>
      </c>
      <c r="C154" s="31">
        <v>4301052173</v>
      </c>
      <c r="D154" s="614">
        <v>4680115888197</v>
      </c>
      <c r="E154" s="615"/>
      <c r="F154" s="598">
        <v>0.22</v>
      </c>
      <c r="G154" s="32">
        <v>9</v>
      </c>
      <c r="H154" s="598">
        <v>1.98</v>
      </c>
      <c r="I154" s="598">
        <v>2.2589999999999999</v>
      </c>
      <c r="J154" s="32">
        <v>182</v>
      </c>
      <c r="K154" s="32" t="s">
        <v>67</v>
      </c>
      <c r="L154" s="32"/>
      <c r="M154" s="33" t="s">
        <v>89</v>
      </c>
      <c r="N154" s="33"/>
      <c r="O154" s="32">
        <v>40</v>
      </c>
      <c r="P154" s="82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7"/>
      <c r="R154" s="607"/>
      <c r="S154" s="607"/>
      <c r="T154" s="608"/>
      <c r="U154" s="34"/>
      <c r="V154" s="34"/>
      <c r="W154" s="35" t="s">
        <v>69</v>
      </c>
      <c r="X154" s="599">
        <v>0</v>
      </c>
      <c r="Y154" s="600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273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274</v>
      </c>
      <c r="B155" s="54" t="s">
        <v>275</v>
      </c>
      <c r="C155" s="31">
        <v>4301052175</v>
      </c>
      <c r="D155" s="614">
        <v>4680115888210</v>
      </c>
      <c r="E155" s="615"/>
      <c r="F155" s="598">
        <v>0.22</v>
      </c>
      <c r="G155" s="32">
        <v>9</v>
      </c>
      <c r="H155" s="598">
        <v>1.98</v>
      </c>
      <c r="I155" s="598">
        <v>2.2589999999999999</v>
      </c>
      <c r="J155" s="32">
        <v>182</v>
      </c>
      <c r="K155" s="32" t="s">
        <v>67</v>
      </c>
      <c r="L155" s="32"/>
      <c r="M155" s="33" t="s">
        <v>89</v>
      </c>
      <c r="N155" s="33"/>
      <c r="O155" s="32">
        <v>40</v>
      </c>
      <c r="P155" s="6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7"/>
      <c r="R155" s="607"/>
      <c r="S155" s="607"/>
      <c r="T155" s="608"/>
      <c r="U155" s="34"/>
      <c r="V155" s="34"/>
      <c r="W155" s="35" t="s">
        <v>69</v>
      </c>
      <c r="X155" s="599">
        <v>0</v>
      </c>
      <c r="Y155" s="600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276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11"/>
      <c r="B156" s="612"/>
      <c r="C156" s="612"/>
      <c r="D156" s="612"/>
      <c r="E156" s="612"/>
      <c r="F156" s="612"/>
      <c r="G156" s="612"/>
      <c r="H156" s="612"/>
      <c r="I156" s="612"/>
      <c r="J156" s="612"/>
      <c r="K156" s="612"/>
      <c r="L156" s="612"/>
      <c r="M156" s="612"/>
      <c r="N156" s="612"/>
      <c r="O156" s="613"/>
      <c r="P156" s="603" t="s">
        <v>78</v>
      </c>
      <c r="Q156" s="604"/>
      <c r="R156" s="604"/>
      <c r="S156" s="604"/>
      <c r="T156" s="604"/>
      <c r="U156" s="604"/>
      <c r="V156" s="605"/>
      <c r="W156" s="37" t="s">
        <v>79</v>
      </c>
      <c r="X156" s="601">
        <f>IFERROR(X152/H152,"0")+IFERROR(X153/H153,"0")+IFERROR(X154/H154,"0")+IFERROR(X155/H155,"0")</f>
        <v>0</v>
      </c>
      <c r="Y156" s="601">
        <f>IFERROR(Y152/H152,"0")+IFERROR(Y153/H153,"0")+IFERROR(Y154/H154,"0")+IFERROR(Y155/H155,"0")</f>
        <v>0</v>
      </c>
      <c r="Z156" s="601">
        <f>IFERROR(IF(Z152="",0,Z152),"0")+IFERROR(IF(Z153="",0,Z153),"0")+IFERROR(IF(Z154="",0,Z154),"0")+IFERROR(IF(Z155="",0,Z155),"0")</f>
        <v>0</v>
      </c>
      <c r="AA156" s="602"/>
      <c r="AB156" s="602"/>
      <c r="AC156" s="602"/>
    </row>
    <row r="157" spans="1:68" x14ac:dyDescent="0.2">
      <c r="A157" s="612"/>
      <c r="B157" s="612"/>
      <c r="C157" s="612"/>
      <c r="D157" s="612"/>
      <c r="E157" s="612"/>
      <c r="F157" s="612"/>
      <c r="G157" s="612"/>
      <c r="H157" s="612"/>
      <c r="I157" s="612"/>
      <c r="J157" s="612"/>
      <c r="K157" s="612"/>
      <c r="L157" s="612"/>
      <c r="M157" s="612"/>
      <c r="N157" s="612"/>
      <c r="O157" s="613"/>
      <c r="P157" s="603" t="s">
        <v>78</v>
      </c>
      <c r="Q157" s="604"/>
      <c r="R157" s="604"/>
      <c r="S157" s="604"/>
      <c r="T157" s="604"/>
      <c r="U157" s="604"/>
      <c r="V157" s="605"/>
      <c r="W157" s="37" t="s">
        <v>69</v>
      </c>
      <c r="X157" s="601">
        <f>IFERROR(SUM(X152:X155),"0")</f>
        <v>0</v>
      </c>
      <c r="Y157" s="601">
        <f>IFERROR(SUM(Y152:Y155),"0")</f>
        <v>0</v>
      </c>
      <c r="Z157" s="37"/>
      <c r="AA157" s="602"/>
      <c r="AB157" s="602"/>
      <c r="AC157" s="602"/>
    </row>
    <row r="158" spans="1:68" ht="16.5" customHeight="1" x14ac:dyDescent="0.25">
      <c r="A158" s="622" t="s">
        <v>128</v>
      </c>
      <c r="B158" s="612"/>
      <c r="C158" s="612"/>
      <c r="D158" s="612"/>
      <c r="E158" s="612"/>
      <c r="F158" s="612"/>
      <c r="G158" s="612"/>
      <c r="H158" s="612"/>
      <c r="I158" s="612"/>
      <c r="J158" s="612"/>
      <c r="K158" s="612"/>
      <c r="L158" s="612"/>
      <c r="M158" s="612"/>
      <c r="N158" s="612"/>
      <c r="O158" s="612"/>
      <c r="P158" s="612"/>
      <c r="Q158" s="612"/>
      <c r="R158" s="612"/>
      <c r="S158" s="612"/>
      <c r="T158" s="612"/>
      <c r="U158" s="612"/>
      <c r="V158" s="612"/>
      <c r="W158" s="612"/>
      <c r="X158" s="612"/>
      <c r="Y158" s="612"/>
      <c r="Z158" s="612"/>
      <c r="AA158" s="594"/>
      <c r="AB158" s="594"/>
      <c r="AC158" s="594"/>
    </row>
    <row r="159" spans="1:68" ht="14.25" customHeight="1" x14ac:dyDescent="0.25">
      <c r="A159" s="659" t="s">
        <v>130</v>
      </c>
      <c r="B159" s="612"/>
      <c r="C159" s="612"/>
      <c r="D159" s="612"/>
      <c r="E159" s="612"/>
      <c r="F159" s="612"/>
      <c r="G159" s="612"/>
      <c r="H159" s="612"/>
      <c r="I159" s="612"/>
      <c r="J159" s="612"/>
      <c r="K159" s="612"/>
      <c r="L159" s="612"/>
      <c r="M159" s="612"/>
      <c r="N159" s="612"/>
      <c r="O159" s="612"/>
      <c r="P159" s="612"/>
      <c r="Q159" s="612"/>
      <c r="R159" s="612"/>
      <c r="S159" s="612"/>
      <c r="T159" s="612"/>
      <c r="U159" s="612"/>
      <c r="V159" s="612"/>
      <c r="W159" s="612"/>
      <c r="X159" s="612"/>
      <c r="Y159" s="612"/>
      <c r="Z159" s="612"/>
      <c r="AA159" s="595"/>
      <c r="AB159" s="595"/>
      <c r="AC159" s="595"/>
    </row>
    <row r="160" spans="1:68" ht="27" customHeight="1" x14ac:dyDescent="0.25">
      <c r="A160" s="54" t="s">
        <v>277</v>
      </c>
      <c r="B160" s="54" t="s">
        <v>278</v>
      </c>
      <c r="C160" s="31">
        <v>4301012244</v>
      </c>
      <c r="D160" s="614">
        <v>4680115887374</v>
      </c>
      <c r="E160" s="615"/>
      <c r="F160" s="598">
        <v>1.6</v>
      </c>
      <c r="G160" s="32">
        <v>8</v>
      </c>
      <c r="H160" s="598">
        <v>12.8</v>
      </c>
      <c r="I160" s="598">
        <v>13.21</v>
      </c>
      <c r="J160" s="32">
        <v>64</v>
      </c>
      <c r="K160" s="32" t="s">
        <v>133</v>
      </c>
      <c r="L160" s="32"/>
      <c r="M160" s="33" t="s">
        <v>134</v>
      </c>
      <c r="N160" s="33"/>
      <c r="O160" s="32">
        <v>55</v>
      </c>
      <c r="P160" s="6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7"/>
      <c r="R160" s="607"/>
      <c r="S160" s="607"/>
      <c r="T160" s="608"/>
      <c r="U160" s="34"/>
      <c r="V160" s="34"/>
      <c r="W160" s="35" t="s">
        <v>69</v>
      </c>
      <c r="X160" s="599">
        <v>0</v>
      </c>
      <c r="Y160" s="600">
        <f>IFERROR(IF(X160="",0,CEILING((X160/$H160),1)*$H160),"")</f>
        <v>0</v>
      </c>
      <c r="Z160" s="36" t="str">
        <f>IFERROR(IF(Y160=0,"",ROUNDUP(Y160/H160,0)*0.01898),"")</f>
        <v/>
      </c>
      <c r="AA160" s="56"/>
      <c r="AB160" s="57"/>
      <c r="AC160" s="211" t="s">
        <v>279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customHeight="1" x14ac:dyDescent="0.25">
      <c r="A161" s="54" t="s">
        <v>280</v>
      </c>
      <c r="B161" s="54" t="s">
        <v>281</v>
      </c>
      <c r="C161" s="31">
        <v>4301011705</v>
      </c>
      <c r="D161" s="614">
        <v>4607091384604</v>
      </c>
      <c r="E161" s="615"/>
      <c r="F161" s="598">
        <v>0.4</v>
      </c>
      <c r="G161" s="32">
        <v>10</v>
      </c>
      <c r="H161" s="598">
        <v>4</v>
      </c>
      <c r="I161" s="598">
        <v>4.1900000000000004</v>
      </c>
      <c r="J161" s="32">
        <v>132</v>
      </c>
      <c r="K161" s="32" t="s">
        <v>142</v>
      </c>
      <c r="L161" s="32"/>
      <c r="M161" s="33" t="s">
        <v>134</v>
      </c>
      <c r="N161" s="33"/>
      <c r="O161" s="32">
        <v>50</v>
      </c>
      <c r="P161" s="8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7"/>
      <c r="R161" s="607"/>
      <c r="S161" s="607"/>
      <c r="T161" s="608"/>
      <c r="U161" s="34"/>
      <c r="V161" s="34"/>
      <c r="W161" s="35" t="s">
        <v>69</v>
      </c>
      <c r="X161" s="599">
        <v>0</v>
      </c>
      <c r="Y161" s="600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282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11"/>
      <c r="B162" s="612"/>
      <c r="C162" s="612"/>
      <c r="D162" s="612"/>
      <c r="E162" s="612"/>
      <c r="F162" s="612"/>
      <c r="G162" s="612"/>
      <c r="H162" s="612"/>
      <c r="I162" s="612"/>
      <c r="J162" s="612"/>
      <c r="K162" s="612"/>
      <c r="L162" s="612"/>
      <c r="M162" s="612"/>
      <c r="N162" s="612"/>
      <c r="O162" s="613"/>
      <c r="P162" s="603" t="s">
        <v>78</v>
      </c>
      <c r="Q162" s="604"/>
      <c r="R162" s="604"/>
      <c r="S162" s="604"/>
      <c r="T162" s="604"/>
      <c r="U162" s="604"/>
      <c r="V162" s="605"/>
      <c r="W162" s="37" t="s">
        <v>79</v>
      </c>
      <c r="X162" s="601">
        <f>IFERROR(X160/H160,"0")+IFERROR(X161/H161,"0")</f>
        <v>0</v>
      </c>
      <c r="Y162" s="601">
        <f>IFERROR(Y160/H160,"0")+IFERROR(Y161/H161,"0")</f>
        <v>0</v>
      </c>
      <c r="Z162" s="601">
        <f>IFERROR(IF(Z160="",0,Z160),"0")+IFERROR(IF(Z161="",0,Z161),"0")</f>
        <v>0</v>
      </c>
      <c r="AA162" s="602"/>
      <c r="AB162" s="602"/>
      <c r="AC162" s="602"/>
    </row>
    <row r="163" spans="1:68" x14ac:dyDescent="0.2">
      <c r="A163" s="612"/>
      <c r="B163" s="612"/>
      <c r="C163" s="612"/>
      <c r="D163" s="612"/>
      <c r="E163" s="612"/>
      <c r="F163" s="612"/>
      <c r="G163" s="612"/>
      <c r="H163" s="612"/>
      <c r="I163" s="612"/>
      <c r="J163" s="612"/>
      <c r="K163" s="612"/>
      <c r="L163" s="612"/>
      <c r="M163" s="612"/>
      <c r="N163" s="612"/>
      <c r="O163" s="613"/>
      <c r="P163" s="603" t="s">
        <v>78</v>
      </c>
      <c r="Q163" s="604"/>
      <c r="R163" s="604"/>
      <c r="S163" s="604"/>
      <c r="T163" s="604"/>
      <c r="U163" s="604"/>
      <c r="V163" s="605"/>
      <c r="W163" s="37" t="s">
        <v>69</v>
      </c>
      <c r="X163" s="601">
        <f>IFERROR(SUM(X160:X161),"0")</f>
        <v>0</v>
      </c>
      <c r="Y163" s="601">
        <f>IFERROR(SUM(Y160:Y161),"0")</f>
        <v>0</v>
      </c>
      <c r="Z163" s="37"/>
      <c r="AA163" s="602"/>
      <c r="AB163" s="602"/>
      <c r="AC163" s="602"/>
    </row>
    <row r="164" spans="1:68" ht="14.25" customHeight="1" x14ac:dyDescent="0.25">
      <c r="A164" s="659" t="s">
        <v>165</v>
      </c>
      <c r="B164" s="612"/>
      <c r="C164" s="612"/>
      <c r="D164" s="612"/>
      <c r="E164" s="612"/>
      <c r="F164" s="612"/>
      <c r="G164" s="612"/>
      <c r="H164" s="612"/>
      <c r="I164" s="612"/>
      <c r="J164" s="612"/>
      <c r="K164" s="612"/>
      <c r="L164" s="612"/>
      <c r="M164" s="612"/>
      <c r="N164" s="612"/>
      <c r="O164" s="612"/>
      <c r="P164" s="612"/>
      <c r="Q164" s="612"/>
      <c r="R164" s="612"/>
      <c r="S164" s="612"/>
      <c r="T164" s="612"/>
      <c r="U164" s="612"/>
      <c r="V164" s="612"/>
      <c r="W164" s="612"/>
      <c r="X164" s="612"/>
      <c r="Y164" s="612"/>
      <c r="Z164" s="612"/>
      <c r="AA164" s="595"/>
      <c r="AB164" s="595"/>
      <c r="AC164" s="595"/>
    </row>
    <row r="165" spans="1:68" ht="16.5" customHeight="1" x14ac:dyDescent="0.25">
      <c r="A165" s="54" t="s">
        <v>283</v>
      </c>
      <c r="B165" s="54" t="s">
        <v>284</v>
      </c>
      <c r="C165" s="31">
        <v>4301020410</v>
      </c>
      <c r="D165" s="614">
        <v>4680115887695</v>
      </c>
      <c r="E165" s="615"/>
      <c r="F165" s="598">
        <v>0.12</v>
      </c>
      <c r="G165" s="32">
        <v>6</v>
      </c>
      <c r="H165" s="598">
        <v>0.72</v>
      </c>
      <c r="I165" s="598">
        <v>0.85</v>
      </c>
      <c r="J165" s="32">
        <v>252</v>
      </c>
      <c r="K165" s="32" t="s">
        <v>73</v>
      </c>
      <c r="L165" s="32"/>
      <c r="M165" s="33" t="s">
        <v>68</v>
      </c>
      <c r="N165" s="33"/>
      <c r="O165" s="32">
        <v>30</v>
      </c>
      <c r="P165" s="63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7"/>
      <c r="R165" s="607"/>
      <c r="S165" s="607"/>
      <c r="T165" s="608"/>
      <c r="U165" s="34"/>
      <c r="V165" s="34"/>
      <c r="W165" s="35" t="s">
        <v>69</v>
      </c>
      <c r="X165" s="599">
        <v>0</v>
      </c>
      <c r="Y165" s="600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285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11"/>
      <c r="B166" s="612"/>
      <c r="C166" s="612"/>
      <c r="D166" s="612"/>
      <c r="E166" s="612"/>
      <c r="F166" s="612"/>
      <c r="G166" s="612"/>
      <c r="H166" s="612"/>
      <c r="I166" s="612"/>
      <c r="J166" s="612"/>
      <c r="K166" s="612"/>
      <c r="L166" s="612"/>
      <c r="M166" s="612"/>
      <c r="N166" s="612"/>
      <c r="O166" s="613"/>
      <c r="P166" s="603" t="s">
        <v>78</v>
      </c>
      <c r="Q166" s="604"/>
      <c r="R166" s="604"/>
      <c r="S166" s="604"/>
      <c r="T166" s="604"/>
      <c r="U166" s="604"/>
      <c r="V166" s="605"/>
      <c r="W166" s="37" t="s">
        <v>79</v>
      </c>
      <c r="X166" s="601">
        <f>IFERROR(X165/H165,"0")</f>
        <v>0</v>
      </c>
      <c r="Y166" s="601">
        <f>IFERROR(Y165/H165,"0")</f>
        <v>0</v>
      </c>
      <c r="Z166" s="601">
        <f>IFERROR(IF(Z165="",0,Z165),"0")</f>
        <v>0</v>
      </c>
      <c r="AA166" s="602"/>
      <c r="AB166" s="602"/>
      <c r="AC166" s="602"/>
    </row>
    <row r="167" spans="1:68" x14ac:dyDescent="0.2">
      <c r="A167" s="612"/>
      <c r="B167" s="612"/>
      <c r="C167" s="612"/>
      <c r="D167" s="612"/>
      <c r="E167" s="612"/>
      <c r="F167" s="612"/>
      <c r="G167" s="612"/>
      <c r="H167" s="612"/>
      <c r="I167" s="612"/>
      <c r="J167" s="612"/>
      <c r="K167" s="612"/>
      <c r="L167" s="612"/>
      <c r="M167" s="612"/>
      <c r="N167" s="612"/>
      <c r="O167" s="613"/>
      <c r="P167" s="603" t="s">
        <v>78</v>
      </c>
      <c r="Q167" s="604"/>
      <c r="R167" s="604"/>
      <c r="S167" s="604"/>
      <c r="T167" s="604"/>
      <c r="U167" s="604"/>
      <c r="V167" s="605"/>
      <c r="W167" s="37" t="s">
        <v>69</v>
      </c>
      <c r="X167" s="601">
        <f>IFERROR(SUM(X165:X165),"0")</f>
        <v>0</v>
      </c>
      <c r="Y167" s="601">
        <f>IFERROR(SUM(Y165:Y165),"0")</f>
        <v>0</v>
      </c>
      <c r="Z167" s="37"/>
      <c r="AA167" s="602"/>
      <c r="AB167" s="602"/>
      <c r="AC167" s="602"/>
    </row>
    <row r="168" spans="1:68" ht="14.25" customHeight="1" x14ac:dyDescent="0.25">
      <c r="A168" s="659" t="s">
        <v>64</v>
      </c>
      <c r="B168" s="612"/>
      <c r="C168" s="612"/>
      <c r="D168" s="612"/>
      <c r="E168" s="612"/>
      <c r="F168" s="612"/>
      <c r="G168" s="612"/>
      <c r="H168" s="612"/>
      <c r="I168" s="612"/>
      <c r="J168" s="612"/>
      <c r="K168" s="612"/>
      <c r="L168" s="612"/>
      <c r="M168" s="612"/>
      <c r="N168" s="612"/>
      <c r="O168" s="612"/>
      <c r="P168" s="612"/>
      <c r="Q168" s="612"/>
      <c r="R168" s="612"/>
      <c r="S168" s="612"/>
      <c r="T168" s="612"/>
      <c r="U168" s="612"/>
      <c r="V168" s="612"/>
      <c r="W168" s="612"/>
      <c r="X168" s="612"/>
      <c r="Y168" s="612"/>
      <c r="Z168" s="612"/>
      <c r="AA168" s="595"/>
      <c r="AB168" s="595"/>
      <c r="AC168" s="595"/>
    </row>
    <row r="169" spans="1:68" ht="27" customHeight="1" x14ac:dyDescent="0.25">
      <c r="A169" s="54" t="s">
        <v>286</v>
      </c>
      <c r="B169" s="54" t="s">
        <v>287</v>
      </c>
      <c r="C169" s="31">
        <v>4301031496</v>
      </c>
      <c r="D169" s="614">
        <v>4680115887428</v>
      </c>
      <c r="E169" s="615"/>
      <c r="F169" s="598">
        <v>0.7</v>
      </c>
      <c r="G169" s="32">
        <v>5</v>
      </c>
      <c r="H169" s="598">
        <v>3.5</v>
      </c>
      <c r="I169" s="598">
        <v>3.69</v>
      </c>
      <c r="J169" s="32">
        <v>132</v>
      </c>
      <c r="K169" s="32" t="s">
        <v>142</v>
      </c>
      <c r="L169" s="32"/>
      <c r="M169" s="33" t="s">
        <v>68</v>
      </c>
      <c r="N169" s="33"/>
      <c r="O169" s="32">
        <v>40</v>
      </c>
      <c r="P169" s="7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7"/>
      <c r="R169" s="607"/>
      <c r="S169" s="607"/>
      <c r="T169" s="608"/>
      <c r="U169" s="34"/>
      <c r="V169" s="34"/>
      <c r="W169" s="35" t="s">
        <v>69</v>
      </c>
      <c r="X169" s="599">
        <v>188</v>
      </c>
      <c r="Y169" s="600">
        <f t="shared" ref="Y169:Y178" si="16">IFERROR(IF(X169="",0,CEILING((X169/$H169),1)*$H169),"")</f>
        <v>189</v>
      </c>
      <c r="Z169" s="36">
        <f>IFERROR(IF(Y169=0,"",ROUNDUP(Y169/H169,0)*0.00902),"")</f>
        <v>0.48708000000000001</v>
      </c>
      <c r="AA169" s="56"/>
      <c r="AB169" s="57"/>
      <c r="AC169" s="217" t="s">
        <v>288</v>
      </c>
      <c r="AG169" s="64"/>
      <c r="AJ169" s="68"/>
      <c r="AK169" s="68">
        <v>0</v>
      </c>
      <c r="BB169" s="218" t="s">
        <v>1</v>
      </c>
      <c r="BM169" s="64">
        <f t="shared" ref="BM169:BM178" si="17">IFERROR(X169*I169/H169,"0")</f>
        <v>198.20571428571429</v>
      </c>
      <c r="BN169" s="64">
        <f t="shared" ref="BN169:BN178" si="18">IFERROR(Y169*I169/H169,"0")</f>
        <v>199.26</v>
      </c>
      <c r="BO169" s="64">
        <f t="shared" ref="BO169:BO178" si="19">IFERROR(1/J169*(X169/H169),"0")</f>
        <v>0.40692640692640697</v>
      </c>
      <c r="BP169" s="64">
        <f t="shared" ref="BP169:BP178" si="20">IFERROR(1/J169*(Y169/H169),"0")</f>
        <v>0.40909090909090912</v>
      </c>
    </row>
    <row r="170" spans="1:68" ht="27" customHeight="1" x14ac:dyDescent="0.25">
      <c r="A170" s="54" t="s">
        <v>289</v>
      </c>
      <c r="B170" s="54" t="s">
        <v>290</v>
      </c>
      <c r="C170" s="31">
        <v>4301030963</v>
      </c>
      <c r="D170" s="614">
        <v>4607091382426</v>
      </c>
      <c r="E170" s="615"/>
      <c r="F170" s="598">
        <v>0.9</v>
      </c>
      <c r="G170" s="32">
        <v>10</v>
      </c>
      <c r="H170" s="598">
        <v>9</v>
      </c>
      <c r="I170" s="598">
        <v>9.56</v>
      </c>
      <c r="J170" s="32">
        <v>64</v>
      </c>
      <c r="K170" s="32" t="s">
        <v>133</v>
      </c>
      <c r="L170" s="32"/>
      <c r="M170" s="33" t="s">
        <v>68</v>
      </c>
      <c r="N170" s="33"/>
      <c r="O170" s="32">
        <v>40</v>
      </c>
      <c r="P170" s="65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7"/>
      <c r="R170" s="607"/>
      <c r="S170" s="607"/>
      <c r="T170" s="608"/>
      <c r="U170" s="34"/>
      <c r="V170" s="34"/>
      <c r="W170" s="35" t="s">
        <v>69</v>
      </c>
      <c r="X170" s="599">
        <v>0</v>
      </c>
      <c r="Y170" s="600">
        <f t="shared" si="16"/>
        <v>0</v>
      </c>
      <c r="Z170" s="36" t="str">
        <f>IFERROR(IF(Y170=0,"",ROUNDUP(Y170/H170,0)*0.01898),"")</f>
        <v/>
      </c>
      <c r="AA170" s="56"/>
      <c r="AB170" s="57"/>
      <c r="AC170" s="219" t="s">
        <v>291</v>
      </c>
      <c r="AG170" s="64"/>
      <c r="AJ170" s="68"/>
      <c r="AK170" s="68">
        <v>0</v>
      </c>
      <c r="BB170" s="220" t="s">
        <v>1</v>
      </c>
      <c r="BM170" s="64">
        <f t="shared" si="17"/>
        <v>0</v>
      </c>
      <c r="BN170" s="64">
        <f t="shared" si="18"/>
        <v>0</v>
      </c>
      <c r="BO170" s="64">
        <f t="shared" si="19"/>
        <v>0</v>
      </c>
      <c r="BP170" s="64">
        <f t="shared" si="20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4301031498</v>
      </c>
      <c r="D171" s="614">
        <v>4680115887398</v>
      </c>
      <c r="E171" s="615"/>
      <c r="F171" s="598">
        <v>0.7</v>
      </c>
      <c r="G171" s="32">
        <v>5</v>
      </c>
      <c r="H171" s="598">
        <v>3.5</v>
      </c>
      <c r="I171" s="598">
        <v>3.69</v>
      </c>
      <c r="J171" s="32">
        <v>132</v>
      </c>
      <c r="K171" s="32" t="s">
        <v>142</v>
      </c>
      <c r="L171" s="32"/>
      <c r="M171" s="33" t="s">
        <v>68</v>
      </c>
      <c r="N171" s="33"/>
      <c r="O171" s="32">
        <v>40</v>
      </c>
      <c r="P171" s="69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7"/>
      <c r="R171" s="607"/>
      <c r="S171" s="607"/>
      <c r="T171" s="608"/>
      <c r="U171" s="34"/>
      <c r="V171" s="34"/>
      <c r="W171" s="35" t="s">
        <v>69</v>
      </c>
      <c r="X171" s="599">
        <v>0</v>
      </c>
      <c r="Y171" s="600">
        <f t="shared" si="16"/>
        <v>0</v>
      </c>
      <c r="Z171" s="36" t="str">
        <f>IFERROR(IF(Y171=0,"",ROUNDUP(Y171/H171,0)*0.00902),"")</f>
        <v/>
      </c>
      <c r="AA171" s="56"/>
      <c r="AB171" s="57"/>
      <c r="AC171" s="221" t="s">
        <v>294</v>
      </c>
      <c r="AG171" s="64"/>
      <c r="AJ171" s="68"/>
      <c r="AK171" s="68">
        <v>0</v>
      </c>
      <c r="BB171" s="222" t="s">
        <v>1</v>
      </c>
      <c r="BM171" s="64">
        <f t="shared" si="17"/>
        <v>0</v>
      </c>
      <c r="BN171" s="64">
        <f t="shared" si="18"/>
        <v>0</v>
      </c>
      <c r="BO171" s="64">
        <f t="shared" si="19"/>
        <v>0</v>
      </c>
      <c r="BP171" s="64">
        <f t="shared" si="20"/>
        <v>0</v>
      </c>
    </row>
    <row r="172" spans="1:68" ht="27" customHeight="1" x14ac:dyDescent="0.25">
      <c r="A172" s="54" t="s">
        <v>295</v>
      </c>
      <c r="B172" s="54" t="s">
        <v>296</v>
      </c>
      <c r="C172" s="31">
        <v>4301031497</v>
      </c>
      <c r="D172" s="614">
        <v>4680115887336</v>
      </c>
      <c r="E172" s="615"/>
      <c r="F172" s="598">
        <v>0.7</v>
      </c>
      <c r="G172" s="32">
        <v>5</v>
      </c>
      <c r="H172" s="598">
        <v>3.5</v>
      </c>
      <c r="I172" s="598">
        <v>3.69</v>
      </c>
      <c r="J172" s="32">
        <v>132</v>
      </c>
      <c r="K172" s="32" t="s">
        <v>142</v>
      </c>
      <c r="L172" s="32"/>
      <c r="M172" s="33" t="s">
        <v>68</v>
      </c>
      <c r="N172" s="33"/>
      <c r="O172" s="32">
        <v>40</v>
      </c>
      <c r="P172" s="63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7"/>
      <c r="R172" s="607"/>
      <c r="S172" s="607"/>
      <c r="T172" s="608"/>
      <c r="U172" s="34"/>
      <c r="V172" s="34"/>
      <c r="W172" s="35" t="s">
        <v>69</v>
      </c>
      <c r="X172" s="599">
        <v>207</v>
      </c>
      <c r="Y172" s="600">
        <f t="shared" si="16"/>
        <v>210</v>
      </c>
      <c r="Z172" s="36">
        <f>IFERROR(IF(Y172=0,"",ROUNDUP(Y172/H172,0)*0.00902),"")</f>
        <v>0.54120000000000001</v>
      </c>
      <c r="AA172" s="56"/>
      <c r="AB172" s="57"/>
      <c r="AC172" s="223" t="s">
        <v>297</v>
      </c>
      <c r="AG172" s="64"/>
      <c r="AJ172" s="68"/>
      <c r="AK172" s="68">
        <v>0</v>
      </c>
      <c r="BB172" s="224" t="s">
        <v>1</v>
      </c>
      <c r="BM172" s="64">
        <f t="shared" si="17"/>
        <v>218.23714285714286</v>
      </c>
      <c r="BN172" s="64">
        <f t="shared" si="18"/>
        <v>221.4</v>
      </c>
      <c r="BO172" s="64">
        <f t="shared" si="19"/>
        <v>0.44805194805194809</v>
      </c>
      <c r="BP172" s="64">
        <f t="shared" si="20"/>
        <v>0.45454545454545459</v>
      </c>
    </row>
    <row r="173" spans="1:68" ht="16.5" customHeight="1" x14ac:dyDescent="0.25">
      <c r="A173" s="54" t="s">
        <v>298</v>
      </c>
      <c r="B173" s="54" t="s">
        <v>299</v>
      </c>
      <c r="C173" s="31">
        <v>4301032049</v>
      </c>
      <c r="D173" s="614">
        <v>4680115887787</v>
      </c>
      <c r="E173" s="615"/>
      <c r="F173" s="598">
        <v>0.09</v>
      </c>
      <c r="G173" s="32">
        <v>10</v>
      </c>
      <c r="H173" s="598">
        <v>0.9</v>
      </c>
      <c r="I173" s="598">
        <v>1.1100000000000001</v>
      </c>
      <c r="J173" s="32">
        <v>336</v>
      </c>
      <c r="K173" s="32" t="s">
        <v>138</v>
      </c>
      <c r="L173" s="32"/>
      <c r="M173" s="33" t="s">
        <v>68</v>
      </c>
      <c r="N173" s="33"/>
      <c r="O173" s="32">
        <v>45</v>
      </c>
      <c r="P173" s="6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7"/>
      <c r="R173" s="607"/>
      <c r="S173" s="607"/>
      <c r="T173" s="608"/>
      <c r="U173" s="34"/>
      <c r="V173" s="34"/>
      <c r="W173" s="35" t="s">
        <v>69</v>
      </c>
      <c r="X173" s="599">
        <v>0</v>
      </c>
      <c r="Y173" s="600">
        <f t="shared" si="16"/>
        <v>0</v>
      </c>
      <c r="Z173" s="36" t="str">
        <f>IFERROR(IF(Y173=0,"",ROUNDUP(Y173/H173,0)*0.00417),"")</f>
        <v/>
      </c>
      <c r="AA173" s="56"/>
      <c r="AB173" s="57"/>
      <c r="AC173" s="225" t="s">
        <v>300</v>
      </c>
      <c r="AG173" s="64"/>
      <c r="AJ173" s="68"/>
      <c r="AK173" s="68">
        <v>0</v>
      </c>
      <c r="BB173" s="226" t="s">
        <v>1</v>
      </c>
      <c r="BM173" s="64">
        <f t="shared" si="17"/>
        <v>0</v>
      </c>
      <c r="BN173" s="64">
        <f t="shared" si="18"/>
        <v>0</v>
      </c>
      <c r="BO173" s="64">
        <f t="shared" si="19"/>
        <v>0</v>
      </c>
      <c r="BP173" s="64">
        <f t="shared" si="20"/>
        <v>0</v>
      </c>
    </row>
    <row r="174" spans="1:68" ht="27" customHeight="1" x14ac:dyDescent="0.25">
      <c r="A174" s="54" t="s">
        <v>301</v>
      </c>
      <c r="B174" s="54" t="s">
        <v>302</v>
      </c>
      <c r="C174" s="31">
        <v>4301031448</v>
      </c>
      <c r="D174" s="614">
        <v>4680115887503</v>
      </c>
      <c r="E174" s="615"/>
      <c r="F174" s="598">
        <v>0.28000000000000003</v>
      </c>
      <c r="G174" s="32">
        <v>6</v>
      </c>
      <c r="H174" s="598">
        <v>1.68</v>
      </c>
      <c r="I174" s="598">
        <v>1.78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93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7"/>
      <c r="R174" s="607"/>
      <c r="S174" s="607"/>
      <c r="T174" s="608"/>
      <c r="U174" s="34"/>
      <c r="V174" s="34"/>
      <c r="W174" s="35" t="s">
        <v>69</v>
      </c>
      <c r="X174" s="599">
        <v>82</v>
      </c>
      <c r="Y174" s="600">
        <f t="shared" si="16"/>
        <v>82.32</v>
      </c>
      <c r="Z174" s="36">
        <f>IFERROR(IF(Y174=0,"",ROUNDUP(Y174/H174,0)*0.00502),"")</f>
        <v>0.24598</v>
      </c>
      <c r="AA174" s="56"/>
      <c r="AB174" s="57"/>
      <c r="AC174" s="227" t="s">
        <v>288</v>
      </c>
      <c r="AG174" s="64"/>
      <c r="AJ174" s="68"/>
      <c r="AK174" s="68">
        <v>0</v>
      </c>
      <c r="BB174" s="228" t="s">
        <v>1</v>
      </c>
      <c r="BM174" s="64">
        <f t="shared" si="17"/>
        <v>86.880952380952394</v>
      </c>
      <c r="BN174" s="64">
        <f t="shared" si="18"/>
        <v>87.22</v>
      </c>
      <c r="BO174" s="64">
        <f t="shared" si="19"/>
        <v>0.20858770858770861</v>
      </c>
      <c r="BP174" s="64">
        <f t="shared" si="20"/>
        <v>0.20940170940170943</v>
      </c>
    </row>
    <row r="175" spans="1:68" ht="27" customHeight="1" x14ac:dyDescent="0.25">
      <c r="A175" s="54" t="s">
        <v>303</v>
      </c>
      <c r="B175" s="54" t="s">
        <v>304</v>
      </c>
      <c r="C175" s="31">
        <v>4301031389</v>
      </c>
      <c r="D175" s="614">
        <v>4680115887763</v>
      </c>
      <c r="E175" s="615"/>
      <c r="F175" s="598">
        <v>0.09</v>
      </c>
      <c r="G175" s="32">
        <v>10</v>
      </c>
      <c r="H175" s="598">
        <v>0.9</v>
      </c>
      <c r="I175" s="598">
        <v>1.1100000000000001</v>
      </c>
      <c r="J175" s="32">
        <v>336</v>
      </c>
      <c r="K175" s="32" t="s">
        <v>138</v>
      </c>
      <c r="L175" s="32"/>
      <c r="M175" s="33" t="s">
        <v>68</v>
      </c>
      <c r="N175" s="33"/>
      <c r="O175" s="32">
        <v>45</v>
      </c>
      <c r="P175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7"/>
      <c r="R175" s="607"/>
      <c r="S175" s="607"/>
      <c r="T175" s="608"/>
      <c r="U175" s="34"/>
      <c r="V175" s="34"/>
      <c r="W175" s="35" t="s">
        <v>69</v>
      </c>
      <c r="X175" s="599">
        <v>0</v>
      </c>
      <c r="Y175" s="600">
        <f t="shared" si="16"/>
        <v>0</v>
      </c>
      <c r="Z175" s="36" t="str">
        <f>IFERROR(IF(Y175=0,"",ROUNDUP(Y175/H175,0)*0.00417),"")</f>
        <v/>
      </c>
      <c r="AA175" s="56"/>
      <c r="AB175" s="57"/>
      <c r="AC175" s="229" t="s">
        <v>305</v>
      </c>
      <c r="AG175" s="64"/>
      <c r="AJ175" s="68"/>
      <c r="AK175" s="68">
        <v>0</v>
      </c>
      <c r="BB175" s="230" t="s">
        <v>1</v>
      </c>
      <c r="BM175" s="64">
        <f t="shared" si="17"/>
        <v>0</v>
      </c>
      <c r="BN175" s="64">
        <f t="shared" si="18"/>
        <v>0</v>
      </c>
      <c r="BO175" s="64">
        <f t="shared" si="19"/>
        <v>0</v>
      </c>
      <c r="BP175" s="64">
        <f t="shared" si="20"/>
        <v>0</v>
      </c>
    </row>
    <row r="176" spans="1:68" ht="27" customHeight="1" x14ac:dyDescent="0.25">
      <c r="A176" s="54" t="s">
        <v>306</v>
      </c>
      <c r="B176" s="54" t="s">
        <v>307</v>
      </c>
      <c r="C176" s="31">
        <v>4301031454</v>
      </c>
      <c r="D176" s="614">
        <v>4680115887480</v>
      </c>
      <c r="E176" s="615"/>
      <c r="F176" s="598">
        <v>0.28000000000000003</v>
      </c>
      <c r="G176" s="32">
        <v>6</v>
      </c>
      <c r="H176" s="598">
        <v>1.68</v>
      </c>
      <c r="I176" s="598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8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7"/>
      <c r="R176" s="607"/>
      <c r="S176" s="607"/>
      <c r="T176" s="608"/>
      <c r="U176" s="34"/>
      <c r="V176" s="34"/>
      <c r="W176" s="35" t="s">
        <v>69</v>
      </c>
      <c r="X176" s="599">
        <v>0</v>
      </c>
      <c r="Y176" s="600">
        <f t="shared" si="16"/>
        <v>0</v>
      </c>
      <c r="Z176" s="36" t="str">
        <f>IFERROR(IF(Y176=0,"",ROUNDUP(Y176/H176,0)*0.00502),"")</f>
        <v/>
      </c>
      <c r="AA176" s="56"/>
      <c r="AB176" s="57"/>
      <c r="AC176" s="231" t="s">
        <v>294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308</v>
      </c>
      <c r="B177" s="54" t="s">
        <v>309</v>
      </c>
      <c r="C177" s="31">
        <v>4301031434</v>
      </c>
      <c r="D177" s="614">
        <v>4680115888067</v>
      </c>
      <c r="E177" s="615"/>
      <c r="F177" s="598">
        <v>0.09</v>
      </c>
      <c r="G177" s="32">
        <v>10</v>
      </c>
      <c r="H177" s="598">
        <v>0.9</v>
      </c>
      <c r="I177" s="598">
        <v>1</v>
      </c>
      <c r="J177" s="32">
        <v>336</v>
      </c>
      <c r="K177" s="32" t="s">
        <v>138</v>
      </c>
      <c r="L177" s="32"/>
      <c r="M177" s="33" t="s">
        <v>68</v>
      </c>
      <c r="N177" s="33"/>
      <c r="O177" s="32">
        <v>45</v>
      </c>
      <c r="P177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7"/>
      <c r="R177" s="607"/>
      <c r="S177" s="607"/>
      <c r="T177" s="608"/>
      <c r="U177" s="34"/>
      <c r="V177" s="34"/>
      <c r="W177" s="35" t="s">
        <v>69</v>
      </c>
      <c r="X177" s="599">
        <v>0</v>
      </c>
      <c r="Y177" s="600">
        <f t="shared" si="16"/>
        <v>0</v>
      </c>
      <c r="Z177" s="36" t="str">
        <f>IFERROR(IF(Y177=0,"",ROUNDUP(Y177/H177,0)*0.00417),"")</f>
        <v/>
      </c>
      <c r="AA177" s="56"/>
      <c r="AB177" s="57"/>
      <c r="AC177" s="233" t="s">
        <v>310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311</v>
      </c>
      <c r="B178" s="54" t="s">
        <v>312</v>
      </c>
      <c r="C178" s="31">
        <v>4301031451</v>
      </c>
      <c r="D178" s="614">
        <v>4680115887435</v>
      </c>
      <c r="E178" s="615"/>
      <c r="F178" s="598">
        <v>0.28000000000000003</v>
      </c>
      <c r="G178" s="32">
        <v>6</v>
      </c>
      <c r="H178" s="598">
        <v>1.68</v>
      </c>
      <c r="I178" s="59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7"/>
      <c r="R178" s="607"/>
      <c r="S178" s="607"/>
      <c r="T178" s="608"/>
      <c r="U178" s="34"/>
      <c r="V178" s="34"/>
      <c r="W178" s="35" t="s">
        <v>69</v>
      </c>
      <c r="X178" s="599">
        <v>107</v>
      </c>
      <c r="Y178" s="600">
        <f t="shared" si="16"/>
        <v>107.52</v>
      </c>
      <c r="Z178" s="36">
        <f>IFERROR(IF(Y178=0,"",ROUNDUP(Y178/H178,0)*0.00502),"")</f>
        <v>0.32128000000000001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17"/>
        <v>113.36904761904763</v>
      </c>
      <c r="BN178" s="64">
        <f t="shared" si="18"/>
        <v>113.91999999999999</v>
      </c>
      <c r="BO178" s="64">
        <f t="shared" si="19"/>
        <v>0.2721815221815222</v>
      </c>
      <c r="BP178" s="64">
        <f t="shared" si="20"/>
        <v>0.27350427350427353</v>
      </c>
    </row>
    <row r="179" spans="1:68" x14ac:dyDescent="0.2">
      <c r="A179" s="611"/>
      <c r="B179" s="612"/>
      <c r="C179" s="612"/>
      <c r="D179" s="612"/>
      <c r="E179" s="612"/>
      <c r="F179" s="612"/>
      <c r="G179" s="612"/>
      <c r="H179" s="612"/>
      <c r="I179" s="612"/>
      <c r="J179" s="612"/>
      <c r="K179" s="612"/>
      <c r="L179" s="612"/>
      <c r="M179" s="612"/>
      <c r="N179" s="612"/>
      <c r="O179" s="613"/>
      <c r="P179" s="603" t="s">
        <v>78</v>
      </c>
      <c r="Q179" s="604"/>
      <c r="R179" s="604"/>
      <c r="S179" s="604"/>
      <c r="T179" s="604"/>
      <c r="U179" s="604"/>
      <c r="V179" s="605"/>
      <c r="W179" s="37" t="s">
        <v>79</v>
      </c>
      <c r="X179" s="601">
        <f>IFERROR(X169/H169,"0")+IFERROR(X170/H170,"0")+IFERROR(X171/H171,"0")+IFERROR(X172/H172,"0")+IFERROR(X173/H173,"0")+IFERROR(X174/H174,"0")+IFERROR(X175/H175,"0")+IFERROR(X176/H176,"0")+IFERROR(X177/H177,"0")+IFERROR(X178/H178,"0")</f>
        <v>225.35714285714289</v>
      </c>
      <c r="Y179" s="601">
        <f>IFERROR(Y169/H169,"0")+IFERROR(Y170/H170,"0")+IFERROR(Y171/H171,"0")+IFERROR(Y172/H172,"0")+IFERROR(Y173/H173,"0")+IFERROR(Y174/H174,"0")+IFERROR(Y175/H175,"0")+IFERROR(Y176/H176,"0")+IFERROR(Y177/H177,"0")+IFERROR(Y178/H178,"0")</f>
        <v>227</v>
      </c>
      <c r="Z179" s="60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1.5955400000000002</v>
      </c>
      <c r="AA179" s="602"/>
      <c r="AB179" s="602"/>
      <c r="AC179" s="602"/>
    </row>
    <row r="180" spans="1:68" x14ac:dyDescent="0.2">
      <c r="A180" s="612"/>
      <c r="B180" s="612"/>
      <c r="C180" s="612"/>
      <c r="D180" s="612"/>
      <c r="E180" s="612"/>
      <c r="F180" s="612"/>
      <c r="G180" s="612"/>
      <c r="H180" s="612"/>
      <c r="I180" s="612"/>
      <c r="J180" s="612"/>
      <c r="K180" s="612"/>
      <c r="L180" s="612"/>
      <c r="M180" s="612"/>
      <c r="N180" s="612"/>
      <c r="O180" s="613"/>
      <c r="P180" s="603" t="s">
        <v>78</v>
      </c>
      <c r="Q180" s="604"/>
      <c r="R180" s="604"/>
      <c r="S180" s="604"/>
      <c r="T180" s="604"/>
      <c r="U180" s="604"/>
      <c r="V180" s="605"/>
      <c r="W180" s="37" t="s">
        <v>69</v>
      </c>
      <c r="X180" s="601">
        <f>IFERROR(SUM(X169:X178),"0")</f>
        <v>584</v>
      </c>
      <c r="Y180" s="601">
        <f>IFERROR(SUM(Y169:Y178),"0")</f>
        <v>588.84</v>
      </c>
      <c r="Z180" s="37"/>
      <c r="AA180" s="602"/>
      <c r="AB180" s="602"/>
      <c r="AC180" s="602"/>
    </row>
    <row r="181" spans="1:68" ht="14.25" customHeight="1" x14ac:dyDescent="0.25">
      <c r="A181" s="659" t="s">
        <v>80</v>
      </c>
      <c r="B181" s="612"/>
      <c r="C181" s="612"/>
      <c r="D181" s="612"/>
      <c r="E181" s="612"/>
      <c r="F181" s="612"/>
      <c r="G181" s="612"/>
      <c r="H181" s="612"/>
      <c r="I181" s="612"/>
      <c r="J181" s="612"/>
      <c r="K181" s="612"/>
      <c r="L181" s="612"/>
      <c r="M181" s="612"/>
      <c r="N181" s="612"/>
      <c r="O181" s="612"/>
      <c r="P181" s="612"/>
      <c r="Q181" s="612"/>
      <c r="R181" s="612"/>
      <c r="S181" s="612"/>
      <c r="T181" s="612"/>
      <c r="U181" s="612"/>
      <c r="V181" s="612"/>
      <c r="W181" s="612"/>
      <c r="X181" s="612"/>
      <c r="Y181" s="612"/>
      <c r="Z181" s="612"/>
      <c r="AA181" s="595"/>
      <c r="AB181" s="595"/>
      <c r="AC181" s="595"/>
    </row>
    <row r="182" spans="1:68" ht="16.5" customHeight="1" x14ac:dyDescent="0.25">
      <c r="A182" s="54" t="s">
        <v>313</v>
      </c>
      <c r="B182" s="54" t="s">
        <v>314</v>
      </c>
      <c r="C182" s="31">
        <v>4301052193</v>
      </c>
      <c r="D182" s="614">
        <v>4680115888395</v>
      </c>
      <c r="E182" s="615"/>
      <c r="F182" s="598">
        <v>0.42</v>
      </c>
      <c r="G182" s="32">
        <v>6</v>
      </c>
      <c r="H182" s="598">
        <v>2.52</v>
      </c>
      <c r="I182" s="598">
        <v>2.766</v>
      </c>
      <c r="J182" s="32">
        <v>182</v>
      </c>
      <c r="K182" s="32" t="s">
        <v>67</v>
      </c>
      <c r="L182" s="32"/>
      <c r="M182" s="33" t="s">
        <v>89</v>
      </c>
      <c r="N182" s="33"/>
      <c r="O182" s="32">
        <v>40</v>
      </c>
      <c r="P182" s="7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07"/>
      <c r="R182" s="607"/>
      <c r="S182" s="607"/>
      <c r="T182" s="608"/>
      <c r="U182" s="34"/>
      <c r="V182" s="34"/>
      <c r="W182" s="35" t="s">
        <v>69</v>
      </c>
      <c r="X182" s="599">
        <v>0</v>
      </c>
      <c r="Y182" s="600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 t="s">
        <v>315</v>
      </c>
      <c r="AC182" s="237" t="s">
        <v>316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317</v>
      </c>
      <c r="B183" s="54" t="s">
        <v>318</v>
      </c>
      <c r="C183" s="31">
        <v>4301052191</v>
      </c>
      <c r="D183" s="614">
        <v>4680115888371</v>
      </c>
      <c r="E183" s="615"/>
      <c r="F183" s="598">
        <v>0.42</v>
      </c>
      <c r="G183" s="32">
        <v>6</v>
      </c>
      <c r="H183" s="598">
        <v>2.52</v>
      </c>
      <c r="I183" s="598">
        <v>2.766</v>
      </c>
      <c r="J183" s="32">
        <v>182</v>
      </c>
      <c r="K183" s="32" t="s">
        <v>67</v>
      </c>
      <c r="L183" s="32"/>
      <c r="M183" s="33" t="s">
        <v>89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07"/>
      <c r="R183" s="607"/>
      <c r="S183" s="607"/>
      <c r="T183" s="608"/>
      <c r="U183" s="34"/>
      <c r="V183" s="34"/>
      <c r="W183" s="35" t="s">
        <v>69</v>
      </c>
      <c r="X183" s="599">
        <v>0</v>
      </c>
      <c r="Y183" s="600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 t="s">
        <v>315</v>
      </c>
      <c r="AC183" s="239" t="s">
        <v>319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4301052064</v>
      </c>
      <c r="D184" s="614">
        <v>4680115887459</v>
      </c>
      <c r="E184" s="615"/>
      <c r="F184" s="598">
        <v>0.3</v>
      </c>
      <c r="G184" s="32">
        <v>6</v>
      </c>
      <c r="H184" s="598">
        <v>1.8</v>
      </c>
      <c r="I184" s="598">
        <v>2.0579999999999998</v>
      </c>
      <c r="J184" s="32">
        <v>182</v>
      </c>
      <c r="K184" s="32" t="s">
        <v>67</v>
      </c>
      <c r="L184" s="32"/>
      <c r="M184" s="33" t="s">
        <v>83</v>
      </c>
      <c r="N184" s="33"/>
      <c r="O184" s="32">
        <v>45</v>
      </c>
      <c r="P184" s="6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07"/>
      <c r="R184" s="607"/>
      <c r="S184" s="607"/>
      <c r="T184" s="608"/>
      <c r="U184" s="34"/>
      <c r="V184" s="34"/>
      <c r="W184" s="35" t="s">
        <v>69</v>
      </c>
      <c r="X184" s="599">
        <v>0</v>
      </c>
      <c r="Y184" s="600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322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1"/>
      <c r="B185" s="612"/>
      <c r="C185" s="612"/>
      <c r="D185" s="612"/>
      <c r="E185" s="612"/>
      <c r="F185" s="612"/>
      <c r="G185" s="612"/>
      <c r="H185" s="612"/>
      <c r="I185" s="612"/>
      <c r="J185" s="612"/>
      <c r="K185" s="612"/>
      <c r="L185" s="612"/>
      <c r="M185" s="612"/>
      <c r="N185" s="612"/>
      <c r="O185" s="613"/>
      <c r="P185" s="603" t="s">
        <v>78</v>
      </c>
      <c r="Q185" s="604"/>
      <c r="R185" s="604"/>
      <c r="S185" s="604"/>
      <c r="T185" s="604"/>
      <c r="U185" s="604"/>
      <c r="V185" s="605"/>
      <c r="W185" s="37" t="s">
        <v>79</v>
      </c>
      <c r="X185" s="601">
        <f>IFERROR(X182/H182,"0")+IFERROR(X183/H183,"0")+IFERROR(X184/H184,"0")</f>
        <v>0</v>
      </c>
      <c r="Y185" s="601">
        <f>IFERROR(Y182/H182,"0")+IFERROR(Y183/H183,"0")+IFERROR(Y184/H184,"0")</f>
        <v>0</v>
      </c>
      <c r="Z185" s="601">
        <f>IFERROR(IF(Z182="",0,Z182),"0")+IFERROR(IF(Z183="",0,Z183),"0")+IFERROR(IF(Z184="",0,Z184),"0")</f>
        <v>0</v>
      </c>
      <c r="AA185" s="602"/>
      <c r="AB185" s="602"/>
      <c r="AC185" s="602"/>
    </row>
    <row r="186" spans="1:68" x14ac:dyDescent="0.2">
      <c r="A186" s="612"/>
      <c r="B186" s="612"/>
      <c r="C186" s="612"/>
      <c r="D186" s="612"/>
      <c r="E186" s="612"/>
      <c r="F186" s="612"/>
      <c r="G186" s="612"/>
      <c r="H186" s="612"/>
      <c r="I186" s="612"/>
      <c r="J186" s="612"/>
      <c r="K186" s="612"/>
      <c r="L186" s="612"/>
      <c r="M186" s="612"/>
      <c r="N186" s="612"/>
      <c r="O186" s="613"/>
      <c r="P186" s="603" t="s">
        <v>78</v>
      </c>
      <c r="Q186" s="604"/>
      <c r="R186" s="604"/>
      <c r="S186" s="604"/>
      <c r="T186" s="604"/>
      <c r="U186" s="604"/>
      <c r="V186" s="605"/>
      <c r="W186" s="37" t="s">
        <v>69</v>
      </c>
      <c r="X186" s="601">
        <f>IFERROR(SUM(X182:X184),"0")</f>
        <v>0</v>
      </c>
      <c r="Y186" s="601">
        <f>IFERROR(SUM(Y182:Y184),"0")</f>
        <v>0</v>
      </c>
      <c r="Z186" s="37"/>
      <c r="AA186" s="602"/>
      <c r="AB186" s="602"/>
      <c r="AC186" s="602"/>
    </row>
    <row r="187" spans="1:68" ht="14.25" customHeight="1" x14ac:dyDescent="0.25">
      <c r="A187" s="659" t="s">
        <v>108</v>
      </c>
      <c r="B187" s="612"/>
      <c r="C187" s="612"/>
      <c r="D187" s="612"/>
      <c r="E187" s="612"/>
      <c r="F187" s="612"/>
      <c r="G187" s="612"/>
      <c r="H187" s="612"/>
      <c r="I187" s="612"/>
      <c r="J187" s="612"/>
      <c r="K187" s="612"/>
      <c r="L187" s="612"/>
      <c r="M187" s="612"/>
      <c r="N187" s="612"/>
      <c r="O187" s="612"/>
      <c r="P187" s="612"/>
      <c r="Q187" s="612"/>
      <c r="R187" s="612"/>
      <c r="S187" s="612"/>
      <c r="T187" s="612"/>
      <c r="U187" s="612"/>
      <c r="V187" s="612"/>
      <c r="W187" s="612"/>
      <c r="X187" s="612"/>
      <c r="Y187" s="612"/>
      <c r="Z187" s="612"/>
      <c r="AA187" s="595"/>
      <c r="AB187" s="595"/>
      <c r="AC187" s="595"/>
    </row>
    <row r="188" spans="1:68" ht="16.5" customHeight="1" x14ac:dyDescent="0.25">
      <c r="A188" s="54" t="s">
        <v>323</v>
      </c>
      <c r="B188" s="54" t="s">
        <v>324</v>
      </c>
      <c r="C188" s="31">
        <v>4301032058</v>
      </c>
      <c r="D188" s="614">
        <v>4680115889026</v>
      </c>
      <c r="E188" s="615"/>
      <c r="F188" s="598">
        <v>0.06</v>
      </c>
      <c r="G188" s="32">
        <v>18</v>
      </c>
      <c r="H188" s="598">
        <v>1.08</v>
      </c>
      <c r="I188" s="598">
        <v>1.36</v>
      </c>
      <c r="J188" s="32">
        <v>216</v>
      </c>
      <c r="K188" s="32" t="s">
        <v>325</v>
      </c>
      <c r="L188" s="32"/>
      <c r="M188" s="33" t="s">
        <v>326</v>
      </c>
      <c r="N188" s="33"/>
      <c r="O188" s="32">
        <v>60</v>
      </c>
      <c r="P188" s="86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07"/>
      <c r="R188" s="607"/>
      <c r="S188" s="607"/>
      <c r="T188" s="608"/>
      <c r="U188" s="34"/>
      <c r="V188" s="34"/>
      <c r="W188" s="35" t="s">
        <v>69</v>
      </c>
      <c r="X188" s="599">
        <v>0</v>
      </c>
      <c r="Y188" s="60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327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328</v>
      </c>
      <c r="B189" s="54" t="s">
        <v>329</v>
      </c>
      <c r="C189" s="31">
        <v>4301032057</v>
      </c>
      <c r="D189" s="614">
        <v>4680115889088</v>
      </c>
      <c r="E189" s="615"/>
      <c r="F189" s="598">
        <v>0.06</v>
      </c>
      <c r="G189" s="32">
        <v>18</v>
      </c>
      <c r="H189" s="598">
        <v>1.08</v>
      </c>
      <c r="I189" s="598">
        <v>1.36</v>
      </c>
      <c r="J189" s="32">
        <v>216</v>
      </c>
      <c r="K189" s="32" t="s">
        <v>325</v>
      </c>
      <c r="L189" s="32"/>
      <c r="M189" s="33" t="s">
        <v>326</v>
      </c>
      <c r="N189" s="33"/>
      <c r="O189" s="32">
        <v>45</v>
      </c>
      <c r="P189" s="72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07"/>
      <c r="R189" s="607"/>
      <c r="S189" s="607"/>
      <c r="T189" s="608"/>
      <c r="U189" s="34"/>
      <c r="V189" s="34"/>
      <c r="W189" s="35" t="s">
        <v>69</v>
      </c>
      <c r="X189" s="599">
        <v>0</v>
      </c>
      <c r="Y189" s="60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330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1"/>
      <c r="B190" s="612"/>
      <c r="C190" s="612"/>
      <c r="D190" s="612"/>
      <c r="E190" s="612"/>
      <c r="F190" s="612"/>
      <c r="G190" s="612"/>
      <c r="H190" s="612"/>
      <c r="I190" s="612"/>
      <c r="J190" s="612"/>
      <c r="K190" s="612"/>
      <c r="L190" s="612"/>
      <c r="M190" s="612"/>
      <c r="N190" s="612"/>
      <c r="O190" s="613"/>
      <c r="P190" s="603" t="s">
        <v>78</v>
      </c>
      <c r="Q190" s="604"/>
      <c r="R190" s="604"/>
      <c r="S190" s="604"/>
      <c r="T190" s="604"/>
      <c r="U190" s="604"/>
      <c r="V190" s="605"/>
      <c r="W190" s="37" t="s">
        <v>79</v>
      </c>
      <c r="X190" s="601">
        <f>IFERROR(X188/H188,"0")+IFERROR(X189/H189,"0")</f>
        <v>0</v>
      </c>
      <c r="Y190" s="601">
        <f>IFERROR(Y188/H188,"0")+IFERROR(Y189/H189,"0")</f>
        <v>0</v>
      </c>
      <c r="Z190" s="601">
        <f>IFERROR(IF(Z188="",0,Z188),"0")+IFERROR(IF(Z189="",0,Z189),"0")</f>
        <v>0</v>
      </c>
      <c r="AA190" s="602"/>
      <c r="AB190" s="602"/>
      <c r="AC190" s="602"/>
    </row>
    <row r="191" spans="1:68" x14ac:dyDescent="0.2">
      <c r="A191" s="612"/>
      <c r="B191" s="612"/>
      <c r="C191" s="612"/>
      <c r="D191" s="612"/>
      <c r="E191" s="612"/>
      <c r="F191" s="612"/>
      <c r="G191" s="612"/>
      <c r="H191" s="612"/>
      <c r="I191" s="612"/>
      <c r="J191" s="612"/>
      <c r="K191" s="612"/>
      <c r="L191" s="612"/>
      <c r="M191" s="612"/>
      <c r="N191" s="612"/>
      <c r="O191" s="613"/>
      <c r="P191" s="603" t="s">
        <v>78</v>
      </c>
      <c r="Q191" s="604"/>
      <c r="R191" s="604"/>
      <c r="S191" s="604"/>
      <c r="T191" s="604"/>
      <c r="U191" s="604"/>
      <c r="V191" s="605"/>
      <c r="W191" s="37" t="s">
        <v>69</v>
      </c>
      <c r="X191" s="601">
        <f>IFERROR(SUM(X188:X189),"0")</f>
        <v>0</v>
      </c>
      <c r="Y191" s="601">
        <f>IFERROR(SUM(Y188:Y189),"0")</f>
        <v>0</v>
      </c>
      <c r="Z191" s="37"/>
      <c r="AA191" s="602"/>
      <c r="AB191" s="602"/>
      <c r="AC191" s="602"/>
    </row>
    <row r="192" spans="1:68" ht="14.25" customHeight="1" x14ac:dyDescent="0.25">
      <c r="A192" s="659" t="s">
        <v>331</v>
      </c>
      <c r="B192" s="612"/>
      <c r="C192" s="612"/>
      <c r="D192" s="612"/>
      <c r="E192" s="612"/>
      <c r="F192" s="612"/>
      <c r="G192" s="612"/>
      <c r="H192" s="612"/>
      <c r="I192" s="612"/>
      <c r="J192" s="612"/>
      <c r="K192" s="612"/>
      <c r="L192" s="612"/>
      <c r="M192" s="612"/>
      <c r="N192" s="612"/>
      <c r="O192" s="612"/>
      <c r="P192" s="612"/>
      <c r="Q192" s="612"/>
      <c r="R192" s="612"/>
      <c r="S192" s="612"/>
      <c r="T192" s="612"/>
      <c r="U192" s="612"/>
      <c r="V192" s="612"/>
      <c r="W192" s="612"/>
      <c r="X192" s="612"/>
      <c r="Y192" s="612"/>
      <c r="Z192" s="612"/>
      <c r="AA192" s="595"/>
      <c r="AB192" s="595"/>
      <c r="AC192" s="595"/>
    </row>
    <row r="193" spans="1:68" ht="27" customHeight="1" x14ac:dyDescent="0.25">
      <c r="A193" s="54" t="s">
        <v>332</v>
      </c>
      <c r="B193" s="54" t="s">
        <v>333</v>
      </c>
      <c r="C193" s="31">
        <v>4301041009</v>
      </c>
      <c r="D193" s="614">
        <v>4680115889033</v>
      </c>
      <c r="E193" s="615"/>
      <c r="F193" s="598">
        <v>0.11</v>
      </c>
      <c r="G193" s="32">
        <v>15</v>
      </c>
      <c r="H193" s="598">
        <v>1.65</v>
      </c>
      <c r="I193" s="598">
        <v>1.9</v>
      </c>
      <c r="J193" s="32">
        <v>216</v>
      </c>
      <c r="K193" s="32" t="s">
        <v>325</v>
      </c>
      <c r="L193" s="32"/>
      <c r="M193" s="33" t="s">
        <v>326</v>
      </c>
      <c r="N193" s="33"/>
      <c r="O193" s="32">
        <v>60</v>
      </c>
      <c r="P193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07"/>
      <c r="R193" s="607"/>
      <c r="S193" s="607"/>
      <c r="T193" s="608"/>
      <c r="U193" s="34"/>
      <c r="V193" s="34"/>
      <c r="W193" s="35" t="s">
        <v>69</v>
      </c>
      <c r="X193" s="599">
        <v>0</v>
      </c>
      <c r="Y193" s="600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334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1"/>
      <c r="B194" s="612"/>
      <c r="C194" s="612"/>
      <c r="D194" s="612"/>
      <c r="E194" s="612"/>
      <c r="F194" s="612"/>
      <c r="G194" s="612"/>
      <c r="H194" s="612"/>
      <c r="I194" s="612"/>
      <c r="J194" s="612"/>
      <c r="K194" s="612"/>
      <c r="L194" s="612"/>
      <c r="M194" s="612"/>
      <c r="N194" s="612"/>
      <c r="O194" s="613"/>
      <c r="P194" s="603" t="s">
        <v>78</v>
      </c>
      <c r="Q194" s="604"/>
      <c r="R194" s="604"/>
      <c r="S194" s="604"/>
      <c r="T194" s="604"/>
      <c r="U194" s="604"/>
      <c r="V194" s="605"/>
      <c r="W194" s="37" t="s">
        <v>79</v>
      </c>
      <c r="X194" s="601">
        <f>IFERROR(X193/H193,"0")</f>
        <v>0</v>
      </c>
      <c r="Y194" s="601">
        <f>IFERROR(Y193/H193,"0")</f>
        <v>0</v>
      </c>
      <c r="Z194" s="601">
        <f>IFERROR(IF(Z193="",0,Z193),"0")</f>
        <v>0</v>
      </c>
      <c r="AA194" s="602"/>
      <c r="AB194" s="602"/>
      <c r="AC194" s="602"/>
    </row>
    <row r="195" spans="1:68" x14ac:dyDescent="0.2">
      <c r="A195" s="612"/>
      <c r="B195" s="612"/>
      <c r="C195" s="612"/>
      <c r="D195" s="612"/>
      <c r="E195" s="612"/>
      <c r="F195" s="612"/>
      <c r="G195" s="612"/>
      <c r="H195" s="612"/>
      <c r="I195" s="612"/>
      <c r="J195" s="612"/>
      <c r="K195" s="612"/>
      <c r="L195" s="612"/>
      <c r="M195" s="612"/>
      <c r="N195" s="612"/>
      <c r="O195" s="613"/>
      <c r="P195" s="603" t="s">
        <v>78</v>
      </c>
      <c r="Q195" s="604"/>
      <c r="R195" s="604"/>
      <c r="S195" s="604"/>
      <c r="T195" s="604"/>
      <c r="U195" s="604"/>
      <c r="V195" s="605"/>
      <c r="W195" s="37" t="s">
        <v>69</v>
      </c>
      <c r="X195" s="601">
        <f>IFERROR(SUM(X193:X193),"0")</f>
        <v>0</v>
      </c>
      <c r="Y195" s="601">
        <f>IFERROR(SUM(Y193:Y193),"0")</f>
        <v>0</v>
      </c>
      <c r="Z195" s="37"/>
      <c r="AA195" s="602"/>
      <c r="AB195" s="602"/>
      <c r="AC195" s="602"/>
    </row>
    <row r="196" spans="1:68" ht="27.75" customHeight="1" x14ac:dyDescent="0.2">
      <c r="A196" s="683" t="s">
        <v>335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48"/>
      <c r="AB196" s="48"/>
      <c r="AC196" s="48"/>
    </row>
    <row r="197" spans="1:68" ht="16.5" customHeight="1" x14ac:dyDescent="0.25">
      <c r="A197" s="622" t="s">
        <v>336</v>
      </c>
      <c r="B197" s="612"/>
      <c r="C197" s="612"/>
      <c r="D197" s="612"/>
      <c r="E197" s="612"/>
      <c r="F197" s="612"/>
      <c r="G197" s="612"/>
      <c r="H197" s="612"/>
      <c r="I197" s="612"/>
      <c r="J197" s="612"/>
      <c r="K197" s="612"/>
      <c r="L197" s="612"/>
      <c r="M197" s="612"/>
      <c r="N197" s="612"/>
      <c r="O197" s="612"/>
      <c r="P197" s="612"/>
      <c r="Q197" s="612"/>
      <c r="R197" s="612"/>
      <c r="S197" s="612"/>
      <c r="T197" s="612"/>
      <c r="U197" s="612"/>
      <c r="V197" s="612"/>
      <c r="W197" s="612"/>
      <c r="X197" s="612"/>
      <c r="Y197" s="612"/>
      <c r="Z197" s="612"/>
      <c r="AA197" s="594"/>
      <c r="AB197" s="594"/>
      <c r="AC197" s="594"/>
    </row>
    <row r="198" spans="1:68" ht="14.25" customHeight="1" x14ac:dyDescent="0.25">
      <c r="A198" s="659" t="s">
        <v>130</v>
      </c>
      <c r="B198" s="612"/>
      <c r="C198" s="612"/>
      <c r="D198" s="612"/>
      <c r="E198" s="612"/>
      <c r="F198" s="612"/>
      <c r="G198" s="612"/>
      <c r="H198" s="612"/>
      <c r="I198" s="612"/>
      <c r="J198" s="612"/>
      <c r="K198" s="612"/>
      <c r="L198" s="612"/>
      <c r="M198" s="612"/>
      <c r="N198" s="612"/>
      <c r="O198" s="612"/>
      <c r="P198" s="612"/>
      <c r="Q198" s="612"/>
      <c r="R198" s="612"/>
      <c r="S198" s="612"/>
      <c r="T198" s="612"/>
      <c r="U198" s="612"/>
      <c r="V198" s="612"/>
      <c r="W198" s="612"/>
      <c r="X198" s="612"/>
      <c r="Y198" s="612"/>
      <c r="Z198" s="612"/>
      <c r="AA198" s="595"/>
      <c r="AB198" s="595"/>
      <c r="AC198" s="595"/>
    </row>
    <row r="199" spans="1:68" ht="27" customHeight="1" x14ac:dyDescent="0.25">
      <c r="A199" s="54" t="s">
        <v>337</v>
      </c>
      <c r="B199" s="54" t="s">
        <v>338</v>
      </c>
      <c r="C199" s="31">
        <v>4301011223</v>
      </c>
      <c r="D199" s="614">
        <v>4607091383423</v>
      </c>
      <c r="E199" s="615"/>
      <c r="F199" s="598">
        <v>1.35</v>
      </c>
      <c r="G199" s="32">
        <v>8</v>
      </c>
      <c r="H199" s="598">
        <v>10.8</v>
      </c>
      <c r="I199" s="598">
        <v>11.305999999999999</v>
      </c>
      <c r="J199" s="32">
        <v>64</v>
      </c>
      <c r="K199" s="32" t="s">
        <v>133</v>
      </c>
      <c r="L199" s="32"/>
      <c r="M199" s="33" t="s">
        <v>83</v>
      </c>
      <c r="N199" s="33"/>
      <c r="O199" s="32">
        <v>35</v>
      </c>
      <c r="P199" s="9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07"/>
      <c r="R199" s="607"/>
      <c r="S199" s="607"/>
      <c r="T199" s="608"/>
      <c r="U199" s="34"/>
      <c r="V199" s="34"/>
      <c r="W199" s="35" t="s">
        <v>69</v>
      </c>
      <c r="X199" s="599">
        <v>0</v>
      </c>
      <c r="Y199" s="60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135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37.5" customHeight="1" x14ac:dyDescent="0.25">
      <c r="A200" s="54" t="s">
        <v>339</v>
      </c>
      <c r="B200" s="54" t="s">
        <v>340</v>
      </c>
      <c r="C200" s="31">
        <v>4301012199</v>
      </c>
      <c r="D200" s="614">
        <v>4680115886957</v>
      </c>
      <c r="E200" s="615"/>
      <c r="F200" s="598">
        <v>1.35</v>
      </c>
      <c r="G200" s="32">
        <v>8</v>
      </c>
      <c r="H200" s="598">
        <v>10.8</v>
      </c>
      <c r="I200" s="598">
        <v>11.21</v>
      </c>
      <c r="J200" s="32">
        <v>64</v>
      </c>
      <c r="K200" s="32" t="s">
        <v>133</v>
      </c>
      <c r="L200" s="32"/>
      <c r="M200" s="33" t="s">
        <v>83</v>
      </c>
      <c r="N200" s="33"/>
      <c r="O200" s="32">
        <v>30</v>
      </c>
      <c r="P200" s="93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07"/>
      <c r="R200" s="607"/>
      <c r="S200" s="607"/>
      <c r="T200" s="608"/>
      <c r="U200" s="34"/>
      <c r="V200" s="34"/>
      <c r="W200" s="35" t="s">
        <v>69</v>
      </c>
      <c r="X200" s="599">
        <v>0</v>
      </c>
      <c r="Y200" s="600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341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342</v>
      </c>
      <c r="B201" s="54" t="s">
        <v>343</v>
      </c>
      <c r="C201" s="31">
        <v>4301012098</v>
      </c>
      <c r="D201" s="614">
        <v>4680115885660</v>
      </c>
      <c r="E201" s="615"/>
      <c r="F201" s="598">
        <v>1.35</v>
      </c>
      <c r="G201" s="32">
        <v>8</v>
      </c>
      <c r="H201" s="598">
        <v>10.8</v>
      </c>
      <c r="I201" s="598">
        <v>11.21</v>
      </c>
      <c r="J201" s="32">
        <v>64</v>
      </c>
      <c r="K201" s="32" t="s">
        <v>133</v>
      </c>
      <c r="L201" s="32"/>
      <c r="M201" s="33" t="s">
        <v>83</v>
      </c>
      <c r="N201" s="33"/>
      <c r="O201" s="32">
        <v>35</v>
      </c>
      <c r="P201" s="88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07"/>
      <c r="R201" s="607"/>
      <c r="S201" s="607"/>
      <c r="T201" s="608"/>
      <c r="U201" s="34"/>
      <c r="V201" s="34"/>
      <c r="W201" s="35" t="s">
        <v>69</v>
      </c>
      <c r="X201" s="599">
        <v>0</v>
      </c>
      <c r="Y201" s="600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344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t="27" customHeight="1" x14ac:dyDescent="0.25">
      <c r="A202" s="54" t="s">
        <v>345</v>
      </c>
      <c r="B202" s="54" t="s">
        <v>346</v>
      </c>
      <c r="C202" s="31">
        <v>4301012176</v>
      </c>
      <c r="D202" s="614">
        <v>4680115886773</v>
      </c>
      <c r="E202" s="615"/>
      <c r="F202" s="598">
        <v>0.9</v>
      </c>
      <c r="G202" s="32">
        <v>10</v>
      </c>
      <c r="H202" s="598">
        <v>9</v>
      </c>
      <c r="I202" s="598">
        <v>9.41</v>
      </c>
      <c r="J202" s="32">
        <v>64</v>
      </c>
      <c r="K202" s="32" t="s">
        <v>133</v>
      </c>
      <c r="L202" s="32"/>
      <c r="M202" s="33" t="s">
        <v>134</v>
      </c>
      <c r="N202" s="33"/>
      <c r="O202" s="32">
        <v>31</v>
      </c>
      <c r="P202" s="95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07"/>
      <c r="R202" s="607"/>
      <c r="S202" s="607"/>
      <c r="T202" s="608"/>
      <c r="U202" s="34"/>
      <c r="V202" s="34"/>
      <c r="W202" s="35" t="s">
        <v>69</v>
      </c>
      <c r="X202" s="599">
        <v>0</v>
      </c>
      <c r="Y202" s="600">
        <f>IFERROR(IF(X202="",0,CEILING((X202/$H202),1)*$H202),"")</f>
        <v>0</v>
      </c>
      <c r="Z202" s="36" t="str">
        <f>IFERROR(IF(Y202=0,"",ROUNDUP(Y202/H202,0)*0.01898),"")</f>
        <v/>
      </c>
      <c r="AA202" s="56"/>
      <c r="AB202" s="57"/>
      <c r="AC202" s="255" t="s">
        <v>347</v>
      </c>
      <c r="AG202" s="64"/>
      <c r="AJ202" s="68"/>
      <c r="AK202" s="68">
        <v>0</v>
      </c>
      <c r="BB202" s="256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11"/>
      <c r="B203" s="612"/>
      <c r="C203" s="612"/>
      <c r="D203" s="612"/>
      <c r="E203" s="612"/>
      <c r="F203" s="612"/>
      <c r="G203" s="612"/>
      <c r="H203" s="612"/>
      <c r="I203" s="612"/>
      <c r="J203" s="612"/>
      <c r="K203" s="612"/>
      <c r="L203" s="612"/>
      <c r="M203" s="612"/>
      <c r="N203" s="612"/>
      <c r="O203" s="613"/>
      <c r="P203" s="603" t="s">
        <v>78</v>
      </c>
      <c r="Q203" s="604"/>
      <c r="R203" s="604"/>
      <c r="S203" s="604"/>
      <c r="T203" s="604"/>
      <c r="U203" s="604"/>
      <c r="V203" s="605"/>
      <c r="W203" s="37" t="s">
        <v>79</v>
      </c>
      <c r="X203" s="601">
        <f>IFERROR(X199/H199,"0")+IFERROR(X200/H200,"0")+IFERROR(X201/H201,"0")+IFERROR(X202/H202,"0")</f>
        <v>0</v>
      </c>
      <c r="Y203" s="601">
        <f>IFERROR(Y199/H199,"0")+IFERROR(Y200/H200,"0")+IFERROR(Y201/H201,"0")+IFERROR(Y202/H202,"0")</f>
        <v>0</v>
      </c>
      <c r="Z203" s="601">
        <f>IFERROR(IF(Z199="",0,Z199),"0")+IFERROR(IF(Z200="",0,Z200),"0")+IFERROR(IF(Z201="",0,Z201),"0")+IFERROR(IF(Z202="",0,Z202),"0")</f>
        <v>0</v>
      </c>
      <c r="AA203" s="602"/>
      <c r="AB203" s="602"/>
      <c r="AC203" s="602"/>
    </row>
    <row r="204" spans="1:68" x14ac:dyDescent="0.2">
      <c r="A204" s="612"/>
      <c r="B204" s="612"/>
      <c r="C204" s="612"/>
      <c r="D204" s="612"/>
      <c r="E204" s="612"/>
      <c r="F204" s="612"/>
      <c r="G204" s="612"/>
      <c r="H204" s="612"/>
      <c r="I204" s="612"/>
      <c r="J204" s="612"/>
      <c r="K204" s="612"/>
      <c r="L204" s="612"/>
      <c r="M204" s="612"/>
      <c r="N204" s="612"/>
      <c r="O204" s="613"/>
      <c r="P204" s="603" t="s">
        <v>78</v>
      </c>
      <c r="Q204" s="604"/>
      <c r="R204" s="604"/>
      <c r="S204" s="604"/>
      <c r="T204" s="604"/>
      <c r="U204" s="604"/>
      <c r="V204" s="605"/>
      <c r="W204" s="37" t="s">
        <v>69</v>
      </c>
      <c r="X204" s="601">
        <f>IFERROR(SUM(X199:X202),"0")</f>
        <v>0</v>
      </c>
      <c r="Y204" s="601">
        <f>IFERROR(SUM(Y199:Y202),"0")</f>
        <v>0</v>
      </c>
      <c r="Z204" s="37"/>
      <c r="AA204" s="602"/>
      <c r="AB204" s="602"/>
      <c r="AC204" s="602"/>
    </row>
    <row r="205" spans="1:68" ht="16.5" customHeight="1" x14ac:dyDescent="0.25">
      <c r="A205" s="622" t="s">
        <v>348</v>
      </c>
      <c r="B205" s="612"/>
      <c r="C205" s="612"/>
      <c r="D205" s="612"/>
      <c r="E205" s="612"/>
      <c r="F205" s="612"/>
      <c r="G205" s="612"/>
      <c r="H205" s="612"/>
      <c r="I205" s="612"/>
      <c r="J205" s="612"/>
      <c r="K205" s="612"/>
      <c r="L205" s="612"/>
      <c r="M205" s="612"/>
      <c r="N205" s="612"/>
      <c r="O205" s="612"/>
      <c r="P205" s="612"/>
      <c r="Q205" s="612"/>
      <c r="R205" s="612"/>
      <c r="S205" s="612"/>
      <c r="T205" s="612"/>
      <c r="U205" s="612"/>
      <c r="V205" s="612"/>
      <c r="W205" s="612"/>
      <c r="X205" s="612"/>
      <c r="Y205" s="612"/>
      <c r="Z205" s="612"/>
      <c r="AA205" s="594"/>
      <c r="AB205" s="594"/>
      <c r="AC205" s="594"/>
    </row>
    <row r="206" spans="1:68" ht="14.25" customHeight="1" x14ac:dyDescent="0.25">
      <c r="A206" s="659" t="s">
        <v>165</v>
      </c>
      <c r="B206" s="612"/>
      <c r="C206" s="612"/>
      <c r="D206" s="612"/>
      <c r="E206" s="612"/>
      <c r="F206" s="612"/>
      <c r="G206" s="612"/>
      <c r="H206" s="612"/>
      <c r="I206" s="612"/>
      <c r="J206" s="612"/>
      <c r="K206" s="612"/>
      <c r="L206" s="612"/>
      <c r="M206" s="612"/>
      <c r="N206" s="612"/>
      <c r="O206" s="612"/>
      <c r="P206" s="612"/>
      <c r="Q206" s="612"/>
      <c r="R206" s="612"/>
      <c r="S206" s="612"/>
      <c r="T206" s="612"/>
      <c r="U206" s="612"/>
      <c r="V206" s="612"/>
      <c r="W206" s="612"/>
      <c r="X206" s="612"/>
      <c r="Y206" s="612"/>
      <c r="Z206" s="612"/>
      <c r="AA206" s="595"/>
      <c r="AB206" s="595"/>
      <c r="AC206" s="595"/>
    </row>
    <row r="207" spans="1:68" ht="27" customHeight="1" x14ac:dyDescent="0.25">
      <c r="A207" s="54" t="s">
        <v>349</v>
      </c>
      <c r="B207" s="54" t="s">
        <v>350</v>
      </c>
      <c r="C207" s="31">
        <v>4301020323</v>
      </c>
      <c r="D207" s="614">
        <v>4680115886223</v>
      </c>
      <c r="E207" s="615"/>
      <c r="F207" s="598">
        <v>0.33</v>
      </c>
      <c r="G207" s="32">
        <v>6</v>
      </c>
      <c r="H207" s="598">
        <v>1.98</v>
      </c>
      <c r="I207" s="598">
        <v>2.08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07"/>
      <c r="R207" s="607"/>
      <c r="S207" s="607"/>
      <c r="T207" s="608"/>
      <c r="U207" s="34"/>
      <c r="V207" s="34"/>
      <c r="W207" s="35" t="s">
        <v>69</v>
      </c>
      <c r="X207" s="599">
        <v>0</v>
      </c>
      <c r="Y207" s="600">
        <f>IFERROR(IF(X207="",0,CEILING((X207/$H207),1)*$H207),"")</f>
        <v>0</v>
      </c>
      <c r="Z207" s="36" t="str">
        <f>IFERROR(IF(Y207=0,"",ROUNDUP(Y207/H207,0)*0.00502),"")</f>
        <v/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>IFERROR(X207*I207/H207,"0")</f>
        <v>0</v>
      </c>
      <c r="BN207" s="64">
        <f>IFERROR(Y207*I207/H207,"0")</f>
        <v>0</v>
      </c>
      <c r="BO207" s="64">
        <f>IFERROR(1/J207*(X207/H207),"0")</f>
        <v>0</v>
      </c>
      <c r="BP207" s="64">
        <f>IFERROR(1/J207*(Y207/H207),"0")</f>
        <v>0</v>
      </c>
    </row>
    <row r="208" spans="1:68" x14ac:dyDescent="0.2">
      <c r="A208" s="611"/>
      <c r="B208" s="612"/>
      <c r="C208" s="612"/>
      <c r="D208" s="612"/>
      <c r="E208" s="612"/>
      <c r="F208" s="612"/>
      <c r="G208" s="612"/>
      <c r="H208" s="612"/>
      <c r="I208" s="612"/>
      <c r="J208" s="612"/>
      <c r="K208" s="612"/>
      <c r="L208" s="612"/>
      <c r="M208" s="612"/>
      <c r="N208" s="612"/>
      <c r="O208" s="613"/>
      <c r="P208" s="603" t="s">
        <v>78</v>
      </c>
      <c r="Q208" s="604"/>
      <c r="R208" s="604"/>
      <c r="S208" s="604"/>
      <c r="T208" s="604"/>
      <c r="U208" s="604"/>
      <c r="V208" s="605"/>
      <c r="W208" s="37" t="s">
        <v>79</v>
      </c>
      <c r="X208" s="601">
        <f>IFERROR(X207/H207,"0")</f>
        <v>0</v>
      </c>
      <c r="Y208" s="601">
        <f>IFERROR(Y207/H207,"0")</f>
        <v>0</v>
      </c>
      <c r="Z208" s="601">
        <f>IFERROR(IF(Z207="",0,Z207),"0")</f>
        <v>0</v>
      </c>
      <c r="AA208" s="602"/>
      <c r="AB208" s="602"/>
      <c r="AC208" s="602"/>
    </row>
    <row r="209" spans="1:68" x14ac:dyDescent="0.2">
      <c r="A209" s="612"/>
      <c r="B209" s="612"/>
      <c r="C209" s="612"/>
      <c r="D209" s="612"/>
      <c r="E209" s="612"/>
      <c r="F209" s="612"/>
      <c r="G209" s="612"/>
      <c r="H209" s="612"/>
      <c r="I209" s="612"/>
      <c r="J209" s="612"/>
      <c r="K209" s="612"/>
      <c r="L209" s="612"/>
      <c r="M209" s="612"/>
      <c r="N209" s="612"/>
      <c r="O209" s="613"/>
      <c r="P209" s="603" t="s">
        <v>78</v>
      </c>
      <c r="Q209" s="604"/>
      <c r="R209" s="604"/>
      <c r="S209" s="604"/>
      <c r="T209" s="604"/>
      <c r="U209" s="604"/>
      <c r="V209" s="605"/>
      <c r="W209" s="37" t="s">
        <v>69</v>
      </c>
      <c r="X209" s="601">
        <f>IFERROR(SUM(X207:X207),"0")</f>
        <v>0</v>
      </c>
      <c r="Y209" s="601">
        <f>IFERROR(SUM(Y207:Y207),"0")</f>
        <v>0</v>
      </c>
      <c r="Z209" s="37"/>
      <c r="AA209" s="602"/>
      <c r="AB209" s="602"/>
      <c r="AC209" s="602"/>
    </row>
    <row r="210" spans="1:68" ht="14.25" customHeight="1" x14ac:dyDescent="0.25">
      <c r="A210" s="659" t="s">
        <v>64</v>
      </c>
      <c r="B210" s="612"/>
      <c r="C210" s="612"/>
      <c r="D210" s="612"/>
      <c r="E210" s="612"/>
      <c r="F210" s="612"/>
      <c r="G210" s="612"/>
      <c r="H210" s="612"/>
      <c r="I210" s="612"/>
      <c r="J210" s="612"/>
      <c r="K210" s="612"/>
      <c r="L210" s="612"/>
      <c r="M210" s="612"/>
      <c r="N210" s="612"/>
      <c r="O210" s="612"/>
      <c r="P210" s="612"/>
      <c r="Q210" s="612"/>
      <c r="R210" s="612"/>
      <c r="S210" s="612"/>
      <c r="T210" s="612"/>
      <c r="U210" s="612"/>
      <c r="V210" s="612"/>
      <c r="W210" s="612"/>
      <c r="X210" s="612"/>
      <c r="Y210" s="612"/>
      <c r="Z210" s="612"/>
      <c r="AA210" s="595"/>
      <c r="AB210" s="595"/>
      <c r="AC210" s="595"/>
    </row>
    <row r="211" spans="1:68" ht="27" customHeight="1" x14ac:dyDescent="0.25">
      <c r="A211" s="54" t="s">
        <v>352</v>
      </c>
      <c r="B211" s="54" t="s">
        <v>353</v>
      </c>
      <c r="C211" s="31">
        <v>4301031191</v>
      </c>
      <c r="D211" s="614">
        <v>4680115880993</v>
      </c>
      <c r="E211" s="615"/>
      <c r="F211" s="598">
        <v>0.7</v>
      </c>
      <c r="G211" s="32">
        <v>6</v>
      </c>
      <c r="H211" s="598">
        <v>4.2</v>
      </c>
      <c r="I211" s="598">
        <v>4.45</v>
      </c>
      <c r="J211" s="32">
        <v>132</v>
      </c>
      <c r="K211" s="32" t="s">
        <v>142</v>
      </c>
      <c r="L211" s="32"/>
      <c r="M211" s="33" t="s">
        <v>68</v>
      </c>
      <c r="N211" s="33"/>
      <c r="O211" s="32">
        <v>40</v>
      </c>
      <c r="P211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07"/>
      <c r="R211" s="607"/>
      <c r="S211" s="607"/>
      <c r="T211" s="608"/>
      <c r="U211" s="34"/>
      <c r="V211" s="34"/>
      <c r="W211" s="35" t="s">
        <v>69</v>
      </c>
      <c r="X211" s="599">
        <v>0</v>
      </c>
      <c r="Y211" s="600">
        <f t="shared" ref="Y211:Y224" si="21">IFERROR(IF(X211="",0,CEILING((X211/$H211),1)*$H211),"")</f>
        <v>0</v>
      </c>
      <c r="Z211" s="36" t="str">
        <f>IFERROR(IF(Y211=0,"",ROUNDUP(Y211/H211,0)*0.00902),"")</f>
        <v/>
      </c>
      <c r="AA211" s="56"/>
      <c r="AB211" s="57"/>
      <c r="AC211" s="259" t="s">
        <v>354</v>
      </c>
      <c r="AG211" s="64"/>
      <c r="AJ211" s="68"/>
      <c r="AK211" s="68">
        <v>0</v>
      </c>
      <c r="BB211" s="260" t="s">
        <v>1</v>
      </c>
      <c r="BM211" s="64">
        <f t="shared" ref="BM211:BM224" si="22">IFERROR(X211*I211/H211,"0")</f>
        <v>0</v>
      </c>
      <c r="BN211" s="64">
        <f t="shared" ref="BN211:BN224" si="23">IFERROR(Y211*I211/H211,"0")</f>
        <v>0</v>
      </c>
      <c r="BO211" s="64">
        <f t="shared" ref="BO211:BO224" si="24">IFERROR(1/J211*(X211/H211),"0")</f>
        <v>0</v>
      </c>
      <c r="BP211" s="64">
        <f t="shared" ref="BP211:BP224" si="25">IFERROR(1/J211*(Y211/H211),"0")</f>
        <v>0</v>
      </c>
    </row>
    <row r="212" spans="1:68" ht="27" customHeight="1" x14ac:dyDescent="0.25">
      <c r="A212" s="54" t="s">
        <v>355</v>
      </c>
      <c r="B212" s="54" t="s">
        <v>356</v>
      </c>
      <c r="C212" s="31">
        <v>4301031204</v>
      </c>
      <c r="D212" s="614">
        <v>4680115881761</v>
      </c>
      <c r="E212" s="615"/>
      <c r="F212" s="598">
        <v>0.7</v>
      </c>
      <c r="G212" s="32">
        <v>6</v>
      </c>
      <c r="H212" s="598">
        <v>4.2</v>
      </c>
      <c r="I212" s="598">
        <v>4.45</v>
      </c>
      <c r="J212" s="32">
        <v>132</v>
      </c>
      <c r="K212" s="32" t="s">
        <v>142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07"/>
      <c r="R212" s="607"/>
      <c r="S212" s="607"/>
      <c r="T212" s="608"/>
      <c r="U212" s="34"/>
      <c r="V212" s="34"/>
      <c r="W212" s="35" t="s">
        <v>69</v>
      </c>
      <c r="X212" s="599">
        <v>0</v>
      </c>
      <c r="Y212" s="600">
        <f t="shared" si="21"/>
        <v>0</v>
      </c>
      <c r="Z212" s="36" t="str">
        <f>IFERROR(IF(Y212=0,"",ROUNDUP(Y212/H212,0)*0.00902),"")</f>
        <v/>
      </c>
      <c r="AA212" s="56"/>
      <c r="AB212" s="57"/>
      <c r="AC212" s="261" t="s">
        <v>357</v>
      </c>
      <c r="AG212" s="64"/>
      <c r="AJ212" s="68"/>
      <c r="AK212" s="68">
        <v>0</v>
      </c>
      <c r="BB212" s="262" t="s">
        <v>1</v>
      </c>
      <c r="BM212" s="64">
        <f t="shared" si="22"/>
        <v>0</v>
      </c>
      <c r="BN212" s="64">
        <f t="shared" si="23"/>
        <v>0</v>
      </c>
      <c r="BO212" s="64">
        <f t="shared" si="24"/>
        <v>0</v>
      </c>
      <c r="BP212" s="64">
        <f t="shared" si="25"/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4301031201</v>
      </c>
      <c r="D213" s="614">
        <v>4680115881563</v>
      </c>
      <c r="E213" s="615"/>
      <c r="F213" s="598">
        <v>0.7</v>
      </c>
      <c r="G213" s="32">
        <v>6</v>
      </c>
      <c r="H213" s="598">
        <v>4.2</v>
      </c>
      <c r="I213" s="598">
        <v>4.3899999999999997</v>
      </c>
      <c r="J213" s="32">
        <v>132</v>
      </c>
      <c r="K213" s="32" t="s">
        <v>142</v>
      </c>
      <c r="L213" s="32"/>
      <c r="M213" s="33" t="s">
        <v>68</v>
      </c>
      <c r="N213" s="33"/>
      <c r="O213" s="32">
        <v>40</v>
      </c>
      <c r="P213" s="6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07"/>
      <c r="R213" s="607"/>
      <c r="S213" s="607"/>
      <c r="T213" s="608"/>
      <c r="U213" s="34"/>
      <c r="V213" s="34"/>
      <c r="W213" s="35" t="s">
        <v>69</v>
      </c>
      <c r="X213" s="599">
        <v>0</v>
      </c>
      <c r="Y213" s="600">
        <f t="shared" si="21"/>
        <v>0</v>
      </c>
      <c r="Z213" s="36" t="str">
        <f>IFERROR(IF(Y213=0,"",ROUNDUP(Y213/H213,0)*0.00902),"")</f>
        <v/>
      </c>
      <c r="AA213" s="56"/>
      <c r="AB213" s="57"/>
      <c r="AC213" s="263" t="s">
        <v>360</v>
      </c>
      <c r="AG213" s="64"/>
      <c r="AJ213" s="68"/>
      <c r="AK213" s="68">
        <v>0</v>
      </c>
      <c r="BB213" s="264" t="s">
        <v>1</v>
      </c>
      <c r="BM213" s="64">
        <f t="shared" si="22"/>
        <v>0</v>
      </c>
      <c r="BN213" s="64">
        <f t="shared" si="23"/>
        <v>0</v>
      </c>
      <c r="BO213" s="64">
        <f t="shared" si="24"/>
        <v>0</v>
      </c>
      <c r="BP213" s="64">
        <f t="shared" si="25"/>
        <v>0</v>
      </c>
    </row>
    <row r="214" spans="1:68" ht="37.5" customHeight="1" x14ac:dyDescent="0.25">
      <c r="A214" s="54" t="s">
        <v>361</v>
      </c>
      <c r="B214" s="54" t="s">
        <v>362</v>
      </c>
      <c r="C214" s="31">
        <v>4301031447</v>
      </c>
      <c r="D214" s="614">
        <v>4680115887565</v>
      </c>
      <c r="E214" s="615"/>
      <c r="F214" s="598">
        <v>0.08</v>
      </c>
      <c r="G214" s="32">
        <v>10</v>
      </c>
      <c r="H214" s="598">
        <v>0.8</v>
      </c>
      <c r="I214" s="598">
        <v>0.93</v>
      </c>
      <c r="J214" s="32">
        <v>252</v>
      </c>
      <c r="K214" s="32" t="s">
        <v>73</v>
      </c>
      <c r="L214" s="32"/>
      <c r="M214" s="33" t="s">
        <v>68</v>
      </c>
      <c r="N214" s="33"/>
      <c r="O214" s="32">
        <v>45</v>
      </c>
      <c r="P214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07"/>
      <c r="R214" s="607"/>
      <c r="S214" s="607"/>
      <c r="T214" s="608"/>
      <c r="U214" s="34"/>
      <c r="V214" s="34"/>
      <c r="W214" s="35" t="s">
        <v>69</v>
      </c>
      <c r="X214" s="599">
        <v>0</v>
      </c>
      <c r="Y214" s="600">
        <f t="shared" si="21"/>
        <v>0</v>
      </c>
      <c r="Z214" s="36" t="str">
        <f>IFERROR(IF(Y214=0,"",ROUNDUP(Y214/H214,0)*0.00556),"")</f>
        <v/>
      </c>
      <c r="AA214" s="56"/>
      <c r="AB214" s="57"/>
      <c r="AC214" s="265" t="s">
        <v>363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4301031199</v>
      </c>
      <c r="D215" s="614">
        <v>4680115880986</v>
      </c>
      <c r="E215" s="615"/>
      <c r="F215" s="598">
        <v>0.35</v>
      </c>
      <c r="G215" s="32">
        <v>6</v>
      </c>
      <c r="H215" s="598">
        <v>2.1</v>
      </c>
      <c r="I215" s="598">
        <v>2.23</v>
      </c>
      <c r="J215" s="32">
        <v>234</v>
      </c>
      <c r="K215" s="32" t="s">
        <v>73</v>
      </c>
      <c r="L215" s="32"/>
      <c r="M215" s="33" t="s">
        <v>68</v>
      </c>
      <c r="N215" s="33"/>
      <c r="O215" s="32">
        <v>40</v>
      </c>
      <c r="P215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07"/>
      <c r="R215" s="607"/>
      <c r="S215" s="607"/>
      <c r="T215" s="608"/>
      <c r="U215" s="34"/>
      <c r="V215" s="34"/>
      <c r="W215" s="35" t="s">
        <v>69</v>
      </c>
      <c r="X215" s="599">
        <v>0</v>
      </c>
      <c r="Y215" s="600">
        <f t="shared" si="21"/>
        <v>0</v>
      </c>
      <c r="Z215" s="36" t="str">
        <f t="shared" ref="Z215:Z220" si="26">IFERROR(IF(Y215=0,"",ROUNDUP(Y215/H215,0)*0.00502),"")</f>
        <v/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27" customHeight="1" x14ac:dyDescent="0.25">
      <c r="A216" s="54" t="s">
        <v>366</v>
      </c>
      <c r="B216" s="54" t="s">
        <v>367</v>
      </c>
      <c r="C216" s="31">
        <v>4301031443</v>
      </c>
      <c r="D216" s="614">
        <v>4680115887213</v>
      </c>
      <c r="E216" s="615"/>
      <c r="F216" s="598">
        <v>0.3</v>
      </c>
      <c r="G216" s="32">
        <v>6</v>
      </c>
      <c r="H216" s="598">
        <v>1.8</v>
      </c>
      <c r="I216" s="598">
        <v>1.9</v>
      </c>
      <c r="J216" s="32">
        <v>234</v>
      </c>
      <c r="K216" s="32" t="s">
        <v>73</v>
      </c>
      <c r="L216" s="32"/>
      <c r="M216" s="33" t="s">
        <v>68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07"/>
      <c r="R216" s="607"/>
      <c r="S216" s="607"/>
      <c r="T216" s="608"/>
      <c r="U216" s="34"/>
      <c r="V216" s="34"/>
      <c r="W216" s="35" t="s">
        <v>69</v>
      </c>
      <c r="X216" s="599">
        <v>0</v>
      </c>
      <c r="Y216" s="600">
        <f t="shared" si="21"/>
        <v>0</v>
      </c>
      <c r="Z216" s="36" t="str">
        <f t="shared" si="26"/>
        <v/>
      </c>
      <c r="AA216" s="56"/>
      <c r="AB216" s="57"/>
      <c r="AC216" s="269" t="s">
        <v>368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4301031205</v>
      </c>
      <c r="D217" s="614">
        <v>4680115881785</v>
      </c>
      <c r="E217" s="615"/>
      <c r="F217" s="598">
        <v>0.35</v>
      </c>
      <c r="G217" s="32">
        <v>6</v>
      </c>
      <c r="H217" s="598">
        <v>2.1</v>
      </c>
      <c r="I217" s="598">
        <v>2.23</v>
      </c>
      <c r="J217" s="32">
        <v>234</v>
      </c>
      <c r="K217" s="32" t="s">
        <v>73</v>
      </c>
      <c r="L217" s="32"/>
      <c r="M217" s="33" t="s">
        <v>68</v>
      </c>
      <c r="N217" s="33"/>
      <c r="O217" s="32">
        <v>40</v>
      </c>
      <c r="P217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07"/>
      <c r="R217" s="607"/>
      <c r="S217" s="607"/>
      <c r="T217" s="608"/>
      <c r="U217" s="34"/>
      <c r="V217" s="34"/>
      <c r="W217" s="35" t="s">
        <v>69</v>
      </c>
      <c r="X217" s="599">
        <v>0</v>
      </c>
      <c r="Y217" s="600">
        <f t="shared" si="21"/>
        <v>0</v>
      </c>
      <c r="Z217" s="36" t="str">
        <f t="shared" si="26"/>
        <v/>
      </c>
      <c r="AA217" s="56"/>
      <c r="AB217" s="57"/>
      <c r="AC217" s="271" t="s">
        <v>357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4301031499</v>
      </c>
      <c r="D218" s="614">
        <v>4680115888432</v>
      </c>
      <c r="E218" s="615"/>
      <c r="F218" s="598">
        <v>0.3</v>
      </c>
      <c r="G218" s="32">
        <v>6</v>
      </c>
      <c r="H218" s="598">
        <v>1.8</v>
      </c>
      <c r="I218" s="598">
        <v>1.93</v>
      </c>
      <c r="J218" s="32">
        <v>234</v>
      </c>
      <c r="K218" s="32" t="s">
        <v>73</v>
      </c>
      <c r="L218" s="32"/>
      <c r="M218" s="33" t="s">
        <v>68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07"/>
      <c r="R218" s="607"/>
      <c r="S218" s="607"/>
      <c r="T218" s="608"/>
      <c r="U218" s="34"/>
      <c r="V218" s="34"/>
      <c r="W218" s="35" t="s">
        <v>69</v>
      </c>
      <c r="X218" s="599">
        <v>0</v>
      </c>
      <c r="Y218" s="600">
        <f t="shared" si="21"/>
        <v>0</v>
      </c>
      <c r="Z218" s="36" t="str">
        <f t="shared" si="26"/>
        <v/>
      </c>
      <c r="AA218" s="56"/>
      <c r="AB218" s="57"/>
      <c r="AC218" s="273" t="s">
        <v>373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374</v>
      </c>
      <c r="B219" s="54" t="s">
        <v>375</v>
      </c>
      <c r="C219" s="31">
        <v>4301031427</v>
      </c>
      <c r="D219" s="614">
        <v>4680115888104</v>
      </c>
      <c r="E219" s="615"/>
      <c r="F219" s="598">
        <v>0.35</v>
      </c>
      <c r="G219" s="32">
        <v>6</v>
      </c>
      <c r="H219" s="598">
        <v>2.1</v>
      </c>
      <c r="I219" s="598">
        <v>2.2000000000000002</v>
      </c>
      <c r="J219" s="32">
        <v>234</v>
      </c>
      <c r="K219" s="32" t="s">
        <v>73</v>
      </c>
      <c r="L219" s="32"/>
      <c r="M219" s="33" t="s">
        <v>68</v>
      </c>
      <c r="N219" s="33"/>
      <c r="O219" s="32">
        <v>45</v>
      </c>
      <c r="P219" s="77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07"/>
      <c r="R219" s="607"/>
      <c r="S219" s="607"/>
      <c r="T219" s="608"/>
      <c r="U219" s="34"/>
      <c r="V219" s="34"/>
      <c r="W219" s="35" t="s">
        <v>69</v>
      </c>
      <c r="X219" s="599">
        <v>0</v>
      </c>
      <c r="Y219" s="600">
        <f t="shared" si="21"/>
        <v>0</v>
      </c>
      <c r="Z219" s="36" t="str">
        <f t="shared" si="26"/>
        <v/>
      </c>
      <c r="AA219" s="56"/>
      <c r="AB219" s="57"/>
      <c r="AC219" s="275" t="s">
        <v>376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377</v>
      </c>
      <c r="B220" s="54" t="s">
        <v>378</v>
      </c>
      <c r="C220" s="31">
        <v>4301031399</v>
      </c>
      <c r="D220" s="614">
        <v>4680115886537</v>
      </c>
      <c r="E220" s="615"/>
      <c r="F220" s="598">
        <v>0.3</v>
      </c>
      <c r="G220" s="32">
        <v>6</v>
      </c>
      <c r="H220" s="598">
        <v>1.8</v>
      </c>
      <c r="I220" s="598">
        <v>1.93</v>
      </c>
      <c r="J220" s="32">
        <v>234</v>
      </c>
      <c r="K220" s="32" t="s">
        <v>73</v>
      </c>
      <c r="L220" s="32"/>
      <c r="M220" s="33" t="s">
        <v>68</v>
      </c>
      <c r="N220" s="33"/>
      <c r="O220" s="32">
        <v>40</v>
      </c>
      <c r="P220" s="6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07"/>
      <c r="R220" s="607"/>
      <c r="S220" s="607"/>
      <c r="T220" s="608"/>
      <c r="U220" s="34"/>
      <c r="V220" s="34"/>
      <c r="W220" s="35" t="s">
        <v>69</v>
      </c>
      <c r="X220" s="599">
        <v>32</v>
      </c>
      <c r="Y220" s="600">
        <f t="shared" si="21"/>
        <v>32.4</v>
      </c>
      <c r="Z220" s="36">
        <f t="shared" si="26"/>
        <v>9.0359999999999996E-2</v>
      </c>
      <c r="AA220" s="56"/>
      <c r="AB220" s="57"/>
      <c r="AC220" s="277" t="s">
        <v>379</v>
      </c>
      <c r="AG220" s="64"/>
      <c r="AJ220" s="68"/>
      <c r="AK220" s="68">
        <v>0</v>
      </c>
      <c r="BB220" s="278" t="s">
        <v>1</v>
      </c>
      <c r="BM220" s="64">
        <f t="shared" si="22"/>
        <v>34.31111111111111</v>
      </c>
      <c r="BN220" s="64">
        <f t="shared" si="23"/>
        <v>34.739999999999995</v>
      </c>
      <c r="BO220" s="64">
        <f t="shared" si="24"/>
        <v>7.5973409306742651E-2</v>
      </c>
      <c r="BP220" s="64">
        <f t="shared" si="25"/>
        <v>7.6923076923076927E-2</v>
      </c>
    </row>
    <row r="221" spans="1:68" ht="27" customHeight="1" x14ac:dyDescent="0.25">
      <c r="A221" s="54" t="s">
        <v>380</v>
      </c>
      <c r="B221" s="54" t="s">
        <v>381</v>
      </c>
      <c r="C221" s="31">
        <v>4301031279</v>
      </c>
      <c r="D221" s="614">
        <v>4680115887596</v>
      </c>
      <c r="E221" s="615"/>
      <c r="F221" s="598">
        <v>0.08</v>
      </c>
      <c r="G221" s="32">
        <v>10</v>
      </c>
      <c r="H221" s="598">
        <v>0.8</v>
      </c>
      <c r="I221" s="598">
        <v>1.01</v>
      </c>
      <c r="J221" s="32">
        <v>336</v>
      </c>
      <c r="K221" s="32" t="s">
        <v>138</v>
      </c>
      <c r="L221" s="32"/>
      <c r="M221" s="33" t="s">
        <v>68</v>
      </c>
      <c r="N221" s="33"/>
      <c r="O221" s="32">
        <v>45</v>
      </c>
      <c r="P221" s="6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07"/>
      <c r="R221" s="607"/>
      <c r="S221" s="607"/>
      <c r="T221" s="608"/>
      <c r="U221" s="34"/>
      <c r="V221" s="34"/>
      <c r="W221" s="35" t="s">
        <v>69</v>
      </c>
      <c r="X221" s="599">
        <v>21</v>
      </c>
      <c r="Y221" s="600">
        <f t="shared" si="21"/>
        <v>21.6</v>
      </c>
      <c r="Z221" s="36">
        <f>IFERROR(IF(Y221=0,"",ROUNDUP(Y221/H221,0)*0.00417),"")</f>
        <v>0.11259</v>
      </c>
      <c r="AA221" s="56"/>
      <c r="AB221" s="57"/>
      <c r="AC221" s="279" t="s">
        <v>382</v>
      </c>
      <c r="AG221" s="64"/>
      <c r="AJ221" s="68"/>
      <c r="AK221" s="68">
        <v>0</v>
      </c>
      <c r="BB221" s="280" t="s">
        <v>1</v>
      </c>
      <c r="BM221" s="64">
        <f t="shared" si="22"/>
        <v>26.512499999999999</v>
      </c>
      <c r="BN221" s="64">
        <f t="shared" si="23"/>
        <v>27.270000000000003</v>
      </c>
      <c r="BO221" s="64">
        <f t="shared" si="24"/>
        <v>7.8125E-2</v>
      </c>
      <c r="BP221" s="64">
        <f t="shared" si="25"/>
        <v>8.0357142857142849E-2</v>
      </c>
    </row>
    <row r="222" spans="1:68" ht="37.5" customHeight="1" x14ac:dyDescent="0.25">
      <c r="A222" s="54" t="s">
        <v>383</v>
      </c>
      <c r="B222" s="54" t="s">
        <v>384</v>
      </c>
      <c r="C222" s="31">
        <v>4301031202</v>
      </c>
      <c r="D222" s="614">
        <v>4680115881679</v>
      </c>
      <c r="E222" s="615"/>
      <c r="F222" s="598">
        <v>0.35</v>
      </c>
      <c r="G222" s="32">
        <v>6</v>
      </c>
      <c r="H222" s="598">
        <v>2.1</v>
      </c>
      <c r="I222" s="598">
        <v>2.2000000000000002</v>
      </c>
      <c r="J222" s="32">
        <v>234</v>
      </c>
      <c r="K222" s="32" t="s">
        <v>73</v>
      </c>
      <c r="L222" s="32"/>
      <c r="M222" s="33" t="s">
        <v>68</v>
      </c>
      <c r="N222" s="33"/>
      <c r="O222" s="32">
        <v>40</v>
      </c>
      <c r="P222" s="8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07"/>
      <c r="R222" s="607"/>
      <c r="S222" s="607"/>
      <c r="T222" s="608"/>
      <c r="U222" s="34"/>
      <c r="V222" s="34"/>
      <c r="W222" s="35" t="s">
        <v>69</v>
      </c>
      <c r="X222" s="599">
        <v>716</v>
      </c>
      <c r="Y222" s="600">
        <f t="shared" si="21"/>
        <v>716.1</v>
      </c>
      <c r="Z222" s="36">
        <f>IFERROR(IF(Y222=0,"",ROUNDUP(Y222/H222,0)*0.00502),"")</f>
        <v>1.7118200000000001</v>
      </c>
      <c r="AA222" s="56"/>
      <c r="AB222" s="57"/>
      <c r="AC222" s="281" t="s">
        <v>360</v>
      </c>
      <c r="AG222" s="64"/>
      <c r="AJ222" s="68"/>
      <c r="AK222" s="68">
        <v>0</v>
      </c>
      <c r="BB222" s="282" t="s">
        <v>1</v>
      </c>
      <c r="BM222" s="64">
        <f t="shared" si="22"/>
        <v>750.09523809523807</v>
      </c>
      <c r="BN222" s="64">
        <f t="shared" si="23"/>
        <v>750.2</v>
      </c>
      <c r="BO222" s="64">
        <f t="shared" si="24"/>
        <v>1.4570614570614573</v>
      </c>
      <c r="BP222" s="64">
        <f t="shared" si="25"/>
        <v>1.4572649572649574</v>
      </c>
    </row>
    <row r="223" spans="1:68" ht="27" customHeight="1" x14ac:dyDescent="0.25">
      <c r="A223" s="54" t="s">
        <v>385</v>
      </c>
      <c r="B223" s="54" t="s">
        <v>386</v>
      </c>
      <c r="C223" s="31">
        <v>4301031158</v>
      </c>
      <c r="D223" s="614">
        <v>4680115880191</v>
      </c>
      <c r="E223" s="615"/>
      <c r="F223" s="598">
        <v>0.4</v>
      </c>
      <c r="G223" s="32">
        <v>6</v>
      </c>
      <c r="H223" s="598">
        <v>2.4</v>
      </c>
      <c r="I223" s="598">
        <v>2.58</v>
      </c>
      <c r="J223" s="32">
        <v>182</v>
      </c>
      <c r="K223" s="32" t="s">
        <v>67</v>
      </c>
      <c r="L223" s="32"/>
      <c r="M223" s="33" t="s">
        <v>68</v>
      </c>
      <c r="N223" s="33"/>
      <c r="O223" s="32">
        <v>40</v>
      </c>
      <c r="P223" s="7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07"/>
      <c r="R223" s="607"/>
      <c r="S223" s="607"/>
      <c r="T223" s="608"/>
      <c r="U223" s="34"/>
      <c r="V223" s="34"/>
      <c r="W223" s="35" t="s">
        <v>69</v>
      </c>
      <c r="X223" s="599">
        <v>0</v>
      </c>
      <c r="Y223" s="600">
        <f t="shared" si="21"/>
        <v>0</v>
      </c>
      <c r="Z223" s="36" t="str">
        <f>IFERROR(IF(Y223=0,"",ROUNDUP(Y223/H223,0)*0.00651),"")</f>
        <v/>
      </c>
      <c r="AA223" s="56"/>
      <c r="AB223" s="57"/>
      <c r="AC223" s="283" t="s">
        <v>360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27" customHeight="1" x14ac:dyDescent="0.25">
      <c r="A224" s="54" t="s">
        <v>387</v>
      </c>
      <c r="B224" s="54" t="s">
        <v>388</v>
      </c>
      <c r="C224" s="31">
        <v>4301031245</v>
      </c>
      <c r="D224" s="614">
        <v>4680115883963</v>
      </c>
      <c r="E224" s="615"/>
      <c r="F224" s="598">
        <v>0.28000000000000003</v>
      </c>
      <c r="G224" s="32">
        <v>6</v>
      </c>
      <c r="H224" s="598">
        <v>1.68</v>
      </c>
      <c r="I224" s="598">
        <v>1.78</v>
      </c>
      <c r="J224" s="32">
        <v>234</v>
      </c>
      <c r="K224" s="32" t="s">
        <v>73</v>
      </c>
      <c r="L224" s="32"/>
      <c r="M224" s="33" t="s">
        <v>68</v>
      </c>
      <c r="N224" s="33"/>
      <c r="O224" s="32">
        <v>40</v>
      </c>
      <c r="P224" s="7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07"/>
      <c r="R224" s="607"/>
      <c r="S224" s="607"/>
      <c r="T224" s="608"/>
      <c r="U224" s="34"/>
      <c r="V224" s="34"/>
      <c r="W224" s="35" t="s">
        <v>69</v>
      </c>
      <c r="X224" s="599">
        <v>0</v>
      </c>
      <c r="Y224" s="600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389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x14ac:dyDescent="0.2">
      <c r="A225" s="611"/>
      <c r="B225" s="612"/>
      <c r="C225" s="612"/>
      <c r="D225" s="612"/>
      <c r="E225" s="612"/>
      <c r="F225" s="612"/>
      <c r="G225" s="612"/>
      <c r="H225" s="612"/>
      <c r="I225" s="612"/>
      <c r="J225" s="612"/>
      <c r="K225" s="612"/>
      <c r="L225" s="612"/>
      <c r="M225" s="612"/>
      <c r="N225" s="612"/>
      <c r="O225" s="613"/>
      <c r="P225" s="603" t="s">
        <v>78</v>
      </c>
      <c r="Q225" s="604"/>
      <c r="R225" s="604"/>
      <c r="S225" s="604"/>
      <c r="T225" s="604"/>
      <c r="U225" s="604"/>
      <c r="V225" s="605"/>
      <c r="W225" s="37" t="s">
        <v>79</v>
      </c>
      <c r="X225" s="601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384.98015873015873</v>
      </c>
      <c r="Y225" s="601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386</v>
      </c>
      <c r="Z225" s="601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1.9147700000000001</v>
      </c>
      <c r="AA225" s="602"/>
      <c r="AB225" s="602"/>
      <c r="AC225" s="602"/>
    </row>
    <row r="226" spans="1:68" x14ac:dyDescent="0.2">
      <c r="A226" s="612"/>
      <c r="B226" s="612"/>
      <c r="C226" s="612"/>
      <c r="D226" s="612"/>
      <c r="E226" s="612"/>
      <c r="F226" s="612"/>
      <c r="G226" s="612"/>
      <c r="H226" s="612"/>
      <c r="I226" s="612"/>
      <c r="J226" s="612"/>
      <c r="K226" s="612"/>
      <c r="L226" s="612"/>
      <c r="M226" s="612"/>
      <c r="N226" s="612"/>
      <c r="O226" s="613"/>
      <c r="P226" s="603" t="s">
        <v>78</v>
      </c>
      <c r="Q226" s="604"/>
      <c r="R226" s="604"/>
      <c r="S226" s="604"/>
      <c r="T226" s="604"/>
      <c r="U226" s="604"/>
      <c r="V226" s="605"/>
      <c r="W226" s="37" t="s">
        <v>69</v>
      </c>
      <c r="X226" s="601">
        <f>IFERROR(SUM(X211:X224),"0")</f>
        <v>769</v>
      </c>
      <c r="Y226" s="601">
        <f>IFERROR(SUM(Y211:Y224),"0")</f>
        <v>770.1</v>
      </c>
      <c r="Z226" s="37"/>
      <c r="AA226" s="602"/>
      <c r="AB226" s="602"/>
      <c r="AC226" s="602"/>
    </row>
    <row r="227" spans="1:68" ht="14.25" customHeight="1" x14ac:dyDescent="0.25">
      <c r="A227" s="659" t="s">
        <v>80</v>
      </c>
      <c r="B227" s="612"/>
      <c r="C227" s="612"/>
      <c r="D227" s="612"/>
      <c r="E227" s="612"/>
      <c r="F227" s="612"/>
      <c r="G227" s="612"/>
      <c r="H227" s="612"/>
      <c r="I227" s="612"/>
      <c r="J227" s="612"/>
      <c r="K227" s="612"/>
      <c r="L227" s="612"/>
      <c r="M227" s="612"/>
      <c r="N227" s="612"/>
      <c r="O227" s="612"/>
      <c r="P227" s="612"/>
      <c r="Q227" s="612"/>
      <c r="R227" s="612"/>
      <c r="S227" s="612"/>
      <c r="T227" s="612"/>
      <c r="U227" s="612"/>
      <c r="V227" s="612"/>
      <c r="W227" s="612"/>
      <c r="X227" s="612"/>
      <c r="Y227" s="612"/>
      <c r="Z227" s="612"/>
      <c r="AA227" s="595"/>
      <c r="AB227" s="595"/>
      <c r="AC227" s="595"/>
    </row>
    <row r="228" spans="1:68" ht="27" customHeight="1" x14ac:dyDescent="0.25">
      <c r="A228" s="54" t="s">
        <v>390</v>
      </c>
      <c r="B228" s="54" t="s">
        <v>391</v>
      </c>
      <c r="C228" s="31">
        <v>4301052176</v>
      </c>
      <c r="D228" s="614">
        <v>4680115888982</v>
      </c>
      <c r="E228" s="615"/>
      <c r="F228" s="598">
        <v>0.36</v>
      </c>
      <c r="G228" s="32">
        <v>6</v>
      </c>
      <c r="H228" s="598">
        <v>2.16</v>
      </c>
      <c r="I228" s="598">
        <v>2.4220000000000002</v>
      </c>
      <c r="J228" s="32">
        <v>132</v>
      </c>
      <c r="K228" s="32" t="s">
        <v>142</v>
      </c>
      <c r="L228" s="32"/>
      <c r="M228" s="33" t="s">
        <v>89</v>
      </c>
      <c r="N228" s="33"/>
      <c r="O228" s="32">
        <v>35</v>
      </c>
      <c r="P228" s="9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07"/>
      <c r="R228" s="607"/>
      <c r="S228" s="607"/>
      <c r="T228" s="608"/>
      <c r="U228" s="34"/>
      <c r="V228" s="34"/>
      <c r="W228" s="35" t="s">
        <v>69</v>
      </c>
      <c r="X228" s="599">
        <v>0</v>
      </c>
      <c r="Y228" s="600">
        <f>IFERROR(IF(X228="",0,CEILING((X228/$H228),1)*$H228),"")</f>
        <v>0</v>
      </c>
      <c r="Z228" s="36" t="str">
        <f>IFERROR(IF(Y228=0,"",ROUNDUP(Y228/H228,0)*0.00902),"")</f>
        <v/>
      </c>
      <c r="AA228" s="56"/>
      <c r="AB228" s="57" t="s">
        <v>315</v>
      </c>
      <c r="AC228" s="287" t="s">
        <v>392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393</v>
      </c>
      <c r="B229" s="54" t="s">
        <v>394</v>
      </c>
      <c r="C229" s="31">
        <v>4301052177</v>
      </c>
      <c r="D229" s="614">
        <v>4680115888951</v>
      </c>
      <c r="E229" s="615"/>
      <c r="F229" s="598">
        <v>0.36</v>
      </c>
      <c r="G229" s="32">
        <v>6</v>
      </c>
      <c r="H229" s="598">
        <v>2.16</v>
      </c>
      <c r="I229" s="598">
        <v>2.4220000000000002</v>
      </c>
      <c r="J229" s="32">
        <v>132</v>
      </c>
      <c r="K229" s="32" t="s">
        <v>142</v>
      </c>
      <c r="L229" s="32"/>
      <c r="M229" s="33" t="s">
        <v>89</v>
      </c>
      <c r="N229" s="33"/>
      <c r="O229" s="32">
        <v>35</v>
      </c>
      <c r="P229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7"/>
      <c r="R229" s="607"/>
      <c r="S229" s="607"/>
      <c r="T229" s="608"/>
      <c r="U229" s="34"/>
      <c r="V229" s="34"/>
      <c r="W229" s="35" t="s">
        <v>69</v>
      </c>
      <c r="X229" s="599">
        <v>0</v>
      </c>
      <c r="Y229" s="600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395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611"/>
      <c r="B230" s="612"/>
      <c r="C230" s="612"/>
      <c r="D230" s="612"/>
      <c r="E230" s="612"/>
      <c r="F230" s="612"/>
      <c r="G230" s="612"/>
      <c r="H230" s="612"/>
      <c r="I230" s="612"/>
      <c r="J230" s="612"/>
      <c r="K230" s="612"/>
      <c r="L230" s="612"/>
      <c r="M230" s="612"/>
      <c r="N230" s="612"/>
      <c r="O230" s="613"/>
      <c r="P230" s="603" t="s">
        <v>78</v>
      </c>
      <c r="Q230" s="604"/>
      <c r="R230" s="604"/>
      <c r="S230" s="604"/>
      <c r="T230" s="604"/>
      <c r="U230" s="604"/>
      <c r="V230" s="605"/>
      <c r="W230" s="37" t="s">
        <v>79</v>
      </c>
      <c r="X230" s="601">
        <f>IFERROR(X228/H228,"0")+IFERROR(X229/H229,"0")</f>
        <v>0</v>
      </c>
      <c r="Y230" s="601">
        <f>IFERROR(Y228/H228,"0")+IFERROR(Y229/H229,"0")</f>
        <v>0</v>
      </c>
      <c r="Z230" s="601">
        <f>IFERROR(IF(Z228="",0,Z228),"0")+IFERROR(IF(Z229="",0,Z229),"0")</f>
        <v>0</v>
      </c>
      <c r="AA230" s="602"/>
      <c r="AB230" s="602"/>
      <c r="AC230" s="602"/>
    </row>
    <row r="231" spans="1:68" x14ac:dyDescent="0.2">
      <c r="A231" s="612"/>
      <c r="B231" s="612"/>
      <c r="C231" s="612"/>
      <c r="D231" s="612"/>
      <c r="E231" s="612"/>
      <c r="F231" s="612"/>
      <c r="G231" s="612"/>
      <c r="H231" s="612"/>
      <c r="I231" s="612"/>
      <c r="J231" s="612"/>
      <c r="K231" s="612"/>
      <c r="L231" s="612"/>
      <c r="M231" s="612"/>
      <c r="N231" s="612"/>
      <c r="O231" s="613"/>
      <c r="P231" s="603" t="s">
        <v>78</v>
      </c>
      <c r="Q231" s="604"/>
      <c r="R231" s="604"/>
      <c r="S231" s="604"/>
      <c r="T231" s="604"/>
      <c r="U231" s="604"/>
      <c r="V231" s="605"/>
      <c r="W231" s="37" t="s">
        <v>69</v>
      </c>
      <c r="X231" s="601">
        <f>IFERROR(SUM(X228:X229),"0")</f>
        <v>0</v>
      </c>
      <c r="Y231" s="601">
        <f>IFERROR(SUM(Y228:Y229),"0")</f>
        <v>0</v>
      </c>
      <c r="Z231" s="37"/>
      <c r="AA231" s="602"/>
      <c r="AB231" s="602"/>
      <c r="AC231" s="602"/>
    </row>
    <row r="232" spans="1:68" ht="14.25" customHeight="1" x14ac:dyDescent="0.25">
      <c r="A232" s="659" t="s">
        <v>108</v>
      </c>
      <c r="B232" s="612"/>
      <c r="C232" s="612"/>
      <c r="D232" s="612"/>
      <c r="E232" s="612"/>
      <c r="F232" s="612"/>
      <c r="G232" s="612"/>
      <c r="H232" s="612"/>
      <c r="I232" s="612"/>
      <c r="J232" s="612"/>
      <c r="K232" s="612"/>
      <c r="L232" s="612"/>
      <c r="M232" s="612"/>
      <c r="N232" s="612"/>
      <c r="O232" s="612"/>
      <c r="P232" s="612"/>
      <c r="Q232" s="612"/>
      <c r="R232" s="612"/>
      <c r="S232" s="612"/>
      <c r="T232" s="612"/>
      <c r="U232" s="612"/>
      <c r="V232" s="612"/>
      <c r="W232" s="612"/>
      <c r="X232" s="612"/>
      <c r="Y232" s="612"/>
      <c r="Z232" s="612"/>
      <c r="AA232" s="595"/>
      <c r="AB232" s="595"/>
      <c r="AC232" s="595"/>
    </row>
    <row r="233" spans="1:68" ht="27" customHeight="1" x14ac:dyDescent="0.25">
      <c r="A233" s="54" t="s">
        <v>396</v>
      </c>
      <c r="B233" s="54" t="s">
        <v>397</v>
      </c>
      <c r="C233" s="31">
        <v>4301032053</v>
      </c>
      <c r="D233" s="614">
        <v>4680115886780</v>
      </c>
      <c r="E233" s="615"/>
      <c r="F233" s="598">
        <v>7.0000000000000007E-2</v>
      </c>
      <c r="G233" s="32">
        <v>18</v>
      </c>
      <c r="H233" s="598">
        <v>1.26</v>
      </c>
      <c r="I233" s="598">
        <v>1.45</v>
      </c>
      <c r="J233" s="32">
        <v>216</v>
      </c>
      <c r="K233" s="32" t="s">
        <v>325</v>
      </c>
      <c r="L233" s="32"/>
      <c r="M233" s="33" t="s">
        <v>326</v>
      </c>
      <c r="N233" s="33"/>
      <c r="O233" s="32">
        <v>60</v>
      </c>
      <c r="P233" s="80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07"/>
      <c r="R233" s="607"/>
      <c r="S233" s="607"/>
      <c r="T233" s="608"/>
      <c r="U233" s="34"/>
      <c r="V233" s="34"/>
      <c r="W233" s="35" t="s">
        <v>69</v>
      </c>
      <c r="X233" s="599">
        <v>0</v>
      </c>
      <c r="Y233" s="600">
        <f>IFERROR(IF(X233="",0,CEILING((X233/$H233),1)*$H233),"")</f>
        <v>0</v>
      </c>
      <c r="Z233" s="36" t="str">
        <f>IFERROR(IF(Y233=0,"",ROUNDUP(Y233/H233,0)*0.0059),"")</f>
        <v/>
      </c>
      <c r="AA233" s="56"/>
      <c r="AB233" s="57"/>
      <c r="AC233" s="291" t="s">
        <v>398</v>
      </c>
      <c r="AG233" s="64"/>
      <c r="AJ233" s="68"/>
      <c r="AK233" s="68">
        <v>0</v>
      </c>
      <c r="BB233" s="292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399</v>
      </c>
      <c r="B234" s="54" t="s">
        <v>400</v>
      </c>
      <c r="C234" s="31">
        <v>4301032051</v>
      </c>
      <c r="D234" s="614">
        <v>4680115886742</v>
      </c>
      <c r="E234" s="615"/>
      <c r="F234" s="598">
        <v>7.0000000000000007E-2</v>
      </c>
      <c r="G234" s="32">
        <v>18</v>
      </c>
      <c r="H234" s="598">
        <v>1.26</v>
      </c>
      <c r="I234" s="598">
        <v>1.45</v>
      </c>
      <c r="J234" s="32">
        <v>216</v>
      </c>
      <c r="K234" s="32" t="s">
        <v>325</v>
      </c>
      <c r="L234" s="32"/>
      <c r="M234" s="33" t="s">
        <v>326</v>
      </c>
      <c r="N234" s="33"/>
      <c r="O234" s="32">
        <v>90</v>
      </c>
      <c r="P234" s="66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07"/>
      <c r="R234" s="607"/>
      <c r="S234" s="607"/>
      <c r="T234" s="608"/>
      <c r="U234" s="34"/>
      <c r="V234" s="34"/>
      <c r="W234" s="35" t="s">
        <v>69</v>
      </c>
      <c r="X234" s="599">
        <v>6</v>
      </c>
      <c r="Y234" s="600">
        <f>IFERROR(IF(X234="",0,CEILING((X234/$H234),1)*$H234),"")</f>
        <v>6.3</v>
      </c>
      <c r="Z234" s="36">
        <f>IFERROR(IF(Y234=0,"",ROUNDUP(Y234/H234,0)*0.0059),"")</f>
        <v>2.9499999999999998E-2</v>
      </c>
      <c r="AA234" s="56"/>
      <c r="AB234" s="57"/>
      <c r="AC234" s="293" t="s">
        <v>401</v>
      </c>
      <c r="AG234" s="64"/>
      <c r="AJ234" s="68"/>
      <c r="AK234" s="68">
        <v>0</v>
      </c>
      <c r="BB234" s="294" t="s">
        <v>1</v>
      </c>
      <c r="BM234" s="64">
        <f>IFERROR(X234*I234/H234,"0")</f>
        <v>6.9047619047619042</v>
      </c>
      <c r="BN234" s="64">
        <f>IFERROR(Y234*I234/H234,"0")</f>
        <v>7.25</v>
      </c>
      <c r="BO234" s="64">
        <f>IFERROR(1/J234*(X234/H234),"0")</f>
        <v>2.2045855379188711E-2</v>
      </c>
      <c r="BP234" s="64">
        <f>IFERROR(1/J234*(Y234/H234),"0")</f>
        <v>2.3148148148148147E-2</v>
      </c>
    </row>
    <row r="235" spans="1:68" ht="27" customHeight="1" x14ac:dyDescent="0.25">
      <c r="A235" s="54" t="s">
        <v>402</v>
      </c>
      <c r="B235" s="54" t="s">
        <v>403</v>
      </c>
      <c r="C235" s="31">
        <v>4301032052</v>
      </c>
      <c r="D235" s="614">
        <v>4680115886766</v>
      </c>
      <c r="E235" s="615"/>
      <c r="F235" s="598">
        <v>7.0000000000000007E-2</v>
      </c>
      <c r="G235" s="32">
        <v>18</v>
      </c>
      <c r="H235" s="598">
        <v>1.26</v>
      </c>
      <c r="I235" s="598">
        <v>1.45</v>
      </c>
      <c r="J235" s="32">
        <v>216</v>
      </c>
      <c r="K235" s="32" t="s">
        <v>325</v>
      </c>
      <c r="L235" s="32"/>
      <c r="M235" s="33" t="s">
        <v>326</v>
      </c>
      <c r="N235" s="33"/>
      <c r="O235" s="32">
        <v>90</v>
      </c>
      <c r="P235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07"/>
      <c r="R235" s="607"/>
      <c r="S235" s="607"/>
      <c r="T235" s="608"/>
      <c r="U235" s="34"/>
      <c r="V235" s="34"/>
      <c r="W235" s="35" t="s">
        <v>69</v>
      </c>
      <c r="X235" s="599">
        <v>13</v>
      </c>
      <c r="Y235" s="600">
        <f>IFERROR(IF(X235="",0,CEILING((X235/$H235),1)*$H235),"")</f>
        <v>13.86</v>
      </c>
      <c r="Z235" s="36">
        <f>IFERROR(IF(Y235=0,"",ROUNDUP(Y235/H235,0)*0.0059),"")</f>
        <v>6.4899999999999999E-2</v>
      </c>
      <c r="AA235" s="56"/>
      <c r="AB235" s="57"/>
      <c r="AC235" s="295" t="s">
        <v>401</v>
      </c>
      <c r="AG235" s="64"/>
      <c r="AJ235" s="68"/>
      <c r="AK235" s="68">
        <v>0</v>
      </c>
      <c r="BB235" s="296" t="s">
        <v>1</v>
      </c>
      <c r="BM235" s="64">
        <f>IFERROR(X235*I235/H235,"0")</f>
        <v>14.960317460317459</v>
      </c>
      <c r="BN235" s="64">
        <f>IFERROR(Y235*I235/H235,"0")</f>
        <v>15.949999999999998</v>
      </c>
      <c r="BO235" s="64">
        <f>IFERROR(1/J235*(X235/H235),"0")</f>
        <v>4.776601998824221E-2</v>
      </c>
      <c r="BP235" s="64">
        <f>IFERROR(1/J235*(Y235/H235),"0")</f>
        <v>5.0925925925925923E-2</v>
      </c>
    </row>
    <row r="236" spans="1:68" x14ac:dyDescent="0.2">
      <c r="A236" s="611"/>
      <c r="B236" s="612"/>
      <c r="C236" s="612"/>
      <c r="D236" s="612"/>
      <c r="E236" s="612"/>
      <c r="F236" s="612"/>
      <c r="G236" s="612"/>
      <c r="H236" s="612"/>
      <c r="I236" s="612"/>
      <c r="J236" s="612"/>
      <c r="K236" s="612"/>
      <c r="L236" s="612"/>
      <c r="M236" s="612"/>
      <c r="N236" s="612"/>
      <c r="O236" s="613"/>
      <c r="P236" s="603" t="s">
        <v>78</v>
      </c>
      <c r="Q236" s="604"/>
      <c r="R236" s="604"/>
      <c r="S236" s="604"/>
      <c r="T236" s="604"/>
      <c r="U236" s="604"/>
      <c r="V236" s="605"/>
      <c r="W236" s="37" t="s">
        <v>79</v>
      </c>
      <c r="X236" s="601">
        <f>IFERROR(X233/H233,"0")+IFERROR(X234/H234,"0")+IFERROR(X235/H235,"0")</f>
        <v>15.079365079365079</v>
      </c>
      <c r="Y236" s="601">
        <f>IFERROR(Y233/H233,"0")+IFERROR(Y234/H234,"0")+IFERROR(Y235/H235,"0")</f>
        <v>16</v>
      </c>
      <c r="Z236" s="601">
        <f>IFERROR(IF(Z233="",0,Z233),"0")+IFERROR(IF(Z234="",0,Z234),"0")+IFERROR(IF(Z235="",0,Z235),"0")</f>
        <v>9.4399999999999998E-2</v>
      </c>
      <c r="AA236" s="602"/>
      <c r="AB236" s="602"/>
      <c r="AC236" s="602"/>
    </row>
    <row r="237" spans="1:68" x14ac:dyDescent="0.2">
      <c r="A237" s="612"/>
      <c r="B237" s="612"/>
      <c r="C237" s="612"/>
      <c r="D237" s="612"/>
      <c r="E237" s="612"/>
      <c r="F237" s="612"/>
      <c r="G237" s="612"/>
      <c r="H237" s="612"/>
      <c r="I237" s="612"/>
      <c r="J237" s="612"/>
      <c r="K237" s="612"/>
      <c r="L237" s="612"/>
      <c r="M237" s="612"/>
      <c r="N237" s="612"/>
      <c r="O237" s="613"/>
      <c r="P237" s="603" t="s">
        <v>78</v>
      </c>
      <c r="Q237" s="604"/>
      <c r="R237" s="604"/>
      <c r="S237" s="604"/>
      <c r="T237" s="604"/>
      <c r="U237" s="604"/>
      <c r="V237" s="605"/>
      <c r="W237" s="37" t="s">
        <v>69</v>
      </c>
      <c r="X237" s="601">
        <f>IFERROR(SUM(X233:X235),"0")</f>
        <v>19</v>
      </c>
      <c r="Y237" s="601">
        <f>IFERROR(SUM(Y233:Y235),"0")</f>
        <v>20.16</v>
      </c>
      <c r="Z237" s="37"/>
      <c r="AA237" s="602"/>
      <c r="AB237" s="602"/>
      <c r="AC237" s="602"/>
    </row>
    <row r="238" spans="1:68" ht="14.25" customHeight="1" x14ac:dyDescent="0.25">
      <c r="A238" s="659" t="s">
        <v>404</v>
      </c>
      <c r="B238" s="612"/>
      <c r="C238" s="612"/>
      <c r="D238" s="612"/>
      <c r="E238" s="612"/>
      <c r="F238" s="612"/>
      <c r="G238" s="612"/>
      <c r="H238" s="612"/>
      <c r="I238" s="612"/>
      <c r="J238" s="612"/>
      <c r="K238" s="612"/>
      <c r="L238" s="612"/>
      <c r="M238" s="612"/>
      <c r="N238" s="612"/>
      <c r="O238" s="612"/>
      <c r="P238" s="612"/>
      <c r="Q238" s="612"/>
      <c r="R238" s="612"/>
      <c r="S238" s="612"/>
      <c r="T238" s="612"/>
      <c r="U238" s="612"/>
      <c r="V238" s="612"/>
      <c r="W238" s="612"/>
      <c r="X238" s="612"/>
      <c r="Y238" s="612"/>
      <c r="Z238" s="612"/>
      <c r="AA238" s="595"/>
      <c r="AB238" s="595"/>
      <c r="AC238" s="595"/>
    </row>
    <row r="239" spans="1:68" ht="27" customHeight="1" x14ac:dyDescent="0.25">
      <c r="A239" s="54" t="s">
        <v>405</v>
      </c>
      <c r="B239" s="54" t="s">
        <v>406</v>
      </c>
      <c r="C239" s="31">
        <v>4301170013</v>
      </c>
      <c r="D239" s="614">
        <v>4680115886797</v>
      </c>
      <c r="E239" s="615"/>
      <c r="F239" s="598">
        <v>7.0000000000000007E-2</v>
      </c>
      <c r="G239" s="32">
        <v>18</v>
      </c>
      <c r="H239" s="598">
        <v>1.26</v>
      </c>
      <c r="I239" s="598">
        <v>1.45</v>
      </c>
      <c r="J239" s="32">
        <v>216</v>
      </c>
      <c r="K239" s="32" t="s">
        <v>325</v>
      </c>
      <c r="L239" s="32"/>
      <c r="M239" s="33" t="s">
        <v>326</v>
      </c>
      <c r="N239" s="33"/>
      <c r="O239" s="32">
        <v>90</v>
      </c>
      <c r="P239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07"/>
      <c r="R239" s="607"/>
      <c r="S239" s="607"/>
      <c r="T239" s="608"/>
      <c r="U239" s="34"/>
      <c r="V239" s="34"/>
      <c r="W239" s="35" t="s">
        <v>69</v>
      </c>
      <c r="X239" s="599">
        <v>5</v>
      </c>
      <c r="Y239" s="600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297" t="s">
        <v>401</v>
      </c>
      <c r="AG239" s="64"/>
      <c r="AJ239" s="68"/>
      <c r="AK239" s="68">
        <v>0</v>
      </c>
      <c r="BB239" s="298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x14ac:dyDescent="0.2">
      <c r="A240" s="611"/>
      <c r="B240" s="612"/>
      <c r="C240" s="612"/>
      <c r="D240" s="612"/>
      <c r="E240" s="612"/>
      <c r="F240" s="612"/>
      <c r="G240" s="612"/>
      <c r="H240" s="612"/>
      <c r="I240" s="612"/>
      <c r="J240" s="612"/>
      <c r="K240" s="612"/>
      <c r="L240" s="612"/>
      <c r="M240" s="612"/>
      <c r="N240" s="612"/>
      <c r="O240" s="613"/>
      <c r="P240" s="603" t="s">
        <v>78</v>
      </c>
      <c r="Q240" s="604"/>
      <c r="R240" s="604"/>
      <c r="S240" s="604"/>
      <c r="T240" s="604"/>
      <c r="U240" s="604"/>
      <c r="V240" s="605"/>
      <c r="W240" s="37" t="s">
        <v>79</v>
      </c>
      <c r="X240" s="601">
        <f>IFERROR(X239/H239,"0")</f>
        <v>3.9682539682539684</v>
      </c>
      <c r="Y240" s="601">
        <f>IFERROR(Y239/H239,"0")</f>
        <v>4</v>
      </c>
      <c r="Z240" s="601">
        <f>IFERROR(IF(Z239="",0,Z239),"0")</f>
        <v>2.3599999999999999E-2</v>
      </c>
      <c r="AA240" s="602"/>
      <c r="AB240" s="602"/>
      <c r="AC240" s="602"/>
    </row>
    <row r="241" spans="1:68" x14ac:dyDescent="0.2">
      <c r="A241" s="612"/>
      <c r="B241" s="612"/>
      <c r="C241" s="612"/>
      <c r="D241" s="612"/>
      <c r="E241" s="612"/>
      <c r="F241" s="612"/>
      <c r="G241" s="612"/>
      <c r="H241" s="612"/>
      <c r="I241" s="612"/>
      <c r="J241" s="612"/>
      <c r="K241" s="612"/>
      <c r="L241" s="612"/>
      <c r="M241" s="612"/>
      <c r="N241" s="612"/>
      <c r="O241" s="613"/>
      <c r="P241" s="603" t="s">
        <v>78</v>
      </c>
      <c r="Q241" s="604"/>
      <c r="R241" s="604"/>
      <c r="S241" s="604"/>
      <c r="T241" s="604"/>
      <c r="U241" s="604"/>
      <c r="V241" s="605"/>
      <c r="W241" s="37" t="s">
        <v>69</v>
      </c>
      <c r="X241" s="601">
        <f>IFERROR(SUM(X239:X239),"0")</f>
        <v>5</v>
      </c>
      <c r="Y241" s="601">
        <f>IFERROR(SUM(Y239:Y239),"0")</f>
        <v>5.04</v>
      </c>
      <c r="Z241" s="37"/>
      <c r="AA241" s="602"/>
      <c r="AB241" s="602"/>
      <c r="AC241" s="602"/>
    </row>
    <row r="242" spans="1:68" ht="16.5" customHeight="1" x14ac:dyDescent="0.25">
      <c r="A242" s="622" t="s">
        <v>407</v>
      </c>
      <c r="B242" s="612"/>
      <c r="C242" s="612"/>
      <c r="D242" s="612"/>
      <c r="E242" s="612"/>
      <c r="F242" s="612"/>
      <c r="G242" s="612"/>
      <c r="H242" s="612"/>
      <c r="I242" s="612"/>
      <c r="J242" s="612"/>
      <c r="K242" s="612"/>
      <c r="L242" s="612"/>
      <c r="M242" s="612"/>
      <c r="N242" s="612"/>
      <c r="O242" s="612"/>
      <c r="P242" s="612"/>
      <c r="Q242" s="612"/>
      <c r="R242" s="612"/>
      <c r="S242" s="612"/>
      <c r="T242" s="612"/>
      <c r="U242" s="612"/>
      <c r="V242" s="612"/>
      <c r="W242" s="612"/>
      <c r="X242" s="612"/>
      <c r="Y242" s="612"/>
      <c r="Z242" s="612"/>
      <c r="AA242" s="594"/>
      <c r="AB242" s="594"/>
      <c r="AC242" s="594"/>
    </row>
    <row r="243" spans="1:68" ht="14.25" customHeight="1" x14ac:dyDescent="0.25">
      <c r="A243" s="659" t="s">
        <v>130</v>
      </c>
      <c r="B243" s="612"/>
      <c r="C243" s="612"/>
      <c r="D243" s="612"/>
      <c r="E243" s="612"/>
      <c r="F243" s="612"/>
      <c r="G243" s="612"/>
      <c r="H243" s="612"/>
      <c r="I243" s="612"/>
      <c r="J243" s="612"/>
      <c r="K243" s="612"/>
      <c r="L243" s="612"/>
      <c r="M243" s="612"/>
      <c r="N243" s="612"/>
      <c r="O243" s="612"/>
      <c r="P243" s="612"/>
      <c r="Q243" s="612"/>
      <c r="R243" s="612"/>
      <c r="S243" s="612"/>
      <c r="T243" s="612"/>
      <c r="U243" s="612"/>
      <c r="V243" s="612"/>
      <c r="W243" s="612"/>
      <c r="X243" s="612"/>
      <c r="Y243" s="612"/>
      <c r="Z243" s="612"/>
      <c r="AA243" s="595"/>
      <c r="AB243" s="595"/>
      <c r="AC243" s="595"/>
    </row>
    <row r="244" spans="1:68" ht="27" customHeight="1" x14ac:dyDescent="0.25">
      <c r="A244" s="54" t="s">
        <v>408</v>
      </c>
      <c r="B244" s="54" t="s">
        <v>409</v>
      </c>
      <c r="C244" s="31">
        <v>4301011450</v>
      </c>
      <c r="D244" s="614">
        <v>4680115881402</v>
      </c>
      <c r="E244" s="615"/>
      <c r="F244" s="598">
        <v>1.35</v>
      </c>
      <c r="G244" s="32">
        <v>8</v>
      </c>
      <c r="H244" s="598">
        <v>10.8</v>
      </c>
      <c r="I244" s="598">
        <v>11.21</v>
      </c>
      <c r="J244" s="32">
        <v>64</v>
      </c>
      <c r="K244" s="32" t="s">
        <v>133</v>
      </c>
      <c r="L244" s="32"/>
      <c r="M244" s="33" t="s">
        <v>134</v>
      </c>
      <c r="N244" s="33"/>
      <c r="O244" s="32">
        <v>55</v>
      </c>
      <c r="P244" s="6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07"/>
      <c r="R244" s="607"/>
      <c r="S244" s="607"/>
      <c r="T244" s="608"/>
      <c r="U244" s="34"/>
      <c r="V244" s="34"/>
      <c r="W244" s="35" t="s">
        <v>69</v>
      </c>
      <c r="X244" s="599">
        <v>0</v>
      </c>
      <c r="Y244" s="600">
        <f>IFERROR(IF(X244="",0,CEILING((X244/$H244),1)*$H244),"")</f>
        <v>0</v>
      </c>
      <c r="Z244" s="36" t="str">
        <f>IFERROR(IF(Y244=0,"",ROUNDUP(Y244/H244,0)*0.01898),"")</f>
        <v/>
      </c>
      <c r="AA244" s="56"/>
      <c r="AB244" s="57"/>
      <c r="AC244" s="299" t="s">
        <v>410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411</v>
      </c>
      <c r="B245" s="54" t="s">
        <v>412</v>
      </c>
      <c r="C245" s="31">
        <v>4301011768</v>
      </c>
      <c r="D245" s="614">
        <v>4680115881396</v>
      </c>
      <c r="E245" s="615"/>
      <c r="F245" s="598">
        <v>0.45</v>
      </c>
      <c r="G245" s="32">
        <v>6</v>
      </c>
      <c r="H245" s="598">
        <v>2.7</v>
      </c>
      <c r="I245" s="598">
        <v>2.88</v>
      </c>
      <c r="J245" s="32">
        <v>182</v>
      </c>
      <c r="K245" s="32" t="s">
        <v>67</v>
      </c>
      <c r="L245" s="32"/>
      <c r="M245" s="33" t="s">
        <v>134</v>
      </c>
      <c r="N245" s="33"/>
      <c r="O245" s="32">
        <v>55</v>
      </c>
      <c r="P245" s="79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07"/>
      <c r="R245" s="607"/>
      <c r="S245" s="607"/>
      <c r="T245" s="608"/>
      <c r="U245" s="34"/>
      <c r="V245" s="34"/>
      <c r="W245" s="35" t="s">
        <v>69</v>
      </c>
      <c r="X245" s="599">
        <v>0</v>
      </c>
      <c r="Y245" s="600">
        <f>IFERROR(IF(X245="",0,CEILING((X245/$H245),1)*$H245),"")</f>
        <v>0</v>
      </c>
      <c r="Z245" s="36" t="str">
        <f>IFERROR(IF(Y245=0,"",ROUNDUP(Y245/H245,0)*0.00651),"")</f>
        <v/>
      </c>
      <c r="AA245" s="56"/>
      <c r="AB245" s="57"/>
      <c r="AC245" s="301" t="s">
        <v>410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11"/>
      <c r="B246" s="612"/>
      <c r="C246" s="612"/>
      <c r="D246" s="612"/>
      <c r="E246" s="612"/>
      <c r="F246" s="612"/>
      <c r="G246" s="612"/>
      <c r="H246" s="612"/>
      <c r="I246" s="612"/>
      <c r="J246" s="612"/>
      <c r="K246" s="612"/>
      <c r="L246" s="612"/>
      <c r="M246" s="612"/>
      <c r="N246" s="612"/>
      <c r="O246" s="613"/>
      <c r="P246" s="603" t="s">
        <v>78</v>
      </c>
      <c r="Q246" s="604"/>
      <c r="R246" s="604"/>
      <c r="S246" s="604"/>
      <c r="T246" s="604"/>
      <c r="U246" s="604"/>
      <c r="V246" s="605"/>
      <c r="W246" s="37" t="s">
        <v>79</v>
      </c>
      <c r="X246" s="601">
        <f>IFERROR(X244/H244,"0")+IFERROR(X245/H245,"0")</f>
        <v>0</v>
      </c>
      <c r="Y246" s="601">
        <f>IFERROR(Y244/H244,"0")+IFERROR(Y245/H245,"0")</f>
        <v>0</v>
      </c>
      <c r="Z246" s="601">
        <f>IFERROR(IF(Z244="",0,Z244),"0")+IFERROR(IF(Z245="",0,Z245),"0")</f>
        <v>0</v>
      </c>
      <c r="AA246" s="602"/>
      <c r="AB246" s="602"/>
      <c r="AC246" s="602"/>
    </row>
    <row r="247" spans="1:68" x14ac:dyDescent="0.2">
      <c r="A247" s="612"/>
      <c r="B247" s="612"/>
      <c r="C247" s="612"/>
      <c r="D247" s="612"/>
      <c r="E247" s="612"/>
      <c r="F247" s="612"/>
      <c r="G247" s="612"/>
      <c r="H247" s="612"/>
      <c r="I247" s="612"/>
      <c r="J247" s="612"/>
      <c r="K247" s="612"/>
      <c r="L247" s="612"/>
      <c r="M247" s="612"/>
      <c r="N247" s="612"/>
      <c r="O247" s="613"/>
      <c r="P247" s="603" t="s">
        <v>78</v>
      </c>
      <c r="Q247" s="604"/>
      <c r="R247" s="604"/>
      <c r="S247" s="604"/>
      <c r="T247" s="604"/>
      <c r="U247" s="604"/>
      <c r="V247" s="605"/>
      <c r="W247" s="37" t="s">
        <v>69</v>
      </c>
      <c r="X247" s="601">
        <f>IFERROR(SUM(X244:X245),"0")</f>
        <v>0</v>
      </c>
      <c r="Y247" s="601">
        <f>IFERROR(SUM(Y244:Y245),"0")</f>
        <v>0</v>
      </c>
      <c r="Z247" s="37"/>
      <c r="AA247" s="602"/>
      <c r="AB247" s="602"/>
      <c r="AC247" s="602"/>
    </row>
    <row r="248" spans="1:68" ht="14.25" customHeight="1" x14ac:dyDescent="0.25">
      <c r="A248" s="659" t="s">
        <v>165</v>
      </c>
      <c r="B248" s="612"/>
      <c r="C248" s="612"/>
      <c r="D248" s="612"/>
      <c r="E248" s="612"/>
      <c r="F248" s="612"/>
      <c r="G248" s="612"/>
      <c r="H248" s="612"/>
      <c r="I248" s="612"/>
      <c r="J248" s="612"/>
      <c r="K248" s="612"/>
      <c r="L248" s="612"/>
      <c r="M248" s="612"/>
      <c r="N248" s="612"/>
      <c r="O248" s="612"/>
      <c r="P248" s="612"/>
      <c r="Q248" s="612"/>
      <c r="R248" s="612"/>
      <c r="S248" s="612"/>
      <c r="T248" s="612"/>
      <c r="U248" s="612"/>
      <c r="V248" s="612"/>
      <c r="W248" s="612"/>
      <c r="X248" s="612"/>
      <c r="Y248" s="612"/>
      <c r="Z248" s="612"/>
      <c r="AA248" s="595"/>
      <c r="AB248" s="595"/>
      <c r="AC248" s="595"/>
    </row>
    <row r="249" spans="1:68" ht="16.5" customHeight="1" x14ac:dyDescent="0.25">
      <c r="A249" s="54" t="s">
        <v>413</v>
      </c>
      <c r="B249" s="54" t="s">
        <v>414</v>
      </c>
      <c r="C249" s="31">
        <v>4301020261</v>
      </c>
      <c r="D249" s="614">
        <v>4680115882935</v>
      </c>
      <c r="E249" s="615"/>
      <c r="F249" s="598">
        <v>1.35</v>
      </c>
      <c r="G249" s="32">
        <v>8</v>
      </c>
      <c r="H249" s="598">
        <v>10.8</v>
      </c>
      <c r="I249" s="598">
        <v>11.21</v>
      </c>
      <c r="J249" s="32">
        <v>64</v>
      </c>
      <c r="K249" s="32" t="s">
        <v>133</v>
      </c>
      <c r="L249" s="32"/>
      <c r="M249" s="33" t="s">
        <v>134</v>
      </c>
      <c r="N249" s="33"/>
      <c r="O249" s="32">
        <v>50</v>
      </c>
      <c r="P249" s="6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07"/>
      <c r="R249" s="607"/>
      <c r="S249" s="607"/>
      <c r="T249" s="608"/>
      <c r="U249" s="34"/>
      <c r="V249" s="34"/>
      <c r="W249" s="35" t="s">
        <v>69</v>
      </c>
      <c r="X249" s="599">
        <v>0</v>
      </c>
      <c r="Y249" s="600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3" t="s">
        <v>415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16.5" customHeight="1" x14ac:dyDescent="0.25">
      <c r="A250" s="54" t="s">
        <v>416</v>
      </c>
      <c r="B250" s="54" t="s">
        <v>417</v>
      </c>
      <c r="C250" s="31">
        <v>4301020220</v>
      </c>
      <c r="D250" s="614">
        <v>4680115880764</v>
      </c>
      <c r="E250" s="615"/>
      <c r="F250" s="598">
        <v>0.35</v>
      </c>
      <c r="G250" s="32">
        <v>6</v>
      </c>
      <c r="H250" s="598">
        <v>2.1</v>
      </c>
      <c r="I250" s="598">
        <v>2.2799999999999998</v>
      </c>
      <c r="J250" s="32">
        <v>182</v>
      </c>
      <c r="K250" s="32" t="s">
        <v>67</v>
      </c>
      <c r="L250" s="32"/>
      <c r="M250" s="33" t="s">
        <v>134</v>
      </c>
      <c r="N250" s="33"/>
      <c r="O250" s="32">
        <v>50</v>
      </c>
      <c r="P250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07"/>
      <c r="R250" s="607"/>
      <c r="S250" s="607"/>
      <c r="T250" s="608"/>
      <c r="U250" s="34"/>
      <c r="V250" s="34"/>
      <c r="W250" s="35" t="s">
        <v>69</v>
      </c>
      <c r="X250" s="599">
        <v>0</v>
      </c>
      <c r="Y250" s="600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1"/>
      <c r="B251" s="612"/>
      <c r="C251" s="612"/>
      <c r="D251" s="612"/>
      <c r="E251" s="612"/>
      <c r="F251" s="612"/>
      <c r="G251" s="612"/>
      <c r="H251" s="612"/>
      <c r="I251" s="612"/>
      <c r="J251" s="612"/>
      <c r="K251" s="612"/>
      <c r="L251" s="612"/>
      <c r="M251" s="612"/>
      <c r="N251" s="612"/>
      <c r="O251" s="613"/>
      <c r="P251" s="603" t="s">
        <v>78</v>
      </c>
      <c r="Q251" s="604"/>
      <c r="R251" s="604"/>
      <c r="S251" s="604"/>
      <c r="T251" s="604"/>
      <c r="U251" s="604"/>
      <c r="V251" s="605"/>
      <c r="W251" s="37" t="s">
        <v>79</v>
      </c>
      <c r="X251" s="601">
        <f>IFERROR(X249/H249,"0")+IFERROR(X250/H250,"0")</f>
        <v>0</v>
      </c>
      <c r="Y251" s="601">
        <f>IFERROR(Y249/H249,"0")+IFERROR(Y250/H250,"0")</f>
        <v>0</v>
      </c>
      <c r="Z251" s="601">
        <f>IFERROR(IF(Z249="",0,Z249),"0")+IFERROR(IF(Z250="",0,Z250),"0")</f>
        <v>0</v>
      </c>
      <c r="AA251" s="602"/>
      <c r="AB251" s="602"/>
      <c r="AC251" s="602"/>
    </row>
    <row r="252" spans="1:68" x14ac:dyDescent="0.2">
      <c r="A252" s="612"/>
      <c r="B252" s="612"/>
      <c r="C252" s="612"/>
      <c r="D252" s="612"/>
      <c r="E252" s="612"/>
      <c r="F252" s="612"/>
      <c r="G252" s="612"/>
      <c r="H252" s="612"/>
      <c r="I252" s="612"/>
      <c r="J252" s="612"/>
      <c r="K252" s="612"/>
      <c r="L252" s="612"/>
      <c r="M252" s="612"/>
      <c r="N252" s="612"/>
      <c r="O252" s="613"/>
      <c r="P252" s="603" t="s">
        <v>78</v>
      </c>
      <c r="Q252" s="604"/>
      <c r="R252" s="604"/>
      <c r="S252" s="604"/>
      <c r="T252" s="604"/>
      <c r="U252" s="604"/>
      <c r="V252" s="605"/>
      <c r="W252" s="37" t="s">
        <v>69</v>
      </c>
      <c r="X252" s="601">
        <f>IFERROR(SUM(X249:X250),"0")</f>
        <v>0</v>
      </c>
      <c r="Y252" s="601">
        <f>IFERROR(SUM(Y249:Y250),"0")</f>
        <v>0</v>
      </c>
      <c r="Z252" s="37"/>
      <c r="AA252" s="602"/>
      <c r="AB252" s="602"/>
      <c r="AC252" s="602"/>
    </row>
    <row r="253" spans="1:68" ht="14.25" customHeight="1" x14ac:dyDescent="0.25">
      <c r="A253" s="659" t="s">
        <v>64</v>
      </c>
      <c r="B253" s="612"/>
      <c r="C253" s="612"/>
      <c r="D253" s="612"/>
      <c r="E253" s="612"/>
      <c r="F253" s="612"/>
      <c r="G253" s="612"/>
      <c r="H253" s="612"/>
      <c r="I253" s="612"/>
      <c r="J253" s="612"/>
      <c r="K253" s="612"/>
      <c r="L253" s="612"/>
      <c r="M253" s="612"/>
      <c r="N253" s="612"/>
      <c r="O253" s="612"/>
      <c r="P253" s="612"/>
      <c r="Q253" s="612"/>
      <c r="R253" s="612"/>
      <c r="S253" s="612"/>
      <c r="T253" s="612"/>
      <c r="U253" s="612"/>
      <c r="V253" s="612"/>
      <c r="W253" s="612"/>
      <c r="X253" s="612"/>
      <c r="Y253" s="612"/>
      <c r="Z253" s="612"/>
      <c r="AA253" s="595"/>
      <c r="AB253" s="595"/>
      <c r="AC253" s="595"/>
    </row>
    <row r="254" spans="1:68" ht="27" customHeight="1" x14ac:dyDescent="0.25">
      <c r="A254" s="54" t="s">
        <v>418</v>
      </c>
      <c r="B254" s="54" t="s">
        <v>419</v>
      </c>
      <c r="C254" s="31">
        <v>4301031224</v>
      </c>
      <c r="D254" s="614">
        <v>4680115882683</v>
      </c>
      <c r="E254" s="615"/>
      <c r="F254" s="598">
        <v>0.9</v>
      </c>
      <c r="G254" s="32">
        <v>6</v>
      </c>
      <c r="H254" s="598">
        <v>5.4</v>
      </c>
      <c r="I254" s="598">
        <v>5.59</v>
      </c>
      <c r="J254" s="32">
        <v>132</v>
      </c>
      <c r="K254" s="32" t="s">
        <v>142</v>
      </c>
      <c r="L254" s="32"/>
      <c r="M254" s="33" t="s">
        <v>68</v>
      </c>
      <c r="N254" s="33"/>
      <c r="O254" s="32">
        <v>40</v>
      </c>
      <c r="P254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07"/>
      <c r="R254" s="607"/>
      <c r="S254" s="607"/>
      <c r="T254" s="608"/>
      <c r="U254" s="34"/>
      <c r="V254" s="34"/>
      <c r="W254" s="35" t="s">
        <v>69</v>
      </c>
      <c r="X254" s="599">
        <v>0</v>
      </c>
      <c r="Y254" s="600">
        <f t="shared" ref="Y254:Y261" si="27">IFERROR(IF(X254="",0,CEILING((X254/$H254),1)*$H254),"")</f>
        <v>0</v>
      </c>
      <c r="Z254" s="36" t="str">
        <f>IFERROR(IF(Y254=0,"",ROUNDUP(Y254/H254,0)*0.00902),"")</f>
        <v/>
      </c>
      <c r="AA254" s="56"/>
      <c r="AB254" s="57"/>
      <c r="AC254" s="307" t="s">
        <v>420</v>
      </c>
      <c r="AG254" s="64"/>
      <c r="AJ254" s="68"/>
      <c r="AK254" s="68">
        <v>0</v>
      </c>
      <c r="BB254" s="308" t="s">
        <v>1</v>
      </c>
      <c r="BM254" s="64">
        <f t="shared" ref="BM254:BM261" si="28">IFERROR(X254*I254/H254,"0")</f>
        <v>0</v>
      </c>
      <c r="BN254" s="64">
        <f t="shared" ref="BN254:BN261" si="29">IFERROR(Y254*I254/H254,"0")</f>
        <v>0</v>
      </c>
      <c r="BO254" s="64">
        <f t="shared" ref="BO254:BO261" si="30">IFERROR(1/J254*(X254/H254),"0")</f>
        <v>0</v>
      </c>
      <c r="BP254" s="64">
        <f t="shared" ref="BP254:BP261" si="31">IFERROR(1/J254*(Y254/H254),"0")</f>
        <v>0</v>
      </c>
    </row>
    <row r="255" spans="1:68" ht="27" customHeight="1" x14ac:dyDescent="0.25">
      <c r="A255" s="54" t="s">
        <v>421</v>
      </c>
      <c r="B255" s="54" t="s">
        <v>422</v>
      </c>
      <c r="C255" s="31">
        <v>4301031230</v>
      </c>
      <c r="D255" s="614">
        <v>4680115882690</v>
      </c>
      <c r="E255" s="615"/>
      <c r="F255" s="598">
        <v>0.9</v>
      </c>
      <c r="G255" s="32">
        <v>6</v>
      </c>
      <c r="H255" s="598">
        <v>5.4</v>
      </c>
      <c r="I255" s="598">
        <v>5.59</v>
      </c>
      <c r="J255" s="32">
        <v>132</v>
      </c>
      <c r="K255" s="32" t="s">
        <v>142</v>
      </c>
      <c r="L255" s="32"/>
      <c r="M255" s="33" t="s">
        <v>68</v>
      </c>
      <c r="N255" s="33"/>
      <c r="O255" s="32">
        <v>40</v>
      </c>
      <c r="P255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07"/>
      <c r="R255" s="607"/>
      <c r="S255" s="607"/>
      <c r="T255" s="608"/>
      <c r="U255" s="34"/>
      <c r="V255" s="34"/>
      <c r="W255" s="35" t="s">
        <v>69</v>
      </c>
      <c r="X255" s="599">
        <v>87</v>
      </c>
      <c r="Y255" s="600">
        <f t="shared" si="27"/>
        <v>91.800000000000011</v>
      </c>
      <c r="Z255" s="36">
        <f>IFERROR(IF(Y255=0,"",ROUNDUP(Y255/H255,0)*0.00902),"")</f>
        <v>0.15334</v>
      </c>
      <c r="AA255" s="56"/>
      <c r="AB255" s="57"/>
      <c r="AC255" s="309" t="s">
        <v>423</v>
      </c>
      <c r="AG255" s="64"/>
      <c r="AJ255" s="68"/>
      <c r="AK255" s="68">
        <v>0</v>
      </c>
      <c r="BB255" s="310" t="s">
        <v>1</v>
      </c>
      <c r="BM255" s="64">
        <f t="shared" si="28"/>
        <v>90.061111111111103</v>
      </c>
      <c r="BN255" s="64">
        <f t="shared" si="29"/>
        <v>95.03</v>
      </c>
      <c r="BO255" s="64">
        <f t="shared" si="30"/>
        <v>0.12205387205387205</v>
      </c>
      <c r="BP255" s="64">
        <f t="shared" si="31"/>
        <v>0.12878787878787878</v>
      </c>
    </row>
    <row r="256" spans="1:68" ht="27" customHeight="1" x14ac:dyDescent="0.25">
      <c r="A256" s="54" t="s">
        <v>424</v>
      </c>
      <c r="B256" s="54" t="s">
        <v>425</v>
      </c>
      <c r="C256" s="31">
        <v>4301031220</v>
      </c>
      <c r="D256" s="614">
        <v>4680115882669</v>
      </c>
      <c r="E256" s="615"/>
      <c r="F256" s="598">
        <v>0.9</v>
      </c>
      <c r="G256" s="32">
        <v>6</v>
      </c>
      <c r="H256" s="598">
        <v>5.4</v>
      </c>
      <c r="I256" s="598">
        <v>5.59</v>
      </c>
      <c r="J256" s="32">
        <v>132</v>
      </c>
      <c r="K256" s="32" t="s">
        <v>142</v>
      </c>
      <c r="L256" s="32"/>
      <c r="M256" s="33" t="s">
        <v>68</v>
      </c>
      <c r="N256" s="33"/>
      <c r="O256" s="32">
        <v>40</v>
      </c>
      <c r="P256" s="83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07"/>
      <c r="R256" s="607"/>
      <c r="S256" s="607"/>
      <c r="T256" s="608"/>
      <c r="U256" s="34"/>
      <c r="V256" s="34"/>
      <c r="W256" s="35" t="s">
        <v>69</v>
      </c>
      <c r="X256" s="599">
        <v>1363</v>
      </c>
      <c r="Y256" s="600">
        <f t="shared" si="27"/>
        <v>1366.2</v>
      </c>
      <c r="Z256" s="36">
        <f>IFERROR(IF(Y256=0,"",ROUNDUP(Y256/H256,0)*0.00902),"")</f>
        <v>2.28206</v>
      </c>
      <c r="AA256" s="56"/>
      <c r="AB256" s="57"/>
      <c r="AC256" s="311" t="s">
        <v>426</v>
      </c>
      <c r="AG256" s="64"/>
      <c r="AJ256" s="68"/>
      <c r="AK256" s="68">
        <v>0</v>
      </c>
      <c r="BB256" s="312" t="s">
        <v>1</v>
      </c>
      <c r="BM256" s="64">
        <f t="shared" si="28"/>
        <v>1410.9574074074073</v>
      </c>
      <c r="BN256" s="64">
        <f t="shared" si="29"/>
        <v>1414.27</v>
      </c>
      <c r="BO256" s="64">
        <f t="shared" si="30"/>
        <v>1.9121773288439954</v>
      </c>
      <c r="BP256" s="64">
        <f t="shared" si="31"/>
        <v>1.9166666666666667</v>
      </c>
    </row>
    <row r="257" spans="1:68" ht="27" customHeight="1" x14ac:dyDescent="0.25">
      <c r="A257" s="54" t="s">
        <v>427</v>
      </c>
      <c r="B257" s="54" t="s">
        <v>428</v>
      </c>
      <c r="C257" s="31">
        <v>4301031221</v>
      </c>
      <c r="D257" s="614">
        <v>4680115882676</v>
      </c>
      <c r="E257" s="615"/>
      <c r="F257" s="598">
        <v>0.9</v>
      </c>
      <c r="G257" s="32">
        <v>6</v>
      </c>
      <c r="H257" s="598">
        <v>5.4</v>
      </c>
      <c r="I257" s="598">
        <v>5.59</v>
      </c>
      <c r="J257" s="32">
        <v>132</v>
      </c>
      <c r="K257" s="32" t="s">
        <v>142</v>
      </c>
      <c r="L257" s="32"/>
      <c r="M257" s="33" t="s">
        <v>68</v>
      </c>
      <c r="N257" s="33"/>
      <c r="O257" s="32">
        <v>40</v>
      </c>
      <c r="P257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07"/>
      <c r="R257" s="607"/>
      <c r="S257" s="607"/>
      <c r="T257" s="608"/>
      <c r="U257" s="34"/>
      <c r="V257" s="34"/>
      <c r="W257" s="35" t="s">
        <v>69</v>
      </c>
      <c r="X257" s="599">
        <v>0</v>
      </c>
      <c r="Y257" s="600">
        <f t="shared" si="27"/>
        <v>0</v>
      </c>
      <c r="Z257" s="36" t="str">
        <f>IFERROR(IF(Y257=0,"",ROUNDUP(Y257/H257,0)*0.00902),"")</f>
        <v/>
      </c>
      <c r="AA257" s="56"/>
      <c r="AB257" s="57"/>
      <c r="AC257" s="313" t="s">
        <v>429</v>
      </c>
      <c r="AG257" s="64"/>
      <c r="AJ257" s="68"/>
      <c r="AK257" s="68">
        <v>0</v>
      </c>
      <c r="BB257" s="314" t="s">
        <v>1</v>
      </c>
      <c r="BM257" s="64">
        <f t="shared" si="28"/>
        <v>0</v>
      </c>
      <c r="BN257" s="64">
        <f t="shared" si="29"/>
        <v>0</v>
      </c>
      <c r="BO257" s="64">
        <f t="shared" si="30"/>
        <v>0</v>
      </c>
      <c r="BP257" s="64">
        <f t="shared" si="31"/>
        <v>0</v>
      </c>
    </row>
    <row r="258" spans="1:68" ht="27" customHeight="1" x14ac:dyDescent="0.25">
      <c r="A258" s="54" t="s">
        <v>430</v>
      </c>
      <c r="B258" s="54" t="s">
        <v>431</v>
      </c>
      <c r="C258" s="31">
        <v>4301031223</v>
      </c>
      <c r="D258" s="614">
        <v>4680115884014</v>
      </c>
      <c r="E258" s="615"/>
      <c r="F258" s="598">
        <v>0.3</v>
      </c>
      <c r="G258" s="32">
        <v>6</v>
      </c>
      <c r="H258" s="598">
        <v>1.8</v>
      </c>
      <c r="I258" s="598">
        <v>1.93</v>
      </c>
      <c r="J258" s="32">
        <v>234</v>
      </c>
      <c r="K258" s="32" t="s">
        <v>73</v>
      </c>
      <c r="L258" s="32"/>
      <c r="M258" s="33" t="s">
        <v>68</v>
      </c>
      <c r="N258" s="33"/>
      <c r="O258" s="32">
        <v>40</v>
      </c>
      <c r="P25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07"/>
      <c r="R258" s="607"/>
      <c r="S258" s="607"/>
      <c r="T258" s="608"/>
      <c r="U258" s="34"/>
      <c r="V258" s="34"/>
      <c r="W258" s="35" t="s">
        <v>69</v>
      </c>
      <c r="X258" s="599">
        <v>51</v>
      </c>
      <c r="Y258" s="600">
        <f t="shared" si="27"/>
        <v>52.2</v>
      </c>
      <c r="Z258" s="36">
        <f>IFERROR(IF(Y258=0,"",ROUNDUP(Y258/H258,0)*0.00502),"")</f>
        <v>0.14558000000000001</v>
      </c>
      <c r="AA258" s="56"/>
      <c r="AB258" s="57"/>
      <c r="AC258" s="315" t="s">
        <v>420</v>
      </c>
      <c r="AG258" s="64"/>
      <c r="AJ258" s="68"/>
      <c r="AK258" s="68">
        <v>0</v>
      </c>
      <c r="BB258" s="316" t="s">
        <v>1</v>
      </c>
      <c r="BM258" s="64">
        <f t="shared" si="28"/>
        <v>54.68333333333333</v>
      </c>
      <c r="BN258" s="64">
        <f t="shared" si="29"/>
        <v>55.970000000000006</v>
      </c>
      <c r="BO258" s="64">
        <f t="shared" si="30"/>
        <v>0.12108262108262109</v>
      </c>
      <c r="BP258" s="64">
        <f t="shared" si="31"/>
        <v>0.12393162393162395</v>
      </c>
    </row>
    <row r="259" spans="1:68" ht="27" customHeight="1" x14ac:dyDescent="0.25">
      <c r="A259" s="54" t="s">
        <v>432</v>
      </c>
      <c r="B259" s="54" t="s">
        <v>433</v>
      </c>
      <c r="C259" s="31">
        <v>4301031222</v>
      </c>
      <c r="D259" s="614">
        <v>4680115884007</v>
      </c>
      <c r="E259" s="615"/>
      <c r="F259" s="598">
        <v>0.3</v>
      </c>
      <c r="G259" s="32">
        <v>6</v>
      </c>
      <c r="H259" s="598">
        <v>1.8</v>
      </c>
      <c r="I259" s="598">
        <v>1.9</v>
      </c>
      <c r="J259" s="32">
        <v>234</v>
      </c>
      <c r="K259" s="32" t="s">
        <v>73</v>
      </c>
      <c r="L259" s="32"/>
      <c r="M259" s="33" t="s">
        <v>68</v>
      </c>
      <c r="N259" s="33"/>
      <c r="O259" s="32">
        <v>40</v>
      </c>
      <c r="P259" s="6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07"/>
      <c r="R259" s="607"/>
      <c r="S259" s="607"/>
      <c r="T259" s="608"/>
      <c r="U259" s="34"/>
      <c r="V259" s="34"/>
      <c r="W259" s="35" t="s">
        <v>69</v>
      </c>
      <c r="X259" s="599">
        <v>0</v>
      </c>
      <c r="Y259" s="600">
        <f t="shared" si="27"/>
        <v>0</v>
      </c>
      <c r="Z259" s="36" t="str">
        <f>IFERROR(IF(Y259=0,"",ROUNDUP(Y259/H259,0)*0.00502),"")</f>
        <v/>
      </c>
      <c r="AA259" s="56"/>
      <c r="AB259" s="57"/>
      <c r="AC259" s="317" t="s">
        <v>423</v>
      </c>
      <c r="AG259" s="64"/>
      <c r="AJ259" s="68"/>
      <c r="AK259" s="68">
        <v>0</v>
      </c>
      <c r="BB259" s="318" t="s">
        <v>1</v>
      </c>
      <c r="BM259" s="64">
        <f t="shared" si="28"/>
        <v>0</v>
      </c>
      <c r="BN259" s="64">
        <f t="shared" si="29"/>
        <v>0</v>
      </c>
      <c r="BO259" s="64">
        <f t="shared" si="30"/>
        <v>0</v>
      </c>
      <c r="BP259" s="64">
        <f t="shared" si="31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4301031229</v>
      </c>
      <c r="D260" s="614">
        <v>4680115884038</v>
      </c>
      <c r="E260" s="615"/>
      <c r="F260" s="598">
        <v>0.3</v>
      </c>
      <c r="G260" s="32">
        <v>6</v>
      </c>
      <c r="H260" s="598">
        <v>1.8</v>
      </c>
      <c r="I260" s="598">
        <v>1.9</v>
      </c>
      <c r="J260" s="32">
        <v>234</v>
      </c>
      <c r="K260" s="32" t="s">
        <v>73</v>
      </c>
      <c r="L260" s="32"/>
      <c r="M260" s="33" t="s">
        <v>68</v>
      </c>
      <c r="N260" s="33"/>
      <c r="O260" s="32">
        <v>40</v>
      </c>
      <c r="P260" s="7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07"/>
      <c r="R260" s="607"/>
      <c r="S260" s="607"/>
      <c r="T260" s="608"/>
      <c r="U260" s="34"/>
      <c r="V260" s="34"/>
      <c r="W260" s="35" t="s">
        <v>69</v>
      </c>
      <c r="X260" s="599">
        <v>0</v>
      </c>
      <c r="Y260" s="600">
        <f t="shared" si="27"/>
        <v>0</v>
      </c>
      <c r="Z260" s="36" t="str">
        <f>IFERROR(IF(Y260=0,"",ROUNDUP(Y260/H260,0)*0.00502),"")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436</v>
      </c>
      <c r="B261" s="54" t="s">
        <v>437</v>
      </c>
      <c r="C261" s="31">
        <v>4301031225</v>
      </c>
      <c r="D261" s="614">
        <v>4680115884021</v>
      </c>
      <c r="E261" s="615"/>
      <c r="F261" s="598">
        <v>0.3</v>
      </c>
      <c r="G261" s="32">
        <v>6</v>
      </c>
      <c r="H261" s="598">
        <v>1.8</v>
      </c>
      <c r="I261" s="598">
        <v>1.9</v>
      </c>
      <c r="J261" s="32">
        <v>234</v>
      </c>
      <c r="K261" s="32" t="s">
        <v>73</v>
      </c>
      <c r="L261" s="32"/>
      <c r="M261" s="33" t="s">
        <v>68</v>
      </c>
      <c r="N261" s="33"/>
      <c r="O261" s="32">
        <v>40</v>
      </c>
      <c r="P261" s="8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07"/>
      <c r="R261" s="607"/>
      <c r="S261" s="607"/>
      <c r="T261" s="608"/>
      <c r="U261" s="34"/>
      <c r="V261" s="34"/>
      <c r="W261" s="35" t="s">
        <v>69</v>
      </c>
      <c r="X261" s="599">
        <v>33</v>
      </c>
      <c r="Y261" s="600">
        <f t="shared" si="27"/>
        <v>34.200000000000003</v>
      </c>
      <c r="Z261" s="36">
        <f>IFERROR(IF(Y261=0,"",ROUNDUP(Y261/H261,0)*0.00502),"")</f>
        <v>9.5380000000000006E-2</v>
      </c>
      <c r="AA261" s="56"/>
      <c r="AB261" s="57"/>
      <c r="AC261" s="321" t="s">
        <v>429</v>
      </c>
      <c r="AG261" s="64"/>
      <c r="AJ261" s="68"/>
      <c r="AK261" s="68">
        <v>0</v>
      </c>
      <c r="BB261" s="322" t="s">
        <v>1</v>
      </c>
      <c r="BM261" s="64">
        <f t="shared" si="28"/>
        <v>34.833333333333329</v>
      </c>
      <c r="BN261" s="64">
        <f t="shared" si="29"/>
        <v>36.1</v>
      </c>
      <c r="BO261" s="64">
        <f t="shared" si="30"/>
        <v>7.8347578347578356E-2</v>
      </c>
      <c r="BP261" s="64">
        <f t="shared" si="31"/>
        <v>8.11965811965812E-2</v>
      </c>
    </row>
    <row r="262" spans="1:68" x14ac:dyDescent="0.2">
      <c r="A262" s="611"/>
      <c r="B262" s="612"/>
      <c r="C262" s="612"/>
      <c r="D262" s="612"/>
      <c r="E262" s="612"/>
      <c r="F262" s="612"/>
      <c r="G262" s="612"/>
      <c r="H262" s="612"/>
      <c r="I262" s="612"/>
      <c r="J262" s="612"/>
      <c r="K262" s="612"/>
      <c r="L262" s="612"/>
      <c r="M262" s="612"/>
      <c r="N262" s="612"/>
      <c r="O262" s="613"/>
      <c r="P262" s="603" t="s">
        <v>78</v>
      </c>
      <c r="Q262" s="604"/>
      <c r="R262" s="604"/>
      <c r="S262" s="604"/>
      <c r="T262" s="604"/>
      <c r="U262" s="604"/>
      <c r="V262" s="605"/>
      <c r="W262" s="37" t="s">
        <v>79</v>
      </c>
      <c r="X262" s="601">
        <f>IFERROR(X254/H254,"0")+IFERROR(X255/H255,"0")+IFERROR(X256/H256,"0")+IFERROR(X257/H257,"0")+IFERROR(X258/H258,"0")+IFERROR(X259/H259,"0")+IFERROR(X260/H260,"0")+IFERROR(X261/H261,"0")</f>
        <v>315.18518518518511</v>
      </c>
      <c r="Y262" s="601">
        <f>IFERROR(Y254/H254,"0")+IFERROR(Y255/H255,"0")+IFERROR(Y256/H256,"0")+IFERROR(Y257/H257,"0")+IFERROR(Y258/H258,"0")+IFERROR(Y259/H259,"0")+IFERROR(Y260/H260,"0")+IFERROR(Y261/H261,"0")</f>
        <v>318</v>
      </c>
      <c r="Z262" s="601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2.6763599999999999</v>
      </c>
      <c r="AA262" s="602"/>
      <c r="AB262" s="602"/>
      <c r="AC262" s="602"/>
    </row>
    <row r="263" spans="1:68" x14ac:dyDescent="0.2">
      <c r="A263" s="612"/>
      <c r="B263" s="612"/>
      <c r="C263" s="612"/>
      <c r="D263" s="612"/>
      <c r="E263" s="612"/>
      <c r="F263" s="612"/>
      <c r="G263" s="612"/>
      <c r="H263" s="612"/>
      <c r="I263" s="612"/>
      <c r="J263" s="612"/>
      <c r="K263" s="612"/>
      <c r="L263" s="612"/>
      <c r="M263" s="612"/>
      <c r="N263" s="612"/>
      <c r="O263" s="613"/>
      <c r="P263" s="603" t="s">
        <v>78</v>
      </c>
      <c r="Q263" s="604"/>
      <c r="R263" s="604"/>
      <c r="S263" s="604"/>
      <c r="T263" s="604"/>
      <c r="U263" s="604"/>
      <c r="V263" s="605"/>
      <c r="W263" s="37" t="s">
        <v>69</v>
      </c>
      <c r="X263" s="601">
        <f>IFERROR(SUM(X254:X261),"0")</f>
        <v>1534</v>
      </c>
      <c r="Y263" s="601">
        <f>IFERROR(SUM(Y254:Y261),"0")</f>
        <v>1544.4</v>
      </c>
      <c r="Z263" s="37"/>
      <c r="AA263" s="602"/>
      <c r="AB263" s="602"/>
      <c r="AC263" s="602"/>
    </row>
    <row r="264" spans="1:68" ht="14.25" customHeight="1" x14ac:dyDescent="0.25">
      <c r="A264" s="659" t="s">
        <v>80</v>
      </c>
      <c r="B264" s="612"/>
      <c r="C264" s="612"/>
      <c r="D264" s="612"/>
      <c r="E264" s="612"/>
      <c r="F264" s="612"/>
      <c r="G264" s="612"/>
      <c r="H264" s="612"/>
      <c r="I264" s="612"/>
      <c r="J264" s="612"/>
      <c r="K264" s="612"/>
      <c r="L264" s="612"/>
      <c r="M264" s="612"/>
      <c r="N264" s="612"/>
      <c r="O264" s="612"/>
      <c r="P264" s="612"/>
      <c r="Q264" s="612"/>
      <c r="R264" s="612"/>
      <c r="S264" s="612"/>
      <c r="T264" s="612"/>
      <c r="U264" s="612"/>
      <c r="V264" s="612"/>
      <c r="W264" s="612"/>
      <c r="X264" s="612"/>
      <c r="Y264" s="612"/>
      <c r="Z264" s="612"/>
      <c r="AA264" s="595"/>
      <c r="AB264" s="595"/>
      <c r="AC264" s="595"/>
    </row>
    <row r="265" spans="1:68" ht="27" customHeight="1" x14ac:dyDescent="0.25">
      <c r="A265" s="54" t="s">
        <v>438</v>
      </c>
      <c r="B265" s="54" t="s">
        <v>439</v>
      </c>
      <c r="C265" s="31">
        <v>4301052214</v>
      </c>
      <c r="D265" s="614">
        <v>4680115889064</v>
      </c>
      <c r="E265" s="615"/>
      <c r="F265" s="598">
        <v>0.7</v>
      </c>
      <c r="G265" s="32">
        <v>6</v>
      </c>
      <c r="H265" s="598">
        <v>4.2</v>
      </c>
      <c r="I265" s="598">
        <v>4.6159999999999997</v>
      </c>
      <c r="J265" s="32">
        <v>104</v>
      </c>
      <c r="K265" s="32" t="s">
        <v>133</v>
      </c>
      <c r="L265" s="32"/>
      <c r="M265" s="33" t="s">
        <v>83</v>
      </c>
      <c r="N265" s="33"/>
      <c r="O265" s="32">
        <v>45</v>
      </c>
      <c r="P265" s="6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07"/>
      <c r="R265" s="607"/>
      <c r="S265" s="607"/>
      <c r="T265" s="608"/>
      <c r="U265" s="34"/>
      <c r="V265" s="34"/>
      <c r="W265" s="35" t="s">
        <v>69</v>
      </c>
      <c r="X265" s="599">
        <v>0</v>
      </c>
      <c r="Y265" s="600">
        <f t="shared" ref="Y265:Y276" si="32">IFERROR(IF(X265="",0,CEILING((X265/$H265),1)*$H265),"")</f>
        <v>0</v>
      </c>
      <c r="Z265" s="36" t="str">
        <f>IFERROR(IF(Y265=0,"",ROUNDUP(Y265/H265,0)*0.01196),"")</f>
        <v/>
      </c>
      <c r="AA265" s="56"/>
      <c r="AB265" s="57" t="s">
        <v>315</v>
      </c>
      <c r="AC265" s="323" t="s">
        <v>440</v>
      </c>
      <c r="AG265" s="64"/>
      <c r="AJ265" s="68"/>
      <c r="AK265" s="68">
        <v>0</v>
      </c>
      <c r="BB265" s="324" t="s">
        <v>1</v>
      </c>
      <c r="BM265" s="64">
        <f t="shared" ref="BM265:BM276" si="33">IFERROR(X265*I265/H265,"0")</f>
        <v>0</v>
      </c>
      <c r="BN265" s="64">
        <f t="shared" ref="BN265:BN276" si="34">IFERROR(Y265*I265/H265,"0")</f>
        <v>0</v>
      </c>
      <c r="BO265" s="64">
        <f t="shared" ref="BO265:BO276" si="35">IFERROR(1/J265*(X265/H265),"0")</f>
        <v>0</v>
      </c>
      <c r="BP265" s="64">
        <f t="shared" ref="BP265:BP276" si="36">IFERROR(1/J265*(Y265/H265),"0")</f>
        <v>0</v>
      </c>
    </row>
    <row r="266" spans="1:68" ht="37.5" customHeight="1" x14ac:dyDescent="0.25">
      <c r="A266" s="54" t="s">
        <v>441</v>
      </c>
      <c r="B266" s="54" t="s">
        <v>442</v>
      </c>
      <c r="C266" s="31">
        <v>4301051408</v>
      </c>
      <c r="D266" s="614">
        <v>4680115881594</v>
      </c>
      <c r="E266" s="615"/>
      <c r="F266" s="598">
        <v>1.35</v>
      </c>
      <c r="G266" s="32">
        <v>6</v>
      </c>
      <c r="H266" s="598">
        <v>8.1</v>
      </c>
      <c r="I266" s="598">
        <v>8.5939999999999994</v>
      </c>
      <c r="J266" s="32">
        <v>64</v>
      </c>
      <c r="K266" s="32" t="s">
        <v>133</v>
      </c>
      <c r="L266" s="32"/>
      <c r="M266" s="33" t="s">
        <v>83</v>
      </c>
      <c r="N266" s="33"/>
      <c r="O266" s="32">
        <v>40</v>
      </c>
      <c r="P266" s="6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7"/>
      <c r="R266" s="607"/>
      <c r="S266" s="607"/>
      <c r="T266" s="608"/>
      <c r="U266" s="34"/>
      <c r="V266" s="34"/>
      <c r="W266" s="35" t="s">
        <v>69</v>
      </c>
      <c r="X266" s="599">
        <v>0</v>
      </c>
      <c r="Y266" s="600">
        <f t="shared" si="32"/>
        <v>0</v>
      </c>
      <c r="Z266" s="36" t="str">
        <f>IFERROR(IF(Y266=0,"",ROUNDUP(Y266/H266,0)*0.01898),"")</f>
        <v/>
      </c>
      <c r="AA266" s="56"/>
      <c r="AB266" s="57"/>
      <c r="AC266" s="325" t="s">
        <v>443</v>
      </c>
      <c r="AG266" s="64"/>
      <c r="AJ266" s="68"/>
      <c r="AK266" s="68">
        <v>0</v>
      </c>
      <c r="BB266" s="326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ht="37.5" customHeight="1" x14ac:dyDescent="0.25">
      <c r="A267" s="54" t="s">
        <v>444</v>
      </c>
      <c r="B267" s="54" t="s">
        <v>445</v>
      </c>
      <c r="C267" s="31">
        <v>4301051411</v>
      </c>
      <c r="D267" s="614">
        <v>4680115881617</v>
      </c>
      <c r="E267" s="615"/>
      <c r="F267" s="598">
        <v>1.35</v>
      </c>
      <c r="G267" s="32">
        <v>6</v>
      </c>
      <c r="H267" s="598">
        <v>8.1</v>
      </c>
      <c r="I267" s="598">
        <v>8.5760000000000005</v>
      </c>
      <c r="J267" s="32">
        <v>64</v>
      </c>
      <c r="K267" s="32" t="s">
        <v>133</v>
      </c>
      <c r="L267" s="32"/>
      <c r="M267" s="33" t="s">
        <v>83</v>
      </c>
      <c r="N267" s="33"/>
      <c r="O267" s="32">
        <v>40</v>
      </c>
      <c r="P267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7"/>
      <c r="R267" s="607"/>
      <c r="S267" s="607"/>
      <c r="T267" s="608"/>
      <c r="U267" s="34"/>
      <c r="V267" s="34"/>
      <c r="W267" s="35" t="s">
        <v>69</v>
      </c>
      <c r="X267" s="599">
        <v>0</v>
      </c>
      <c r="Y267" s="600">
        <f t="shared" si="32"/>
        <v>0</v>
      </c>
      <c r="Z267" s="36" t="str">
        <f>IFERROR(IF(Y267=0,"",ROUNDUP(Y267/H267,0)*0.01898),"")</f>
        <v/>
      </c>
      <c r="AA267" s="56"/>
      <c r="AB267" s="57"/>
      <c r="AC267" s="327" t="s">
        <v>446</v>
      </c>
      <c r="AG267" s="64"/>
      <c r="AJ267" s="68"/>
      <c r="AK267" s="68">
        <v>0</v>
      </c>
      <c r="BB267" s="328" t="s">
        <v>1</v>
      </c>
      <c r="BM267" s="64">
        <f t="shared" si="33"/>
        <v>0</v>
      </c>
      <c r="BN267" s="64">
        <f t="shared" si="34"/>
        <v>0</v>
      </c>
      <c r="BO267" s="64">
        <f t="shared" si="35"/>
        <v>0</v>
      </c>
      <c r="BP267" s="64">
        <f t="shared" si="36"/>
        <v>0</v>
      </c>
    </row>
    <row r="268" spans="1:68" ht="27" customHeight="1" x14ac:dyDescent="0.25">
      <c r="A268" s="54" t="s">
        <v>447</v>
      </c>
      <c r="B268" s="54" t="s">
        <v>448</v>
      </c>
      <c r="C268" s="31">
        <v>4301051656</v>
      </c>
      <c r="D268" s="614">
        <v>4680115880573</v>
      </c>
      <c r="E268" s="615"/>
      <c r="F268" s="598">
        <v>1.45</v>
      </c>
      <c r="G268" s="32">
        <v>6</v>
      </c>
      <c r="H268" s="598">
        <v>8.6999999999999993</v>
      </c>
      <c r="I268" s="598">
        <v>9.1940000000000008</v>
      </c>
      <c r="J268" s="32">
        <v>64</v>
      </c>
      <c r="K268" s="32" t="s">
        <v>133</v>
      </c>
      <c r="L268" s="32"/>
      <c r="M268" s="33" t="s">
        <v>83</v>
      </c>
      <c r="N268" s="33"/>
      <c r="O268" s="32">
        <v>45</v>
      </c>
      <c r="P268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7"/>
      <c r="R268" s="607"/>
      <c r="S268" s="607"/>
      <c r="T268" s="608"/>
      <c r="U268" s="34"/>
      <c r="V268" s="34"/>
      <c r="W268" s="35" t="s">
        <v>69</v>
      </c>
      <c r="X268" s="599">
        <v>0</v>
      </c>
      <c r="Y268" s="600">
        <f t="shared" si="32"/>
        <v>0</v>
      </c>
      <c r="Z268" s="36" t="str">
        <f>IFERROR(IF(Y268=0,"",ROUNDUP(Y268/H268,0)*0.01898),"")</f>
        <v/>
      </c>
      <c r="AA268" s="56"/>
      <c r="AB268" s="57"/>
      <c r="AC268" s="329" t="s">
        <v>449</v>
      </c>
      <c r="AG268" s="64"/>
      <c r="AJ268" s="68"/>
      <c r="AK268" s="68">
        <v>0</v>
      </c>
      <c r="BB268" s="330" t="s">
        <v>1</v>
      </c>
      <c r="BM268" s="64">
        <f t="shared" si="33"/>
        <v>0</v>
      </c>
      <c r="BN268" s="64">
        <f t="shared" si="34"/>
        <v>0</v>
      </c>
      <c r="BO268" s="64">
        <f t="shared" si="35"/>
        <v>0</v>
      </c>
      <c r="BP268" s="64">
        <f t="shared" si="36"/>
        <v>0</v>
      </c>
    </row>
    <row r="269" spans="1:68" ht="37.5" customHeight="1" x14ac:dyDescent="0.25">
      <c r="A269" s="54" t="s">
        <v>450</v>
      </c>
      <c r="B269" s="54" t="s">
        <v>451</v>
      </c>
      <c r="C269" s="31">
        <v>4301051407</v>
      </c>
      <c r="D269" s="614">
        <v>4680115882195</v>
      </c>
      <c r="E269" s="615"/>
      <c r="F269" s="598">
        <v>0.4</v>
      </c>
      <c r="G269" s="32">
        <v>6</v>
      </c>
      <c r="H269" s="598">
        <v>2.4</v>
      </c>
      <c r="I269" s="598">
        <v>2.67</v>
      </c>
      <c r="J269" s="32">
        <v>182</v>
      </c>
      <c r="K269" s="32" t="s">
        <v>67</v>
      </c>
      <c r="L269" s="32"/>
      <c r="M269" s="33" t="s">
        <v>83</v>
      </c>
      <c r="N269" s="33"/>
      <c r="O269" s="32">
        <v>40</v>
      </c>
      <c r="P269" s="86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7"/>
      <c r="R269" s="607"/>
      <c r="S269" s="607"/>
      <c r="T269" s="608"/>
      <c r="U269" s="34"/>
      <c r="V269" s="34"/>
      <c r="W269" s="35" t="s">
        <v>69</v>
      </c>
      <c r="X269" s="599">
        <v>0</v>
      </c>
      <c r="Y269" s="600">
        <f t="shared" si="32"/>
        <v>0</v>
      </c>
      <c r="Z269" s="36" t="str">
        <f>IFERROR(IF(Y269=0,"",ROUNDUP(Y269/H269,0)*0.00651),"")</f>
        <v/>
      </c>
      <c r="AA269" s="56"/>
      <c r="AB269" s="57"/>
      <c r="AC269" s="331" t="s">
        <v>443</v>
      </c>
      <c r="AG269" s="64"/>
      <c r="AJ269" s="68"/>
      <c r="AK269" s="68">
        <v>0</v>
      </c>
      <c r="BB269" s="332" t="s">
        <v>1</v>
      </c>
      <c r="BM269" s="64">
        <f t="shared" si="33"/>
        <v>0</v>
      </c>
      <c r="BN269" s="64">
        <f t="shared" si="34"/>
        <v>0</v>
      </c>
      <c r="BO269" s="64">
        <f t="shared" si="35"/>
        <v>0</v>
      </c>
      <c r="BP269" s="64">
        <f t="shared" si="36"/>
        <v>0</v>
      </c>
    </row>
    <row r="270" spans="1:68" ht="27" customHeight="1" x14ac:dyDescent="0.25">
      <c r="A270" s="54" t="s">
        <v>452</v>
      </c>
      <c r="B270" s="54" t="s">
        <v>453</v>
      </c>
      <c r="C270" s="31">
        <v>4301051752</v>
      </c>
      <c r="D270" s="614">
        <v>4680115882607</v>
      </c>
      <c r="E270" s="615"/>
      <c r="F270" s="598">
        <v>0.3</v>
      </c>
      <c r="G270" s="32">
        <v>6</v>
      </c>
      <c r="H270" s="598">
        <v>1.8</v>
      </c>
      <c r="I270" s="598">
        <v>2.052</v>
      </c>
      <c r="J270" s="32">
        <v>182</v>
      </c>
      <c r="K270" s="32" t="s">
        <v>67</v>
      </c>
      <c r="L270" s="32"/>
      <c r="M270" s="33" t="s">
        <v>89</v>
      </c>
      <c r="N270" s="33"/>
      <c r="O270" s="32">
        <v>45</v>
      </c>
      <c r="P270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7"/>
      <c r="R270" s="607"/>
      <c r="S270" s="607"/>
      <c r="T270" s="608"/>
      <c r="U270" s="34"/>
      <c r="V270" s="34"/>
      <c r="W270" s="35" t="s">
        <v>69</v>
      </c>
      <c r="X270" s="599">
        <v>0</v>
      </c>
      <c r="Y270" s="600">
        <f t="shared" si="32"/>
        <v>0</v>
      </c>
      <c r="Z270" s="36" t="str">
        <f>IFERROR(IF(Y270=0,"",ROUNDUP(Y270/H270,0)*0.00651),"")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si="33"/>
        <v>0</v>
      </c>
      <c r="BN270" s="64">
        <f t="shared" si="34"/>
        <v>0</v>
      </c>
      <c r="BO270" s="64">
        <f t="shared" si="35"/>
        <v>0</v>
      </c>
      <c r="BP270" s="64">
        <f t="shared" si="36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4301052143</v>
      </c>
      <c r="D271" s="614">
        <v>4680115882607</v>
      </c>
      <c r="E271" s="615"/>
      <c r="F271" s="598">
        <v>0.3</v>
      </c>
      <c r="G271" s="32">
        <v>6</v>
      </c>
      <c r="H271" s="598">
        <v>1.8</v>
      </c>
      <c r="I271" s="598">
        <v>2.0619999999999998</v>
      </c>
      <c r="J271" s="32">
        <v>132</v>
      </c>
      <c r="K271" s="32" t="s">
        <v>142</v>
      </c>
      <c r="L271" s="32"/>
      <c r="M271" s="33" t="s">
        <v>83</v>
      </c>
      <c r="N271" s="33"/>
      <c r="O271" s="32">
        <v>45</v>
      </c>
      <c r="P271" s="6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7"/>
      <c r="R271" s="607"/>
      <c r="S271" s="607"/>
      <c r="T271" s="608"/>
      <c r="U271" s="34"/>
      <c r="V271" s="34"/>
      <c r="W271" s="35" t="s">
        <v>69</v>
      </c>
      <c r="X271" s="599">
        <v>0</v>
      </c>
      <c r="Y271" s="600">
        <f t="shared" si="32"/>
        <v>0</v>
      </c>
      <c r="Z271" s="36" t="str">
        <f>IFERROR(IF(Y271=0,"",ROUNDUP(Y271/H271,0)*0.00902),"")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4301051666</v>
      </c>
      <c r="D272" s="614">
        <v>4680115880092</v>
      </c>
      <c r="E272" s="615"/>
      <c r="F272" s="598">
        <v>0.4</v>
      </c>
      <c r="G272" s="32">
        <v>6</v>
      </c>
      <c r="H272" s="598">
        <v>2.4</v>
      </c>
      <c r="I272" s="598">
        <v>2.6520000000000001</v>
      </c>
      <c r="J272" s="32">
        <v>182</v>
      </c>
      <c r="K272" s="32" t="s">
        <v>67</v>
      </c>
      <c r="L272" s="32"/>
      <c r="M272" s="33" t="s">
        <v>83</v>
      </c>
      <c r="N272" s="33"/>
      <c r="O272" s="32">
        <v>45</v>
      </c>
      <c r="P272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7"/>
      <c r="R272" s="607"/>
      <c r="S272" s="607"/>
      <c r="T272" s="608"/>
      <c r="U272" s="34"/>
      <c r="V272" s="34"/>
      <c r="W272" s="35" t="s">
        <v>69</v>
      </c>
      <c r="X272" s="599">
        <v>573</v>
      </c>
      <c r="Y272" s="600">
        <f t="shared" si="32"/>
        <v>573.6</v>
      </c>
      <c r="Z272" s="36">
        <f>IFERROR(IF(Y272=0,"",ROUNDUP(Y272/H272,0)*0.00651),"")</f>
        <v>1.55589</v>
      </c>
      <c r="AA272" s="56"/>
      <c r="AB272" s="57"/>
      <c r="AC272" s="337" t="s">
        <v>449</v>
      </c>
      <c r="AG272" s="64"/>
      <c r="AJ272" s="68"/>
      <c r="AK272" s="68">
        <v>0</v>
      </c>
      <c r="BB272" s="338" t="s">
        <v>1</v>
      </c>
      <c r="BM272" s="64">
        <f t="shared" si="33"/>
        <v>633.16500000000008</v>
      </c>
      <c r="BN272" s="64">
        <f t="shared" si="34"/>
        <v>633.82800000000009</v>
      </c>
      <c r="BO272" s="64">
        <f t="shared" si="35"/>
        <v>1.3118131868131868</v>
      </c>
      <c r="BP272" s="64">
        <f t="shared" si="36"/>
        <v>1.3131868131868134</v>
      </c>
    </row>
    <row r="273" spans="1:68" ht="27" customHeight="1" x14ac:dyDescent="0.25">
      <c r="A273" s="54" t="s">
        <v>458</v>
      </c>
      <c r="B273" s="54" t="s">
        <v>459</v>
      </c>
      <c r="C273" s="31">
        <v>4301051668</v>
      </c>
      <c r="D273" s="614">
        <v>4680115880221</v>
      </c>
      <c r="E273" s="615"/>
      <c r="F273" s="598">
        <v>0.4</v>
      </c>
      <c r="G273" s="32">
        <v>6</v>
      </c>
      <c r="H273" s="598">
        <v>2.4</v>
      </c>
      <c r="I273" s="598">
        <v>2.6520000000000001</v>
      </c>
      <c r="J273" s="32">
        <v>182</v>
      </c>
      <c r="K273" s="32" t="s">
        <v>67</v>
      </c>
      <c r="L273" s="32"/>
      <c r="M273" s="33" t="s">
        <v>83</v>
      </c>
      <c r="N273" s="33"/>
      <c r="O273" s="32">
        <v>45</v>
      </c>
      <c r="P273" s="6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07"/>
      <c r="R273" s="607"/>
      <c r="S273" s="607"/>
      <c r="T273" s="608"/>
      <c r="U273" s="34"/>
      <c r="V273" s="34"/>
      <c r="W273" s="35" t="s">
        <v>69</v>
      </c>
      <c r="X273" s="599">
        <v>72</v>
      </c>
      <c r="Y273" s="600">
        <f t="shared" si="32"/>
        <v>72</v>
      </c>
      <c r="Z273" s="36">
        <f>IFERROR(IF(Y273=0,"",ROUNDUP(Y273/H273,0)*0.00651),"")</f>
        <v>0.1953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79.560000000000016</v>
      </c>
      <c r="BN273" s="64">
        <f t="shared" si="34"/>
        <v>79.560000000000016</v>
      </c>
      <c r="BO273" s="64">
        <f t="shared" si="35"/>
        <v>0.16483516483516486</v>
      </c>
      <c r="BP273" s="64">
        <f t="shared" si="36"/>
        <v>0.16483516483516486</v>
      </c>
    </row>
    <row r="274" spans="1:68" ht="27" customHeight="1" x14ac:dyDescent="0.25">
      <c r="A274" s="54" t="s">
        <v>460</v>
      </c>
      <c r="B274" s="54" t="s">
        <v>461</v>
      </c>
      <c r="C274" s="31">
        <v>4301051945</v>
      </c>
      <c r="D274" s="614">
        <v>4680115880504</v>
      </c>
      <c r="E274" s="615"/>
      <c r="F274" s="598">
        <v>0.4</v>
      </c>
      <c r="G274" s="32">
        <v>6</v>
      </c>
      <c r="H274" s="598">
        <v>2.4</v>
      </c>
      <c r="I274" s="598">
        <v>2.6520000000000001</v>
      </c>
      <c r="J274" s="32">
        <v>182</v>
      </c>
      <c r="K274" s="32" t="s">
        <v>67</v>
      </c>
      <c r="L274" s="32"/>
      <c r="M274" s="33" t="s">
        <v>89</v>
      </c>
      <c r="N274" s="33"/>
      <c r="O274" s="32">
        <v>40</v>
      </c>
      <c r="P274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07"/>
      <c r="R274" s="607"/>
      <c r="S274" s="607"/>
      <c r="T274" s="608"/>
      <c r="U274" s="34"/>
      <c r="V274" s="34"/>
      <c r="W274" s="35" t="s">
        <v>69</v>
      </c>
      <c r="X274" s="599">
        <v>133</v>
      </c>
      <c r="Y274" s="600">
        <f t="shared" si="32"/>
        <v>134.4</v>
      </c>
      <c r="Z274" s="36">
        <f>IFERROR(IF(Y274=0,"",ROUNDUP(Y274/H274,0)*0.00651),"")</f>
        <v>0.36456</v>
      </c>
      <c r="AA274" s="56"/>
      <c r="AB274" s="57"/>
      <c r="AC274" s="341" t="s">
        <v>462</v>
      </c>
      <c r="AG274" s="64"/>
      <c r="AJ274" s="68"/>
      <c r="AK274" s="68">
        <v>0</v>
      </c>
      <c r="BB274" s="342" t="s">
        <v>1</v>
      </c>
      <c r="BM274" s="64">
        <f t="shared" si="33"/>
        <v>146.965</v>
      </c>
      <c r="BN274" s="64">
        <f t="shared" si="34"/>
        <v>148.51200000000003</v>
      </c>
      <c r="BO274" s="64">
        <f t="shared" si="35"/>
        <v>0.30448717948717952</v>
      </c>
      <c r="BP274" s="64">
        <f t="shared" si="36"/>
        <v>0.30769230769230776</v>
      </c>
    </row>
    <row r="275" spans="1:68" ht="27" customHeight="1" x14ac:dyDescent="0.25">
      <c r="A275" s="54" t="s">
        <v>463</v>
      </c>
      <c r="B275" s="54" t="s">
        <v>464</v>
      </c>
      <c r="C275" s="31">
        <v>4301051410</v>
      </c>
      <c r="D275" s="614">
        <v>4680115882164</v>
      </c>
      <c r="E275" s="615"/>
      <c r="F275" s="598">
        <v>0.4</v>
      </c>
      <c r="G275" s="32">
        <v>6</v>
      </c>
      <c r="H275" s="598">
        <v>2.4</v>
      </c>
      <c r="I275" s="598">
        <v>2.6579999999999999</v>
      </c>
      <c r="J275" s="32">
        <v>182</v>
      </c>
      <c r="K275" s="32" t="s">
        <v>67</v>
      </c>
      <c r="L275" s="32"/>
      <c r="M275" s="33" t="s">
        <v>83</v>
      </c>
      <c r="N275" s="33"/>
      <c r="O275" s="32">
        <v>40</v>
      </c>
      <c r="P275" s="64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07"/>
      <c r="R275" s="607"/>
      <c r="S275" s="607"/>
      <c r="T275" s="608"/>
      <c r="U275" s="34"/>
      <c r="V275" s="34"/>
      <c r="W275" s="35" t="s">
        <v>69</v>
      </c>
      <c r="X275" s="599">
        <v>69</v>
      </c>
      <c r="Y275" s="600">
        <f t="shared" si="32"/>
        <v>69.599999999999994</v>
      </c>
      <c r="Z275" s="36">
        <f>IFERROR(IF(Y275=0,"",ROUNDUP(Y275/H275,0)*0.00651),"")</f>
        <v>0.18879000000000001</v>
      </c>
      <c r="AA275" s="56"/>
      <c r="AB275" s="57"/>
      <c r="AC275" s="343" t="s">
        <v>465</v>
      </c>
      <c r="AG275" s="64"/>
      <c r="AJ275" s="68"/>
      <c r="AK275" s="68">
        <v>0</v>
      </c>
      <c r="BB275" s="344" t="s">
        <v>1</v>
      </c>
      <c r="BM275" s="64">
        <f t="shared" si="33"/>
        <v>76.417500000000004</v>
      </c>
      <c r="BN275" s="64">
        <f t="shared" si="34"/>
        <v>77.081999999999994</v>
      </c>
      <c r="BO275" s="64">
        <f t="shared" si="35"/>
        <v>0.15796703296703299</v>
      </c>
      <c r="BP275" s="64">
        <f t="shared" si="36"/>
        <v>0.15934065934065936</v>
      </c>
    </row>
    <row r="276" spans="1:68" ht="27" customHeight="1" x14ac:dyDescent="0.25">
      <c r="A276" s="54" t="s">
        <v>466</v>
      </c>
      <c r="B276" s="54" t="s">
        <v>467</v>
      </c>
      <c r="C276" s="31">
        <v>4301052180</v>
      </c>
      <c r="D276" s="614">
        <v>4680115888340</v>
      </c>
      <c r="E276" s="615"/>
      <c r="F276" s="598">
        <v>0.4</v>
      </c>
      <c r="G276" s="32">
        <v>6</v>
      </c>
      <c r="H276" s="598">
        <v>2.4</v>
      </c>
      <c r="I276" s="598">
        <v>2.6520000000000001</v>
      </c>
      <c r="J276" s="32">
        <v>182</v>
      </c>
      <c r="K276" s="32" t="s">
        <v>67</v>
      </c>
      <c r="L276" s="32"/>
      <c r="M276" s="33" t="s">
        <v>83</v>
      </c>
      <c r="N276" s="33"/>
      <c r="O276" s="32">
        <v>45</v>
      </c>
      <c r="P276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07"/>
      <c r="R276" s="607"/>
      <c r="S276" s="607"/>
      <c r="T276" s="608"/>
      <c r="U276" s="34"/>
      <c r="V276" s="34"/>
      <c r="W276" s="35" t="s">
        <v>69</v>
      </c>
      <c r="X276" s="599">
        <v>0</v>
      </c>
      <c r="Y276" s="600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468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x14ac:dyDescent="0.2">
      <c r="A277" s="611"/>
      <c r="B277" s="612"/>
      <c r="C277" s="612"/>
      <c r="D277" s="612"/>
      <c r="E277" s="612"/>
      <c r="F277" s="612"/>
      <c r="G277" s="612"/>
      <c r="H277" s="612"/>
      <c r="I277" s="612"/>
      <c r="J277" s="612"/>
      <c r="K277" s="612"/>
      <c r="L277" s="612"/>
      <c r="M277" s="612"/>
      <c r="N277" s="612"/>
      <c r="O277" s="613"/>
      <c r="P277" s="603" t="s">
        <v>78</v>
      </c>
      <c r="Q277" s="604"/>
      <c r="R277" s="604"/>
      <c r="S277" s="604"/>
      <c r="T277" s="604"/>
      <c r="U277" s="604"/>
      <c r="V277" s="605"/>
      <c r="W277" s="37" t="s">
        <v>79</v>
      </c>
      <c r="X277" s="601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352.91666666666669</v>
      </c>
      <c r="Y277" s="601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354</v>
      </c>
      <c r="Z277" s="601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2.3045400000000003</v>
      </c>
      <c r="AA277" s="602"/>
      <c r="AB277" s="602"/>
      <c r="AC277" s="602"/>
    </row>
    <row r="278" spans="1:68" x14ac:dyDescent="0.2">
      <c r="A278" s="612"/>
      <c r="B278" s="612"/>
      <c r="C278" s="612"/>
      <c r="D278" s="612"/>
      <c r="E278" s="612"/>
      <c r="F278" s="612"/>
      <c r="G278" s="612"/>
      <c r="H278" s="612"/>
      <c r="I278" s="612"/>
      <c r="J278" s="612"/>
      <c r="K278" s="612"/>
      <c r="L278" s="612"/>
      <c r="M278" s="612"/>
      <c r="N278" s="612"/>
      <c r="O278" s="613"/>
      <c r="P278" s="603" t="s">
        <v>78</v>
      </c>
      <c r="Q278" s="604"/>
      <c r="R278" s="604"/>
      <c r="S278" s="604"/>
      <c r="T278" s="604"/>
      <c r="U278" s="604"/>
      <c r="V278" s="605"/>
      <c r="W278" s="37" t="s">
        <v>69</v>
      </c>
      <c r="X278" s="601">
        <f>IFERROR(SUM(X265:X276),"0")</f>
        <v>847</v>
      </c>
      <c r="Y278" s="601">
        <f>IFERROR(SUM(Y265:Y276),"0")</f>
        <v>849.6</v>
      </c>
      <c r="Z278" s="37"/>
      <c r="AA278" s="602"/>
      <c r="AB278" s="602"/>
      <c r="AC278" s="602"/>
    </row>
    <row r="279" spans="1:68" ht="14.25" customHeight="1" x14ac:dyDescent="0.25">
      <c r="A279" s="659" t="s">
        <v>182</v>
      </c>
      <c r="B279" s="612"/>
      <c r="C279" s="612"/>
      <c r="D279" s="612"/>
      <c r="E279" s="612"/>
      <c r="F279" s="612"/>
      <c r="G279" s="612"/>
      <c r="H279" s="612"/>
      <c r="I279" s="612"/>
      <c r="J279" s="612"/>
      <c r="K279" s="612"/>
      <c r="L279" s="612"/>
      <c r="M279" s="612"/>
      <c r="N279" s="612"/>
      <c r="O279" s="612"/>
      <c r="P279" s="612"/>
      <c r="Q279" s="612"/>
      <c r="R279" s="612"/>
      <c r="S279" s="612"/>
      <c r="T279" s="612"/>
      <c r="U279" s="612"/>
      <c r="V279" s="612"/>
      <c r="W279" s="612"/>
      <c r="X279" s="612"/>
      <c r="Y279" s="612"/>
      <c r="Z279" s="612"/>
      <c r="AA279" s="595"/>
      <c r="AB279" s="595"/>
      <c r="AC279" s="595"/>
    </row>
    <row r="280" spans="1:68" ht="27" customHeight="1" x14ac:dyDescent="0.25">
      <c r="A280" s="54" t="s">
        <v>469</v>
      </c>
      <c r="B280" s="54" t="s">
        <v>470</v>
      </c>
      <c r="C280" s="31">
        <v>4301060463</v>
      </c>
      <c r="D280" s="614">
        <v>4680115880818</v>
      </c>
      <c r="E280" s="615"/>
      <c r="F280" s="598">
        <v>0.4</v>
      </c>
      <c r="G280" s="32">
        <v>6</v>
      </c>
      <c r="H280" s="598">
        <v>2.4</v>
      </c>
      <c r="I280" s="598">
        <v>2.6520000000000001</v>
      </c>
      <c r="J280" s="32">
        <v>182</v>
      </c>
      <c r="K280" s="32" t="s">
        <v>67</v>
      </c>
      <c r="L280" s="32"/>
      <c r="M280" s="33" t="s">
        <v>89</v>
      </c>
      <c r="N280" s="33"/>
      <c r="O280" s="32">
        <v>40</v>
      </c>
      <c r="P280" s="7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07"/>
      <c r="R280" s="607"/>
      <c r="S280" s="607"/>
      <c r="T280" s="608"/>
      <c r="U280" s="34"/>
      <c r="V280" s="34"/>
      <c r="W280" s="35" t="s">
        <v>69</v>
      </c>
      <c r="X280" s="599">
        <v>0</v>
      </c>
      <c r="Y280" s="60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47" t="s">
        <v>471</v>
      </c>
      <c r="AG280" s="64"/>
      <c r="AJ280" s="68"/>
      <c r="AK280" s="68">
        <v>0</v>
      </c>
      <c r="BB280" s="34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37.5" customHeight="1" x14ac:dyDescent="0.25">
      <c r="A281" s="54" t="s">
        <v>472</v>
      </c>
      <c r="B281" s="54" t="s">
        <v>473</v>
      </c>
      <c r="C281" s="31">
        <v>4301060389</v>
      </c>
      <c r="D281" s="614">
        <v>4680115880801</v>
      </c>
      <c r="E281" s="615"/>
      <c r="F281" s="598">
        <v>0.4</v>
      </c>
      <c r="G281" s="32">
        <v>6</v>
      </c>
      <c r="H281" s="598">
        <v>2.4</v>
      </c>
      <c r="I281" s="598">
        <v>2.6520000000000001</v>
      </c>
      <c r="J281" s="32">
        <v>182</v>
      </c>
      <c r="K281" s="32" t="s">
        <v>67</v>
      </c>
      <c r="L281" s="32"/>
      <c r="M281" s="33" t="s">
        <v>83</v>
      </c>
      <c r="N281" s="33"/>
      <c r="O281" s="32">
        <v>40</v>
      </c>
      <c r="P281" s="7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07"/>
      <c r="R281" s="607"/>
      <c r="S281" s="607"/>
      <c r="T281" s="608"/>
      <c r="U281" s="34"/>
      <c r="V281" s="34"/>
      <c r="W281" s="35" t="s">
        <v>69</v>
      </c>
      <c r="X281" s="599">
        <v>0</v>
      </c>
      <c r="Y281" s="60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474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11"/>
      <c r="B282" s="612"/>
      <c r="C282" s="612"/>
      <c r="D282" s="612"/>
      <c r="E282" s="612"/>
      <c r="F282" s="612"/>
      <c r="G282" s="612"/>
      <c r="H282" s="612"/>
      <c r="I282" s="612"/>
      <c r="J282" s="612"/>
      <c r="K282" s="612"/>
      <c r="L282" s="612"/>
      <c r="M282" s="612"/>
      <c r="N282" s="612"/>
      <c r="O282" s="613"/>
      <c r="P282" s="603" t="s">
        <v>78</v>
      </c>
      <c r="Q282" s="604"/>
      <c r="R282" s="604"/>
      <c r="S282" s="604"/>
      <c r="T282" s="604"/>
      <c r="U282" s="604"/>
      <c r="V282" s="605"/>
      <c r="W282" s="37" t="s">
        <v>79</v>
      </c>
      <c r="X282" s="601">
        <f>IFERROR(X280/H280,"0")+IFERROR(X281/H281,"0")</f>
        <v>0</v>
      </c>
      <c r="Y282" s="601">
        <f>IFERROR(Y280/H280,"0")+IFERROR(Y281/H281,"0")</f>
        <v>0</v>
      </c>
      <c r="Z282" s="601">
        <f>IFERROR(IF(Z280="",0,Z280),"0")+IFERROR(IF(Z281="",0,Z281),"0")</f>
        <v>0</v>
      </c>
      <c r="AA282" s="602"/>
      <c r="AB282" s="602"/>
      <c r="AC282" s="602"/>
    </row>
    <row r="283" spans="1:68" x14ac:dyDescent="0.2">
      <c r="A283" s="612"/>
      <c r="B283" s="612"/>
      <c r="C283" s="612"/>
      <c r="D283" s="612"/>
      <c r="E283" s="612"/>
      <c r="F283" s="612"/>
      <c r="G283" s="612"/>
      <c r="H283" s="612"/>
      <c r="I283" s="612"/>
      <c r="J283" s="612"/>
      <c r="K283" s="612"/>
      <c r="L283" s="612"/>
      <c r="M283" s="612"/>
      <c r="N283" s="612"/>
      <c r="O283" s="613"/>
      <c r="P283" s="603" t="s">
        <v>78</v>
      </c>
      <c r="Q283" s="604"/>
      <c r="R283" s="604"/>
      <c r="S283" s="604"/>
      <c r="T283" s="604"/>
      <c r="U283" s="604"/>
      <c r="V283" s="605"/>
      <c r="W283" s="37" t="s">
        <v>69</v>
      </c>
      <c r="X283" s="601">
        <f>IFERROR(SUM(X280:X281),"0")</f>
        <v>0</v>
      </c>
      <c r="Y283" s="601">
        <f>IFERROR(SUM(Y280:Y281),"0")</f>
        <v>0</v>
      </c>
      <c r="Z283" s="37"/>
      <c r="AA283" s="602"/>
      <c r="AB283" s="602"/>
      <c r="AC283" s="602"/>
    </row>
    <row r="284" spans="1:68" ht="16.5" customHeight="1" x14ac:dyDescent="0.25">
      <c r="A284" s="622" t="s">
        <v>475</v>
      </c>
      <c r="B284" s="612"/>
      <c r="C284" s="612"/>
      <c r="D284" s="612"/>
      <c r="E284" s="612"/>
      <c r="F284" s="612"/>
      <c r="G284" s="612"/>
      <c r="H284" s="612"/>
      <c r="I284" s="612"/>
      <c r="J284" s="612"/>
      <c r="K284" s="612"/>
      <c r="L284" s="612"/>
      <c r="M284" s="612"/>
      <c r="N284" s="612"/>
      <c r="O284" s="612"/>
      <c r="P284" s="612"/>
      <c r="Q284" s="612"/>
      <c r="R284" s="612"/>
      <c r="S284" s="612"/>
      <c r="T284" s="612"/>
      <c r="U284" s="612"/>
      <c r="V284" s="612"/>
      <c r="W284" s="612"/>
      <c r="X284" s="612"/>
      <c r="Y284" s="612"/>
      <c r="Z284" s="612"/>
      <c r="AA284" s="594"/>
      <c r="AB284" s="594"/>
      <c r="AC284" s="594"/>
    </row>
    <row r="285" spans="1:68" ht="14.25" customHeight="1" x14ac:dyDescent="0.25">
      <c r="A285" s="659" t="s">
        <v>130</v>
      </c>
      <c r="B285" s="612"/>
      <c r="C285" s="612"/>
      <c r="D285" s="612"/>
      <c r="E285" s="612"/>
      <c r="F285" s="612"/>
      <c r="G285" s="612"/>
      <c r="H285" s="612"/>
      <c r="I285" s="612"/>
      <c r="J285" s="612"/>
      <c r="K285" s="612"/>
      <c r="L285" s="612"/>
      <c r="M285" s="612"/>
      <c r="N285" s="612"/>
      <c r="O285" s="612"/>
      <c r="P285" s="612"/>
      <c r="Q285" s="612"/>
      <c r="R285" s="612"/>
      <c r="S285" s="612"/>
      <c r="T285" s="612"/>
      <c r="U285" s="612"/>
      <c r="V285" s="612"/>
      <c r="W285" s="612"/>
      <c r="X285" s="612"/>
      <c r="Y285" s="612"/>
      <c r="Z285" s="612"/>
      <c r="AA285" s="595"/>
      <c r="AB285" s="595"/>
      <c r="AC285" s="595"/>
    </row>
    <row r="286" spans="1:68" ht="27" customHeight="1" x14ac:dyDescent="0.25">
      <c r="A286" s="54" t="s">
        <v>476</v>
      </c>
      <c r="B286" s="54" t="s">
        <v>477</v>
      </c>
      <c r="C286" s="31">
        <v>4301011826</v>
      </c>
      <c r="D286" s="614">
        <v>4680115884137</v>
      </c>
      <c r="E286" s="615"/>
      <c r="F286" s="598">
        <v>1.45</v>
      </c>
      <c r="G286" s="32">
        <v>8</v>
      </c>
      <c r="H286" s="598">
        <v>11.6</v>
      </c>
      <c r="I286" s="598">
        <v>12.01</v>
      </c>
      <c r="J286" s="32">
        <v>64</v>
      </c>
      <c r="K286" s="32" t="s">
        <v>133</v>
      </c>
      <c r="L286" s="32"/>
      <c r="M286" s="33" t="s">
        <v>134</v>
      </c>
      <c r="N286" s="33"/>
      <c r="O286" s="32">
        <v>55</v>
      </c>
      <c r="P286" s="71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07"/>
      <c r="R286" s="607"/>
      <c r="S286" s="607"/>
      <c r="T286" s="608"/>
      <c r="U286" s="34"/>
      <c r="V286" s="34"/>
      <c r="W286" s="35" t="s">
        <v>69</v>
      </c>
      <c r="X286" s="599">
        <v>0</v>
      </c>
      <c r="Y286" s="600">
        <f t="shared" ref="Y286:Y292" si="37">IFERROR(IF(X286="",0,CEILING((X286/$H286),1)*$H286),"")</f>
        <v>0</v>
      </c>
      <c r="Z286" s="36" t="str">
        <f>IFERROR(IF(Y286=0,"",ROUNDUP(Y286/H286,0)*0.01898),"")</f>
        <v/>
      </c>
      <c r="AA286" s="56"/>
      <c r="AB286" s="57"/>
      <c r="AC286" s="351" t="s">
        <v>478</v>
      </c>
      <c r="AG286" s="64"/>
      <c r="AJ286" s="68"/>
      <c r="AK286" s="68">
        <v>0</v>
      </c>
      <c r="BB286" s="352" t="s">
        <v>1</v>
      </c>
      <c r="BM286" s="64">
        <f t="shared" ref="BM286:BM292" si="38">IFERROR(X286*I286/H286,"0")</f>
        <v>0</v>
      </c>
      <c r="BN286" s="64">
        <f t="shared" ref="BN286:BN292" si="39">IFERROR(Y286*I286/H286,"0")</f>
        <v>0</v>
      </c>
      <c r="BO286" s="64">
        <f t="shared" ref="BO286:BO292" si="40">IFERROR(1/J286*(X286/H286),"0")</f>
        <v>0</v>
      </c>
      <c r="BP286" s="64">
        <f t="shared" ref="BP286:BP292" si="41"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4301011724</v>
      </c>
      <c r="D287" s="614">
        <v>4680115884236</v>
      </c>
      <c r="E287" s="615"/>
      <c r="F287" s="598">
        <v>1.45</v>
      </c>
      <c r="G287" s="32">
        <v>8</v>
      </c>
      <c r="H287" s="598">
        <v>11.6</v>
      </c>
      <c r="I287" s="598">
        <v>12.01</v>
      </c>
      <c r="J287" s="32">
        <v>64</v>
      </c>
      <c r="K287" s="32" t="s">
        <v>133</v>
      </c>
      <c r="L287" s="32"/>
      <c r="M287" s="33" t="s">
        <v>134</v>
      </c>
      <c r="N287" s="33"/>
      <c r="O287" s="32">
        <v>55</v>
      </c>
      <c r="P287" s="72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07"/>
      <c r="R287" s="607"/>
      <c r="S287" s="607"/>
      <c r="T287" s="608"/>
      <c r="U287" s="34"/>
      <c r="V287" s="34"/>
      <c r="W287" s="35" t="s">
        <v>69</v>
      </c>
      <c r="X287" s="599">
        <v>0</v>
      </c>
      <c r="Y287" s="600">
        <f t="shared" si="37"/>
        <v>0</v>
      </c>
      <c r="Z287" s="36" t="str">
        <f>IFERROR(IF(Y287=0,"",ROUNDUP(Y287/H287,0)*0.01898),"")</f>
        <v/>
      </c>
      <c r="AA287" s="56"/>
      <c r="AB287" s="57"/>
      <c r="AC287" s="353" t="s">
        <v>481</v>
      </c>
      <c r="AG287" s="64"/>
      <c r="AJ287" s="68"/>
      <c r="AK287" s="68">
        <v>0</v>
      </c>
      <c r="BB287" s="354" t="s">
        <v>1</v>
      </c>
      <c r="BM287" s="64">
        <f t="shared" si="38"/>
        <v>0</v>
      </c>
      <c r="BN287" s="64">
        <f t="shared" si="39"/>
        <v>0</v>
      </c>
      <c r="BO287" s="64">
        <f t="shared" si="40"/>
        <v>0</v>
      </c>
      <c r="BP287" s="64">
        <f t="shared" si="41"/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4301011721</v>
      </c>
      <c r="D288" s="614">
        <v>4680115884175</v>
      </c>
      <c r="E288" s="615"/>
      <c r="F288" s="598">
        <v>1.45</v>
      </c>
      <c r="G288" s="32">
        <v>8</v>
      </c>
      <c r="H288" s="598">
        <v>11.6</v>
      </c>
      <c r="I288" s="598">
        <v>12.01</v>
      </c>
      <c r="J288" s="32">
        <v>64</v>
      </c>
      <c r="K288" s="32" t="s">
        <v>133</v>
      </c>
      <c r="L288" s="32"/>
      <c r="M288" s="33" t="s">
        <v>134</v>
      </c>
      <c r="N288" s="33"/>
      <c r="O288" s="32">
        <v>55</v>
      </c>
      <c r="P288" s="9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07"/>
      <c r="R288" s="607"/>
      <c r="S288" s="607"/>
      <c r="T288" s="608"/>
      <c r="U288" s="34"/>
      <c r="V288" s="34"/>
      <c r="W288" s="35" t="s">
        <v>69</v>
      </c>
      <c r="X288" s="599">
        <v>0</v>
      </c>
      <c r="Y288" s="600">
        <f t="shared" si="37"/>
        <v>0</v>
      </c>
      <c r="Z288" s="36" t="str">
        <f>IFERROR(IF(Y288=0,"",ROUNDUP(Y288/H288,0)*0.01898),"")</f>
        <v/>
      </c>
      <c r="AA288" s="56"/>
      <c r="AB288" s="57"/>
      <c r="AC288" s="355" t="s">
        <v>344</v>
      </c>
      <c r="AG288" s="64"/>
      <c r="AJ288" s="68"/>
      <c r="AK288" s="68">
        <v>0</v>
      </c>
      <c r="BB288" s="356" t="s">
        <v>1</v>
      </c>
      <c r="BM288" s="64">
        <f t="shared" si="38"/>
        <v>0</v>
      </c>
      <c r="BN288" s="64">
        <f t="shared" si="39"/>
        <v>0</v>
      </c>
      <c r="BO288" s="64">
        <f t="shared" si="40"/>
        <v>0</v>
      </c>
      <c r="BP288" s="64">
        <f t="shared" si="41"/>
        <v>0</v>
      </c>
    </row>
    <row r="289" spans="1:68" ht="27" customHeight="1" x14ac:dyDescent="0.25">
      <c r="A289" s="54" t="s">
        <v>484</v>
      </c>
      <c r="B289" s="54" t="s">
        <v>485</v>
      </c>
      <c r="C289" s="31">
        <v>4301011824</v>
      </c>
      <c r="D289" s="614">
        <v>4680115884144</v>
      </c>
      <c r="E289" s="615"/>
      <c r="F289" s="598">
        <v>0.4</v>
      </c>
      <c r="G289" s="32">
        <v>10</v>
      </c>
      <c r="H289" s="598">
        <v>4</v>
      </c>
      <c r="I289" s="598">
        <v>4.1900000000000004</v>
      </c>
      <c r="J289" s="32">
        <v>132</v>
      </c>
      <c r="K289" s="32" t="s">
        <v>142</v>
      </c>
      <c r="L289" s="32"/>
      <c r="M289" s="33" t="s">
        <v>134</v>
      </c>
      <c r="N289" s="33"/>
      <c r="O289" s="32">
        <v>55</v>
      </c>
      <c r="P289" s="7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07"/>
      <c r="R289" s="607"/>
      <c r="S289" s="607"/>
      <c r="T289" s="608"/>
      <c r="U289" s="34"/>
      <c r="V289" s="34"/>
      <c r="W289" s="35" t="s">
        <v>69</v>
      </c>
      <c r="X289" s="599">
        <v>0</v>
      </c>
      <c r="Y289" s="600">
        <f t="shared" si="37"/>
        <v>0</v>
      </c>
      <c r="Z289" s="36" t="str">
        <f>IFERROR(IF(Y289=0,"",ROUNDUP(Y289/H289,0)*0.00902),"")</f>
        <v/>
      </c>
      <c r="AA289" s="56"/>
      <c r="AB289" s="57"/>
      <c r="AC289" s="357" t="s">
        <v>478</v>
      </c>
      <c r="AG289" s="64"/>
      <c r="AJ289" s="68"/>
      <c r="AK289" s="68">
        <v>0</v>
      </c>
      <c r="BB289" s="358" t="s">
        <v>1</v>
      </c>
      <c r="BM289" s="64">
        <f t="shared" si="38"/>
        <v>0</v>
      </c>
      <c r="BN289" s="64">
        <f t="shared" si="39"/>
        <v>0</v>
      </c>
      <c r="BO289" s="64">
        <f t="shared" si="40"/>
        <v>0</v>
      </c>
      <c r="BP289" s="64">
        <f t="shared" si="41"/>
        <v>0</v>
      </c>
    </row>
    <row r="290" spans="1:68" ht="27" customHeight="1" x14ac:dyDescent="0.25">
      <c r="A290" s="54" t="s">
        <v>486</v>
      </c>
      <c r="B290" s="54" t="s">
        <v>487</v>
      </c>
      <c r="C290" s="31">
        <v>4301012149</v>
      </c>
      <c r="D290" s="614">
        <v>4680115886551</v>
      </c>
      <c r="E290" s="615"/>
      <c r="F290" s="598">
        <v>0.4</v>
      </c>
      <c r="G290" s="32">
        <v>10</v>
      </c>
      <c r="H290" s="598">
        <v>4</v>
      </c>
      <c r="I290" s="598">
        <v>4.1900000000000004</v>
      </c>
      <c r="J290" s="32">
        <v>132</v>
      </c>
      <c r="K290" s="32" t="s">
        <v>142</v>
      </c>
      <c r="L290" s="32"/>
      <c r="M290" s="33" t="s">
        <v>134</v>
      </c>
      <c r="N290" s="33"/>
      <c r="O290" s="32">
        <v>55</v>
      </c>
      <c r="P290" s="6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07"/>
      <c r="R290" s="607"/>
      <c r="S290" s="607"/>
      <c r="T290" s="608"/>
      <c r="U290" s="34"/>
      <c r="V290" s="34"/>
      <c r="W290" s="35" t="s">
        <v>69</v>
      </c>
      <c r="X290" s="599">
        <v>0</v>
      </c>
      <c r="Y290" s="600">
        <f t="shared" si="37"/>
        <v>0</v>
      </c>
      <c r="Z290" s="36" t="str">
        <f>IFERROR(IF(Y290=0,"",ROUNDUP(Y290/H290,0)*0.00902),"")</f>
        <v/>
      </c>
      <c r="AA290" s="56"/>
      <c r="AB290" s="57"/>
      <c r="AC290" s="359" t="s">
        <v>488</v>
      </c>
      <c r="AG290" s="64"/>
      <c r="AJ290" s="68"/>
      <c r="AK290" s="68">
        <v>0</v>
      </c>
      <c r="BB290" s="360" t="s">
        <v>1</v>
      </c>
      <c r="BM290" s="64">
        <f t="shared" si="38"/>
        <v>0</v>
      </c>
      <c r="BN290" s="64">
        <f t="shared" si="39"/>
        <v>0</v>
      </c>
      <c r="BO290" s="64">
        <f t="shared" si="40"/>
        <v>0</v>
      </c>
      <c r="BP290" s="64">
        <f t="shared" si="41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4301012228</v>
      </c>
      <c r="D291" s="614">
        <v>4680115887282</v>
      </c>
      <c r="E291" s="615"/>
      <c r="F291" s="598">
        <v>0.4</v>
      </c>
      <c r="G291" s="32">
        <v>6</v>
      </c>
      <c r="H291" s="598">
        <v>2.4</v>
      </c>
      <c r="I291" s="598">
        <v>2.58</v>
      </c>
      <c r="J291" s="32">
        <v>182</v>
      </c>
      <c r="K291" s="32" t="s">
        <v>67</v>
      </c>
      <c r="L291" s="32"/>
      <c r="M291" s="33" t="s">
        <v>134</v>
      </c>
      <c r="N291" s="33"/>
      <c r="O291" s="32">
        <v>55</v>
      </c>
      <c r="P291" s="9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07"/>
      <c r="R291" s="607"/>
      <c r="S291" s="607"/>
      <c r="T291" s="608"/>
      <c r="U291" s="34"/>
      <c r="V291" s="34"/>
      <c r="W291" s="35" t="s">
        <v>69</v>
      </c>
      <c r="X291" s="599">
        <v>0</v>
      </c>
      <c r="Y291" s="600">
        <f t="shared" si="37"/>
        <v>0</v>
      </c>
      <c r="Z291" s="36" t="str">
        <f>IFERROR(IF(Y291=0,"",ROUNDUP(Y291/H291,0)*0.00651),"")</f>
        <v/>
      </c>
      <c r="AA291" s="56"/>
      <c r="AB291" s="57"/>
      <c r="AC291" s="361" t="s">
        <v>491</v>
      </c>
      <c r="AG291" s="64"/>
      <c r="AJ291" s="68"/>
      <c r="AK291" s="68">
        <v>0</v>
      </c>
      <c r="BB291" s="362" t="s">
        <v>1</v>
      </c>
      <c r="BM291" s="64">
        <f t="shared" si="38"/>
        <v>0</v>
      </c>
      <c r="BN291" s="64">
        <f t="shared" si="39"/>
        <v>0</v>
      </c>
      <c r="BO291" s="64">
        <f t="shared" si="40"/>
        <v>0</v>
      </c>
      <c r="BP291" s="64">
        <f t="shared" si="41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4301011722</v>
      </c>
      <c r="D292" s="614">
        <v>4680115884205</v>
      </c>
      <c r="E292" s="615"/>
      <c r="F292" s="598">
        <v>0.4</v>
      </c>
      <c r="G292" s="32">
        <v>10</v>
      </c>
      <c r="H292" s="598">
        <v>4</v>
      </c>
      <c r="I292" s="598">
        <v>4.1900000000000004</v>
      </c>
      <c r="J292" s="32">
        <v>132</v>
      </c>
      <c r="K292" s="32" t="s">
        <v>142</v>
      </c>
      <c r="L292" s="32"/>
      <c r="M292" s="33" t="s">
        <v>134</v>
      </c>
      <c r="N292" s="33"/>
      <c r="O292" s="32">
        <v>55</v>
      </c>
      <c r="P292" s="9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07"/>
      <c r="R292" s="607"/>
      <c r="S292" s="607"/>
      <c r="T292" s="608"/>
      <c r="U292" s="34"/>
      <c r="V292" s="34"/>
      <c r="W292" s="35" t="s">
        <v>69</v>
      </c>
      <c r="X292" s="599">
        <v>0</v>
      </c>
      <c r="Y292" s="600">
        <f t="shared" si="37"/>
        <v>0</v>
      </c>
      <c r="Z292" s="36" t="str">
        <f>IFERROR(IF(Y292=0,"",ROUNDUP(Y292/H292,0)*0.00902),"")</f>
        <v/>
      </c>
      <c r="AA292" s="56"/>
      <c r="AB292" s="57"/>
      <c r="AC292" s="363" t="s">
        <v>344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x14ac:dyDescent="0.2">
      <c r="A293" s="611"/>
      <c r="B293" s="612"/>
      <c r="C293" s="612"/>
      <c r="D293" s="612"/>
      <c r="E293" s="612"/>
      <c r="F293" s="612"/>
      <c r="G293" s="612"/>
      <c r="H293" s="612"/>
      <c r="I293" s="612"/>
      <c r="J293" s="612"/>
      <c r="K293" s="612"/>
      <c r="L293" s="612"/>
      <c r="M293" s="612"/>
      <c r="N293" s="612"/>
      <c r="O293" s="613"/>
      <c r="P293" s="603" t="s">
        <v>78</v>
      </c>
      <c r="Q293" s="604"/>
      <c r="R293" s="604"/>
      <c r="S293" s="604"/>
      <c r="T293" s="604"/>
      <c r="U293" s="604"/>
      <c r="V293" s="605"/>
      <c r="W293" s="37" t="s">
        <v>79</v>
      </c>
      <c r="X293" s="601">
        <f>IFERROR(X286/H286,"0")+IFERROR(X287/H287,"0")+IFERROR(X288/H288,"0")+IFERROR(X289/H289,"0")+IFERROR(X290/H290,"0")+IFERROR(X291/H291,"0")+IFERROR(X292/H292,"0")</f>
        <v>0</v>
      </c>
      <c r="Y293" s="601">
        <f>IFERROR(Y286/H286,"0")+IFERROR(Y287/H287,"0")+IFERROR(Y288/H288,"0")+IFERROR(Y289/H289,"0")+IFERROR(Y290/H290,"0")+IFERROR(Y291/H291,"0")+IFERROR(Y292/H292,"0")</f>
        <v>0</v>
      </c>
      <c r="Z293" s="601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02"/>
      <c r="AB293" s="602"/>
      <c r="AC293" s="602"/>
    </row>
    <row r="294" spans="1:68" x14ac:dyDescent="0.2">
      <c r="A294" s="612"/>
      <c r="B294" s="612"/>
      <c r="C294" s="612"/>
      <c r="D294" s="612"/>
      <c r="E294" s="612"/>
      <c r="F294" s="612"/>
      <c r="G294" s="612"/>
      <c r="H294" s="612"/>
      <c r="I294" s="612"/>
      <c r="J294" s="612"/>
      <c r="K294" s="612"/>
      <c r="L294" s="612"/>
      <c r="M294" s="612"/>
      <c r="N294" s="612"/>
      <c r="O294" s="613"/>
      <c r="P294" s="603" t="s">
        <v>78</v>
      </c>
      <c r="Q294" s="604"/>
      <c r="R294" s="604"/>
      <c r="S294" s="604"/>
      <c r="T294" s="604"/>
      <c r="U294" s="604"/>
      <c r="V294" s="605"/>
      <c r="W294" s="37" t="s">
        <v>69</v>
      </c>
      <c r="X294" s="601">
        <f>IFERROR(SUM(X286:X292),"0")</f>
        <v>0</v>
      </c>
      <c r="Y294" s="601">
        <f>IFERROR(SUM(Y286:Y292),"0")</f>
        <v>0</v>
      </c>
      <c r="Z294" s="37"/>
      <c r="AA294" s="602"/>
      <c r="AB294" s="602"/>
      <c r="AC294" s="602"/>
    </row>
    <row r="295" spans="1:68" ht="14.25" customHeight="1" x14ac:dyDescent="0.25">
      <c r="A295" s="659" t="s">
        <v>165</v>
      </c>
      <c r="B295" s="612"/>
      <c r="C295" s="612"/>
      <c r="D295" s="612"/>
      <c r="E295" s="612"/>
      <c r="F295" s="612"/>
      <c r="G295" s="612"/>
      <c r="H295" s="612"/>
      <c r="I295" s="612"/>
      <c r="J295" s="612"/>
      <c r="K295" s="612"/>
      <c r="L295" s="612"/>
      <c r="M295" s="612"/>
      <c r="N295" s="612"/>
      <c r="O295" s="612"/>
      <c r="P295" s="612"/>
      <c r="Q295" s="612"/>
      <c r="R295" s="612"/>
      <c r="S295" s="612"/>
      <c r="T295" s="612"/>
      <c r="U295" s="612"/>
      <c r="V295" s="612"/>
      <c r="W295" s="612"/>
      <c r="X295" s="612"/>
      <c r="Y295" s="612"/>
      <c r="Z295" s="612"/>
      <c r="AA295" s="595"/>
      <c r="AB295" s="595"/>
      <c r="AC295" s="595"/>
    </row>
    <row r="296" spans="1:68" ht="27" customHeight="1" x14ac:dyDescent="0.25">
      <c r="A296" s="54" t="s">
        <v>494</v>
      </c>
      <c r="B296" s="54" t="s">
        <v>495</v>
      </c>
      <c r="C296" s="31">
        <v>4301020377</v>
      </c>
      <c r="D296" s="614">
        <v>4680115885981</v>
      </c>
      <c r="E296" s="615"/>
      <c r="F296" s="598">
        <v>0.33</v>
      </c>
      <c r="G296" s="32">
        <v>6</v>
      </c>
      <c r="H296" s="598">
        <v>1.98</v>
      </c>
      <c r="I296" s="598">
        <v>2.08</v>
      </c>
      <c r="J296" s="32">
        <v>234</v>
      </c>
      <c r="K296" s="32" t="s">
        <v>73</v>
      </c>
      <c r="L296" s="32"/>
      <c r="M296" s="33" t="s">
        <v>83</v>
      </c>
      <c r="N296" s="33"/>
      <c r="O296" s="32">
        <v>50</v>
      </c>
      <c r="P296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07"/>
      <c r="R296" s="607"/>
      <c r="S296" s="607"/>
      <c r="T296" s="608"/>
      <c r="U296" s="34"/>
      <c r="V296" s="34"/>
      <c r="W296" s="35" t="s">
        <v>69</v>
      </c>
      <c r="X296" s="599">
        <v>0</v>
      </c>
      <c r="Y296" s="600">
        <f>IFERROR(IF(X296="",0,CEILING((X296/$H296),1)*$H296),"")</f>
        <v>0</v>
      </c>
      <c r="Z296" s="36" t="str">
        <f>IFERROR(IF(Y296=0,"",ROUNDUP(Y296/H296,0)*0.00502),"")</f>
        <v/>
      </c>
      <c r="AA296" s="56"/>
      <c r="AB296" s="57"/>
      <c r="AC296" s="365" t="s">
        <v>496</v>
      </c>
      <c r="AG296" s="64"/>
      <c r="AJ296" s="68"/>
      <c r="AK296" s="68">
        <v>0</v>
      </c>
      <c r="BB296" s="36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11"/>
      <c r="B297" s="612"/>
      <c r="C297" s="612"/>
      <c r="D297" s="612"/>
      <c r="E297" s="612"/>
      <c r="F297" s="612"/>
      <c r="G297" s="612"/>
      <c r="H297" s="612"/>
      <c r="I297" s="612"/>
      <c r="J297" s="612"/>
      <c r="K297" s="612"/>
      <c r="L297" s="612"/>
      <c r="M297" s="612"/>
      <c r="N297" s="612"/>
      <c r="O297" s="613"/>
      <c r="P297" s="603" t="s">
        <v>78</v>
      </c>
      <c r="Q297" s="604"/>
      <c r="R297" s="604"/>
      <c r="S297" s="604"/>
      <c r="T297" s="604"/>
      <c r="U297" s="604"/>
      <c r="V297" s="605"/>
      <c r="W297" s="37" t="s">
        <v>79</v>
      </c>
      <c r="X297" s="601">
        <f>IFERROR(X296/H296,"0")</f>
        <v>0</v>
      </c>
      <c r="Y297" s="601">
        <f>IFERROR(Y296/H296,"0")</f>
        <v>0</v>
      </c>
      <c r="Z297" s="601">
        <f>IFERROR(IF(Z296="",0,Z296),"0")</f>
        <v>0</v>
      </c>
      <c r="AA297" s="602"/>
      <c r="AB297" s="602"/>
      <c r="AC297" s="602"/>
    </row>
    <row r="298" spans="1:68" x14ac:dyDescent="0.2">
      <c r="A298" s="612"/>
      <c r="B298" s="612"/>
      <c r="C298" s="612"/>
      <c r="D298" s="612"/>
      <c r="E298" s="612"/>
      <c r="F298" s="612"/>
      <c r="G298" s="612"/>
      <c r="H298" s="612"/>
      <c r="I298" s="612"/>
      <c r="J298" s="612"/>
      <c r="K298" s="612"/>
      <c r="L298" s="612"/>
      <c r="M298" s="612"/>
      <c r="N298" s="612"/>
      <c r="O298" s="613"/>
      <c r="P298" s="603" t="s">
        <v>78</v>
      </c>
      <c r="Q298" s="604"/>
      <c r="R298" s="604"/>
      <c r="S298" s="604"/>
      <c r="T298" s="604"/>
      <c r="U298" s="604"/>
      <c r="V298" s="605"/>
      <c r="W298" s="37" t="s">
        <v>69</v>
      </c>
      <c r="X298" s="601">
        <f>IFERROR(SUM(X296:X296),"0")</f>
        <v>0</v>
      </c>
      <c r="Y298" s="601">
        <f>IFERROR(SUM(Y296:Y296),"0")</f>
        <v>0</v>
      </c>
      <c r="Z298" s="37"/>
      <c r="AA298" s="602"/>
      <c r="AB298" s="602"/>
      <c r="AC298" s="602"/>
    </row>
    <row r="299" spans="1:68" ht="14.25" customHeight="1" x14ac:dyDescent="0.25">
      <c r="A299" s="659" t="s">
        <v>497</v>
      </c>
      <c r="B299" s="612"/>
      <c r="C299" s="612"/>
      <c r="D299" s="612"/>
      <c r="E299" s="612"/>
      <c r="F299" s="612"/>
      <c r="G299" s="612"/>
      <c r="H299" s="612"/>
      <c r="I299" s="612"/>
      <c r="J299" s="612"/>
      <c r="K299" s="612"/>
      <c r="L299" s="612"/>
      <c r="M299" s="612"/>
      <c r="N299" s="612"/>
      <c r="O299" s="612"/>
      <c r="P299" s="612"/>
      <c r="Q299" s="612"/>
      <c r="R299" s="612"/>
      <c r="S299" s="612"/>
      <c r="T299" s="612"/>
      <c r="U299" s="612"/>
      <c r="V299" s="612"/>
      <c r="W299" s="612"/>
      <c r="X299" s="612"/>
      <c r="Y299" s="612"/>
      <c r="Z299" s="612"/>
      <c r="AA299" s="595"/>
      <c r="AB299" s="595"/>
      <c r="AC299" s="595"/>
    </row>
    <row r="300" spans="1:68" ht="27" customHeight="1" x14ac:dyDescent="0.25">
      <c r="A300" s="54" t="s">
        <v>498</v>
      </c>
      <c r="B300" s="54" t="s">
        <v>499</v>
      </c>
      <c r="C300" s="31">
        <v>4301040362</v>
      </c>
      <c r="D300" s="614">
        <v>4680115886803</v>
      </c>
      <c r="E300" s="615"/>
      <c r="F300" s="598">
        <v>0.12</v>
      </c>
      <c r="G300" s="32">
        <v>15</v>
      </c>
      <c r="H300" s="598">
        <v>1.8</v>
      </c>
      <c r="I300" s="598">
        <v>1.9750000000000001</v>
      </c>
      <c r="J300" s="32">
        <v>216</v>
      </c>
      <c r="K300" s="32" t="s">
        <v>325</v>
      </c>
      <c r="L300" s="32"/>
      <c r="M300" s="33" t="s">
        <v>326</v>
      </c>
      <c r="N300" s="33"/>
      <c r="O300" s="32">
        <v>45</v>
      </c>
      <c r="P300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07"/>
      <c r="R300" s="607"/>
      <c r="S300" s="607"/>
      <c r="T300" s="608"/>
      <c r="U300" s="34"/>
      <c r="V300" s="34"/>
      <c r="W300" s="35" t="s">
        <v>69</v>
      </c>
      <c r="X300" s="599">
        <v>0</v>
      </c>
      <c r="Y300" s="600">
        <f>IFERROR(IF(X300="",0,CEILING((X300/$H300),1)*$H300),"")</f>
        <v>0</v>
      </c>
      <c r="Z300" s="36" t="str">
        <f>IFERROR(IF(Y300=0,"",ROUNDUP(Y300/H300,0)*0.0059),"")</f>
        <v/>
      </c>
      <c r="AA300" s="56"/>
      <c r="AB300" s="57"/>
      <c r="AC300" s="367" t="s">
        <v>500</v>
      </c>
      <c r="AG300" s="64"/>
      <c r="AJ300" s="68"/>
      <c r="AK300" s="68">
        <v>0</v>
      </c>
      <c r="BB300" s="368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611"/>
      <c r="B301" s="612"/>
      <c r="C301" s="612"/>
      <c r="D301" s="612"/>
      <c r="E301" s="612"/>
      <c r="F301" s="612"/>
      <c r="G301" s="612"/>
      <c r="H301" s="612"/>
      <c r="I301" s="612"/>
      <c r="J301" s="612"/>
      <c r="K301" s="612"/>
      <c r="L301" s="612"/>
      <c r="M301" s="612"/>
      <c r="N301" s="612"/>
      <c r="O301" s="613"/>
      <c r="P301" s="603" t="s">
        <v>78</v>
      </c>
      <c r="Q301" s="604"/>
      <c r="R301" s="604"/>
      <c r="S301" s="604"/>
      <c r="T301" s="604"/>
      <c r="U301" s="604"/>
      <c r="V301" s="605"/>
      <c r="W301" s="37" t="s">
        <v>79</v>
      </c>
      <c r="X301" s="601">
        <f>IFERROR(X300/H300,"0")</f>
        <v>0</v>
      </c>
      <c r="Y301" s="601">
        <f>IFERROR(Y300/H300,"0")</f>
        <v>0</v>
      </c>
      <c r="Z301" s="601">
        <f>IFERROR(IF(Z300="",0,Z300),"0")</f>
        <v>0</v>
      </c>
      <c r="AA301" s="602"/>
      <c r="AB301" s="602"/>
      <c r="AC301" s="602"/>
    </row>
    <row r="302" spans="1:68" x14ac:dyDescent="0.2">
      <c r="A302" s="612"/>
      <c r="B302" s="612"/>
      <c r="C302" s="612"/>
      <c r="D302" s="612"/>
      <c r="E302" s="612"/>
      <c r="F302" s="612"/>
      <c r="G302" s="612"/>
      <c r="H302" s="612"/>
      <c r="I302" s="612"/>
      <c r="J302" s="612"/>
      <c r="K302" s="612"/>
      <c r="L302" s="612"/>
      <c r="M302" s="612"/>
      <c r="N302" s="612"/>
      <c r="O302" s="613"/>
      <c r="P302" s="603" t="s">
        <v>78</v>
      </c>
      <c r="Q302" s="604"/>
      <c r="R302" s="604"/>
      <c r="S302" s="604"/>
      <c r="T302" s="604"/>
      <c r="U302" s="604"/>
      <c r="V302" s="605"/>
      <c r="W302" s="37" t="s">
        <v>69</v>
      </c>
      <c r="X302" s="601">
        <f>IFERROR(SUM(X300:X300),"0")</f>
        <v>0</v>
      </c>
      <c r="Y302" s="601">
        <f>IFERROR(SUM(Y300:Y300),"0")</f>
        <v>0</v>
      </c>
      <c r="Z302" s="37"/>
      <c r="AA302" s="602"/>
      <c r="AB302" s="602"/>
      <c r="AC302" s="602"/>
    </row>
    <row r="303" spans="1:68" ht="14.25" customHeight="1" x14ac:dyDescent="0.25">
      <c r="A303" s="659" t="s">
        <v>331</v>
      </c>
      <c r="B303" s="612"/>
      <c r="C303" s="612"/>
      <c r="D303" s="612"/>
      <c r="E303" s="612"/>
      <c r="F303" s="612"/>
      <c r="G303" s="612"/>
      <c r="H303" s="612"/>
      <c r="I303" s="612"/>
      <c r="J303" s="612"/>
      <c r="K303" s="612"/>
      <c r="L303" s="612"/>
      <c r="M303" s="612"/>
      <c r="N303" s="612"/>
      <c r="O303" s="612"/>
      <c r="P303" s="612"/>
      <c r="Q303" s="612"/>
      <c r="R303" s="612"/>
      <c r="S303" s="612"/>
      <c r="T303" s="612"/>
      <c r="U303" s="612"/>
      <c r="V303" s="612"/>
      <c r="W303" s="612"/>
      <c r="X303" s="612"/>
      <c r="Y303" s="612"/>
      <c r="Z303" s="612"/>
      <c r="AA303" s="595"/>
      <c r="AB303" s="595"/>
      <c r="AC303" s="595"/>
    </row>
    <row r="304" spans="1:68" ht="27" customHeight="1" x14ac:dyDescent="0.25">
      <c r="A304" s="54" t="s">
        <v>501</v>
      </c>
      <c r="B304" s="54" t="s">
        <v>502</v>
      </c>
      <c r="C304" s="31">
        <v>4301041004</v>
      </c>
      <c r="D304" s="614">
        <v>4680115886704</v>
      </c>
      <c r="E304" s="615"/>
      <c r="F304" s="598">
        <v>5.5E-2</v>
      </c>
      <c r="G304" s="32">
        <v>18</v>
      </c>
      <c r="H304" s="598">
        <v>0.99</v>
      </c>
      <c r="I304" s="598">
        <v>1.18</v>
      </c>
      <c r="J304" s="32">
        <v>216</v>
      </c>
      <c r="K304" s="32" t="s">
        <v>325</v>
      </c>
      <c r="L304" s="32"/>
      <c r="M304" s="33" t="s">
        <v>326</v>
      </c>
      <c r="N304" s="33"/>
      <c r="O304" s="32">
        <v>90</v>
      </c>
      <c r="P304" s="80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07"/>
      <c r="R304" s="607"/>
      <c r="S304" s="607"/>
      <c r="T304" s="608"/>
      <c r="U304" s="34"/>
      <c r="V304" s="34"/>
      <c r="W304" s="35" t="s">
        <v>69</v>
      </c>
      <c r="X304" s="599">
        <v>0</v>
      </c>
      <c r="Y304" s="600">
        <f>IFERROR(IF(X304="",0,CEILING((X304/$H304),1)*$H304),"")</f>
        <v>0</v>
      </c>
      <c r="Z304" s="36" t="str">
        <f>IFERROR(IF(Y304=0,"",ROUNDUP(Y304/H304,0)*0.0059),"")</f>
        <v/>
      </c>
      <c r="AA304" s="56"/>
      <c r="AB304" s="57"/>
      <c r="AC304" s="369" t="s">
        <v>503</v>
      </c>
      <c r="AG304" s="64"/>
      <c r="AJ304" s="68"/>
      <c r="AK304" s="68">
        <v>0</v>
      </c>
      <c r="BB304" s="370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t="27" customHeight="1" x14ac:dyDescent="0.25">
      <c r="A305" s="54" t="s">
        <v>504</v>
      </c>
      <c r="B305" s="54" t="s">
        <v>505</v>
      </c>
      <c r="C305" s="31">
        <v>4301041008</v>
      </c>
      <c r="D305" s="614">
        <v>4680115886681</v>
      </c>
      <c r="E305" s="615"/>
      <c r="F305" s="598">
        <v>0.12</v>
      </c>
      <c r="G305" s="32">
        <v>15</v>
      </c>
      <c r="H305" s="598">
        <v>1.8</v>
      </c>
      <c r="I305" s="598">
        <v>1.9750000000000001</v>
      </c>
      <c r="J305" s="32">
        <v>216</v>
      </c>
      <c r="K305" s="32" t="s">
        <v>325</v>
      </c>
      <c r="L305" s="32"/>
      <c r="M305" s="33" t="s">
        <v>326</v>
      </c>
      <c r="N305" s="33"/>
      <c r="O305" s="32">
        <v>90</v>
      </c>
      <c r="P305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07"/>
      <c r="R305" s="607"/>
      <c r="S305" s="607"/>
      <c r="T305" s="608"/>
      <c r="U305" s="34"/>
      <c r="V305" s="34"/>
      <c r="W305" s="35" t="s">
        <v>69</v>
      </c>
      <c r="X305" s="599">
        <v>0</v>
      </c>
      <c r="Y305" s="600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503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506</v>
      </c>
      <c r="B306" s="54" t="s">
        <v>507</v>
      </c>
      <c r="C306" s="31">
        <v>4301041007</v>
      </c>
      <c r="D306" s="614">
        <v>4680115886735</v>
      </c>
      <c r="E306" s="615"/>
      <c r="F306" s="598">
        <v>0.05</v>
      </c>
      <c r="G306" s="32">
        <v>18</v>
      </c>
      <c r="H306" s="598">
        <v>0.9</v>
      </c>
      <c r="I306" s="598">
        <v>1.0900000000000001</v>
      </c>
      <c r="J306" s="32">
        <v>216</v>
      </c>
      <c r="K306" s="32" t="s">
        <v>325</v>
      </c>
      <c r="L306" s="32"/>
      <c r="M306" s="33" t="s">
        <v>326</v>
      </c>
      <c r="N306" s="33"/>
      <c r="O306" s="32">
        <v>90</v>
      </c>
      <c r="P306" s="81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07"/>
      <c r="R306" s="607"/>
      <c r="S306" s="607"/>
      <c r="T306" s="608"/>
      <c r="U306" s="34"/>
      <c r="V306" s="34"/>
      <c r="W306" s="35" t="s">
        <v>69</v>
      </c>
      <c r="X306" s="599">
        <v>0</v>
      </c>
      <c r="Y306" s="600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503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508</v>
      </c>
      <c r="B307" s="54" t="s">
        <v>509</v>
      </c>
      <c r="C307" s="31">
        <v>4301041006</v>
      </c>
      <c r="D307" s="614">
        <v>4680115886728</v>
      </c>
      <c r="E307" s="615"/>
      <c r="F307" s="598">
        <v>5.5E-2</v>
      </c>
      <c r="G307" s="32">
        <v>18</v>
      </c>
      <c r="H307" s="598">
        <v>0.99</v>
      </c>
      <c r="I307" s="598">
        <v>1.18</v>
      </c>
      <c r="J307" s="32">
        <v>216</v>
      </c>
      <c r="K307" s="32" t="s">
        <v>325</v>
      </c>
      <c r="L307" s="32"/>
      <c r="M307" s="33" t="s">
        <v>326</v>
      </c>
      <c r="N307" s="33"/>
      <c r="O307" s="32">
        <v>90</v>
      </c>
      <c r="P307" s="9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07"/>
      <c r="R307" s="607"/>
      <c r="S307" s="607"/>
      <c r="T307" s="608"/>
      <c r="U307" s="34"/>
      <c r="V307" s="34"/>
      <c r="W307" s="35" t="s">
        <v>69</v>
      </c>
      <c r="X307" s="599">
        <v>0</v>
      </c>
      <c r="Y307" s="600">
        <f>IFERROR(IF(X307="",0,CEILING((X307/$H307),1)*$H307),"")</f>
        <v>0</v>
      </c>
      <c r="Z307" s="36" t="str">
        <f>IFERROR(IF(Y307=0,"",ROUNDUP(Y307/H307,0)*0.0059),"")</f>
        <v/>
      </c>
      <c r="AA307" s="56"/>
      <c r="AB307" s="57"/>
      <c r="AC307" s="375" t="s">
        <v>503</v>
      </c>
      <c r="AG307" s="64"/>
      <c r="AJ307" s="68"/>
      <c r="AK307" s="68">
        <v>0</v>
      </c>
      <c r="BB307" s="37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510</v>
      </c>
      <c r="B308" s="54" t="s">
        <v>511</v>
      </c>
      <c r="C308" s="31">
        <v>4301041005</v>
      </c>
      <c r="D308" s="614">
        <v>4680115886711</v>
      </c>
      <c r="E308" s="615"/>
      <c r="F308" s="598">
        <v>5.5E-2</v>
      </c>
      <c r="G308" s="32">
        <v>18</v>
      </c>
      <c r="H308" s="598">
        <v>0.99</v>
      </c>
      <c r="I308" s="598">
        <v>1.18</v>
      </c>
      <c r="J308" s="32">
        <v>216</v>
      </c>
      <c r="K308" s="32" t="s">
        <v>325</v>
      </c>
      <c r="L308" s="32"/>
      <c r="M308" s="33" t="s">
        <v>326</v>
      </c>
      <c r="N308" s="33"/>
      <c r="O308" s="32">
        <v>90</v>
      </c>
      <c r="P308" s="77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07"/>
      <c r="R308" s="607"/>
      <c r="S308" s="607"/>
      <c r="T308" s="608"/>
      <c r="U308" s="34"/>
      <c r="V308" s="34"/>
      <c r="W308" s="35" t="s">
        <v>69</v>
      </c>
      <c r="X308" s="599">
        <v>0</v>
      </c>
      <c r="Y308" s="600">
        <f>IFERROR(IF(X308="",0,CEILING((X308/$H308),1)*$H308),"")</f>
        <v>0</v>
      </c>
      <c r="Z308" s="36" t="str">
        <f>IFERROR(IF(Y308=0,"",ROUNDUP(Y308/H308,0)*0.0059),"")</f>
        <v/>
      </c>
      <c r="AA308" s="56"/>
      <c r="AB308" s="57"/>
      <c r="AC308" s="377" t="s">
        <v>503</v>
      </c>
      <c r="AG308" s="64"/>
      <c r="AJ308" s="68"/>
      <c r="AK308" s="68">
        <v>0</v>
      </c>
      <c r="BB308" s="37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x14ac:dyDescent="0.2">
      <c r="A309" s="611"/>
      <c r="B309" s="612"/>
      <c r="C309" s="612"/>
      <c r="D309" s="612"/>
      <c r="E309" s="612"/>
      <c r="F309" s="612"/>
      <c r="G309" s="612"/>
      <c r="H309" s="612"/>
      <c r="I309" s="612"/>
      <c r="J309" s="612"/>
      <c r="K309" s="612"/>
      <c r="L309" s="612"/>
      <c r="M309" s="612"/>
      <c r="N309" s="612"/>
      <c r="O309" s="613"/>
      <c r="P309" s="603" t="s">
        <v>78</v>
      </c>
      <c r="Q309" s="604"/>
      <c r="R309" s="604"/>
      <c r="S309" s="604"/>
      <c r="T309" s="604"/>
      <c r="U309" s="604"/>
      <c r="V309" s="605"/>
      <c r="W309" s="37" t="s">
        <v>79</v>
      </c>
      <c r="X309" s="601">
        <f>IFERROR(X304/H304,"0")+IFERROR(X305/H305,"0")+IFERROR(X306/H306,"0")+IFERROR(X307/H307,"0")+IFERROR(X308/H308,"0")</f>
        <v>0</v>
      </c>
      <c r="Y309" s="601">
        <f>IFERROR(Y304/H304,"0")+IFERROR(Y305/H305,"0")+IFERROR(Y306/H306,"0")+IFERROR(Y307/H307,"0")+IFERROR(Y308/H308,"0")</f>
        <v>0</v>
      </c>
      <c r="Z309" s="601">
        <f>IFERROR(IF(Z304="",0,Z304),"0")+IFERROR(IF(Z305="",0,Z305),"0")+IFERROR(IF(Z306="",0,Z306),"0")+IFERROR(IF(Z307="",0,Z307),"0")+IFERROR(IF(Z308="",0,Z308),"0")</f>
        <v>0</v>
      </c>
      <c r="AA309" s="602"/>
      <c r="AB309" s="602"/>
      <c r="AC309" s="602"/>
    </row>
    <row r="310" spans="1:68" x14ac:dyDescent="0.2">
      <c r="A310" s="612"/>
      <c r="B310" s="612"/>
      <c r="C310" s="612"/>
      <c r="D310" s="612"/>
      <c r="E310" s="612"/>
      <c r="F310" s="612"/>
      <c r="G310" s="612"/>
      <c r="H310" s="612"/>
      <c r="I310" s="612"/>
      <c r="J310" s="612"/>
      <c r="K310" s="612"/>
      <c r="L310" s="612"/>
      <c r="M310" s="612"/>
      <c r="N310" s="612"/>
      <c r="O310" s="613"/>
      <c r="P310" s="603" t="s">
        <v>78</v>
      </c>
      <c r="Q310" s="604"/>
      <c r="R310" s="604"/>
      <c r="S310" s="604"/>
      <c r="T310" s="604"/>
      <c r="U310" s="604"/>
      <c r="V310" s="605"/>
      <c r="W310" s="37" t="s">
        <v>69</v>
      </c>
      <c r="X310" s="601">
        <f>IFERROR(SUM(X304:X308),"0")</f>
        <v>0</v>
      </c>
      <c r="Y310" s="601">
        <f>IFERROR(SUM(Y304:Y308),"0")</f>
        <v>0</v>
      </c>
      <c r="Z310" s="37"/>
      <c r="AA310" s="602"/>
      <c r="AB310" s="602"/>
      <c r="AC310" s="602"/>
    </row>
    <row r="311" spans="1:68" ht="16.5" customHeight="1" x14ac:dyDescent="0.25">
      <c r="A311" s="622" t="s">
        <v>512</v>
      </c>
      <c r="B311" s="612"/>
      <c r="C311" s="612"/>
      <c r="D311" s="612"/>
      <c r="E311" s="612"/>
      <c r="F311" s="612"/>
      <c r="G311" s="612"/>
      <c r="H311" s="612"/>
      <c r="I311" s="612"/>
      <c r="J311" s="612"/>
      <c r="K311" s="612"/>
      <c r="L311" s="612"/>
      <c r="M311" s="612"/>
      <c r="N311" s="612"/>
      <c r="O311" s="612"/>
      <c r="P311" s="612"/>
      <c r="Q311" s="612"/>
      <c r="R311" s="612"/>
      <c r="S311" s="612"/>
      <c r="T311" s="612"/>
      <c r="U311" s="612"/>
      <c r="V311" s="612"/>
      <c r="W311" s="612"/>
      <c r="X311" s="612"/>
      <c r="Y311" s="612"/>
      <c r="Z311" s="612"/>
      <c r="AA311" s="594"/>
      <c r="AB311" s="594"/>
      <c r="AC311" s="594"/>
    </row>
    <row r="312" spans="1:68" ht="14.25" customHeight="1" x14ac:dyDescent="0.25">
      <c r="A312" s="659" t="s">
        <v>130</v>
      </c>
      <c r="B312" s="612"/>
      <c r="C312" s="612"/>
      <c r="D312" s="612"/>
      <c r="E312" s="612"/>
      <c r="F312" s="612"/>
      <c r="G312" s="612"/>
      <c r="H312" s="612"/>
      <c r="I312" s="612"/>
      <c r="J312" s="612"/>
      <c r="K312" s="612"/>
      <c r="L312" s="612"/>
      <c r="M312" s="612"/>
      <c r="N312" s="612"/>
      <c r="O312" s="612"/>
      <c r="P312" s="612"/>
      <c r="Q312" s="612"/>
      <c r="R312" s="612"/>
      <c r="S312" s="612"/>
      <c r="T312" s="612"/>
      <c r="U312" s="612"/>
      <c r="V312" s="612"/>
      <c r="W312" s="612"/>
      <c r="X312" s="612"/>
      <c r="Y312" s="612"/>
      <c r="Z312" s="612"/>
      <c r="AA312" s="595"/>
      <c r="AB312" s="595"/>
      <c r="AC312" s="595"/>
    </row>
    <row r="313" spans="1:68" ht="27" customHeight="1" x14ac:dyDescent="0.25">
      <c r="A313" s="54" t="s">
        <v>513</v>
      </c>
      <c r="B313" s="54" t="s">
        <v>514</v>
      </c>
      <c r="C313" s="31">
        <v>4301011855</v>
      </c>
      <c r="D313" s="614">
        <v>4680115885837</v>
      </c>
      <c r="E313" s="615"/>
      <c r="F313" s="598">
        <v>1.35</v>
      </c>
      <c r="G313" s="32">
        <v>8</v>
      </c>
      <c r="H313" s="598">
        <v>10.8</v>
      </c>
      <c r="I313" s="598">
        <v>11.21</v>
      </c>
      <c r="J313" s="32">
        <v>64</v>
      </c>
      <c r="K313" s="32" t="s">
        <v>133</v>
      </c>
      <c r="L313" s="32"/>
      <c r="M313" s="33" t="s">
        <v>134</v>
      </c>
      <c r="N313" s="33"/>
      <c r="O313" s="32">
        <v>55</v>
      </c>
      <c r="P313" s="9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07"/>
      <c r="R313" s="607"/>
      <c r="S313" s="607"/>
      <c r="T313" s="608"/>
      <c r="U313" s="34"/>
      <c r="V313" s="34"/>
      <c r="W313" s="35" t="s">
        <v>69</v>
      </c>
      <c r="X313" s="599">
        <v>0</v>
      </c>
      <c r="Y313" s="600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515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37.5" customHeight="1" x14ac:dyDescent="0.25">
      <c r="A314" s="54" t="s">
        <v>516</v>
      </c>
      <c r="B314" s="54" t="s">
        <v>517</v>
      </c>
      <c r="C314" s="31">
        <v>4301012234</v>
      </c>
      <c r="D314" s="614">
        <v>4680115887237</v>
      </c>
      <c r="E314" s="615"/>
      <c r="F314" s="598">
        <v>1.35</v>
      </c>
      <c r="G314" s="32">
        <v>8</v>
      </c>
      <c r="H314" s="598">
        <v>10.8</v>
      </c>
      <c r="I314" s="598">
        <v>11.21</v>
      </c>
      <c r="J314" s="32">
        <v>64</v>
      </c>
      <c r="K314" s="32" t="s">
        <v>133</v>
      </c>
      <c r="L314" s="32"/>
      <c r="M314" s="33" t="s">
        <v>134</v>
      </c>
      <c r="N314" s="33"/>
      <c r="O314" s="32">
        <v>55</v>
      </c>
      <c r="P314" s="84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07"/>
      <c r="R314" s="607"/>
      <c r="S314" s="607"/>
      <c r="T314" s="608"/>
      <c r="U314" s="34"/>
      <c r="V314" s="34"/>
      <c r="W314" s="35" t="s">
        <v>69</v>
      </c>
      <c r="X314" s="599">
        <v>0</v>
      </c>
      <c r="Y314" s="60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518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519</v>
      </c>
      <c r="B315" s="54" t="s">
        <v>520</v>
      </c>
      <c r="C315" s="31">
        <v>4301011850</v>
      </c>
      <c r="D315" s="614">
        <v>4680115885806</v>
      </c>
      <c r="E315" s="615"/>
      <c r="F315" s="598">
        <v>1.35</v>
      </c>
      <c r="G315" s="32">
        <v>8</v>
      </c>
      <c r="H315" s="598">
        <v>10.8</v>
      </c>
      <c r="I315" s="598">
        <v>11.21</v>
      </c>
      <c r="J315" s="32">
        <v>64</v>
      </c>
      <c r="K315" s="32" t="s">
        <v>133</v>
      </c>
      <c r="L315" s="32"/>
      <c r="M315" s="33" t="s">
        <v>134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07"/>
      <c r="R315" s="607"/>
      <c r="S315" s="607"/>
      <c r="T315" s="608"/>
      <c r="U315" s="34"/>
      <c r="V315" s="34"/>
      <c r="W315" s="35" t="s">
        <v>69</v>
      </c>
      <c r="X315" s="599">
        <v>0</v>
      </c>
      <c r="Y315" s="60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521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522</v>
      </c>
      <c r="B316" s="54" t="s">
        <v>523</v>
      </c>
      <c r="C316" s="31">
        <v>4301011852</v>
      </c>
      <c r="D316" s="614">
        <v>4680115885844</v>
      </c>
      <c r="E316" s="615"/>
      <c r="F316" s="598">
        <v>0.4</v>
      </c>
      <c r="G316" s="32">
        <v>10</v>
      </c>
      <c r="H316" s="598">
        <v>4</v>
      </c>
      <c r="I316" s="598">
        <v>4.1900000000000004</v>
      </c>
      <c r="J316" s="32">
        <v>132</v>
      </c>
      <c r="K316" s="32" t="s">
        <v>142</v>
      </c>
      <c r="L316" s="32"/>
      <c r="M316" s="33" t="s">
        <v>134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07"/>
      <c r="R316" s="607"/>
      <c r="S316" s="607"/>
      <c r="T316" s="608"/>
      <c r="U316" s="34"/>
      <c r="V316" s="34"/>
      <c r="W316" s="35" t="s">
        <v>69</v>
      </c>
      <c r="X316" s="599">
        <v>0</v>
      </c>
      <c r="Y316" s="600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524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525</v>
      </c>
      <c r="B317" s="54" t="s">
        <v>526</v>
      </c>
      <c r="C317" s="31">
        <v>4301011851</v>
      </c>
      <c r="D317" s="614">
        <v>4680115885820</v>
      </c>
      <c r="E317" s="615"/>
      <c r="F317" s="598">
        <v>0.4</v>
      </c>
      <c r="G317" s="32">
        <v>10</v>
      </c>
      <c r="H317" s="598">
        <v>4</v>
      </c>
      <c r="I317" s="598">
        <v>4.1900000000000004</v>
      </c>
      <c r="J317" s="32">
        <v>132</v>
      </c>
      <c r="K317" s="32" t="s">
        <v>142</v>
      </c>
      <c r="L317" s="32"/>
      <c r="M317" s="33" t="s">
        <v>134</v>
      </c>
      <c r="N317" s="33"/>
      <c r="O317" s="32">
        <v>55</v>
      </c>
      <c r="P317" s="91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07"/>
      <c r="R317" s="607"/>
      <c r="S317" s="607"/>
      <c r="T317" s="608"/>
      <c r="U317" s="34"/>
      <c r="V317" s="34"/>
      <c r="W317" s="35" t="s">
        <v>69</v>
      </c>
      <c r="X317" s="599">
        <v>0</v>
      </c>
      <c r="Y317" s="600">
        <f>IFERROR(IF(X317="",0,CEILING((X317/$H317),1)*$H317),"")</f>
        <v>0</v>
      </c>
      <c r="Z317" s="36" t="str">
        <f>IFERROR(IF(Y317=0,"",ROUNDUP(Y317/H317,0)*0.00902),"")</f>
        <v/>
      </c>
      <c r="AA317" s="56"/>
      <c r="AB317" s="57"/>
      <c r="AC317" s="387" t="s">
        <v>527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11"/>
      <c r="B318" s="612"/>
      <c r="C318" s="612"/>
      <c r="D318" s="612"/>
      <c r="E318" s="612"/>
      <c r="F318" s="612"/>
      <c r="G318" s="612"/>
      <c r="H318" s="612"/>
      <c r="I318" s="612"/>
      <c r="J318" s="612"/>
      <c r="K318" s="612"/>
      <c r="L318" s="612"/>
      <c r="M318" s="612"/>
      <c r="N318" s="612"/>
      <c r="O318" s="613"/>
      <c r="P318" s="603" t="s">
        <v>78</v>
      </c>
      <c r="Q318" s="604"/>
      <c r="R318" s="604"/>
      <c r="S318" s="604"/>
      <c r="T318" s="604"/>
      <c r="U318" s="604"/>
      <c r="V318" s="605"/>
      <c r="W318" s="37" t="s">
        <v>79</v>
      </c>
      <c r="X318" s="601">
        <f>IFERROR(X313/H313,"0")+IFERROR(X314/H314,"0")+IFERROR(X315/H315,"0")+IFERROR(X316/H316,"0")+IFERROR(X317/H317,"0")</f>
        <v>0</v>
      </c>
      <c r="Y318" s="601">
        <f>IFERROR(Y313/H313,"0")+IFERROR(Y314/H314,"0")+IFERROR(Y315/H315,"0")+IFERROR(Y316/H316,"0")+IFERROR(Y317/H317,"0")</f>
        <v>0</v>
      </c>
      <c r="Z318" s="601">
        <f>IFERROR(IF(Z313="",0,Z313),"0")+IFERROR(IF(Z314="",0,Z314),"0")+IFERROR(IF(Z315="",0,Z315),"0")+IFERROR(IF(Z316="",0,Z316),"0")+IFERROR(IF(Z317="",0,Z317),"0")</f>
        <v>0</v>
      </c>
      <c r="AA318" s="602"/>
      <c r="AB318" s="602"/>
      <c r="AC318" s="602"/>
    </row>
    <row r="319" spans="1:68" x14ac:dyDescent="0.2">
      <c r="A319" s="612"/>
      <c r="B319" s="612"/>
      <c r="C319" s="612"/>
      <c r="D319" s="612"/>
      <c r="E319" s="612"/>
      <c r="F319" s="612"/>
      <c r="G319" s="612"/>
      <c r="H319" s="612"/>
      <c r="I319" s="612"/>
      <c r="J319" s="612"/>
      <c r="K319" s="612"/>
      <c r="L319" s="612"/>
      <c r="M319" s="612"/>
      <c r="N319" s="612"/>
      <c r="O319" s="613"/>
      <c r="P319" s="603" t="s">
        <v>78</v>
      </c>
      <c r="Q319" s="604"/>
      <c r="R319" s="604"/>
      <c r="S319" s="604"/>
      <c r="T319" s="604"/>
      <c r="U319" s="604"/>
      <c r="V319" s="605"/>
      <c r="W319" s="37" t="s">
        <v>69</v>
      </c>
      <c r="X319" s="601">
        <f>IFERROR(SUM(X313:X317),"0")</f>
        <v>0</v>
      </c>
      <c r="Y319" s="601">
        <f>IFERROR(SUM(Y313:Y317),"0")</f>
        <v>0</v>
      </c>
      <c r="Z319" s="37"/>
      <c r="AA319" s="602"/>
      <c r="AB319" s="602"/>
      <c r="AC319" s="602"/>
    </row>
    <row r="320" spans="1:68" ht="16.5" customHeight="1" x14ac:dyDescent="0.25">
      <c r="A320" s="622" t="s">
        <v>528</v>
      </c>
      <c r="B320" s="612"/>
      <c r="C320" s="612"/>
      <c r="D320" s="612"/>
      <c r="E320" s="612"/>
      <c r="F320" s="612"/>
      <c r="G320" s="612"/>
      <c r="H320" s="612"/>
      <c r="I320" s="612"/>
      <c r="J320" s="612"/>
      <c r="K320" s="612"/>
      <c r="L320" s="612"/>
      <c r="M320" s="612"/>
      <c r="N320" s="612"/>
      <c r="O320" s="612"/>
      <c r="P320" s="612"/>
      <c r="Q320" s="612"/>
      <c r="R320" s="612"/>
      <c r="S320" s="612"/>
      <c r="T320" s="612"/>
      <c r="U320" s="612"/>
      <c r="V320" s="612"/>
      <c r="W320" s="612"/>
      <c r="X320" s="612"/>
      <c r="Y320" s="612"/>
      <c r="Z320" s="612"/>
      <c r="AA320" s="594"/>
      <c r="AB320" s="594"/>
      <c r="AC320" s="594"/>
    </row>
    <row r="321" spans="1:68" ht="14.25" customHeight="1" x14ac:dyDescent="0.25">
      <c r="A321" s="659" t="s">
        <v>80</v>
      </c>
      <c r="B321" s="612"/>
      <c r="C321" s="612"/>
      <c r="D321" s="612"/>
      <c r="E321" s="612"/>
      <c r="F321" s="612"/>
      <c r="G321" s="612"/>
      <c r="H321" s="612"/>
      <c r="I321" s="612"/>
      <c r="J321" s="612"/>
      <c r="K321" s="612"/>
      <c r="L321" s="612"/>
      <c r="M321" s="612"/>
      <c r="N321" s="612"/>
      <c r="O321" s="612"/>
      <c r="P321" s="612"/>
      <c r="Q321" s="612"/>
      <c r="R321" s="612"/>
      <c r="S321" s="612"/>
      <c r="T321" s="612"/>
      <c r="U321" s="612"/>
      <c r="V321" s="612"/>
      <c r="W321" s="612"/>
      <c r="X321" s="612"/>
      <c r="Y321" s="612"/>
      <c r="Z321" s="612"/>
      <c r="AA321" s="595"/>
      <c r="AB321" s="595"/>
      <c r="AC321" s="595"/>
    </row>
    <row r="322" spans="1:68" ht="27" customHeight="1" x14ac:dyDescent="0.25">
      <c r="A322" s="54" t="s">
        <v>529</v>
      </c>
      <c r="B322" s="54" t="s">
        <v>530</v>
      </c>
      <c r="C322" s="31">
        <v>4301051893</v>
      </c>
      <c r="D322" s="614">
        <v>4680115886186</v>
      </c>
      <c r="E322" s="615"/>
      <c r="F322" s="598">
        <v>0.3</v>
      </c>
      <c r="G322" s="32">
        <v>6</v>
      </c>
      <c r="H322" s="598">
        <v>1.8</v>
      </c>
      <c r="I322" s="598">
        <v>1.98</v>
      </c>
      <c r="J322" s="32">
        <v>182</v>
      </c>
      <c r="K322" s="32" t="s">
        <v>67</v>
      </c>
      <c r="L322" s="32"/>
      <c r="M322" s="33" t="s">
        <v>83</v>
      </c>
      <c r="N322" s="33"/>
      <c r="O322" s="32">
        <v>45</v>
      </c>
      <c r="P322" s="7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07"/>
      <c r="R322" s="607"/>
      <c r="S322" s="607"/>
      <c r="T322" s="608"/>
      <c r="U322" s="34"/>
      <c r="V322" s="34"/>
      <c r="W322" s="35" t="s">
        <v>69</v>
      </c>
      <c r="X322" s="599">
        <v>0</v>
      </c>
      <c r="Y322" s="60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531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532</v>
      </c>
      <c r="B323" s="54" t="s">
        <v>533</v>
      </c>
      <c r="C323" s="31">
        <v>4301051795</v>
      </c>
      <c r="D323" s="614">
        <v>4680115881228</v>
      </c>
      <c r="E323" s="615"/>
      <c r="F323" s="598">
        <v>0.4</v>
      </c>
      <c r="G323" s="32">
        <v>6</v>
      </c>
      <c r="H323" s="598">
        <v>2.4</v>
      </c>
      <c r="I323" s="598">
        <v>2.6520000000000001</v>
      </c>
      <c r="J323" s="32">
        <v>182</v>
      </c>
      <c r="K323" s="32" t="s">
        <v>67</v>
      </c>
      <c r="L323" s="32"/>
      <c r="M323" s="33" t="s">
        <v>89</v>
      </c>
      <c r="N323" s="33"/>
      <c r="O323" s="32">
        <v>40</v>
      </c>
      <c r="P323" s="8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07"/>
      <c r="R323" s="607"/>
      <c r="S323" s="607"/>
      <c r="T323" s="608"/>
      <c r="U323" s="34"/>
      <c r="V323" s="34"/>
      <c r="W323" s="35" t="s">
        <v>69</v>
      </c>
      <c r="X323" s="599">
        <v>0</v>
      </c>
      <c r="Y323" s="60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534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4301051388</v>
      </c>
      <c r="D324" s="614">
        <v>4680115881211</v>
      </c>
      <c r="E324" s="615"/>
      <c r="F324" s="598">
        <v>0.4</v>
      </c>
      <c r="G324" s="32">
        <v>6</v>
      </c>
      <c r="H324" s="598">
        <v>2.4</v>
      </c>
      <c r="I324" s="598">
        <v>2.58</v>
      </c>
      <c r="J324" s="32">
        <v>182</v>
      </c>
      <c r="K324" s="32" t="s">
        <v>67</v>
      </c>
      <c r="L324" s="32"/>
      <c r="M324" s="33" t="s">
        <v>83</v>
      </c>
      <c r="N324" s="33"/>
      <c r="O324" s="32">
        <v>45</v>
      </c>
      <c r="P324" s="79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07"/>
      <c r="R324" s="607"/>
      <c r="S324" s="607"/>
      <c r="T324" s="608"/>
      <c r="U324" s="34"/>
      <c r="V324" s="34"/>
      <c r="W324" s="35" t="s">
        <v>69</v>
      </c>
      <c r="X324" s="599">
        <v>138</v>
      </c>
      <c r="Y324" s="600">
        <f>IFERROR(IF(X324="",0,CEILING((X324/$H324),1)*$H324),"")</f>
        <v>139.19999999999999</v>
      </c>
      <c r="Z324" s="36">
        <f>IFERROR(IF(Y324=0,"",ROUNDUP(Y324/H324,0)*0.00651),"")</f>
        <v>0.37758000000000003</v>
      </c>
      <c r="AA324" s="56"/>
      <c r="AB324" s="57"/>
      <c r="AC324" s="393" t="s">
        <v>531</v>
      </c>
      <c r="AG324" s="64"/>
      <c r="AJ324" s="68"/>
      <c r="AK324" s="68">
        <v>0</v>
      </c>
      <c r="BB324" s="394" t="s">
        <v>1</v>
      </c>
      <c r="BM324" s="64">
        <f>IFERROR(X324*I324/H324,"0")</f>
        <v>148.35000000000002</v>
      </c>
      <c r="BN324" s="64">
        <f>IFERROR(Y324*I324/H324,"0")</f>
        <v>149.63999999999999</v>
      </c>
      <c r="BO324" s="64">
        <f>IFERROR(1/J324*(X324/H324),"0")</f>
        <v>0.31593406593406598</v>
      </c>
      <c r="BP324" s="64">
        <f>IFERROR(1/J324*(Y324/H324),"0")</f>
        <v>0.31868131868131871</v>
      </c>
    </row>
    <row r="325" spans="1:68" x14ac:dyDescent="0.2">
      <c r="A325" s="611"/>
      <c r="B325" s="612"/>
      <c r="C325" s="612"/>
      <c r="D325" s="612"/>
      <c r="E325" s="612"/>
      <c r="F325" s="612"/>
      <c r="G325" s="612"/>
      <c r="H325" s="612"/>
      <c r="I325" s="612"/>
      <c r="J325" s="612"/>
      <c r="K325" s="612"/>
      <c r="L325" s="612"/>
      <c r="M325" s="612"/>
      <c r="N325" s="612"/>
      <c r="O325" s="613"/>
      <c r="P325" s="603" t="s">
        <v>78</v>
      </c>
      <c r="Q325" s="604"/>
      <c r="R325" s="604"/>
      <c r="S325" s="604"/>
      <c r="T325" s="604"/>
      <c r="U325" s="604"/>
      <c r="V325" s="605"/>
      <c r="W325" s="37" t="s">
        <v>79</v>
      </c>
      <c r="X325" s="601">
        <f>IFERROR(X322/H322,"0")+IFERROR(X323/H323,"0")+IFERROR(X324/H324,"0")</f>
        <v>57.5</v>
      </c>
      <c r="Y325" s="601">
        <f>IFERROR(Y322/H322,"0")+IFERROR(Y323/H323,"0")+IFERROR(Y324/H324,"0")</f>
        <v>58</v>
      </c>
      <c r="Z325" s="601">
        <f>IFERROR(IF(Z322="",0,Z322),"0")+IFERROR(IF(Z323="",0,Z323),"0")+IFERROR(IF(Z324="",0,Z324),"0")</f>
        <v>0.37758000000000003</v>
      </c>
      <c r="AA325" s="602"/>
      <c r="AB325" s="602"/>
      <c r="AC325" s="602"/>
    </row>
    <row r="326" spans="1:68" x14ac:dyDescent="0.2">
      <c r="A326" s="612"/>
      <c r="B326" s="612"/>
      <c r="C326" s="612"/>
      <c r="D326" s="612"/>
      <c r="E326" s="612"/>
      <c r="F326" s="612"/>
      <c r="G326" s="612"/>
      <c r="H326" s="612"/>
      <c r="I326" s="612"/>
      <c r="J326" s="612"/>
      <c r="K326" s="612"/>
      <c r="L326" s="612"/>
      <c r="M326" s="612"/>
      <c r="N326" s="612"/>
      <c r="O326" s="613"/>
      <c r="P326" s="603" t="s">
        <v>78</v>
      </c>
      <c r="Q326" s="604"/>
      <c r="R326" s="604"/>
      <c r="S326" s="604"/>
      <c r="T326" s="604"/>
      <c r="U326" s="604"/>
      <c r="V326" s="605"/>
      <c r="W326" s="37" t="s">
        <v>69</v>
      </c>
      <c r="X326" s="601">
        <f>IFERROR(SUM(X322:X324),"0")</f>
        <v>138</v>
      </c>
      <c r="Y326" s="601">
        <f>IFERROR(SUM(Y322:Y324),"0")</f>
        <v>139.19999999999999</v>
      </c>
      <c r="Z326" s="37"/>
      <c r="AA326" s="602"/>
      <c r="AB326" s="602"/>
      <c r="AC326" s="602"/>
    </row>
    <row r="327" spans="1:68" ht="16.5" customHeight="1" x14ac:dyDescent="0.25">
      <c r="A327" s="622" t="s">
        <v>537</v>
      </c>
      <c r="B327" s="612"/>
      <c r="C327" s="612"/>
      <c r="D327" s="612"/>
      <c r="E327" s="612"/>
      <c r="F327" s="612"/>
      <c r="G327" s="612"/>
      <c r="H327" s="612"/>
      <c r="I327" s="612"/>
      <c r="J327" s="612"/>
      <c r="K327" s="612"/>
      <c r="L327" s="612"/>
      <c r="M327" s="612"/>
      <c r="N327" s="612"/>
      <c r="O327" s="612"/>
      <c r="P327" s="612"/>
      <c r="Q327" s="612"/>
      <c r="R327" s="612"/>
      <c r="S327" s="612"/>
      <c r="T327" s="612"/>
      <c r="U327" s="612"/>
      <c r="V327" s="612"/>
      <c r="W327" s="612"/>
      <c r="X327" s="612"/>
      <c r="Y327" s="612"/>
      <c r="Z327" s="612"/>
      <c r="AA327" s="594"/>
      <c r="AB327" s="594"/>
      <c r="AC327" s="594"/>
    </row>
    <row r="328" spans="1:68" ht="14.25" customHeight="1" x14ac:dyDescent="0.25">
      <c r="A328" s="659" t="s">
        <v>64</v>
      </c>
      <c r="B328" s="612"/>
      <c r="C328" s="612"/>
      <c r="D328" s="612"/>
      <c r="E328" s="612"/>
      <c r="F328" s="612"/>
      <c r="G328" s="612"/>
      <c r="H328" s="612"/>
      <c r="I328" s="612"/>
      <c r="J328" s="612"/>
      <c r="K328" s="612"/>
      <c r="L328" s="612"/>
      <c r="M328" s="612"/>
      <c r="N328" s="612"/>
      <c r="O328" s="612"/>
      <c r="P328" s="612"/>
      <c r="Q328" s="612"/>
      <c r="R328" s="612"/>
      <c r="S328" s="612"/>
      <c r="T328" s="612"/>
      <c r="U328" s="612"/>
      <c r="V328" s="612"/>
      <c r="W328" s="612"/>
      <c r="X328" s="612"/>
      <c r="Y328" s="612"/>
      <c r="Z328" s="612"/>
      <c r="AA328" s="595"/>
      <c r="AB328" s="595"/>
      <c r="AC328" s="595"/>
    </row>
    <row r="329" spans="1:68" ht="27" customHeight="1" x14ac:dyDescent="0.25">
      <c r="A329" s="54" t="s">
        <v>538</v>
      </c>
      <c r="B329" s="54" t="s">
        <v>539</v>
      </c>
      <c r="C329" s="31">
        <v>4301031445</v>
      </c>
      <c r="D329" s="614">
        <v>4680115888319</v>
      </c>
      <c r="E329" s="615"/>
      <c r="F329" s="598">
        <v>0.35</v>
      </c>
      <c r="G329" s="32">
        <v>6</v>
      </c>
      <c r="H329" s="598">
        <v>2.1</v>
      </c>
      <c r="I329" s="598">
        <v>2.23</v>
      </c>
      <c r="J329" s="32">
        <v>234</v>
      </c>
      <c r="K329" s="32" t="s">
        <v>73</v>
      </c>
      <c r="L329" s="32"/>
      <c r="M329" s="33" t="s">
        <v>68</v>
      </c>
      <c r="N329" s="33"/>
      <c r="O329" s="32">
        <v>45</v>
      </c>
      <c r="P329" s="6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07"/>
      <c r="R329" s="607"/>
      <c r="S329" s="607"/>
      <c r="T329" s="608"/>
      <c r="U329" s="34"/>
      <c r="V329" s="34"/>
      <c r="W329" s="35" t="s">
        <v>69</v>
      </c>
      <c r="X329" s="599">
        <v>0</v>
      </c>
      <c r="Y329" s="600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376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540</v>
      </c>
      <c r="B330" s="54" t="s">
        <v>541</v>
      </c>
      <c r="C330" s="31">
        <v>4301031502</v>
      </c>
      <c r="D330" s="614">
        <v>4680115884700</v>
      </c>
      <c r="E330" s="615"/>
      <c r="F330" s="598">
        <v>0.57999999999999996</v>
      </c>
      <c r="G330" s="32">
        <v>4</v>
      </c>
      <c r="H330" s="598">
        <v>2.3199999999999998</v>
      </c>
      <c r="I330" s="598">
        <v>2.42</v>
      </c>
      <c r="J330" s="32">
        <v>234</v>
      </c>
      <c r="K330" s="32" t="s">
        <v>73</v>
      </c>
      <c r="L330" s="32"/>
      <c r="M330" s="33" t="s">
        <v>68</v>
      </c>
      <c r="N330" s="33"/>
      <c r="O330" s="32">
        <v>40</v>
      </c>
      <c r="P330" s="8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07"/>
      <c r="R330" s="607"/>
      <c r="S330" s="607"/>
      <c r="T330" s="608"/>
      <c r="U330" s="34"/>
      <c r="V330" s="34"/>
      <c r="W330" s="35" t="s">
        <v>69</v>
      </c>
      <c r="X330" s="599">
        <v>0</v>
      </c>
      <c r="Y330" s="600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542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543</v>
      </c>
      <c r="B331" s="54" t="s">
        <v>544</v>
      </c>
      <c r="C331" s="31">
        <v>4301031307</v>
      </c>
      <c r="D331" s="614">
        <v>4680115880344</v>
      </c>
      <c r="E331" s="615"/>
      <c r="F331" s="598">
        <v>0.28000000000000003</v>
      </c>
      <c r="G331" s="32">
        <v>6</v>
      </c>
      <c r="H331" s="598">
        <v>1.68</v>
      </c>
      <c r="I331" s="598">
        <v>1.78</v>
      </c>
      <c r="J331" s="32">
        <v>234</v>
      </c>
      <c r="K331" s="32" t="s">
        <v>73</v>
      </c>
      <c r="L331" s="32"/>
      <c r="M331" s="33" t="s">
        <v>68</v>
      </c>
      <c r="N331" s="33"/>
      <c r="O331" s="32">
        <v>40</v>
      </c>
      <c r="P331" s="6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07"/>
      <c r="R331" s="607"/>
      <c r="S331" s="607"/>
      <c r="T331" s="608"/>
      <c r="U331" s="34"/>
      <c r="V331" s="34"/>
      <c r="W331" s="35" t="s">
        <v>69</v>
      </c>
      <c r="X331" s="599">
        <v>0</v>
      </c>
      <c r="Y331" s="600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99" t="s">
        <v>545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546</v>
      </c>
      <c r="B332" s="54" t="s">
        <v>547</v>
      </c>
      <c r="C332" s="31">
        <v>4301031501</v>
      </c>
      <c r="D332" s="614">
        <v>4680115886919</v>
      </c>
      <c r="E332" s="615"/>
      <c r="F332" s="598">
        <v>0.4</v>
      </c>
      <c r="G332" s="32">
        <v>6</v>
      </c>
      <c r="H332" s="598">
        <v>2.4</v>
      </c>
      <c r="I332" s="598">
        <v>2.58</v>
      </c>
      <c r="J332" s="32">
        <v>182</v>
      </c>
      <c r="K332" s="32" t="s">
        <v>67</v>
      </c>
      <c r="L332" s="32"/>
      <c r="M332" s="33" t="s">
        <v>68</v>
      </c>
      <c r="N332" s="33"/>
      <c r="O332" s="32">
        <v>40</v>
      </c>
      <c r="P332" s="8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07"/>
      <c r="R332" s="607"/>
      <c r="S332" s="607"/>
      <c r="T332" s="608"/>
      <c r="U332" s="34"/>
      <c r="V332" s="34"/>
      <c r="W332" s="35" t="s">
        <v>69</v>
      </c>
      <c r="X332" s="599">
        <v>0</v>
      </c>
      <c r="Y332" s="60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1" t="s">
        <v>548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549</v>
      </c>
      <c r="B333" s="54" t="s">
        <v>550</v>
      </c>
      <c r="C333" s="31">
        <v>4301031246</v>
      </c>
      <c r="D333" s="614">
        <v>4680115883970</v>
      </c>
      <c r="E333" s="615"/>
      <c r="F333" s="598">
        <v>0.28000000000000003</v>
      </c>
      <c r="G333" s="32">
        <v>6</v>
      </c>
      <c r="H333" s="598">
        <v>1.68</v>
      </c>
      <c r="I333" s="598">
        <v>2.5</v>
      </c>
      <c r="J333" s="32">
        <v>234</v>
      </c>
      <c r="K333" s="32" t="s">
        <v>73</v>
      </c>
      <c r="L333" s="32"/>
      <c r="M333" s="33" t="s">
        <v>68</v>
      </c>
      <c r="N333" s="33"/>
      <c r="O333" s="32">
        <v>40</v>
      </c>
      <c r="P333" s="8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07"/>
      <c r="R333" s="607"/>
      <c r="S333" s="607"/>
      <c r="T333" s="608"/>
      <c r="U333" s="34"/>
      <c r="V333" s="34"/>
      <c r="W333" s="35" t="s">
        <v>69</v>
      </c>
      <c r="X333" s="599">
        <v>0</v>
      </c>
      <c r="Y333" s="600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551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611"/>
      <c r="B334" s="612"/>
      <c r="C334" s="612"/>
      <c r="D334" s="612"/>
      <c r="E334" s="612"/>
      <c r="F334" s="612"/>
      <c r="G334" s="612"/>
      <c r="H334" s="612"/>
      <c r="I334" s="612"/>
      <c r="J334" s="612"/>
      <c r="K334" s="612"/>
      <c r="L334" s="612"/>
      <c r="M334" s="612"/>
      <c r="N334" s="612"/>
      <c r="O334" s="613"/>
      <c r="P334" s="603" t="s">
        <v>78</v>
      </c>
      <c r="Q334" s="604"/>
      <c r="R334" s="604"/>
      <c r="S334" s="604"/>
      <c r="T334" s="604"/>
      <c r="U334" s="604"/>
      <c r="V334" s="605"/>
      <c r="W334" s="37" t="s">
        <v>79</v>
      </c>
      <c r="X334" s="601">
        <f>IFERROR(X329/H329,"0")+IFERROR(X330/H330,"0")+IFERROR(X331/H331,"0")+IFERROR(X332/H332,"0")+IFERROR(X333/H333,"0")</f>
        <v>0</v>
      </c>
      <c r="Y334" s="601">
        <f>IFERROR(Y329/H329,"0")+IFERROR(Y330/H330,"0")+IFERROR(Y331/H331,"0")+IFERROR(Y332/H332,"0")+IFERROR(Y333/H333,"0")</f>
        <v>0</v>
      </c>
      <c r="Z334" s="601">
        <f>IFERROR(IF(Z329="",0,Z329),"0")+IFERROR(IF(Z330="",0,Z330),"0")+IFERROR(IF(Z331="",0,Z331),"0")+IFERROR(IF(Z332="",0,Z332),"0")+IFERROR(IF(Z333="",0,Z333),"0")</f>
        <v>0</v>
      </c>
      <c r="AA334" s="602"/>
      <c r="AB334" s="602"/>
      <c r="AC334" s="602"/>
    </row>
    <row r="335" spans="1:68" x14ac:dyDescent="0.2">
      <c r="A335" s="612"/>
      <c r="B335" s="612"/>
      <c r="C335" s="612"/>
      <c r="D335" s="612"/>
      <c r="E335" s="612"/>
      <c r="F335" s="612"/>
      <c r="G335" s="612"/>
      <c r="H335" s="612"/>
      <c r="I335" s="612"/>
      <c r="J335" s="612"/>
      <c r="K335" s="612"/>
      <c r="L335" s="612"/>
      <c r="M335" s="612"/>
      <c r="N335" s="612"/>
      <c r="O335" s="613"/>
      <c r="P335" s="603" t="s">
        <v>78</v>
      </c>
      <c r="Q335" s="604"/>
      <c r="R335" s="604"/>
      <c r="S335" s="604"/>
      <c r="T335" s="604"/>
      <c r="U335" s="604"/>
      <c r="V335" s="605"/>
      <c r="W335" s="37" t="s">
        <v>69</v>
      </c>
      <c r="X335" s="601">
        <f>IFERROR(SUM(X329:X333),"0")</f>
        <v>0</v>
      </c>
      <c r="Y335" s="601">
        <f>IFERROR(SUM(Y329:Y333),"0")</f>
        <v>0</v>
      </c>
      <c r="Z335" s="37"/>
      <c r="AA335" s="602"/>
      <c r="AB335" s="602"/>
      <c r="AC335" s="602"/>
    </row>
    <row r="336" spans="1:68" ht="14.25" customHeight="1" x14ac:dyDescent="0.25">
      <c r="A336" s="659" t="s">
        <v>80</v>
      </c>
      <c r="B336" s="612"/>
      <c r="C336" s="612"/>
      <c r="D336" s="612"/>
      <c r="E336" s="612"/>
      <c r="F336" s="612"/>
      <c r="G336" s="612"/>
      <c r="H336" s="612"/>
      <c r="I336" s="612"/>
      <c r="J336" s="612"/>
      <c r="K336" s="612"/>
      <c r="L336" s="612"/>
      <c r="M336" s="612"/>
      <c r="N336" s="612"/>
      <c r="O336" s="612"/>
      <c r="P336" s="612"/>
      <c r="Q336" s="612"/>
      <c r="R336" s="612"/>
      <c r="S336" s="612"/>
      <c r="T336" s="612"/>
      <c r="U336" s="612"/>
      <c r="V336" s="612"/>
      <c r="W336" s="612"/>
      <c r="X336" s="612"/>
      <c r="Y336" s="612"/>
      <c r="Z336" s="612"/>
      <c r="AA336" s="595"/>
      <c r="AB336" s="595"/>
      <c r="AC336" s="595"/>
    </row>
    <row r="337" spans="1:68" ht="37.5" customHeight="1" x14ac:dyDescent="0.25">
      <c r="A337" s="54" t="s">
        <v>552</v>
      </c>
      <c r="B337" s="54" t="s">
        <v>553</v>
      </c>
      <c r="C337" s="31">
        <v>4301051782</v>
      </c>
      <c r="D337" s="614">
        <v>4680115884618</v>
      </c>
      <c r="E337" s="615"/>
      <c r="F337" s="598">
        <v>0.6</v>
      </c>
      <c r="G337" s="32">
        <v>6</v>
      </c>
      <c r="H337" s="598">
        <v>3.6</v>
      </c>
      <c r="I337" s="598">
        <v>3.79</v>
      </c>
      <c r="J337" s="32">
        <v>132</v>
      </c>
      <c r="K337" s="32" t="s">
        <v>142</v>
      </c>
      <c r="L337" s="32"/>
      <c r="M337" s="33" t="s">
        <v>83</v>
      </c>
      <c r="N337" s="33"/>
      <c r="O337" s="32">
        <v>45</v>
      </c>
      <c r="P337" s="6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07"/>
      <c r="R337" s="607"/>
      <c r="S337" s="607"/>
      <c r="T337" s="608"/>
      <c r="U337" s="34"/>
      <c r="V337" s="34"/>
      <c r="W337" s="35" t="s">
        <v>69</v>
      </c>
      <c r="X337" s="599">
        <v>0</v>
      </c>
      <c r="Y337" s="600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554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555</v>
      </c>
      <c r="B338" s="54" t="s">
        <v>556</v>
      </c>
      <c r="C338" s="31">
        <v>4301052057</v>
      </c>
      <c r="D338" s="614">
        <v>4680115887114</v>
      </c>
      <c r="E338" s="615"/>
      <c r="F338" s="598">
        <v>0.55000000000000004</v>
      </c>
      <c r="G338" s="32">
        <v>6</v>
      </c>
      <c r="H338" s="598">
        <v>3.3</v>
      </c>
      <c r="I338" s="598">
        <v>3.49</v>
      </c>
      <c r="J338" s="32">
        <v>132</v>
      </c>
      <c r="K338" s="32" t="s">
        <v>142</v>
      </c>
      <c r="L338" s="32"/>
      <c r="M338" s="33" t="s">
        <v>83</v>
      </c>
      <c r="N338" s="33"/>
      <c r="O338" s="32">
        <v>45</v>
      </c>
      <c r="P338" s="95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07"/>
      <c r="R338" s="607"/>
      <c r="S338" s="607"/>
      <c r="T338" s="608"/>
      <c r="U338" s="34"/>
      <c r="V338" s="34"/>
      <c r="W338" s="35" t="s">
        <v>69</v>
      </c>
      <c r="X338" s="599">
        <v>0</v>
      </c>
      <c r="Y338" s="600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407" t="s">
        <v>557</v>
      </c>
      <c r="AG338" s="64"/>
      <c r="AJ338" s="68"/>
      <c r="AK338" s="68">
        <v>0</v>
      </c>
      <c r="BB338" s="408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611"/>
      <c r="B339" s="612"/>
      <c r="C339" s="612"/>
      <c r="D339" s="612"/>
      <c r="E339" s="612"/>
      <c r="F339" s="612"/>
      <c r="G339" s="612"/>
      <c r="H339" s="612"/>
      <c r="I339" s="612"/>
      <c r="J339" s="612"/>
      <c r="K339" s="612"/>
      <c r="L339" s="612"/>
      <c r="M339" s="612"/>
      <c r="N339" s="612"/>
      <c r="O339" s="613"/>
      <c r="P339" s="603" t="s">
        <v>78</v>
      </c>
      <c r="Q339" s="604"/>
      <c r="R339" s="604"/>
      <c r="S339" s="604"/>
      <c r="T339" s="604"/>
      <c r="U339" s="604"/>
      <c r="V339" s="605"/>
      <c r="W339" s="37" t="s">
        <v>79</v>
      </c>
      <c r="X339" s="601">
        <f>IFERROR(X337/H337,"0")+IFERROR(X338/H338,"0")</f>
        <v>0</v>
      </c>
      <c r="Y339" s="601">
        <f>IFERROR(Y337/H337,"0")+IFERROR(Y338/H338,"0")</f>
        <v>0</v>
      </c>
      <c r="Z339" s="601">
        <f>IFERROR(IF(Z337="",0,Z337),"0")+IFERROR(IF(Z338="",0,Z338),"0")</f>
        <v>0</v>
      </c>
      <c r="AA339" s="602"/>
      <c r="AB339" s="602"/>
      <c r="AC339" s="602"/>
    </row>
    <row r="340" spans="1:68" x14ac:dyDescent="0.2">
      <c r="A340" s="612"/>
      <c r="B340" s="612"/>
      <c r="C340" s="612"/>
      <c r="D340" s="612"/>
      <c r="E340" s="612"/>
      <c r="F340" s="612"/>
      <c r="G340" s="612"/>
      <c r="H340" s="612"/>
      <c r="I340" s="612"/>
      <c r="J340" s="612"/>
      <c r="K340" s="612"/>
      <c r="L340" s="612"/>
      <c r="M340" s="612"/>
      <c r="N340" s="612"/>
      <c r="O340" s="613"/>
      <c r="P340" s="603" t="s">
        <v>78</v>
      </c>
      <c r="Q340" s="604"/>
      <c r="R340" s="604"/>
      <c r="S340" s="604"/>
      <c r="T340" s="604"/>
      <c r="U340" s="604"/>
      <c r="V340" s="605"/>
      <c r="W340" s="37" t="s">
        <v>69</v>
      </c>
      <c r="X340" s="601">
        <f>IFERROR(SUM(X337:X338),"0")</f>
        <v>0</v>
      </c>
      <c r="Y340" s="601">
        <f>IFERROR(SUM(Y337:Y338),"0")</f>
        <v>0</v>
      </c>
      <c r="Z340" s="37"/>
      <c r="AA340" s="602"/>
      <c r="AB340" s="602"/>
      <c r="AC340" s="602"/>
    </row>
    <row r="341" spans="1:68" ht="16.5" customHeight="1" x14ac:dyDescent="0.25">
      <c r="A341" s="622" t="s">
        <v>558</v>
      </c>
      <c r="B341" s="612"/>
      <c r="C341" s="612"/>
      <c r="D341" s="612"/>
      <c r="E341" s="612"/>
      <c r="F341" s="612"/>
      <c r="G341" s="612"/>
      <c r="H341" s="612"/>
      <c r="I341" s="612"/>
      <c r="J341" s="612"/>
      <c r="K341" s="612"/>
      <c r="L341" s="612"/>
      <c r="M341" s="612"/>
      <c r="N341" s="612"/>
      <c r="O341" s="612"/>
      <c r="P341" s="612"/>
      <c r="Q341" s="612"/>
      <c r="R341" s="612"/>
      <c r="S341" s="612"/>
      <c r="T341" s="612"/>
      <c r="U341" s="612"/>
      <c r="V341" s="612"/>
      <c r="W341" s="612"/>
      <c r="X341" s="612"/>
      <c r="Y341" s="612"/>
      <c r="Z341" s="612"/>
      <c r="AA341" s="594"/>
      <c r="AB341" s="594"/>
      <c r="AC341" s="594"/>
    </row>
    <row r="342" spans="1:68" ht="14.25" customHeight="1" x14ac:dyDescent="0.25">
      <c r="A342" s="659" t="s">
        <v>130</v>
      </c>
      <c r="B342" s="612"/>
      <c r="C342" s="612"/>
      <c r="D342" s="612"/>
      <c r="E342" s="612"/>
      <c r="F342" s="612"/>
      <c r="G342" s="612"/>
      <c r="H342" s="612"/>
      <c r="I342" s="612"/>
      <c r="J342" s="612"/>
      <c r="K342" s="612"/>
      <c r="L342" s="612"/>
      <c r="M342" s="612"/>
      <c r="N342" s="612"/>
      <c r="O342" s="612"/>
      <c r="P342" s="612"/>
      <c r="Q342" s="612"/>
      <c r="R342" s="612"/>
      <c r="S342" s="612"/>
      <c r="T342" s="612"/>
      <c r="U342" s="612"/>
      <c r="V342" s="612"/>
      <c r="W342" s="612"/>
      <c r="X342" s="612"/>
      <c r="Y342" s="612"/>
      <c r="Z342" s="612"/>
      <c r="AA342" s="595"/>
      <c r="AB342" s="595"/>
      <c r="AC342" s="595"/>
    </row>
    <row r="343" spans="1:68" ht="27" customHeight="1" x14ac:dyDescent="0.25">
      <c r="A343" s="54" t="s">
        <v>559</v>
      </c>
      <c r="B343" s="54" t="s">
        <v>560</v>
      </c>
      <c r="C343" s="31">
        <v>4301012324</v>
      </c>
      <c r="D343" s="614">
        <v>4680115887947</v>
      </c>
      <c r="E343" s="615"/>
      <c r="F343" s="598">
        <v>1.3</v>
      </c>
      <c r="G343" s="32">
        <v>6</v>
      </c>
      <c r="H343" s="598">
        <v>7.8</v>
      </c>
      <c r="I343" s="598">
        <v>8.2100000000000009</v>
      </c>
      <c r="J343" s="32">
        <v>64</v>
      </c>
      <c r="K343" s="32" t="s">
        <v>133</v>
      </c>
      <c r="L343" s="32"/>
      <c r="M343" s="33" t="s">
        <v>83</v>
      </c>
      <c r="N343" s="33"/>
      <c r="O343" s="32">
        <v>60</v>
      </c>
      <c r="P343" s="83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07"/>
      <c r="R343" s="607"/>
      <c r="S343" s="607"/>
      <c r="T343" s="608"/>
      <c r="U343" s="34"/>
      <c r="V343" s="34"/>
      <c r="W343" s="35" t="s">
        <v>69</v>
      </c>
      <c r="X343" s="599">
        <v>0</v>
      </c>
      <c r="Y343" s="600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561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562</v>
      </c>
      <c r="B344" s="54" t="s">
        <v>563</v>
      </c>
      <c r="C344" s="31">
        <v>4301012325</v>
      </c>
      <c r="D344" s="614">
        <v>4680115887978</v>
      </c>
      <c r="E344" s="615"/>
      <c r="F344" s="598">
        <v>1.3</v>
      </c>
      <c r="G344" s="32">
        <v>6</v>
      </c>
      <c r="H344" s="598">
        <v>7.8</v>
      </c>
      <c r="I344" s="598">
        <v>8.2100000000000009</v>
      </c>
      <c r="J344" s="32">
        <v>64</v>
      </c>
      <c r="K344" s="32" t="s">
        <v>133</v>
      </c>
      <c r="L344" s="32"/>
      <c r="M344" s="33" t="s">
        <v>83</v>
      </c>
      <c r="N344" s="33"/>
      <c r="O344" s="32">
        <v>60</v>
      </c>
      <c r="P344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07"/>
      <c r="R344" s="607"/>
      <c r="S344" s="607"/>
      <c r="T344" s="608"/>
      <c r="U344" s="34"/>
      <c r="V344" s="34"/>
      <c r="W344" s="35" t="s">
        <v>69</v>
      </c>
      <c r="X344" s="599">
        <v>0</v>
      </c>
      <c r="Y344" s="600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564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565</v>
      </c>
      <c r="B345" s="54" t="s">
        <v>566</v>
      </c>
      <c r="C345" s="31">
        <v>4301012327</v>
      </c>
      <c r="D345" s="614">
        <v>4680115887992</v>
      </c>
      <c r="E345" s="615"/>
      <c r="F345" s="598">
        <v>1.3</v>
      </c>
      <c r="G345" s="32">
        <v>6</v>
      </c>
      <c r="H345" s="598">
        <v>7.8</v>
      </c>
      <c r="I345" s="598">
        <v>8.2100000000000009</v>
      </c>
      <c r="J345" s="32">
        <v>64</v>
      </c>
      <c r="K345" s="32" t="s">
        <v>133</v>
      </c>
      <c r="L345" s="32"/>
      <c r="M345" s="33" t="s">
        <v>83</v>
      </c>
      <c r="N345" s="33"/>
      <c r="O345" s="32">
        <v>60</v>
      </c>
      <c r="P345" s="84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07"/>
      <c r="R345" s="607"/>
      <c r="S345" s="607"/>
      <c r="T345" s="608"/>
      <c r="U345" s="34"/>
      <c r="V345" s="34"/>
      <c r="W345" s="35" t="s">
        <v>69</v>
      </c>
      <c r="X345" s="599">
        <v>0</v>
      </c>
      <c r="Y345" s="600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413" t="s">
        <v>567</v>
      </c>
      <c r="AG345" s="64"/>
      <c r="AJ345" s="68"/>
      <c r="AK345" s="68">
        <v>0</v>
      </c>
      <c r="BB345" s="41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11"/>
      <c r="B346" s="612"/>
      <c r="C346" s="612"/>
      <c r="D346" s="612"/>
      <c r="E346" s="612"/>
      <c r="F346" s="612"/>
      <c r="G346" s="612"/>
      <c r="H346" s="612"/>
      <c r="I346" s="612"/>
      <c r="J346" s="612"/>
      <c r="K346" s="612"/>
      <c r="L346" s="612"/>
      <c r="M346" s="612"/>
      <c r="N346" s="612"/>
      <c r="O346" s="613"/>
      <c r="P346" s="603" t="s">
        <v>78</v>
      </c>
      <c r="Q346" s="604"/>
      <c r="R346" s="604"/>
      <c r="S346" s="604"/>
      <c r="T346" s="604"/>
      <c r="U346" s="604"/>
      <c r="V346" s="605"/>
      <c r="W346" s="37" t="s">
        <v>79</v>
      </c>
      <c r="X346" s="601">
        <f>IFERROR(X343/H343,"0")+IFERROR(X344/H344,"0")+IFERROR(X345/H345,"0")</f>
        <v>0</v>
      </c>
      <c r="Y346" s="601">
        <f>IFERROR(Y343/H343,"0")+IFERROR(Y344/H344,"0")+IFERROR(Y345/H345,"0")</f>
        <v>0</v>
      </c>
      <c r="Z346" s="601">
        <f>IFERROR(IF(Z343="",0,Z343),"0")+IFERROR(IF(Z344="",0,Z344),"0")+IFERROR(IF(Z345="",0,Z345),"0")</f>
        <v>0</v>
      </c>
      <c r="AA346" s="602"/>
      <c r="AB346" s="602"/>
      <c r="AC346" s="602"/>
    </row>
    <row r="347" spans="1:68" x14ac:dyDescent="0.2">
      <c r="A347" s="612"/>
      <c r="B347" s="612"/>
      <c r="C347" s="612"/>
      <c r="D347" s="612"/>
      <c r="E347" s="612"/>
      <c r="F347" s="612"/>
      <c r="G347" s="612"/>
      <c r="H347" s="612"/>
      <c r="I347" s="612"/>
      <c r="J347" s="612"/>
      <c r="K347" s="612"/>
      <c r="L347" s="612"/>
      <c r="M347" s="612"/>
      <c r="N347" s="612"/>
      <c r="O347" s="613"/>
      <c r="P347" s="603" t="s">
        <v>78</v>
      </c>
      <c r="Q347" s="604"/>
      <c r="R347" s="604"/>
      <c r="S347" s="604"/>
      <c r="T347" s="604"/>
      <c r="U347" s="604"/>
      <c r="V347" s="605"/>
      <c r="W347" s="37" t="s">
        <v>69</v>
      </c>
      <c r="X347" s="601">
        <f>IFERROR(SUM(X343:X345),"0")</f>
        <v>0</v>
      </c>
      <c r="Y347" s="601">
        <f>IFERROR(SUM(Y343:Y345),"0")</f>
        <v>0</v>
      </c>
      <c r="Z347" s="37"/>
      <c r="AA347" s="602"/>
      <c r="AB347" s="602"/>
      <c r="AC347" s="602"/>
    </row>
    <row r="348" spans="1:68" ht="16.5" customHeight="1" x14ac:dyDescent="0.25">
      <c r="A348" s="622" t="s">
        <v>568</v>
      </c>
      <c r="B348" s="612"/>
      <c r="C348" s="612"/>
      <c r="D348" s="612"/>
      <c r="E348" s="612"/>
      <c r="F348" s="612"/>
      <c r="G348" s="612"/>
      <c r="H348" s="612"/>
      <c r="I348" s="612"/>
      <c r="J348" s="612"/>
      <c r="K348" s="612"/>
      <c r="L348" s="612"/>
      <c r="M348" s="612"/>
      <c r="N348" s="612"/>
      <c r="O348" s="612"/>
      <c r="P348" s="612"/>
      <c r="Q348" s="612"/>
      <c r="R348" s="612"/>
      <c r="S348" s="612"/>
      <c r="T348" s="612"/>
      <c r="U348" s="612"/>
      <c r="V348" s="612"/>
      <c r="W348" s="612"/>
      <c r="X348" s="612"/>
      <c r="Y348" s="612"/>
      <c r="Z348" s="612"/>
      <c r="AA348" s="594"/>
      <c r="AB348" s="594"/>
      <c r="AC348" s="594"/>
    </row>
    <row r="349" spans="1:68" ht="14.25" customHeight="1" x14ac:dyDescent="0.25">
      <c r="A349" s="659" t="s">
        <v>130</v>
      </c>
      <c r="B349" s="612"/>
      <c r="C349" s="612"/>
      <c r="D349" s="612"/>
      <c r="E349" s="612"/>
      <c r="F349" s="612"/>
      <c r="G349" s="612"/>
      <c r="H349" s="612"/>
      <c r="I349" s="612"/>
      <c r="J349" s="612"/>
      <c r="K349" s="612"/>
      <c r="L349" s="612"/>
      <c r="M349" s="612"/>
      <c r="N349" s="612"/>
      <c r="O349" s="612"/>
      <c r="P349" s="612"/>
      <c r="Q349" s="612"/>
      <c r="R349" s="612"/>
      <c r="S349" s="612"/>
      <c r="T349" s="612"/>
      <c r="U349" s="612"/>
      <c r="V349" s="612"/>
      <c r="W349" s="612"/>
      <c r="X349" s="612"/>
      <c r="Y349" s="612"/>
      <c r="Z349" s="612"/>
      <c r="AA349" s="595"/>
      <c r="AB349" s="595"/>
      <c r="AC349" s="595"/>
    </row>
    <row r="350" spans="1:68" ht="27" customHeight="1" x14ac:dyDescent="0.25">
      <c r="A350" s="54" t="s">
        <v>569</v>
      </c>
      <c r="B350" s="54" t="s">
        <v>570</v>
      </c>
      <c r="C350" s="31">
        <v>4301012235</v>
      </c>
      <c r="D350" s="614">
        <v>4680115887190</v>
      </c>
      <c r="E350" s="615"/>
      <c r="F350" s="598">
        <v>1.35</v>
      </c>
      <c r="G350" s="32">
        <v>8</v>
      </c>
      <c r="H350" s="598">
        <v>10.8</v>
      </c>
      <c r="I350" s="598">
        <v>11.21</v>
      </c>
      <c r="J350" s="32">
        <v>64</v>
      </c>
      <c r="K350" s="32" t="s">
        <v>133</v>
      </c>
      <c r="L350" s="32"/>
      <c r="M350" s="33" t="s">
        <v>134</v>
      </c>
      <c r="N350" s="33"/>
      <c r="O350" s="32">
        <v>55</v>
      </c>
      <c r="P350" s="7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07"/>
      <c r="R350" s="607"/>
      <c r="S350" s="607"/>
      <c r="T350" s="608"/>
      <c r="U350" s="34"/>
      <c r="V350" s="34"/>
      <c r="W350" s="35" t="s">
        <v>69</v>
      </c>
      <c r="X350" s="599">
        <v>0</v>
      </c>
      <c r="Y350" s="600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571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37.5" customHeight="1" x14ac:dyDescent="0.25">
      <c r="A351" s="54" t="s">
        <v>572</v>
      </c>
      <c r="B351" s="54" t="s">
        <v>573</v>
      </c>
      <c r="C351" s="31">
        <v>4301012233</v>
      </c>
      <c r="D351" s="614">
        <v>4680115887138</v>
      </c>
      <c r="E351" s="615"/>
      <c r="F351" s="598">
        <v>1.35</v>
      </c>
      <c r="G351" s="32">
        <v>8</v>
      </c>
      <c r="H351" s="598">
        <v>10.8</v>
      </c>
      <c r="I351" s="598">
        <v>11.21</v>
      </c>
      <c r="J351" s="32">
        <v>64</v>
      </c>
      <c r="K351" s="32" t="s">
        <v>133</v>
      </c>
      <c r="L351" s="32"/>
      <c r="M351" s="33" t="s">
        <v>134</v>
      </c>
      <c r="N351" s="33"/>
      <c r="O351" s="32">
        <v>55</v>
      </c>
      <c r="P351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07"/>
      <c r="R351" s="607"/>
      <c r="S351" s="607"/>
      <c r="T351" s="608"/>
      <c r="U351" s="34"/>
      <c r="V351" s="34"/>
      <c r="W351" s="35" t="s">
        <v>69</v>
      </c>
      <c r="X351" s="599">
        <v>0</v>
      </c>
      <c r="Y351" s="600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574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575</v>
      </c>
      <c r="B352" s="54" t="s">
        <v>576</v>
      </c>
      <c r="C352" s="31">
        <v>4301012016</v>
      </c>
      <c r="D352" s="614">
        <v>4680115885554</v>
      </c>
      <c r="E352" s="615"/>
      <c r="F352" s="598">
        <v>1.35</v>
      </c>
      <c r="G352" s="32">
        <v>8</v>
      </c>
      <c r="H352" s="598">
        <v>10.8</v>
      </c>
      <c r="I352" s="598">
        <v>11.21</v>
      </c>
      <c r="J352" s="32">
        <v>64</v>
      </c>
      <c r="K352" s="32" t="s">
        <v>133</v>
      </c>
      <c r="L352" s="32"/>
      <c r="M352" s="33" t="s">
        <v>83</v>
      </c>
      <c r="N352" s="33"/>
      <c r="O352" s="32">
        <v>55</v>
      </c>
      <c r="P352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07"/>
      <c r="R352" s="607"/>
      <c r="S352" s="607"/>
      <c r="T352" s="608"/>
      <c r="U352" s="34"/>
      <c r="V352" s="34"/>
      <c r="W352" s="35" t="s">
        <v>69</v>
      </c>
      <c r="X352" s="599">
        <v>123</v>
      </c>
      <c r="Y352" s="600">
        <f>IFERROR(IF(X352="",0,CEILING((X352/$H352),1)*$H352),"")</f>
        <v>129.60000000000002</v>
      </c>
      <c r="Z352" s="36">
        <f>IFERROR(IF(Y352=0,"",ROUNDUP(Y352/H352,0)*0.01898),"")</f>
        <v>0.22776000000000002</v>
      </c>
      <c r="AA352" s="56"/>
      <c r="AB352" s="57"/>
      <c r="AC352" s="419" t="s">
        <v>577</v>
      </c>
      <c r="AG352" s="64"/>
      <c r="AJ352" s="68"/>
      <c r="AK352" s="68">
        <v>0</v>
      </c>
      <c r="BB352" s="420" t="s">
        <v>1</v>
      </c>
      <c r="BM352" s="64">
        <f>IFERROR(X352*I352/H352,"0")</f>
        <v>127.66944444444445</v>
      </c>
      <c r="BN352" s="64">
        <f>IFERROR(Y352*I352/H352,"0")</f>
        <v>134.52000000000001</v>
      </c>
      <c r="BO352" s="64">
        <f>IFERROR(1/J352*(X352/H352),"0")</f>
        <v>0.17795138888888887</v>
      </c>
      <c r="BP352" s="64">
        <f>IFERROR(1/J352*(Y352/H352),"0")</f>
        <v>0.18750000000000003</v>
      </c>
    </row>
    <row r="353" spans="1:68" ht="27" customHeight="1" x14ac:dyDescent="0.25">
      <c r="A353" s="54" t="s">
        <v>578</v>
      </c>
      <c r="B353" s="54" t="s">
        <v>579</v>
      </c>
      <c r="C353" s="31">
        <v>4301012236</v>
      </c>
      <c r="D353" s="614">
        <v>4680115887220</v>
      </c>
      <c r="E353" s="615"/>
      <c r="F353" s="598">
        <v>0.4</v>
      </c>
      <c r="G353" s="32">
        <v>10</v>
      </c>
      <c r="H353" s="598">
        <v>4</v>
      </c>
      <c r="I353" s="598">
        <v>4.1900000000000004</v>
      </c>
      <c r="J353" s="32">
        <v>132</v>
      </c>
      <c r="K353" s="32" t="s">
        <v>142</v>
      </c>
      <c r="L353" s="32"/>
      <c r="M353" s="33" t="s">
        <v>134</v>
      </c>
      <c r="N353" s="33"/>
      <c r="O353" s="32">
        <v>55</v>
      </c>
      <c r="P35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07"/>
      <c r="R353" s="607"/>
      <c r="S353" s="607"/>
      <c r="T353" s="608"/>
      <c r="U353" s="34"/>
      <c r="V353" s="34"/>
      <c r="W353" s="35" t="s">
        <v>69</v>
      </c>
      <c r="X353" s="599">
        <v>0</v>
      </c>
      <c r="Y353" s="60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571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4301011859</v>
      </c>
      <c r="D354" s="614">
        <v>4680115885608</v>
      </c>
      <c r="E354" s="615"/>
      <c r="F354" s="598">
        <v>0.4</v>
      </c>
      <c r="G354" s="32">
        <v>10</v>
      </c>
      <c r="H354" s="598">
        <v>4</v>
      </c>
      <c r="I354" s="598">
        <v>4.1900000000000004</v>
      </c>
      <c r="J354" s="32">
        <v>132</v>
      </c>
      <c r="K354" s="32" t="s">
        <v>142</v>
      </c>
      <c r="L354" s="32"/>
      <c r="M354" s="33" t="s">
        <v>134</v>
      </c>
      <c r="N354" s="33"/>
      <c r="O354" s="32">
        <v>55</v>
      </c>
      <c r="P354" s="8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07"/>
      <c r="R354" s="607"/>
      <c r="S354" s="607"/>
      <c r="T354" s="608"/>
      <c r="U354" s="34"/>
      <c r="V354" s="34"/>
      <c r="W354" s="35" t="s">
        <v>69</v>
      </c>
      <c r="X354" s="599">
        <v>0</v>
      </c>
      <c r="Y354" s="600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23" t="s">
        <v>582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11"/>
      <c r="B355" s="612"/>
      <c r="C355" s="612"/>
      <c r="D355" s="612"/>
      <c r="E355" s="612"/>
      <c r="F355" s="612"/>
      <c r="G355" s="612"/>
      <c r="H355" s="612"/>
      <c r="I355" s="612"/>
      <c r="J355" s="612"/>
      <c r="K355" s="612"/>
      <c r="L355" s="612"/>
      <c r="M355" s="612"/>
      <c r="N355" s="612"/>
      <c r="O355" s="613"/>
      <c r="P355" s="603" t="s">
        <v>78</v>
      </c>
      <c r="Q355" s="604"/>
      <c r="R355" s="604"/>
      <c r="S355" s="604"/>
      <c r="T355" s="604"/>
      <c r="U355" s="604"/>
      <c r="V355" s="605"/>
      <c r="W355" s="37" t="s">
        <v>79</v>
      </c>
      <c r="X355" s="601">
        <f>IFERROR(X350/H350,"0")+IFERROR(X351/H351,"0")+IFERROR(X352/H352,"0")+IFERROR(X353/H353,"0")+IFERROR(X354/H354,"0")</f>
        <v>11.388888888888888</v>
      </c>
      <c r="Y355" s="601">
        <f>IFERROR(Y350/H350,"0")+IFERROR(Y351/H351,"0")+IFERROR(Y352/H352,"0")+IFERROR(Y353/H353,"0")+IFERROR(Y354/H354,"0")</f>
        <v>12.000000000000002</v>
      </c>
      <c r="Z355" s="601">
        <f>IFERROR(IF(Z350="",0,Z350),"0")+IFERROR(IF(Z351="",0,Z351),"0")+IFERROR(IF(Z352="",0,Z352),"0")+IFERROR(IF(Z353="",0,Z353),"0")+IFERROR(IF(Z354="",0,Z354),"0")</f>
        <v>0.22776000000000002</v>
      </c>
      <c r="AA355" s="602"/>
      <c r="AB355" s="602"/>
      <c r="AC355" s="602"/>
    </row>
    <row r="356" spans="1:68" x14ac:dyDescent="0.2">
      <c r="A356" s="612"/>
      <c r="B356" s="612"/>
      <c r="C356" s="612"/>
      <c r="D356" s="612"/>
      <c r="E356" s="612"/>
      <c r="F356" s="612"/>
      <c r="G356" s="612"/>
      <c r="H356" s="612"/>
      <c r="I356" s="612"/>
      <c r="J356" s="612"/>
      <c r="K356" s="612"/>
      <c r="L356" s="612"/>
      <c r="M356" s="612"/>
      <c r="N356" s="612"/>
      <c r="O356" s="613"/>
      <c r="P356" s="603" t="s">
        <v>78</v>
      </c>
      <c r="Q356" s="604"/>
      <c r="R356" s="604"/>
      <c r="S356" s="604"/>
      <c r="T356" s="604"/>
      <c r="U356" s="604"/>
      <c r="V356" s="605"/>
      <c r="W356" s="37" t="s">
        <v>69</v>
      </c>
      <c r="X356" s="601">
        <f>IFERROR(SUM(X350:X354),"0")</f>
        <v>123</v>
      </c>
      <c r="Y356" s="601">
        <f>IFERROR(SUM(Y350:Y354),"0")</f>
        <v>129.60000000000002</v>
      </c>
      <c r="Z356" s="37"/>
      <c r="AA356" s="602"/>
      <c r="AB356" s="602"/>
      <c r="AC356" s="602"/>
    </row>
    <row r="357" spans="1:68" ht="14.25" customHeight="1" x14ac:dyDescent="0.25">
      <c r="A357" s="659" t="s">
        <v>64</v>
      </c>
      <c r="B357" s="612"/>
      <c r="C357" s="612"/>
      <c r="D357" s="612"/>
      <c r="E357" s="612"/>
      <c r="F357" s="612"/>
      <c r="G357" s="612"/>
      <c r="H357" s="612"/>
      <c r="I357" s="612"/>
      <c r="J357" s="612"/>
      <c r="K357" s="612"/>
      <c r="L357" s="612"/>
      <c r="M357" s="612"/>
      <c r="N357" s="612"/>
      <c r="O357" s="612"/>
      <c r="P357" s="612"/>
      <c r="Q357" s="612"/>
      <c r="R357" s="612"/>
      <c r="S357" s="612"/>
      <c r="T357" s="612"/>
      <c r="U357" s="612"/>
      <c r="V357" s="612"/>
      <c r="W357" s="612"/>
      <c r="X357" s="612"/>
      <c r="Y357" s="612"/>
      <c r="Z357" s="612"/>
      <c r="AA357" s="595"/>
      <c r="AB357" s="595"/>
      <c r="AC357" s="595"/>
    </row>
    <row r="358" spans="1:68" ht="27" customHeight="1" x14ac:dyDescent="0.25">
      <c r="A358" s="54" t="s">
        <v>583</v>
      </c>
      <c r="B358" s="54" t="s">
        <v>584</v>
      </c>
      <c r="C358" s="31">
        <v>4301030878</v>
      </c>
      <c r="D358" s="614">
        <v>4607091387193</v>
      </c>
      <c r="E358" s="615"/>
      <c r="F358" s="598">
        <v>0.7</v>
      </c>
      <c r="G358" s="32">
        <v>6</v>
      </c>
      <c r="H358" s="598">
        <v>4.2</v>
      </c>
      <c r="I358" s="598">
        <v>4.45</v>
      </c>
      <c r="J358" s="32">
        <v>132</v>
      </c>
      <c r="K358" s="32" t="s">
        <v>142</v>
      </c>
      <c r="L358" s="32"/>
      <c r="M358" s="33" t="s">
        <v>68</v>
      </c>
      <c r="N358" s="33"/>
      <c r="O358" s="32">
        <v>35</v>
      </c>
      <c r="P358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07"/>
      <c r="R358" s="607"/>
      <c r="S358" s="607"/>
      <c r="T358" s="608"/>
      <c r="U358" s="34"/>
      <c r="V358" s="34"/>
      <c r="W358" s="35" t="s">
        <v>69</v>
      </c>
      <c r="X358" s="599">
        <v>0</v>
      </c>
      <c r="Y358" s="600">
        <f t="shared" ref="Y358:Y364" si="42"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25" t="s">
        <v>585</v>
      </c>
      <c r="AG358" s="64"/>
      <c r="AJ358" s="68"/>
      <c r="AK358" s="68">
        <v>0</v>
      </c>
      <c r="BB358" s="426" t="s">
        <v>1</v>
      </c>
      <c r="BM358" s="64">
        <f t="shared" ref="BM358:BM364" si="43">IFERROR(X358*I358/H358,"0")</f>
        <v>0</v>
      </c>
      <c r="BN358" s="64">
        <f t="shared" ref="BN358:BN364" si="44">IFERROR(Y358*I358/H358,"0")</f>
        <v>0</v>
      </c>
      <c r="BO358" s="64">
        <f t="shared" ref="BO358:BO364" si="45">IFERROR(1/J358*(X358/H358),"0")</f>
        <v>0</v>
      </c>
      <c r="BP358" s="64">
        <f t="shared" ref="BP358:BP364" si="46">IFERROR(1/J358*(Y358/H358),"0")</f>
        <v>0</v>
      </c>
    </row>
    <row r="359" spans="1:68" ht="27" customHeight="1" x14ac:dyDescent="0.25">
      <c r="A359" s="54" t="s">
        <v>586</v>
      </c>
      <c r="B359" s="54" t="s">
        <v>587</v>
      </c>
      <c r="C359" s="31">
        <v>4301031153</v>
      </c>
      <c r="D359" s="614">
        <v>4607091387230</v>
      </c>
      <c r="E359" s="615"/>
      <c r="F359" s="598">
        <v>0.7</v>
      </c>
      <c r="G359" s="32">
        <v>6</v>
      </c>
      <c r="H359" s="598">
        <v>4.2</v>
      </c>
      <c r="I359" s="598">
        <v>4.45</v>
      </c>
      <c r="J359" s="32">
        <v>132</v>
      </c>
      <c r="K359" s="32" t="s">
        <v>142</v>
      </c>
      <c r="L359" s="32"/>
      <c r="M359" s="33" t="s">
        <v>68</v>
      </c>
      <c r="N359" s="33"/>
      <c r="O359" s="32">
        <v>40</v>
      </c>
      <c r="P359" s="8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07"/>
      <c r="R359" s="607"/>
      <c r="S359" s="607"/>
      <c r="T359" s="608"/>
      <c r="U359" s="34"/>
      <c r="V359" s="34"/>
      <c r="W359" s="35" t="s">
        <v>69</v>
      </c>
      <c r="X359" s="599">
        <v>0</v>
      </c>
      <c r="Y359" s="600">
        <f t="shared" si="42"/>
        <v>0</v>
      </c>
      <c r="Z359" s="36" t="str">
        <f>IFERROR(IF(Y359=0,"",ROUNDUP(Y359/H359,0)*0.00902),"")</f>
        <v/>
      </c>
      <c r="AA359" s="56"/>
      <c r="AB359" s="57"/>
      <c r="AC359" s="427" t="s">
        <v>588</v>
      </c>
      <c r="AG359" s="64"/>
      <c r="AJ359" s="68"/>
      <c r="AK359" s="68">
        <v>0</v>
      </c>
      <c r="BB359" s="428" t="s">
        <v>1</v>
      </c>
      <c r="BM359" s="64">
        <f t="shared" si="43"/>
        <v>0</v>
      </c>
      <c r="BN359" s="64">
        <f t="shared" si="44"/>
        <v>0</v>
      </c>
      <c r="BO359" s="64">
        <f t="shared" si="45"/>
        <v>0</v>
      </c>
      <c r="BP359" s="64">
        <f t="shared" si="46"/>
        <v>0</v>
      </c>
    </row>
    <row r="360" spans="1:68" ht="27" customHeight="1" x14ac:dyDescent="0.25">
      <c r="A360" s="54" t="s">
        <v>589</v>
      </c>
      <c r="B360" s="54" t="s">
        <v>590</v>
      </c>
      <c r="C360" s="31">
        <v>4301031154</v>
      </c>
      <c r="D360" s="614">
        <v>4607091387292</v>
      </c>
      <c r="E360" s="615"/>
      <c r="F360" s="598">
        <v>0.73</v>
      </c>
      <c r="G360" s="32">
        <v>6</v>
      </c>
      <c r="H360" s="598">
        <v>4.38</v>
      </c>
      <c r="I360" s="598">
        <v>4.63</v>
      </c>
      <c r="J360" s="32">
        <v>132</v>
      </c>
      <c r="K360" s="32" t="s">
        <v>142</v>
      </c>
      <c r="L360" s="32"/>
      <c r="M360" s="33" t="s">
        <v>68</v>
      </c>
      <c r="N360" s="33"/>
      <c r="O360" s="32">
        <v>45</v>
      </c>
      <c r="P360" s="9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07"/>
      <c r="R360" s="607"/>
      <c r="S360" s="607"/>
      <c r="T360" s="608"/>
      <c r="U360" s="34"/>
      <c r="V360" s="34"/>
      <c r="W360" s="35" t="s">
        <v>69</v>
      </c>
      <c r="X360" s="599">
        <v>0</v>
      </c>
      <c r="Y360" s="600">
        <f t="shared" si="42"/>
        <v>0</v>
      </c>
      <c r="Z360" s="36" t="str">
        <f>IFERROR(IF(Y360=0,"",ROUNDUP(Y360/H360,0)*0.00902),"")</f>
        <v/>
      </c>
      <c r="AA360" s="56"/>
      <c r="AB360" s="57"/>
      <c r="AC360" s="429" t="s">
        <v>591</v>
      </c>
      <c r="AG360" s="64"/>
      <c r="AJ360" s="68"/>
      <c r="AK360" s="68">
        <v>0</v>
      </c>
      <c r="BB360" s="430" t="s">
        <v>1</v>
      </c>
      <c r="BM360" s="64">
        <f t="shared" si="43"/>
        <v>0</v>
      </c>
      <c r="BN360" s="64">
        <f t="shared" si="44"/>
        <v>0</v>
      </c>
      <c r="BO360" s="64">
        <f t="shared" si="45"/>
        <v>0</v>
      </c>
      <c r="BP360" s="64">
        <f t="shared" si="46"/>
        <v>0</v>
      </c>
    </row>
    <row r="361" spans="1:68" ht="27" customHeight="1" x14ac:dyDescent="0.25">
      <c r="A361" s="54" t="s">
        <v>592</v>
      </c>
      <c r="B361" s="54" t="s">
        <v>593</v>
      </c>
      <c r="C361" s="31">
        <v>4301031152</v>
      </c>
      <c r="D361" s="614">
        <v>4607091387285</v>
      </c>
      <c r="E361" s="615"/>
      <c r="F361" s="598">
        <v>0.35</v>
      </c>
      <c r="G361" s="32">
        <v>6</v>
      </c>
      <c r="H361" s="598">
        <v>2.1</v>
      </c>
      <c r="I361" s="598">
        <v>2.23</v>
      </c>
      <c r="J361" s="32">
        <v>234</v>
      </c>
      <c r="K361" s="32" t="s">
        <v>73</v>
      </c>
      <c r="L361" s="32"/>
      <c r="M361" s="33" t="s">
        <v>68</v>
      </c>
      <c r="N361" s="33"/>
      <c r="O361" s="32">
        <v>40</v>
      </c>
      <c r="P361" s="78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07"/>
      <c r="R361" s="607"/>
      <c r="S361" s="607"/>
      <c r="T361" s="608"/>
      <c r="U361" s="34"/>
      <c r="V361" s="34"/>
      <c r="W361" s="35" t="s">
        <v>69</v>
      </c>
      <c r="X361" s="599">
        <v>0</v>
      </c>
      <c r="Y361" s="600">
        <f t="shared" si="42"/>
        <v>0</v>
      </c>
      <c r="Z361" s="36" t="str">
        <f>IFERROR(IF(Y361=0,"",ROUNDUP(Y361/H361,0)*0.00502),"")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 t="shared" si="43"/>
        <v>0</v>
      </c>
      <c r="BN361" s="64">
        <f t="shared" si="44"/>
        <v>0</v>
      </c>
      <c r="BO361" s="64">
        <f t="shared" si="45"/>
        <v>0</v>
      </c>
      <c r="BP361" s="64">
        <f t="shared" si="46"/>
        <v>0</v>
      </c>
    </row>
    <row r="362" spans="1:68" ht="27" customHeight="1" x14ac:dyDescent="0.25">
      <c r="A362" s="54" t="s">
        <v>594</v>
      </c>
      <c r="B362" s="54" t="s">
        <v>595</v>
      </c>
      <c r="C362" s="31">
        <v>4301031305</v>
      </c>
      <c r="D362" s="614">
        <v>4607091389845</v>
      </c>
      <c r="E362" s="615"/>
      <c r="F362" s="598">
        <v>0.35</v>
      </c>
      <c r="G362" s="32">
        <v>6</v>
      </c>
      <c r="H362" s="598">
        <v>2.1</v>
      </c>
      <c r="I362" s="598">
        <v>2.2000000000000002</v>
      </c>
      <c r="J362" s="32">
        <v>234</v>
      </c>
      <c r="K362" s="32" t="s">
        <v>73</v>
      </c>
      <c r="L362" s="32"/>
      <c r="M362" s="33" t="s">
        <v>68</v>
      </c>
      <c r="N362" s="33"/>
      <c r="O362" s="32">
        <v>40</v>
      </c>
      <c r="P362" s="9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07"/>
      <c r="R362" s="607"/>
      <c r="S362" s="607"/>
      <c r="T362" s="608"/>
      <c r="U362" s="34"/>
      <c r="V362" s="34"/>
      <c r="W362" s="35" t="s">
        <v>69</v>
      </c>
      <c r="X362" s="599">
        <v>0</v>
      </c>
      <c r="Y362" s="600">
        <f t="shared" si="42"/>
        <v>0</v>
      </c>
      <c r="Z362" s="36" t="str">
        <f>IFERROR(IF(Y362=0,"",ROUNDUP(Y362/H362,0)*0.00502),"")</f>
        <v/>
      </c>
      <c r="AA362" s="56"/>
      <c r="AB362" s="57"/>
      <c r="AC362" s="433" t="s">
        <v>596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597</v>
      </c>
      <c r="B363" s="54" t="s">
        <v>598</v>
      </c>
      <c r="C363" s="31">
        <v>4301031460</v>
      </c>
      <c r="D363" s="614">
        <v>4680115887442</v>
      </c>
      <c r="E363" s="615"/>
      <c r="F363" s="598">
        <v>0.73</v>
      </c>
      <c r="G363" s="32">
        <v>6</v>
      </c>
      <c r="H363" s="598">
        <v>4.38</v>
      </c>
      <c r="I363" s="598">
        <v>4.63</v>
      </c>
      <c r="J363" s="32">
        <v>132</v>
      </c>
      <c r="K363" s="32" t="s">
        <v>142</v>
      </c>
      <c r="L363" s="32"/>
      <c r="M363" s="33" t="s">
        <v>68</v>
      </c>
      <c r="N363" s="33"/>
      <c r="O363" s="32">
        <v>45</v>
      </c>
      <c r="P363" s="95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07"/>
      <c r="R363" s="607"/>
      <c r="S363" s="607"/>
      <c r="T363" s="608"/>
      <c r="U363" s="34"/>
      <c r="V363" s="34"/>
      <c r="W363" s="35" t="s">
        <v>69</v>
      </c>
      <c r="X363" s="599">
        <v>0</v>
      </c>
      <c r="Y363" s="600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591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599</v>
      </c>
      <c r="B364" s="54" t="s">
        <v>600</v>
      </c>
      <c r="C364" s="31">
        <v>4301031066</v>
      </c>
      <c r="D364" s="614">
        <v>4607091383836</v>
      </c>
      <c r="E364" s="615"/>
      <c r="F364" s="598">
        <v>0.3</v>
      </c>
      <c r="G364" s="32">
        <v>6</v>
      </c>
      <c r="H364" s="598">
        <v>1.8</v>
      </c>
      <c r="I364" s="598">
        <v>2.028</v>
      </c>
      <c r="J364" s="32">
        <v>182</v>
      </c>
      <c r="K364" s="32" t="s">
        <v>67</v>
      </c>
      <c r="L364" s="32"/>
      <c r="M364" s="33" t="s">
        <v>68</v>
      </c>
      <c r="N364" s="33"/>
      <c r="O364" s="32">
        <v>40</v>
      </c>
      <c r="P364" s="90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07"/>
      <c r="R364" s="607"/>
      <c r="S364" s="607"/>
      <c r="T364" s="608"/>
      <c r="U364" s="34"/>
      <c r="V364" s="34"/>
      <c r="W364" s="35" t="s">
        <v>69</v>
      </c>
      <c r="X364" s="599">
        <v>0</v>
      </c>
      <c r="Y364" s="600">
        <f t="shared" si="42"/>
        <v>0</v>
      </c>
      <c r="Z364" s="36" t="str">
        <f>IFERROR(IF(Y364=0,"",ROUNDUP(Y364/H364,0)*0.00651),"")</f>
        <v/>
      </c>
      <c r="AA364" s="56"/>
      <c r="AB364" s="57"/>
      <c r="AC364" s="437" t="s">
        <v>601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x14ac:dyDescent="0.2">
      <c r="A365" s="611"/>
      <c r="B365" s="612"/>
      <c r="C365" s="612"/>
      <c r="D365" s="612"/>
      <c r="E365" s="612"/>
      <c r="F365" s="612"/>
      <c r="G365" s="612"/>
      <c r="H365" s="612"/>
      <c r="I365" s="612"/>
      <c r="J365" s="612"/>
      <c r="K365" s="612"/>
      <c r="L365" s="612"/>
      <c r="M365" s="612"/>
      <c r="N365" s="612"/>
      <c r="O365" s="613"/>
      <c r="P365" s="603" t="s">
        <v>78</v>
      </c>
      <c r="Q365" s="604"/>
      <c r="R365" s="604"/>
      <c r="S365" s="604"/>
      <c r="T365" s="604"/>
      <c r="U365" s="604"/>
      <c r="V365" s="605"/>
      <c r="W365" s="37" t="s">
        <v>79</v>
      </c>
      <c r="X365" s="601">
        <f>IFERROR(X358/H358,"0")+IFERROR(X359/H359,"0")+IFERROR(X360/H360,"0")+IFERROR(X361/H361,"0")+IFERROR(X362/H362,"0")+IFERROR(X363/H363,"0")+IFERROR(X364/H364,"0")</f>
        <v>0</v>
      </c>
      <c r="Y365" s="601">
        <f>IFERROR(Y358/H358,"0")+IFERROR(Y359/H359,"0")+IFERROR(Y360/H360,"0")+IFERROR(Y361/H361,"0")+IFERROR(Y362/H362,"0")+IFERROR(Y363/H363,"0")+IFERROR(Y364/H364,"0")</f>
        <v>0</v>
      </c>
      <c r="Z365" s="601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02"/>
      <c r="AB365" s="602"/>
      <c r="AC365" s="602"/>
    </row>
    <row r="366" spans="1:68" x14ac:dyDescent="0.2">
      <c r="A366" s="612"/>
      <c r="B366" s="612"/>
      <c r="C366" s="612"/>
      <c r="D366" s="612"/>
      <c r="E366" s="612"/>
      <c r="F366" s="612"/>
      <c r="G366" s="612"/>
      <c r="H366" s="612"/>
      <c r="I366" s="612"/>
      <c r="J366" s="612"/>
      <c r="K366" s="612"/>
      <c r="L366" s="612"/>
      <c r="M366" s="612"/>
      <c r="N366" s="612"/>
      <c r="O366" s="613"/>
      <c r="P366" s="603" t="s">
        <v>78</v>
      </c>
      <c r="Q366" s="604"/>
      <c r="R366" s="604"/>
      <c r="S366" s="604"/>
      <c r="T366" s="604"/>
      <c r="U366" s="604"/>
      <c r="V366" s="605"/>
      <c r="W366" s="37" t="s">
        <v>69</v>
      </c>
      <c r="X366" s="601">
        <f>IFERROR(SUM(X358:X364),"0")</f>
        <v>0</v>
      </c>
      <c r="Y366" s="601">
        <f>IFERROR(SUM(Y358:Y364),"0")</f>
        <v>0</v>
      </c>
      <c r="Z366" s="37"/>
      <c r="AA366" s="602"/>
      <c r="AB366" s="602"/>
      <c r="AC366" s="602"/>
    </row>
    <row r="367" spans="1:68" ht="14.25" customHeight="1" x14ac:dyDescent="0.25">
      <c r="A367" s="659" t="s">
        <v>80</v>
      </c>
      <c r="B367" s="612"/>
      <c r="C367" s="612"/>
      <c r="D367" s="612"/>
      <c r="E367" s="612"/>
      <c r="F367" s="612"/>
      <c r="G367" s="612"/>
      <c r="H367" s="612"/>
      <c r="I367" s="612"/>
      <c r="J367" s="612"/>
      <c r="K367" s="612"/>
      <c r="L367" s="612"/>
      <c r="M367" s="612"/>
      <c r="N367" s="612"/>
      <c r="O367" s="612"/>
      <c r="P367" s="612"/>
      <c r="Q367" s="612"/>
      <c r="R367" s="612"/>
      <c r="S367" s="612"/>
      <c r="T367" s="612"/>
      <c r="U367" s="612"/>
      <c r="V367" s="612"/>
      <c r="W367" s="612"/>
      <c r="X367" s="612"/>
      <c r="Y367" s="612"/>
      <c r="Z367" s="612"/>
      <c r="AA367" s="595"/>
      <c r="AB367" s="595"/>
      <c r="AC367" s="595"/>
    </row>
    <row r="368" spans="1:68" ht="27" customHeight="1" x14ac:dyDescent="0.25">
      <c r="A368" s="54" t="s">
        <v>602</v>
      </c>
      <c r="B368" s="54" t="s">
        <v>603</v>
      </c>
      <c r="C368" s="31">
        <v>4301051100</v>
      </c>
      <c r="D368" s="614">
        <v>4607091387766</v>
      </c>
      <c r="E368" s="615"/>
      <c r="F368" s="598">
        <v>1.3</v>
      </c>
      <c r="G368" s="32">
        <v>6</v>
      </c>
      <c r="H368" s="598">
        <v>7.8</v>
      </c>
      <c r="I368" s="598">
        <v>8.2880000000000003</v>
      </c>
      <c r="J368" s="32">
        <v>64</v>
      </c>
      <c r="K368" s="32" t="s">
        <v>133</v>
      </c>
      <c r="L368" s="32"/>
      <c r="M368" s="33" t="s">
        <v>83</v>
      </c>
      <c r="N368" s="33"/>
      <c r="O368" s="32">
        <v>40</v>
      </c>
      <c r="P368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07"/>
      <c r="R368" s="607"/>
      <c r="S368" s="607"/>
      <c r="T368" s="608"/>
      <c r="U368" s="34"/>
      <c r="V368" s="34"/>
      <c r="W368" s="35" t="s">
        <v>69</v>
      </c>
      <c r="X368" s="599">
        <v>61</v>
      </c>
      <c r="Y368" s="600">
        <f>IFERROR(IF(X368="",0,CEILING((X368/$H368),1)*$H368),"")</f>
        <v>62.4</v>
      </c>
      <c r="Z368" s="36">
        <f>IFERROR(IF(Y368=0,"",ROUNDUP(Y368/H368,0)*0.01898),"")</f>
        <v>0.15184</v>
      </c>
      <c r="AA368" s="56"/>
      <c r="AB368" s="57"/>
      <c r="AC368" s="439" t="s">
        <v>604</v>
      </c>
      <c r="AG368" s="64"/>
      <c r="AJ368" s="68"/>
      <c r="AK368" s="68">
        <v>0</v>
      </c>
      <c r="BB368" s="440" t="s">
        <v>1</v>
      </c>
      <c r="BM368" s="64">
        <f>IFERROR(X368*I368/H368,"0")</f>
        <v>64.816410256410265</v>
      </c>
      <c r="BN368" s="64">
        <f>IFERROR(Y368*I368/H368,"0")</f>
        <v>66.304000000000002</v>
      </c>
      <c r="BO368" s="64">
        <f>IFERROR(1/J368*(X368/H368),"0")</f>
        <v>0.12219551282051282</v>
      </c>
      <c r="BP368" s="64">
        <f>IFERROR(1/J368*(Y368/H368),"0")</f>
        <v>0.125</v>
      </c>
    </row>
    <row r="369" spans="1:68" ht="27" customHeight="1" x14ac:dyDescent="0.25">
      <c r="A369" s="54" t="s">
        <v>605</v>
      </c>
      <c r="B369" s="54" t="s">
        <v>606</v>
      </c>
      <c r="C369" s="31">
        <v>4301051818</v>
      </c>
      <c r="D369" s="614">
        <v>4607091387957</v>
      </c>
      <c r="E369" s="615"/>
      <c r="F369" s="598">
        <v>1.3</v>
      </c>
      <c r="G369" s="32">
        <v>6</v>
      </c>
      <c r="H369" s="598">
        <v>7.8</v>
      </c>
      <c r="I369" s="598">
        <v>8.2940000000000005</v>
      </c>
      <c r="J369" s="32">
        <v>64</v>
      </c>
      <c r="K369" s="32" t="s">
        <v>133</v>
      </c>
      <c r="L369" s="32"/>
      <c r="M369" s="33" t="s">
        <v>83</v>
      </c>
      <c r="N369" s="33"/>
      <c r="O369" s="32">
        <v>40</v>
      </c>
      <c r="P369" s="8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07"/>
      <c r="R369" s="607"/>
      <c r="S369" s="607"/>
      <c r="T369" s="608"/>
      <c r="U369" s="34"/>
      <c r="V369" s="34"/>
      <c r="W369" s="35" t="s">
        <v>69</v>
      </c>
      <c r="X369" s="599">
        <v>0</v>
      </c>
      <c r="Y369" s="60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607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608</v>
      </c>
      <c r="B370" s="54" t="s">
        <v>609</v>
      </c>
      <c r="C370" s="31">
        <v>4301051819</v>
      </c>
      <c r="D370" s="614">
        <v>4607091387964</v>
      </c>
      <c r="E370" s="615"/>
      <c r="F370" s="598">
        <v>1.35</v>
      </c>
      <c r="G370" s="32">
        <v>6</v>
      </c>
      <c r="H370" s="598">
        <v>8.1</v>
      </c>
      <c r="I370" s="598">
        <v>8.5760000000000005</v>
      </c>
      <c r="J370" s="32">
        <v>64</v>
      </c>
      <c r="K370" s="32" t="s">
        <v>133</v>
      </c>
      <c r="L370" s="32"/>
      <c r="M370" s="33" t="s">
        <v>83</v>
      </c>
      <c r="N370" s="33"/>
      <c r="O370" s="32">
        <v>40</v>
      </c>
      <c r="P370" s="9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07"/>
      <c r="R370" s="607"/>
      <c r="S370" s="607"/>
      <c r="T370" s="608"/>
      <c r="U370" s="34"/>
      <c r="V370" s="34"/>
      <c r="W370" s="35" t="s">
        <v>69</v>
      </c>
      <c r="X370" s="599">
        <v>0</v>
      </c>
      <c r="Y370" s="600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43" t="s">
        <v>610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27" customHeight="1" x14ac:dyDescent="0.25">
      <c r="A371" s="54" t="s">
        <v>611</v>
      </c>
      <c r="B371" s="54" t="s">
        <v>612</v>
      </c>
      <c r="C371" s="31">
        <v>4301051734</v>
      </c>
      <c r="D371" s="614">
        <v>4680115884588</v>
      </c>
      <c r="E371" s="615"/>
      <c r="F371" s="598">
        <v>0.5</v>
      </c>
      <c r="G371" s="32">
        <v>6</v>
      </c>
      <c r="H371" s="598">
        <v>3</v>
      </c>
      <c r="I371" s="598">
        <v>3.246</v>
      </c>
      <c r="J371" s="32">
        <v>182</v>
      </c>
      <c r="K371" s="32" t="s">
        <v>67</v>
      </c>
      <c r="L371" s="32"/>
      <c r="M371" s="33" t="s">
        <v>83</v>
      </c>
      <c r="N371" s="33"/>
      <c r="O371" s="32">
        <v>40</v>
      </c>
      <c r="P371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07"/>
      <c r="R371" s="607"/>
      <c r="S371" s="607"/>
      <c r="T371" s="608"/>
      <c r="U371" s="34"/>
      <c r="V371" s="34"/>
      <c r="W371" s="35" t="s">
        <v>69</v>
      </c>
      <c r="X371" s="599">
        <v>0</v>
      </c>
      <c r="Y371" s="600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45" t="s">
        <v>604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11"/>
      <c r="B372" s="612"/>
      <c r="C372" s="612"/>
      <c r="D372" s="612"/>
      <c r="E372" s="612"/>
      <c r="F372" s="612"/>
      <c r="G372" s="612"/>
      <c r="H372" s="612"/>
      <c r="I372" s="612"/>
      <c r="J372" s="612"/>
      <c r="K372" s="612"/>
      <c r="L372" s="612"/>
      <c r="M372" s="612"/>
      <c r="N372" s="612"/>
      <c r="O372" s="613"/>
      <c r="P372" s="603" t="s">
        <v>78</v>
      </c>
      <c r="Q372" s="604"/>
      <c r="R372" s="604"/>
      <c r="S372" s="604"/>
      <c r="T372" s="604"/>
      <c r="U372" s="604"/>
      <c r="V372" s="605"/>
      <c r="W372" s="37" t="s">
        <v>79</v>
      </c>
      <c r="X372" s="601">
        <f>IFERROR(X368/H368,"0")+IFERROR(X369/H369,"0")+IFERROR(X370/H370,"0")+IFERROR(X371/H371,"0")</f>
        <v>7.8205128205128203</v>
      </c>
      <c r="Y372" s="601">
        <f>IFERROR(Y368/H368,"0")+IFERROR(Y369/H369,"0")+IFERROR(Y370/H370,"0")+IFERROR(Y371/H371,"0")</f>
        <v>8</v>
      </c>
      <c r="Z372" s="601">
        <f>IFERROR(IF(Z368="",0,Z368),"0")+IFERROR(IF(Z369="",0,Z369),"0")+IFERROR(IF(Z370="",0,Z370),"0")+IFERROR(IF(Z371="",0,Z371),"0")</f>
        <v>0.15184</v>
      </c>
      <c r="AA372" s="602"/>
      <c r="AB372" s="602"/>
      <c r="AC372" s="602"/>
    </row>
    <row r="373" spans="1:68" x14ac:dyDescent="0.2">
      <c r="A373" s="612"/>
      <c r="B373" s="612"/>
      <c r="C373" s="612"/>
      <c r="D373" s="612"/>
      <c r="E373" s="612"/>
      <c r="F373" s="612"/>
      <c r="G373" s="612"/>
      <c r="H373" s="612"/>
      <c r="I373" s="612"/>
      <c r="J373" s="612"/>
      <c r="K373" s="612"/>
      <c r="L373" s="612"/>
      <c r="M373" s="612"/>
      <c r="N373" s="612"/>
      <c r="O373" s="613"/>
      <c r="P373" s="603" t="s">
        <v>78</v>
      </c>
      <c r="Q373" s="604"/>
      <c r="R373" s="604"/>
      <c r="S373" s="604"/>
      <c r="T373" s="604"/>
      <c r="U373" s="604"/>
      <c r="V373" s="605"/>
      <c r="W373" s="37" t="s">
        <v>69</v>
      </c>
      <c r="X373" s="601">
        <f>IFERROR(SUM(X368:X371),"0")</f>
        <v>61</v>
      </c>
      <c r="Y373" s="601">
        <f>IFERROR(SUM(Y368:Y371),"0")</f>
        <v>62.4</v>
      </c>
      <c r="Z373" s="37"/>
      <c r="AA373" s="602"/>
      <c r="AB373" s="602"/>
      <c r="AC373" s="602"/>
    </row>
    <row r="374" spans="1:68" ht="14.25" customHeight="1" x14ac:dyDescent="0.25">
      <c r="A374" s="659" t="s">
        <v>182</v>
      </c>
      <c r="B374" s="612"/>
      <c r="C374" s="612"/>
      <c r="D374" s="612"/>
      <c r="E374" s="612"/>
      <c r="F374" s="612"/>
      <c r="G374" s="612"/>
      <c r="H374" s="612"/>
      <c r="I374" s="612"/>
      <c r="J374" s="612"/>
      <c r="K374" s="612"/>
      <c r="L374" s="612"/>
      <c r="M374" s="612"/>
      <c r="N374" s="612"/>
      <c r="O374" s="612"/>
      <c r="P374" s="612"/>
      <c r="Q374" s="612"/>
      <c r="R374" s="612"/>
      <c r="S374" s="612"/>
      <c r="T374" s="612"/>
      <c r="U374" s="612"/>
      <c r="V374" s="612"/>
      <c r="W374" s="612"/>
      <c r="X374" s="612"/>
      <c r="Y374" s="612"/>
      <c r="Z374" s="612"/>
      <c r="AA374" s="595"/>
      <c r="AB374" s="595"/>
      <c r="AC374" s="595"/>
    </row>
    <row r="375" spans="1:68" ht="27" customHeight="1" x14ac:dyDescent="0.25">
      <c r="A375" s="54" t="s">
        <v>613</v>
      </c>
      <c r="B375" s="54" t="s">
        <v>614</v>
      </c>
      <c r="C375" s="31">
        <v>4301060387</v>
      </c>
      <c r="D375" s="614">
        <v>4607091380880</v>
      </c>
      <c r="E375" s="615"/>
      <c r="F375" s="598">
        <v>1.4</v>
      </c>
      <c r="G375" s="32">
        <v>6</v>
      </c>
      <c r="H375" s="598">
        <v>8.4</v>
      </c>
      <c r="I375" s="598">
        <v>8.8940000000000001</v>
      </c>
      <c r="J375" s="32">
        <v>64</v>
      </c>
      <c r="K375" s="32" t="s">
        <v>133</v>
      </c>
      <c r="L375" s="32"/>
      <c r="M375" s="33" t="s">
        <v>83</v>
      </c>
      <c r="N375" s="33"/>
      <c r="O375" s="32">
        <v>30</v>
      </c>
      <c r="P375" s="80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07"/>
      <c r="R375" s="607"/>
      <c r="S375" s="607"/>
      <c r="T375" s="608"/>
      <c r="U375" s="34"/>
      <c r="V375" s="34"/>
      <c r="W375" s="35" t="s">
        <v>69</v>
      </c>
      <c r="X375" s="599">
        <v>0</v>
      </c>
      <c r="Y375" s="600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47" t="s">
        <v>615</v>
      </c>
      <c r="AG375" s="64"/>
      <c r="AJ375" s="68"/>
      <c r="AK375" s="68">
        <v>0</v>
      </c>
      <c r="BB375" s="448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616</v>
      </c>
      <c r="B376" s="54" t="s">
        <v>617</v>
      </c>
      <c r="C376" s="31">
        <v>4301060406</v>
      </c>
      <c r="D376" s="614">
        <v>4607091384482</v>
      </c>
      <c r="E376" s="615"/>
      <c r="F376" s="598">
        <v>1.3</v>
      </c>
      <c r="G376" s="32">
        <v>6</v>
      </c>
      <c r="H376" s="598">
        <v>7.8</v>
      </c>
      <c r="I376" s="598">
        <v>8.2940000000000005</v>
      </c>
      <c r="J376" s="32">
        <v>64</v>
      </c>
      <c r="K376" s="32" t="s">
        <v>133</v>
      </c>
      <c r="L376" s="32"/>
      <c r="M376" s="33" t="s">
        <v>83</v>
      </c>
      <c r="N376" s="33"/>
      <c r="O376" s="32">
        <v>30</v>
      </c>
      <c r="P376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07"/>
      <c r="R376" s="607"/>
      <c r="S376" s="607"/>
      <c r="T376" s="608"/>
      <c r="U376" s="34"/>
      <c r="V376" s="34"/>
      <c r="W376" s="35" t="s">
        <v>69</v>
      </c>
      <c r="X376" s="599">
        <v>0</v>
      </c>
      <c r="Y376" s="600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618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16.5" customHeight="1" x14ac:dyDescent="0.25">
      <c r="A377" s="54" t="s">
        <v>619</v>
      </c>
      <c r="B377" s="54" t="s">
        <v>620</v>
      </c>
      <c r="C377" s="31">
        <v>4301060484</v>
      </c>
      <c r="D377" s="614">
        <v>4607091380897</v>
      </c>
      <c r="E377" s="615"/>
      <c r="F377" s="598">
        <v>1.4</v>
      </c>
      <c r="G377" s="32">
        <v>6</v>
      </c>
      <c r="H377" s="598">
        <v>8.4</v>
      </c>
      <c r="I377" s="598">
        <v>8.8940000000000001</v>
      </c>
      <c r="J377" s="32">
        <v>64</v>
      </c>
      <c r="K377" s="32" t="s">
        <v>133</v>
      </c>
      <c r="L377" s="32"/>
      <c r="M377" s="33" t="s">
        <v>89</v>
      </c>
      <c r="N377" s="33"/>
      <c r="O377" s="32">
        <v>30</v>
      </c>
      <c r="P377" s="80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07"/>
      <c r="R377" s="607"/>
      <c r="S377" s="607"/>
      <c r="T377" s="608"/>
      <c r="U377" s="34"/>
      <c r="V377" s="34"/>
      <c r="W377" s="35" t="s">
        <v>69</v>
      </c>
      <c r="X377" s="599">
        <v>0</v>
      </c>
      <c r="Y377" s="60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1" t="s">
        <v>621</v>
      </c>
      <c r="AG377" s="64"/>
      <c r="AJ377" s="68"/>
      <c r="AK377" s="68">
        <v>0</v>
      </c>
      <c r="BB377" s="45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11"/>
      <c r="B378" s="612"/>
      <c r="C378" s="612"/>
      <c r="D378" s="612"/>
      <c r="E378" s="612"/>
      <c r="F378" s="612"/>
      <c r="G378" s="612"/>
      <c r="H378" s="612"/>
      <c r="I378" s="612"/>
      <c r="J378" s="612"/>
      <c r="K378" s="612"/>
      <c r="L378" s="612"/>
      <c r="M378" s="612"/>
      <c r="N378" s="612"/>
      <c r="O378" s="613"/>
      <c r="P378" s="603" t="s">
        <v>78</v>
      </c>
      <c r="Q378" s="604"/>
      <c r="R378" s="604"/>
      <c r="S378" s="604"/>
      <c r="T378" s="604"/>
      <c r="U378" s="604"/>
      <c r="V378" s="605"/>
      <c r="W378" s="37" t="s">
        <v>79</v>
      </c>
      <c r="X378" s="601">
        <f>IFERROR(X375/H375,"0")+IFERROR(X376/H376,"0")+IFERROR(X377/H377,"0")</f>
        <v>0</v>
      </c>
      <c r="Y378" s="601">
        <f>IFERROR(Y375/H375,"0")+IFERROR(Y376/H376,"0")+IFERROR(Y377/H377,"0")</f>
        <v>0</v>
      </c>
      <c r="Z378" s="601">
        <f>IFERROR(IF(Z375="",0,Z375),"0")+IFERROR(IF(Z376="",0,Z376),"0")+IFERROR(IF(Z377="",0,Z377),"0")</f>
        <v>0</v>
      </c>
      <c r="AA378" s="602"/>
      <c r="AB378" s="602"/>
      <c r="AC378" s="602"/>
    </row>
    <row r="379" spans="1:68" x14ac:dyDescent="0.2">
      <c r="A379" s="612"/>
      <c r="B379" s="612"/>
      <c r="C379" s="612"/>
      <c r="D379" s="612"/>
      <c r="E379" s="612"/>
      <c r="F379" s="612"/>
      <c r="G379" s="612"/>
      <c r="H379" s="612"/>
      <c r="I379" s="612"/>
      <c r="J379" s="612"/>
      <c r="K379" s="612"/>
      <c r="L379" s="612"/>
      <c r="M379" s="612"/>
      <c r="N379" s="612"/>
      <c r="O379" s="613"/>
      <c r="P379" s="603" t="s">
        <v>78</v>
      </c>
      <c r="Q379" s="604"/>
      <c r="R379" s="604"/>
      <c r="S379" s="604"/>
      <c r="T379" s="604"/>
      <c r="U379" s="604"/>
      <c r="V379" s="605"/>
      <c r="W379" s="37" t="s">
        <v>69</v>
      </c>
      <c r="X379" s="601">
        <f>IFERROR(SUM(X375:X377),"0")</f>
        <v>0</v>
      </c>
      <c r="Y379" s="601">
        <f>IFERROR(SUM(Y375:Y377),"0")</f>
        <v>0</v>
      </c>
      <c r="Z379" s="37"/>
      <c r="AA379" s="602"/>
      <c r="AB379" s="602"/>
      <c r="AC379" s="602"/>
    </row>
    <row r="380" spans="1:68" ht="14.25" customHeight="1" x14ac:dyDescent="0.25">
      <c r="A380" s="659" t="s">
        <v>108</v>
      </c>
      <c r="B380" s="612"/>
      <c r="C380" s="612"/>
      <c r="D380" s="612"/>
      <c r="E380" s="612"/>
      <c r="F380" s="612"/>
      <c r="G380" s="612"/>
      <c r="H380" s="612"/>
      <c r="I380" s="612"/>
      <c r="J380" s="612"/>
      <c r="K380" s="612"/>
      <c r="L380" s="612"/>
      <c r="M380" s="612"/>
      <c r="N380" s="612"/>
      <c r="O380" s="612"/>
      <c r="P380" s="612"/>
      <c r="Q380" s="612"/>
      <c r="R380" s="612"/>
      <c r="S380" s="612"/>
      <c r="T380" s="612"/>
      <c r="U380" s="612"/>
      <c r="V380" s="612"/>
      <c r="W380" s="612"/>
      <c r="X380" s="612"/>
      <c r="Y380" s="612"/>
      <c r="Z380" s="612"/>
      <c r="AA380" s="595"/>
      <c r="AB380" s="595"/>
      <c r="AC380" s="595"/>
    </row>
    <row r="381" spans="1:68" ht="27" customHeight="1" x14ac:dyDescent="0.25">
      <c r="A381" s="54" t="s">
        <v>622</v>
      </c>
      <c r="B381" s="54" t="s">
        <v>623</v>
      </c>
      <c r="C381" s="31">
        <v>4301030235</v>
      </c>
      <c r="D381" s="614">
        <v>4607091388381</v>
      </c>
      <c r="E381" s="615"/>
      <c r="F381" s="598">
        <v>0.38</v>
      </c>
      <c r="G381" s="32">
        <v>8</v>
      </c>
      <c r="H381" s="598">
        <v>3.04</v>
      </c>
      <c r="I381" s="598">
        <v>3.31</v>
      </c>
      <c r="J381" s="32">
        <v>132</v>
      </c>
      <c r="K381" s="32" t="s">
        <v>142</v>
      </c>
      <c r="L381" s="32"/>
      <c r="M381" s="33" t="s">
        <v>111</v>
      </c>
      <c r="N381" s="33"/>
      <c r="O381" s="32">
        <v>180</v>
      </c>
      <c r="P381" s="6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07"/>
      <c r="R381" s="607"/>
      <c r="S381" s="607"/>
      <c r="T381" s="608"/>
      <c r="U381" s="34"/>
      <c r="V381" s="34"/>
      <c r="W381" s="35" t="s">
        <v>69</v>
      </c>
      <c r="X381" s="599">
        <v>0</v>
      </c>
      <c r="Y381" s="600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624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625</v>
      </c>
      <c r="B382" s="54" t="s">
        <v>626</v>
      </c>
      <c r="C382" s="31">
        <v>4301030232</v>
      </c>
      <c r="D382" s="614">
        <v>4607091388374</v>
      </c>
      <c r="E382" s="615"/>
      <c r="F382" s="598">
        <v>0.38</v>
      </c>
      <c r="G382" s="32">
        <v>8</v>
      </c>
      <c r="H382" s="598">
        <v>3.04</v>
      </c>
      <c r="I382" s="598">
        <v>3.27</v>
      </c>
      <c r="J382" s="32">
        <v>132</v>
      </c>
      <c r="K382" s="32" t="s">
        <v>142</v>
      </c>
      <c r="L382" s="32"/>
      <c r="M382" s="33" t="s">
        <v>111</v>
      </c>
      <c r="N382" s="33"/>
      <c r="O382" s="32">
        <v>180</v>
      </c>
      <c r="P382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07"/>
      <c r="R382" s="607"/>
      <c r="S382" s="607"/>
      <c r="T382" s="608"/>
      <c r="U382" s="34"/>
      <c r="V382" s="34"/>
      <c r="W382" s="35" t="s">
        <v>69</v>
      </c>
      <c r="X382" s="599">
        <v>0</v>
      </c>
      <c r="Y382" s="600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55" t="s">
        <v>624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627</v>
      </c>
      <c r="B383" s="54" t="s">
        <v>628</v>
      </c>
      <c r="C383" s="31">
        <v>4301032015</v>
      </c>
      <c r="D383" s="614">
        <v>4607091383102</v>
      </c>
      <c r="E383" s="615"/>
      <c r="F383" s="598">
        <v>0.17</v>
      </c>
      <c r="G383" s="32">
        <v>15</v>
      </c>
      <c r="H383" s="598">
        <v>2.5499999999999998</v>
      </c>
      <c r="I383" s="598">
        <v>2.9550000000000001</v>
      </c>
      <c r="J383" s="32">
        <v>182</v>
      </c>
      <c r="K383" s="32" t="s">
        <v>67</v>
      </c>
      <c r="L383" s="32"/>
      <c r="M383" s="33" t="s">
        <v>111</v>
      </c>
      <c r="N383" s="33"/>
      <c r="O383" s="32">
        <v>180</v>
      </c>
      <c r="P383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07"/>
      <c r="R383" s="607"/>
      <c r="S383" s="607"/>
      <c r="T383" s="608"/>
      <c r="U383" s="34"/>
      <c r="V383" s="34"/>
      <c r="W383" s="35" t="s">
        <v>69</v>
      </c>
      <c r="X383" s="599">
        <v>0</v>
      </c>
      <c r="Y383" s="600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624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629</v>
      </c>
      <c r="B384" s="54" t="s">
        <v>630</v>
      </c>
      <c r="C384" s="31">
        <v>4301030233</v>
      </c>
      <c r="D384" s="614">
        <v>4607091388404</v>
      </c>
      <c r="E384" s="615"/>
      <c r="F384" s="598">
        <v>0.17</v>
      </c>
      <c r="G384" s="32">
        <v>15</v>
      </c>
      <c r="H384" s="598">
        <v>2.5499999999999998</v>
      </c>
      <c r="I384" s="598">
        <v>2.88</v>
      </c>
      <c r="J384" s="32">
        <v>182</v>
      </c>
      <c r="K384" s="32" t="s">
        <v>67</v>
      </c>
      <c r="L384" s="32"/>
      <c r="M384" s="33" t="s">
        <v>111</v>
      </c>
      <c r="N384" s="33"/>
      <c r="O384" s="32">
        <v>180</v>
      </c>
      <c r="P384" s="6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07"/>
      <c r="R384" s="607"/>
      <c r="S384" s="607"/>
      <c r="T384" s="608"/>
      <c r="U384" s="34"/>
      <c r="V384" s="34"/>
      <c r="W384" s="35" t="s">
        <v>69</v>
      </c>
      <c r="X384" s="599">
        <v>20</v>
      </c>
      <c r="Y384" s="600">
        <f>IFERROR(IF(X384="",0,CEILING((X384/$H384),1)*$H384),"")</f>
        <v>20.399999999999999</v>
      </c>
      <c r="Z384" s="36">
        <f>IFERROR(IF(Y384=0,"",ROUNDUP(Y384/H384,0)*0.00651),"")</f>
        <v>5.2080000000000001E-2</v>
      </c>
      <c r="AA384" s="56"/>
      <c r="AB384" s="57"/>
      <c r="AC384" s="459" t="s">
        <v>624</v>
      </c>
      <c r="AG384" s="64"/>
      <c r="AJ384" s="68"/>
      <c r="AK384" s="68">
        <v>0</v>
      </c>
      <c r="BB384" s="460" t="s">
        <v>1</v>
      </c>
      <c r="BM384" s="64">
        <f>IFERROR(X384*I384/H384,"0")</f>
        <v>22.588235294117645</v>
      </c>
      <c r="BN384" s="64">
        <f>IFERROR(Y384*I384/H384,"0")</f>
        <v>23.04</v>
      </c>
      <c r="BO384" s="64">
        <f>IFERROR(1/J384*(X384/H384),"0")</f>
        <v>4.3094160741219571E-2</v>
      </c>
      <c r="BP384" s="64">
        <f>IFERROR(1/J384*(Y384/H384),"0")</f>
        <v>4.3956043956043959E-2</v>
      </c>
    </row>
    <row r="385" spans="1:68" x14ac:dyDescent="0.2">
      <c r="A385" s="611"/>
      <c r="B385" s="612"/>
      <c r="C385" s="612"/>
      <c r="D385" s="612"/>
      <c r="E385" s="612"/>
      <c r="F385" s="612"/>
      <c r="G385" s="612"/>
      <c r="H385" s="612"/>
      <c r="I385" s="612"/>
      <c r="J385" s="612"/>
      <c r="K385" s="612"/>
      <c r="L385" s="612"/>
      <c r="M385" s="612"/>
      <c r="N385" s="612"/>
      <c r="O385" s="613"/>
      <c r="P385" s="603" t="s">
        <v>78</v>
      </c>
      <c r="Q385" s="604"/>
      <c r="R385" s="604"/>
      <c r="S385" s="604"/>
      <c r="T385" s="604"/>
      <c r="U385" s="604"/>
      <c r="V385" s="605"/>
      <c r="W385" s="37" t="s">
        <v>79</v>
      </c>
      <c r="X385" s="601">
        <f>IFERROR(X381/H381,"0")+IFERROR(X382/H382,"0")+IFERROR(X383/H383,"0")+IFERROR(X384/H384,"0")</f>
        <v>7.8431372549019613</v>
      </c>
      <c r="Y385" s="601">
        <f>IFERROR(Y381/H381,"0")+IFERROR(Y382/H382,"0")+IFERROR(Y383/H383,"0")+IFERROR(Y384/H384,"0")</f>
        <v>8</v>
      </c>
      <c r="Z385" s="601">
        <f>IFERROR(IF(Z381="",0,Z381),"0")+IFERROR(IF(Z382="",0,Z382),"0")+IFERROR(IF(Z383="",0,Z383),"0")+IFERROR(IF(Z384="",0,Z384),"0")</f>
        <v>5.2080000000000001E-2</v>
      </c>
      <c r="AA385" s="602"/>
      <c r="AB385" s="602"/>
      <c r="AC385" s="602"/>
    </row>
    <row r="386" spans="1:68" x14ac:dyDescent="0.2">
      <c r="A386" s="612"/>
      <c r="B386" s="612"/>
      <c r="C386" s="612"/>
      <c r="D386" s="612"/>
      <c r="E386" s="612"/>
      <c r="F386" s="612"/>
      <c r="G386" s="612"/>
      <c r="H386" s="612"/>
      <c r="I386" s="612"/>
      <c r="J386" s="612"/>
      <c r="K386" s="612"/>
      <c r="L386" s="612"/>
      <c r="M386" s="612"/>
      <c r="N386" s="612"/>
      <c r="O386" s="613"/>
      <c r="P386" s="603" t="s">
        <v>78</v>
      </c>
      <c r="Q386" s="604"/>
      <c r="R386" s="604"/>
      <c r="S386" s="604"/>
      <c r="T386" s="604"/>
      <c r="U386" s="604"/>
      <c r="V386" s="605"/>
      <c r="W386" s="37" t="s">
        <v>69</v>
      </c>
      <c r="X386" s="601">
        <f>IFERROR(SUM(X381:X384),"0")</f>
        <v>20</v>
      </c>
      <c r="Y386" s="601">
        <f>IFERROR(SUM(Y381:Y384),"0")</f>
        <v>20.399999999999999</v>
      </c>
      <c r="Z386" s="37"/>
      <c r="AA386" s="602"/>
      <c r="AB386" s="602"/>
      <c r="AC386" s="602"/>
    </row>
    <row r="387" spans="1:68" ht="14.25" customHeight="1" x14ac:dyDescent="0.25">
      <c r="A387" s="659" t="s">
        <v>631</v>
      </c>
      <c r="B387" s="612"/>
      <c r="C387" s="612"/>
      <c r="D387" s="612"/>
      <c r="E387" s="612"/>
      <c r="F387" s="612"/>
      <c r="G387" s="612"/>
      <c r="H387" s="612"/>
      <c r="I387" s="612"/>
      <c r="J387" s="612"/>
      <c r="K387" s="612"/>
      <c r="L387" s="612"/>
      <c r="M387" s="612"/>
      <c r="N387" s="612"/>
      <c r="O387" s="612"/>
      <c r="P387" s="612"/>
      <c r="Q387" s="612"/>
      <c r="R387" s="612"/>
      <c r="S387" s="612"/>
      <c r="T387" s="612"/>
      <c r="U387" s="612"/>
      <c r="V387" s="612"/>
      <c r="W387" s="612"/>
      <c r="X387" s="612"/>
      <c r="Y387" s="612"/>
      <c r="Z387" s="612"/>
      <c r="AA387" s="595"/>
      <c r="AB387" s="595"/>
      <c r="AC387" s="595"/>
    </row>
    <row r="388" spans="1:68" ht="16.5" customHeight="1" x14ac:dyDescent="0.25">
      <c r="A388" s="54" t="s">
        <v>632</v>
      </c>
      <c r="B388" s="54" t="s">
        <v>633</v>
      </c>
      <c r="C388" s="31">
        <v>4301180007</v>
      </c>
      <c r="D388" s="614">
        <v>4680115881808</v>
      </c>
      <c r="E388" s="615"/>
      <c r="F388" s="598">
        <v>0.1</v>
      </c>
      <c r="G388" s="32">
        <v>20</v>
      </c>
      <c r="H388" s="598">
        <v>2</v>
      </c>
      <c r="I388" s="598">
        <v>2.2400000000000002</v>
      </c>
      <c r="J388" s="32">
        <v>238</v>
      </c>
      <c r="K388" s="32" t="s">
        <v>67</v>
      </c>
      <c r="L388" s="32"/>
      <c r="M388" s="33" t="s">
        <v>634</v>
      </c>
      <c r="N388" s="33"/>
      <c r="O388" s="32">
        <v>731</v>
      </c>
      <c r="P388" s="8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07"/>
      <c r="R388" s="607"/>
      <c r="S388" s="607"/>
      <c r="T388" s="608"/>
      <c r="U388" s="34"/>
      <c r="V388" s="34"/>
      <c r="W388" s="35" t="s">
        <v>69</v>
      </c>
      <c r="X388" s="599">
        <v>0</v>
      </c>
      <c r="Y388" s="600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635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4301180006</v>
      </c>
      <c r="D389" s="614">
        <v>4680115881822</v>
      </c>
      <c r="E389" s="615"/>
      <c r="F389" s="598">
        <v>0.1</v>
      </c>
      <c r="G389" s="32">
        <v>20</v>
      </c>
      <c r="H389" s="598">
        <v>2</v>
      </c>
      <c r="I389" s="598">
        <v>2.2400000000000002</v>
      </c>
      <c r="J389" s="32">
        <v>238</v>
      </c>
      <c r="K389" s="32" t="s">
        <v>67</v>
      </c>
      <c r="L389" s="32"/>
      <c r="M389" s="33" t="s">
        <v>634</v>
      </c>
      <c r="N389" s="33"/>
      <c r="O389" s="32">
        <v>731</v>
      </c>
      <c r="P38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07"/>
      <c r="R389" s="607"/>
      <c r="S389" s="607"/>
      <c r="T389" s="608"/>
      <c r="U389" s="34"/>
      <c r="V389" s="34"/>
      <c r="W389" s="35" t="s">
        <v>69</v>
      </c>
      <c r="X389" s="599">
        <v>0</v>
      </c>
      <c r="Y389" s="600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635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638</v>
      </c>
      <c r="B390" s="54" t="s">
        <v>639</v>
      </c>
      <c r="C390" s="31">
        <v>4301180001</v>
      </c>
      <c r="D390" s="614">
        <v>4680115880016</v>
      </c>
      <c r="E390" s="615"/>
      <c r="F390" s="598">
        <v>0.1</v>
      </c>
      <c r="G390" s="32">
        <v>20</v>
      </c>
      <c r="H390" s="598">
        <v>2</v>
      </c>
      <c r="I390" s="598">
        <v>2.2400000000000002</v>
      </c>
      <c r="J390" s="32">
        <v>238</v>
      </c>
      <c r="K390" s="32" t="s">
        <v>67</v>
      </c>
      <c r="L390" s="32"/>
      <c r="M390" s="33" t="s">
        <v>634</v>
      </c>
      <c r="N390" s="33"/>
      <c r="O390" s="32">
        <v>731</v>
      </c>
      <c r="P390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07"/>
      <c r="R390" s="607"/>
      <c r="S390" s="607"/>
      <c r="T390" s="608"/>
      <c r="U390" s="34"/>
      <c r="V390" s="34"/>
      <c r="W390" s="35" t="s">
        <v>69</v>
      </c>
      <c r="X390" s="599">
        <v>21</v>
      </c>
      <c r="Y390" s="600">
        <f>IFERROR(IF(X390="",0,CEILING((X390/$H390),1)*$H390),"")</f>
        <v>22</v>
      </c>
      <c r="Z390" s="36">
        <f>IFERROR(IF(Y390=0,"",ROUNDUP(Y390/H390,0)*0.00474),"")</f>
        <v>5.2140000000000006E-2</v>
      </c>
      <c r="AA390" s="56"/>
      <c r="AB390" s="57"/>
      <c r="AC390" s="465" t="s">
        <v>635</v>
      </c>
      <c r="AG390" s="64"/>
      <c r="AJ390" s="68"/>
      <c r="AK390" s="68">
        <v>0</v>
      </c>
      <c r="BB390" s="466" t="s">
        <v>1</v>
      </c>
      <c r="BM390" s="64">
        <f>IFERROR(X390*I390/H390,"0")</f>
        <v>23.520000000000003</v>
      </c>
      <c r="BN390" s="64">
        <f>IFERROR(Y390*I390/H390,"0")</f>
        <v>24.64</v>
      </c>
      <c r="BO390" s="64">
        <f>IFERROR(1/J390*(X390/H390),"0")</f>
        <v>4.4117647058823525E-2</v>
      </c>
      <c r="BP390" s="64">
        <f>IFERROR(1/J390*(Y390/H390),"0")</f>
        <v>4.6218487394957979E-2</v>
      </c>
    </row>
    <row r="391" spans="1:68" x14ac:dyDescent="0.2">
      <c r="A391" s="611"/>
      <c r="B391" s="612"/>
      <c r="C391" s="612"/>
      <c r="D391" s="612"/>
      <c r="E391" s="612"/>
      <c r="F391" s="612"/>
      <c r="G391" s="612"/>
      <c r="H391" s="612"/>
      <c r="I391" s="612"/>
      <c r="J391" s="612"/>
      <c r="K391" s="612"/>
      <c r="L391" s="612"/>
      <c r="M391" s="612"/>
      <c r="N391" s="612"/>
      <c r="O391" s="613"/>
      <c r="P391" s="603" t="s">
        <v>78</v>
      </c>
      <c r="Q391" s="604"/>
      <c r="R391" s="604"/>
      <c r="S391" s="604"/>
      <c r="T391" s="604"/>
      <c r="U391" s="604"/>
      <c r="V391" s="605"/>
      <c r="W391" s="37" t="s">
        <v>79</v>
      </c>
      <c r="X391" s="601">
        <f>IFERROR(X388/H388,"0")+IFERROR(X389/H389,"0")+IFERROR(X390/H390,"0")</f>
        <v>10.5</v>
      </c>
      <c r="Y391" s="601">
        <f>IFERROR(Y388/H388,"0")+IFERROR(Y389/H389,"0")+IFERROR(Y390/H390,"0")</f>
        <v>11</v>
      </c>
      <c r="Z391" s="601">
        <f>IFERROR(IF(Z388="",0,Z388),"0")+IFERROR(IF(Z389="",0,Z389),"0")+IFERROR(IF(Z390="",0,Z390),"0")</f>
        <v>5.2140000000000006E-2</v>
      </c>
      <c r="AA391" s="602"/>
      <c r="AB391" s="602"/>
      <c r="AC391" s="602"/>
    </row>
    <row r="392" spans="1:68" x14ac:dyDescent="0.2">
      <c r="A392" s="612"/>
      <c r="B392" s="612"/>
      <c r="C392" s="612"/>
      <c r="D392" s="612"/>
      <c r="E392" s="612"/>
      <c r="F392" s="612"/>
      <c r="G392" s="612"/>
      <c r="H392" s="612"/>
      <c r="I392" s="612"/>
      <c r="J392" s="612"/>
      <c r="K392" s="612"/>
      <c r="L392" s="612"/>
      <c r="M392" s="612"/>
      <c r="N392" s="612"/>
      <c r="O392" s="613"/>
      <c r="P392" s="603" t="s">
        <v>78</v>
      </c>
      <c r="Q392" s="604"/>
      <c r="R392" s="604"/>
      <c r="S392" s="604"/>
      <c r="T392" s="604"/>
      <c r="U392" s="604"/>
      <c r="V392" s="605"/>
      <c r="W392" s="37" t="s">
        <v>69</v>
      </c>
      <c r="X392" s="601">
        <f>IFERROR(SUM(X388:X390),"0")</f>
        <v>21</v>
      </c>
      <c r="Y392" s="601">
        <f>IFERROR(SUM(Y388:Y390),"0")</f>
        <v>22</v>
      </c>
      <c r="Z392" s="37"/>
      <c r="AA392" s="602"/>
      <c r="AB392" s="602"/>
      <c r="AC392" s="602"/>
    </row>
    <row r="393" spans="1:68" ht="16.5" customHeight="1" x14ac:dyDescent="0.25">
      <c r="A393" s="622" t="s">
        <v>640</v>
      </c>
      <c r="B393" s="612"/>
      <c r="C393" s="612"/>
      <c r="D393" s="612"/>
      <c r="E393" s="612"/>
      <c r="F393" s="612"/>
      <c r="G393" s="612"/>
      <c r="H393" s="612"/>
      <c r="I393" s="612"/>
      <c r="J393" s="612"/>
      <c r="K393" s="612"/>
      <c r="L393" s="612"/>
      <c r="M393" s="612"/>
      <c r="N393" s="612"/>
      <c r="O393" s="612"/>
      <c r="P393" s="612"/>
      <c r="Q393" s="612"/>
      <c r="R393" s="612"/>
      <c r="S393" s="612"/>
      <c r="T393" s="612"/>
      <c r="U393" s="612"/>
      <c r="V393" s="612"/>
      <c r="W393" s="612"/>
      <c r="X393" s="612"/>
      <c r="Y393" s="612"/>
      <c r="Z393" s="612"/>
      <c r="AA393" s="594"/>
      <c r="AB393" s="594"/>
      <c r="AC393" s="594"/>
    </row>
    <row r="394" spans="1:68" ht="14.25" customHeight="1" x14ac:dyDescent="0.25">
      <c r="A394" s="659" t="s">
        <v>80</v>
      </c>
      <c r="B394" s="612"/>
      <c r="C394" s="612"/>
      <c r="D394" s="612"/>
      <c r="E394" s="612"/>
      <c r="F394" s="612"/>
      <c r="G394" s="612"/>
      <c r="H394" s="612"/>
      <c r="I394" s="612"/>
      <c r="J394" s="612"/>
      <c r="K394" s="612"/>
      <c r="L394" s="612"/>
      <c r="M394" s="612"/>
      <c r="N394" s="612"/>
      <c r="O394" s="612"/>
      <c r="P394" s="612"/>
      <c r="Q394" s="612"/>
      <c r="R394" s="612"/>
      <c r="S394" s="612"/>
      <c r="T394" s="612"/>
      <c r="U394" s="612"/>
      <c r="V394" s="612"/>
      <c r="W394" s="612"/>
      <c r="X394" s="612"/>
      <c r="Y394" s="612"/>
      <c r="Z394" s="612"/>
      <c r="AA394" s="595"/>
      <c r="AB394" s="595"/>
      <c r="AC394" s="595"/>
    </row>
    <row r="395" spans="1:68" ht="37.5" customHeight="1" x14ac:dyDescent="0.25">
      <c r="A395" s="54" t="s">
        <v>641</v>
      </c>
      <c r="B395" s="54" t="s">
        <v>642</v>
      </c>
      <c r="C395" s="31">
        <v>4301051489</v>
      </c>
      <c r="D395" s="614">
        <v>4607091387919</v>
      </c>
      <c r="E395" s="615"/>
      <c r="F395" s="598">
        <v>1.35</v>
      </c>
      <c r="G395" s="32">
        <v>6</v>
      </c>
      <c r="H395" s="598">
        <v>8.1</v>
      </c>
      <c r="I395" s="598">
        <v>8.5939999999999994</v>
      </c>
      <c r="J395" s="32">
        <v>64</v>
      </c>
      <c r="K395" s="32" t="s">
        <v>133</v>
      </c>
      <c r="L395" s="32"/>
      <c r="M395" s="33" t="s">
        <v>89</v>
      </c>
      <c r="N395" s="33"/>
      <c r="O395" s="32">
        <v>45</v>
      </c>
      <c r="P395" s="8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07"/>
      <c r="R395" s="607"/>
      <c r="S395" s="607"/>
      <c r="T395" s="608"/>
      <c r="U395" s="34"/>
      <c r="V395" s="34"/>
      <c r="W395" s="35" t="s">
        <v>69</v>
      </c>
      <c r="X395" s="599">
        <v>0</v>
      </c>
      <c r="Y395" s="600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67" t="s">
        <v>643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644</v>
      </c>
      <c r="B396" s="54" t="s">
        <v>645</v>
      </c>
      <c r="C396" s="31">
        <v>4301051461</v>
      </c>
      <c r="D396" s="614">
        <v>4680115883604</v>
      </c>
      <c r="E396" s="615"/>
      <c r="F396" s="598">
        <v>0.35</v>
      </c>
      <c r="G396" s="32">
        <v>6</v>
      </c>
      <c r="H396" s="598">
        <v>2.1</v>
      </c>
      <c r="I396" s="598">
        <v>2.3519999999999999</v>
      </c>
      <c r="J396" s="32">
        <v>182</v>
      </c>
      <c r="K396" s="32" t="s">
        <v>67</v>
      </c>
      <c r="L396" s="32"/>
      <c r="M396" s="33" t="s">
        <v>83</v>
      </c>
      <c r="N396" s="33"/>
      <c r="O396" s="32">
        <v>45</v>
      </c>
      <c r="P396" s="85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07"/>
      <c r="R396" s="607"/>
      <c r="S396" s="607"/>
      <c r="T396" s="608"/>
      <c r="U396" s="34"/>
      <c r="V396" s="34"/>
      <c r="W396" s="35" t="s">
        <v>69</v>
      </c>
      <c r="X396" s="599">
        <v>49</v>
      </c>
      <c r="Y396" s="600">
        <f>IFERROR(IF(X396="",0,CEILING((X396/$H396),1)*$H396),"")</f>
        <v>50.400000000000006</v>
      </c>
      <c r="Z396" s="36">
        <f>IFERROR(IF(Y396=0,"",ROUNDUP(Y396/H396,0)*0.00651),"")</f>
        <v>0.15623999999999999</v>
      </c>
      <c r="AA396" s="56"/>
      <c r="AB396" s="57"/>
      <c r="AC396" s="469" t="s">
        <v>646</v>
      </c>
      <c r="AG396" s="64"/>
      <c r="AJ396" s="68"/>
      <c r="AK396" s="68">
        <v>0</v>
      </c>
      <c r="BB396" s="470" t="s">
        <v>1</v>
      </c>
      <c r="BM396" s="64">
        <f>IFERROR(X396*I396/H396,"0")</f>
        <v>54.879999999999995</v>
      </c>
      <c r="BN396" s="64">
        <f>IFERROR(Y396*I396/H396,"0")</f>
        <v>56.448</v>
      </c>
      <c r="BO396" s="64">
        <f>IFERROR(1/J396*(X396/H396),"0")</f>
        <v>0.12820512820512822</v>
      </c>
      <c r="BP396" s="64">
        <f>IFERROR(1/J396*(Y396/H396),"0")</f>
        <v>0.13186813186813187</v>
      </c>
    </row>
    <row r="397" spans="1:68" ht="27" customHeight="1" x14ac:dyDescent="0.25">
      <c r="A397" s="54" t="s">
        <v>647</v>
      </c>
      <c r="B397" s="54" t="s">
        <v>648</v>
      </c>
      <c r="C397" s="31">
        <v>4301051864</v>
      </c>
      <c r="D397" s="614">
        <v>4680115883567</v>
      </c>
      <c r="E397" s="615"/>
      <c r="F397" s="598">
        <v>0.35</v>
      </c>
      <c r="G397" s="32">
        <v>6</v>
      </c>
      <c r="H397" s="598">
        <v>2.1</v>
      </c>
      <c r="I397" s="598">
        <v>2.34</v>
      </c>
      <c r="J397" s="32">
        <v>182</v>
      </c>
      <c r="K397" s="32" t="s">
        <v>67</v>
      </c>
      <c r="L397" s="32"/>
      <c r="M397" s="33" t="s">
        <v>89</v>
      </c>
      <c r="N397" s="33"/>
      <c r="O397" s="32">
        <v>40</v>
      </c>
      <c r="P397" s="77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07"/>
      <c r="R397" s="607"/>
      <c r="S397" s="607"/>
      <c r="T397" s="608"/>
      <c r="U397" s="34"/>
      <c r="V397" s="34"/>
      <c r="W397" s="35" t="s">
        <v>69</v>
      </c>
      <c r="X397" s="599">
        <v>124</v>
      </c>
      <c r="Y397" s="600">
        <f>IFERROR(IF(X397="",0,CEILING((X397/$H397),1)*$H397),"")</f>
        <v>126</v>
      </c>
      <c r="Z397" s="36">
        <f>IFERROR(IF(Y397=0,"",ROUNDUP(Y397/H397,0)*0.00651),"")</f>
        <v>0.3906</v>
      </c>
      <c r="AA397" s="56"/>
      <c r="AB397" s="57"/>
      <c r="AC397" s="471" t="s">
        <v>649</v>
      </c>
      <c r="AG397" s="64"/>
      <c r="AJ397" s="68"/>
      <c r="AK397" s="68">
        <v>0</v>
      </c>
      <c r="BB397" s="472" t="s">
        <v>1</v>
      </c>
      <c r="BM397" s="64">
        <f>IFERROR(X397*I397/H397,"0")</f>
        <v>138.17142857142855</v>
      </c>
      <c r="BN397" s="64">
        <f>IFERROR(Y397*I397/H397,"0")</f>
        <v>140.39999999999998</v>
      </c>
      <c r="BO397" s="64">
        <f>IFERROR(1/J397*(X397/H397),"0")</f>
        <v>0.32443746729461015</v>
      </c>
      <c r="BP397" s="64">
        <f>IFERROR(1/J397*(Y397/H397),"0")</f>
        <v>0.32967032967032972</v>
      </c>
    </row>
    <row r="398" spans="1:68" x14ac:dyDescent="0.2">
      <c r="A398" s="611"/>
      <c r="B398" s="612"/>
      <c r="C398" s="612"/>
      <c r="D398" s="612"/>
      <c r="E398" s="612"/>
      <c r="F398" s="612"/>
      <c r="G398" s="612"/>
      <c r="H398" s="612"/>
      <c r="I398" s="612"/>
      <c r="J398" s="612"/>
      <c r="K398" s="612"/>
      <c r="L398" s="612"/>
      <c r="M398" s="612"/>
      <c r="N398" s="612"/>
      <c r="O398" s="613"/>
      <c r="P398" s="603" t="s">
        <v>78</v>
      </c>
      <c r="Q398" s="604"/>
      <c r="R398" s="604"/>
      <c r="S398" s="604"/>
      <c r="T398" s="604"/>
      <c r="U398" s="604"/>
      <c r="V398" s="605"/>
      <c r="W398" s="37" t="s">
        <v>79</v>
      </c>
      <c r="X398" s="601">
        <f>IFERROR(X395/H395,"0")+IFERROR(X396/H396,"0")+IFERROR(X397/H397,"0")</f>
        <v>82.38095238095238</v>
      </c>
      <c r="Y398" s="601">
        <f>IFERROR(Y395/H395,"0")+IFERROR(Y396/H396,"0")+IFERROR(Y397/H397,"0")</f>
        <v>84</v>
      </c>
      <c r="Z398" s="601">
        <f>IFERROR(IF(Z395="",0,Z395),"0")+IFERROR(IF(Z396="",0,Z396),"0")+IFERROR(IF(Z397="",0,Z397),"0")</f>
        <v>0.54683999999999999</v>
      </c>
      <c r="AA398" s="602"/>
      <c r="AB398" s="602"/>
      <c r="AC398" s="602"/>
    </row>
    <row r="399" spans="1:68" x14ac:dyDescent="0.2">
      <c r="A399" s="612"/>
      <c r="B399" s="612"/>
      <c r="C399" s="612"/>
      <c r="D399" s="612"/>
      <c r="E399" s="612"/>
      <c r="F399" s="612"/>
      <c r="G399" s="612"/>
      <c r="H399" s="612"/>
      <c r="I399" s="612"/>
      <c r="J399" s="612"/>
      <c r="K399" s="612"/>
      <c r="L399" s="612"/>
      <c r="M399" s="612"/>
      <c r="N399" s="612"/>
      <c r="O399" s="613"/>
      <c r="P399" s="603" t="s">
        <v>78</v>
      </c>
      <c r="Q399" s="604"/>
      <c r="R399" s="604"/>
      <c r="S399" s="604"/>
      <c r="T399" s="604"/>
      <c r="U399" s="604"/>
      <c r="V399" s="605"/>
      <c r="W399" s="37" t="s">
        <v>69</v>
      </c>
      <c r="X399" s="601">
        <f>IFERROR(SUM(X395:X397),"0")</f>
        <v>173</v>
      </c>
      <c r="Y399" s="601">
        <f>IFERROR(SUM(Y395:Y397),"0")</f>
        <v>176.4</v>
      </c>
      <c r="Z399" s="37"/>
      <c r="AA399" s="602"/>
      <c r="AB399" s="602"/>
      <c r="AC399" s="602"/>
    </row>
    <row r="400" spans="1:68" ht="27.75" customHeight="1" x14ac:dyDescent="0.2">
      <c r="A400" s="683" t="s">
        <v>650</v>
      </c>
      <c r="B400" s="684"/>
      <c r="C400" s="684"/>
      <c r="D400" s="684"/>
      <c r="E400" s="684"/>
      <c r="F400" s="684"/>
      <c r="G400" s="684"/>
      <c r="H400" s="684"/>
      <c r="I400" s="684"/>
      <c r="J400" s="684"/>
      <c r="K400" s="684"/>
      <c r="L400" s="684"/>
      <c r="M400" s="684"/>
      <c r="N400" s="684"/>
      <c r="O400" s="684"/>
      <c r="P400" s="684"/>
      <c r="Q400" s="684"/>
      <c r="R400" s="684"/>
      <c r="S400" s="684"/>
      <c r="T400" s="684"/>
      <c r="U400" s="684"/>
      <c r="V400" s="684"/>
      <c r="W400" s="684"/>
      <c r="X400" s="684"/>
      <c r="Y400" s="684"/>
      <c r="Z400" s="684"/>
      <c r="AA400" s="48"/>
      <c r="AB400" s="48"/>
      <c r="AC400" s="48"/>
    </row>
    <row r="401" spans="1:68" ht="16.5" customHeight="1" x14ac:dyDescent="0.25">
      <c r="A401" s="622" t="s">
        <v>651</v>
      </c>
      <c r="B401" s="612"/>
      <c r="C401" s="612"/>
      <c r="D401" s="612"/>
      <c r="E401" s="612"/>
      <c r="F401" s="612"/>
      <c r="G401" s="612"/>
      <c r="H401" s="612"/>
      <c r="I401" s="612"/>
      <c r="J401" s="612"/>
      <c r="K401" s="612"/>
      <c r="L401" s="612"/>
      <c r="M401" s="612"/>
      <c r="N401" s="612"/>
      <c r="O401" s="612"/>
      <c r="P401" s="612"/>
      <c r="Q401" s="612"/>
      <c r="R401" s="612"/>
      <c r="S401" s="612"/>
      <c r="T401" s="612"/>
      <c r="U401" s="612"/>
      <c r="V401" s="612"/>
      <c r="W401" s="612"/>
      <c r="X401" s="612"/>
      <c r="Y401" s="612"/>
      <c r="Z401" s="612"/>
      <c r="AA401" s="594"/>
      <c r="AB401" s="594"/>
      <c r="AC401" s="594"/>
    </row>
    <row r="402" spans="1:68" ht="14.25" customHeight="1" x14ac:dyDescent="0.25">
      <c r="A402" s="659" t="s">
        <v>130</v>
      </c>
      <c r="B402" s="612"/>
      <c r="C402" s="612"/>
      <c r="D402" s="612"/>
      <c r="E402" s="612"/>
      <c r="F402" s="612"/>
      <c r="G402" s="612"/>
      <c r="H402" s="612"/>
      <c r="I402" s="612"/>
      <c r="J402" s="612"/>
      <c r="K402" s="612"/>
      <c r="L402" s="612"/>
      <c r="M402" s="612"/>
      <c r="N402" s="612"/>
      <c r="O402" s="612"/>
      <c r="P402" s="612"/>
      <c r="Q402" s="612"/>
      <c r="R402" s="612"/>
      <c r="S402" s="612"/>
      <c r="T402" s="612"/>
      <c r="U402" s="612"/>
      <c r="V402" s="612"/>
      <c r="W402" s="612"/>
      <c r="X402" s="612"/>
      <c r="Y402" s="612"/>
      <c r="Z402" s="612"/>
      <c r="AA402" s="595"/>
      <c r="AB402" s="595"/>
      <c r="AC402" s="595"/>
    </row>
    <row r="403" spans="1:68" ht="27" customHeight="1" x14ac:dyDescent="0.25">
      <c r="A403" s="54" t="s">
        <v>652</v>
      </c>
      <c r="B403" s="54" t="s">
        <v>653</v>
      </c>
      <c r="C403" s="31">
        <v>4301012332</v>
      </c>
      <c r="D403" s="614">
        <v>4680115888401</v>
      </c>
      <c r="E403" s="615"/>
      <c r="F403" s="598">
        <v>2.5</v>
      </c>
      <c r="G403" s="32">
        <v>6</v>
      </c>
      <c r="H403" s="598">
        <v>15</v>
      </c>
      <c r="I403" s="598">
        <v>15.47</v>
      </c>
      <c r="J403" s="32">
        <v>48</v>
      </c>
      <c r="K403" s="32" t="s">
        <v>133</v>
      </c>
      <c r="L403" s="32"/>
      <c r="M403" s="33" t="s">
        <v>89</v>
      </c>
      <c r="N403" s="33"/>
      <c r="O403" s="32">
        <v>60</v>
      </c>
      <c r="P403" s="73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07"/>
      <c r="R403" s="607"/>
      <c r="S403" s="607"/>
      <c r="T403" s="608"/>
      <c r="U403" s="34"/>
      <c r="V403" s="34"/>
      <c r="W403" s="35" t="s">
        <v>69</v>
      </c>
      <c r="X403" s="599">
        <v>0</v>
      </c>
      <c r="Y403" s="600">
        <f t="shared" ref="Y403:Y410" si="47">IFERROR(IF(X403="",0,CEILING((X403/$H403),1)*$H403),"")</f>
        <v>0</v>
      </c>
      <c r="Z403" s="36" t="str">
        <f>IFERROR(IF(Y403=0,"",ROUNDUP(Y403/H403,0)*0.02175),"")</f>
        <v/>
      </c>
      <c r="AA403" s="56"/>
      <c r="AB403" s="57"/>
      <c r="AC403" s="473" t="s">
        <v>654</v>
      </c>
      <c r="AG403" s="64"/>
      <c r="AJ403" s="68"/>
      <c r="AK403" s="68">
        <v>0</v>
      </c>
      <c r="BB403" s="474" t="s">
        <v>1</v>
      </c>
      <c r="BM403" s="64">
        <f t="shared" ref="BM403:BM410" si="48">IFERROR(X403*I403/H403,"0")</f>
        <v>0</v>
      </c>
      <c r="BN403" s="64">
        <f t="shared" ref="BN403:BN410" si="49">IFERROR(Y403*I403/H403,"0")</f>
        <v>0</v>
      </c>
      <c r="BO403" s="64">
        <f t="shared" ref="BO403:BO410" si="50">IFERROR(1/J403*(X403/H403),"0")</f>
        <v>0</v>
      </c>
      <c r="BP403" s="64">
        <f t="shared" ref="BP403:BP410" si="51">IFERROR(1/J403*(Y403/H403),"0")</f>
        <v>0</v>
      </c>
    </row>
    <row r="404" spans="1:68" ht="37.5" customHeight="1" x14ac:dyDescent="0.25">
      <c r="A404" s="54" t="s">
        <v>655</v>
      </c>
      <c r="B404" s="54" t="s">
        <v>656</v>
      </c>
      <c r="C404" s="31">
        <v>4301011869</v>
      </c>
      <c r="D404" s="614">
        <v>4680115884847</v>
      </c>
      <c r="E404" s="615"/>
      <c r="F404" s="598">
        <v>2.5</v>
      </c>
      <c r="G404" s="32">
        <v>6</v>
      </c>
      <c r="H404" s="598">
        <v>15</v>
      </c>
      <c r="I404" s="598">
        <v>15.47</v>
      </c>
      <c r="J404" s="32">
        <v>48</v>
      </c>
      <c r="K404" s="32" t="s">
        <v>133</v>
      </c>
      <c r="L404" s="32"/>
      <c r="M404" s="33" t="s">
        <v>68</v>
      </c>
      <c r="N404" s="33"/>
      <c r="O404" s="32">
        <v>60</v>
      </c>
      <c r="P404" s="6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07"/>
      <c r="R404" s="607"/>
      <c r="S404" s="607"/>
      <c r="T404" s="608"/>
      <c r="U404" s="34"/>
      <c r="V404" s="34"/>
      <c r="W404" s="35" t="s">
        <v>69</v>
      </c>
      <c r="X404" s="599">
        <v>1077</v>
      </c>
      <c r="Y404" s="600">
        <f t="shared" si="47"/>
        <v>1080</v>
      </c>
      <c r="Z404" s="36">
        <f>IFERROR(IF(Y404=0,"",ROUNDUP(Y404/H404,0)*0.02175),"")</f>
        <v>1.5659999999999998</v>
      </c>
      <c r="AA404" s="56"/>
      <c r="AB404" s="57"/>
      <c r="AC404" s="475" t="s">
        <v>657</v>
      </c>
      <c r="AG404" s="64"/>
      <c r="AJ404" s="68"/>
      <c r="AK404" s="68">
        <v>0</v>
      </c>
      <c r="BB404" s="476" t="s">
        <v>1</v>
      </c>
      <c r="BM404" s="64">
        <f t="shared" si="48"/>
        <v>1110.7460000000001</v>
      </c>
      <c r="BN404" s="64">
        <f t="shared" si="49"/>
        <v>1113.8400000000001</v>
      </c>
      <c r="BO404" s="64">
        <f t="shared" si="50"/>
        <v>1.4958333333333331</v>
      </c>
      <c r="BP404" s="64">
        <f t="shared" si="51"/>
        <v>1.5</v>
      </c>
    </row>
    <row r="405" spans="1:68" ht="27" customHeight="1" x14ac:dyDescent="0.25">
      <c r="A405" s="54" t="s">
        <v>658</v>
      </c>
      <c r="B405" s="54" t="s">
        <v>659</v>
      </c>
      <c r="C405" s="31">
        <v>4301012083</v>
      </c>
      <c r="D405" s="614">
        <v>4680115884854</v>
      </c>
      <c r="E405" s="615"/>
      <c r="F405" s="598">
        <v>2.5</v>
      </c>
      <c r="G405" s="32">
        <v>6</v>
      </c>
      <c r="H405" s="598">
        <v>15</v>
      </c>
      <c r="I405" s="598">
        <v>15.47</v>
      </c>
      <c r="J405" s="32">
        <v>48</v>
      </c>
      <c r="K405" s="32" t="s">
        <v>133</v>
      </c>
      <c r="L405" s="32"/>
      <c r="M405" s="33" t="s">
        <v>134</v>
      </c>
      <c r="N405" s="33"/>
      <c r="O405" s="32">
        <v>60</v>
      </c>
      <c r="P405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07"/>
      <c r="R405" s="607"/>
      <c r="S405" s="607"/>
      <c r="T405" s="608"/>
      <c r="U405" s="34"/>
      <c r="V405" s="34"/>
      <c r="W405" s="35" t="s">
        <v>69</v>
      </c>
      <c r="X405" s="599">
        <v>0</v>
      </c>
      <c r="Y405" s="600">
        <f t="shared" si="47"/>
        <v>0</v>
      </c>
      <c r="Z405" s="36" t="str">
        <f>IFERROR(IF(Y405=0,"",ROUNDUP(Y405/H405,0)*0.02175),"")</f>
        <v/>
      </c>
      <c r="AA405" s="56"/>
      <c r="AB405" s="57"/>
      <c r="AC405" s="477" t="s">
        <v>660</v>
      </c>
      <c r="AG405" s="64"/>
      <c r="AJ405" s="68"/>
      <c r="AK405" s="68">
        <v>0</v>
      </c>
      <c r="BB405" s="478" t="s">
        <v>1</v>
      </c>
      <c r="BM405" s="64">
        <f t="shared" si="48"/>
        <v>0</v>
      </c>
      <c r="BN405" s="64">
        <f t="shared" si="49"/>
        <v>0</v>
      </c>
      <c r="BO405" s="64">
        <f t="shared" si="50"/>
        <v>0</v>
      </c>
      <c r="BP405" s="64">
        <f t="shared" si="51"/>
        <v>0</v>
      </c>
    </row>
    <row r="406" spans="1:68" ht="27" customHeight="1" x14ac:dyDescent="0.25">
      <c r="A406" s="54" t="s">
        <v>661</v>
      </c>
      <c r="B406" s="54" t="s">
        <v>662</v>
      </c>
      <c r="C406" s="31">
        <v>4301011867</v>
      </c>
      <c r="D406" s="614">
        <v>4680115884830</v>
      </c>
      <c r="E406" s="615"/>
      <c r="F406" s="598">
        <v>2.5</v>
      </c>
      <c r="G406" s="32">
        <v>6</v>
      </c>
      <c r="H406" s="598">
        <v>15</v>
      </c>
      <c r="I406" s="598">
        <v>15.47</v>
      </c>
      <c r="J406" s="32">
        <v>48</v>
      </c>
      <c r="K406" s="32" t="s">
        <v>133</v>
      </c>
      <c r="L406" s="32"/>
      <c r="M406" s="33" t="s">
        <v>68</v>
      </c>
      <c r="N406" s="33"/>
      <c r="O406" s="32">
        <v>60</v>
      </c>
      <c r="P406" s="74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07"/>
      <c r="R406" s="607"/>
      <c r="S406" s="607"/>
      <c r="T406" s="608"/>
      <c r="U406" s="34"/>
      <c r="V406" s="34"/>
      <c r="W406" s="35" t="s">
        <v>69</v>
      </c>
      <c r="X406" s="599">
        <v>0</v>
      </c>
      <c r="Y406" s="600">
        <f t="shared" si="47"/>
        <v>0</v>
      </c>
      <c r="Z406" s="36" t="str">
        <f>IFERROR(IF(Y406=0,"",ROUNDUP(Y406/H406,0)*0.02175),"")</f>
        <v/>
      </c>
      <c r="AA406" s="56"/>
      <c r="AB406" s="57"/>
      <c r="AC406" s="479" t="s">
        <v>663</v>
      </c>
      <c r="AG406" s="64"/>
      <c r="AJ406" s="68"/>
      <c r="AK406" s="68">
        <v>0</v>
      </c>
      <c r="BB406" s="480" t="s">
        <v>1</v>
      </c>
      <c r="BM406" s="64">
        <f t="shared" si="48"/>
        <v>0</v>
      </c>
      <c r="BN406" s="64">
        <f t="shared" si="49"/>
        <v>0</v>
      </c>
      <c r="BO406" s="64">
        <f t="shared" si="50"/>
        <v>0</v>
      </c>
      <c r="BP406" s="64">
        <f t="shared" si="51"/>
        <v>0</v>
      </c>
    </row>
    <row r="407" spans="1:68" ht="27" customHeight="1" x14ac:dyDescent="0.25">
      <c r="A407" s="54" t="s">
        <v>664</v>
      </c>
      <c r="B407" s="54" t="s">
        <v>665</v>
      </c>
      <c r="C407" s="31">
        <v>4301012215</v>
      </c>
      <c r="D407" s="614">
        <v>4680115887046</v>
      </c>
      <c r="E407" s="615"/>
      <c r="F407" s="598">
        <v>2.5</v>
      </c>
      <c r="G407" s="32">
        <v>6</v>
      </c>
      <c r="H407" s="598">
        <v>15</v>
      </c>
      <c r="I407" s="598">
        <v>15.47</v>
      </c>
      <c r="J407" s="32">
        <v>48</v>
      </c>
      <c r="K407" s="32" t="s">
        <v>133</v>
      </c>
      <c r="L407" s="32"/>
      <c r="M407" s="33" t="s">
        <v>89</v>
      </c>
      <c r="N407" s="33"/>
      <c r="O407" s="32">
        <v>60</v>
      </c>
      <c r="P407" s="69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07"/>
      <c r="R407" s="607"/>
      <c r="S407" s="607"/>
      <c r="T407" s="608"/>
      <c r="U407" s="34"/>
      <c r="V407" s="34"/>
      <c r="W407" s="35" t="s">
        <v>69</v>
      </c>
      <c r="X407" s="599">
        <v>668</v>
      </c>
      <c r="Y407" s="600">
        <f t="shared" si="47"/>
        <v>675</v>
      </c>
      <c r="Z407" s="36">
        <f>IFERROR(IF(Y407=0,"",ROUNDUP(Y407/H407,0)*0.02175),"")</f>
        <v>0.9787499999999999</v>
      </c>
      <c r="AA407" s="56"/>
      <c r="AB407" s="57"/>
      <c r="AC407" s="481" t="s">
        <v>666</v>
      </c>
      <c r="AG407" s="64"/>
      <c r="AJ407" s="68"/>
      <c r="AK407" s="68">
        <v>0</v>
      </c>
      <c r="BB407" s="482" t="s">
        <v>1</v>
      </c>
      <c r="BM407" s="64">
        <f t="shared" si="48"/>
        <v>688.93066666666675</v>
      </c>
      <c r="BN407" s="64">
        <f t="shared" si="49"/>
        <v>696.15</v>
      </c>
      <c r="BO407" s="64">
        <f t="shared" si="50"/>
        <v>0.9277777777777777</v>
      </c>
      <c r="BP407" s="64">
        <f t="shared" si="51"/>
        <v>0.9375</v>
      </c>
    </row>
    <row r="408" spans="1:68" ht="27" customHeight="1" x14ac:dyDescent="0.25">
      <c r="A408" s="54" t="s">
        <v>667</v>
      </c>
      <c r="B408" s="54" t="s">
        <v>668</v>
      </c>
      <c r="C408" s="31">
        <v>4301011433</v>
      </c>
      <c r="D408" s="614">
        <v>4680115882638</v>
      </c>
      <c r="E408" s="615"/>
      <c r="F408" s="598">
        <v>0.4</v>
      </c>
      <c r="G408" s="32">
        <v>10</v>
      </c>
      <c r="H408" s="598">
        <v>4</v>
      </c>
      <c r="I408" s="598">
        <v>4.1900000000000004</v>
      </c>
      <c r="J408" s="32">
        <v>132</v>
      </c>
      <c r="K408" s="32" t="s">
        <v>142</v>
      </c>
      <c r="L408" s="32"/>
      <c r="M408" s="33" t="s">
        <v>134</v>
      </c>
      <c r="N408" s="33"/>
      <c r="O408" s="32">
        <v>90</v>
      </c>
      <c r="P408" s="9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07"/>
      <c r="R408" s="607"/>
      <c r="S408" s="607"/>
      <c r="T408" s="608"/>
      <c r="U408" s="34"/>
      <c r="V408" s="34"/>
      <c r="W408" s="35" t="s">
        <v>69</v>
      </c>
      <c r="X408" s="599">
        <v>0</v>
      </c>
      <c r="Y408" s="600">
        <f t="shared" si="47"/>
        <v>0</v>
      </c>
      <c r="Z408" s="36" t="str">
        <f>IFERROR(IF(Y408=0,"",ROUNDUP(Y408/H408,0)*0.00902),"")</f>
        <v/>
      </c>
      <c r="AA408" s="56"/>
      <c r="AB408" s="57"/>
      <c r="AC408" s="483" t="s">
        <v>669</v>
      </c>
      <c r="AG408" s="64"/>
      <c r="AJ408" s="68"/>
      <c r="AK408" s="68">
        <v>0</v>
      </c>
      <c r="BB408" s="484" t="s">
        <v>1</v>
      </c>
      <c r="BM408" s="64">
        <f t="shared" si="48"/>
        <v>0</v>
      </c>
      <c r="BN408" s="64">
        <f t="shared" si="49"/>
        <v>0</v>
      </c>
      <c r="BO408" s="64">
        <f t="shared" si="50"/>
        <v>0</v>
      </c>
      <c r="BP408" s="64">
        <f t="shared" si="51"/>
        <v>0</v>
      </c>
    </row>
    <row r="409" spans="1:68" ht="27" customHeight="1" x14ac:dyDescent="0.25">
      <c r="A409" s="54" t="s">
        <v>670</v>
      </c>
      <c r="B409" s="54" t="s">
        <v>671</v>
      </c>
      <c r="C409" s="31">
        <v>4301011952</v>
      </c>
      <c r="D409" s="614">
        <v>4680115884922</v>
      </c>
      <c r="E409" s="615"/>
      <c r="F409" s="598">
        <v>0.5</v>
      </c>
      <c r="G409" s="32">
        <v>10</v>
      </c>
      <c r="H409" s="598">
        <v>5</v>
      </c>
      <c r="I409" s="598">
        <v>5.19</v>
      </c>
      <c r="J409" s="32">
        <v>132</v>
      </c>
      <c r="K409" s="32" t="s">
        <v>142</v>
      </c>
      <c r="L409" s="32"/>
      <c r="M409" s="33" t="s">
        <v>68</v>
      </c>
      <c r="N409" s="33"/>
      <c r="O409" s="32">
        <v>60</v>
      </c>
      <c r="P409" s="8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07"/>
      <c r="R409" s="607"/>
      <c r="S409" s="607"/>
      <c r="T409" s="608"/>
      <c r="U409" s="34"/>
      <c r="V409" s="34"/>
      <c r="W409" s="35" t="s">
        <v>69</v>
      </c>
      <c r="X409" s="599">
        <v>0</v>
      </c>
      <c r="Y409" s="600">
        <f t="shared" si="47"/>
        <v>0</v>
      </c>
      <c r="Z409" s="36" t="str">
        <f>IFERROR(IF(Y409=0,"",ROUNDUP(Y409/H409,0)*0.00902),"")</f>
        <v/>
      </c>
      <c r="AA409" s="56"/>
      <c r="AB409" s="57"/>
      <c r="AC409" s="485" t="s">
        <v>672</v>
      </c>
      <c r="AG409" s="64"/>
      <c r="AJ409" s="68"/>
      <c r="AK409" s="68">
        <v>0</v>
      </c>
      <c r="BB409" s="486" t="s">
        <v>1</v>
      </c>
      <c r="BM409" s="64">
        <f t="shared" si="48"/>
        <v>0</v>
      </c>
      <c r="BN409" s="64">
        <f t="shared" si="49"/>
        <v>0</v>
      </c>
      <c r="BO409" s="64">
        <f t="shared" si="50"/>
        <v>0</v>
      </c>
      <c r="BP409" s="64">
        <f t="shared" si="51"/>
        <v>0</v>
      </c>
    </row>
    <row r="410" spans="1:68" ht="37.5" customHeight="1" x14ac:dyDescent="0.25">
      <c r="A410" s="54" t="s">
        <v>673</v>
      </c>
      <c r="B410" s="54" t="s">
        <v>674</v>
      </c>
      <c r="C410" s="31">
        <v>4301011868</v>
      </c>
      <c r="D410" s="614">
        <v>4680115884861</v>
      </c>
      <c r="E410" s="615"/>
      <c r="F410" s="598">
        <v>0.5</v>
      </c>
      <c r="G410" s="32">
        <v>10</v>
      </c>
      <c r="H410" s="598">
        <v>5</v>
      </c>
      <c r="I410" s="598">
        <v>5.19</v>
      </c>
      <c r="J410" s="32">
        <v>132</v>
      </c>
      <c r="K410" s="32" t="s">
        <v>142</v>
      </c>
      <c r="L410" s="32"/>
      <c r="M410" s="33" t="s">
        <v>68</v>
      </c>
      <c r="N410" s="33"/>
      <c r="O410" s="32">
        <v>60</v>
      </c>
      <c r="P41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07"/>
      <c r="R410" s="607"/>
      <c r="S410" s="607"/>
      <c r="T410" s="608"/>
      <c r="U410" s="34"/>
      <c r="V410" s="34"/>
      <c r="W410" s="35" t="s">
        <v>69</v>
      </c>
      <c r="X410" s="599">
        <v>0</v>
      </c>
      <c r="Y410" s="600">
        <f t="shared" si="47"/>
        <v>0</v>
      </c>
      <c r="Z410" s="36" t="str">
        <f>IFERROR(IF(Y410=0,"",ROUNDUP(Y410/H410,0)*0.00902),"")</f>
        <v/>
      </c>
      <c r="AA410" s="56"/>
      <c r="AB410" s="57"/>
      <c r="AC410" s="487" t="s">
        <v>675</v>
      </c>
      <c r="AG410" s="64"/>
      <c r="AJ410" s="68"/>
      <c r="AK410" s="68">
        <v>0</v>
      </c>
      <c r="BB410" s="488" t="s">
        <v>1</v>
      </c>
      <c r="BM410" s="64">
        <f t="shared" si="48"/>
        <v>0</v>
      </c>
      <c r="BN410" s="64">
        <f t="shared" si="49"/>
        <v>0</v>
      </c>
      <c r="BO410" s="64">
        <f t="shared" si="50"/>
        <v>0</v>
      </c>
      <c r="BP410" s="64">
        <f t="shared" si="51"/>
        <v>0</v>
      </c>
    </row>
    <row r="411" spans="1:68" x14ac:dyDescent="0.2">
      <c r="A411" s="611"/>
      <c r="B411" s="612"/>
      <c r="C411" s="612"/>
      <c r="D411" s="612"/>
      <c r="E411" s="612"/>
      <c r="F411" s="612"/>
      <c r="G411" s="612"/>
      <c r="H411" s="612"/>
      <c r="I411" s="612"/>
      <c r="J411" s="612"/>
      <c r="K411" s="612"/>
      <c r="L411" s="612"/>
      <c r="M411" s="612"/>
      <c r="N411" s="612"/>
      <c r="O411" s="613"/>
      <c r="P411" s="603" t="s">
        <v>78</v>
      </c>
      <c r="Q411" s="604"/>
      <c r="R411" s="604"/>
      <c r="S411" s="604"/>
      <c r="T411" s="604"/>
      <c r="U411" s="604"/>
      <c r="V411" s="605"/>
      <c r="W411" s="37" t="s">
        <v>79</v>
      </c>
      <c r="X411" s="601">
        <f>IFERROR(X403/H403,"0")+IFERROR(X404/H404,"0")+IFERROR(X405/H405,"0")+IFERROR(X406/H406,"0")+IFERROR(X407/H407,"0")+IFERROR(X408/H408,"0")+IFERROR(X409/H409,"0")+IFERROR(X410/H410,"0")</f>
        <v>116.33333333333333</v>
      </c>
      <c r="Y411" s="601">
        <f>IFERROR(Y403/H403,"0")+IFERROR(Y404/H404,"0")+IFERROR(Y405/H405,"0")+IFERROR(Y406/H406,"0")+IFERROR(Y407/H407,"0")+IFERROR(Y408/H408,"0")+IFERROR(Y409/H409,"0")+IFERROR(Y410/H410,"0")</f>
        <v>117</v>
      </c>
      <c r="Z411" s="60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2.5447499999999996</v>
      </c>
      <c r="AA411" s="602"/>
      <c r="AB411" s="602"/>
      <c r="AC411" s="602"/>
    </row>
    <row r="412" spans="1:68" x14ac:dyDescent="0.2">
      <c r="A412" s="612"/>
      <c r="B412" s="612"/>
      <c r="C412" s="612"/>
      <c r="D412" s="612"/>
      <c r="E412" s="612"/>
      <c r="F412" s="612"/>
      <c r="G412" s="612"/>
      <c r="H412" s="612"/>
      <c r="I412" s="612"/>
      <c r="J412" s="612"/>
      <c r="K412" s="612"/>
      <c r="L412" s="612"/>
      <c r="M412" s="612"/>
      <c r="N412" s="612"/>
      <c r="O412" s="613"/>
      <c r="P412" s="603" t="s">
        <v>78</v>
      </c>
      <c r="Q412" s="604"/>
      <c r="R412" s="604"/>
      <c r="S412" s="604"/>
      <c r="T412" s="604"/>
      <c r="U412" s="604"/>
      <c r="V412" s="605"/>
      <c r="W412" s="37" t="s">
        <v>69</v>
      </c>
      <c r="X412" s="601">
        <f>IFERROR(SUM(X403:X410),"0")</f>
        <v>1745</v>
      </c>
      <c r="Y412" s="601">
        <f>IFERROR(SUM(Y403:Y410),"0")</f>
        <v>1755</v>
      </c>
      <c r="Z412" s="37"/>
      <c r="AA412" s="602"/>
      <c r="AB412" s="602"/>
      <c r="AC412" s="602"/>
    </row>
    <row r="413" spans="1:68" ht="14.25" customHeight="1" x14ac:dyDescent="0.25">
      <c r="A413" s="659" t="s">
        <v>165</v>
      </c>
      <c r="B413" s="612"/>
      <c r="C413" s="612"/>
      <c r="D413" s="612"/>
      <c r="E413" s="612"/>
      <c r="F413" s="612"/>
      <c r="G413" s="612"/>
      <c r="H413" s="612"/>
      <c r="I413" s="612"/>
      <c r="J413" s="612"/>
      <c r="K413" s="612"/>
      <c r="L413" s="612"/>
      <c r="M413" s="612"/>
      <c r="N413" s="612"/>
      <c r="O413" s="612"/>
      <c r="P413" s="612"/>
      <c r="Q413" s="612"/>
      <c r="R413" s="612"/>
      <c r="S413" s="612"/>
      <c r="T413" s="612"/>
      <c r="U413" s="612"/>
      <c r="V413" s="612"/>
      <c r="W413" s="612"/>
      <c r="X413" s="612"/>
      <c r="Y413" s="612"/>
      <c r="Z413" s="612"/>
      <c r="AA413" s="595"/>
      <c r="AB413" s="595"/>
      <c r="AC413" s="595"/>
    </row>
    <row r="414" spans="1:68" ht="27" customHeight="1" x14ac:dyDescent="0.25">
      <c r="A414" s="54" t="s">
        <v>676</v>
      </c>
      <c r="B414" s="54" t="s">
        <v>677</v>
      </c>
      <c r="C414" s="31">
        <v>4301020178</v>
      </c>
      <c r="D414" s="614">
        <v>4607091383980</v>
      </c>
      <c r="E414" s="615"/>
      <c r="F414" s="598">
        <v>2.5</v>
      </c>
      <c r="G414" s="32">
        <v>6</v>
      </c>
      <c r="H414" s="598">
        <v>15</v>
      </c>
      <c r="I414" s="598">
        <v>15.47</v>
      </c>
      <c r="J414" s="32">
        <v>48</v>
      </c>
      <c r="K414" s="32" t="s">
        <v>133</v>
      </c>
      <c r="L414" s="32"/>
      <c r="M414" s="33" t="s">
        <v>134</v>
      </c>
      <c r="N414" s="33"/>
      <c r="O414" s="32">
        <v>50</v>
      </c>
      <c r="P414" s="72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07"/>
      <c r="R414" s="607"/>
      <c r="S414" s="607"/>
      <c r="T414" s="608"/>
      <c r="U414" s="34"/>
      <c r="V414" s="34"/>
      <c r="W414" s="35" t="s">
        <v>69</v>
      </c>
      <c r="X414" s="599">
        <v>0</v>
      </c>
      <c r="Y414" s="600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678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679</v>
      </c>
      <c r="B415" s="54" t="s">
        <v>680</v>
      </c>
      <c r="C415" s="31">
        <v>4301020355</v>
      </c>
      <c r="D415" s="614">
        <v>4680115888425</v>
      </c>
      <c r="E415" s="615"/>
      <c r="F415" s="598">
        <v>2.5</v>
      </c>
      <c r="G415" s="32">
        <v>6</v>
      </c>
      <c r="H415" s="598">
        <v>15</v>
      </c>
      <c r="I415" s="598">
        <v>15.47</v>
      </c>
      <c r="J415" s="32">
        <v>48</v>
      </c>
      <c r="K415" s="32" t="s">
        <v>133</v>
      </c>
      <c r="L415" s="32"/>
      <c r="M415" s="33" t="s">
        <v>134</v>
      </c>
      <c r="N415" s="33"/>
      <c r="O415" s="32">
        <v>50</v>
      </c>
      <c r="P415" s="89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07"/>
      <c r="R415" s="607"/>
      <c r="S415" s="607"/>
      <c r="T415" s="608"/>
      <c r="U415" s="34"/>
      <c r="V415" s="34"/>
      <c r="W415" s="35" t="s">
        <v>69</v>
      </c>
      <c r="X415" s="599">
        <v>65</v>
      </c>
      <c r="Y415" s="600">
        <f>IFERROR(IF(X415="",0,CEILING((X415/$H415),1)*$H415),"")</f>
        <v>75</v>
      </c>
      <c r="Z415" s="36">
        <f>IFERROR(IF(Y415=0,"",ROUNDUP(Y415/H415,0)*0.02175),"")</f>
        <v>0.10874999999999999</v>
      </c>
      <c r="AA415" s="56"/>
      <c r="AB415" s="57"/>
      <c r="AC415" s="491" t="s">
        <v>681</v>
      </c>
      <c r="AG415" s="64"/>
      <c r="AJ415" s="68"/>
      <c r="AK415" s="68">
        <v>0</v>
      </c>
      <c r="BB415" s="492" t="s">
        <v>1</v>
      </c>
      <c r="BM415" s="64">
        <f>IFERROR(X415*I415/H415,"0")</f>
        <v>67.036666666666676</v>
      </c>
      <c r="BN415" s="64">
        <f>IFERROR(Y415*I415/H415,"0")</f>
        <v>77.349999999999994</v>
      </c>
      <c r="BO415" s="64">
        <f>IFERROR(1/J415*(X415/H415),"0")</f>
        <v>9.0277777777777762E-2</v>
      </c>
      <c r="BP415" s="64">
        <f>IFERROR(1/J415*(Y415/H415),"0")</f>
        <v>0.10416666666666666</v>
      </c>
    </row>
    <row r="416" spans="1:68" ht="27" customHeight="1" x14ac:dyDescent="0.25">
      <c r="A416" s="54" t="s">
        <v>682</v>
      </c>
      <c r="B416" s="54" t="s">
        <v>683</v>
      </c>
      <c r="C416" s="31">
        <v>4301020179</v>
      </c>
      <c r="D416" s="614">
        <v>4607091384178</v>
      </c>
      <c r="E416" s="615"/>
      <c r="F416" s="598">
        <v>0.4</v>
      </c>
      <c r="G416" s="32">
        <v>10</v>
      </c>
      <c r="H416" s="598">
        <v>4</v>
      </c>
      <c r="I416" s="598">
        <v>4.1900000000000004</v>
      </c>
      <c r="J416" s="32">
        <v>132</v>
      </c>
      <c r="K416" s="32" t="s">
        <v>142</v>
      </c>
      <c r="L416" s="32"/>
      <c r="M416" s="33" t="s">
        <v>134</v>
      </c>
      <c r="N416" s="33"/>
      <c r="O416" s="32">
        <v>50</v>
      </c>
      <c r="P416" s="7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07"/>
      <c r="R416" s="607"/>
      <c r="S416" s="607"/>
      <c r="T416" s="608"/>
      <c r="U416" s="34"/>
      <c r="V416" s="34"/>
      <c r="W416" s="35" t="s">
        <v>69</v>
      </c>
      <c r="X416" s="599">
        <v>0</v>
      </c>
      <c r="Y416" s="600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93" t="s">
        <v>684</v>
      </c>
      <c r="AG416" s="64"/>
      <c r="AJ416" s="68"/>
      <c r="AK416" s="68">
        <v>0</v>
      </c>
      <c r="BB416" s="49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11"/>
      <c r="B417" s="612"/>
      <c r="C417" s="612"/>
      <c r="D417" s="612"/>
      <c r="E417" s="612"/>
      <c r="F417" s="612"/>
      <c r="G417" s="612"/>
      <c r="H417" s="612"/>
      <c r="I417" s="612"/>
      <c r="J417" s="612"/>
      <c r="K417" s="612"/>
      <c r="L417" s="612"/>
      <c r="M417" s="612"/>
      <c r="N417" s="612"/>
      <c r="O417" s="613"/>
      <c r="P417" s="603" t="s">
        <v>78</v>
      </c>
      <c r="Q417" s="604"/>
      <c r="R417" s="604"/>
      <c r="S417" s="604"/>
      <c r="T417" s="604"/>
      <c r="U417" s="604"/>
      <c r="V417" s="605"/>
      <c r="W417" s="37" t="s">
        <v>79</v>
      </c>
      <c r="X417" s="601">
        <f>IFERROR(X414/H414,"0")+IFERROR(X415/H415,"0")+IFERROR(X416/H416,"0")</f>
        <v>4.333333333333333</v>
      </c>
      <c r="Y417" s="601">
        <f>IFERROR(Y414/H414,"0")+IFERROR(Y415/H415,"0")+IFERROR(Y416/H416,"0")</f>
        <v>5</v>
      </c>
      <c r="Z417" s="601">
        <f>IFERROR(IF(Z414="",0,Z414),"0")+IFERROR(IF(Z415="",0,Z415),"0")+IFERROR(IF(Z416="",0,Z416),"0")</f>
        <v>0.10874999999999999</v>
      </c>
      <c r="AA417" s="602"/>
      <c r="AB417" s="602"/>
      <c r="AC417" s="602"/>
    </row>
    <row r="418" spans="1:68" x14ac:dyDescent="0.2">
      <c r="A418" s="612"/>
      <c r="B418" s="612"/>
      <c r="C418" s="612"/>
      <c r="D418" s="612"/>
      <c r="E418" s="612"/>
      <c r="F418" s="612"/>
      <c r="G418" s="612"/>
      <c r="H418" s="612"/>
      <c r="I418" s="612"/>
      <c r="J418" s="612"/>
      <c r="K418" s="612"/>
      <c r="L418" s="612"/>
      <c r="M418" s="612"/>
      <c r="N418" s="612"/>
      <c r="O418" s="613"/>
      <c r="P418" s="603" t="s">
        <v>78</v>
      </c>
      <c r="Q418" s="604"/>
      <c r="R418" s="604"/>
      <c r="S418" s="604"/>
      <c r="T418" s="604"/>
      <c r="U418" s="604"/>
      <c r="V418" s="605"/>
      <c r="W418" s="37" t="s">
        <v>69</v>
      </c>
      <c r="X418" s="601">
        <f>IFERROR(SUM(X414:X416),"0")</f>
        <v>65</v>
      </c>
      <c r="Y418" s="601">
        <f>IFERROR(SUM(Y414:Y416),"0")</f>
        <v>75</v>
      </c>
      <c r="Z418" s="37"/>
      <c r="AA418" s="602"/>
      <c r="AB418" s="602"/>
      <c r="AC418" s="602"/>
    </row>
    <row r="419" spans="1:68" ht="14.25" customHeight="1" x14ac:dyDescent="0.25">
      <c r="A419" s="659" t="s">
        <v>80</v>
      </c>
      <c r="B419" s="612"/>
      <c r="C419" s="612"/>
      <c r="D419" s="612"/>
      <c r="E419" s="612"/>
      <c r="F419" s="612"/>
      <c r="G419" s="612"/>
      <c r="H419" s="612"/>
      <c r="I419" s="612"/>
      <c r="J419" s="612"/>
      <c r="K419" s="612"/>
      <c r="L419" s="612"/>
      <c r="M419" s="612"/>
      <c r="N419" s="612"/>
      <c r="O419" s="612"/>
      <c r="P419" s="612"/>
      <c r="Q419" s="612"/>
      <c r="R419" s="612"/>
      <c r="S419" s="612"/>
      <c r="T419" s="612"/>
      <c r="U419" s="612"/>
      <c r="V419" s="612"/>
      <c r="W419" s="612"/>
      <c r="X419" s="612"/>
      <c r="Y419" s="612"/>
      <c r="Z419" s="612"/>
      <c r="AA419" s="595"/>
      <c r="AB419" s="595"/>
      <c r="AC419" s="595"/>
    </row>
    <row r="420" spans="1:68" ht="27" customHeight="1" x14ac:dyDescent="0.25">
      <c r="A420" s="54" t="s">
        <v>685</v>
      </c>
      <c r="B420" s="54" t="s">
        <v>686</v>
      </c>
      <c r="C420" s="31">
        <v>4301051903</v>
      </c>
      <c r="D420" s="614">
        <v>4607091383928</v>
      </c>
      <c r="E420" s="615"/>
      <c r="F420" s="598">
        <v>1.5</v>
      </c>
      <c r="G420" s="32">
        <v>6</v>
      </c>
      <c r="H420" s="598">
        <v>9</v>
      </c>
      <c r="I420" s="598">
        <v>9.5</v>
      </c>
      <c r="J420" s="32">
        <v>64</v>
      </c>
      <c r="K420" s="32" t="s">
        <v>133</v>
      </c>
      <c r="L420" s="32"/>
      <c r="M420" s="33" t="s">
        <v>83</v>
      </c>
      <c r="N420" s="33"/>
      <c r="O420" s="32">
        <v>40</v>
      </c>
      <c r="P420" s="9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07"/>
      <c r="R420" s="607"/>
      <c r="S420" s="607"/>
      <c r="T420" s="608"/>
      <c r="U420" s="34"/>
      <c r="V420" s="34"/>
      <c r="W420" s="35" t="s">
        <v>69</v>
      </c>
      <c r="X420" s="599">
        <v>0</v>
      </c>
      <c r="Y420" s="600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687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688</v>
      </c>
      <c r="B421" s="54" t="s">
        <v>689</v>
      </c>
      <c r="C421" s="31">
        <v>4301051897</v>
      </c>
      <c r="D421" s="614">
        <v>4607091384260</v>
      </c>
      <c r="E421" s="615"/>
      <c r="F421" s="598">
        <v>1.5</v>
      </c>
      <c r="G421" s="32">
        <v>6</v>
      </c>
      <c r="H421" s="598">
        <v>9</v>
      </c>
      <c r="I421" s="598">
        <v>9.4939999999999998</v>
      </c>
      <c r="J421" s="32">
        <v>64</v>
      </c>
      <c r="K421" s="32" t="s">
        <v>133</v>
      </c>
      <c r="L421" s="32"/>
      <c r="M421" s="33" t="s">
        <v>83</v>
      </c>
      <c r="N421" s="33"/>
      <c r="O421" s="32">
        <v>40</v>
      </c>
      <c r="P421" s="9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07"/>
      <c r="R421" s="607"/>
      <c r="S421" s="607"/>
      <c r="T421" s="608"/>
      <c r="U421" s="34"/>
      <c r="V421" s="34"/>
      <c r="W421" s="35" t="s">
        <v>69</v>
      </c>
      <c r="X421" s="599">
        <v>0</v>
      </c>
      <c r="Y421" s="600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7" t="s">
        <v>690</v>
      </c>
      <c r="AG421" s="64"/>
      <c r="AJ421" s="68"/>
      <c r="AK421" s="68">
        <v>0</v>
      </c>
      <c r="BB421" s="498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11"/>
      <c r="B422" s="612"/>
      <c r="C422" s="612"/>
      <c r="D422" s="612"/>
      <c r="E422" s="612"/>
      <c r="F422" s="612"/>
      <c r="G422" s="612"/>
      <c r="H422" s="612"/>
      <c r="I422" s="612"/>
      <c r="J422" s="612"/>
      <c r="K422" s="612"/>
      <c r="L422" s="612"/>
      <c r="M422" s="612"/>
      <c r="N422" s="612"/>
      <c r="O422" s="613"/>
      <c r="P422" s="603" t="s">
        <v>78</v>
      </c>
      <c r="Q422" s="604"/>
      <c r="R422" s="604"/>
      <c r="S422" s="604"/>
      <c r="T422" s="604"/>
      <c r="U422" s="604"/>
      <c r="V422" s="605"/>
      <c r="W422" s="37" t="s">
        <v>79</v>
      </c>
      <c r="X422" s="601">
        <f>IFERROR(X420/H420,"0")+IFERROR(X421/H421,"0")</f>
        <v>0</v>
      </c>
      <c r="Y422" s="601">
        <f>IFERROR(Y420/H420,"0")+IFERROR(Y421/H421,"0")</f>
        <v>0</v>
      </c>
      <c r="Z422" s="601">
        <f>IFERROR(IF(Z420="",0,Z420),"0")+IFERROR(IF(Z421="",0,Z421),"0")</f>
        <v>0</v>
      </c>
      <c r="AA422" s="602"/>
      <c r="AB422" s="602"/>
      <c r="AC422" s="602"/>
    </row>
    <row r="423" spans="1:68" x14ac:dyDescent="0.2">
      <c r="A423" s="612"/>
      <c r="B423" s="612"/>
      <c r="C423" s="612"/>
      <c r="D423" s="612"/>
      <c r="E423" s="612"/>
      <c r="F423" s="612"/>
      <c r="G423" s="612"/>
      <c r="H423" s="612"/>
      <c r="I423" s="612"/>
      <c r="J423" s="612"/>
      <c r="K423" s="612"/>
      <c r="L423" s="612"/>
      <c r="M423" s="612"/>
      <c r="N423" s="612"/>
      <c r="O423" s="613"/>
      <c r="P423" s="603" t="s">
        <v>78</v>
      </c>
      <c r="Q423" s="604"/>
      <c r="R423" s="604"/>
      <c r="S423" s="604"/>
      <c r="T423" s="604"/>
      <c r="U423" s="604"/>
      <c r="V423" s="605"/>
      <c r="W423" s="37" t="s">
        <v>69</v>
      </c>
      <c r="X423" s="601">
        <f>IFERROR(SUM(X420:X421),"0")</f>
        <v>0</v>
      </c>
      <c r="Y423" s="601">
        <f>IFERROR(SUM(Y420:Y421),"0")</f>
        <v>0</v>
      </c>
      <c r="Z423" s="37"/>
      <c r="AA423" s="602"/>
      <c r="AB423" s="602"/>
      <c r="AC423" s="602"/>
    </row>
    <row r="424" spans="1:68" ht="14.25" customHeight="1" x14ac:dyDescent="0.25">
      <c r="A424" s="659" t="s">
        <v>182</v>
      </c>
      <c r="B424" s="612"/>
      <c r="C424" s="612"/>
      <c r="D424" s="612"/>
      <c r="E424" s="612"/>
      <c r="F424" s="612"/>
      <c r="G424" s="612"/>
      <c r="H424" s="612"/>
      <c r="I424" s="612"/>
      <c r="J424" s="612"/>
      <c r="K424" s="612"/>
      <c r="L424" s="612"/>
      <c r="M424" s="612"/>
      <c r="N424" s="612"/>
      <c r="O424" s="612"/>
      <c r="P424" s="612"/>
      <c r="Q424" s="612"/>
      <c r="R424" s="612"/>
      <c r="S424" s="612"/>
      <c r="T424" s="612"/>
      <c r="U424" s="612"/>
      <c r="V424" s="612"/>
      <c r="W424" s="612"/>
      <c r="X424" s="612"/>
      <c r="Y424" s="612"/>
      <c r="Z424" s="612"/>
      <c r="AA424" s="595"/>
      <c r="AB424" s="595"/>
      <c r="AC424" s="595"/>
    </row>
    <row r="425" spans="1:68" ht="16.5" customHeight="1" x14ac:dyDescent="0.25">
      <c r="A425" s="54" t="s">
        <v>691</v>
      </c>
      <c r="B425" s="54" t="s">
        <v>692</v>
      </c>
      <c r="C425" s="31">
        <v>4301060524</v>
      </c>
      <c r="D425" s="614">
        <v>4607091384673</v>
      </c>
      <c r="E425" s="615"/>
      <c r="F425" s="598">
        <v>1.5</v>
      </c>
      <c r="G425" s="32">
        <v>6</v>
      </c>
      <c r="H425" s="598">
        <v>9</v>
      </c>
      <c r="I425" s="598">
        <v>9.4939999999999998</v>
      </c>
      <c r="J425" s="32">
        <v>64</v>
      </c>
      <c r="K425" s="32" t="s">
        <v>133</v>
      </c>
      <c r="L425" s="32"/>
      <c r="M425" s="33" t="s">
        <v>83</v>
      </c>
      <c r="N425" s="33"/>
      <c r="O425" s="32">
        <v>40</v>
      </c>
      <c r="P425" s="7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07"/>
      <c r="R425" s="607"/>
      <c r="S425" s="607"/>
      <c r="T425" s="608"/>
      <c r="U425" s="34"/>
      <c r="V425" s="34"/>
      <c r="W425" s="35" t="s">
        <v>69</v>
      </c>
      <c r="X425" s="599">
        <v>0</v>
      </c>
      <c r="Y425" s="600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99" t="s">
        <v>693</v>
      </c>
      <c r="AG425" s="64"/>
      <c r="AJ425" s="68"/>
      <c r="AK425" s="68">
        <v>0</v>
      </c>
      <c r="BB425" s="500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11"/>
      <c r="B426" s="612"/>
      <c r="C426" s="612"/>
      <c r="D426" s="612"/>
      <c r="E426" s="612"/>
      <c r="F426" s="612"/>
      <c r="G426" s="612"/>
      <c r="H426" s="612"/>
      <c r="I426" s="612"/>
      <c r="J426" s="612"/>
      <c r="K426" s="612"/>
      <c r="L426" s="612"/>
      <c r="M426" s="612"/>
      <c r="N426" s="612"/>
      <c r="O426" s="613"/>
      <c r="P426" s="603" t="s">
        <v>78</v>
      </c>
      <c r="Q426" s="604"/>
      <c r="R426" s="604"/>
      <c r="S426" s="604"/>
      <c r="T426" s="604"/>
      <c r="U426" s="604"/>
      <c r="V426" s="605"/>
      <c r="W426" s="37" t="s">
        <v>79</v>
      </c>
      <c r="X426" s="601">
        <f>IFERROR(X425/H425,"0")</f>
        <v>0</v>
      </c>
      <c r="Y426" s="601">
        <f>IFERROR(Y425/H425,"0")</f>
        <v>0</v>
      </c>
      <c r="Z426" s="601">
        <f>IFERROR(IF(Z425="",0,Z425),"0")</f>
        <v>0</v>
      </c>
      <c r="AA426" s="602"/>
      <c r="AB426" s="602"/>
      <c r="AC426" s="602"/>
    </row>
    <row r="427" spans="1:68" x14ac:dyDescent="0.2">
      <c r="A427" s="612"/>
      <c r="B427" s="612"/>
      <c r="C427" s="612"/>
      <c r="D427" s="612"/>
      <c r="E427" s="612"/>
      <c r="F427" s="612"/>
      <c r="G427" s="612"/>
      <c r="H427" s="612"/>
      <c r="I427" s="612"/>
      <c r="J427" s="612"/>
      <c r="K427" s="612"/>
      <c r="L427" s="612"/>
      <c r="M427" s="612"/>
      <c r="N427" s="612"/>
      <c r="O427" s="613"/>
      <c r="P427" s="603" t="s">
        <v>78</v>
      </c>
      <c r="Q427" s="604"/>
      <c r="R427" s="604"/>
      <c r="S427" s="604"/>
      <c r="T427" s="604"/>
      <c r="U427" s="604"/>
      <c r="V427" s="605"/>
      <c r="W427" s="37" t="s">
        <v>69</v>
      </c>
      <c r="X427" s="601">
        <f>IFERROR(SUM(X425:X425),"0")</f>
        <v>0</v>
      </c>
      <c r="Y427" s="601">
        <f>IFERROR(SUM(Y425:Y425),"0")</f>
        <v>0</v>
      </c>
      <c r="Z427" s="37"/>
      <c r="AA427" s="602"/>
      <c r="AB427" s="602"/>
      <c r="AC427" s="602"/>
    </row>
    <row r="428" spans="1:68" ht="16.5" customHeight="1" x14ac:dyDescent="0.25">
      <c r="A428" s="622" t="s">
        <v>694</v>
      </c>
      <c r="B428" s="612"/>
      <c r="C428" s="612"/>
      <c r="D428" s="612"/>
      <c r="E428" s="612"/>
      <c r="F428" s="612"/>
      <c r="G428" s="612"/>
      <c r="H428" s="612"/>
      <c r="I428" s="612"/>
      <c r="J428" s="612"/>
      <c r="K428" s="612"/>
      <c r="L428" s="612"/>
      <c r="M428" s="612"/>
      <c r="N428" s="612"/>
      <c r="O428" s="612"/>
      <c r="P428" s="612"/>
      <c r="Q428" s="612"/>
      <c r="R428" s="612"/>
      <c r="S428" s="612"/>
      <c r="T428" s="612"/>
      <c r="U428" s="612"/>
      <c r="V428" s="612"/>
      <c r="W428" s="612"/>
      <c r="X428" s="612"/>
      <c r="Y428" s="612"/>
      <c r="Z428" s="612"/>
      <c r="AA428" s="594"/>
      <c r="AB428" s="594"/>
      <c r="AC428" s="594"/>
    </row>
    <row r="429" spans="1:68" ht="14.25" customHeight="1" x14ac:dyDescent="0.25">
      <c r="A429" s="659" t="s">
        <v>130</v>
      </c>
      <c r="B429" s="612"/>
      <c r="C429" s="612"/>
      <c r="D429" s="612"/>
      <c r="E429" s="612"/>
      <c r="F429" s="612"/>
      <c r="G429" s="612"/>
      <c r="H429" s="612"/>
      <c r="I429" s="612"/>
      <c r="J429" s="612"/>
      <c r="K429" s="612"/>
      <c r="L429" s="612"/>
      <c r="M429" s="612"/>
      <c r="N429" s="612"/>
      <c r="O429" s="612"/>
      <c r="P429" s="612"/>
      <c r="Q429" s="612"/>
      <c r="R429" s="612"/>
      <c r="S429" s="612"/>
      <c r="T429" s="612"/>
      <c r="U429" s="612"/>
      <c r="V429" s="612"/>
      <c r="W429" s="612"/>
      <c r="X429" s="612"/>
      <c r="Y429" s="612"/>
      <c r="Z429" s="612"/>
      <c r="AA429" s="595"/>
      <c r="AB429" s="595"/>
      <c r="AC429" s="595"/>
    </row>
    <row r="430" spans="1:68" ht="27" customHeight="1" x14ac:dyDescent="0.25">
      <c r="A430" s="54" t="s">
        <v>695</v>
      </c>
      <c r="B430" s="54" t="s">
        <v>696</v>
      </c>
      <c r="C430" s="31">
        <v>4301011875</v>
      </c>
      <c r="D430" s="614">
        <v>4680115884885</v>
      </c>
      <c r="E430" s="615"/>
      <c r="F430" s="598">
        <v>0.8</v>
      </c>
      <c r="G430" s="32">
        <v>15</v>
      </c>
      <c r="H430" s="598">
        <v>12</v>
      </c>
      <c r="I430" s="598">
        <v>12.41</v>
      </c>
      <c r="J430" s="32">
        <v>64</v>
      </c>
      <c r="K430" s="32" t="s">
        <v>133</v>
      </c>
      <c r="L430" s="32"/>
      <c r="M430" s="33" t="s">
        <v>68</v>
      </c>
      <c r="N430" s="33"/>
      <c r="O430" s="32">
        <v>60</v>
      </c>
      <c r="P430" s="8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07"/>
      <c r="R430" s="607"/>
      <c r="S430" s="607"/>
      <c r="T430" s="608"/>
      <c r="U430" s="34"/>
      <c r="V430" s="34"/>
      <c r="W430" s="35" t="s">
        <v>69</v>
      </c>
      <c r="X430" s="599">
        <v>0</v>
      </c>
      <c r="Y430" s="600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1" t="s">
        <v>697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37.5" customHeight="1" x14ac:dyDescent="0.25">
      <c r="A431" s="54" t="s">
        <v>698</v>
      </c>
      <c r="B431" s="54" t="s">
        <v>699</v>
      </c>
      <c r="C431" s="31">
        <v>4301011871</v>
      </c>
      <c r="D431" s="614">
        <v>4680115884908</v>
      </c>
      <c r="E431" s="615"/>
      <c r="F431" s="598">
        <v>0.4</v>
      </c>
      <c r="G431" s="32">
        <v>10</v>
      </c>
      <c r="H431" s="598">
        <v>4</v>
      </c>
      <c r="I431" s="598">
        <v>4.1900000000000004</v>
      </c>
      <c r="J431" s="32">
        <v>132</v>
      </c>
      <c r="K431" s="32" t="s">
        <v>142</v>
      </c>
      <c r="L431" s="32"/>
      <c r="M431" s="33" t="s">
        <v>68</v>
      </c>
      <c r="N431" s="33"/>
      <c r="O431" s="32">
        <v>60</v>
      </c>
      <c r="P431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07"/>
      <c r="R431" s="607"/>
      <c r="S431" s="607"/>
      <c r="T431" s="608"/>
      <c r="U431" s="34"/>
      <c r="V431" s="34"/>
      <c r="W431" s="35" t="s">
        <v>69</v>
      </c>
      <c r="X431" s="599">
        <v>0</v>
      </c>
      <c r="Y431" s="600">
        <f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503" t="s">
        <v>697</v>
      </c>
      <c r="AG431" s="64"/>
      <c r="AJ431" s="68"/>
      <c r="AK431" s="68">
        <v>0</v>
      </c>
      <c r="BB431" s="50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11"/>
      <c r="B432" s="612"/>
      <c r="C432" s="612"/>
      <c r="D432" s="612"/>
      <c r="E432" s="612"/>
      <c r="F432" s="612"/>
      <c r="G432" s="612"/>
      <c r="H432" s="612"/>
      <c r="I432" s="612"/>
      <c r="J432" s="612"/>
      <c r="K432" s="612"/>
      <c r="L432" s="612"/>
      <c r="M432" s="612"/>
      <c r="N432" s="612"/>
      <c r="O432" s="613"/>
      <c r="P432" s="603" t="s">
        <v>78</v>
      </c>
      <c r="Q432" s="604"/>
      <c r="R432" s="604"/>
      <c r="S432" s="604"/>
      <c r="T432" s="604"/>
      <c r="U432" s="604"/>
      <c r="V432" s="605"/>
      <c r="W432" s="37" t="s">
        <v>79</v>
      </c>
      <c r="X432" s="601">
        <f>IFERROR(X430/H430,"0")+IFERROR(X431/H431,"0")</f>
        <v>0</v>
      </c>
      <c r="Y432" s="601">
        <f>IFERROR(Y430/H430,"0")+IFERROR(Y431/H431,"0")</f>
        <v>0</v>
      </c>
      <c r="Z432" s="601">
        <f>IFERROR(IF(Z430="",0,Z430),"0")+IFERROR(IF(Z431="",0,Z431),"0")</f>
        <v>0</v>
      </c>
      <c r="AA432" s="602"/>
      <c r="AB432" s="602"/>
      <c r="AC432" s="602"/>
    </row>
    <row r="433" spans="1:68" x14ac:dyDescent="0.2">
      <c r="A433" s="612"/>
      <c r="B433" s="612"/>
      <c r="C433" s="612"/>
      <c r="D433" s="612"/>
      <c r="E433" s="612"/>
      <c r="F433" s="612"/>
      <c r="G433" s="612"/>
      <c r="H433" s="612"/>
      <c r="I433" s="612"/>
      <c r="J433" s="612"/>
      <c r="K433" s="612"/>
      <c r="L433" s="612"/>
      <c r="M433" s="612"/>
      <c r="N433" s="612"/>
      <c r="O433" s="613"/>
      <c r="P433" s="603" t="s">
        <v>78</v>
      </c>
      <c r="Q433" s="604"/>
      <c r="R433" s="604"/>
      <c r="S433" s="604"/>
      <c r="T433" s="604"/>
      <c r="U433" s="604"/>
      <c r="V433" s="605"/>
      <c r="W433" s="37" t="s">
        <v>69</v>
      </c>
      <c r="X433" s="601">
        <f>IFERROR(SUM(X430:X431),"0")</f>
        <v>0</v>
      </c>
      <c r="Y433" s="601">
        <f>IFERROR(SUM(Y430:Y431),"0")</f>
        <v>0</v>
      </c>
      <c r="Z433" s="37"/>
      <c r="AA433" s="602"/>
      <c r="AB433" s="602"/>
      <c r="AC433" s="602"/>
    </row>
    <row r="434" spans="1:68" ht="14.25" customHeight="1" x14ac:dyDescent="0.25">
      <c r="A434" s="659" t="s">
        <v>64</v>
      </c>
      <c r="B434" s="612"/>
      <c r="C434" s="612"/>
      <c r="D434" s="612"/>
      <c r="E434" s="612"/>
      <c r="F434" s="612"/>
      <c r="G434" s="612"/>
      <c r="H434" s="612"/>
      <c r="I434" s="612"/>
      <c r="J434" s="612"/>
      <c r="K434" s="612"/>
      <c r="L434" s="612"/>
      <c r="M434" s="612"/>
      <c r="N434" s="612"/>
      <c r="O434" s="612"/>
      <c r="P434" s="612"/>
      <c r="Q434" s="612"/>
      <c r="R434" s="612"/>
      <c r="S434" s="612"/>
      <c r="T434" s="612"/>
      <c r="U434" s="612"/>
      <c r="V434" s="612"/>
      <c r="W434" s="612"/>
      <c r="X434" s="612"/>
      <c r="Y434" s="612"/>
      <c r="Z434" s="612"/>
      <c r="AA434" s="595"/>
      <c r="AB434" s="595"/>
      <c r="AC434" s="595"/>
    </row>
    <row r="435" spans="1:68" ht="27" customHeight="1" x14ac:dyDescent="0.25">
      <c r="A435" s="54" t="s">
        <v>700</v>
      </c>
      <c r="B435" s="54" t="s">
        <v>701</v>
      </c>
      <c r="C435" s="31">
        <v>4301031457</v>
      </c>
      <c r="D435" s="614">
        <v>4607091384802</v>
      </c>
      <c r="E435" s="615"/>
      <c r="F435" s="598">
        <v>0.7</v>
      </c>
      <c r="G435" s="32">
        <v>6</v>
      </c>
      <c r="H435" s="598">
        <v>4.2</v>
      </c>
      <c r="I435" s="598">
        <v>4.45</v>
      </c>
      <c r="J435" s="32">
        <v>132</v>
      </c>
      <c r="K435" s="32" t="s">
        <v>142</v>
      </c>
      <c r="L435" s="32"/>
      <c r="M435" s="33" t="s">
        <v>68</v>
      </c>
      <c r="N435" s="33"/>
      <c r="O435" s="32">
        <v>50</v>
      </c>
      <c r="P435" s="9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07"/>
      <c r="R435" s="607"/>
      <c r="S435" s="607"/>
      <c r="T435" s="608"/>
      <c r="U435" s="34"/>
      <c r="V435" s="34"/>
      <c r="W435" s="35" t="s">
        <v>69</v>
      </c>
      <c r="X435" s="599">
        <v>0</v>
      </c>
      <c r="Y435" s="600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05" t="s">
        <v>702</v>
      </c>
      <c r="AG435" s="64"/>
      <c r="AJ435" s="68"/>
      <c r="AK435" s="68">
        <v>0</v>
      </c>
      <c r="BB435" s="506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11"/>
      <c r="B436" s="612"/>
      <c r="C436" s="612"/>
      <c r="D436" s="612"/>
      <c r="E436" s="612"/>
      <c r="F436" s="612"/>
      <c r="G436" s="612"/>
      <c r="H436" s="612"/>
      <c r="I436" s="612"/>
      <c r="J436" s="612"/>
      <c r="K436" s="612"/>
      <c r="L436" s="612"/>
      <c r="M436" s="612"/>
      <c r="N436" s="612"/>
      <c r="O436" s="613"/>
      <c r="P436" s="603" t="s">
        <v>78</v>
      </c>
      <c r="Q436" s="604"/>
      <c r="R436" s="604"/>
      <c r="S436" s="604"/>
      <c r="T436" s="604"/>
      <c r="U436" s="604"/>
      <c r="V436" s="605"/>
      <c r="W436" s="37" t="s">
        <v>79</v>
      </c>
      <c r="X436" s="601">
        <f>IFERROR(X435/H435,"0")</f>
        <v>0</v>
      </c>
      <c r="Y436" s="601">
        <f>IFERROR(Y435/H435,"0")</f>
        <v>0</v>
      </c>
      <c r="Z436" s="601">
        <f>IFERROR(IF(Z435="",0,Z435),"0")</f>
        <v>0</v>
      </c>
      <c r="AA436" s="602"/>
      <c r="AB436" s="602"/>
      <c r="AC436" s="602"/>
    </row>
    <row r="437" spans="1:68" x14ac:dyDescent="0.2">
      <c r="A437" s="612"/>
      <c r="B437" s="612"/>
      <c r="C437" s="612"/>
      <c r="D437" s="612"/>
      <c r="E437" s="612"/>
      <c r="F437" s="612"/>
      <c r="G437" s="612"/>
      <c r="H437" s="612"/>
      <c r="I437" s="612"/>
      <c r="J437" s="612"/>
      <c r="K437" s="612"/>
      <c r="L437" s="612"/>
      <c r="M437" s="612"/>
      <c r="N437" s="612"/>
      <c r="O437" s="613"/>
      <c r="P437" s="603" t="s">
        <v>78</v>
      </c>
      <c r="Q437" s="604"/>
      <c r="R437" s="604"/>
      <c r="S437" s="604"/>
      <c r="T437" s="604"/>
      <c r="U437" s="604"/>
      <c r="V437" s="605"/>
      <c r="W437" s="37" t="s">
        <v>69</v>
      </c>
      <c r="X437" s="601">
        <f>IFERROR(SUM(X435:X435),"0")</f>
        <v>0</v>
      </c>
      <c r="Y437" s="601">
        <f>IFERROR(SUM(Y435:Y435),"0")</f>
        <v>0</v>
      </c>
      <c r="Z437" s="37"/>
      <c r="AA437" s="602"/>
      <c r="AB437" s="602"/>
      <c r="AC437" s="602"/>
    </row>
    <row r="438" spans="1:68" ht="14.25" customHeight="1" x14ac:dyDescent="0.25">
      <c r="A438" s="659" t="s">
        <v>80</v>
      </c>
      <c r="B438" s="612"/>
      <c r="C438" s="612"/>
      <c r="D438" s="612"/>
      <c r="E438" s="612"/>
      <c r="F438" s="612"/>
      <c r="G438" s="612"/>
      <c r="H438" s="612"/>
      <c r="I438" s="612"/>
      <c r="J438" s="612"/>
      <c r="K438" s="612"/>
      <c r="L438" s="612"/>
      <c r="M438" s="612"/>
      <c r="N438" s="612"/>
      <c r="O438" s="612"/>
      <c r="P438" s="612"/>
      <c r="Q438" s="612"/>
      <c r="R438" s="612"/>
      <c r="S438" s="612"/>
      <c r="T438" s="612"/>
      <c r="U438" s="612"/>
      <c r="V438" s="612"/>
      <c r="W438" s="612"/>
      <c r="X438" s="612"/>
      <c r="Y438" s="612"/>
      <c r="Z438" s="612"/>
      <c r="AA438" s="595"/>
      <c r="AB438" s="595"/>
      <c r="AC438" s="595"/>
    </row>
    <row r="439" spans="1:68" ht="27" customHeight="1" x14ac:dyDescent="0.25">
      <c r="A439" s="54" t="s">
        <v>703</v>
      </c>
      <c r="B439" s="54" t="s">
        <v>704</v>
      </c>
      <c r="C439" s="31">
        <v>4301051899</v>
      </c>
      <c r="D439" s="614">
        <v>4607091384246</v>
      </c>
      <c r="E439" s="615"/>
      <c r="F439" s="598">
        <v>1.5</v>
      </c>
      <c r="G439" s="32">
        <v>6</v>
      </c>
      <c r="H439" s="598">
        <v>9</v>
      </c>
      <c r="I439" s="598">
        <v>9.4939999999999998</v>
      </c>
      <c r="J439" s="32">
        <v>64</v>
      </c>
      <c r="K439" s="32" t="s">
        <v>133</v>
      </c>
      <c r="L439" s="32"/>
      <c r="M439" s="33" t="s">
        <v>83</v>
      </c>
      <c r="N439" s="33"/>
      <c r="O439" s="32">
        <v>40</v>
      </c>
      <c r="P439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07"/>
      <c r="R439" s="607"/>
      <c r="S439" s="607"/>
      <c r="T439" s="608"/>
      <c r="U439" s="34"/>
      <c r="V439" s="34"/>
      <c r="W439" s="35" t="s">
        <v>69</v>
      </c>
      <c r="X439" s="599">
        <v>1082</v>
      </c>
      <c r="Y439" s="600">
        <f>IFERROR(IF(X439="",0,CEILING((X439/$H439),1)*$H439),"")</f>
        <v>1089</v>
      </c>
      <c r="Z439" s="36">
        <f>IFERROR(IF(Y439=0,"",ROUNDUP(Y439/H439,0)*0.01898),"")</f>
        <v>2.2965800000000001</v>
      </c>
      <c r="AA439" s="56"/>
      <c r="AB439" s="57"/>
      <c r="AC439" s="507" t="s">
        <v>705</v>
      </c>
      <c r="AG439" s="64"/>
      <c r="AJ439" s="68"/>
      <c r="AK439" s="68">
        <v>0</v>
      </c>
      <c r="BB439" s="508" t="s">
        <v>1</v>
      </c>
      <c r="BM439" s="64">
        <f>IFERROR(X439*I439/H439,"0")</f>
        <v>1141.3897777777777</v>
      </c>
      <c r="BN439" s="64">
        <f>IFERROR(Y439*I439/H439,"0")</f>
        <v>1148.7740000000001</v>
      </c>
      <c r="BO439" s="64">
        <f>IFERROR(1/J439*(X439/H439),"0")</f>
        <v>1.8784722222222223</v>
      </c>
      <c r="BP439" s="64">
        <f>IFERROR(1/J439*(Y439/H439),"0")</f>
        <v>1.890625</v>
      </c>
    </row>
    <row r="440" spans="1:68" ht="27" customHeight="1" x14ac:dyDescent="0.25">
      <c r="A440" s="54" t="s">
        <v>706</v>
      </c>
      <c r="B440" s="54" t="s">
        <v>707</v>
      </c>
      <c r="C440" s="31">
        <v>4301051660</v>
      </c>
      <c r="D440" s="614">
        <v>4607091384253</v>
      </c>
      <c r="E440" s="615"/>
      <c r="F440" s="598">
        <v>0.4</v>
      </c>
      <c r="G440" s="32">
        <v>6</v>
      </c>
      <c r="H440" s="598">
        <v>2.4</v>
      </c>
      <c r="I440" s="598">
        <v>2.6640000000000001</v>
      </c>
      <c r="J440" s="32">
        <v>182</v>
      </c>
      <c r="K440" s="32" t="s">
        <v>67</v>
      </c>
      <c r="L440" s="32"/>
      <c r="M440" s="33" t="s">
        <v>83</v>
      </c>
      <c r="N440" s="33"/>
      <c r="O440" s="32">
        <v>40</v>
      </c>
      <c r="P440" s="8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07"/>
      <c r="R440" s="607"/>
      <c r="S440" s="607"/>
      <c r="T440" s="608"/>
      <c r="U440" s="34"/>
      <c r="V440" s="34"/>
      <c r="W440" s="35" t="s">
        <v>69</v>
      </c>
      <c r="X440" s="599">
        <v>113</v>
      </c>
      <c r="Y440" s="600">
        <f>IFERROR(IF(X440="",0,CEILING((X440/$H440),1)*$H440),"")</f>
        <v>115.19999999999999</v>
      </c>
      <c r="Z440" s="36">
        <f>IFERROR(IF(Y440=0,"",ROUNDUP(Y440/H440,0)*0.00651),"")</f>
        <v>0.31247999999999998</v>
      </c>
      <c r="AA440" s="56"/>
      <c r="AB440" s="57"/>
      <c r="AC440" s="509" t="s">
        <v>705</v>
      </c>
      <c r="AG440" s="64"/>
      <c r="AJ440" s="68"/>
      <c r="AK440" s="68">
        <v>0</v>
      </c>
      <c r="BB440" s="510" t="s">
        <v>1</v>
      </c>
      <c r="BM440" s="64">
        <f>IFERROR(X440*I440/H440,"0")</f>
        <v>125.43000000000002</v>
      </c>
      <c r="BN440" s="64">
        <f>IFERROR(Y440*I440/H440,"0")</f>
        <v>127.87199999999999</v>
      </c>
      <c r="BO440" s="64">
        <f>IFERROR(1/J440*(X440/H440),"0")</f>
        <v>0.25869963369963372</v>
      </c>
      <c r="BP440" s="64">
        <f>IFERROR(1/J440*(Y440/H440),"0")</f>
        <v>0.26373626373626374</v>
      </c>
    </row>
    <row r="441" spans="1:68" ht="27" customHeight="1" x14ac:dyDescent="0.25">
      <c r="A441" s="54" t="s">
        <v>706</v>
      </c>
      <c r="B441" s="54" t="s">
        <v>708</v>
      </c>
      <c r="C441" s="31">
        <v>4301052069</v>
      </c>
      <c r="D441" s="614">
        <v>4607091384253</v>
      </c>
      <c r="E441" s="615"/>
      <c r="F441" s="598">
        <v>0.4</v>
      </c>
      <c r="G441" s="32">
        <v>6</v>
      </c>
      <c r="H441" s="598">
        <v>2.4</v>
      </c>
      <c r="I441" s="598">
        <v>2.6640000000000001</v>
      </c>
      <c r="J441" s="32">
        <v>182</v>
      </c>
      <c r="K441" s="32" t="s">
        <v>67</v>
      </c>
      <c r="L441" s="32"/>
      <c r="M441" s="33" t="s">
        <v>83</v>
      </c>
      <c r="N441" s="33"/>
      <c r="O441" s="32">
        <v>40</v>
      </c>
      <c r="P441" s="81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07"/>
      <c r="R441" s="607"/>
      <c r="S441" s="607"/>
      <c r="T441" s="608"/>
      <c r="U441" s="34"/>
      <c r="V441" s="34"/>
      <c r="W441" s="35" t="s">
        <v>69</v>
      </c>
      <c r="X441" s="599">
        <v>0</v>
      </c>
      <c r="Y441" s="600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511" t="s">
        <v>709</v>
      </c>
      <c r="AG441" s="64"/>
      <c r="AJ441" s="68"/>
      <c r="AK441" s="68">
        <v>0</v>
      </c>
      <c r="BB441" s="512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11"/>
      <c r="B442" s="612"/>
      <c r="C442" s="612"/>
      <c r="D442" s="612"/>
      <c r="E442" s="612"/>
      <c r="F442" s="612"/>
      <c r="G442" s="612"/>
      <c r="H442" s="612"/>
      <c r="I442" s="612"/>
      <c r="J442" s="612"/>
      <c r="K442" s="612"/>
      <c r="L442" s="612"/>
      <c r="M442" s="612"/>
      <c r="N442" s="612"/>
      <c r="O442" s="613"/>
      <c r="P442" s="603" t="s">
        <v>78</v>
      </c>
      <c r="Q442" s="604"/>
      <c r="R442" s="604"/>
      <c r="S442" s="604"/>
      <c r="T442" s="604"/>
      <c r="U442" s="604"/>
      <c r="V442" s="605"/>
      <c r="W442" s="37" t="s">
        <v>79</v>
      </c>
      <c r="X442" s="601">
        <f>IFERROR(X439/H439,"0")+IFERROR(X440/H440,"0")+IFERROR(X441/H441,"0")</f>
        <v>167.30555555555557</v>
      </c>
      <c r="Y442" s="601">
        <f>IFERROR(Y439/H439,"0")+IFERROR(Y440/H440,"0")+IFERROR(Y441/H441,"0")</f>
        <v>169</v>
      </c>
      <c r="Z442" s="601">
        <f>IFERROR(IF(Z439="",0,Z439),"0")+IFERROR(IF(Z440="",0,Z440),"0")+IFERROR(IF(Z441="",0,Z441),"0")</f>
        <v>2.6090599999999999</v>
      </c>
      <c r="AA442" s="602"/>
      <c r="AB442" s="602"/>
      <c r="AC442" s="602"/>
    </row>
    <row r="443" spans="1:68" x14ac:dyDescent="0.2">
      <c r="A443" s="612"/>
      <c r="B443" s="612"/>
      <c r="C443" s="612"/>
      <c r="D443" s="612"/>
      <c r="E443" s="612"/>
      <c r="F443" s="612"/>
      <c r="G443" s="612"/>
      <c r="H443" s="612"/>
      <c r="I443" s="612"/>
      <c r="J443" s="612"/>
      <c r="K443" s="612"/>
      <c r="L443" s="612"/>
      <c r="M443" s="612"/>
      <c r="N443" s="612"/>
      <c r="O443" s="613"/>
      <c r="P443" s="603" t="s">
        <v>78</v>
      </c>
      <c r="Q443" s="604"/>
      <c r="R443" s="604"/>
      <c r="S443" s="604"/>
      <c r="T443" s="604"/>
      <c r="U443" s="604"/>
      <c r="V443" s="605"/>
      <c r="W443" s="37" t="s">
        <v>69</v>
      </c>
      <c r="X443" s="601">
        <f>IFERROR(SUM(X439:X441),"0")</f>
        <v>1195</v>
      </c>
      <c r="Y443" s="601">
        <f>IFERROR(SUM(Y439:Y441),"0")</f>
        <v>1204.2</v>
      </c>
      <c r="Z443" s="37"/>
      <c r="AA443" s="602"/>
      <c r="AB443" s="602"/>
      <c r="AC443" s="602"/>
    </row>
    <row r="444" spans="1:68" ht="27.75" customHeight="1" x14ac:dyDescent="0.2">
      <c r="A444" s="683" t="s">
        <v>710</v>
      </c>
      <c r="B444" s="684"/>
      <c r="C444" s="684"/>
      <c r="D444" s="684"/>
      <c r="E444" s="684"/>
      <c r="F444" s="684"/>
      <c r="G444" s="684"/>
      <c r="H444" s="684"/>
      <c r="I444" s="684"/>
      <c r="J444" s="684"/>
      <c r="K444" s="684"/>
      <c r="L444" s="684"/>
      <c r="M444" s="684"/>
      <c r="N444" s="684"/>
      <c r="O444" s="684"/>
      <c r="P444" s="684"/>
      <c r="Q444" s="684"/>
      <c r="R444" s="684"/>
      <c r="S444" s="684"/>
      <c r="T444" s="684"/>
      <c r="U444" s="684"/>
      <c r="V444" s="684"/>
      <c r="W444" s="684"/>
      <c r="X444" s="684"/>
      <c r="Y444" s="684"/>
      <c r="Z444" s="684"/>
      <c r="AA444" s="48"/>
      <c r="AB444" s="48"/>
      <c r="AC444" s="48"/>
    </row>
    <row r="445" spans="1:68" ht="16.5" customHeight="1" x14ac:dyDescent="0.25">
      <c r="A445" s="622" t="s">
        <v>711</v>
      </c>
      <c r="B445" s="612"/>
      <c r="C445" s="612"/>
      <c r="D445" s="612"/>
      <c r="E445" s="612"/>
      <c r="F445" s="612"/>
      <c r="G445" s="612"/>
      <c r="H445" s="612"/>
      <c r="I445" s="612"/>
      <c r="J445" s="612"/>
      <c r="K445" s="612"/>
      <c r="L445" s="612"/>
      <c r="M445" s="612"/>
      <c r="N445" s="612"/>
      <c r="O445" s="612"/>
      <c r="P445" s="612"/>
      <c r="Q445" s="612"/>
      <c r="R445" s="612"/>
      <c r="S445" s="612"/>
      <c r="T445" s="612"/>
      <c r="U445" s="612"/>
      <c r="V445" s="612"/>
      <c r="W445" s="612"/>
      <c r="X445" s="612"/>
      <c r="Y445" s="612"/>
      <c r="Z445" s="612"/>
      <c r="AA445" s="594"/>
      <c r="AB445" s="594"/>
      <c r="AC445" s="594"/>
    </row>
    <row r="446" spans="1:68" ht="14.25" customHeight="1" x14ac:dyDescent="0.25">
      <c r="A446" s="659" t="s">
        <v>64</v>
      </c>
      <c r="B446" s="612"/>
      <c r="C446" s="612"/>
      <c r="D446" s="612"/>
      <c r="E446" s="612"/>
      <c r="F446" s="612"/>
      <c r="G446" s="612"/>
      <c r="H446" s="612"/>
      <c r="I446" s="612"/>
      <c r="J446" s="612"/>
      <c r="K446" s="612"/>
      <c r="L446" s="612"/>
      <c r="M446" s="612"/>
      <c r="N446" s="612"/>
      <c r="O446" s="612"/>
      <c r="P446" s="612"/>
      <c r="Q446" s="612"/>
      <c r="R446" s="612"/>
      <c r="S446" s="612"/>
      <c r="T446" s="612"/>
      <c r="U446" s="612"/>
      <c r="V446" s="612"/>
      <c r="W446" s="612"/>
      <c r="X446" s="612"/>
      <c r="Y446" s="612"/>
      <c r="Z446" s="612"/>
      <c r="AA446" s="595"/>
      <c r="AB446" s="595"/>
      <c r="AC446" s="595"/>
    </row>
    <row r="447" spans="1:68" ht="27" customHeight="1" x14ac:dyDescent="0.25">
      <c r="A447" s="54" t="s">
        <v>712</v>
      </c>
      <c r="B447" s="54" t="s">
        <v>713</v>
      </c>
      <c r="C447" s="31">
        <v>4301031405</v>
      </c>
      <c r="D447" s="614">
        <v>4680115886100</v>
      </c>
      <c r="E447" s="615"/>
      <c r="F447" s="598">
        <v>0.9</v>
      </c>
      <c r="G447" s="32">
        <v>6</v>
      </c>
      <c r="H447" s="598">
        <v>5.4</v>
      </c>
      <c r="I447" s="598">
        <v>5.59</v>
      </c>
      <c r="J447" s="32">
        <v>132</v>
      </c>
      <c r="K447" s="32" t="s">
        <v>142</v>
      </c>
      <c r="L447" s="32"/>
      <c r="M447" s="33" t="s">
        <v>68</v>
      </c>
      <c r="N447" s="33"/>
      <c r="O447" s="32">
        <v>50</v>
      </c>
      <c r="P447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07"/>
      <c r="R447" s="607"/>
      <c r="S447" s="607"/>
      <c r="T447" s="608"/>
      <c r="U447" s="34"/>
      <c r="V447" s="34"/>
      <c r="W447" s="35" t="s">
        <v>69</v>
      </c>
      <c r="X447" s="599">
        <v>0</v>
      </c>
      <c r="Y447" s="600">
        <f t="shared" ref="Y447:Y452" si="52"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13" t="s">
        <v>714</v>
      </c>
      <c r="AG447" s="64"/>
      <c r="AJ447" s="68"/>
      <c r="AK447" s="68">
        <v>0</v>
      </c>
      <c r="BB447" s="514" t="s">
        <v>1</v>
      </c>
      <c r="BM447" s="64">
        <f t="shared" ref="BM447:BM452" si="53">IFERROR(X447*I447/H447,"0")</f>
        <v>0</v>
      </c>
      <c r="BN447" s="64">
        <f t="shared" ref="BN447:BN452" si="54">IFERROR(Y447*I447/H447,"0")</f>
        <v>0</v>
      </c>
      <c r="BO447" s="64">
        <f t="shared" ref="BO447:BO452" si="55">IFERROR(1/J447*(X447/H447),"0")</f>
        <v>0</v>
      </c>
      <c r="BP447" s="64">
        <f t="shared" ref="BP447:BP452" si="56">IFERROR(1/J447*(Y447/H447),"0")</f>
        <v>0</v>
      </c>
    </row>
    <row r="448" spans="1:68" ht="27" customHeight="1" x14ac:dyDescent="0.25">
      <c r="A448" s="54" t="s">
        <v>715</v>
      </c>
      <c r="B448" s="54" t="s">
        <v>716</v>
      </c>
      <c r="C448" s="31">
        <v>4301031402</v>
      </c>
      <c r="D448" s="614">
        <v>4680115886124</v>
      </c>
      <c r="E448" s="615"/>
      <c r="F448" s="598">
        <v>0.9</v>
      </c>
      <c r="G448" s="32">
        <v>6</v>
      </c>
      <c r="H448" s="598">
        <v>5.4</v>
      </c>
      <c r="I448" s="598">
        <v>5.59</v>
      </c>
      <c r="J448" s="32">
        <v>132</v>
      </c>
      <c r="K448" s="32" t="s">
        <v>142</v>
      </c>
      <c r="L448" s="32"/>
      <c r="M448" s="33" t="s">
        <v>68</v>
      </c>
      <c r="N448" s="33"/>
      <c r="O448" s="32">
        <v>50</v>
      </c>
      <c r="P448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07"/>
      <c r="R448" s="607"/>
      <c r="S448" s="607"/>
      <c r="T448" s="608"/>
      <c r="U448" s="34"/>
      <c r="V448" s="34"/>
      <c r="W448" s="35" t="s">
        <v>69</v>
      </c>
      <c r="X448" s="599">
        <v>0</v>
      </c>
      <c r="Y448" s="600">
        <f t="shared" si="52"/>
        <v>0</v>
      </c>
      <c r="Z448" s="36" t="str">
        <f>IFERROR(IF(Y448=0,"",ROUNDUP(Y448/H448,0)*0.00902),"")</f>
        <v/>
      </c>
      <c r="AA448" s="56"/>
      <c r="AB448" s="57"/>
      <c r="AC448" s="515" t="s">
        <v>717</v>
      </c>
      <c r="AG448" s="64"/>
      <c r="AJ448" s="68"/>
      <c r="AK448" s="68">
        <v>0</v>
      </c>
      <c r="BB448" s="516" t="s">
        <v>1</v>
      </c>
      <c r="BM448" s="64">
        <f t="shared" si="53"/>
        <v>0</v>
      </c>
      <c r="BN448" s="64">
        <f t="shared" si="54"/>
        <v>0</v>
      </c>
      <c r="BO448" s="64">
        <f t="shared" si="55"/>
        <v>0</v>
      </c>
      <c r="BP448" s="64">
        <f t="shared" si="56"/>
        <v>0</v>
      </c>
    </row>
    <row r="449" spans="1:68" ht="27" customHeight="1" x14ac:dyDescent="0.25">
      <c r="A449" s="54" t="s">
        <v>718</v>
      </c>
      <c r="B449" s="54" t="s">
        <v>719</v>
      </c>
      <c r="C449" s="31">
        <v>4301031362</v>
      </c>
      <c r="D449" s="614">
        <v>4607091384338</v>
      </c>
      <c r="E449" s="615"/>
      <c r="F449" s="598">
        <v>0.35</v>
      </c>
      <c r="G449" s="32">
        <v>6</v>
      </c>
      <c r="H449" s="598">
        <v>2.1</v>
      </c>
      <c r="I449" s="598">
        <v>2.23</v>
      </c>
      <c r="J449" s="32">
        <v>234</v>
      </c>
      <c r="K449" s="32" t="s">
        <v>73</v>
      </c>
      <c r="L449" s="32"/>
      <c r="M449" s="33" t="s">
        <v>68</v>
      </c>
      <c r="N449" s="33"/>
      <c r="O449" s="32">
        <v>50</v>
      </c>
      <c r="P449" s="9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07"/>
      <c r="R449" s="607"/>
      <c r="S449" s="607"/>
      <c r="T449" s="608"/>
      <c r="U449" s="34"/>
      <c r="V449" s="34"/>
      <c r="W449" s="35" t="s">
        <v>69</v>
      </c>
      <c r="X449" s="599">
        <v>0</v>
      </c>
      <c r="Y449" s="600">
        <f t="shared" si="52"/>
        <v>0</v>
      </c>
      <c r="Z449" s="36" t="str">
        <f>IFERROR(IF(Y449=0,"",ROUNDUP(Y449/H449,0)*0.00502),"")</f>
        <v/>
      </c>
      <c r="AA449" s="56"/>
      <c r="AB449" s="57"/>
      <c r="AC449" s="517" t="s">
        <v>714</v>
      </c>
      <c r="AG449" s="64"/>
      <c r="AJ449" s="68"/>
      <c r="AK449" s="68">
        <v>0</v>
      </c>
      <c r="BB449" s="518" t="s">
        <v>1</v>
      </c>
      <c r="BM449" s="64">
        <f t="shared" si="53"/>
        <v>0</v>
      </c>
      <c r="BN449" s="64">
        <f t="shared" si="54"/>
        <v>0</v>
      </c>
      <c r="BO449" s="64">
        <f t="shared" si="55"/>
        <v>0</v>
      </c>
      <c r="BP449" s="64">
        <f t="shared" si="56"/>
        <v>0</v>
      </c>
    </row>
    <row r="450" spans="1:68" ht="27" customHeight="1" x14ac:dyDescent="0.25">
      <c r="A450" s="54" t="s">
        <v>720</v>
      </c>
      <c r="B450" s="54" t="s">
        <v>721</v>
      </c>
      <c r="C450" s="31">
        <v>4301031364</v>
      </c>
      <c r="D450" s="614">
        <v>4680115883161</v>
      </c>
      <c r="E450" s="615"/>
      <c r="F450" s="598">
        <v>0.28000000000000003</v>
      </c>
      <c r="G450" s="32">
        <v>6</v>
      </c>
      <c r="H450" s="598">
        <v>1.68</v>
      </c>
      <c r="I450" s="598">
        <v>1.81</v>
      </c>
      <c r="J450" s="32">
        <v>234</v>
      </c>
      <c r="K450" s="32" t="s">
        <v>73</v>
      </c>
      <c r="L450" s="32"/>
      <c r="M450" s="33" t="s">
        <v>68</v>
      </c>
      <c r="N450" s="33"/>
      <c r="O450" s="32">
        <v>50</v>
      </c>
      <c r="P450" s="7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07"/>
      <c r="R450" s="607"/>
      <c r="S450" s="607"/>
      <c r="T450" s="608"/>
      <c r="U450" s="34"/>
      <c r="V450" s="34"/>
      <c r="W450" s="35" t="s">
        <v>69</v>
      </c>
      <c r="X450" s="599">
        <v>0</v>
      </c>
      <c r="Y450" s="600">
        <f t="shared" si="52"/>
        <v>0</v>
      </c>
      <c r="Z450" s="36" t="str">
        <f>IFERROR(IF(Y450=0,"",ROUNDUP(Y450/H450,0)*0.00502),"")</f>
        <v/>
      </c>
      <c r="AA450" s="56"/>
      <c r="AB450" s="57"/>
      <c r="AC450" s="519" t="s">
        <v>722</v>
      </c>
      <c r="AG450" s="64"/>
      <c r="AJ450" s="68"/>
      <c r="AK450" s="68">
        <v>0</v>
      </c>
      <c r="BB450" s="520" t="s">
        <v>1</v>
      </c>
      <c r="BM450" s="64">
        <f t="shared" si="53"/>
        <v>0</v>
      </c>
      <c r="BN450" s="64">
        <f t="shared" si="54"/>
        <v>0</v>
      </c>
      <c r="BO450" s="64">
        <f t="shared" si="55"/>
        <v>0</v>
      </c>
      <c r="BP450" s="64">
        <f t="shared" si="56"/>
        <v>0</v>
      </c>
    </row>
    <row r="451" spans="1:68" ht="27" customHeight="1" x14ac:dyDescent="0.25">
      <c r="A451" s="54" t="s">
        <v>723</v>
      </c>
      <c r="B451" s="54" t="s">
        <v>724</v>
      </c>
      <c r="C451" s="31">
        <v>4301031358</v>
      </c>
      <c r="D451" s="614">
        <v>4607091389531</v>
      </c>
      <c r="E451" s="615"/>
      <c r="F451" s="598">
        <v>0.35</v>
      </c>
      <c r="G451" s="32">
        <v>6</v>
      </c>
      <c r="H451" s="598">
        <v>2.1</v>
      </c>
      <c r="I451" s="598">
        <v>2.23</v>
      </c>
      <c r="J451" s="32">
        <v>234</v>
      </c>
      <c r="K451" s="32" t="s">
        <v>73</v>
      </c>
      <c r="L451" s="32"/>
      <c r="M451" s="33" t="s">
        <v>68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07"/>
      <c r="R451" s="607"/>
      <c r="S451" s="607"/>
      <c r="T451" s="608"/>
      <c r="U451" s="34"/>
      <c r="V451" s="34"/>
      <c r="W451" s="35" t="s">
        <v>69</v>
      </c>
      <c r="X451" s="599">
        <v>0</v>
      </c>
      <c r="Y451" s="600">
        <f t="shared" si="52"/>
        <v>0</v>
      </c>
      <c r="Z451" s="36" t="str">
        <f>IFERROR(IF(Y451=0,"",ROUNDUP(Y451/H451,0)*0.00502),"")</f>
        <v/>
      </c>
      <c r="AA451" s="56"/>
      <c r="AB451" s="57"/>
      <c r="AC451" s="521" t="s">
        <v>725</v>
      </c>
      <c r="AG451" s="64"/>
      <c r="AJ451" s="68"/>
      <c r="AK451" s="68">
        <v>0</v>
      </c>
      <c r="BB451" s="522" t="s">
        <v>1</v>
      </c>
      <c r="BM451" s="64">
        <f t="shared" si="53"/>
        <v>0</v>
      </c>
      <c r="BN451" s="64">
        <f t="shared" si="54"/>
        <v>0</v>
      </c>
      <c r="BO451" s="64">
        <f t="shared" si="55"/>
        <v>0</v>
      </c>
      <c r="BP451" s="64">
        <f t="shared" si="56"/>
        <v>0</v>
      </c>
    </row>
    <row r="452" spans="1:68" ht="37.5" customHeight="1" x14ac:dyDescent="0.25">
      <c r="A452" s="54" t="s">
        <v>726</v>
      </c>
      <c r="B452" s="54" t="s">
        <v>727</v>
      </c>
      <c r="C452" s="31">
        <v>4301031360</v>
      </c>
      <c r="D452" s="614">
        <v>4607091384345</v>
      </c>
      <c r="E452" s="615"/>
      <c r="F452" s="598">
        <v>0.35</v>
      </c>
      <c r="G452" s="32">
        <v>6</v>
      </c>
      <c r="H452" s="598">
        <v>2.1</v>
      </c>
      <c r="I452" s="598">
        <v>2.23</v>
      </c>
      <c r="J452" s="32">
        <v>234</v>
      </c>
      <c r="K452" s="32" t="s">
        <v>73</v>
      </c>
      <c r="L452" s="32"/>
      <c r="M452" s="33" t="s">
        <v>68</v>
      </c>
      <c r="N452" s="33"/>
      <c r="O452" s="32">
        <v>50</v>
      </c>
      <c r="P452" s="6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07"/>
      <c r="R452" s="607"/>
      <c r="S452" s="607"/>
      <c r="T452" s="608"/>
      <c r="U452" s="34"/>
      <c r="V452" s="34"/>
      <c r="W452" s="35" t="s">
        <v>69</v>
      </c>
      <c r="X452" s="599">
        <v>0</v>
      </c>
      <c r="Y452" s="600">
        <f t="shared" si="52"/>
        <v>0</v>
      </c>
      <c r="Z452" s="36" t="str">
        <f>IFERROR(IF(Y452=0,"",ROUNDUP(Y452/H452,0)*0.00502),"")</f>
        <v/>
      </c>
      <c r="AA452" s="56"/>
      <c r="AB452" s="57"/>
      <c r="AC452" s="523" t="s">
        <v>722</v>
      </c>
      <c r="AG452" s="64"/>
      <c r="AJ452" s="68"/>
      <c r="AK452" s="68">
        <v>0</v>
      </c>
      <c r="BB452" s="524" t="s">
        <v>1</v>
      </c>
      <c r="BM452" s="64">
        <f t="shared" si="53"/>
        <v>0</v>
      </c>
      <c r="BN452" s="64">
        <f t="shared" si="54"/>
        <v>0</v>
      </c>
      <c r="BO452" s="64">
        <f t="shared" si="55"/>
        <v>0</v>
      </c>
      <c r="BP452" s="64">
        <f t="shared" si="56"/>
        <v>0</v>
      </c>
    </row>
    <row r="453" spans="1:68" x14ac:dyDescent="0.2">
      <c r="A453" s="611"/>
      <c r="B453" s="612"/>
      <c r="C453" s="612"/>
      <c r="D453" s="612"/>
      <c r="E453" s="612"/>
      <c r="F453" s="612"/>
      <c r="G453" s="612"/>
      <c r="H453" s="612"/>
      <c r="I453" s="612"/>
      <c r="J453" s="612"/>
      <c r="K453" s="612"/>
      <c r="L453" s="612"/>
      <c r="M453" s="612"/>
      <c r="N453" s="612"/>
      <c r="O453" s="613"/>
      <c r="P453" s="603" t="s">
        <v>78</v>
      </c>
      <c r="Q453" s="604"/>
      <c r="R453" s="604"/>
      <c r="S453" s="604"/>
      <c r="T453" s="604"/>
      <c r="U453" s="604"/>
      <c r="V453" s="605"/>
      <c r="W453" s="37" t="s">
        <v>79</v>
      </c>
      <c r="X453" s="601">
        <f>IFERROR(X447/H447,"0")+IFERROR(X448/H448,"0")+IFERROR(X449/H449,"0")+IFERROR(X450/H450,"0")+IFERROR(X451/H451,"0")+IFERROR(X452/H452,"0")</f>
        <v>0</v>
      </c>
      <c r="Y453" s="601">
        <f>IFERROR(Y447/H447,"0")+IFERROR(Y448/H448,"0")+IFERROR(Y449/H449,"0")+IFERROR(Y450/H450,"0")+IFERROR(Y451/H451,"0")+IFERROR(Y452/H452,"0")</f>
        <v>0</v>
      </c>
      <c r="Z453" s="601">
        <f>IFERROR(IF(Z447="",0,Z447),"0")+IFERROR(IF(Z448="",0,Z448),"0")+IFERROR(IF(Z449="",0,Z449),"0")+IFERROR(IF(Z450="",0,Z450),"0")+IFERROR(IF(Z451="",0,Z451),"0")+IFERROR(IF(Z452="",0,Z452),"0")</f>
        <v>0</v>
      </c>
      <c r="AA453" s="602"/>
      <c r="AB453" s="602"/>
      <c r="AC453" s="602"/>
    </row>
    <row r="454" spans="1:68" x14ac:dyDescent="0.2">
      <c r="A454" s="612"/>
      <c r="B454" s="612"/>
      <c r="C454" s="612"/>
      <c r="D454" s="612"/>
      <c r="E454" s="612"/>
      <c r="F454" s="612"/>
      <c r="G454" s="612"/>
      <c r="H454" s="612"/>
      <c r="I454" s="612"/>
      <c r="J454" s="612"/>
      <c r="K454" s="612"/>
      <c r="L454" s="612"/>
      <c r="M454" s="612"/>
      <c r="N454" s="612"/>
      <c r="O454" s="613"/>
      <c r="P454" s="603" t="s">
        <v>78</v>
      </c>
      <c r="Q454" s="604"/>
      <c r="R454" s="604"/>
      <c r="S454" s="604"/>
      <c r="T454" s="604"/>
      <c r="U454" s="604"/>
      <c r="V454" s="605"/>
      <c r="W454" s="37" t="s">
        <v>69</v>
      </c>
      <c r="X454" s="601">
        <f>IFERROR(SUM(X447:X452),"0")</f>
        <v>0</v>
      </c>
      <c r="Y454" s="601">
        <f>IFERROR(SUM(Y447:Y452),"0")</f>
        <v>0</v>
      </c>
      <c r="Z454" s="37"/>
      <c r="AA454" s="602"/>
      <c r="AB454" s="602"/>
      <c r="AC454" s="602"/>
    </row>
    <row r="455" spans="1:68" ht="14.25" customHeight="1" x14ac:dyDescent="0.25">
      <c r="A455" s="659" t="s">
        <v>80</v>
      </c>
      <c r="B455" s="612"/>
      <c r="C455" s="612"/>
      <c r="D455" s="612"/>
      <c r="E455" s="612"/>
      <c r="F455" s="612"/>
      <c r="G455" s="612"/>
      <c r="H455" s="612"/>
      <c r="I455" s="612"/>
      <c r="J455" s="612"/>
      <c r="K455" s="612"/>
      <c r="L455" s="612"/>
      <c r="M455" s="612"/>
      <c r="N455" s="612"/>
      <c r="O455" s="612"/>
      <c r="P455" s="612"/>
      <c r="Q455" s="612"/>
      <c r="R455" s="612"/>
      <c r="S455" s="612"/>
      <c r="T455" s="612"/>
      <c r="U455" s="612"/>
      <c r="V455" s="612"/>
      <c r="W455" s="612"/>
      <c r="X455" s="612"/>
      <c r="Y455" s="612"/>
      <c r="Z455" s="612"/>
      <c r="AA455" s="595"/>
      <c r="AB455" s="595"/>
      <c r="AC455" s="595"/>
    </row>
    <row r="456" spans="1:68" ht="27" customHeight="1" x14ac:dyDescent="0.25">
      <c r="A456" s="54" t="s">
        <v>728</v>
      </c>
      <c r="B456" s="54" t="s">
        <v>729</v>
      </c>
      <c r="C456" s="31">
        <v>4301051284</v>
      </c>
      <c r="D456" s="614">
        <v>4607091384352</v>
      </c>
      <c r="E456" s="615"/>
      <c r="F456" s="598">
        <v>0.6</v>
      </c>
      <c r="G456" s="32">
        <v>4</v>
      </c>
      <c r="H456" s="598">
        <v>2.4</v>
      </c>
      <c r="I456" s="598">
        <v>2.6259999999999999</v>
      </c>
      <c r="J456" s="32">
        <v>132</v>
      </c>
      <c r="K456" s="32" t="s">
        <v>142</v>
      </c>
      <c r="L456" s="32"/>
      <c r="M456" s="33" t="s">
        <v>83</v>
      </c>
      <c r="N456" s="33"/>
      <c r="O456" s="32">
        <v>45</v>
      </c>
      <c r="P456" s="7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07"/>
      <c r="R456" s="607"/>
      <c r="S456" s="607"/>
      <c r="T456" s="608"/>
      <c r="U456" s="34"/>
      <c r="V456" s="34"/>
      <c r="W456" s="35" t="s">
        <v>69</v>
      </c>
      <c r="X456" s="599">
        <v>0</v>
      </c>
      <c r="Y456" s="60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25" t="s">
        <v>730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731</v>
      </c>
      <c r="B457" s="54" t="s">
        <v>732</v>
      </c>
      <c r="C457" s="31">
        <v>4301051431</v>
      </c>
      <c r="D457" s="614">
        <v>4607091389654</v>
      </c>
      <c r="E457" s="615"/>
      <c r="F457" s="598">
        <v>0.33</v>
      </c>
      <c r="G457" s="32">
        <v>6</v>
      </c>
      <c r="H457" s="598">
        <v>1.98</v>
      </c>
      <c r="I457" s="598">
        <v>2.238</v>
      </c>
      <c r="J457" s="32">
        <v>182</v>
      </c>
      <c r="K457" s="32" t="s">
        <v>67</v>
      </c>
      <c r="L457" s="32"/>
      <c r="M457" s="33" t="s">
        <v>83</v>
      </c>
      <c r="N457" s="33"/>
      <c r="O457" s="32">
        <v>45</v>
      </c>
      <c r="P457" s="63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07"/>
      <c r="R457" s="607"/>
      <c r="S457" s="607"/>
      <c r="T457" s="608"/>
      <c r="U457" s="34"/>
      <c r="V457" s="34"/>
      <c r="W457" s="35" t="s">
        <v>69</v>
      </c>
      <c r="X457" s="599">
        <v>0</v>
      </c>
      <c r="Y457" s="600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27" t="s">
        <v>733</v>
      </c>
      <c r="AG457" s="64"/>
      <c r="AJ457" s="68"/>
      <c r="AK457" s="68">
        <v>0</v>
      </c>
      <c r="BB457" s="52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11"/>
      <c r="B458" s="612"/>
      <c r="C458" s="612"/>
      <c r="D458" s="612"/>
      <c r="E458" s="612"/>
      <c r="F458" s="612"/>
      <c r="G458" s="612"/>
      <c r="H458" s="612"/>
      <c r="I458" s="612"/>
      <c r="J458" s="612"/>
      <c r="K458" s="612"/>
      <c r="L458" s="612"/>
      <c r="M458" s="612"/>
      <c r="N458" s="612"/>
      <c r="O458" s="613"/>
      <c r="P458" s="603" t="s">
        <v>78</v>
      </c>
      <c r="Q458" s="604"/>
      <c r="R458" s="604"/>
      <c r="S458" s="604"/>
      <c r="T458" s="604"/>
      <c r="U458" s="604"/>
      <c r="V458" s="605"/>
      <c r="W458" s="37" t="s">
        <v>79</v>
      </c>
      <c r="X458" s="601">
        <f>IFERROR(X456/H456,"0")+IFERROR(X457/H457,"0")</f>
        <v>0</v>
      </c>
      <c r="Y458" s="601">
        <f>IFERROR(Y456/H456,"0")+IFERROR(Y457/H457,"0")</f>
        <v>0</v>
      </c>
      <c r="Z458" s="601">
        <f>IFERROR(IF(Z456="",0,Z456),"0")+IFERROR(IF(Z457="",0,Z457),"0")</f>
        <v>0</v>
      </c>
      <c r="AA458" s="602"/>
      <c r="AB458" s="602"/>
      <c r="AC458" s="602"/>
    </row>
    <row r="459" spans="1:68" x14ac:dyDescent="0.2">
      <c r="A459" s="612"/>
      <c r="B459" s="612"/>
      <c r="C459" s="612"/>
      <c r="D459" s="612"/>
      <c r="E459" s="612"/>
      <c r="F459" s="612"/>
      <c r="G459" s="612"/>
      <c r="H459" s="612"/>
      <c r="I459" s="612"/>
      <c r="J459" s="612"/>
      <c r="K459" s="612"/>
      <c r="L459" s="612"/>
      <c r="M459" s="612"/>
      <c r="N459" s="612"/>
      <c r="O459" s="613"/>
      <c r="P459" s="603" t="s">
        <v>78</v>
      </c>
      <c r="Q459" s="604"/>
      <c r="R459" s="604"/>
      <c r="S459" s="604"/>
      <c r="T459" s="604"/>
      <c r="U459" s="604"/>
      <c r="V459" s="605"/>
      <c r="W459" s="37" t="s">
        <v>69</v>
      </c>
      <c r="X459" s="601">
        <f>IFERROR(SUM(X456:X457),"0")</f>
        <v>0</v>
      </c>
      <c r="Y459" s="601">
        <f>IFERROR(SUM(Y456:Y457),"0")</f>
        <v>0</v>
      </c>
      <c r="Z459" s="37"/>
      <c r="AA459" s="602"/>
      <c r="AB459" s="602"/>
      <c r="AC459" s="602"/>
    </row>
    <row r="460" spans="1:68" ht="16.5" customHeight="1" x14ac:dyDescent="0.25">
      <c r="A460" s="622" t="s">
        <v>734</v>
      </c>
      <c r="B460" s="612"/>
      <c r="C460" s="612"/>
      <c r="D460" s="612"/>
      <c r="E460" s="612"/>
      <c r="F460" s="612"/>
      <c r="G460" s="612"/>
      <c r="H460" s="612"/>
      <c r="I460" s="612"/>
      <c r="J460" s="612"/>
      <c r="K460" s="612"/>
      <c r="L460" s="612"/>
      <c r="M460" s="612"/>
      <c r="N460" s="612"/>
      <c r="O460" s="612"/>
      <c r="P460" s="612"/>
      <c r="Q460" s="612"/>
      <c r="R460" s="612"/>
      <c r="S460" s="612"/>
      <c r="T460" s="612"/>
      <c r="U460" s="612"/>
      <c r="V460" s="612"/>
      <c r="W460" s="612"/>
      <c r="X460" s="612"/>
      <c r="Y460" s="612"/>
      <c r="Z460" s="612"/>
      <c r="AA460" s="594"/>
      <c r="AB460" s="594"/>
      <c r="AC460" s="594"/>
    </row>
    <row r="461" spans="1:68" ht="14.25" customHeight="1" x14ac:dyDescent="0.25">
      <c r="A461" s="659" t="s">
        <v>165</v>
      </c>
      <c r="B461" s="612"/>
      <c r="C461" s="612"/>
      <c r="D461" s="612"/>
      <c r="E461" s="612"/>
      <c r="F461" s="612"/>
      <c r="G461" s="612"/>
      <c r="H461" s="612"/>
      <c r="I461" s="612"/>
      <c r="J461" s="612"/>
      <c r="K461" s="612"/>
      <c r="L461" s="612"/>
      <c r="M461" s="612"/>
      <c r="N461" s="612"/>
      <c r="O461" s="612"/>
      <c r="P461" s="612"/>
      <c r="Q461" s="612"/>
      <c r="R461" s="612"/>
      <c r="S461" s="612"/>
      <c r="T461" s="612"/>
      <c r="U461" s="612"/>
      <c r="V461" s="612"/>
      <c r="W461" s="612"/>
      <c r="X461" s="612"/>
      <c r="Y461" s="612"/>
      <c r="Z461" s="612"/>
      <c r="AA461" s="595"/>
      <c r="AB461" s="595"/>
      <c r="AC461" s="595"/>
    </row>
    <row r="462" spans="1:68" ht="27" customHeight="1" x14ac:dyDescent="0.25">
      <c r="A462" s="54" t="s">
        <v>735</v>
      </c>
      <c r="B462" s="54" t="s">
        <v>736</v>
      </c>
      <c r="C462" s="31">
        <v>4301020416</v>
      </c>
      <c r="D462" s="614">
        <v>4680115885240</v>
      </c>
      <c r="E462" s="615"/>
      <c r="F462" s="598">
        <v>0.35</v>
      </c>
      <c r="G462" s="32">
        <v>6</v>
      </c>
      <c r="H462" s="598">
        <v>2.1</v>
      </c>
      <c r="I462" s="598">
        <v>2.31</v>
      </c>
      <c r="J462" s="32">
        <v>182</v>
      </c>
      <c r="K462" s="32" t="s">
        <v>67</v>
      </c>
      <c r="L462" s="32"/>
      <c r="M462" s="33" t="s">
        <v>68</v>
      </c>
      <c r="N462" s="33"/>
      <c r="O462" s="32">
        <v>40</v>
      </c>
      <c r="P462" s="8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07"/>
      <c r="R462" s="607"/>
      <c r="S462" s="607"/>
      <c r="T462" s="608"/>
      <c r="U462" s="34"/>
      <c r="V462" s="34"/>
      <c r="W462" s="35" t="s">
        <v>69</v>
      </c>
      <c r="X462" s="599">
        <v>0</v>
      </c>
      <c r="Y462" s="600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29" t="s">
        <v>737</v>
      </c>
      <c r="AG462" s="64"/>
      <c r="AJ462" s="68"/>
      <c r="AK462" s="68">
        <v>0</v>
      </c>
      <c r="BB462" s="53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11"/>
      <c r="B463" s="612"/>
      <c r="C463" s="612"/>
      <c r="D463" s="612"/>
      <c r="E463" s="612"/>
      <c r="F463" s="612"/>
      <c r="G463" s="612"/>
      <c r="H463" s="612"/>
      <c r="I463" s="612"/>
      <c r="J463" s="612"/>
      <c r="K463" s="612"/>
      <c r="L463" s="612"/>
      <c r="M463" s="612"/>
      <c r="N463" s="612"/>
      <c r="O463" s="613"/>
      <c r="P463" s="603" t="s">
        <v>78</v>
      </c>
      <c r="Q463" s="604"/>
      <c r="R463" s="604"/>
      <c r="S463" s="604"/>
      <c r="T463" s="604"/>
      <c r="U463" s="604"/>
      <c r="V463" s="605"/>
      <c r="W463" s="37" t="s">
        <v>79</v>
      </c>
      <c r="X463" s="601">
        <f>IFERROR(X462/H462,"0")</f>
        <v>0</v>
      </c>
      <c r="Y463" s="601">
        <f>IFERROR(Y462/H462,"0")</f>
        <v>0</v>
      </c>
      <c r="Z463" s="601">
        <f>IFERROR(IF(Z462="",0,Z462),"0")</f>
        <v>0</v>
      </c>
      <c r="AA463" s="602"/>
      <c r="AB463" s="602"/>
      <c r="AC463" s="602"/>
    </row>
    <row r="464" spans="1:68" x14ac:dyDescent="0.2">
      <c r="A464" s="612"/>
      <c r="B464" s="612"/>
      <c r="C464" s="612"/>
      <c r="D464" s="612"/>
      <c r="E464" s="612"/>
      <c r="F464" s="612"/>
      <c r="G464" s="612"/>
      <c r="H464" s="612"/>
      <c r="I464" s="612"/>
      <c r="J464" s="612"/>
      <c r="K464" s="612"/>
      <c r="L464" s="612"/>
      <c r="M464" s="612"/>
      <c r="N464" s="612"/>
      <c r="O464" s="613"/>
      <c r="P464" s="603" t="s">
        <v>78</v>
      </c>
      <c r="Q464" s="604"/>
      <c r="R464" s="604"/>
      <c r="S464" s="604"/>
      <c r="T464" s="604"/>
      <c r="U464" s="604"/>
      <c r="V464" s="605"/>
      <c r="W464" s="37" t="s">
        <v>69</v>
      </c>
      <c r="X464" s="601">
        <f>IFERROR(SUM(X462:X462),"0")</f>
        <v>0</v>
      </c>
      <c r="Y464" s="601">
        <f>IFERROR(SUM(Y462:Y462),"0")</f>
        <v>0</v>
      </c>
      <c r="Z464" s="37"/>
      <c r="AA464" s="602"/>
      <c r="AB464" s="602"/>
      <c r="AC464" s="602"/>
    </row>
    <row r="465" spans="1:68" ht="14.25" customHeight="1" x14ac:dyDescent="0.25">
      <c r="A465" s="659" t="s">
        <v>64</v>
      </c>
      <c r="B465" s="612"/>
      <c r="C465" s="612"/>
      <c r="D465" s="612"/>
      <c r="E465" s="612"/>
      <c r="F465" s="612"/>
      <c r="G465" s="612"/>
      <c r="H465" s="612"/>
      <c r="I465" s="612"/>
      <c r="J465" s="612"/>
      <c r="K465" s="612"/>
      <c r="L465" s="612"/>
      <c r="M465" s="612"/>
      <c r="N465" s="612"/>
      <c r="O465" s="612"/>
      <c r="P465" s="612"/>
      <c r="Q465" s="612"/>
      <c r="R465" s="612"/>
      <c r="S465" s="612"/>
      <c r="T465" s="612"/>
      <c r="U465" s="612"/>
      <c r="V465" s="612"/>
      <c r="W465" s="612"/>
      <c r="X465" s="612"/>
      <c r="Y465" s="612"/>
      <c r="Z465" s="612"/>
      <c r="AA465" s="595"/>
      <c r="AB465" s="595"/>
      <c r="AC465" s="595"/>
    </row>
    <row r="466" spans="1:68" ht="27" customHeight="1" x14ac:dyDescent="0.25">
      <c r="A466" s="54" t="s">
        <v>738</v>
      </c>
      <c r="B466" s="54" t="s">
        <v>739</v>
      </c>
      <c r="C466" s="31">
        <v>4301031407</v>
      </c>
      <c r="D466" s="614">
        <v>4680115886094</v>
      </c>
      <c r="E466" s="615"/>
      <c r="F466" s="598">
        <v>0.9</v>
      </c>
      <c r="G466" s="32">
        <v>6</v>
      </c>
      <c r="H466" s="598">
        <v>5.4</v>
      </c>
      <c r="I466" s="598">
        <v>5.59</v>
      </c>
      <c r="J466" s="32">
        <v>132</v>
      </c>
      <c r="K466" s="32" t="s">
        <v>142</v>
      </c>
      <c r="L466" s="32"/>
      <c r="M466" s="33" t="s">
        <v>68</v>
      </c>
      <c r="N466" s="33"/>
      <c r="O466" s="32">
        <v>50</v>
      </c>
      <c r="P466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07"/>
      <c r="R466" s="607"/>
      <c r="S466" s="607"/>
      <c r="T466" s="608"/>
      <c r="U466" s="34"/>
      <c r="V466" s="34"/>
      <c r="W466" s="35" t="s">
        <v>69</v>
      </c>
      <c r="X466" s="599">
        <v>0</v>
      </c>
      <c r="Y466" s="60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1" t="s">
        <v>740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741</v>
      </c>
      <c r="B467" s="54" t="s">
        <v>742</v>
      </c>
      <c r="C467" s="31">
        <v>4301031373</v>
      </c>
      <c r="D467" s="614">
        <v>4680115880771</v>
      </c>
      <c r="E467" s="615"/>
      <c r="F467" s="598">
        <v>0.28000000000000003</v>
      </c>
      <c r="G467" s="32">
        <v>6</v>
      </c>
      <c r="H467" s="598">
        <v>1.68</v>
      </c>
      <c r="I467" s="598">
        <v>1.81</v>
      </c>
      <c r="J467" s="32">
        <v>234</v>
      </c>
      <c r="K467" s="32" t="s">
        <v>73</v>
      </c>
      <c r="L467" s="32"/>
      <c r="M467" s="33" t="s">
        <v>68</v>
      </c>
      <c r="N467" s="33"/>
      <c r="O467" s="32">
        <v>50</v>
      </c>
      <c r="P467" s="7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07"/>
      <c r="R467" s="607"/>
      <c r="S467" s="607"/>
      <c r="T467" s="608"/>
      <c r="U467" s="34"/>
      <c r="V467" s="34"/>
      <c r="W467" s="35" t="s">
        <v>69</v>
      </c>
      <c r="X467" s="599">
        <v>0</v>
      </c>
      <c r="Y467" s="600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743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744</v>
      </c>
      <c r="B468" s="54" t="s">
        <v>745</v>
      </c>
      <c r="C468" s="31">
        <v>4301031359</v>
      </c>
      <c r="D468" s="614">
        <v>4607091389500</v>
      </c>
      <c r="E468" s="615"/>
      <c r="F468" s="598">
        <v>0.35</v>
      </c>
      <c r="G468" s="32">
        <v>6</v>
      </c>
      <c r="H468" s="598">
        <v>2.1</v>
      </c>
      <c r="I468" s="598">
        <v>2.23</v>
      </c>
      <c r="J468" s="32">
        <v>234</v>
      </c>
      <c r="K468" s="32" t="s">
        <v>73</v>
      </c>
      <c r="L468" s="32"/>
      <c r="M468" s="33" t="s">
        <v>68</v>
      </c>
      <c r="N468" s="33"/>
      <c r="O468" s="32">
        <v>50</v>
      </c>
      <c r="P468" s="65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07"/>
      <c r="R468" s="607"/>
      <c r="S468" s="607"/>
      <c r="T468" s="608"/>
      <c r="U468" s="34"/>
      <c r="V468" s="34"/>
      <c r="W468" s="35" t="s">
        <v>69</v>
      </c>
      <c r="X468" s="599">
        <v>0</v>
      </c>
      <c r="Y468" s="600">
        <f>IFERROR(IF(X468="",0,CEILING((X468/$H468),1)*$H468),"")</f>
        <v>0</v>
      </c>
      <c r="Z468" s="36" t="str">
        <f>IFERROR(IF(Y468=0,"",ROUNDUP(Y468/H468,0)*0.00502),"")</f>
        <v/>
      </c>
      <c r="AA468" s="56"/>
      <c r="AB468" s="57"/>
      <c r="AC468" s="535" t="s">
        <v>743</v>
      </c>
      <c r="AG468" s="64"/>
      <c r="AJ468" s="68"/>
      <c r="AK468" s="68">
        <v>0</v>
      </c>
      <c r="BB468" s="536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11"/>
      <c r="B469" s="612"/>
      <c r="C469" s="612"/>
      <c r="D469" s="612"/>
      <c r="E469" s="612"/>
      <c r="F469" s="612"/>
      <c r="G469" s="612"/>
      <c r="H469" s="612"/>
      <c r="I469" s="612"/>
      <c r="J469" s="612"/>
      <c r="K469" s="612"/>
      <c r="L469" s="612"/>
      <c r="M469" s="612"/>
      <c r="N469" s="612"/>
      <c r="O469" s="613"/>
      <c r="P469" s="603" t="s">
        <v>78</v>
      </c>
      <c r="Q469" s="604"/>
      <c r="R469" s="604"/>
      <c r="S469" s="604"/>
      <c r="T469" s="604"/>
      <c r="U469" s="604"/>
      <c r="V469" s="605"/>
      <c r="W469" s="37" t="s">
        <v>79</v>
      </c>
      <c r="X469" s="601">
        <f>IFERROR(X466/H466,"0")+IFERROR(X467/H467,"0")+IFERROR(X468/H468,"0")</f>
        <v>0</v>
      </c>
      <c r="Y469" s="601">
        <f>IFERROR(Y466/H466,"0")+IFERROR(Y467/H467,"0")+IFERROR(Y468/H468,"0")</f>
        <v>0</v>
      </c>
      <c r="Z469" s="601">
        <f>IFERROR(IF(Z466="",0,Z466),"0")+IFERROR(IF(Z467="",0,Z467),"0")+IFERROR(IF(Z468="",0,Z468),"0")</f>
        <v>0</v>
      </c>
      <c r="AA469" s="602"/>
      <c r="AB469" s="602"/>
      <c r="AC469" s="602"/>
    </row>
    <row r="470" spans="1:68" x14ac:dyDescent="0.2">
      <c r="A470" s="612"/>
      <c r="B470" s="612"/>
      <c r="C470" s="612"/>
      <c r="D470" s="612"/>
      <c r="E470" s="612"/>
      <c r="F470" s="612"/>
      <c r="G470" s="612"/>
      <c r="H470" s="612"/>
      <c r="I470" s="612"/>
      <c r="J470" s="612"/>
      <c r="K470" s="612"/>
      <c r="L470" s="612"/>
      <c r="M470" s="612"/>
      <c r="N470" s="612"/>
      <c r="O470" s="613"/>
      <c r="P470" s="603" t="s">
        <v>78</v>
      </c>
      <c r="Q470" s="604"/>
      <c r="R470" s="604"/>
      <c r="S470" s="604"/>
      <c r="T470" s="604"/>
      <c r="U470" s="604"/>
      <c r="V470" s="605"/>
      <c r="W470" s="37" t="s">
        <v>69</v>
      </c>
      <c r="X470" s="601">
        <f>IFERROR(SUM(X466:X468),"0")</f>
        <v>0</v>
      </c>
      <c r="Y470" s="601">
        <f>IFERROR(SUM(Y466:Y468),"0")</f>
        <v>0</v>
      </c>
      <c r="Z470" s="37"/>
      <c r="AA470" s="602"/>
      <c r="AB470" s="602"/>
      <c r="AC470" s="602"/>
    </row>
    <row r="471" spans="1:68" ht="27.75" customHeight="1" x14ac:dyDescent="0.2">
      <c r="A471" s="683" t="s">
        <v>746</v>
      </c>
      <c r="B471" s="684"/>
      <c r="C471" s="684"/>
      <c r="D471" s="684"/>
      <c r="E471" s="684"/>
      <c r="F471" s="684"/>
      <c r="G471" s="684"/>
      <c r="H471" s="684"/>
      <c r="I471" s="684"/>
      <c r="J471" s="684"/>
      <c r="K471" s="684"/>
      <c r="L471" s="684"/>
      <c r="M471" s="684"/>
      <c r="N471" s="684"/>
      <c r="O471" s="684"/>
      <c r="P471" s="684"/>
      <c r="Q471" s="684"/>
      <c r="R471" s="684"/>
      <c r="S471" s="684"/>
      <c r="T471" s="684"/>
      <c r="U471" s="684"/>
      <c r="V471" s="684"/>
      <c r="W471" s="684"/>
      <c r="X471" s="684"/>
      <c r="Y471" s="684"/>
      <c r="Z471" s="684"/>
      <c r="AA471" s="48"/>
      <c r="AB471" s="48"/>
      <c r="AC471" s="48"/>
    </row>
    <row r="472" spans="1:68" ht="16.5" customHeight="1" x14ac:dyDescent="0.25">
      <c r="A472" s="622" t="s">
        <v>746</v>
      </c>
      <c r="B472" s="612"/>
      <c r="C472" s="612"/>
      <c r="D472" s="612"/>
      <c r="E472" s="612"/>
      <c r="F472" s="612"/>
      <c r="G472" s="612"/>
      <c r="H472" s="612"/>
      <c r="I472" s="612"/>
      <c r="J472" s="612"/>
      <c r="K472" s="612"/>
      <c r="L472" s="612"/>
      <c r="M472" s="612"/>
      <c r="N472" s="612"/>
      <c r="O472" s="612"/>
      <c r="P472" s="612"/>
      <c r="Q472" s="612"/>
      <c r="R472" s="612"/>
      <c r="S472" s="612"/>
      <c r="T472" s="612"/>
      <c r="U472" s="612"/>
      <c r="V472" s="612"/>
      <c r="W472" s="612"/>
      <c r="X472" s="612"/>
      <c r="Y472" s="612"/>
      <c r="Z472" s="612"/>
      <c r="AA472" s="594"/>
      <c r="AB472" s="594"/>
      <c r="AC472" s="594"/>
    </row>
    <row r="473" spans="1:68" ht="14.25" customHeight="1" x14ac:dyDescent="0.25">
      <c r="A473" s="659" t="s">
        <v>130</v>
      </c>
      <c r="B473" s="612"/>
      <c r="C473" s="612"/>
      <c r="D473" s="612"/>
      <c r="E473" s="612"/>
      <c r="F473" s="612"/>
      <c r="G473" s="612"/>
      <c r="H473" s="612"/>
      <c r="I473" s="612"/>
      <c r="J473" s="612"/>
      <c r="K473" s="612"/>
      <c r="L473" s="612"/>
      <c r="M473" s="612"/>
      <c r="N473" s="612"/>
      <c r="O473" s="612"/>
      <c r="P473" s="612"/>
      <c r="Q473" s="612"/>
      <c r="R473" s="612"/>
      <c r="S473" s="612"/>
      <c r="T473" s="612"/>
      <c r="U473" s="612"/>
      <c r="V473" s="612"/>
      <c r="W473" s="612"/>
      <c r="X473" s="612"/>
      <c r="Y473" s="612"/>
      <c r="Z473" s="612"/>
      <c r="AA473" s="595"/>
      <c r="AB473" s="595"/>
      <c r="AC473" s="595"/>
    </row>
    <row r="474" spans="1:68" ht="27" customHeight="1" x14ac:dyDescent="0.25">
      <c r="A474" s="54" t="s">
        <v>747</v>
      </c>
      <c r="B474" s="54" t="s">
        <v>748</v>
      </c>
      <c r="C474" s="31">
        <v>4301011769</v>
      </c>
      <c r="D474" s="614">
        <v>4607091389067</v>
      </c>
      <c r="E474" s="615"/>
      <c r="F474" s="598">
        <v>0.88</v>
      </c>
      <c r="G474" s="32">
        <v>6</v>
      </c>
      <c r="H474" s="598">
        <v>5.28</v>
      </c>
      <c r="I474" s="598">
        <v>5.63</v>
      </c>
      <c r="J474" s="32">
        <v>104</v>
      </c>
      <c r="K474" s="32" t="s">
        <v>133</v>
      </c>
      <c r="L474" s="32"/>
      <c r="M474" s="33" t="s">
        <v>83</v>
      </c>
      <c r="N474" s="33"/>
      <c r="O474" s="32">
        <v>60</v>
      </c>
      <c r="P474" s="7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07"/>
      <c r="R474" s="607"/>
      <c r="S474" s="607"/>
      <c r="T474" s="608"/>
      <c r="U474" s="34"/>
      <c r="V474" s="34"/>
      <c r="W474" s="35" t="s">
        <v>69</v>
      </c>
      <c r="X474" s="599">
        <v>163</v>
      </c>
      <c r="Y474" s="600">
        <f t="shared" ref="Y474:Y482" si="57">IFERROR(IF(X474="",0,CEILING((X474/$H474),1)*$H474),"")</f>
        <v>163.68</v>
      </c>
      <c r="Z474" s="36">
        <f t="shared" ref="Z474:Z479" si="58">IFERROR(IF(Y474=0,"",ROUNDUP(Y474/H474,0)*0.01196),"")</f>
        <v>0.37075999999999998</v>
      </c>
      <c r="AA474" s="56"/>
      <c r="AB474" s="57"/>
      <c r="AC474" s="537" t="s">
        <v>135</v>
      </c>
      <c r="AG474" s="64"/>
      <c r="AJ474" s="68"/>
      <c r="AK474" s="68">
        <v>0</v>
      </c>
      <c r="BB474" s="538" t="s">
        <v>1</v>
      </c>
      <c r="BM474" s="64">
        <f t="shared" ref="BM474:BM482" si="59">IFERROR(X474*I474/H474,"0")</f>
        <v>173.80492424242422</v>
      </c>
      <c r="BN474" s="64">
        <f t="shared" ref="BN474:BN482" si="60">IFERROR(Y474*I474/H474,"0")</f>
        <v>174.53</v>
      </c>
      <c r="BO474" s="64">
        <f t="shared" ref="BO474:BO482" si="61">IFERROR(1/J474*(X474/H474),"0")</f>
        <v>0.29683857808857811</v>
      </c>
      <c r="BP474" s="64">
        <f t="shared" ref="BP474:BP482" si="62">IFERROR(1/J474*(Y474/H474),"0")</f>
        <v>0.29807692307692307</v>
      </c>
    </row>
    <row r="475" spans="1:68" ht="27" customHeight="1" x14ac:dyDescent="0.25">
      <c r="A475" s="54" t="s">
        <v>749</v>
      </c>
      <c r="B475" s="54" t="s">
        <v>750</v>
      </c>
      <c r="C475" s="31">
        <v>4301012210</v>
      </c>
      <c r="D475" s="614">
        <v>4607091383522</v>
      </c>
      <c r="E475" s="615"/>
      <c r="F475" s="598">
        <v>0.88</v>
      </c>
      <c r="G475" s="32">
        <v>6</v>
      </c>
      <c r="H475" s="598">
        <v>5.28</v>
      </c>
      <c r="I475" s="598">
        <v>5.63</v>
      </c>
      <c r="J475" s="32">
        <v>104</v>
      </c>
      <c r="K475" s="32" t="s">
        <v>133</v>
      </c>
      <c r="L475" s="32"/>
      <c r="M475" s="33" t="s">
        <v>134</v>
      </c>
      <c r="N475" s="33"/>
      <c r="O475" s="32">
        <v>60</v>
      </c>
      <c r="P475" s="86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07"/>
      <c r="R475" s="607"/>
      <c r="S475" s="607"/>
      <c r="T475" s="608"/>
      <c r="U475" s="34"/>
      <c r="V475" s="34"/>
      <c r="W475" s="35" t="s">
        <v>69</v>
      </c>
      <c r="X475" s="599">
        <v>0</v>
      </c>
      <c r="Y475" s="600">
        <f t="shared" si="57"/>
        <v>0</v>
      </c>
      <c r="Z475" s="36" t="str">
        <f t="shared" si="58"/>
        <v/>
      </c>
      <c r="AA475" s="56"/>
      <c r="AB475" s="57"/>
      <c r="AC475" s="539" t="s">
        <v>751</v>
      </c>
      <c r="AG475" s="64"/>
      <c r="AJ475" s="68"/>
      <c r="AK475" s="68">
        <v>0</v>
      </c>
      <c r="BB475" s="540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752</v>
      </c>
      <c r="B476" s="54" t="s">
        <v>753</v>
      </c>
      <c r="C476" s="31">
        <v>4301011961</v>
      </c>
      <c r="D476" s="614">
        <v>4680115885271</v>
      </c>
      <c r="E476" s="615"/>
      <c r="F476" s="598">
        <v>0.88</v>
      </c>
      <c r="G476" s="32">
        <v>6</v>
      </c>
      <c r="H476" s="598">
        <v>5.28</v>
      </c>
      <c r="I476" s="598">
        <v>5.63</v>
      </c>
      <c r="J476" s="32">
        <v>104</v>
      </c>
      <c r="K476" s="32" t="s">
        <v>133</v>
      </c>
      <c r="L476" s="32"/>
      <c r="M476" s="33" t="s">
        <v>134</v>
      </c>
      <c r="N476" s="33"/>
      <c r="O476" s="32">
        <v>60</v>
      </c>
      <c r="P476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07"/>
      <c r="R476" s="607"/>
      <c r="S476" s="607"/>
      <c r="T476" s="608"/>
      <c r="U476" s="34"/>
      <c r="V476" s="34"/>
      <c r="W476" s="35" t="s">
        <v>69</v>
      </c>
      <c r="X476" s="599">
        <v>0</v>
      </c>
      <c r="Y476" s="600">
        <f t="shared" si="57"/>
        <v>0</v>
      </c>
      <c r="Z476" s="36" t="str">
        <f t="shared" si="58"/>
        <v/>
      </c>
      <c r="AA476" s="56"/>
      <c r="AB476" s="57"/>
      <c r="AC476" s="541" t="s">
        <v>754</v>
      </c>
      <c r="AG476" s="64"/>
      <c r="AJ476" s="68"/>
      <c r="AK476" s="68">
        <v>0</v>
      </c>
      <c r="BB476" s="542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27" customHeight="1" x14ac:dyDescent="0.25">
      <c r="A477" s="54" t="s">
        <v>755</v>
      </c>
      <c r="B477" s="54" t="s">
        <v>756</v>
      </c>
      <c r="C477" s="31">
        <v>4301011369</v>
      </c>
      <c r="D477" s="614">
        <v>4680115885226</v>
      </c>
      <c r="E477" s="615"/>
      <c r="F477" s="598">
        <v>0.88</v>
      </c>
      <c r="G477" s="32">
        <v>6</v>
      </c>
      <c r="H477" s="598">
        <v>5.28</v>
      </c>
      <c r="I477" s="598">
        <v>5.63</v>
      </c>
      <c r="J477" s="32">
        <v>104</v>
      </c>
      <c r="K477" s="32" t="s">
        <v>133</v>
      </c>
      <c r="L477" s="32"/>
      <c r="M477" s="33" t="s">
        <v>134</v>
      </c>
      <c r="N477" s="33"/>
      <c r="O477" s="32">
        <v>60</v>
      </c>
      <c r="P477" s="8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07"/>
      <c r="R477" s="607"/>
      <c r="S477" s="607"/>
      <c r="T477" s="608"/>
      <c r="U477" s="34"/>
      <c r="V477" s="34"/>
      <c r="W477" s="35" t="s">
        <v>69</v>
      </c>
      <c r="X477" s="599">
        <v>430</v>
      </c>
      <c r="Y477" s="600">
        <f t="shared" si="57"/>
        <v>432.96000000000004</v>
      </c>
      <c r="Z477" s="36">
        <f t="shared" si="58"/>
        <v>0.98072000000000004</v>
      </c>
      <c r="AA477" s="56"/>
      <c r="AB477" s="57"/>
      <c r="AC477" s="543" t="s">
        <v>757</v>
      </c>
      <c r="AG477" s="64"/>
      <c r="AJ477" s="68"/>
      <c r="AK477" s="68">
        <v>0</v>
      </c>
      <c r="BB477" s="544" t="s">
        <v>1</v>
      </c>
      <c r="BM477" s="64">
        <f t="shared" si="59"/>
        <v>458.50378787878788</v>
      </c>
      <c r="BN477" s="64">
        <f t="shared" si="60"/>
        <v>461.66</v>
      </c>
      <c r="BO477" s="64">
        <f t="shared" si="61"/>
        <v>0.78307109557109555</v>
      </c>
      <c r="BP477" s="64">
        <f t="shared" si="62"/>
        <v>0.78846153846153855</v>
      </c>
    </row>
    <row r="478" spans="1:68" ht="16.5" customHeight="1" x14ac:dyDescent="0.25">
      <c r="A478" s="54" t="s">
        <v>758</v>
      </c>
      <c r="B478" s="54" t="s">
        <v>759</v>
      </c>
      <c r="C478" s="31">
        <v>4301011797</v>
      </c>
      <c r="D478" s="614">
        <v>4680115884502</v>
      </c>
      <c r="E478" s="615"/>
      <c r="F478" s="598">
        <v>0.88</v>
      </c>
      <c r="G478" s="32">
        <v>6</v>
      </c>
      <c r="H478" s="598">
        <v>5.28</v>
      </c>
      <c r="I478" s="598">
        <v>5.63</v>
      </c>
      <c r="J478" s="32">
        <v>104</v>
      </c>
      <c r="K478" s="32" t="s">
        <v>133</v>
      </c>
      <c r="L478" s="32"/>
      <c r="M478" s="33" t="s">
        <v>83</v>
      </c>
      <c r="N478" s="33"/>
      <c r="O478" s="32">
        <v>60</v>
      </c>
      <c r="P478" s="8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07"/>
      <c r="R478" s="607"/>
      <c r="S478" s="607"/>
      <c r="T478" s="608"/>
      <c r="U478" s="34"/>
      <c r="V478" s="34"/>
      <c r="W478" s="35" t="s">
        <v>69</v>
      </c>
      <c r="X478" s="599">
        <v>0</v>
      </c>
      <c r="Y478" s="600">
        <f t="shared" si="57"/>
        <v>0</v>
      </c>
      <c r="Z478" s="36" t="str">
        <f t="shared" si="58"/>
        <v/>
      </c>
      <c r="AA478" s="56"/>
      <c r="AB478" s="57"/>
      <c r="AC478" s="545" t="s">
        <v>760</v>
      </c>
      <c r="AG478" s="64"/>
      <c r="AJ478" s="68"/>
      <c r="AK478" s="68">
        <v>0</v>
      </c>
      <c r="BB478" s="546" t="s">
        <v>1</v>
      </c>
      <c r="BM478" s="64">
        <f t="shared" si="59"/>
        <v>0</v>
      </c>
      <c r="BN478" s="64">
        <f t="shared" si="60"/>
        <v>0</v>
      </c>
      <c r="BO478" s="64">
        <f t="shared" si="61"/>
        <v>0</v>
      </c>
      <c r="BP478" s="64">
        <f t="shared" si="62"/>
        <v>0</v>
      </c>
    </row>
    <row r="479" spans="1:68" ht="27" customHeight="1" x14ac:dyDescent="0.25">
      <c r="A479" s="54" t="s">
        <v>761</v>
      </c>
      <c r="B479" s="54" t="s">
        <v>762</v>
      </c>
      <c r="C479" s="31">
        <v>4301011771</v>
      </c>
      <c r="D479" s="614">
        <v>4607091389104</v>
      </c>
      <c r="E479" s="615"/>
      <c r="F479" s="598">
        <v>0.88</v>
      </c>
      <c r="G479" s="32">
        <v>6</v>
      </c>
      <c r="H479" s="598">
        <v>5.28</v>
      </c>
      <c r="I479" s="598">
        <v>5.63</v>
      </c>
      <c r="J479" s="32">
        <v>104</v>
      </c>
      <c r="K479" s="32" t="s">
        <v>133</v>
      </c>
      <c r="L479" s="32"/>
      <c r="M479" s="33" t="s">
        <v>134</v>
      </c>
      <c r="N479" s="33"/>
      <c r="O479" s="32">
        <v>60</v>
      </c>
      <c r="P479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07"/>
      <c r="R479" s="607"/>
      <c r="S479" s="607"/>
      <c r="T479" s="608"/>
      <c r="U479" s="34"/>
      <c r="V479" s="34"/>
      <c r="W479" s="35" t="s">
        <v>69</v>
      </c>
      <c r="X479" s="599">
        <v>720</v>
      </c>
      <c r="Y479" s="600">
        <f t="shared" si="57"/>
        <v>723.36</v>
      </c>
      <c r="Z479" s="36">
        <f t="shared" si="58"/>
        <v>1.63852</v>
      </c>
      <c r="AA479" s="56"/>
      <c r="AB479" s="57"/>
      <c r="AC479" s="547" t="s">
        <v>763</v>
      </c>
      <c r="AG479" s="64"/>
      <c r="AJ479" s="68"/>
      <c r="AK479" s="68">
        <v>0</v>
      </c>
      <c r="BB479" s="548" t="s">
        <v>1</v>
      </c>
      <c r="BM479" s="64">
        <f t="shared" si="59"/>
        <v>767.72727272727263</v>
      </c>
      <c r="BN479" s="64">
        <f t="shared" si="60"/>
        <v>771.31</v>
      </c>
      <c r="BO479" s="64">
        <f t="shared" si="61"/>
        <v>1.311188811188811</v>
      </c>
      <c r="BP479" s="64">
        <f t="shared" si="62"/>
        <v>1.3173076923076923</v>
      </c>
    </row>
    <row r="480" spans="1:68" ht="27" customHeight="1" x14ac:dyDescent="0.25">
      <c r="A480" s="54" t="s">
        <v>764</v>
      </c>
      <c r="B480" s="54" t="s">
        <v>765</v>
      </c>
      <c r="C480" s="31">
        <v>4301012125</v>
      </c>
      <c r="D480" s="614">
        <v>4680115886391</v>
      </c>
      <c r="E480" s="615"/>
      <c r="F480" s="598">
        <v>0.4</v>
      </c>
      <c r="G480" s="32">
        <v>6</v>
      </c>
      <c r="H480" s="598">
        <v>2.4</v>
      </c>
      <c r="I480" s="598">
        <v>2.58</v>
      </c>
      <c r="J480" s="32">
        <v>182</v>
      </c>
      <c r="K480" s="32" t="s">
        <v>67</v>
      </c>
      <c r="L480" s="32"/>
      <c r="M480" s="33" t="s">
        <v>83</v>
      </c>
      <c r="N480" s="33"/>
      <c r="O480" s="32">
        <v>60</v>
      </c>
      <c r="P480" s="7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07"/>
      <c r="R480" s="607"/>
      <c r="S480" s="607"/>
      <c r="T480" s="608"/>
      <c r="U480" s="34"/>
      <c r="V480" s="34"/>
      <c r="W480" s="35" t="s">
        <v>69</v>
      </c>
      <c r="X480" s="599">
        <v>0</v>
      </c>
      <c r="Y480" s="600">
        <f t="shared" si="57"/>
        <v>0</v>
      </c>
      <c r="Z480" s="36" t="str">
        <f>IFERROR(IF(Y480=0,"",ROUNDUP(Y480/H480,0)*0.00651),"")</f>
        <v/>
      </c>
      <c r="AA480" s="56"/>
      <c r="AB480" s="57"/>
      <c r="AC480" s="549" t="s">
        <v>135</v>
      </c>
      <c r="AG480" s="64"/>
      <c r="AJ480" s="68"/>
      <c r="AK480" s="68">
        <v>0</v>
      </c>
      <c r="BB480" s="550" t="s">
        <v>1</v>
      </c>
      <c r="BM480" s="64">
        <f t="shared" si="59"/>
        <v>0</v>
      </c>
      <c r="BN480" s="64">
        <f t="shared" si="60"/>
        <v>0</v>
      </c>
      <c r="BO480" s="64">
        <f t="shared" si="61"/>
        <v>0</v>
      </c>
      <c r="BP480" s="64">
        <f t="shared" si="62"/>
        <v>0</v>
      </c>
    </row>
    <row r="481" spans="1:68" ht="27" customHeight="1" x14ac:dyDescent="0.25">
      <c r="A481" s="54" t="s">
        <v>766</v>
      </c>
      <c r="B481" s="54" t="s">
        <v>767</v>
      </c>
      <c r="C481" s="31">
        <v>4301012048</v>
      </c>
      <c r="D481" s="614">
        <v>4680115880603</v>
      </c>
      <c r="E481" s="615"/>
      <c r="F481" s="598">
        <v>0.6</v>
      </c>
      <c r="G481" s="32">
        <v>8</v>
      </c>
      <c r="H481" s="598">
        <v>4.8</v>
      </c>
      <c r="I481" s="598">
        <v>6.91</v>
      </c>
      <c r="J481" s="32">
        <v>132</v>
      </c>
      <c r="K481" s="32" t="s">
        <v>142</v>
      </c>
      <c r="L481" s="32"/>
      <c r="M481" s="33" t="s">
        <v>83</v>
      </c>
      <c r="N481" s="33"/>
      <c r="O481" s="32">
        <v>60</v>
      </c>
      <c r="P481" s="7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07"/>
      <c r="R481" s="607"/>
      <c r="S481" s="607"/>
      <c r="T481" s="608"/>
      <c r="U481" s="34"/>
      <c r="V481" s="34"/>
      <c r="W481" s="35" t="s">
        <v>69</v>
      </c>
      <c r="X481" s="599">
        <v>377</v>
      </c>
      <c r="Y481" s="600">
        <f t="shared" si="57"/>
        <v>379.2</v>
      </c>
      <c r="Z481" s="36">
        <f>IFERROR(IF(Y481=0,"",ROUNDUP(Y481/H481,0)*0.00902),"")</f>
        <v>0.71257999999999999</v>
      </c>
      <c r="AA481" s="56"/>
      <c r="AB481" s="57"/>
      <c r="AC481" s="551" t="s">
        <v>135</v>
      </c>
      <c r="AG481" s="64"/>
      <c r="AJ481" s="68"/>
      <c r="AK481" s="68">
        <v>0</v>
      </c>
      <c r="BB481" s="552" t="s">
        <v>1</v>
      </c>
      <c r="BM481" s="64">
        <f t="shared" si="59"/>
        <v>542.72291666666672</v>
      </c>
      <c r="BN481" s="64">
        <f t="shared" si="60"/>
        <v>545.89</v>
      </c>
      <c r="BO481" s="64">
        <f t="shared" si="61"/>
        <v>0.5950126262626263</v>
      </c>
      <c r="BP481" s="64">
        <f t="shared" si="62"/>
        <v>0.59848484848484851</v>
      </c>
    </row>
    <row r="482" spans="1:68" ht="27" customHeight="1" x14ac:dyDescent="0.25">
      <c r="A482" s="54" t="s">
        <v>768</v>
      </c>
      <c r="B482" s="54" t="s">
        <v>769</v>
      </c>
      <c r="C482" s="31">
        <v>4301012034</v>
      </c>
      <c r="D482" s="614">
        <v>4607091389982</v>
      </c>
      <c r="E482" s="615"/>
      <c r="F482" s="598">
        <v>0.6</v>
      </c>
      <c r="G482" s="32">
        <v>8</v>
      </c>
      <c r="H482" s="598">
        <v>4.8</v>
      </c>
      <c r="I482" s="598">
        <v>6.91</v>
      </c>
      <c r="J482" s="32">
        <v>132</v>
      </c>
      <c r="K482" s="32" t="s">
        <v>142</v>
      </c>
      <c r="L482" s="32"/>
      <c r="M482" s="33" t="s">
        <v>134</v>
      </c>
      <c r="N482" s="33"/>
      <c r="O482" s="32">
        <v>60</v>
      </c>
      <c r="P482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07"/>
      <c r="R482" s="607"/>
      <c r="S482" s="607"/>
      <c r="T482" s="608"/>
      <c r="U482" s="34"/>
      <c r="V482" s="34"/>
      <c r="W482" s="35" t="s">
        <v>69</v>
      </c>
      <c r="X482" s="599">
        <v>0</v>
      </c>
      <c r="Y482" s="600">
        <f t="shared" si="57"/>
        <v>0</v>
      </c>
      <c r="Z482" s="36" t="str">
        <f>IFERROR(IF(Y482=0,"",ROUNDUP(Y482/H482,0)*0.00902),"")</f>
        <v/>
      </c>
      <c r="AA482" s="56"/>
      <c r="AB482" s="57"/>
      <c r="AC482" s="553" t="s">
        <v>763</v>
      </c>
      <c r="AG482" s="64"/>
      <c r="AJ482" s="68"/>
      <c r="AK482" s="68">
        <v>0</v>
      </c>
      <c r="BB482" s="554" t="s">
        <v>1</v>
      </c>
      <c r="BM482" s="64">
        <f t="shared" si="59"/>
        <v>0</v>
      </c>
      <c r="BN482" s="64">
        <f t="shared" si="60"/>
        <v>0</v>
      </c>
      <c r="BO482" s="64">
        <f t="shared" si="61"/>
        <v>0</v>
      </c>
      <c r="BP482" s="64">
        <f t="shared" si="62"/>
        <v>0</v>
      </c>
    </row>
    <row r="483" spans="1:68" x14ac:dyDescent="0.2">
      <c r="A483" s="611"/>
      <c r="B483" s="612"/>
      <c r="C483" s="612"/>
      <c r="D483" s="612"/>
      <c r="E483" s="612"/>
      <c r="F483" s="612"/>
      <c r="G483" s="612"/>
      <c r="H483" s="612"/>
      <c r="I483" s="612"/>
      <c r="J483" s="612"/>
      <c r="K483" s="612"/>
      <c r="L483" s="612"/>
      <c r="M483" s="612"/>
      <c r="N483" s="612"/>
      <c r="O483" s="613"/>
      <c r="P483" s="603" t="s">
        <v>78</v>
      </c>
      <c r="Q483" s="604"/>
      <c r="R483" s="604"/>
      <c r="S483" s="604"/>
      <c r="T483" s="604"/>
      <c r="U483" s="604"/>
      <c r="V483" s="605"/>
      <c r="W483" s="37" t="s">
        <v>79</v>
      </c>
      <c r="X483" s="601">
        <f>IFERROR(X474/H474,"0")+IFERROR(X475/H475,"0")+IFERROR(X476/H476,"0")+IFERROR(X477/H477,"0")+IFERROR(X478/H478,"0")+IFERROR(X479/H479,"0")+IFERROR(X480/H480,"0")+IFERROR(X481/H481,"0")+IFERROR(X482/H482,"0")</f>
        <v>327.21590909090907</v>
      </c>
      <c r="Y483" s="601">
        <f>IFERROR(Y474/H474,"0")+IFERROR(Y475/H475,"0")+IFERROR(Y476/H476,"0")+IFERROR(Y477/H477,"0")+IFERROR(Y478/H478,"0")+IFERROR(Y479/H479,"0")+IFERROR(Y480/H480,"0")+IFERROR(Y481/H481,"0")+IFERROR(Y482/H482,"0")</f>
        <v>329</v>
      </c>
      <c r="Z483" s="60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3.7025800000000002</v>
      </c>
      <c r="AA483" s="602"/>
      <c r="AB483" s="602"/>
      <c r="AC483" s="602"/>
    </row>
    <row r="484" spans="1:68" x14ac:dyDescent="0.2">
      <c r="A484" s="612"/>
      <c r="B484" s="612"/>
      <c r="C484" s="612"/>
      <c r="D484" s="612"/>
      <c r="E484" s="612"/>
      <c r="F484" s="612"/>
      <c r="G484" s="612"/>
      <c r="H484" s="612"/>
      <c r="I484" s="612"/>
      <c r="J484" s="612"/>
      <c r="K484" s="612"/>
      <c r="L484" s="612"/>
      <c r="M484" s="612"/>
      <c r="N484" s="612"/>
      <c r="O484" s="613"/>
      <c r="P484" s="603" t="s">
        <v>78</v>
      </c>
      <c r="Q484" s="604"/>
      <c r="R484" s="604"/>
      <c r="S484" s="604"/>
      <c r="T484" s="604"/>
      <c r="U484" s="604"/>
      <c r="V484" s="605"/>
      <c r="W484" s="37" t="s">
        <v>69</v>
      </c>
      <c r="X484" s="601">
        <f>IFERROR(SUM(X474:X482),"0")</f>
        <v>1690</v>
      </c>
      <c r="Y484" s="601">
        <f>IFERROR(SUM(Y474:Y482),"0")</f>
        <v>1699.2</v>
      </c>
      <c r="Z484" s="37"/>
      <c r="AA484" s="602"/>
      <c r="AB484" s="602"/>
      <c r="AC484" s="602"/>
    </row>
    <row r="485" spans="1:68" ht="14.25" customHeight="1" x14ac:dyDescent="0.25">
      <c r="A485" s="659" t="s">
        <v>165</v>
      </c>
      <c r="B485" s="612"/>
      <c r="C485" s="612"/>
      <c r="D485" s="612"/>
      <c r="E485" s="612"/>
      <c r="F485" s="612"/>
      <c r="G485" s="612"/>
      <c r="H485" s="612"/>
      <c r="I485" s="612"/>
      <c r="J485" s="612"/>
      <c r="K485" s="612"/>
      <c r="L485" s="612"/>
      <c r="M485" s="612"/>
      <c r="N485" s="612"/>
      <c r="O485" s="612"/>
      <c r="P485" s="612"/>
      <c r="Q485" s="612"/>
      <c r="R485" s="612"/>
      <c r="S485" s="612"/>
      <c r="T485" s="612"/>
      <c r="U485" s="612"/>
      <c r="V485" s="612"/>
      <c r="W485" s="612"/>
      <c r="X485" s="612"/>
      <c r="Y485" s="612"/>
      <c r="Z485" s="612"/>
      <c r="AA485" s="595"/>
      <c r="AB485" s="595"/>
      <c r="AC485" s="595"/>
    </row>
    <row r="486" spans="1:68" ht="16.5" customHeight="1" x14ac:dyDescent="0.25">
      <c r="A486" s="54" t="s">
        <v>770</v>
      </c>
      <c r="B486" s="54" t="s">
        <v>771</v>
      </c>
      <c r="C486" s="31">
        <v>4301020334</v>
      </c>
      <c r="D486" s="614">
        <v>4607091388930</v>
      </c>
      <c r="E486" s="615"/>
      <c r="F486" s="598">
        <v>0.88</v>
      </c>
      <c r="G486" s="32">
        <v>6</v>
      </c>
      <c r="H486" s="598">
        <v>5.28</v>
      </c>
      <c r="I486" s="598">
        <v>5.63</v>
      </c>
      <c r="J486" s="32">
        <v>104</v>
      </c>
      <c r="K486" s="32" t="s">
        <v>133</v>
      </c>
      <c r="L486" s="32"/>
      <c r="M486" s="33" t="s">
        <v>83</v>
      </c>
      <c r="N486" s="33"/>
      <c r="O486" s="32">
        <v>70</v>
      </c>
      <c r="P486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07"/>
      <c r="R486" s="607"/>
      <c r="S486" s="607"/>
      <c r="T486" s="608"/>
      <c r="U486" s="34"/>
      <c r="V486" s="34"/>
      <c r="W486" s="35" t="s">
        <v>69</v>
      </c>
      <c r="X486" s="599">
        <v>417</v>
      </c>
      <c r="Y486" s="600">
        <f>IFERROR(IF(X486="",0,CEILING((X486/$H486),1)*$H486),"")</f>
        <v>417.12</v>
      </c>
      <c r="Z486" s="36">
        <f>IFERROR(IF(Y486=0,"",ROUNDUP(Y486/H486,0)*0.01196),"")</f>
        <v>0.94484000000000001</v>
      </c>
      <c r="AA486" s="56"/>
      <c r="AB486" s="57"/>
      <c r="AC486" s="555" t="s">
        <v>772</v>
      </c>
      <c r="AG486" s="64"/>
      <c r="AJ486" s="68"/>
      <c r="AK486" s="68">
        <v>0</v>
      </c>
      <c r="BB486" s="556" t="s">
        <v>1</v>
      </c>
      <c r="BM486" s="64">
        <f>IFERROR(X486*I486/H486,"0")</f>
        <v>444.64204545454544</v>
      </c>
      <c r="BN486" s="64">
        <f>IFERROR(Y486*I486/H486,"0")</f>
        <v>444.77</v>
      </c>
      <c r="BO486" s="64">
        <f>IFERROR(1/J486*(X486/H486),"0")</f>
        <v>0.75939685314685312</v>
      </c>
      <c r="BP486" s="64">
        <f>IFERROR(1/J486*(Y486/H486),"0")</f>
        <v>0.75961538461538469</v>
      </c>
    </row>
    <row r="487" spans="1:68" ht="16.5" customHeight="1" x14ac:dyDescent="0.25">
      <c r="A487" s="54" t="s">
        <v>773</v>
      </c>
      <c r="B487" s="54" t="s">
        <v>774</v>
      </c>
      <c r="C487" s="31">
        <v>4301020374</v>
      </c>
      <c r="D487" s="614">
        <v>4680115886407</v>
      </c>
      <c r="E487" s="615"/>
      <c r="F487" s="598">
        <v>0.4</v>
      </c>
      <c r="G487" s="32">
        <v>6</v>
      </c>
      <c r="H487" s="598">
        <v>2.4</v>
      </c>
      <c r="I487" s="598">
        <v>2.58</v>
      </c>
      <c r="J487" s="32">
        <v>182</v>
      </c>
      <c r="K487" s="32" t="s">
        <v>67</v>
      </c>
      <c r="L487" s="32"/>
      <c r="M487" s="33" t="s">
        <v>134</v>
      </c>
      <c r="N487" s="33"/>
      <c r="O487" s="32">
        <v>70</v>
      </c>
      <c r="P487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07"/>
      <c r="R487" s="607"/>
      <c r="S487" s="607"/>
      <c r="T487" s="608"/>
      <c r="U487" s="34"/>
      <c r="V487" s="34"/>
      <c r="W487" s="35" t="s">
        <v>69</v>
      </c>
      <c r="X487" s="599">
        <v>0</v>
      </c>
      <c r="Y487" s="60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57" t="s">
        <v>772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16.5" customHeight="1" x14ac:dyDescent="0.25">
      <c r="A488" s="54" t="s">
        <v>775</v>
      </c>
      <c r="B488" s="54" t="s">
        <v>776</v>
      </c>
      <c r="C488" s="31">
        <v>4301020385</v>
      </c>
      <c r="D488" s="614">
        <v>4680115880054</v>
      </c>
      <c r="E488" s="615"/>
      <c r="F488" s="598">
        <v>0.6</v>
      </c>
      <c r="G488" s="32">
        <v>8</v>
      </c>
      <c r="H488" s="598">
        <v>4.8</v>
      </c>
      <c r="I488" s="598">
        <v>6.91</v>
      </c>
      <c r="J488" s="32">
        <v>132</v>
      </c>
      <c r="K488" s="32" t="s">
        <v>142</v>
      </c>
      <c r="L488" s="32"/>
      <c r="M488" s="33" t="s">
        <v>134</v>
      </c>
      <c r="N488" s="33"/>
      <c r="O488" s="32">
        <v>70</v>
      </c>
      <c r="P488" s="8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07"/>
      <c r="R488" s="607"/>
      <c r="S488" s="607"/>
      <c r="T488" s="608"/>
      <c r="U488" s="34"/>
      <c r="V488" s="34"/>
      <c r="W488" s="35" t="s">
        <v>69</v>
      </c>
      <c r="X488" s="599">
        <v>0</v>
      </c>
      <c r="Y488" s="600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59" t="s">
        <v>772</v>
      </c>
      <c r="AG488" s="64"/>
      <c r="AJ488" s="68"/>
      <c r="AK488" s="68">
        <v>0</v>
      </c>
      <c r="BB488" s="560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611"/>
      <c r="B489" s="612"/>
      <c r="C489" s="612"/>
      <c r="D489" s="612"/>
      <c r="E489" s="612"/>
      <c r="F489" s="612"/>
      <c r="G489" s="612"/>
      <c r="H489" s="612"/>
      <c r="I489" s="612"/>
      <c r="J489" s="612"/>
      <c r="K489" s="612"/>
      <c r="L489" s="612"/>
      <c r="M489" s="612"/>
      <c r="N489" s="612"/>
      <c r="O489" s="613"/>
      <c r="P489" s="603" t="s">
        <v>78</v>
      </c>
      <c r="Q489" s="604"/>
      <c r="R489" s="604"/>
      <c r="S489" s="604"/>
      <c r="T489" s="604"/>
      <c r="U489" s="604"/>
      <c r="V489" s="605"/>
      <c r="W489" s="37" t="s">
        <v>79</v>
      </c>
      <c r="X489" s="601">
        <f>IFERROR(X486/H486,"0")+IFERROR(X487/H487,"0")+IFERROR(X488/H488,"0")</f>
        <v>78.97727272727272</v>
      </c>
      <c r="Y489" s="601">
        <f>IFERROR(Y486/H486,"0")+IFERROR(Y487/H487,"0")+IFERROR(Y488/H488,"0")</f>
        <v>79</v>
      </c>
      <c r="Z489" s="601">
        <f>IFERROR(IF(Z486="",0,Z486),"0")+IFERROR(IF(Z487="",0,Z487),"0")+IFERROR(IF(Z488="",0,Z488),"0")</f>
        <v>0.94484000000000001</v>
      </c>
      <c r="AA489" s="602"/>
      <c r="AB489" s="602"/>
      <c r="AC489" s="602"/>
    </row>
    <row r="490" spans="1:68" x14ac:dyDescent="0.2">
      <c r="A490" s="612"/>
      <c r="B490" s="612"/>
      <c r="C490" s="612"/>
      <c r="D490" s="612"/>
      <c r="E490" s="612"/>
      <c r="F490" s="612"/>
      <c r="G490" s="612"/>
      <c r="H490" s="612"/>
      <c r="I490" s="612"/>
      <c r="J490" s="612"/>
      <c r="K490" s="612"/>
      <c r="L490" s="612"/>
      <c r="M490" s="612"/>
      <c r="N490" s="612"/>
      <c r="O490" s="613"/>
      <c r="P490" s="603" t="s">
        <v>78</v>
      </c>
      <c r="Q490" s="604"/>
      <c r="R490" s="604"/>
      <c r="S490" s="604"/>
      <c r="T490" s="604"/>
      <c r="U490" s="604"/>
      <c r="V490" s="605"/>
      <c r="W490" s="37" t="s">
        <v>69</v>
      </c>
      <c r="X490" s="601">
        <f>IFERROR(SUM(X486:X488),"0")</f>
        <v>417</v>
      </c>
      <c r="Y490" s="601">
        <f>IFERROR(SUM(Y486:Y488),"0")</f>
        <v>417.12</v>
      </c>
      <c r="Z490" s="37"/>
      <c r="AA490" s="602"/>
      <c r="AB490" s="602"/>
      <c r="AC490" s="602"/>
    </row>
    <row r="491" spans="1:68" ht="14.25" customHeight="1" x14ac:dyDescent="0.25">
      <c r="A491" s="659" t="s">
        <v>64</v>
      </c>
      <c r="B491" s="612"/>
      <c r="C491" s="612"/>
      <c r="D491" s="612"/>
      <c r="E491" s="612"/>
      <c r="F491" s="612"/>
      <c r="G491" s="612"/>
      <c r="H491" s="612"/>
      <c r="I491" s="612"/>
      <c r="J491" s="612"/>
      <c r="K491" s="612"/>
      <c r="L491" s="612"/>
      <c r="M491" s="612"/>
      <c r="N491" s="612"/>
      <c r="O491" s="612"/>
      <c r="P491" s="612"/>
      <c r="Q491" s="612"/>
      <c r="R491" s="612"/>
      <c r="S491" s="612"/>
      <c r="T491" s="612"/>
      <c r="U491" s="612"/>
      <c r="V491" s="612"/>
      <c r="W491" s="612"/>
      <c r="X491" s="612"/>
      <c r="Y491" s="612"/>
      <c r="Z491" s="612"/>
      <c r="AA491" s="595"/>
      <c r="AB491" s="595"/>
      <c r="AC491" s="595"/>
    </row>
    <row r="492" spans="1:68" ht="27" customHeight="1" x14ac:dyDescent="0.25">
      <c r="A492" s="54" t="s">
        <v>777</v>
      </c>
      <c r="B492" s="54" t="s">
        <v>778</v>
      </c>
      <c r="C492" s="31">
        <v>4301031349</v>
      </c>
      <c r="D492" s="614">
        <v>4680115883116</v>
      </c>
      <c r="E492" s="615"/>
      <c r="F492" s="598">
        <v>0.88</v>
      </c>
      <c r="G492" s="32">
        <v>6</v>
      </c>
      <c r="H492" s="598">
        <v>5.28</v>
      </c>
      <c r="I492" s="598">
        <v>5.63</v>
      </c>
      <c r="J492" s="32">
        <v>104</v>
      </c>
      <c r="K492" s="32" t="s">
        <v>133</v>
      </c>
      <c r="L492" s="32"/>
      <c r="M492" s="33" t="s">
        <v>134</v>
      </c>
      <c r="N492" s="33"/>
      <c r="O492" s="32">
        <v>70</v>
      </c>
      <c r="P492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07"/>
      <c r="R492" s="607"/>
      <c r="S492" s="607"/>
      <c r="T492" s="608"/>
      <c r="U492" s="34"/>
      <c r="V492" s="34"/>
      <c r="W492" s="35" t="s">
        <v>69</v>
      </c>
      <c r="X492" s="599">
        <v>166</v>
      </c>
      <c r="Y492" s="600">
        <f t="shared" ref="Y492:Y498" si="63">IFERROR(IF(X492="",0,CEILING((X492/$H492),1)*$H492),"")</f>
        <v>168.96</v>
      </c>
      <c r="Z492" s="36">
        <f>IFERROR(IF(Y492=0,"",ROUNDUP(Y492/H492,0)*0.01196),"")</f>
        <v>0.38272</v>
      </c>
      <c r="AA492" s="56"/>
      <c r="AB492" s="57"/>
      <c r="AC492" s="561" t="s">
        <v>779</v>
      </c>
      <c r="AG492" s="64"/>
      <c r="AJ492" s="68"/>
      <c r="AK492" s="68">
        <v>0</v>
      </c>
      <c r="BB492" s="562" t="s">
        <v>1</v>
      </c>
      <c r="BM492" s="64">
        <f t="shared" ref="BM492:BM498" si="64">IFERROR(X492*I492/H492,"0")</f>
        <v>177.00378787878785</v>
      </c>
      <c r="BN492" s="64">
        <f t="shared" ref="BN492:BN498" si="65">IFERROR(Y492*I492/H492,"0")</f>
        <v>180.16</v>
      </c>
      <c r="BO492" s="64">
        <f t="shared" ref="BO492:BO498" si="66">IFERROR(1/J492*(X492/H492),"0")</f>
        <v>0.30230186480186483</v>
      </c>
      <c r="BP492" s="64">
        <f t="shared" ref="BP492:BP498" si="67">IFERROR(1/J492*(Y492/H492),"0")</f>
        <v>0.30769230769230771</v>
      </c>
    </row>
    <row r="493" spans="1:68" ht="27" customHeight="1" x14ac:dyDescent="0.25">
      <c r="A493" s="54" t="s">
        <v>780</v>
      </c>
      <c r="B493" s="54" t="s">
        <v>781</v>
      </c>
      <c r="C493" s="31">
        <v>4301031350</v>
      </c>
      <c r="D493" s="614">
        <v>4680115883093</v>
      </c>
      <c r="E493" s="615"/>
      <c r="F493" s="598">
        <v>0.88</v>
      </c>
      <c r="G493" s="32">
        <v>6</v>
      </c>
      <c r="H493" s="598">
        <v>5.28</v>
      </c>
      <c r="I493" s="598">
        <v>5.63</v>
      </c>
      <c r="J493" s="32">
        <v>104</v>
      </c>
      <c r="K493" s="32" t="s">
        <v>133</v>
      </c>
      <c r="L493" s="32"/>
      <c r="M493" s="33" t="s">
        <v>68</v>
      </c>
      <c r="N493" s="33"/>
      <c r="O493" s="32">
        <v>70</v>
      </c>
      <c r="P493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07"/>
      <c r="R493" s="607"/>
      <c r="S493" s="607"/>
      <c r="T493" s="608"/>
      <c r="U493" s="34"/>
      <c r="V493" s="34"/>
      <c r="W493" s="35" t="s">
        <v>69</v>
      </c>
      <c r="X493" s="599">
        <v>230</v>
      </c>
      <c r="Y493" s="600">
        <f t="shared" si="63"/>
        <v>232.32000000000002</v>
      </c>
      <c r="Z493" s="36">
        <f>IFERROR(IF(Y493=0,"",ROUNDUP(Y493/H493,0)*0.01196),"")</f>
        <v>0.52624000000000004</v>
      </c>
      <c r="AA493" s="56"/>
      <c r="AB493" s="57"/>
      <c r="AC493" s="563" t="s">
        <v>782</v>
      </c>
      <c r="AG493" s="64"/>
      <c r="AJ493" s="68"/>
      <c r="AK493" s="68">
        <v>0</v>
      </c>
      <c r="BB493" s="564" t="s">
        <v>1</v>
      </c>
      <c r="BM493" s="64">
        <f t="shared" si="64"/>
        <v>245.2462121212121</v>
      </c>
      <c r="BN493" s="64">
        <f t="shared" si="65"/>
        <v>247.72</v>
      </c>
      <c r="BO493" s="64">
        <f t="shared" si="66"/>
        <v>0.41885198135198132</v>
      </c>
      <c r="BP493" s="64">
        <f t="shared" si="67"/>
        <v>0.42307692307692313</v>
      </c>
    </row>
    <row r="494" spans="1:68" ht="27" customHeight="1" x14ac:dyDescent="0.25">
      <c r="A494" s="54" t="s">
        <v>783</v>
      </c>
      <c r="B494" s="54" t="s">
        <v>784</v>
      </c>
      <c r="C494" s="31">
        <v>4301031353</v>
      </c>
      <c r="D494" s="614">
        <v>4680115883109</v>
      </c>
      <c r="E494" s="615"/>
      <c r="F494" s="598">
        <v>0.88</v>
      </c>
      <c r="G494" s="32">
        <v>6</v>
      </c>
      <c r="H494" s="598">
        <v>5.28</v>
      </c>
      <c r="I494" s="598">
        <v>5.63</v>
      </c>
      <c r="J494" s="32">
        <v>104</v>
      </c>
      <c r="K494" s="32" t="s">
        <v>133</v>
      </c>
      <c r="L494" s="32"/>
      <c r="M494" s="33" t="s">
        <v>68</v>
      </c>
      <c r="N494" s="33"/>
      <c r="O494" s="32">
        <v>70</v>
      </c>
      <c r="P494" s="72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07"/>
      <c r="R494" s="607"/>
      <c r="S494" s="607"/>
      <c r="T494" s="608"/>
      <c r="U494" s="34"/>
      <c r="V494" s="34"/>
      <c r="W494" s="35" t="s">
        <v>69</v>
      </c>
      <c r="X494" s="599">
        <v>2224</v>
      </c>
      <c r="Y494" s="600">
        <f t="shared" si="63"/>
        <v>2228.1600000000003</v>
      </c>
      <c r="Z494" s="36">
        <f>IFERROR(IF(Y494=0,"",ROUNDUP(Y494/H494,0)*0.01196),"")</f>
        <v>5.0471200000000005</v>
      </c>
      <c r="AA494" s="56"/>
      <c r="AB494" s="57"/>
      <c r="AC494" s="565" t="s">
        <v>785</v>
      </c>
      <c r="AG494" s="64"/>
      <c r="AJ494" s="68"/>
      <c r="AK494" s="68">
        <v>0</v>
      </c>
      <c r="BB494" s="566" t="s">
        <v>1</v>
      </c>
      <c r="BM494" s="64">
        <f t="shared" si="64"/>
        <v>2371.424242424242</v>
      </c>
      <c r="BN494" s="64">
        <f t="shared" si="65"/>
        <v>2375.86</v>
      </c>
      <c r="BO494" s="64">
        <f t="shared" si="66"/>
        <v>4.0501165501165497</v>
      </c>
      <c r="BP494" s="64">
        <f t="shared" si="67"/>
        <v>4.0576923076923084</v>
      </c>
    </row>
    <row r="495" spans="1:68" ht="27" customHeight="1" x14ac:dyDescent="0.25">
      <c r="A495" s="54" t="s">
        <v>786</v>
      </c>
      <c r="B495" s="54" t="s">
        <v>787</v>
      </c>
      <c r="C495" s="31">
        <v>4301031419</v>
      </c>
      <c r="D495" s="614">
        <v>4680115882072</v>
      </c>
      <c r="E495" s="615"/>
      <c r="F495" s="598">
        <v>0.6</v>
      </c>
      <c r="G495" s="32">
        <v>8</v>
      </c>
      <c r="H495" s="598">
        <v>4.8</v>
      </c>
      <c r="I495" s="598">
        <v>6.91</v>
      </c>
      <c r="J495" s="32">
        <v>132</v>
      </c>
      <c r="K495" s="32" t="s">
        <v>142</v>
      </c>
      <c r="L495" s="32"/>
      <c r="M495" s="33" t="s">
        <v>134</v>
      </c>
      <c r="N495" s="33"/>
      <c r="O495" s="32">
        <v>70</v>
      </c>
      <c r="P495" s="7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07"/>
      <c r="R495" s="607"/>
      <c r="S495" s="607"/>
      <c r="T495" s="608"/>
      <c r="U495" s="34"/>
      <c r="V495" s="34"/>
      <c r="W495" s="35" t="s">
        <v>69</v>
      </c>
      <c r="X495" s="599">
        <v>0</v>
      </c>
      <c r="Y495" s="600">
        <f t="shared" si="63"/>
        <v>0</v>
      </c>
      <c r="Z495" s="36" t="str">
        <f>IFERROR(IF(Y495=0,"",ROUNDUP(Y495/H495,0)*0.00902),"")</f>
        <v/>
      </c>
      <c r="AA495" s="56"/>
      <c r="AB495" s="57"/>
      <c r="AC495" s="567" t="s">
        <v>779</v>
      </c>
      <c r="AG495" s="64"/>
      <c r="AJ495" s="68"/>
      <c r="AK495" s="68">
        <v>0</v>
      </c>
      <c r="BB495" s="568" t="s">
        <v>1</v>
      </c>
      <c r="BM495" s="64">
        <f t="shared" si="64"/>
        <v>0</v>
      </c>
      <c r="BN495" s="64">
        <f t="shared" si="65"/>
        <v>0</v>
      </c>
      <c r="BO495" s="64">
        <f t="shared" si="66"/>
        <v>0</v>
      </c>
      <c r="BP495" s="64">
        <f t="shared" si="67"/>
        <v>0</v>
      </c>
    </row>
    <row r="496" spans="1:68" ht="27" customHeight="1" x14ac:dyDescent="0.25">
      <c r="A496" s="54" t="s">
        <v>788</v>
      </c>
      <c r="B496" s="54" t="s">
        <v>789</v>
      </c>
      <c r="C496" s="31">
        <v>4301031352</v>
      </c>
      <c r="D496" s="614">
        <v>4680115882102</v>
      </c>
      <c r="E496" s="615"/>
      <c r="F496" s="598">
        <v>0.6</v>
      </c>
      <c r="G496" s="32">
        <v>6</v>
      </c>
      <c r="H496" s="598">
        <v>3.6</v>
      </c>
      <c r="I496" s="598">
        <v>3.79</v>
      </c>
      <c r="J496" s="32">
        <v>132</v>
      </c>
      <c r="K496" s="32" t="s">
        <v>142</v>
      </c>
      <c r="L496" s="32"/>
      <c r="M496" s="33" t="s">
        <v>68</v>
      </c>
      <c r="N496" s="33"/>
      <c r="O496" s="32">
        <v>70</v>
      </c>
      <c r="P496" s="7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07"/>
      <c r="R496" s="607"/>
      <c r="S496" s="607"/>
      <c r="T496" s="608"/>
      <c r="U496" s="34"/>
      <c r="V496" s="34"/>
      <c r="W496" s="35" t="s">
        <v>69</v>
      </c>
      <c r="X496" s="599">
        <v>0</v>
      </c>
      <c r="Y496" s="600">
        <f t="shared" si="63"/>
        <v>0</v>
      </c>
      <c r="Z496" s="36" t="str">
        <f>IFERROR(IF(Y496=0,"",ROUNDUP(Y496/H496,0)*0.00902),"")</f>
        <v/>
      </c>
      <c r="AA496" s="56"/>
      <c r="AB496" s="57"/>
      <c r="AC496" s="569" t="s">
        <v>782</v>
      </c>
      <c r="AG496" s="64"/>
      <c r="AJ496" s="68"/>
      <c r="AK496" s="68">
        <v>0</v>
      </c>
      <c r="BB496" s="570" t="s">
        <v>1</v>
      </c>
      <c r="BM496" s="64">
        <f t="shared" si="64"/>
        <v>0</v>
      </c>
      <c r="BN496" s="64">
        <f t="shared" si="65"/>
        <v>0</v>
      </c>
      <c r="BO496" s="64">
        <f t="shared" si="66"/>
        <v>0</v>
      </c>
      <c r="BP496" s="64">
        <f t="shared" si="67"/>
        <v>0</v>
      </c>
    </row>
    <row r="497" spans="1:68" ht="27" customHeight="1" x14ac:dyDescent="0.25">
      <c r="A497" s="54" t="s">
        <v>788</v>
      </c>
      <c r="B497" s="54" t="s">
        <v>790</v>
      </c>
      <c r="C497" s="31">
        <v>4301031418</v>
      </c>
      <c r="D497" s="614">
        <v>4680115882102</v>
      </c>
      <c r="E497" s="615"/>
      <c r="F497" s="598">
        <v>0.6</v>
      </c>
      <c r="G497" s="32">
        <v>8</v>
      </c>
      <c r="H497" s="598">
        <v>4.8</v>
      </c>
      <c r="I497" s="598">
        <v>6.67</v>
      </c>
      <c r="J497" s="32">
        <v>132</v>
      </c>
      <c r="K497" s="32" t="s">
        <v>142</v>
      </c>
      <c r="L497" s="32"/>
      <c r="M497" s="33" t="s">
        <v>68</v>
      </c>
      <c r="N497" s="33"/>
      <c r="O497" s="32">
        <v>70</v>
      </c>
      <c r="P497" s="9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07"/>
      <c r="R497" s="607"/>
      <c r="S497" s="607"/>
      <c r="T497" s="608"/>
      <c r="U497" s="34"/>
      <c r="V497" s="34"/>
      <c r="W497" s="35" t="s">
        <v>69</v>
      </c>
      <c r="X497" s="599">
        <v>0</v>
      </c>
      <c r="Y497" s="600">
        <f t="shared" si="63"/>
        <v>0</v>
      </c>
      <c r="Z497" s="36" t="str">
        <f>IFERROR(IF(Y497=0,"",ROUNDUP(Y497/H497,0)*0.00902),"")</f>
        <v/>
      </c>
      <c r="AA497" s="56"/>
      <c r="AB497" s="57"/>
      <c r="AC497" s="571" t="s">
        <v>782</v>
      </c>
      <c r="AG497" s="64"/>
      <c r="AJ497" s="68"/>
      <c r="AK497" s="68">
        <v>0</v>
      </c>
      <c r="BB497" s="572" t="s">
        <v>1</v>
      </c>
      <c r="BM497" s="64">
        <f t="shared" si="64"/>
        <v>0</v>
      </c>
      <c r="BN497" s="64">
        <f t="shared" si="65"/>
        <v>0</v>
      </c>
      <c r="BO497" s="64">
        <f t="shared" si="66"/>
        <v>0</v>
      </c>
      <c r="BP497" s="64">
        <f t="shared" si="67"/>
        <v>0</v>
      </c>
    </row>
    <row r="498" spans="1:68" ht="27" customHeight="1" x14ac:dyDescent="0.25">
      <c r="A498" s="54" t="s">
        <v>791</v>
      </c>
      <c r="B498" s="54" t="s">
        <v>792</v>
      </c>
      <c r="C498" s="31">
        <v>4301031417</v>
      </c>
      <c r="D498" s="614">
        <v>4680115882096</v>
      </c>
      <c r="E498" s="615"/>
      <c r="F498" s="598">
        <v>0.6</v>
      </c>
      <c r="G498" s="32">
        <v>8</v>
      </c>
      <c r="H498" s="598">
        <v>4.8</v>
      </c>
      <c r="I498" s="598">
        <v>6.67</v>
      </c>
      <c r="J498" s="32">
        <v>132</v>
      </c>
      <c r="K498" s="32" t="s">
        <v>142</v>
      </c>
      <c r="L498" s="32"/>
      <c r="M498" s="33" t="s">
        <v>68</v>
      </c>
      <c r="N498" s="33"/>
      <c r="O498" s="32">
        <v>70</v>
      </c>
      <c r="P498" s="72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07"/>
      <c r="R498" s="607"/>
      <c r="S498" s="607"/>
      <c r="T498" s="608"/>
      <c r="U498" s="34"/>
      <c r="V498" s="34"/>
      <c r="W498" s="35" t="s">
        <v>69</v>
      </c>
      <c r="X498" s="599">
        <v>0</v>
      </c>
      <c r="Y498" s="600">
        <f t="shared" si="63"/>
        <v>0</v>
      </c>
      <c r="Z498" s="36" t="str">
        <f>IFERROR(IF(Y498=0,"",ROUNDUP(Y498/H498,0)*0.00902),"")</f>
        <v/>
      </c>
      <c r="AA498" s="56"/>
      <c r="AB498" s="57"/>
      <c r="AC498" s="573" t="s">
        <v>785</v>
      </c>
      <c r="AG498" s="64"/>
      <c r="AJ498" s="68"/>
      <c r="AK498" s="68">
        <v>0</v>
      </c>
      <c r="BB498" s="574" t="s">
        <v>1</v>
      </c>
      <c r="BM498" s="64">
        <f t="shared" si="64"/>
        <v>0</v>
      </c>
      <c r="BN498" s="64">
        <f t="shared" si="65"/>
        <v>0</v>
      </c>
      <c r="BO498" s="64">
        <f t="shared" si="66"/>
        <v>0</v>
      </c>
      <c r="BP498" s="64">
        <f t="shared" si="67"/>
        <v>0</v>
      </c>
    </row>
    <row r="499" spans="1:68" x14ac:dyDescent="0.2">
      <c r="A499" s="611"/>
      <c r="B499" s="612"/>
      <c r="C499" s="612"/>
      <c r="D499" s="612"/>
      <c r="E499" s="612"/>
      <c r="F499" s="612"/>
      <c r="G499" s="612"/>
      <c r="H499" s="612"/>
      <c r="I499" s="612"/>
      <c r="J499" s="612"/>
      <c r="K499" s="612"/>
      <c r="L499" s="612"/>
      <c r="M499" s="612"/>
      <c r="N499" s="612"/>
      <c r="O499" s="613"/>
      <c r="P499" s="603" t="s">
        <v>78</v>
      </c>
      <c r="Q499" s="604"/>
      <c r="R499" s="604"/>
      <c r="S499" s="604"/>
      <c r="T499" s="604"/>
      <c r="U499" s="604"/>
      <c r="V499" s="605"/>
      <c r="W499" s="37" t="s">
        <v>79</v>
      </c>
      <c r="X499" s="601">
        <f>IFERROR(X492/H492,"0")+IFERROR(X493/H493,"0")+IFERROR(X494/H494,"0")+IFERROR(X495/H495,"0")+IFERROR(X496/H496,"0")+IFERROR(X497/H497,"0")+IFERROR(X498/H498,"0")</f>
        <v>496.21212121212119</v>
      </c>
      <c r="Y499" s="601">
        <f>IFERROR(Y492/H492,"0")+IFERROR(Y493/H493,"0")+IFERROR(Y494/H494,"0")+IFERROR(Y495/H495,"0")+IFERROR(Y496/H496,"0")+IFERROR(Y497/H497,"0")+IFERROR(Y498/H498,"0")</f>
        <v>498.00000000000006</v>
      </c>
      <c r="Z499" s="601">
        <f>IFERROR(IF(Z492="",0,Z492),"0")+IFERROR(IF(Z493="",0,Z493),"0")+IFERROR(IF(Z494="",0,Z494),"0")+IFERROR(IF(Z495="",0,Z495),"0")+IFERROR(IF(Z496="",0,Z496),"0")+IFERROR(IF(Z497="",0,Z497),"0")+IFERROR(IF(Z498="",0,Z498),"0")</f>
        <v>5.95608</v>
      </c>
      <c r="AA499" s="602"/>
      <c r="AB499" s="602"/>
      <c r="AC499" s="602"/>
    </row>
    <row r="500" spans="1:68" x14ac:dyDescent="0.2">
      <c r="A500" s="612"/>
      <c r="B500" s="612"/>
      <c r="C500" s="612"/>
      <c r="D500" s="612"/>
      <c r="E500" s="612"/>
      <c r="F500" s="612"/>
      <c r="G500" s="612"/>
      <c r="H500" s="612"/>
      <c r="I500" s="612"/>
      <c r="J500" s="612"/>
      <c r="K500" s="612"/>
      <c r="L500" s="612"/>
      <c r="M500" s="612"/>
      <c r="N500" s="612"/>
      <c r="O500" s="613"/>
      <c r="P500" s="603" t="s">
        <v>78</v>
      </c>
      <c r="Q500" s="604"/>
      <c r="R500" s="604"/>
      <c r="S500" s="604"/>
      <c r="T500" s="604"/>
      <c r="U500" s="604"/>
      <c r="V500" s="605"/>
      <c r="W500" s="37" t="s">
        <v>69</v>
      </c>
      <c r="X500" s="601">
        <f>IFERROR(SUM(X492:X498),"0")</f>
        <v>2620</v>
      </c>
      <c r="Y500" s="601">
        <f>IFERROR(SUM(Y492:Y498),"0")</f>
        <v>2629.4400000000005</v>
      </c>
      <c r="Z500" s="37"/>
      <c r="AA500" s="602"/>
      <c r="AB500" s="602"/>
      <c r="AC500" s="602"/>
    </row>
    <row r="501" spans="1:68" ht="27.75" customHeight="1" x14ac:dyDescent="0.2">
      <c r="A501" s="683" t="s">
        <v>793</v>
      </c>
      <c r="B501" s="684"/>
      <c r="C501" s="684"/>
      <c r="D501" s="684"/>
      <c r="E501" s="684"/>
      <c r="F501" s="684"/>
      <c r="G501" s="684"/>
      <c r="H501" s="684"/>
      <c r="I501" s="684"/>
      <c r="J501" s="684"/>
      <c r="K501" s="684"/>
      <c r="L501" s="684"/>
      <c r="M501" s="684"/>
      <c r="N501" s="684"/>
      <c r="O501" s="684"/>
      <c r="P501" s="684"/>
      <c r="Q501" s="684"/>
      <c r="R501" s="684"/>
      <c r="S501" s="684"/>
      <c r="T501" s="684"/>
      <c r="U501" s="684"/>
      <c r="V501" s="684"/>
      <c r="W501" s="684"/>
      <c r="X501" s="684"/>
      <c r="Y501" s="684"/>
      <c r="Z501" s="684"/>
      <c r="AA501" s="48"/>
      <c r="AB501" s="48"/>
      <c r="AC501" s="48"/>
    </row>
    <row r="502" spans="1:68" ht="16.5" customHeight="1" x14ac:dyDescent="0.25">
      <c r="A502" s="622" t="s">
        <v>793</v>
      </c>
      <c r="B502" s="612"/>
      <c r="C502" s="612"/>
      <c r="D502" s="612"/>
      <c r="E502" s="612"/>
      <c r="F502" s="612"/>
      <c r="G502" s="612"/>
      <c r="H502" s="612"/>
      <c r="I502" s="612"/>
      <c r="J502" s="612"/>
      <c r="K502" s="612"/>
      <c r="L502" s="612"/>
      <c r="M502" s="612"/>
      <c r="N502" s="612"/>
      <c r="O502" s="612"/>
      <c r="P502" s="612"/>
      <c r="Q502" s="612"/>
      <c r="R502" s="612"/>
      <c r="S502" s="612"/>
      <c r="T502" s="612"/>
      <c r="U502" s="612"/>
      <c r="V502" s="612"/>
      <c r="W502" s="612"/>
      <c r="X502" s="612"/>
      <c r="Y502" s="612"/>
      <c r="Z502" s="612"/>
      <c r="AA502" s="594"/>
      <c r="AB502" s="594"/>
      <c r="AC502" s="594"/>
    </row>
    <row r="503" spans="1:68" ht="14.25" customHeight="1" x14ac:dyDescent="0.25">
      <c r="A503" s="659" t="s">
        <v>130</v>
      </c>
      <c r="B503" s="612"/>
      <c r="C503" s="612"/>
      <c r="D503" s="612"/>
      <c r="E503" s="612"/>
      <c r="F503" s="612"/>
      <c r="G503" s="612"/>
      <c r="H503" s="612"/>
      <c r="I503" s="612"/>
      <c r="J503" s="612"/>
      <c r="K503" s="612"/>
      <c r="L503" s="612"/>
      <c r="M503" s="612"/>
      <c r="N503" s="612"/>
      <c r="O503" s="612"/>
      <c r="P503" s="612"/>
      <c r="Q503" s="612"/>
      <c r="R503" s="612"/>
      <c r="S503" s="612"/>
      <c r="T503" s="612"/>
      <c r="U503" s="612"/>
      <c r="V503" s="612"/>
      <c r="W503" s="612"/>
      <c r="X503" s="612"/>
      <c r="Y503" s="612"/>
      <c r="Z503" s="612"/>
      <c r="AA503" s="595"/>
      <c r="AB503" s="595"/>
      <c r="AC503" s="595"/>
    </row>
    <row r="504" spans="1:68" ht="27" customHeight="1" x14ac:dyDescent="0.25">
      <c r="A504" s="54" t="s">
        <v>794</v>
      </c>
      <c r="B504" s="54" t="s">
        <v>795</v>
      </c>
      <c r="C504" s="31">
        <v>4301011584</v>
      </c>
      <c r="D504" s="614">
        <v>4640242180564</v>
      </c>
      <c r="E504" s="615"/>
      <c r="F504" s="598">
        <v>1.5</v>
      </c>
      <c r="G504" s="32">
        <v>8</v>
      </c>
      <c r="H504" s="598">
        <v>12</v>
      </c>
      <c r="I504" s="598">
        <v>12.41</v>
      </c>
      <c r="J504" s="32">
        <v>64</v>
      </c>
      <c r="K504" s="32" t="s">
        <v>133</v>
      </c>
      <c r="L504" s="32"/>
      <c r="M504" s="33" t="s">
        <v>134</v>
      </c>
      <c r="N504" s="33"/>
      <c r="O504" s="32">
        <v>50</v>
      </c>
      <c r="P504" s="8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07"/>
      <c r="R504" s="607"/>
      <c r="S504" s="607"/>
      <c r="T504" s="608"/>
      <c r="U504" s="34"/>
      <c r="V504" s="34"/>
      <c r="W504" s="35" t="s">
        <v>69</v>
      </c>
      <c r="X504" s="599">
        <v>0</v>
      </c>
      <c r="Y504" s="600">
        <f>IFERROR(IF(X504="",0,CEILING((X504/$H504),1)*$H504),"")</f>
        <v>0</v>
      </c>
      <c r="Z504" s="36" t="str">
        <f>IFERROR(IF(Y504=0,"",ROUNDUP(Y504/H504,0)*0.01898),"")</f>
        <v/>
      </c>
      <c r="AA504" s="56"/>
      <c r="AB504" s="57"/>
      <c r="AC504" s="575" t="s">
        <v>796</v>
      </c>
      <c r="AG504" s="64"/>
      <c r="AJ504" s="68"/>
      <c r="AK504" s="68">
        <v>0</v>
      </c>
      <c r="BB504" s="57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11"/>
      <c r="B505" s="612"/>
      <c r="C505" s="612"/>
      <c r="D505" s="612"/>
      <c r="E505" s="612"/>
      <c r="F505" s="612"/>
      <c r="G505" s="612"/>
      <c r="H505" s="612"/>
      <c r="I505" s="612"/>
      <c r="J505" s="612"/>
      <c r="K505" s="612"/>
      <c r="L505" s="612"/>
      <c r="M505" s="612"/>
      <c r="N505" s="612"/>
      <c r="O505" s="613"/>
      <c r="P505" s="603" t="s">
        <v>78</v>
      </c>
      <c r="Q505" s="604"/>
      <c r="R505" s="604"/>
      <c r="S505" s="604"/>
      <c r="T505" s="604"/>
      <c r="U505" s="604"/>
      <c r="V505" s="605"/>
      <c r="W505" s="37" t="s">
        <v>79</v>
      </c>
      <c r="X505" s="601">
        <f>IFERROR(X504/H504,"0")</f>
        <v>0</v>
      </c>
      <c r="Y505" s="601">
        <f>IFERROR(Y504/H504,"0")</f>
        <v>0</v>
      </c>
      <c r="Z505" s="601">
        <f>IFERROR(IF(Z504="",0,Z504),"0")</f>
        <v>0</v>
      </c>
      <c r="AA505" s="602"/>
      <c r="AB505" s="602"/>
      <c r="AC505" s="602"/>
    </row>
    <row r="506" spans="1:68" x14ac:dyDescent="0.2">
      <c r="A506" s="612"/>
      <c r="B506" s="612"/>
      <c r="C506" s="612"/>
      <c r="D506" s="612"/>
      <c r="E506" s="612"/>
      <c r="F506" s="612"/>
      <c r="G506" s="612"/>
      <c r="H506" s="612"/>
      <c r="I506" s="612"/>
      <c r="J506" s="612"/>
      <c r="K506" s="612"/>
      <c r="L506" s="612"/>
      <c r="M506" s="612"/>
      <c r="N506" s="612"/>
      <c r="O506" s="613"/>
      <c r="P506" s="603" t="s">
        <v>78</v>
      </c>
      <c r="Q506" s="604"/>
      <c r="R506" s="604"/>
      <c r="S506" s="604"/>
      <c r="T506" s="604"/>
      <c r="U506" s="604"/>
      <c r="V506" s="605"/>
      <c r="W506" s="37" t="s">
        <v>69</v>
      </c>
      <c r="X506" s="601">
        <f>IFERROR(SUM(X504:X504),"0")</f>
        <v>0</v>
      </c>
      <c r="Y506" s="601">
        <f>IFERROR(SUM(Y504:Y504),"0")</f>
        <v>0</v>
      </c>
      <c r="Z506" s="37"/>
      <c r="AA506" s="602"/>
      <c r="AB506" s="602"/>
      <c r="AC506" s="602"/>
    </row>
    <row r="507" spans="1:68" ht="14.25" customHeight="1" x14ac:dyDescent="0.25">
      <c r="A507" s="659" t="s">
        <v>165</v>
      </c>
      <c r="B507" s="612"/>
      <c r="C507" s="612"/>
      <c r="D507" s="612"/>
      <c r="E507" s="612"/>
      <c r="F507" s="612"/>
      <c r="G507" s="612"/>
      <c r="H507" s="612"/>
      <c r="I507" s="612"/>
      <c r="J507" s="612"/>
      <c r="K507" s="612"/>
      <c r="L507" s="612"/>
      <c r="M507" s="612"/>
      <c r="N507" s="612"/>
      <c r="O507" s="612"/>
      <c r="P507" s="612"/>
      <c r="Q507" s="612"/>
      <c r="R507" s="612"/>
      <c r="S507" s="612"/>
      <c r="T507" s="612"/>
      <c r="U507" s="612"/>
      <c r="V507" s="612"/>
      <c r="W507" s="612"/>
      <c r="X507" s="612"/>
      <c r="Y507" s="612"/>
      <c r="Z507" s="612"/>
      <c r="AA507" s="595"/>
      <c r="AB507" s="595"/>
      <c r="AC507" s="595"/>
    </row>
    <row r="508" spans="1:68" ht="27" customHeight="1" x14ac:dyDescent="0.25">
      <c r="A508" s="54" t="s">
        <v>797</v>
      </c>
      <c r="B508" s="54" t="s">
        <v>798</v>
      </c>
      <c r="C508" s="31">
        <v>4301020400</v>
      </c>
      <c r="D508" s="614">
        <v>4640242180519</v>
      </c>
      <c r="E508" s="615"/>
      <c r="F508" s="598">
        <v>1.5</v>
      </c>
      <c r="G508" s="32">
        <v>8</v>
      </c>
      <c r="H508" s="598">
        <v>12</v>
      </c>
      <c r="I508" s="598">
        <v>12.41</v>
      </c>
      <c r="J508" s="32">
        <v>64</v>
      </c>
      <c r="K508" s="32" t="s">
        <v>133</v>
      </c>
      <c r="L508" s="32"/>
      <c r="M508" s="33" t="s">
        <v>134</v>
      </c>
      <c r="N508" s="33"/>
      <c r="O508" s="32">
        <v>50</v>
      </c>
      <c r="P508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07"/>
      <c r="R508" s="607"/>
      <c r="S508" s="607"/>
      <c r="T508" s="608"/>
      <c r="U508" s="34"/>
      <c r="V508" s="34"/>
      <c r="W508" s="35" t="s">
        <v>69</v>
      </c>
      <c r="X508" s="599">
        <v>0</v>
      </c>
      <c r="Y508" s="600">
        <f>IFERROR(IF(X508="",0,CEILING((X508/$H508),1)*$H508),"")</f>
        <v>0</v>
      </c>
      <c r="Z508" s="36" t="str">
        <f>IFERROR(IF(Y508=0,"",ROUNDUP(Y508/H508,0)*0.01898),"")</f>
        <v/>
      </c>
      <c r="AA508" s="56"/>
      <c r="AB508" s="57"/>
      <c r="AC508" s="577" t="s">
        <v>799</v>
      </c>
      <c r="AG508" s="64"/>
      <c r="AJ508" s="68"/>
      <c r="AK508" s="68">
        <v>0</v>
      </c>
      <c r="BB508" s="57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11"/>
      <c r="B509" s="612"/>
      <c r="C509" s="612"/>
      <c r="D509" s="612"/>
      <c r="E509" s="612"/>
      <c r="F509" s="612"/>
      <c r="G509" s="612"/>
      <c r="H509" s="612"/>
      <c r="I509" s="612"/>
      <c r="J509" s="612"/>
      <c r="K509" s="612"/>
      <c r="L509" s="612"/>
      <c r="M509" s="612"/>
      <c r="N509" s="612"/>
      <c r="O509" s="613"/>
      <c r="P509" s="603" t="s">
        <v>78</v>
      </c>
      <c r="Q509" s="604"/>
      <c r="R509" s="604"/>
      <c r="S509" s="604"/>
      <c r="T509" s="604"/>
      <c r="U509" s="604"/>
      <c r="V509" s="605"/>
      <c r="W509" s="37" t="s">
        <v>79</v>
      </c>
      <c r="X509" s="601">
        <f>IFERROR(X508/H508,"0")</f>
        <v>0</v>
      </c>
      <c r="Y509" s="601">
        <f>IFERROR(Y508/H508,"0")</f>
        <v>0</v>
      </c>
      <c r="Z509" s="601">
        <f>IFERROR(IF(Z508="",0,Z508),"0")</f>
        <v>0</v>
      </c>
      <c r="AA509" s="602"/>
      <c r="AB509" s="602"/>
      <c r="AC509" s="602"/>
    </row>
    <row r="510" spans="1:68" x14ac:dyDescent="0.2">
      <c r="A510" s="612"/>
      <c r="B510" s="612"/>
      <c r="C510" s="612"/>
      <c r="D510" s="612"/>
      <c r="E510" s="612"/>
      <c r="F510" s="612"/>
      <c r="G510" s="612"/>
      <c r="H510" s="612"/>
      <c r="I510" s="612"/>
      <c r="J510" s="612"/>
      <c r="K510" s="612"/>
      <c r="L510" s="612"/>
      <c r="M510" s="612"/>
      <c r="N510" s="612"/>
      <c r="O510" s="613"/>
      <c r="P510" s="603" t="s">
        <v>78</v>
      </c>
      <c r="Q510" s="604"/>
      <c r="R510" s="604"/>
      <c r="S510" s="604"/>
      <c r="T510" s="604"/>
      <c r="U510" s="604"/>
      <c r="V510" s="605"/>
      <c r="W510" s="37" t="s">
        <v>69</v>
      </c>
      <c r="X510" s="601">
        <f>IFERROR(SUM(X508:X508),"0")</f>
        <v>0</v>
      </c>
      <c r="Y510" s="601">
        <f>IFERROR(SUM(Y508:Y508),"0")</f>
        <v>0</v>
      </c>
      <c r="Z510" s="37"/>
      <c r="AA510" s="602"/>
      <c r="AB510" s="602"/>
      <c r="AC510" s="602"/>
    </row>
    <row r="511" spans="1:68" ht="14.25" customHeight="1" x14ac:dyDescent="0.25">
      <c r="A511" s="659" t="s">
        <v>64</v>
      </c>
      <c r="B511" s="612"/>
      <c r="C511" s="612"/>
      <c r="D511" s="612"/>
      <c r="E511" s="612"/>
      <c r="F511" s="612"/>
      <c r="G511" s="612"/>
      <c r="H511" s="612"/>
      <c r="I511" s="612"/>
      <c r="J511" s="612"/>
      <c r="K511" s="612"/>
      <c r="L511" s="612"/>
      <c r="M511" s="612"/>
      <c r="N511" s="612"/>
      <c r="O511" s="612"/>
      <c r="P511" s="612"/>
      <c r="Q511" s="612"/>
      <c r="R511" s="612"/>
      <c r="S511" s="612"/>
      <c r="T511" s="612"/>
      <c r="U511" s="612"/>
      <c r="V511" s="612"/>
      <c r="W511" s="612"/>
      <c r="X511" s="612"/>
      <c r="Y511" s="612"/>
      <c r="Z511" s="612"/>
      <c r="AA511" s="595"/>
      <c r="AB511" s="595"/>
      <c r="AC511" s="595"/>
    </row>
    <row r="512" spans="1:68" ht="27" customHeight="1" x14ac:dyDescent="0.25">
      <c r="A512" s="54" t="s">
        <v>800</v>
      </c>
      <c r="B512" s="54" t="s">
        <v>801</v>
      </c>
      <c r="C512" s="31">
        <v>4301031467</v>
      </c>
      <c r="D512" s="614">
        <v>4640242180595</v>
      </c>
      <c r="E512" s="615"/>
      <c r="F512" s="598">
        <v>0.8</v>
      </c>
      <c r="G512" s="32">
        <v>6</v>
      </c>
      <c r="H512" s="598">
        <v>4.8</v>
      </c>
      <c r="I512" s="598">
        <v>5.05</v>
      </c>
      <c r="J512" s="32">
        <v>132</v>
      </c>
      <c r="K512" s="32" t="s">
        <v>142</v>
      </c>
      <c r="L512" s="32"/>
      <c r="M512" s="33" t="s">
        <v>68</v>
      </c>
      <c r="N512" s="33"/>
      <c r="O512" s="32">
        <v>40</v>
      </c>
      <c r="P512" s="83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7"/>
      <c r="R512" s="607"/>
      <c r="S512" s="607"/>
      <c r="T512" s="608"/>
      <c r="U512" s="34"/>
      <c r="V512" s="34"/>
      <c r="W512" s="35" t="s">
        <v>69</v>
      </c>
      <c r="X512" s="599">
        <v>0</v>
      </c>
      <c r="Y512" s="600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802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4301031500</v>
      </c>
      <c r="D513" s="614">
        <v>4640242180595</v>
      </c>
      <c r="E513" s="615"/>
      <c r="F513" s="598">
        <v>0.7</v>
      </c>
      <c r="G513" s="32">
        <v>6</v>
      </c>
      <c r="H513" s="598">
        <v>4.2</v>
      </c>
      <c r="I513" s="598">
        <v>4.45</v>
      </c>
      <c r="J513" s="32">
        <v>132</v>
      </c>
      <c r="K513" s="32" t="s">
        <v>142</v>
      </c>
      <c r="L513" s="32"/>
      <c r="M513" s="33" t="s">
        <v>68</v>
      </c>
      <c r="N513" s="33"/>
      <c r="O513" s="32">
        <v>40</v>
      </c>
      <c r="P513" s="7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07"/>
      <c r="R513" s="607"/>
      <c r="S513" s="607"/>
      <c r="T513" s="608"/>
      <c r="U513" s="34"/>
      <c r="V513" s="34"/>
      <c r="W513" s="35" t="s">
        <v>69</v>
      </c>
      <c r="X513" s="599">
        <v>0</v>
      </c>
      <c r="Y513" s="600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81" t="s">
        <v>804</v>
      </c>
      <c r="AG513" s="64"/>
      <c r="AJ513" s="68"/>
      <c r="AK513" s="68">
        <v>0</v>
      </c>
      <c r="BB513" s="582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11"/>
      <c r="B514" s="612"/>
      <c r="C514" s="612"/>
      <c r="D514" s="612"/>
      <c r="E514" s="612"/>
      <c r="F514" s="612"/>
      <c r="G514" s="612"/>
      <c r="H514" s="612"/>
      <c r="I514" s="612"/>
      <c r="J514" s="612"/>
      <c r="K514" s="612"/>
      <c r="L514" s="612"/>
      <c r="M514" s="612"/>
      <c r="N514" s="612"/>
      <c r="O514" s="613"/>
      <c r="P514" s="603" t="s">
        <v>78</v>
      </c>
      <c r="Q514" s="604"/>
      <c r="R514" s="604"/>
      <c r="S514" s="604"/>
      <c r="T514" s="604"/>
      <c r="U514" s="604"/>
      <c r="V514" s="605"/>
      <c r="W514" s="37" t="s">
        <v>79</v>
      </c>
      <c r="X514" s="601">
        <f>IFERROR(X512/H512,"0")+IFERROR(X513/H513,"0")</f>
        <v>0</v>
      </c>
      <c r="Y514" s="601">
        <f>IFERROR(Y512/H512,"0")+IFERROR(Y513/H513,"0")</f>
        <v>0</v>
      </c>
      <c r="Z514" s="601">
        <f>IFERROR(IF(Z512="",0,Z512),"0")+IFERROR(IF(Z513="",0,Z513),"0")</f>
        <v>0</v>
      </c>
      <c r="AA514" s="602"/>
      <c r="AB514" s="602"/>
      <c r="AC514" s="602"/>
    </row>
    <row r="515" spans="1:68" x14ac:dyDescent="0.2">
      <c r="A515" s="612"/>
      <c r="B515" s="612"/>
      <c r="C515" s="612"/>
      <c r="D515" s="612"/>
      <c r="E515" s="612"/>
      <c r="F515" s="612"/>
      <c r="G515" s="612"/>
      <c r="H515" s="612"/>
      <c r="I515" s="612"/>
      <c r="J515" s="612"/>
      <c r="K515" s="612"/>
      <c r="L515" s="612"/>
      <c r="M515" s="612"/>
      <c r="N515" s="612"/>
      <c r="O515" s="613"/>
      <c r="P515" s="603" t="s">
        <v>78</v>
      </c>
      <c r="Q515" s="604"/>
      <c r="R515" s="604"/>
      <c r="S515" s="604"/>
      <c r="T515" s="604"/>
      <c r="U515" s="604"/>
      <c r="V515" s="605"/>
      <c r="W515" s="37" t="s">
        <v>69</v>
      </c>
      <c r="X515" s="601">
        <f>IFERROR(SUM(X512:X513),"0")</f>
        <v>0</v>
      </c>
      <c r="Y515" s="601">
        <f>IFERROR(SUM(Y512:Y513),"0")</f>
        <v>0</v>
      </c>
      <c r="Z515" s="37"/>
      <c r="AA515" s="602"/>
      <c r="AB515" s="602"/>
      <c r="AC515" s="602"/>
    </row>
    <row r="516" spans="1:68" ht="14.25" customHeight="1" x14ac:dyDescent="0.25">
      <c r="A516" s="659" t="s">
        <v>80</v>
      </c>
      <c r="B516" s="612"/>
      <c r="C516" s="612"/>
      <c r="D516" s="612"/>
      <c r="E516" s="612"/>
      <c r="F516" s="612"/>
      <c r="G516" s="612"/>
      <c r="H516" s="612"/>
      <c r="I516" s="612"/>
      <c r="J516" s="612"/>
      <c r="K516" s="612"/>
      <c r="L516" s="612"/>
      <c r="M516" s="612"/>
      <c r="N516" s="612"/>
      <c r="O516" s="612"/>
      <c r="P516" s="612"/>
      <c r="Q516" s="612"/>
      <c r="R516" s="612"/>
      <c r="S516" s="612"/>
      <c r="T516" s="612"/>
      <c r="U516" s="612"/>
      <c r="V516" s="612"/>
      <c r="W516" s="612"/>
      <c r="X516" s="612"/>
      <c r="Y516" s="612"/>
      <c r="Z516" s="612"/>
      <c r="AA516" s="595"/>
      <c r="AB516" s="595"/>
      <c r="AC516" s="595"/>
    </row>
    <row r="517" spans="1:68" ht="27" customHeight="1" x14ac:dyDescent="0.25">
      <c r="A517" s="54" t="s">
        <v>805</v>
      </c>
      <c r="B517" s="54" t="s">
        <v>806</v>
      </c>
      <c r="C517" s="31">
        <v>4301052046</v>
      </c>
      <c r="D517" s="614">
        <v>4640242180533</v>
      </c>
      <c r="E517" s="615"/>
      <c r="F517" s="598">
        <v>1.5</v>
      </c>
      <c r="G517" s="32">
        <v>6</v>
      </c>
      <c r="H517" s="598">
        <v>9</v>
      </c>
      <c r="I517" s="598">
        <v>9.4939999999999998</v>
      </c>
      <c r="J517" s="32">
        <v>64</v>
      </c>
      <c r="K517" s="32" t="s">
        <v>133</v>
      </c>
      <c r="L517" s="32"/>
      <c r="M517" s="33" t="s">
        <v>89</v>
      </c>
      <c r="N517" s="33"/>
      <c r="O517" s="32">
        <v>45</v>
      </c>
      <c r="P517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07"/>
      <c r="R517" s="607"/>
      <c r="S517" s="607"/>
      <c r="T517" s="608"/>
      <c r="U517" s="34"/>
      <c r="V517" s="34"/>
      <c r="W517" s="35" t="s">
        <v>69</v>
      </c>
      <c r="X517" s="599">
        <v>0</v>
      </c>
      <c r="Y517" s="600">
        <f>IFERROR(IF(X517="",0,CEILING((X517/$H517),1)*$H517),"")</f>
        <v>0</v>
      </c>
      <c r="Z517" s="36" t="str">
        <f>IFERROR(IF(Y517=0,"",ROUNDUP(Y517/H517,0)*0.01898),"")</f>
        <v/>
      </c>
      <c r="AA517" s="56"/>
      <c r="AB517" s="57"/>
      <c r="AC517" s="583" t="s">
        <v>807</v>
      </c>
      <c r="AG517" s="64"/>
      <c r="AJ517" s="68"/>
      <c r="AK517" s="68">
        <v>0</v>
      </c>
      <c r="BB517" s="58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11"/>
      <c r="B518" s="612"/>
      <c r="C518" s="612"/>
      <c r="D518" s="612"/>
      <c r="E518" s="612"/>
      <c r="F518" s="612"/>
      <c r="G518" s="612"/>
      <c r="H518" s="612"/>
      <c r="I518" s="612"/>
      <c r="J518" s="612"/>
      <c r="K518" s="612"/>
      <c r="L518" s="612"/>
      <c r="M518" s="612"/>
      <c r="N518" s="612"/>
      <c r="O518" s="613"/>
      <c r="P518" s="603" t="s">
        <v>78</v>
      </c>
      <c r="Q518" s="604"/>
      <c r="R518" s="604"/>
      <c r="S518" s="604"/>
      <c r="T518" s="604"/>
      <c r="U518" s="604"/>
      <c r="V518" s="605"/>
      <c r="W518" s="37" t="s">
        <v>79</v>
      </c>
      <c r="X518" s="601">
        <f>IFERROR(X517/H517,"0")</f>
        <v>0</v>
      </c>
      <c r="Y518" s="601">
        <f>IFERROR(Y517/H517,"0")</f>
        <v>0</v>
      </c>
      <c r="Z518" s="601">
        <f>IFERROR(IF(Z517="",0,Z517),"0")</f>
        <v>0</v>
      </c>
      <c r="AA518" s="602"/>
      <c r="AB518" s="602"/>
      <c r="AC518" s="602"/>
    </row>
    <row r="519" spans="1:68" x14ac:dyDescent="0.2">
      <c r="A519" s="612"/>
      <c r="B519" s="612"/>
      <c r="C519" s="612"/>
      <c r="D519" s="612"/>
      <c r="E519" s="612"/>
      <c r="F519" s="612"/>
      <c r="G519" s="612"/>
      <c r="H519" s="612"/>
      <c r="I519" s="612"/>
      <c r="J519" s="612"/>
      <c r="K519" s="612"/>
      <c r="L519" s="612"/>
      <c r="M519" s="612"/>
      <c r="N519" s="612"/>
      <c r="O519" s="613"/>
      <c r="P519" s="603" t="s">
        <v>78</v>
      </c>
      <c r="Q519" s="604"/>
      <c r="R519" s="604"/>
      <c r="S519" s="604"/>
      <c r="T519" s="604"/>
      <c r="U519" s="604"/>
      <c r="V519" s="605"/>
      <c r="W519" s="37" t="s">
        <v>69</v>
      </c>
      <c r="X519" s="601">
        <f>IFERROR(SUM(X517:X517),"0")</f>
        <v>0</v>
      </c>
      <c r="Y519" s="601">
        <f>IFERROR(SUM(Y517:Y517),"0")</f>
        <v>0</v>
      </c>
      <c r="Z519" s="37"/>
      <c r="AA519" s="602"/>
      <c r="AB519" s="602"/>
      <c r="AC519" s="602"/>
    </row>
    <row r="520" spans="1:68" ht="14.25" customHeight="1" x14ac:dyDescent="0.25">
      <c r="A520" s="659" t="s">
        <v>182</v>
      </c>
      <c r="B520" s="612"/>
      <c r="C520" s="612"/>
      <c r="D520" s="612"/>
      <c r="E520" s="612"/>
      <c r="F520" s="612"/>
      <c r="G520" s="612"/>
      <c r="H520" s="612"/>
      <c r="I520" s="612"/>
      <c r="J520" s="612"/>
      <c r="K520" s="612"/>
      <c r="L520" s="612"/>
      <c r="M520" s="612"/>
      <c r="N520" s="612"/>
      <c r="O520" s="612"/>
      <c r="P520" s="612"/>
      <c r="Q520" s="612"/>
      <c r="R520" s="612"/>
      <c r="S520" s="612"/>
      <c r="T520" s="612"/>
      <c r="U520" s="612"/>
      <c r="V520" s="612"/>
      <c r="W520" s="612"/>
      <c r="X520" s="612"/>
      <c r="Y520" s="612"/>
      <c r="Z520" s="612"/>
      <c r="AA520" s="595"/>
      <c r="AB520" s="595"/>
      <c r="AC520" s="595"/>
    </row>
    <row r="521" spans="1:68" ht="27" customHeight="1" x14ac:dyDescent="0.25">
      <c r="A521" s="54" t="s">
        <v>808</v>
      </c>
      <c r="B521" s="54" t="s">
        <v>809</v>
      </c>
      <c r="C521" s="31">
        <v>4301060491</v>
      </c>
      <c r="D521" s="614">
        <v>4640242180120</v>
      </c>
      <c r="E521" s="615"/>
      <c r="F521" s="598">
        <v>1.5</v>
      </c>
      <c r="G521" s="32">
        <v>6</v>
      </c>
      <c r="H521" s="598">
        <v>9</v>
      </c>
      <c r="I521" s="598">
        <v>9.41</v>
      </c>
      <c r="J521" s="32">
        <v>64</v>
      </c>
      <c r="K521" s="32" t="s">
        <v>133</v>
      </c>
      <c r="L521" s="32"/>
      <c r="M521" s="33" t="s">
        <v>83</v>
      </c>
      <c r="N521" s="33"/>
      <c r="O521" s="32">
        <v>40</v>
      </c>
      <c r="P521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07"/>
      <c r="R521" s="607"/>
      <c r="S521" s="607"/>
      <c r="T521" s="608"/>
      <c r="U521" s="34"/>
      <c r="V521" s="34"/>
      <c r="W521" s="35" t="s">
        <v>69</v>
      </c>
      <c r="X521" s="599">
        <v>0</v>
      </c>
      <c r="Y521" s="600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811</v>
      </c>
      <c r="B522" s="54" t="s">
        <v>812</v>
      </c>
      <c r="C522" s="31">
        <v>4301060536</v>
      </c>
      <c r="D522" s="614">
        <v>4640242180137</v>
      </c>
      <c r="E522" s="615"/>
      <c r="F522" s="598">
        <v>1.5</v>
      </c>
      <c r="G522" s="32">
        <v>6</v>
      </c>
      <c r="H522" s="598">
        <v>9</v>
      </c>
      <c r="I522" s="598">
        <v>9.41</v>
      </c>
      <c r="J522" s="32">
        <v>64</v>
      </c>
      <c r="K522" s="32" t="s">
        <v>133</v>
      </c>
      <c r="L522" s="32"/>
      <c r="M522" s="33" t="s">
        <v>83</v>
      </c>
      <c r="N522" s="33"/>
      <c r="O522" s="32">
        <v>40</v>
      </c>
      <c r="P522" s="6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07"/>
      <c r="R522" s="607"/>
      <c r="S522" s="607"/>
      <c r="T522" s="608"/>
      <c r="U522" s="34"/>
      <c r="V522" s="34"/>
      <c r="W522" s="35" t="s">
        <v>69</v>
      </c>
      <c r="X522" s="599">
        <v>0</v>
      </c>
      <c r="Y522" s="600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11"/>
      <c r="B523" s="612"/>
      <c r="C523" s="612"/>
      <c r="D523" s="612"/>
      <c r="E523" s="612"/>
      <c r="F523" s="612"/>
      <c r="G523" s="612"/>
      <c r="H523" s="612"/>
      <c r="I523" s="612"/>
      <c r="J523" s="612"/>
      <c r="K523" s="612"/>
      <c r="L523" s="612"/>
      <c r="M523" s="612"/>
      <c r="N523" s="612"/>
      <c r="O523" s="613"/>
      <c r="P523" s="603" t="s">
        <v>78</v>
      </c>
      <c r="Q523" s="604"/>
      <c r="R523" s="604"/>
      <c r="S523" s="604"/>
      <c r="T523" s="604"/>
      <c r="U523" s="604"/>
      <c r="V523" s="605"/>
      <c r="W523" s="37" t="s">
        <v>79</v>
      </c>
      <c r="X523" s="601">
        <f>IFERROR(X521/H521,"0")+IFERROR(X522/H522,"0")</f>
        <v>0</v>
      </c>
      <c r="Y523" s="601">
        <f>IFERROR(Y521/H521,"0")+IFERROR(Y522/H522,"0")</f>
        <v>0</v>
      </c>
      <c r="Z523" s="601">
        <f>IFERROR(IF(Z521="",0,Z521),"0")+IFERROR(IF(Z522="",0,Z522),"0")</f>
        <v>0</v>
      </c>
      <c r="AA523" s="602"/>
      <c r="AB523" s="602"/>
      <c r="AC523" s="602"/>
    </row>
    <row r="524" spans="1:68" x14ac:dyDescent="0.2">
      <c r="A524" s="612"/>
      <c r="B524" s="612"/>
      <c r="C524" s="612"/>
      <c r="D524" s="612"/>
      <c r="E524" s="612"/>
      <c r="F524" s="612"/>
      <c r="G524" s="612"/>
      <c r="H524" s="612"/>
      <c r="I524" s="612"/>
      <c r="J524" s="612"/>
      <c r="K524" s="612"/>
      <c r="L524" s="612"/>
      <c r="M524" s="612"/>
      <c r="N524" s="612"/>
      <c r="O524" s="613"/>
      <c r="P524" s="603" t="s">
        <v>78</v>
      </c>
      <c r="Q524" s="604"/>
      <c r="R524" s="604"/>
      <c r="S524" s="604"/>
      <c r="T524" s="604"/>
      <c r="U524" s="604"/>
      <c r="V524" s="605"/>
      <c r="W524" s="37" t="s">
        <v>69</v>
      </c>
      <c r="X524" s="601">
        <f>IFERROR(SUM(X521:X522),"0")</f>
        <v>0</v>
      </c>
      <c r="Y524" s="601">
        <f>IFERROR(SUM(Y521:Y522),"0")</f>
        <v>0</v>
      </c>
      <c r="Z524" s="37"/>
      <c r="AA524" s="602"/>
      <c r="AB524" s="602"/>
      <c r="AC524" s="602"/>
    </row>
    <row r="525" spans="1:68" ht="16.5" customHeight="1" x14ac:dyDescent="0.25">
      <c r="A525" s="622" t="s">
        <v>814</v>
      </c>
      <c r="B525" s="612"/>
      <c r="C525" s="612"/>
      <c r="D525" s="612"/>
      <c r="E525" s="612"/>
      <c r="F525" s="612"/>
      <c r="G525" s="612"/>
      <c r="H525" s="612"/>
      <c r="I525" s="612"/>
      <c r="J525" s="612"/>
      <c r="K525" s="612"/>
      <c r="L525" s="612"/>
      <c r="M525" s="612"/>
      <c r="N525" s="612"/>
      <c r="O525" s="612"/>
      <c r="P525" s="612"/>
      <c r="Q525" s="612"/>
      <c r="R525" s="612"/>
      <c r="S525" s="612"/>
      <c r="T525" s="612"/>
      <c r="U525" s="612"/>
      <c r="V525" s="612"/>
      <c r="W525" s="612"/>
      <c r="X525" s="612"/>
      <c r="Y525" s="612"/>
      <c r="Z525" s="612"/>
      <c r="AA525" s="594"/>
      <c r="AB525" s="594"/>
      <c r="AC525" s="594"/>
    </row>
    <row r="526" spans="1:68" ht="14.25" customHeight="1" x14ac:dyDescent="0.25">
      <c r="A526" s="659" t="s">
        <v>165</v>
      </c>
      <c r="B526" s="612"/>
      <c r="C526" s="612"/>
      <c r="D526" s="612"/>
      <c r="E526" s="612"/>
      <c r="F526" s="612"/>
      <c r="G526" s="612"/>
      <c r="H526" s="612"/>
      <c r="I526" s="612"/>
      <c r="J526" s="612"/>
      <c r="K526" s="612"/>
      <c r="L526" s="612"/>
      <c r="M526" s="612"/>
      <c r="N526" s="612"/>
      <c r="O526" s="612"/>
      <c r="P526" s="612"/>
      <c r="Q526" s="612"/>
      <c r="R526" s="612"/>
      <c r="S526" s="612"/>
      <c r="T526" s="612"/>
      <c r="U526" s="612"/>
      <c r="V526" s="612"/>
      <c r="W526" s="612"/>
      <c r="X526" s="612"/>
      <c r="Y526" s="612"/>
      <c r="Z526" s="612"/>
      <c r="AA526" s="595"/>
      <c r="AB526" s="595"/>
      <c r="AC526" s="595"/>
    </row>
    <row r="527" spans="1:68" ht="27" customHeight="1" x14ac:dyDescent="0.25">
      <c r="A527" s="54" t="s">
        <v>815</v>
      </c>
      <c r="B527" s="54" t="s">
        <v>816</v>
      </c>
      <c r="C527" s="31">
        <v>4301020428</v>
      </c>
      <c r="D527" s="614">
        <v>4640242180090</v>
      </c>
      <c r="E527" s="615"/>
      <c r="F527" s="598">
        <v>1.5</v>
      </c>
      <c r="G527" s="32">
        <v>8</v>
      </c>
      <c r="H527" s="598">
        <v>12</v>
      </c>
      <c r="I527" s="598">
        <v>12.41</v>
      </c>
      <c r="J527" s="32">
        <v>64</v>
      </c>
      <c r="K527" s="32" t="s">
        <v>133</v>
      </c>
      <c r="L527" s="32"/>
      <c r="M527" s="33" t="s">
        <v>134</v>
      </c>
      <c r="N527" s="33"/>
      <c r="O527" s="32">
        <v>50</v>
      </c>
      <c r="P527" s="68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07"/>
      <c r="R527" s="607"/>
      <c r="S527" s="607"/>
      <c r="T527" s="608"/>
      <c r="U527" s="34"/>
      <c r="V527" s="34"/>
      <c r="W527" s="35" t="s">
        <v>69</v>
      </c>
      <c r="X527" s="599">
        <v>0</v>
      </c>
      <c r="Y527" s="60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11"/>
      <c r="B528" s="612"/>
      <c r="C528" s="612"/>
      <c r="D528" s="612"/>
      <c r="E528" s="612"/>
      <c r="F528" s="612"/>
      <c r="G528" s="612"/>
      <c r="H528" s="612"/>
      <c r="I528" s="612"/>
      <c r="J528" s="612"/>
      <c r="K528" s="612"/>
      <c r="L528" s="612"/>
      <c r="M528" s="612"/>
      <c r="N528" s="612"/>
      <c r="O528" s="613"/>
      <c r="P528" s="603" t="s">
        <v>78</v>
      </c>
      <c r="Q528" s="604"/>
      <c r="R528" s="604"/>
      <c r="S528" s="604"/>
      <c r="T528" s="604"/>
      <c r="U528" s="604"/>
      <c r="V528" s="605"/>
      <c r="W528" s="37" t="s">
        <v>79</v>
      </c>
      <c r="X528" s="601">
        <f>IFERROR(X527/H527,"0")</f>
        <v>0</v>
      </c>
      <c r="Y528" s="601">
        <f>IFERROR(Y527/H527,"0")</f>
        <v>0</v>
      </c>
      <c r="Z528" s="601">
        <f>IFERROR(IF(Z527="",0,Z527),"0")</f>
        <v>0</v>
      </c>
      <c r="AA528" s="602"/>
      <c r="AB528" s="602"/>
      <c r="AC528" s="602"/>
    </row>
    <row r="529" spans="1:32" x14ac:dyDescent="0.2">
      <c r="A529" s="612"/>
      <c r="B529" s="612"/>
      <c r="C529" s="612"/>
      <c r="D529" s="612"/>
      <c r="E529" s="612"/>
      <c r="F529" s="612"/>
      <c r="G529" s="612"/>
      <c r="H529" s="612"/>
      <c r="I529" s="612"/>
      <c r="J529" s="612"/>
      <c r="K529" s="612"/>
      <c r="L529" s="612"/>
      <c r="M529" s="612"/>
      <c r="N529" s="612"/>
      <c r="O529" s="613"/>
      <c r="P529" s="603" t="s">
        <v>78</v>
      </c>
      <c r="Q529" s="604"/>
      <c r="R529" s="604"/>
      <c r="S529" s="604"/>
      <c r="T529" s="604"/>
      <c r="U529" s="604"/>
      <c r="V529" s="605"/>
      <c r="W529" s="37" t="s">
        <v>69</v>
      </c>
      <c r="X529" s="601">
        <f>IFERROR(SUM(X527:X527),"0")</f>
        <v>0</v>
      </c>
      <c r="Y529" s="601">
        <f>IFERROR(SUM(Y527:Y527),"0")</f>
        <v>0</v>
      </c>
      <c r="Z529" s="37"/>
      <c r="AA529" s="602"/>
      <c r="AB529" s="602"/>
      <c r="AC529" s="602"/>
    </row>
    <row r="530" spans="1:32" ht="15" customHeight="1" x14ac:dyDescent="0.2">
      <c r="A530" s="625"/>
      <c r="B530" s="612"/>
      <c r="C530" s="612"/>
      <c r="D530" s="612"/>
      <c r="E530" s="612"/>
      <c r="F530" s="612"/>
      <c r="G530" s="612"/>
      <c r="H530" s="612"/>
      <c r="I530" s="612"/>
      <c r="J530" s="612"/>
      <c r="K530" s="612"/>
      <c r="L530" s="612"/>
      <c r="M530" s="612"/>
      <c r="N530" s="612"/>
      <c r="O530" s="626"/>
      <c r="P530" s="646" t="s">
        <v>818</v>
      </c>
      <c r="Q530" s="647"/>
      <c r="R530" s="647"/>
      <c r="S530" s="647"/>
      <c r="T530" s="647"/>
      <c r="U530" s="647"/>
      <c r="V530" s="648"/>
      <c r="W530" s="37" t="s">
        <v>69</v>
      </c>
      <c r="X530" s="601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17136</v>
      </c>
      <c r="Y530" s="601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17265.100000000006</v>
      </c>
      <c r="Z530" s="37"/>
      <c r="AA530" s="602"/>
      <c r="AB530" s="602"/>
      <c r="AC530" s="602"/>
    </row>
    <row r="531" spans="1:32" x14ac:dyDescent="0.2">
      <c r="A531" s="612"/>
      <c r="B531" s="612"/>
      <c r="C531" s="612"/>
      <c r="D531" s="612"/>
      <c r="E531" s="612"/>
      <c r="F531" s="612"/>
      <c r="G531" s="612"/>
      <c r="H531" s="612"/>
      <c r="I531" s="612"/>
      <c r="J531" s="612"/>
      <c r="K531" s="612"/>
      <c r="L531" s="612"/>
      <c r="M531" s="612"/>
      <c r="N531" s="612"/>
      <c r="O531" s="626"/>
      <c r="P531" s="646" t="s">
        <v>819</v>
      </c>
      <c r="Q531" s="647"/>
      <c r="R531" s="647"/>
      <c r="S531" s="647"/>
      <c r="T531" s="647"/>
      <c r="U531" s="647"/>
      <c r="V531" s="648"/>
      <c r="W531" s="37" t="s">
        <v>69</v>
      </c>
      <c r="X531" s="601">
        <f>IFERROR(SUM(BM22:BM527),"0")</f>
        <v>18290.103301410934</v>
      </c>
      <c r="Y531" s="601">
        <f>IFERROR(SUM(BN22:BN527),"0")</f>
        <v>18427.277999999998</v>
      </c>
      <c r="Z531" s="37"/>
      <c r="AA531" s="602"/>
      <c r="AB531" s="602"/>
      <c r="AC531" s="602"/>
    </row>
    <row r="532" spans="1:32" x14ac:dyDescent="0.2">
      <c r="A532" s="612"/>
      <c r="B532" s="612"/>
      <c r="C532" s="612"/>
      <c r="D532" s="612"/>
      <c r="E532" s="612"/>
      <c r="F532" s="612"/>
      <c r="G532" s="612"/>
      <c r="H532" s="612"/>
      <c r="I532" s="612"/>
      <c r="J532" s="612"/>
      <c r="K532" s="612"/>
      <c r="L532" s="612"/>
      <c r="M532" s="612"/>
      <c r="N532" s="612"/>
      <c r="O532" s="626"/>
      <c r="P532" s="646" t="s">
        <v>820</v>
      </c>
      <c r="Q532" s="647"/>
      <c r="R532" s="647"/>
      <c r="S532" s="647"/>
      <c r="T532" s="647"/>
      <c r="U532" s="647"/>
      <c r="V532" s="648"/>
      <c r="W532" s="37" t="s">
        <v>821</v>
      </c>
      <c r="X532" s="38">
        <f>ROUNDUP(SUM(BO22:BO527),0)</f>
        <v>31</v>
      </c>
      <c r="Y532" s="38">
        <f>ROUNDUP(SUM(BP22:BP527),0)</f>
        <v>31</v>
      </c>
      <c r="Z532" s="37"/>
      <c r="AA532" s="602"/>
      <c r="AB532" s="602"/>
      <c r="AC532" s="602"/>
    </row>
    <row r="533" spans="1:32" x14ac:dyDescent="0.2">
      <c r="A533" s="612"/>
      <c r="B533" s="612"/>
      <c r="C533" s="612"/>
      <c r="D533" s="612"/>
      <c r="E533" s="612"/>
      <c r="F533" s="612"/>
      <c r="G533" s="612"/>
      <c r="H533" s="612"/>
      <c r="I533" s="612"/>
      <c r="J533" s="612"/>
      <c r="K533" s="612"/>
      <c r="L533" s="612"/>
      <c r="M533" s="612"/>
      <c r="N533" s="612"/>
      <c r="O533" s="626"/>
      <c r="P533" s="646" t="s">
        <v>822</v>
      </c>
      <c r="Q533" s="647"/>
      <c r="R533" s="647"/>
      <c r="S533" s="647"/>
      <c r="T533" s="647"/>
      <c r="U533" s="647"/>
      <c r="V533" s="648"/>
      <c r="W533" s="37" t="s">
        <v>69</v>
      </c>
      <c r="X533" s="601">
        <f>GrossWeightTotal+PalletQtyTotal*25</f>
        <v>19065.103301410934</v>
      </c>
      <c r="Y533" s="601">
        <f>GrossWeightTotalR+PalletQtyTotalR*25</f>
        <v>19202.277999999998</v>
      </c>
      <c r="Z533" s="37"/>
      <c r="AA533" s="602"/>
      <c r="AB533" s="602"/>
      <c r="AC533" s="602"/>
    </row>
    <row r="534" spans="1:32" x14ac:dyDescent="0.2">
      <c r="A534" s="612"/>
      <c r="B534" s="612"/>
      <c r="C534" s="612"/>
      <c r="D534" s="612"/>
      <c r="E534" s="612"/>
      <c r="F534" s="612"/>
      <c r="G534" s="612"/>
      <c r="H534" s="612"/>
      <c r="I534" s="612"/>
      <c r="J534" s="612"/>
      <c r="K534" s="612"/>
      <c r="L534" s="612"/>
      <c r="M534" s="612"/>
      <c r="N534" s="612"/>
      <c r="O534" s="626"/>
      <c r="P534" s="646" t="s">
        <v>823</v>
      </c>
      <c r="Q534" s="647"/>
      <c r="R534" s="647"/>
      <c r="S534" s="647"/>
      <c r="T534" s="647"/>
      <c r="U534" s="647"/>
      <c r="V534" s="648"/>
      <c r="W534" s="37" t="s">
        <v>821</v>
      </c>
      <c r="X534" s="601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3599.9535162402804</v>
      </c>
      <c r="Y534" s="601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3625</v>
      </c>
      <c r="Z534" s="37"/>
      <c r="AA534" s="602"/>
      <c r="AB534" s="602"/>
      <c r="AC534" s="602"/>
    </row>
    <row r="535" spans="1:32" ht="14.25" customHeight="1" x14ac:dyDescent="0.2">
      <c r="A535" s="612"/>
      <c r="B535" s="612"/>
      <c r="C535" s="612"/>
      <c r="D535" s="612"/>
      <c r="E535" s="612"/>
      <c r="F535" s="612"/>
      <c r="G535" s="612"/>
      <c r="H535" s="612"/>
      <c r="I535" s="612"/>
      <c r="J535" s="612"/>
      <c r="K535" s="612"/>
      <c r="L535" s="612"/>
      <c r="M535" s="612"/>
      <c r="N535" s="612"/>
      <c r="O535" s="626"/>
      <c r="P535" s="646" t="s">
        <v>824</v>
      </c>
      <c r="Q535" s="647"/>
      <c r="R535" s="647"/>
      <c r="S535" s="647"/>
      <c r="T535" s="647"/>
      <c r="U535" s="647"/>
      <c r="V535" s="648"/>
      <c r="W535" s="39" t="s">
        <v>825</v>
      </c>
      <c r="X535" s="37"/>
      <c r="Y535" s="37"/>
      <c r="Z535" s="37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36.885690000000004</v>
      </c>
      <c r="AA535" s="602"/>
      <c r="AB535" s="602"/>
      <c r="AC535" s="602"/>
    </row>
    <row r="536" spans="1:32" ht="13.5" customHeight="1" thickBot="1" x14ac:dyDescent="0.25"/>
    <row r="537" spans="1:32" ht="27" customHeight="1" thickTop="1" thickBot="1" x14ac:dyDescent="0.25">
      <c r="A537" s="40" t="s">
        <v>826</v>
      </c>
      <c r="B537" s="596" t="s">
        <v>63</v>
      </c>
      <c r="C537" s="596" t="s">
        <v>114</v>
      </c>
      <c r="D537" s="619" t="s">
        <v>128</v>
      </c>
      <c r="E537" s="841"/>
      <c r="F537" s="841"/>
      <c r="G537" s="841"/>
      <c r="H537" s="841"/>
      <c r="I537" s="841"/>
      <c r="J537" s="634"/>
      <c r="K537" s="619" t="s">
        <v>335</v>
      </c>
      <c r="L537" s="841"/>
      <c r="M537" s="841"/>
      <c r="N537" s="841"/>
      <c r="O537" s="841"/>
      <c r="P537" s="841"/>
      <c r="Q537" s="841"/>
      <c r="R537" s="841"/>
      <c r="S537" s="841"/>
      <c r="T537" s="841"/>
      <c r="U537" s="634"/>
      <c r="V537" s="619" t="s">
        <v>650</v>
      </c>
      <c r="W537" s="634"/>
      <c r="X537" s="619" t="s">
        <v>710</v>
      </c>
      <c r="Y537" s="634"/>
      <c r="Z537" s="596" t="s">
        <v>746</v>
      </c>
      <c r="AA537" s="619" t="s">
        <v>793</v>
      </c>
      <c r="AB537" s="634"/>
      <c r="AC537" s="52"/>
      <c r="AF537" s="597"/>
    </row>
    <row r="538" spans="1:32" ht="14.25" customHeight="1" thickTop="1" x14ac:dyDescent="0.2">
      <c r="A538" s="931" t="s">
        <v>827</v>
      </c>
      <c r="B538" s="619" t="s">
        <v>63</v>
      </c>
      <c r="C538" s="619" t="s">
        <v>115</v>
      </c>
      <c r="D538" s="619" t="s">
        <v>129</v>
      </c>
      <c r="E538" s="619" t="s">
        <v>145</v>
      </c>
      <c r="F538" s="619" t="s">
        <v>189</v>
      </c>
      <c r="G538" s="619" t="s">
        <v>210</v>
      </c>
      <c r="H538" s="619" t="s">
        <v>252</v>
      </c>
      <c r="I538" s="619" t="s">
        <v>264</v>
      </c>
      <c r="J538" s="619" t="s">
        <v>128</v>
      </c>
      <c r="K538" s="619" t="s">
        <v>336</v>
      </c>
      <c r="L538" s="619" t="s">
        <v>348</v>
      </c>
      <c r="M538" s="619" t="s">
        <v>407</v>
      </c>
      <c r="N538" s="597"/>
      <c r="O538" s="619" t="s">
        <v>475</v>
      </c>
      <c r="P538" s="619" t="s">
        <v>512</v>
      </c>
      <c r="Q538" s="619" t="s">
        <v>528</v>
      </c>
      <c r="R538" s="619" t="s">
        <v>537</v>
      </c>
      <c r="S538" s="619" t="s">
        <v>558</v>
      </c>
      <c r="T538" s="619" t="s">
        <v>568</v>
      </c>
      <c r="U538" s="619" t="s">
        <v>640</v>
      </c>
      <c r="V538" s="619" t="s">
        <v>651</v>
      </c>
      <c r="W538" s="619" t="s">
        <v>694</v>
      </c>
      <c r="X538" s="619" t="s">
        <v>711</v>
      </c>
      <c r="Y538" s="619" t="s">
        <v>734</v>
      </c>
      <c r="Z538" s="619" t="s">
        <v>746</v>
      </c>
      <c r="AA538" s="619" t="s">
        <v>793</v>
      </c>
      <c r="AB538" s="619" t="s">
        <v>814</v>
      </c>
      <c r="AC538" s="52"/>
      <c r="AF538" s="597"/>
    </row>
    <row r="539" spans="1:32" ht="13.5" customHeight="1" thickBot="1" x14ac:dyDescent="0.25">
      <c r="A539" s="932"/>
      <c r="B539" s="620"/>
      <c r="C539" s="620"/>
      <c r="D539" s="620"/>
      <c r="E539" s="620"/>
      <c r="F539" s="620"/>
      <c r="G539" s="620"/>
      <c r="H539" s="620"/>
      <c r="I539" s="620"/>
      <c r="J539" s="620"/>
      <c r="K539" s="620"/>
      <c r="L539" s="620"/>
      <c r="M539" s="620"/>
      <c r="N539" s="597"/>
      <c r="O539" s="620"/>
      <c r="P539" s="620"/>
      <c r="Q539" s="620"/>
      <c r="R539" s="620"/>
      <c r="S539" s="620"/>
      <c r="T539" s="620"/>
      <c r="U539" s="620"/>
      <c r="V539" s="620"/>
      <c r="W539" s="620"/>
      <c r="X539" s="620"/>
      <c r="Y539" s="620"/>
      <c r="Z539" s="620"/>
      <c r="AA539" s="620"/>
      <c r="AB539" s="620"/>
      <c r="AC539" s="52"/>
      <c r="AF539" s="597"/>
    </row>
    <row r="540" spans="1:32" ht="18" customHeight="1" thickTop="1" thickBot="1" x14ac:dyDescent="0.25">
      <c r="A540" s="40" t="s">
        <v>828</v>
      </c>
      <c r="B540" s="46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0" s="46">
        <f>IFERROR(Y46*1,"0")+IFERROR(Y47*1,"0")+IFERROR(Y48*1,"0")+IFERROR(Y49*1,"0")</f>
        <v>0</v>
      </c>
      <c r="D540" s="46">
        <f>IFERROR(Y55*1,"0")+IFERROR(Y56*1,"0")+IFERROR(Y57*1,"0")+IFERROR(Y58*1,"0")</f>
        <v>1221.3</v>
      </c>
      <c r="E540" s="46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491.40000000000003</v>
      </c>
      <c r="F540" s="46">
        <f>IFERROR(Y91*1,"0")+IFERROR(Y92*1,"0")+IFERROR(Y93*1,"0")+IFERROR(Y94*1,"0")+IFERROR(Y98*1,"0")+IFERROR(Y99*1,"0")+IFERROR(Y100*1,"0")+IFERROR(Y101*1,"0")</f>
        <v>1781.1</v>
      </c>
      <c r="G540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1638</v>
      </c>
      <c r="H540" s="46">
        <f>IFERROR(Y136*1,"0")+IFERROR(Y137*1,"0")+IFERROR(Y141*1,"0")+IFERROR(Y142*1,"0")+IFERROR(Y146*1,"0")+IFERROR(Y147*1,"0")</f>
        <v>25.2</v>
      </c>
      <c r="I540" s="46">
        <f>IFERROR(Y152*1,"0")+IFERROR(Y153*1,"0")+IFERROR(Y154*1,"0")+IFERROR(Y155*1,"0")</f>
        <v>0</v>
      </c>
      <c r="J540" s="46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588.84</v>
      </c>
      <c r="K540" s="46">
        <f>IFERROR(Y199*1,"0")+IFERROR(Y200*1,"0")+IFERROR(Y201*1,"0")+IFERROR(Y202*1,"0")</f>
        <v>0</v>
      </c>
      <c r="L540" s="46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795.3</v>
      </c>
      <c r="M540" s="46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2394</v>
      </c>
      <c r="N540" s="597"/>
      <c r="O540" s="46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0" s="46">
        <f>IFERROR(Y313*1,"0")+IFERROR(Y314*1,"0")+IFERROR(Y315*1,"0")+IFERROR(Y316*1,"0")+IFERROR(Y317*1,"0")</f>
        <v>0</v>
      </c>
      <c r="Q540" s="46">
        <f>IFERROR(Y322*1,"0")+IFERROR(Y323*1,"0")+IFERROR(Y324*1,"0")</f>
        <v>139.19999999999999</v>
      </c>
      <c r="R540" s="46">
        <f>IFERROR(Y329*1,"0")+IFERROR(Y330*1,"0")+IFERROR(Y331*1,"0")+IFERROR(Y332*1,"0")+IFERROR(Y333*1,"0")+IFERROR(Y337*1,"0")+IFERROR(Y338*1,"0")</f>
        <v>0</v>
      </c>
      <c r="S540" s="46">
        <f>IFERROR(Y343*1,"0")+IFERROR(Y344*1,"0")+IFERROR(Y345*1,"0")</f>
        <v>0</v>
      </c>
      <c r="T540" s="46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234.40000000000003</v>
      </c>
      <c r="U540" s="46">
        <f>IFERROR(Y395*1,"0")+IFERROR(Y396*1,"0")+IFERROR(Y397*1,"0")</f>
        <v>176.4</v>
      </c>
      <c r="V540" s="46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1830</v>
      </c>
      <c r="W540" s="46">
        <f>IFERROR(Y430*1,"0")+IFERROR(Y431*1,"0")+IFERROR(Y435*1,"0")+IFERROR(Y439*1,"0")+IFERROR(Y440*1,"0")+IFERROR(Y441*1,"0")</f>
        <v>1204.2</v>
      </c>
      <c r="X540" s="46">
        <f>IFERROR(Y447*1,"0")+IFERROR(Y448*1,"0")+IFERROR(Y449*1,"0")+IFERROR(Y450*1,"0")+IFERROR(Y451*1,"0")+IFERROR(Y452*1,"0")+IFERROR(Y456*1,"0")+IFERROR(Y457*1,"0")</f>
        <v>0</v>
      </c>
      <c r="Y540" s="46">
        <f>IFERROR(Y462*1,"0")+IFERROR(Y466*1,"0")+IFERROR(Y467*1,"0")+IFERROR(Y468*1,"0")</f>
        <v>0</v>
      </c>
      <c r="Z540" s="46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4745.76</v>
      </c>
      <c r="AA540" s="46">
        <f>IFERROR(Y504*1,"0")+IFERROR(Y508*1,"0")+IFERROR(Y512*1,"0")+IFERROR(Y513*1,"0")+IFERROR(Y517*1,"0")+IFERROR(Y521*1,"0")+IFERROR(Y522*1,"0")</f>
        <v>0</v>
      </c>
      <c r="AB540" s="46">
        <f>IFERROR(Y527*1,"0")</f>
        <v>0</v>
      </c>
      <c r="AC540" s="52"/>
      <c r="AF540" s="597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9">
    <mergeCell ref="A8:C8"/>
    <mergeCell ref="D268:E268"/>
    <mergeCell ref="P138:V138"/>
    <mergeCell ref="D395:E395"/>
    <mergeCell ref="P449:T449"/>
    <mergeCell ref="A10:C10"/>
    <mergeCell ref="P126:T126"/>
    <mergeCell ref="A413:Z413"/>
    <mergeCell ref="P218:T218"/>
    <mergeCell ref="A192:Z192"/>
    <mergeCell ref="A21:Z21"/>
    <mergeCell ref="D184:E184"/>
    <mergeCell ref="A428:Z428"/>
    <mergeCell ref="A355:O356"/>
    <mergeCell ref="P356:V356"/>
    <mergeCell ref="A181:Z181"/>
    <mergeCell ref="P363:T363"/>
    <mergeCell ref="P338:T338"/>
    <mergeCell ref="D344:E344"/>
    <mergeCell ref="D173:E173"/>
    <mergeCell ref="D17:E18"/>
    <mergeCell ref="P313:T313"/>
    <mergeCell ref="P202:T202"/>
    <mergeCell ref="P307:T307"/>
    <mergeCell ref="V538:V539"/>
    <mergeCell ref="X538:X539"/>
    <mergeCell ref="P85:T85"/>
    <mergeCell ref="P383:T383"/>
    <mergeCell ref="D522:E522"/>
    <mergeCell ref="D291:E291"/>
    <mergeCell ref="D239:E239"/>
    <mergeCell ref="D266:E266"/>
    <mergeCell ref="P174:T174"/>
    <mergeCell ref="P447:T447"/>
    <mergeCell ref="P410:T410"/>
    <mergeCell ref="P372:V372"/>
    <mergeCell ref="D331:E331"/>
    <mergeCell ref="P310:V310"/>
    <mergeCell ref="P124:T124"/>
    <mergeCell ref="P163:V163"/>
    <mergeCell ref="P360:T360"/>
    <mergeCell ref="D250:E250"/>
    <mergeCell ref="D110:E110"/>
    <mergeCell ref="D286:E286"/>
    <mergeCell ref="Y538:Y539"/>
    <mergeCell ref="D407:E407"/>
    <mergeCell ref="Q6:R6"/>
    <mergeCell ref="A385:O386"/>
    <mergeCell ref="A538:A539"/>
    <mergeCell ref="A438:Z438"/>
    <mergeCell ref="P200:T200"/>
    <mergeCell ref="D537:J537"/>
    <mergeCell ref="A422:O423"/>
    <mergeCell ref="P292:T292"/>
    <mergeCell ref="A251:O252"/>
    <mergeCell ref="P379:V379"/>
    <mergeCell ref="P208:V208"/>
    <mergeCell ref="P443:V443"/>
    <mergeCell ref="A206:Z206"/>
    <mergeCell ref="A62:Z62"/>
    <mergeCell ref="P185:V185"/>
    <mergeCell ref="P427:V427"/>
    <mergeCell ref="P283:V283"/>
    <mergeCell ref="D271:E271"/>
    <mergeCell ref="P519:V519"/>
    <mergeCell ref="V12:W12"/>
    <mergeCell ref="P122:V122"/>
    <mergeCell ref="P368:T368"/>
    <mergeCell ref="Q5:R5"/>
    <mergeCell ref="P370:T370"/>
    <mergeCell ref="P199:T199"/>
    <mergeCell ref="D120:E120"/>
    <mergeCell ref="P497:T497"/>
    <mergeCell ref="F17:F18"/>
    <mergeCell ref="D478:E478"/>
    <mergeCell ref="P435:T435"/>
    <mergeCell ref="P291:T291"/>
    <mergeCell ref="D107:E107"/>
    <mergeCell ref="D405:E405"/>
    <mergeCell ref="P288:T288"/>
    <mergeCell ref="D234:E234"/>
    <mergeCell ref="P65:T65"/>
    <mergeCell ref="P136:T136"/>
    <mergeCell ref="D244:E244"/>
    <mergeCell ref="P228:T228"/>
    <mergeCell ref="D171:E171"/>
    <mergeCell ref="A436:O437"/>
    <mergeCell ref="A39:Z39"/>
    <mergeCell ref="D57:E57"/>
    <mergeCell ref="Y17:Y18"/>
    <mergeCell ref="U17:V17"/>
    <mergeCell ref="D32:E32"/>
    <mergeCell ref="P529:V529"/>
    <mergeCell ref="P421:T421"/>
    <mergeCell ref="A411:O412"/>
    <mergeCell ref="A348:Z348"/>
    <mergeCell ref="P110:T110"/>
    <mergeCell ref="P408:T408"/>
    <mergeCell ref="D218:E218"/>
    <mergeCell ref="A320:Z320"/>
    <mergeCell ref="P422:V422"/>
    <mergeCell ref="P432:V432"/>
    <mergeCell ref="P439:T439"/>
    <mergeCell ref="D249:E249"/>
    <mergeCell ref="D276:E276"/>
    <mergeCell ref="P524:V524"/>
    <mergeCell ref="A349:Z349"/>
    <mergeCell ref="D170:E170"/>
    <mergeCell ref="D468:E468"/>
    <mergeCell ref="P132:V132"/>
    <mergeCell ref="D521:E521"/>
    <mergeCell ref="A499:O500"/>
    <mergeCell ref="D29:E29"/>
    <mergeCell ref="D23:E23"/>
    <mergeCell ref="P344:T344"/>
    <mergeCell ref="D265:E265"/>
    <mergeCell ref="D216:E216"/>
    <mergeCell ref="P195:V195"/>
    <mergeCell ref="A194:O195"/>
    <mergeCell ref="D452:E452"/>
    <mergeCell ref="D49:E49"/>
    <mergeCell ref="P58:T58"/>
    <mergeCell ref="A52:Z52"/>
    <mergeCell ref="V11:W11"/>
    <mergeCell ref="D165:E165"/>
    <mergeCell ref="D475:E475"/>
    <mergeCell ref="P486:T486"/>
    <mergeCell ref="P75:T75"/>
    <mergeCell ref="P317:T317"/>
    <mergeCell ref="D323:E323"/>
    <mergeCell ref="D152:E152"/>
    <mergeCell ref="D223:E223"/>
    <mergeCell ref="D450:E450"/>
    <mergeCell ref="P146:T146"/>
    <mergeCell ref="A20:Z20"/>
    <mergeCell ref="N17:N18"/>
    <mergeCell ref="X17:X18"/>
    <mergeCell ref="AD17:AF18"/>
    <mergeCell ref="P167:V167"/>
    <mergeCell ref="D101:E101"/>
    <mergeCell ref="P378:V378"/>
    <mergeCell ref="D76:E76"/>
    <mergeCell ref="F5:G5"/>
    <mergeCell ref="P365:V365"/>
    <mergeCell ref="W538:W539"/>
    <mergeCell ref="P144:V144"/>
    <mergeCell ref="P411:V411"/>
    <mergeCell ref="P442:V442"/>
    <mergeCell ref="P67:T67"/>
    <mergeCell ref="D430:E430"/>
    <mergeCell ref="D175:E175"/>
    <mergeCell ref="A334:O335"/>
    <mergeCell ref="P538:P539"/>
    <mergeCell ref="A394:Z394"/>
    <mergeCell ref="F538:F539"/>
    <mergeCell ref="P469:V469"/>
    <mergeCell ref="H538:H539"/>
    <mergeCell ref="A465:Z465"/>
    <mergeCell ref="D457:E457"/>
    <mergeCell ref="D221:E221"/>
    <mergeCell ref="P57:T57"/>
    <mergeCell ref="P523:V523"/>
    <mergeCell ref="P183:T183"/>
    <mergeCell ref="D462:E462"/>
    <mergeCell ref="P2:W3"/>
    <mergeCell ref="P127:T127"/>
    <mergeCell ref="P369:T369"/>
    <mergeCell ref="D508:E508"/>
    <mergeCell ref="A43:Z43"/>
    <mergeCell ref="D35:E35"/>
    <mergeCell ref="D228:E228"/>
    <mergeCell ref="D333:E333"/>
    <mergeCell ref="D404:E404"/>
    <mergeCell ref="D10:E10"/>
    <mergeCell ref="P64:T64"/>
    <mergeCell ref="F10:G10"/>
    <mergeCell ref="P362:T362"/>
    <mergeCell ref="A121:O122"/>
    <mergeCell ref="D305:E305"/>
    <mergeCell ref="D34:E34"/>
    <mergeCell ref="D270:E270"/>
    <mergeCell ref="D99:E99"/>
    <mergeCell ref="P420:T420"/>
    <mergeCell ref="D397:E397"/>
    <mergeCell ref="A130:Z130"/>
    <mergeCell ref="D215:E215"/>
    <mergeCell ref="A426:O427"/>
    <mergeCell ref="D513:E513"/>
    <mergeCell ref="P194:V194"/>
    <mergeCell ref="P50:V50"/>
    <mergeCell ref="P415:T415"/>
    <mergeCell ref="A339:O340"/>
    <mergeCell ref="M17:M18"/>
    <mergeCell ref="O17:O18"/>
    <mergeCell ref="A453:O454"/>
    <mergeCell ref="P423:V423"/>
    <mergeCell ref="A248:Z248"/>
    <mergeCell ref="P430:T430"/>
    <mergeCell ref="A104:Z104"/>
    <mergeCell ref="A312:Z312"/>
    <mergeCell ref="D177:E177"/>
    <mergeCell ref="D33:E33"/>
    <mergeCell ref="P354:T354"/>
    <mergeCell ref="P78:V78"/>
    <mergeCell ref="P364:T364"/>
    <mergeCell ref="A455:Z455"/>
    <mergeCell ref="A284:Z284"/>
    <mergeCell ref="D447:E447"/>
    <mergeCell ref="A520:Z520"/>
    <mergeCell ref="P426:V426"/>
    <mergeCell ref="P178:T178"/>
    <mergeCell ref="P34:T34"/>
    <mergeCell ref="A102:O103"/>
    <mergeCell ref="P276:T276"/>
    <mergeCell ref="D257:E257"/>
    <mergeCell ref="P270:T270"/>
    <mergeCell ref="P214:T214"/>
    <mergeCell ref="D384:E384"/>
    <mergeCell ref="D213:E213"/>
    <mergeCell ref="D86:E86"/>
    <mergeCell ref="D449:E449"/>
    <mergeCell ref="P49:T49"/>
    <mergeCell ref="A166:O167"/>
    <mergeCell ref="P36:T36"/>
    <mergeCell ref="P478:T478"/>
    <mergeCell ref="P107:T107"/>
    <mergeCell ref="P129:V129"/>
    <mergeCell ref="P101:T101"/>
    <mergeCell ref="A128:O129"/>
    <mergeCell ref="A9:C9"/>
    <mergeCell ref="P125:T125"/>
    <mergeCell ref="D202:E202"/>
    <mergeCell ref="D58:E58"/>
    <mergeCell ref="P112:T112"/>
    <mergeCell ref="A236:O237"/>
    <mergeCell ref="P323:T323"/>
    <mergeCell ref="A113:O114"/>
    <mergeCell ref="O538:O539"/>
    <mergeCell ref="D358:E358"/>
    <mergeCell ref="Q538:Q539"/>
    <mergeCell ref="P70:V70"/>
    <mergeCell ref="D408:E408"/>
    <mergeCell ref="A460:Z460"/>
    <mergeCell ref="A327:Z327"/>
    <mergeCell ref="A299:Z299"/>
    <mergeCell ref="P103:V103"/>
    <mergeCell ref="Q13:R13"/>
    <mergeCell ref="P339:V339"/>
    <mergeCell ref="P201:T201"/>
    <mergeCell ref="D389:E389"/>
    <mergeCell ref="A318:O319"/>
    <mergeCell ref="P176:T176"/>
    <mergeCell ref="A328:Z328"/>
    <mergeCell ref="P35:T35"/>
    <mergeCell ref="A295:Z295"/>
    <mergeCell ref="P333:T333"/>
    <mergeCell ref="G17:G18"/>
    <mergeCell ref="D314:E314"/>
    <mergeCell ref="A232:Z232"/>
    <mergeCell ref="P121:V121"/>
    <mergeCell ref="D80:E80"/>
    <mergeCell ref="P188:T188"/>
    <mergeCell ref="P42:V42"/>
    <mergeCell ref="D288:E288"/>
    <mergeCell ref="P148:V148"/>
    <mergeCell ref="D136:E136"/>
    <mergeCell ref="P240:V240"/>
    <mergeCell ref="P46:T46"/>
    <mergeCell ref="D154:E154"/>
    <mergeCell ref="P111:T111"/>
    <mergeCell ref="A227:Z227"/>
    <mergeCell ref="D200:E200"/>
    <mergeCell ref="P48:T48"/>
    <mergeCell ref="D292:E292"/>
    <mergeCell ref="P262:V262"/>
    <mergeCell ref="D155:E155"/>
    <mergeCell ref="D22:E22"/>
    <mergeCell ref="H5:M5"/>
    <mergeCell ref="A27:Z27"/>
    <mergeCell ref="P98:T98"/>
    <mergeCell ref="D212:E212"/>
    <mergeCell ref="D439:E439"/>
    <mergeCell ref="P396:T396"/>
    <mergeCell ref="A341:Z341"/>
    <mergeCell ref="D317:E317"/>
    <mergeCell ref="A285:Z285"/>
    <mergeCell ref="D146:E146"/>
    <mergeCell ref="D304:E304"/>
    <mergeCell ref="D6:M6"/>
    <mergeCell ref="P175:T175"/>
    <mergeCell ref="P95:V95"/>
    <mergeCell ref="A25:O26"/>
    <mergeCell ref="D368:E368"/>
    <mergeCell ref="P106:T106"/>
    <mergeCell ref="P177:T177"/>
    <mergeCell ref="P33:T33"/>
    <mergeCell ref="P93:T93"/>
    <mergeCell ref="D256:E256"/>
    <mergeCell ref="P269:T269"/>
    <mergeCell ref="D207:E207"/>
    <mergeCell ref="D383:E383"/>
    <mergeCell ref="V6:W9"/>
    <mergeCell ref="D199:E199"/>
    <mergeCell ref="D497:E497"/>
    <mergeCell ref="D364:E364"/>
    <mergeCell ref="K537:U537"/>
    <mergeCell ref="D435:E435"/>
    <mergeCell ref="P274:T274"/>
    <mergeCell ref="P345:T345"/>
    <mergeCell ref="D217:E217"/>
    <mergeCell ref="P109:T109"/>
    <mergeCell ref="A391:O392"/>
    <mergeCell ref="P222:T222"/>
    <mergeCell ref="P193:T193"/>
    <mergeCell ref="D65:E65"/>
    <mergeCell ref="P22:T22"/>
    <mergeCell ref="P314:T314"/>
    <mergeCell ref="P40:T40"/>
    <mergeCell ref="P236:V236"/>
    <mergeCell ref="A61:Z61"/>
    <mergeCell ref="D415:E415"/>
    <mergeCell ref="P334:V334"/>
    <mergeCell ref="P257:T257"/>
    <mergeCell ref="P80:T80"/>
    <mergeCell ref="Z17:Z18"/>
    <mergeCell ref="AB538:AB539"/>
    <mergeCell ref="A378:O379"/>
    <mergeCell ref="P366:V366"/>
    <mergeCell ref="P212:T212"/>
    <mergeCell ref="A135:Z135"/>
    <mergeCell ref="AA17:AA18"/>
    <mergeCell ref="AC17:AC18"/>
    <mergeCell ref="H10:M10"/>
    <mergeCell ref="P108:T108"/>
    <mergeCell ref="A491:Z491"/>
    <mergeCell ref="P209:V209"/>
    <mergeCell ref="A72:Z72"/>
    <mergeCell ref="P254:T254"/>
    <mergeCell ref="A297:O298"/>
    <mergeCell ref="P512:T512"/>
    <mergeCell ref="P487:T487"/>
    <mergeCell ref="P343:T343"/>
    <mergeCell ref="D153:E153"/>
    <mergeCell ref="D420:E420"/>
    <mergeCell ref="P256:T256"/>
    <mergeCell ref="A54:Z54"/>
    <mergeCell ref="AB17:AB18"/>
    <mergeCell ref="A90:Z90"/>
    <mergeCell ref="P458:V458"/>
    <mergeCell ref="P241:V241"/>
    <mergeCell ref="P483:V483"/>
    <mergeCell ref="P41:V41"/>
    <mergeCell ref="A50:O51"/>
    <mergeCell ref="A158:Z158"/>
    <mergeCell ref="P91:T91"/>
    <mergeCell ref="D273:E273"/>
    <mergeCell ref="Z538:Z539"/>
    <mergeCell ref="P252:V252"/>
    <mergeCell ref="P237:V237"/>
    <mergeCell ref="A528:O529"/>
    <mergeCell ref="D441:E441"/>
    <mergeCell ref="D512:E512"/>
    <mergeCell ref="P475:T475"/>
    <mergeCell ref="D481:E481"/>
    <mergeCell ref="P462:T462"/>
    <mergeCell ref="D85:E85"/>
    <mergeCell ref="D370:E370"/>
    <mergeCell ref="A401:Z401"/>
    <mergeCell ref="D222:E222"/>
    <mergeCell ref="A461:Z461"/>
    <mergeCell ref="P488:T488"/>
    <mergeCell ref="A507:Z507"/>
    <mergeCell ref="P409:T409"/>
    <mergeCell ref="P330:T330"/>
    <mergeCell ref="P517:T517"/>
    <mergeCell ref="P395:T395"/>
    <mergeCell ref="A511:Z511"/>
    <mergeCell ref="D267:E267"/>
    <mergeCell ref="D425:E425"/>
    <mergeCell ref="D359:E359"/>
    <mergeCell ref="P531:V531"/>
    <mergeCell ref="H17:H18"/>
    <mergeCell ref="P261:T261"/>
    <mergeCell ref="A518:O519"/>
    <mergeCell ref="P388:T388"/>
    <mergeCell ref="P332:T332"/>
    <mergeCell ref="P217:T217"/>
    <mergeCell ref="P161:T161"/>
    <mergeCell ref="D440:E440"/>
    <mergeCell ref="A505:O506"/>
    <mergeCell ref="D296:E296"/>
    <mergeCell ref="D269:E269"/>
    <mergeCell ref="P154:T154"/>
    <mergeCell ref="D75:E75"/>
    <mergeCell ref="P247:V247"/>
    <mergeCell ref="P390:T390"/>
    <mergeCell ref="D504:E504"/>
    <mergeCell ref="J9:M9"/>
    <mergeCell ref="P141:T141"/>
    <mergeCell ref="P454:V454"/>
    <mergeCell ref="D56:E56"/>
    <mergeCell ref="D193:E193"/>
    <mergeCell ref="P377:T377"/>
    <mergeCell ref="D127:E127"/>
    <mergeCell ref="P448:T448"/>
    <mergeCell ref="P504:T504"/>
    <mergeCell ref="P304:T304"/>
    <mergeCell ref="P233:T233"/>
    <mergeCell ref="D176:E176"/>
    <mergeCell ref="P391:V391"/>
    <mergeCell ref="D64:E64"/>
    <mergeCell ref="P441:T441"/>
    <mergeCell ref="D362:E362"/>
    <mergeCell ref="A365:O366"/>
    <mergeCell ref="P235:T235"/>
    <mergeCell ref="P477:T477"/>
    <mergeCell ref="P306:T306"/>
    <mergeCell ref="P157:V157"/>
    <mergeCell ref="D476:E476"/>
    <mergeCell ref="A380:Z380"/>
    <mergeCell ref="A445:Z445"/>
    <mergeCell ref="AA538:AA539"/>
    <mergeCell ref="P322:T322"/>
    <mergeCell ref="X537:Y537"/>
    <mergeCell ref="P260:T260"/>
    <mergeCell ref="P211:T211"/>
    <mergeCell ref="P505:V505"/>
    <mergeCell ref="D178:E178"/>
    <mergeCell ref="P225:V225"/>
    <mergeCell ref="D172:E172"/>
    <mergeCell ref="P324:T324"/>
    <mergeCell ref="P534:V534"/>
    <mergeCell ref="P373:V373"/>
    <mergeCell ref="P500:V500"/>
    <mergeCell ref="A230:O231"/>
    <mergeCell ref="P437:V437"/>
    <mergeCell ref="A367:Z367"/>
    <mergeCell ref="A196:Z196"/>
    <mergeCell ref="D254:E254"/>
    <mergeCell ref="P231:V231"/>
    <mergeCell ref="P302:V302"/>
    <mergeCell ref="P229:T229"/>
    <mergeCell ref="A419:Z419"/>
    <mergeCell ref="D477:E477"/>
    <mergeCell ref="P375:T375"/>
    <mergeCell ref="T6:U9"/>
    <mergeCell ref="P319:V319"/>
    <mergeCell ref="Q10:R10"/>
    <mergeCell ref="A429:Z429"/>
    <mergeCell ref="P296:T296"/>
    <mergeCell ref="P318:V318"/>
    <mergeCell ref="P25:V25"/>
    <mergeCell ref="D371:E371"/>
    <mergeCell ref="P60:V60"/>
    <mergeCell ref="P149:V149"/>
    <mergeCell ref="A145:Z145"/>
    <mergeCell ref="A346:O347"/>
    <mergeCell ref="P216:T216"/>
    <mergeCell ref="P385:V385"/>
    <mergeCell ref="A210:Z210"/>
    <mergeCell ref="D137:E137"/>
    <mergeCell ref="D74:E74"/>
    <mergeCell ref="D201:E201"/>
    <mergeCell ref="D68:E68"/>
    <mergeCell ref="P245:T245"/>
    <mergeCell ref="D188:E188"/>
    <mergeCell ref="P224:T224"/>
    <mergeCell ref="P24:T24"/>
    <mergeCell ref="A156:O157"/>
    <mergeCell ref="T5:U5"/>
    <mergeCell ref="D119:E119"/>
    <mergeCell ref="P76:T76"/>
    <mergeCell ref="V5:W5"/>
    <mergeCell ref="P496:T496"/>
    <mergeCell ref="D46:E46"/>
    <mergeCell ref="D488:E488"/>
    <mergeCell ref="P294:V294"/>
    <mergeCell ref="D40:E40"/>
    <mergeCell ref="P361:T361"/>
    <mergeCell ref="D338:E338"/>
    <mergeCell ref="D233:E233"/>
    <mergeCell ref="D409:E409"/>
    <mergeCell ref="D111:E111"/>
    <mergeCell ref="Q8:R8"/>
    <mergeCell ref="P69:T69"/>
    <mergeCell ref="D183:E183"/>
    <mergeCell ref="P267:T267"/>
    <mergeCell ref="D219:E219"/>
    <mergeCell ref="D275:E275"/>
    <mergeCell ref="P425:T425"/>
    <mergeCell ref="A79:Z79"/>
    <mergeCell ref="A82:O83"/>
    <mergeCell ref="P83:V83"/>
    <mergeCell ref="A12:M12"/>
    <mergeCell ref="A514:O515"/>
    <mergeCell ref="P74:T74"/>
    <mergeCell ref="A19:Z19"/>
    <mergeCell ref="P436:V436"/>
    <mergeCell ref="D182:E182"/>
    <mergeCell ref="A489:O490"/>
    <mergeCell ref="D480:E480"/>
    <mergeCell ref="P528:V528"/>
    <mergeCell ref="D280:E280"/>
    <mergeCell ref="D109:E109"/>
    <mergeCell ref="A14:M14"/>
    <mergeCell ref="D467:E467"/>
    <mergeCell ref="D345:E345"/>
    <mergeCell ref="P510:V510"/>
    <mergeCell ref="P451:T451"/>
    <mergeCell ref="P153:T153"/>
    <mergeCell ref="A143:O144"/>
    <mergeCell ref="D36:E36"/>
    <mergeCell ref="P71:V71"/>
    <mergeCell ref="A13:M13"/>
    <mergeCell ref="A59:O60"/>
    <mergeCell ref="A15:M15"/>
    <mergeCell ref="D48:E48"/>
    <mergeCell ref="P15:T16"/>
    <mergeCell ref="D352:E352"/>
    <mergeCell ref="P219:T219"/>
    <mergeCell ref="D91:E91"/>
    <mergeCell ref="A164:Z164"/>
    <mergeCell ref="P23:T23"/>
    <mergeCell ref="P272:T272"/>
    <mergeCell ref="P433:V433"/>
    <mergeCell ref="P308:T308"/>
    <mergeCell ref="D106:E106"/>
    <mergeCell ref="D416:E416"/>
    <mergeCell ref="A41:O42"/>
    <mergeCell ref="A277:O278"/>
    <mergeCell ref="D93:E93"/>
    <mergeCell ref="D220:E220"/>
    <mergeCell ref="P297:V297"/>
    <mergeCell ref="P263:V263"/>
    <mergeCell ref="A424:Z424"/>
    <mergeCell ref="A253:Z253"/>
    <mergeCell ref="P355:V355"/>
    <mergeCell ref="A53:Z53"/>
    <mergeCell ref="P293:V293"/>
    <mergeCell ref="D343:E343"/>
    <mergeCell ref="P397:T397"/>
    <mergeCell ref="P515:V515"/>
    <mergeCell ref="A372:O373"/>
    <mergeCell ref="P513:T513"/>
    <mergeCell ref="D350:E350"/>
    <mergeCell ref="S538:S539"/>
    <mergeCell ref="K538:K539"/>
    <mergeCell ref="U538:U539"/>
    <mergeCell ref="P450:T450"/>
    <mergeCell ref="D456:E456"/>
    <mergeCell ref="D396:E396"/>
    <mergeCell ref="D414:E414"/>
    <mergeCell ref="P484:V484"/>
    <mergeCell ref="P499:V499"/>
    <mergeCell ref="D487:E487"/>
    <mergeCell ref="V537:W537"/>
    <mergeCell ref="P440:T440"/>
    <mergeCell ref="P518:V518"/>
    <mergeCell ref="P392:V392"/>
    <mergeCell ref="P386:V386"/>
    <mergeCell ref="E538:E539"/>
    <mergeCell ref="G538:G539"/>
    <mergeCell ref="A444:Z444"/>
    <mergeCell ref="P359:T359"/>
    <mergeCell ref="A463:O464"/>
    <mergeCell ref="D9:E9"/>
    <mergeCell ref="D118:E118"/>
    <mergeCell ref="F9:G9"/>
    <mergeCell ref="P495:T495"/>
    <mergeCell ref="P351:T351"/>
    <mergeCell ref="P289:T289"/>
    <mergeCell ref="D161:E161"/>
    <mergeCell ref="D403:E403"/>
    <mergeCell ref="P509:V509"/>
    <mergeCell ref="P239:T239"/>
    <mergeCell ref="P68:T68"/>
    <mergeCell ref="P186:V186"/>
    <mergeCell ref="A185:O186"/>
    <mergeCell ref="A483:O484"/>
    <mergeCell ref="P353:T353"/>
    <mergeCell ref="D169:E169"/>
    <mergeCell ref="P204:V204"/>
    <mergeCell ref="P82:V82"/>
    <mergeCell ref="A134:Z134"/>
    <mergeCell ref="A262:O263"/>
    <mergeCell ref="A357:Z357"/>
    <mergeCell ref="A44:Z44"/>
    <mergeCell ref="D63:E63"/>
    <mergeCell ref="D330:E330"/>
    <mergeCell ref="A5:C5"/>
    <mergeCell ref="P418:V418"/>
    <mergeCell ref="P412:V412"/>
    <mergeCell ref="A473:Z473"/>
    <mergeCell ref="P406:T406"/>
    <mergeCell ref="P191:V191"/>
    <mergeCell ref="A187:Z187"/>
    <mergeCell ref="P51:V51"/>
    <mergeCell ref="A485:Z485"/>
    <mergeCell ref="A472:Z472"/>
    <mergeCell ref="D337:E337"/>
    <mergeCell ref="P128:V128"/>
    <mergeCell ref="A442:O443"/>
    <mergeCell ref="A17:A18"/>
    <mergeCell ref="P300:T300"/>
    <mergeCell ref="D30:E30"/>
    <mergeCell ref="P371:T371"/>
    <mergeCell ref="P431:T431"/>
    <mergeCell ref="A238:Z238"/>
    <mergeCell ref="C17:C18"/>
    <mergeCell ref="K17:K18"/>
    <mergeCell ref="P358:T358"/>
    <mergeCell ref="A208:O209"/>
    <mergeCell ref="D466:E466"/>
    <mergeCell ref="A6:C6"/>
    <mergeCell ref="D24:E24"/>
    <mergeCell ref="P118:T118"/>
    <mergeCell ref="P416:T416"/>
    <mergeCell ref="P142:T142"/>
    <mergeCell ref="P403:T403"/>
    <mergeCell ref="D324:E324"/>
    <mergeCell ref="D517:E517"/>
    <mergeCell ref="P117:T117"/>
    <mergeCell ref="P55:T55"/>
    <mergeCell ref="P182:T182"/>
    <mergeCell ref="P417:V417"/>
    <mergeCell ref="P480:T480"/>
    <mergeCell ref="P280:T280"/>
    <mergeCell ref="A203:O204"/>
    <mergeCell ref="D261:E261"/>
    <mergeCell ref="P169:T169"/>
    <mergeCell ref="P102:V102"/>
    <mergeCell ref="P467:T467"/>
    <mergeCell ref="D388:E388"/>
    <mergeCell ref="P489:V489"/>
    <mergeCell ref="D448:E448"/>
    <mergeCell ref="Q12:R12"/>
    <mergeCell ref="P119:T119"/>
    <mergeCell ref="R538:R539"/>
    <mergeCell ref="D235:E235"/>
    <mergeCell ref="T538:T539"/>
    <mergeCell ref="D421:E421"/>
    <mergeCell ref="P463:V463"/>
    <mergeCell ref="Q9:R9"/>
    <mergeCell ref="A393:Z393"/>
    <mergeCell ref="D451:E451"/>
    <mergeCell ref="D255:E255"/>
    <mergeCell ref="A303:Z303"/>
    <mergeCell ref="P278:V278"/>
    <mergeCell ref="A159:Z159"/>
    <mergeCell ref="A37:O38"/>
    <mergeCell ref="A97:Z97"/>
    <mergeCell ref="Q11:R11"/>
    <mergeCell ref="D322:E322"/>
    <mergeCell ref="C538:C539"/>
    <mergeCell ref="P376:T376"/>
    <mergeCell ref="D260:E260"/>
    <mergeCell ref="P133:V133"/>
    <mergeCell ref="D390:E390"/>
    <mergeCell ref="P298:V298"/>
    <mergeCell ref="A123:Z123"/>
    <mergeCell ref="P347:V347"/>
    <mergeCell ref="I17:I18"/>
    <mergeCell ref="D141:E141"/>
    <mergeCell ref="D306:E306"/>
    <mergeCell ref="P189:T189"/>
    <mergeCell ref="P456:T456"/>
    <mergeCell ref="D377:E377"/>
    <mergeCell ref="A417:O418"/>
    <mergeCell ref="P287:T287"/>
    <mergeCell ref="A246:O247"/>
    <mergeCell ref="P114:V114"/>
    <mergeCell ref="P414:T414"/>
    <mergeCell ref="P281:T281"/>
    <mergeCell ref="P352:T352"/>
    <mergeCell ref="P203:V203"/>
    <mergeCell ref="P301:V301"/>
    <mergeCell ref="P66:T66"/>
    <mergeCell ref="P137:T137"/>
    <mergeCell ref="P305:T305"/>
    <mergeCell ref="A325:O326"/>
    <mergeCell ref="A138:O139"/>
    <mergeCell ref="A132:O133"/>
    <mergeCell ref="D116:E116"/>
    <mergeCell ref="A264:Z264"/>
    <mergeCell ref="A198:Z198"/>
    <mergeCell ref="D1:F1"/>
    <mergeCell ref="P47:T47"/>
    <mergeCell ref="P282:V282"/>
    <mergeCell ref="J17:J18"/>
    <mergeCell ref="L17:L18"/>
    <mergeCell ref="P490:V490"/>
    <mergeCell ref="P255:T255"/>
    <mergeCell ref="P346:V346"/>
    <mergeCell ref="A342:Z342"/>
    <mergeCell ref="A336:Z336"/>
    <mergeCell ref="A293:O294"/>
    <mergeCell ref="A115:Z115"/>
    <mergeCell ref="A309:O310"/>
    <mergeCell ref="P277:V277"/>
    <mergeCell ref="D100:E100"/>
    <mergeCell ref="A400:Z400"/>
    <mergeCell ref="P17:T18"/>
    <mergeCell ref="A471:Z471"/>
    <mergeCell ref="P63:T63"/>
    <mergeCell ref="A446:Z446"/>
    <mergeCell ref="P250:T250"/>
    <mergeCell ref="D31:E31"/>
    <mergeCell ref="D329:E329"/>
    <mergeCell ref="P286:T286"/>
    <mergeCell ref="I538:I539"/>
    <mergeCell ref="P474:T474"/>
    <mergeCell ref="D224:E224"/>
    <mergeCell ref="P32:T32"/>
    <mergeCell ref="A398:O399"/>
    <mergeCell ref="P268:T268"/>
    <mergeCell ref="A469:O470"/>
    <mergeCell ref="D382:E382"/>
    <mergeCell ref="D211:E211"/>
    <mergeCell ref="P190:V190"/>
    <mergeCell ref="P466:T466"/>
    <mergeCell ref="A242:Z242"/>
    <mergeCell ref="P59:V59"/>
    <mergeCell ref="P492:T492"/>
    <mergeCell ref="P479:T479"/>
    <mergeCell ref="A402:Z402"/>
    <mergeCell ref="D229:E229"/>
    <mergeCell ref="P131:T131"/>
    <mergeCell ref="D108:E108"/>
    <mergeCell ref="D375:E375"/>
    <mergeCell ref="P258:T258"/>
    <mergeCell ref="D369:E369"/>
    <mergeCell ref="P223:T223"/>
    <mergeCell ref="P494:T494"/>
    <mergeCell ref="J538:J539"/>
    <mergeCell ref="D498:E498"/>
    <mergeCell ref="P482:T482"/>
    <mergeCell ref="L538:L539"/>
    <mergeCell ref="D354:E354"/>
    <mergeCell ref="P162:V162"/>
    <mergeCell ref="D538:D539"/>
    <mergeCell ref="P398:V398"/>
    <mergeCell ref="A279:Z279"/>
    <mergeCell ref="D527:E527"/>
    <mergeCell ref="P226:V226"/>
    <mergeCell ref="P335:V335"/>
    <mergeCell ref="A387:Z387"/>
    <mergeCell ref="P399:V399"/>
    <mergeCell ref="D316:E316"/>
    <mergeCell ref="P273:T273"/>
    <mergeCell ref="D272:E272"/>
    <mergeCell ref="A516:Z516"/>
    <mergeCell ref="D381:E381"/>
    <mergeCell ref="D308:E308"/>
    <mergeCell ref="A225:O226"/>
    <mergeCell ref="P508:T508"/>
    <mergeCell ref="P337:T337"/>
    <mergeCell ref="D274:E274"/>
    <mergeCell ref="D55:E55"/>
    <mergeCell ref="A311:Z311"/>
    <mergeCell ref="A140:Z140"/>
    <mergeCell ref="D5:E5"/>
    <mergeCell ref="P382:T382"/>
    <mergeCell ref="D496:E496"/>
    <mergeCell ref="D290:E290"/>
    <mergeCell ref="D94:E94"/>
    <mergeCell ref="D361:E361"/>
    <mergeCell ref="P259:T259"/>
    <mergeCell ref="D69:E69"/>
    <mergeCell ref="A240:O241"/>
    <mergeCell ref="A45:Z45"/>
    <mergeCell ref="D147:E147"/>
    <mergeCell ref="A89:Z89"/>
    <mergeCell ref="D245:E245"/>
    <mergeCell ref="P116:T116"/>
    <mergeCell ref="A105:Z105"/>
    <mergeCell ref="A162:O163"/>
    <mergeCell ref="A168:Z168"/>
    <mergeCell ref="P350:T350"/>
    <mergeCell ref="D160:E160"/>
    <mergeCell ref="P481:T481"/>
    <mergeCell ref="P139:V139"/>
    <mergeCell ref="H1:Q1"/>
    <mergeCell ref="A243:Z243"/>
    <mergeCell ref="D214:E214"/>
    <mergeCell ref="P246:V246"/>
    <mergeCell ref="P120:T120"/>
    <mergeCell ref="D259:E259"/>
    <mergeCell ref="A503:Z503"/>
    <mergeCell ref="D495:E495"/>
    <mergeCell ref="D28:E28"/>
    <mergeCell ref="P405:T405"/>
    <mergeCell ref="P476:T476"/>
    <mergeCell ref="D313:E313"/>
    <mergeCell ref="P184:T184"/>
    <mergeCell ref="A374:Z374"/>
    <mergeCell ref="A301:O302"/>
    <mergeCell ref="A179:O180"/>
    <mergeCell ref="P340:V340"/>
    <mergeCell ref="P171:T171"/>
    <mergeCell ref="D117:E117"/>
    <mergeCell ref="D353:E353"/>
    <mergeCell ref="P407:T407"/>
    <mergeCell ref="A95:O96"/>
    <mergeCell ref="D92:E92"/>
    <mergeCell ref="D67:E67"/>
    <mergeCell ref="D7:M7"/>
    <mergeCell ref="P156:V156"/>
    <mergeCell ref="P92:T92"/>
    <mergeCell ref="D315:E315"/>
    <mergeCell ref="P521:T521"/>
    <mergeCell ref="P173:T173"/>
    <mergeCell ref="P29:T29"/>
    <mergeCell ref="P271:T271"/>
    <mergeCell ref="P535:V535"/>
    <mergeCell ref="P100:T100"/>
    <mergeCell ref="P265:T265"/>
    <mergeCell ref="P94:T94"/>
    <mergeCell ref="D81:E81"/>
    <mergeCell ref="D8:M8"/>
    <mergeCell ref="A509:O510"/>
    <mergeCell ref="D300:E300"/>
    <mergeCell ref="P31:T31"/>
    <mergeCell ref="P329:T329"/>
    <mergeCell ref="P522:T522"/>
    <mergeCell ref="D406:E406"/>
    <mergeCell ref="P251:V251"/>
    <mergeCell ref="P180:V180"/>
    <mergeCell ref="A148:O149"/>
    <mergeCell ref="P266:T266"/>
    <mergeCell ref="M538:M539"/>
    <mergeCell ref="D431:E431"/>
    <mergeCell ref="D287:E287"/>
    <mergeCell ref="D189:E189"/>
    <mergeCell ref="P170:T170"/>
    <mergeCell ref="P99:T99"/>
    <mergeCell ref="P468:T468"/>
    <mergeCell ref="D474:E474"/>
    <mergeCell ref="A458:O459"/>
    <mergeCell ref="P316:T316"/>
    <mergeCell ref="P113:V113"/>
    <mergeCell ref="D126:E126"/>
    <mergeCell ref="P381:T381"/>
    <mergeCell ref="D351:E351"/>
    <mergeCell ref="D289:E289"/>
    <mergeCell ref="D482:E482"/>
    <mergeCell ref="P160:T160"/>
    <mergeCell ref="P147:T147"/>
    <mergeCell ref="A434:Z434"/>
    <mergeCell ref="P532:V532"/>
    <mergeCell ref="P459:V459"/>
    <mergeCell ref="A151:Z151"/>
    <mergeCell ref="P234:T234"/>
    <mergeCell ref="P325:V325"/>
    <mergeCell ref="P533:V533"/>
    <mergeCell ref="D494:E494"/>
    <mergeCell ref="P404:T404"/>
    <mergeCell ref="D124:E124"/>
    <mergeCell ref="P81:T81"/>
    <mergeCell ref="A197:Z197"/>
    <mergeCell ref="P56:T56"/>
    <mergeCell ref="V10:W10"/>
    <mergeCell ref="D360:E360"/>
    <mergeCell ref="D493:E493"/>
    <mergeCell ref="D66:E66"/>
    <mergeCell ref="A84:Z84"/>
    <mergeCell ref="D47:E47"/>
    <mergeCell ref="W17:W18"/>
    <mergeCell ref="P96:V96"/>
    <mergeCell ref="A321:Z321"/>
    <mergeCell ref="A150:Z150"/>
    <mergeCell ref="D142:E142"/>
    <mergeCell ref="P530:V530"/>
    <mergeCell ref="A526:Z526"/>
    <mergeCell ref="P527:T527"/>
    <mergeCell ref="P331:T331"/>
    <mergeCell ref="P38:V38"/>
    <mergeCell ref="A501:Z501"/>
    <mergeCell ref="R1:T1"/>
    <mergeCell ref="P28:T28"/>
    <mergeCell ref="AA537:AB537"/>
    <mergeCell ref="P221:T221"/>
    <mergeCell ref="D332:E332"/>
    <mergeCell ref="D307:E307"/>
    <mergeCell ref="P215:T215"/>
    <mergeCell ref="P457:T457"/>
    <mergeCell ref="P165:T165"/>
    <mergeCell ref="A282:O283"/>
    <mergeCell ref="P152:T152"/>
    <mergeCell ref="D98:E98"/>
    <mergeCell ref="P77:V77"/>
    <mergeCell ref="D73:E73"/>
    <mergeCell ref="P30:T30"/>
    <mergeCell ref="P179:V179"/>
    <mergeCell ref="P166:V166"/>
    <mergeCell ref="P464:V464"/>
    <mergeCell ref="P290:T290"/>
    <mergeCell ref="A525:Z525"/>
    <mergeCell ref="P452:T452"/>
    <mergeCell ref="P37:V37"/>
    <mergeCell ref="P230:V230"/>
    <mergeCell ref="P275:T275"/>
    <mergeCell ref="H9:I9"/>
    <mergeCell ref="D281:E281"/>
    <mergeCell ref="P453:V453"/>
    <mergeCell ref="P389:T389"/>
    <mergeCell ref="P309:V309"/>
    <mergeCell ref="B538:B539"/>
    <mergeCell ref="P88:V88"/>
    <mergeCell ref="P26:V26"/>
    <mergeCell ref="P155:T155"/>
    <mergeCell ref="A205:Z205"/>
    <mergeCell ref="P220:T220"/>
    <mergeCell ref="A70:O71"/>
    <mergeCell ref="D486:E486"/>
    <mergeCell ref="P86:T86"/>
    <mergeCell ref="A530:O535"/>
    <mergeCell ref="P384:T384"/>
    <mergeCell ref="P213:T213"/>
    <mergeCell ref="D376:E376"/>
    <mergeCell ref="A523:O524"/>
    <mergeCell ref="P249:T249"/>
    <mergeCell ref="D363:E363"/>
    <mergeCell ref="A87:O88"/>
    <mergeCell ref="P172:T172"/>
    <mergeCell ref="B17:B18"/>
    <mergeCell ref="P514:V514"/>
    <mergeCell ref="P244:T244"/>
    <mergeCell ref="P73:T73"/>
    <mergeCell ref="P315:T315"/>
    <mergeCell ref="A190:O191"/>
    <mergeCell ref="A432:O433"/>
    <mergeCell ref="D174:E174"/>
    <mergeCell ref="P87:V87"/>
    <mergeCell ref="D410:E410"/>
    <mergeCell ref="A77:O78"/>
    <mergeCell ref="D479:E479"/>
    <mergeCell ref="P143:V143"/>
    <mergeCell ref="D131:E131"/>
    <mergeCell ref="D258:E258"/>
    <mergeCell ref="P506:V506"/>
    <mergeCell ref="A502:Z502"/>
    <mergeCell ref="P470:V470"/>
    <mergeCell ref="P498:T498"/>
    <mergeCell ref="P493:T493"/>
    <mergeCell ref="D492:E492"/>
    <mergeCell ref="D125:E125"/>
    <mergeCell ref="D112:E112"/>
    <mergeCell ref="P207:T207"/>
    <mergeCell ref="P326:V3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829</v>
      </c>
      <c r="H1" s="52"/>
    </row>
    <row r="3" spans="2:8" x14ac:dyDescent="0.2">
      <c r="B3" s="47" t="s">
        <v>830</v>
      </c>
      <c r="C3" s="47"/>
      <c r="D3" s="47"/>
      <c r="E3" s="47"/>
    </row>
    <row r="4" spans="2:8" x14ac:dyDescent="0.2">
      <c r="B4" s="47" t="s">
        <v>13</v>
      </c>
      <c r="C4" s="47"/>
      <c r="D4" s="47"/>
      <c r="E4" s="47"/>
    </row>
    <row r="6" spans="2:8" x14ac:dyDescent="0.2">
      <c r="B6" s="47" t="s">
        <v>831</v>
      </c>
      <c r="C6" s="47" t="s">
        <v>832</v>
      </c>
      <c r="D6" s="47" t="s">
        <v>833</v>
      </c>
      <c r="E6" s="47"/>
    </row>
    <row r="7" spans="2:8" x14ac:dyDescent="0.2">
      <c r="B7" s="47" t="s">
        <v>834</v>
      </c>
      <c r="C7" s="47" t="s">
        <v>835</v>
      </c>
      <c r="D7" s="47" t="s">
        <v>836</v>
      </c>
      <c r="E7" s="47"/>
    </row>
    <row r="8" spans="2:8" x14ac:dyDescent="0.2">
      <c r="B8" s="47" t="s">
        <v>837</v>
      </c>
      <c r="C8" s="47" t="s">
        <v>838</v>
      </c>
      <c r="D8" s="47" t="s">
        <v>839</v>
      </c>
      <c r="E8" s="47"/>
    </row>
    <row r="9" spans="2:8" x14ac:dyDescent="0.2">
      <c r="B9" s="47" t="s">
        <v>840</v>
      </c>
      <c r="C9" s="47" t="s">
        <v>841</v>
      </c>
      <c r="D9" s="47" t="s">
        <v>842</v>
      </c>
      <c r="E9" s="47"/>
    </row>
    <row r="10" spans="2:8" x14ac:dyDescent="0.2">
      <c r="B10" s="47" t="s">
        <v>15</v>
      </c>
      <c r="C10" s="47" t="s">
        <v>843</v>
      </c>
      <c r="D10" s="47" t="s">
        <v>844</v>
      </c>
      <c r="E10" s="47"/>
    </row>
    <row r="11" spans="2:8" x14ac:dyDescent="0.2">
      <c r="B11" s="47" t="s">
        <v>845</v>
      </c>
      <c r="C11" s="47" t="s">
        <v>846</v>
      </c>
      <c r="D11" s="47" t="s">
        <v>847</v>
      </c>
      <c r="E11" s="47"/>
    </row>
    <row r="12" spans="2:8" x14ac:dyDescent="0.2">
      <c r="B12" s="47" t="s">
        <v>848</v>
      </c>
      <c r="C12" s="47" t="s">
        <v>849</v>
      </c>
      <c r="D12" s="47" t="s">
        <v>850</v>
      </c>
      <c r="E12" s="47"/>
    </row>
    <row r="14" spans="2:8" x14ac:dyDescent="0.2">
      <c r="B14" s="47" t="s">
        <v>851</v>
      </c>
      <c r="C14" s="47" t="s">
        <v>832</v>
      </c>
      <c r="D14" s="47"/>
      <c r="E14" s="47"/>
    </row>
    <row r="16" spans="2:8" x14ac:dyDescent="0.2">
      <c r="B16" s="47" t="s">
        <v>852</v>
      </c>
      <c r="C16" s="47" t="s">
        <v>835</v>
      </c>
      <c r="D16" s="47"/>
      <c r="E16" s="47"/>
    </row>
    <row r="18" spans="2:5" x14ac:dyDescent="0.2">
      <c r="B18" s="47" t="s">
        <v>853</v>
      </c>
      <c r="C18" s="47" t="s">
        <v>838</v>
      </c>
      <c r="D18" s="47"/>
      <c r="E18" s="47"/>
    </row>
    <row r="20" spans="2:5" x14ac:dyDescent="0.2">
      <c r="B20" s="47" t="s">
        <v>854</v>
      </c>
      <c r="C20" s="47" t="s">
        <v>841</v>
      </c>
      <c r="D20" s="47"/>
      <c r="E20" s="47"/>
    </row>
    <row r="22" spans="2:5" x14ac:dyDescent="0.2">
      <c r="B22" s="47" t="s">
        <v>855</v>
      </c>
      <c r="C22" s="47" t="s">
        <v>843</v>
      </c>
      <c r="D22" s="47"/>
      <c r="E22" s="47"/>
    </row>
    <row r="24" spans="2:5" x14ac:dyDescent="0.2">
      <c r="B24" s="47" t="s">
        <v>856</v>
      </c>
      <c r="C24" s="47" t="s">
        <v>846</v>
      </c>
      <c r="D24" s="47"/>
      <c r="E24" s="47"/>
    </row>
    <row r="26" spans="2:5" x14ac:dyDescent="0.2">
      <c r="B26" s="47" t="s">
        <v>857</v>
      </c>
      <c r="C26" s="47" t="s">
        <v>849</v>
      </c>
      <c r="D26" s="47"/>
      <c r="E26" s="47"/>
    </row>
    <row r="28" spans="2:5" x14ac:dyDescent="0.2">
      <c r="B28" s="47" t="s">
        <v>858</v>
      </c>
      <c r="C28" s="47"/>
      <c r="D28" s="47"/>
      <c r="E28" s="47"/>
    </row>
    <row r="29" spans="2:5" x14ac:dyDescent="0.2">
      <c r="B29" s="47" t="s">
        <v>859</v>
      </c>
      <c r="C29" s="47"/>
      <c r="D29" s="47"/>
      <c r="E29" s="47"/>
    </row>
    <row r="30" spans="2:5" x14ac:dyDescent="0.2">
      <c r="B30" s="47" t="s">
        <v>860</v>
      </c>
      <c r="C30" s="47"/>
      <c r="D30" s="47"/>
      <c r="E30" s="47"/>
    </row>
    <row r="31" spans="2:5" x14ac:dyDescent="0.2">
      <c r="B31" s="47" t="s">
        <v>861</v>
      </c>
      <c r="C31" s="47"/>
      <c r="D31" s="47"/>
      <c r="E31" s="47"/>
    </row>
    <row r="32" spans="2:5" x14ac:dyDescent="0.2">
      <c r="B32" s="47" t="s">
        <v>862</v>
      </c>
      <c r="C32" s="47"/>
      <c r="D32" s="47"/>
      <c r="E32" s="47"/>
    </row>
    <row r="33" spans="2:5" x14ac:dyDescent="0.2">
      <c r="B33" s="47" t="s">
        <v>863</v>
      </c>
      <c r="C33" s="47"/>
      <c r="D33" s="47"/>
      <c r="E33" s="47"/>
    </row>
    <row r="34" spans="2:5" x14ac:dyDescent="0.2">
      <c r="B34" s="47" t="s">
        <v>864</v>
      </c>
      <c r="C34" s="47"/>
      <c r="D34" s="47"/>
      <c r="E34" s="47"/>
    </row>
    <row r="35" spans="2:5" x14ac:dyDescent="0.2">
      <c r="B35" s="47" t="s">
        <v>865</v>
      </c>
      <c r="C35" s="47"/>
      <c r="D35" s="47"/>
      <c r="E35" s="47"/>
    </row>
    <row r="36" spans="2:5" x14ac:dyDescent="0.2">
      <c r="B36" s="47" t="s">
        <v>866</v>
      </c>
      <c r="C36" s="47"/>
      <c r="D36" s="47"/>
      <c r="E36" s="47"/>
    </row>
    <row r="37" spans="2:5" x14ac:dyDescent="0.2">
      <c r="B37" s="47" t="s">
        <v>867</v>
      </c>
      <c r="C37" s="47"/>
      <c r="D37" s="47"/>
      <c r="E37" s="47"/>
    </row>
    <row r="38" spans="2:5" x14ac:dyDescent="0.2">
      <c r="B38" s="47" t="s">
        <v>868</v>
      </c>
      <c r="C38" s="47"/>
      <c r="D38" s="47"/>
      <c r="E38" s="47"/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2026-06-24T11:21:57Z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