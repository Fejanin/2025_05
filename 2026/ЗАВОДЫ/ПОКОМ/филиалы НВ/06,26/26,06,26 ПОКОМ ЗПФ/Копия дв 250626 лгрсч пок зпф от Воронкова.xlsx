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6,26\26,06,26 ПОКОМ ЗПФ\"/>
    </mc:Choice>
  </mc:AlternateContent>
  <xr:revisionPtr revIDLastSave="0" documentId="13_ncr:1_{50EA40E3-9571-40F3-BE0B-060B35135E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Sheet!$A$3:$AK$72</definedName>
  </definedNames>
  <calcPr calcId="191029"/>
</workbook>
</file>

<file path=xl/calcChain.xml><?xml version="1.0" encoding="utf-8"?>
<calcChain xmlns="http://schemas.openxmlformats.org/spreadsheetml/2006/main">
  <c r="AM10" i="1" l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9" i="1"/>
  <c r="AM5" i="1" s="1"/>
  <c r="S68" i="1"/>
  <c r="S66" i="1"/>
  <c r="S65" i="1"/>
  <c r="S64" i="1"/>
  <c r="S61" i="1"/>
  <c r="S56" i="1"/>
  <c r="S53" i="1"/>
  <c r="S47" i="1"/>
  <c r="S43" i="1"/>
  <c r="S31" i="1"/>
  <c r="S30" i="1"/>
  <c r="S28" i="1"/>
  <c r="S25" i="1"/>
  <c r="S18" i="1"/>
  <c r="S17" i="1"/>
  <c r="S15" i="1"/>
  <c r="S14" i="1"/>
  <c r="S13" i="1"/>
  <c r="S12" i="1"/>
  <c r="S9" i="1"/>
  <c r="R5" i="1"/>
  <c r="S60" i="1" l="1"/>
  <c r="AG54" i="1"/>
  <c r="AK54" i="1" s="1"/>
  <c r="E46" i="1"/>
  <c r="L46" i="1" s="1"/>
  <c r="F46" i="1"/>
  <c r="P7" i="1"/>
  <c r="X7" i="1" s="1"/>
  <c r="P8" i="1"/>
  <c r="X8" i="1" s="1"/>
  <c r="P9" i="1"/>
  <c r="X9" i="1" s="1"/>
  <c r="P10" i="1"/>
  <c r="P11" i="1"/>
  <c r="P12" i="1"/>
  <c r="P13" i="1"/>
  <c r="P14" i="1"/>
  <c r="P16" i="1"/>
  <c r="X16" i="1" s="1"/>
  <c r="P17" i="1"/>
  <c r="P18" i="1"/>
  <c r="P19" i="1"/>
  <c r="X19" i="1" s="1"/>
  <c r="P21" i="1"/>
  <c r="P22" i="1"/>
  <c r="P23" i="1"/>
  <c r="P24" i="1"/>
  <c r="P25" i="1"/>
  <c r="P26" i="1"/>
  <c r="X26" i="1" s="1"/>
  <c r="P27" i="1"/>
  <c r="X27" i="1" s="1"/>
  <c r="P28" i="1"/>
  <c r="P29" i="1"/>
  <c r="X29" i="1" s="1"/>
  <c r="P30" i="1"/>
  <c r="P31" i="1"/>
  <c r="P32" i="1"/>
  <c r="X32" i="1" s="1"/>
  <c r="P33" i="1"/>
  <c r="X33" i="1" s="1"/>
  <c r="P34" i="1"/>
  <c r="P35" i="1"/>
  <c r="P36" i="1"/>
  <c r="P37" i="1"/>
  <c r="P38" i="1"/>
  <c r="X38" i="1" s="1"/>
  <c r="P39" i="1"/>
  <c r="P40" i="1"/>
  <c r="P41" i="1"/>
  <c r="P42" i="1"/>
  <c r="P43" i="1"/>
  <c r="X43" i="1" s="1"/>
  <c r="P44" i="1"/>
  <c r="X44" i="1" s="1"/>
  <c r="P45" i="1"/>
  <c r="W45" i="1" s="1"/>
  <c r="P48" i="1"/>
  <c r="X48" i="1" s="1"/>
  <c r="P49" i="1"/>
  <c r="X49" i="1" s="1"/>
  <c r="P50" i="1"/>
  <c r="X50" i="1" s="1"/>
  <c r="P51" i="1"/>
  <c r="X51" i="1" s="1"/>
  <c r="P52" i="1"/>
  <c r="X52" i="1" s="1"/>
  <c r="P53" i="1"/>
  <c r="X53" i="1" s="1"/>
  <c r="P54" i="1"/>
  <c r="X54" i="1" s="1"/>
  <c r="P55" i="1"/>
  <c r="X55" i="1" s="1"/>
  <c r="P56" i="1"/>
  <c r="X56" i="1" s="1"/>
  <c r="P57" i="1"/>
  <c r="X57" i="1" s="1"/>
  <c r="P58" i="1"/>
  <c r="X58" i="1" s="1"/>
  <c r="P59" i="1"/>
  <c r="X59" i="1" s="1"/>
  <c r="P60" i="1"/>
  <c r="X60" i="1" s="1"/>
  <c r="P61" i="1"/>
  <c r="X61" i="1" s="1"/>
  <c r="P62" i="1"/>
  <c r="X62" i="1" s="1"/>
  <c r="P63" i="1"/>
  <c r="X63" i="1" s="1"/>
  <c r="P64" i="1"/>
  <c r="X64" i="1" s="1"/>
  <c r="P66" i="1"/>
  <c r="X66" i="1" s="1"/>
  <c r="P67" i="1"/>
  <c r="X67" i="1" s="1"/>
  <c r="P69" i="1"/>
  <c r="X69" i="1" s="1"/>
  <c r="P6" i="1"/>
  <c r="X6" i="1" s="1"/>
  <c r="L69" i="1"/>
  <c r="F68" i="1"/>
  <c r="E68" i="1"/>
  <c r="L68" i="1" s="1"/>
  <c r="L67" i="1"/>
  <c r="L66" i="1"/>
  <c r="F65" i="1"/>
  <c r="E65" i="1"/>
  <c r="L65" i="1" s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F47" i="1"/>
  <c r="E47" i="1"/>
  <c r="L47" i="1" s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F20" i="1"/>
  <c r="E20" i="1"/>
  <c r="L20" i="1" s="1"/>
  <c r="L19" i="1"/>
  <c r="L18" i="1"/>
  <c r="L17" i="1"/>
  <c r="L16" i="1"/>
  <c r="F15" i="1"/>
  <c r="E15" i="1"/>
  <c r="L15" i="1" s="1"/>
  <c r="L14" i="1"/>
  <c r="L13" i="1"/>
  <c r="L12" i="1"/>
  <c r="L11" i="1"/>
  <c r="L10" i="1"/>
  <c r="L9" i="1"/>
  <c r="L8" i="1"/>
  <c r="L7" i="1"/>
  <c r="L6" i="1"/>
  <c r="AC5" i="1"/>
  <c r="AB5" i="1"/>
  <c r="AA5" i="1"/>
  <c r="Z5" i="1"/>
  <c r="Y5" i="1"/>
  <c r="U5" i="1"/>
  <c r="O5" i="1"/>
  <c r="N5" i="1"/>
  <c r="M5" i="1"/>
  <c r="K5" i="1"/>
  <c r="X42" i="1" l="1"/>
  <c r="S42" i="1"/>
  <c r="X40" i="1"/>
  <c r="S40" i="1"/>
  <c r="X36" i="1"/>
  <c r="S36" i="1"/>
  <c r="AG36" i="1" s="1"/>
  <c r="AK36" i="1" s="1"/>
  <c r="X34" i="1"/>
  <c r="S34" i="1"/>
  <c r="X30" i="1"/>
  <c r="X28" i="1"/>
  <c r="AE28" i="1"/>
  <c r="X24" i="1"/>
  <c r="S24" i="1"/>
  <c r="X22" i="1"/>
  <c r="S22" i="1"/>
  <c r="X17" i="1"/>
  <c r="X14" i="1"/>
  <c r="X12" i="1"/>
  <c r="X10" i="1"/>
  <c r="S10" i="1"/>
  <c r="AG10" i="1" s="1"/>
  <c r="AK10" i="1" s="1"/>
  <c r="X41" i="1"/>
  <c r="S41" i="1"/>
  <c r="X39" i="1"/>
  <c r="S39" i="1"/>
  <c r="X37" i="1"/>
  <c r="S37" i="1"/>
  <c r="X35" i="1"/>
  <c r="S35" i="1"/>
  <c r="AG35" i="1" s="1"/>
  <c r="AK35" i="1" s="1"/>
  <c r="X31" i="1"/>
  <c r="X25" i="1"/>
  <c r="X23" i="1"/>
  <c r="S23" i="1"/>
  <c r="X21" i="1"/>
  <c r="S21" i="1"/>
  <c r="X18" i="1"/>
  <c r="X13" i="1"/>
  <c r="AE13" i="1"/>
  <c r="X11" i="1"/>
  <c r="S11" i="1"/>
  <c r="AG12" i="1"/>
  <c r="AK12" i="1" s="1"/>
  <c r="S48" i="1"/>
  <c r="S55" i="1"/>
  <c r="S67" i="1"/>
  <c r="P46" i="1"/>
  <c r="X46" i="1" s="1"/>
  <c r="S51" i="1"/>
  <c r="AG51" i="1" s="1"/>
  <c r="AK51" i="1" s="1"/>
  <c r="AG30" i="1"/>
  <c r="AK30" i="1" s="1"/>
  <c r="AG29" i="1"/>
  <c r="AK29" i="1" s="1"/>
  <c r="S50" i="1"/>
  <c r="AE50" i="1" s="1"/>
  <c r="S52" i="1"/>
  <c r="AG52" i="1" s="1"/>
  <c r="AK52" i="1" s="1"/>
  <c r="W26" i="1"/>
  <c r="S57" i="1"/>
  <c r="AE29" i="1"/>
  <c r="S59" i="1"/>
  <c r="S44" i="1"/>
  <c r="W32" i="1"/>
  <c r="AE54" i="1"/>
  <c r="W69" i="1"/>
  <c r="S49" i="1"/>
  <c r="W19" i="1"/>
  <c r="P65" i="1"/>
  <c r="W8" i="1"/>
  <c r="X45" i="1"/>
  <c r="W6" i="1"/>
  <c r="P68" i="1"/>
  <c r="W7" i="1"/>
  <c r="P20" i="1"/>
  <c r="P15" i="1"/>
  <c r="P47" i="1"/>
  <c r="F5" i="1"/>
  <c r="T54" i="1"/>
  <c r="W54" i="1" s="1"/>
  <c r="L5" i="1"/>
  <c r="E5" i="1"/>
  <c r="AH54" i="1"/>
  <c r="AG13" i="1" l="1"/>
  <c r="AK13" i="1" s="1"/>
  <c r="S46" i="1"/>
  <c r="AE46" i="1" s="1"/>
  <c r="AE10" i="1"/>
  <c r="AG28" i="1"/>
  <c r="T28" i="1" s="1"/>
  <c r="W28" i="1" s="1"/>
  <c r="T30" i="1"/>
  <c r="W30" i="1" s="1"/>
  <c r="AE30" i="1"/>
  <c r="AH30" i="1"/>
  <c r="T36" i="1"/>
  <c r="W36" i="1" s="1"/>
  <c r="T29" i="1"/>
  <c r="W29" i="1" s="1"/>
  <c r="AE52" i="1"/>
  <c r="AH10" i="1"/>
  <c r="T10" i="1"/>
  <c r="W10" i="1" s="1"/>
  <c r="T35" i="1"/>
  <c r="W35" i="1" s="1"/>
  <c r="AE35" i="1"/>
  <c r="T12" i="1"/>
  <c r="W12" i="1" s="1"/>
  <c r="AH12" i="1"/>
  <c r="AE12" i="1"/>
  <c r="AH36" i="1"/>
  <c r="X65" i="1"/>
  <c r="AH52" i="1"/>
  <c r="T52" i="1"/>
  <c r="W52" i="1" s="1"/>
  <c r="AH35" i="1"/>
  <c r="AH29" i="1"/>
  <c r="AE36" i="1"/>
  <c r="AE11" i="1"/>
  <c r="AG11" i="1"/>
  <c r="AG55" i="1"/>
  <c r="AE55" i="1"/>
  <c r="AG53" i="1"/>
  <c r="AE53" i="1"/>
  <c r="AG9" i="1"/>
  <c r="AE9" i="1"/>
  <c r="AG56" i="1"/>
  <c r="AE56" i="1"/>
  <c r="AG37" i="1"/>
  <c r="AE37" i="1"/>
  <c r="AH51" i="1"/>
  <c r="AE51" i="1"/>
  <c r="AG33" i="1"/>
  <c r="AE33" i="1"/>
  <c r="AG34" i="1"/>
  <c r="AE34" i="1"/>
  <c r="AG31" i="1"/>
  <c r="AE31" i="1"/>
  <c r="T51" i="1"/>
  <c r="W51" i="1" s="1"/>
  <c r="AG50" i="1"/>
  <c r="AG17" i="1"/>
  <c r="AE17" i="1"/>
  <c r="AG48" i="1"/>
  <c r="AE48" i="1"/>
  <c r="AG61" i="1"/>
  <c r="AE61" i="1"/>
  <c r="AG27" i="1"/>
  <c r="AE27" i="1"/>
  <c r="AG25" i="1"/>
  <c r="AE25" i="1"/>
  <c r="AE40" i="1"/>
  <c r="AG40" i="1"/>
  <c r="AG68" i="1"/>
  <c r="AE68" i="1"/>
  <c r="AG60" i="1"/>
  <c r="AE60" i="1"/>
  <c r="AG67" i="1"/>
  <c r="AE67" i="1"/>
  <c r="AG16" i="1"/>
  <c r="AE16" i="1"/>
  <c r="AG49" i="1"/>
  <c r="AE49" i="1"/>
  <c r="AG24" i="1"/>
  <c r="AE24" i="1"/>
  <c r="AG59" i="1"/>
  <c r="AE59" i="1"/>
  <c r="AG66" i="1"/>
  <c r="AE66" i="1"/>
  <c r="AG38" i="1"/>
  <c r="AE38" i="1"/>
  <c r="AG23" i="1"/>
  <c r="AE23" i="1"/>
  <c r="AG39" i="1"/>
  <c r="AE39" i="1"/>
  <c r="AG44" i="1"/>
  <c r="AE44" i="1"/>
  <c r="X47" i="1"/>
  <c r="AG15" i="1"/>
  <c r="AE15" i="1"/>
  <c r="AE22" i="1"/>
  <c r="AG22" i="1"/>
  <c r="AG58" i="1"/>
  <c r="AE58" i="1"/>
  <c r="AE64" i="1"/>
  <c r="AG64" i="1"/>
  <c r="AE14" i="1"/>
  <c r="AG14" i="1"/>
  <c r="AE43" i="1"/>
  <c r="AG43" i="1"/>
  <c r="AE21" i="1"/>
  <c r="AG21" i="1"/>
  <c r="X20" i="1"/>
  <c r="AE63" i="1"/>
  <c r="AG63" i="1"/>
  <c r="AG65" i="1"/>
  <c r="AE65" i="1"/>
  <c r="AG57" i="1"/>
  <c r="AG42" i="1"/>
  <c r="AE42" i="1"/>
  <c r="AG18" i="1"/>
  <c r="AE18" i="1"/>
  <c r="AE57" i="1"/>
  <c r="AE62" i="1"/>
  <c r="AG62" i="1"/>
  <c r="AE41" i="1"/>
  <c r="AG41" i="1"/>
  <c r="P5" i="1"/>
  <c r="X68" i="1"/>
  <c r="X15" i="1"/>
  <c r="AK28" i="1" l="1"/>
  <c r="AH28" i="1"/>
  <c r="AH13" i="1"/>
  <c r="T13" i="1"/>
  <c r="W13" i="1" s="1"/>
  <c r="AG46" i="1"/>
  <c r="AK46" i="1" s="1"/>
  <c r="AK11" i="1"/>
  <c r="AH11" i="1"/>
  <c r="T11" i="1"/>
  <c r="W11" i="1" s="1"/>
  <c r="AH31" i="1"/>
  <c r="T31" i="1"/>
  <c r="W31" i="1" s="1"/>
  <c r="AK31" i="1"/>
  <c r="AK34" i="1"/>
  <c r="T34" i="1"/>
  <c r="W34" i="1" s="1"/>
  <c r="AH34" i="1"/>
  <c r="AH37" i="1"/>
  <c r="AK37" i="1"/>
  <c r="T37" i="1"/>
  <c r="W37" i="1" s="1"/>
  <c r="T56" i="1"/>
  <c r="W56" i="1" s="1"/>
  <c r="AH56" i="1"/>
  <c r="AK56" i="1"/>
  <c r="AK33" i="1"/>
  <c r="AH33" i="1"/>
  <c r="T33" i="1"/>
  <c r="W33" i="1" s="1"/>
  <c r="AH9" i="1"/>
  <c r="T9" i="1"/>
  <c r="W9" i="1" s="1"/>
  <c r="AK9" i="1"/>
  <c r="T17" i="1"/>
  <c r="W17" i="1" s="1"/>
  <c r="AK17" i="1"/>
  <c r="AH17" i="1"/>
  <c r="AK53" i="1"/>
  <c r="T53" i="1"/>
  <c r="W53" i="1" s="1"/>
  <c r="AH53" i="1"/>
  <c r="AK50" i="1"/>
  <c r="T50" i="1"/>
  <c r="W50" i="1" s="1"/>
  <c r="AH50" i="1"/>
  <c r="AK55" i="1"/>
  <c r="T55" i="1"/>
  <c r="W55" i="1" s="1"/>
  <c r="AH55" i="1"/>
  <c r="AK22" i="1"/>
  <c r="T22" i="1"/>
  <c r="W22" i="1" s="1"/>
  <c r="AH22" i="1"/>
  <c r="AG47" i="1"/>
  <c r="AE47" i="1"/>
  <c r="AK49" i="1"/>
  <c r="T49" i="1"/>
  <c r="W49" i="1" s="1"/>
  <c r="AH49" i="1"/>
  <c r="T42" i="1"/>
  <c r="W42" i="1" s="1"/>
  <c r="AK42" i="1"/>
  <c r="AH42" i="1"/>
  <c r="AK60" i="1"/>
  <c r="AH60" i="1"/>
  <c r="T60" i="1"/>
  <c r="W60" i="1" s="1"/>
  <c r="AK23" i="1"/>
  <c r="AH23" i="1"/>
  <c r="T23" i="1"/>
  <c r="W23" i="1" s="1"/>
  <c r="AK44" i="1"/>
  <c r="T44" i="1"/>
  <c r="W44" i="1" s="1"/>
  <c r="AH44" i="1"/>
  <c r="AK21" i="1"/>
  <c r="AH21" i="1"/>
  <c r="T21" i="1"/>
  <c r="W21" i="1" s="1"/>
  <c r="AK25" i="1"/>
  <c r="T25" i="1"/>
  <c r="W25" i="1" s="1"/>
  <c r="AH25" i="1"/>
  <c r="AK16" i="1"/>
  <c r="T16" i="1"/>
  <c r="W16" i="1" s="1"/>
  <c r="AH16" i="1"/>
  <c r="AK63" i="1"/>
  <c r="AH63" i="1"/>
  <c r="T63" i="1"/>
  <c r="W63" i="1" s="1"/>
  <c r="AK68" i="1"/>
  <c r="AH68" i="1"/>
  <c r="T68" i="1"/>
  <c r="W68" i="1" s="1"/>
  <c r="AK38" i="1"/>
  <c r="AH38" i="1"/>
  <c r="T38" i="1"/>
  <c r="W38" i="1" s="1"/>
  <c r="AK27" i="1"/>
  <c r="T27" i="1"/>
  <c r="W27" i="1" s="1"/>
  <c r="AH27" i="1"/>
  <c r="AK67" i="1"/>
  <c r="AH67" i="1"/>
  <c r="T67" i="1"/>
  <c r="W67" i="1" s="1"/>
  <c r="AK39" i="1"/>
  <c r="AH39" i="1"/>
  <c r="T39" i="1"/>
  <c r="W39" i="1" s="1"/>
  <c r="AH66" i="1"/>
  <c r="T66" i="1"/>
  <c r="W66" i="1" s="1"/>
  <c r="AK66" i="1"/>
  <c r="AK64" i="1"/>
  <c r="T64" i="1"/>
  <c r="W64" i="1" s="1"/>
  <c r="AH64" i="1"/>
  <c r="AK15" i="1"/>
  <c r="T15" i="1"/>
  <c r="W15" i="1" s="1"/>
  <c r="AH15" i="1"/>
  <c r="AG20" i="1"/>
  <c r="AE20" i="1"/>
  <c r="S5" i="1"/>
  <c r="AK62" i="1"/>
  <c r="AH62" i="1"/>
  <c r="T62" i="1"/>
  <c r="W62" i="1" s="1"/>
  <c r="AK61" i="1"/>
  <c r="T61" i="1"/>
  <c r="W61" i="1" s="1"/>
  <c r="AH61" i="1"/>
  <c r="AK40" i="1"/>
  <c r="T40" i="1"/>
  <c r="W40" i="1" s="1"/>
  <c r="AH40" i="1"/>
  <c r="AK41" i="1"/>
  <c r="AH41" i="1"/>
  <c r="T41" i="1"/>
  <c r="W41" i="1" s="1"/>
  <c r="AK59" i="1"/>
  <c r="T59" i="1"/>
  <c r="W59" i="1" s="1"/>
  <c r="AH59" i="1"/>
  <c r="AK57" i="1"/>
  <c r="T57" i="1"/>
  <c r="W57" i="1" s="1"/>
  <c r="AH57" i="1"/>
  <c r="AK65" i="1"/>
  <c r="T65" i="1"/>
  <c r="W65" i="1" s="1"/>
  <c r="AH65" i="1"/>
  <c r="AK43" i="1"/>
  <c r="T43" i="1"/>
  <c r="W43" i="1" s="1"/>
  <c r="AH43" i="1"/>
  <c r="T14" i="1"/>
  <c r="AK14" i="1"/>
  <c r="AH14" i="1"/>
  <c r="AK18" i="1"/>
  <c r="T18" i="1"/>
  <c r="W18" i="1" s="1"/>
  <c r="AH18" i="1"/>
  <c r="AH58" i="1"/>
  <c r="AK58" i="1"/>
  <c r="T58" i="1"/>
  <c r="W58" i="1" s="1"/>
  <c r="T24" i="1"/>
  <c r="W24" i="1" s="1"/>
  <c r="AK24" i="1"/>
  <c r="AH24" i="1"/>
  <c r="AK48" i="1"/>
  <c r="AH48" i="1"/>
  <c r="T48" i="1"/>
  <c r="W48" i="1" s="1"/>
  <c r="T46" i="1" l="1"/>
  <c r="W46" i="1" s="1"/>
  <c r="AH46" i="1"/>
  <c r="AE5" i="1"/>
  <c r="AK47" i="1"/>
  <c r="T47" i="1"/>
  <c r="W47" i="1" s="1"/>
  <c r="AH47" i="1"/>
  <c r="AK20" i="1"/>
  <c r="T20" i="1"/>
  <c r="W20" i="1" s="1"/>
  <c r="AH20" i="1"/>
  <c r="AG5" i="1"/>
  <c r="W14" i="1"/>
  <c r="T5" i="1"/>
  <c r="AK5" i="1" l="1"/>
  <c r="AH5" i="1"/>
</calcChain>
</file>

<file path=xl/sharedStrings.xml><?xml version="1.0" encoding="utf-8"?>
<sst xmlns="http://schemas.openxmlformats.org/spreadsheetml/2006/main" count="281" uniqueCount="179">
  <si>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</si>
  <si>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</si>
  <si>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</si>
  <si>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</si>
  <si>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</si>
  <si>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</si>
  <si>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</si>
  <si>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</si>
  <si>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</si>
  <si>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</si>
  <si>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</si>
  <si>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</si>
  <si>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</si>
  <si>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</si>
  <si>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</si>
  <si>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</si>
  <si>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</si>
  <si>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</si>
  <si>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</si>
  <si>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</si>
  <si>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</si>
  <si>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</si>
  <si>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</si>
  <si>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</si>
  <si>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</si>
  <si>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</si>
  <si>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</si>
  <si>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</si>
  <si>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</si>
  <si>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</si>
  <si>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</si>
  <si>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</si>
  <si>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</si>
  <si>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</si>
  <si>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</si>
  <si>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</si>
  <si>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</si>
  <si>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</si>
  <si>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</si>
  <si>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</si>
  <si>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</si>
  <si>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</si>
  <si>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</si>
  <si>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</si>
  <si>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</si>
  <si>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</si>
  <si>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</si>
  <si>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</si>
  <si>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</si>
  <si>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сети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</si>
  <si>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</si>
  <si>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</si>
  <si>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</si>
  <si>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</si>
  <si>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</si>
  <si>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</si>
  <si>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</si>
  <si>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</si>
  <si>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</si>
  <si>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</si>
  <si>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</si>
  <si>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нужно увеличить продажи!!!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</si>
  <si>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</si>
  <si>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</si>
  <si>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</si>
  <si>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</si>
  <si>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Круггетсы с сырным соусом ТМ Горячая штучка 0,25 кг зам  ПОКОМ</t>
  </si>
  <si>
    <t>дубль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</si>
  <si>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</si>
  <si>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</si>
  <si>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</si>
  <si>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</si>
  <si>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</si>
  <si>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</si>
  <si>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</si>
  <si>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</si>
  <si>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</si>
  <si>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</si>
  <si>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</si>
  <si>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</si>
  <si>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</si>
  <si>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в хрустящей панировке ТМ Горячая штучка флоу-пак 0,25 кг  ПОКОМ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</si>
  <si>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</si>
  <si>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</si>
  <si>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</si>
  <si>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</si>
  <si>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</si>
  <si>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</si>
  <si>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</si>
  <si>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</si>
  <si>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</si>
  <si>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</si>
  <si>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</si>
  <si>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</si>
  <si>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</si>
  <si>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</si>
  <si>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</si>
  <si>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</si>
  <si>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</si>
  <si>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</si>
  <si>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</si>
  <si>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</si>
  <si>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</si>
  <si>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</si>
  <si>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</si>
  <si>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</si>
  <si>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</si>
  <si>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</si>
  <si>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</si>
  <si>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</si>
  <si>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</si>
  <si>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</si>
  <si>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</si>
  <si>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</si>
  <si>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</si>
  <si>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</si>
  <si>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</si>
  <si>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шт. 0,43 кг  ПОКОМ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</si>
  <si>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</si>
  <si>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</si>
  <si>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</si>
  <si>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</si>
  <si>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</si>
  <si>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</si>
  <si>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</si>
  <si>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</si>
  <si>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</si>
  <si>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</si>
  <si>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</si>
  <si>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</si>
  <si>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</si>
  <si>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Пирожки с мясом 3,7кг ВЕС ТМ Зареченские  ПОКОМ</t>
  </si>
  <si>
    <t>P004359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</si>
  <si>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</si>
  <si>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</si>
  <si>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</si>
  <si>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</si>
  <si>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</si>
  <si>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</si>
  <si>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</si>
  <si>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</si>
  <si>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</si>
  <si>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</si>
  <si>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</si>
  <si>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</si>
  <si>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</si>
  <si>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</si>
  <si>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</si>
  <si>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</si>
  <si>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</si>
  <si>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</si>
  <si>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</si>
  <si>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</si>
  <si>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</si>
  <si>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</si>
  <si>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</si>
  <si>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</si>
  <si>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</si>
  <si>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</si>
  <si>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</si>
  <si>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</si>
  <si>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</si>
  <si>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</si>
  <si>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нужно увеличить продажи</t>
  </si>
  <si>
    <t>Чебуреки сочные, ВЕС, куриные жарен. зам  ПОКОМ</t>
  </si>
  <si>
    <t>нет</t>
  </si>
  <si>
    <t>Снеки «ЖАР-ладушки с клубникой и вишней» Фикс.вес 0,2 ТМ «Стародворье»</t>
  </si>
  <si>
    <t>Снеки «Жареные вареники с картофелем и беконом Добросельские» Фикс.вес 0,2 ТМ «Стародворье»</t>
  </si>
  <si>
    <t>«Чебупицца 4 сыра из растительного белка» ф/в 0,25 ТМ «Горячая штучка»</t>
  </si>
  <si>
    <t>P004822</t>
  </si>
  <si>
    <t>P004806</t>
  </si>
  <si>
    <t>P003741</t>
  </si>
  <si>
    <t>промо Горняк</t>
  </si>
  <si>
    <t>нет в бланке</t>
  </si>
  <si>
    <t>не верный код (не Добросельские P005129)</t>
  </si>
  <si>
    <t>не верный код P004818</t>
  </si>
  <si>
    <t>итого</t>
  </si>
  <si>
    <t>промежуточные</t>
  </si>
  <si>
    <t>29,06,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</si>
</sst>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sz val="10"/>
      <color rgb="FFFF000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1"/>
    <xf numFmtId="0" fontId="1" fillId="0" borderId="1"/>
  </cellStyleXfs>
  <cellXfs count="4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0" fillId="0" borderId="0" xfId="0" applyNumberFormat="1" applyBorder="1"/>
    <xf numFmtId="165" fontId="1" fillId="3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5" fontId="1" fillId="5" borderId="1" xfId="1" applyNumberFormat="1" applyFill="1"/>
    <xf numFmtId="164" fontId="4" fillId="5" borderId="1" xfId="1" applyNumberFormat="1" applyFont="1" applyFill="1"/>
    <xf numFmtId="164" fontId="4" fillId="0" borderId="1" xfId="1" applyNumberFormat="1" applyFont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4" fillId="7" borderId="1" xfId="1" applyNumberFormat="1" applyFont="1" applyFill="1"/>
    <xf numFmtId="164" fontId="7" fillId="7" borderId="1" xfId="1" applyNumberFormat="1" applyFont="1" applyFill="1"/>
    <xf numFmtId="164" fontId="1" fillId="5" borderId="4" xfId="1" applyNumberFormat="1" applyFill="1" applyBorder="1"/>
    <xf numFmtId="0" fontId="8" fillId="7" borderId="3" xfId="0" applyFont="1" applyFill="1" applyBorder="1" applyAlignment="1">
      <alignment vertical="center"/>
    </xf>
    <xf numFmtId="164" fontId="4" fillId="0" borderId="3" xfId="1" applyNumberFormat="1" applyFont="1" applyBorder="1"/>
    <xf numFmtId="164" fontId="1" fillId="0" borderId="3" xfId="1" applyNumberFormat="1" applyBorder="1"/>
    <xf numFmtId="2" fontId="1" fillId="0" borderId="3" xfId="1" applyNumberFormat="1" applyBorder="1"/>
    <xf numFmtId="0" fontId="8" fillId="0" borderId="3" xfId="0" applyFont="1" applyBorder="1" applyAlignment="1">
      <alignment vertical="center"/>
    </xf>
    <xf numFmtId="164" fontId="1" fillId="7" borderId="3" xfId="1" applyNumberFormat="1" applyFill="1" applyBorder="1"/>
    <xf numFmtId="164" fontId="1" fillId="7" borderId="2" xfId="1" applyNumberFormat="1" applyFill="1" applyBorder="1"/>
    <xf numFmtId="0" fontId="0" fillId="0" borderId="1" xfId="0"/>
    <xf numFmtId="166" fontId="1" fillId="0" borderId="1" xfId="1" applyNumberFormat="1"/>
    <xf numFmtId="164" fontId="10" fillId="0" borderId="1" xfId="1" applyNumberFormat="1" applyFont="1"/>
    <xf numFmtId="164" fontId="10" fillId="3" borderId="1" xfId="1" applyNumberFormat="1" applyFont="1" applyFill="1"/>
    <xf numFmtId="164" fontId="10" fillId="5" borderId="2" xfId="1" applyNumberFormat="1" applyFont="1" applyFill="1" applyBorder="1"/>
    <xf numFmtId="164" fontId="10" fillId="0" borderId="2" xfId="1" applyNumberFormat="1" applyFont="1" applyBorder="1"/>
    <xf numFmtId="164" fontId="10" fillId="5" borderId="4" xfId="1" applyNumberFormat="1" applyFont="1" applyFill="1" applyBorder="1"/>
    <xf numFmtId="164" fontId="10" fillId="0" borderId="3" xfId="1" applyNumberFormat="1" applyFont="1" applyBorder="1"/>
    <xf numFmtId="0" fontId="9" fillId="0" borderId="0" xfId="0" applyFont="1" applyBorder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49" activePane="bottomRight" state="frozen"/>
      <selection pane="topRight"/>
      <selection pane="bottomLeft"/>
      <selection pane="bottomRight" activeCell="AL69" sqref="AL6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5" width="0.42578125" customWidth="1"/>
    <col min="16" max="16" width="6" customWidth="1"/>
    <col min="17" max="17" width="7" customWidth="1"/>
    <col min="18" max="18" width="7" style="33" customWidth="1"/>
    <col min="19" max="19" width="7" customWidth="1"/>
    <col min="20" max="20" width="7" style="41" customWidth="1"/>
    <col min="21" max="21" width="7" customWidth="1"/>
    <col min="22" max="22" width="15" customWidth="1"/>
    <col min="23" max="24" width="5" customWidth="1"/>
    <col min="25" max="29" width="6" customWidth="1"/>
    <col min="30" max="30" width="30.85546875" customWidth="1"/>
    <col min="31" max="31" width="7" customWidth="1"/>
    <col min="32" max="32" width="6" style="12" customWidth="1"/>
    <col min="33" max="34" width="7" customWidth="1"/>
    <col min="35" max="36" width="5" customWidth="1"/>
    <col min="37" max="37" width="6" style="12" customWidth="1"/>
    <col min="38" max="52" width="8" customWidth="1"/>
  </cols>
  <sheetData>
    <row r="1" spans="1:52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4">
        <v>0.81</v>
      </c>
      <c r="T1" s="35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0"/>
      <c r="AG1" s="1"/>
      <c r="AH1" s="1"/>
      <c r="AI1" s="1"/>
      <c r="AJ1" s="1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35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0"/>
      <c r="AG2" s="1"/>
      <c r="AH2" s="1"/>
      <c r="AI2" s="1"/>
      <c r="AJ2" s="1"/>
      <c r="AK2" s="10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177</v>
      </c>
      <c r="S3" s="3" t="s">
        <v>176</v>
      </c>
      <c r="T3" s="3" t="s">
        <v>17</v>
      </c>
      <c r="U3" s="7" t="s">
        <v>18</v>
      </c>
      <c r="V3" s="7" t="s">
        <v>19</v>
      </c>
      <c r="W3" s="2" t="s">
        <v>20</v>
      </c>
      <c r="X3" s="2" t="s">
        <v>21</v>
      </c>
      <c r="Y3" s="2" t="s">
        <v>22</v>
      </c>
      <c r="Z3" s="2" t="s">
        <v>22</v>
      </c>
      <c r="AA3" s="2" t="s">
        <v>22</v>
      </c>
      <c r="AB3" s="2" t="s">
        <v>22</v>
      </c>
      <c r="AC3" s="2" t="s">
        <v>22</v>
      </c>
      <c r="AD3" s="2" t="s">
        <v>23</v>
      </c>
      <c r="AE3" s="2" t="s">
        <v>24</v>
      </c>
      <c r="AF3" s="11" t="s">
        <v>25</v>
      </c>
      <c r="AG3" s="2" t="s">
        <v>26</v>
      </c>
      <c r="AH3" s="2" t="s">
        <v>27</v>
      </c>
      <c r="AI3" s="2" t="s">
        <v>28</v>
      </c>
      <c r="AJ3" s="2" t="s">
        <v>29</v>
      </c>
      <c r="AK3" s="11" t="s">
        <v>30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165</v>
      </c>
      <c r="P4" s="1" t="s">
        <v>31</v>
      </c>
      <c r="Q4" s="1"/>
      <c r="R4" s="1"/>
      <c r="S4" s="1"/>
      <c r="T4" s="35"/>
      <c r="U4" s="1"/>
      <c r="V4" s="1"/>
      <c r="W4" s="1"/>
      <c r="X4" s="1"/>
      <c r="Y4" s="1" t="s">
        <v>32</v>
      </c>
      <c r="Z4" s="1" t="s">
        <v>33</v>
      </c>
      <c r="AA4" s="1" t="s">
        <v>34</v>
      </c>
      <c r="AB4" s="1" t="s">
        <v>35</v>
      </c>
      <c r="AC4" s="1" t="s">
        <v>36</v>
      </c>
      <c r="AD4" s="1"/>
      <c r="AE4" s="1"/>
      <c r="AF4" s="10"/>
      <c r="AG4" s="1" t="s">
        <v>178</v>
      </c>
      <c r="AH4" s="1"/>
      <c r="AI4" s="1"/>
      <c r="AJ4" s="1"/>
      <c r="AK4" s="10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21102.6</v>
      </c>
      <c r="F5" s="4">
        <f>SUM(F6:F500)</f>
        <v>30698.799999999999</v>
      </c>
      <c r="G5" s="8"/>
      <c r="H5" s="1"/>
      <c r="I5" s="1"/>
      <c r="J5" s="1"/>
      <c r="K5" s="4">
        <f t="shared" ref="K5:U5" si="0">SUM(K6:K500)</f>
        <v>21594.3</v>
      </c>
      <c r="L5" s="4">
        <f t="shared" si="0"/>
        <v>-491.69999999999993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4220.5200000000004</v>
      </c>
      <c r="Q5" s="4">
        <v>25535.820000000007</v>
      </c>
      <c r="R5" s="4">
        <f t="shared" si="0"/>
        <v>25535.820000000007</v>
      </c>
      <c r="S5" s="4">
        <f t="shared" si="0"/>
        <v>21810.794000000005</v>
      </c>
      <c r="T5" s="36">
        <f t="shared" si="0"/>
        <v>21937.200000000001</v>
      </c>
      <c r="U5" s="4">
        <f t="shared" si="0"/>
        <v>400</v>
      </c>
      <c r="V5" s="1"/>
      <c r="W5" s="1"/>
      <c r="X5" s="1"/>
      <c r="Y5" s="4">
        <f>SUM(Y6:Y500)</f>
        <v>4481.7599999999993</v>
      </c>
      <c r="Z5" s="4">
        <f>SUM(Z6:Z500)</f>
        <v>3678.24</v>
      </c>
      <c r="AA5" s="4">
        <f>SUM(AA6:AA500)</f>
        <v>4036.4</v>
      </c>
      <c r="AB5" s="4">
        <f>SUM(AB6:AB500)</f>
        <v>3487.1</v>
      </c>
      <c r="AC5" s="4">
        <f>SUM(AC6:AC500)</f>
        <v>4419.0399999999981</v>
      </c>
      <c r="AD5" s="1"/>
      <c r="AE5" s="4">
        <f>SUM(AE6:AE500)</f>
        <v>10357.205739999998</v>
      </c>
      <c r="AF5" s="10"/>
      <c r="AG5" s="4">
        <f>SUM(AG6:AG500)</f>
        <v>2680</v>
      </c>
      <c r="AH5" s="4">
        <f>SUM(AH6:AH500)</f>
        <v>10358.92</v>
      </c>
      <c r="AI5" s="1"/>
      <c r="AJ5" s="1"/>
      <c r="AK5" s="13">
        <f>SUM(AK6:AK500)</f>
        <v>30.37539682539683</v>
      </c>
      <c r="AL5" s="1"/>
      <c r="AM5" s="4">
        <f>SUM(AM6:AM500)</f>
        <v>1802.9300000000005</v>
      </c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8" t="s">
        <v>37</v>
      </c>
      <c r="B6" s="14" t="s">
        <v>38</v>
      </c>
      <c r="C6" s="14">
        <v>-54</v>
      </c>
      <c r="D6" s="14">
        <v>905</v>
      </c>
      <c r="E6" s="20">
        <v>250</v>
      </c>
      <c r="F6" s="20">
        <v>91</v>
      </c>
      <c r="G6" s="15">
        <v>0</v>
      </c>
      <c r="H6" s="14"/>
      <c r="I6" s="18" t="s">
        <v>39</v>
      </c>
      <c r="J6" s="14" t="s">
        <v>40</v>
      </c>
      <c r="K6" s="14">
        <v>259</v>
      </c>
      <c r="L6" s="14">
        <f t="shared" ref="L6:L37" si="1">E6-K6</f>
        <v>-9</v>
      </c>
      <c r="M6" s="14"/>
      <c r="N6" s="14"/>
      <c r="O6" s="14"/>
      <c r="P6" s="14">
        <f>E6/5</f>
        <v>50</v>
      </c>
      <c r="Q6" s="16"/>
      <c r="R6" s="16"/>
      <c r="S6" s="16"/>
      <c r="T6" s="37"/>
      <c r="U6" s="16"/>
      <c r="V6" s="14"/>
      <c r="W6" s="14">
        <f>(F6+T6)/P6</f>
        <v>1.82</v>
      </c>
      <c r="X6" s="14">
        <f>F6/P6</f>
        <v>1.82</v>
      </c>
      <c r="Y6" s="14">
        <v>69.400000000000006</v>
      </c>
      <c r="Z6" s="14">
        <v>54</v>
      </c>
      <c r="AA6" s="14">
        <v>52</v>
      </c>
      <c r="AB6" s="14">
        <v>51.2</v>
      </c>
      <c r="AC6" s="14">
        <v>41.8</v>
      </c>
      <c r="AD6" s="14"/>
      <c r="AE6" s="14"/>
      <c r="AF6" s="17"/>
      <c r="AG6" s="14"/>
      <c r="AH6" s="14"/>
      <c r="AI6" s="14"/>
      <c r="AJ6" s="14"/>
      <c r="AK6" s="17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8" t="s">
        <v>41</v>
      </c>
      <c r="B7" s="14" t="s">
        <v>38</v>
      </c>
      <c r="C7" s="14">
        <v>82</v>
      </c>
      <c r="D7" s="14">
        <v>315</v>
      </c>
      <c r="E7" s="20">
        <v>85</v>
      </c>
      <c r="F7" s="20">
        <v>243</v>
      </c>
      <c r="G7" s="15">
        <v>0</v>
      </c>
      <c r="H7" s="14"/>
      <c r="I7" s="18" t="s">
        <v>39</v>
      </c>
      <c r="J7" s="14" t="s">
        <v>42</v>
      </c>
      <c r="K7" s="14">
        <v>97</v>
      </c>
      <c r="L7" s="14">
        <f t="shared" si="1"/>
        <v>-12</v>
      </c>
      <c r="M7" s="14"/>
      <c r="N7" s="14"/>
      <c r="O7" s="14"/>
      <c r="P7" s="14">
        <f t="shared" ref="P7:P69" si="2">E7/5</f>
        <v>17</v>
      </c>
      <c r="Q7" s="16"/>
      <c r="R7" s="16"/>
      <c r="S7" s="16"/>
      <c r="T7" s="37"/>
      <c r="U7" s="16"/>
      <c r="V7" s="14"/>
      <c r="W7" s="14">
        <f t="shared" ref="W7:W69" si="3">(F7+T7)/P7</f>
        <v>14.294117647058824</v>
      </c>
      <c r="X7" s="14">
        <f t="shared" ref="X7:X69" si="4">F7/P7</f>
        <v>14.294117647058824</v>
      </c>
      <c r="Y7" s="14">
        <v>25.2</v>
      </c>
      <c r="Z7" s="14">
        <v>18.399999999999999</v>
      </c>
      <c r="AA7" s="14">
        <v>17.2</v>
      </c>
      <c r="AB7" s="14">
        <v>10.8</v>
      </c>
      <c r="AC7" s="14">
        <v>19.8</v>
      </c>
      <c r="AD7" s="14"/>
      <c r="AE7" s="14"/>
      <c r="AF7" s="17"/>
      <c r="AG7" s="14"/>
      <c r="AH7" s="14"/>
      <c r="AI7" s="14"/>
      <c r="AJ7" s="14"/>
      <c r="AK7" s="17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8" t="s">
        <v>43</v>
      </c>
      <c r="B8" s="14" t="s">
        <v>38</v>
      </c>
      <c r="C8" s="14">
        <v>580</v>
      </c>
      <c r="D8" s="14">
        <v>520</v>
      </c>
      <c r="E8" s="20">
        <v>108</v>
      </c>
      <c r="F8" s="20">
        <v>431</v>
      </c>
      <c r="G8" s="15">
        <v>0</v>
      </c>
      <c r="H8" s="14"/>
      <c r="I8" s="18" t="s">
        <v>39</v>
      </c>
      <c r="J8" s="14" t="s">
        <v>44</v>
      </c>
      <c r="K8" s="14">
        <v>126</v>
      </c>
      <c r="L8" s="14">
        <f t="shared" si="1"/>
        <v>-18</v>
      </c>
      <c r="M8" s="14"/>
      <c r="N8" s="14"/>
      <c r="O8" s="14"/>
      <c r="P8" s="14">
        <f t="shared" si="2"/>
        <v>21.6</v>
      </c>
      <c r="Q8" s="16"/>
      <c r="R8" s="16"/>
      <c r="S8" s="16"/>
      <c r="T8" s="37"/>
      <c r="U8" s="16"/>
      <c r="V8" s="14"/>
      <c r="W8" s="14">
        <f t="shared" si="3"/>
        <v>19.953703703703702</v>
      </c>
      <c r="X8" s="14">
        <f t="shared" si="4"/>
        <v>19.953703703703702</v>
      </c>
      <c r="Y8" s="14">
        <v>12.6</v>
      </c>
      <c r="Z8" s="14">
        <v>8.1999999999999993</v>
      </c>
      <c r="AA8" s="14">
        <v>5.6</v>
      </c>
      <c r="AB8" s="14">
        <v>4.4000000000000004</v>
      </c>
      <c r="AC8" s="14">
        <v>10</v>
      </c>
      <c r="AD8" s="14"/>
      <c r="AE8" s="14"/>
      <c r="AF8" s="17"/>
      <c r="AG8" s="14"/>
      <c r="AH8" s="14"/>
      <c r="AI8" s="14"/>
      <c r="AJ8" s="14"/>
      <c r="AK8" s="17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45</v>
      </c>
      <c r="B9" s="1" t="s">
        <v>38</v>
      </c>
      <c r="C9" s="1">
        <v>33</v>
      </c>
      <c r="D9" s="1"/>
      <c r="E9" s="1">
        <v>26</v>
      </c>
      <c r="F9" s="1">
        <v>3</v>
      </c>
      <c r="G9" s="8">
        <v>0.22</v>
      </c>
      <c r="H9" s="1">
        <v>180</v>
      </c>
      <c r="I9" s="1" t="s">
        <v>46</v>
      </c>
      <c r="J9" s="1"/>
      <c r="K9" s="1">
        <v>26</v>
      </c>
      <c r="L9" s="1">
        <f t="shared" si="1"/>
        <v>0</v>
      </c>
      <c r="M9" s="1"/>
      <c r="N9" s="1"/>
      <c r="O9" s="1"/>
      <c r="P9" s="1">
        <f t="shared" si="2"/>
        <v>5.2</v>
      </c>
      <c r="Q9" s="5">
        <v>101</v>
      </c>
      <c r="R9" s="5">
        <v>101</v>
      </c>
      <c r="S9" s="5">
        <f>R9*$S$1</f>
        <v>81.81</v>
      </c>
      <c r="T9" s="38">
        <f t="shared" ref="T9:T44" si="5">AF9*AG9</f>
        <v>0</v>
      </c>
      <c r="U9" s="5"/>
      <c r="V9" s="1"/>
      <c r="W9" s="1">
        <f t="shared" si="3"/>
        <v>0.57692307692307687</v>
      </c>
      <c r="X9" s="1">
        <f t="shared" si="4"/>
        <v>0.57692307692307687</v>
      </c>
      <c r="Y9" s="1">
        <v>6.4</v>
      </c>
      <c r="Z9" s="1">
        <v>4.5999999999999996</v>
      </c>
      <c r="AA9" s="1">
        <v>4.8</v>
      </c>
      <c r="AB9" s="1">
        <v>8.6</v>
      </c>
      <c r="AC9" s="1">
        <v>5.6</v>
      </c>
      <c r="AD9" s="1"/>
      <c r="AE9" s="1">
        <f t="shared" ref="AE9:AE18" si="6">G9*S9</f>
        <v>17.998200000000001</v>
      </c>
      <c r="AF9" s="10">
        <v>12</v>
      </c>
      <c r="AG9" s="1">
        <f t="shared" ref="AG9:AG18" si="7">MROUND(S9, AF9*AI9)/AF9</f>
        <v>0</v>
      </c>
      <c r="AH9" s="1">
        <f t="shared" ref="AH9:AH18" si="8">AG9*AF9*G9</f>
        <v>0</v>
      </c>
      <c r="AI9" s="1">
        <v>14</v>
      </c>
      <c r="AJ9" s="1">
        <v>70</v>
      </c>
      <c r="AK9" s="10">
        <f t="shared" ref="AK9:AK18" si="9">AG9/AJ9</f>
        <v>0</v>
      </c>
      <c r="AL9" s="1"/>
      <c r="AM9" s="1">
        <f>P9*G9</f>
        <v>1.1440000000000001</v>
      </c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47</v>
      </c>
      <c r="B10" s="1" t="s">
        <v>38</v>
      </c>
      <c r="C10" s="1">
        <v>80</v>
      </c>
      <c r="D10" s="1">
        <v>196</v>
      </c>
      <c r="E10" s="1">
        <v>112</v>
      </c>
      <c r="F10" s="1">
        <v>156</v>
      </c>
      <c r="G10" s="8">
        <v>0.3</v>
      </c>
      <c r="H10" s="1">
        <v>180</v>
      </c>
      <c r="I10" s="1" t="s">
        <v>48</v>
      </c>
      <c r="J10" s="1"/>
      <c r="K10" s="1">
        <v>127</v>
      </c>
      <c r="L10" s="1">
        <f t="shared" si="1"/>
        <v>-15</v>
      </c>
      <c r="M10" s="1"/>
      <c r="N10" s="1"/>
      <c r="O10" s="1"/>
      <c r="P10" s="1">
        <f t="shared" si="2"/>
        <v>22.4</v>
      </c>
      <c r="Q10" s="5">
        <v>157.59999999999997</v>
      </c>
      <c r="R10" s="5">
        <v>157.59999999999997</v>
      </c>
      <c r="S10" s="5">
        <f t="shared" ref="S10:S11" si="10">14*P10-F10</f>
        <v>157.59999999999997</v>
      </c>
      <c r="T10" s="38">
        <f t="shared" si="5"/>
        <v>168</v>
      </c>
      <c r="U10" s="5"/>
      <c r="V10" s="1"/>
      <c r="W10" s="1">
        <f t="shared" si="3"/>
        <v>14.464285714285715</v>
      </c>
      <c r="X10" s="1">
        <f t="shared" si="4"/>
        <v>6.9642857142857144</v>
      </c>
      <c r="Y10" s="1">
        <v>23</v>
      </c>
      <c r="Z10" s="1">
        <v>10.199999999999999</v>
      </c>
      <c r="AA10" s="1">
        <v>14.8</v>
      </c>
      <c r="AB10" s="1">
        <v>11.6</v>
      </c>
      <c r="AC10" s="1">
        <v>14.8</v>
      </c>
      <c r="AD10" s="1" t="s">
        <v>49</v>
      </c>
      <c r="AE10" s="1">
        <f t="shared" si="6"/>
        <v>47.279999999999987</v>
      </c>
      <c r="AF10" s="10">
        <v>12</v>
      </c>
      <c r="AG10" s="1">
        <f t="shared" si="7"/>
        <v>14</v>
      </c>
      <c r="AH10" s="1">
        <f t="shared" si="8"/>
        <v>50.4</v>
      </c>
      <c r="AI10" s="1">
        <v>14</v>
      </c>
      <c r="AJ10" s="1">
        <v>70</v>
      </c>
      <c r="AK10" s="10">
        <f t="shared" si="9"/>
        <v>0.2</v>
      </c>
      <c r="AL10" s="1"/>
      <c r="AM10" s="1">
        <f t="shared" ref="AM10:AM68" si="11">P10*G10</f>
        <v>6.72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50</v>
      </c>
      <c r="B11" s="1" t="s">
        <v>38</v>
      </c>
      <c r="C11" s="1">
        <v>1341</v>
      </c>
      <c r="D11" s="1">
        <v>912</v>
      </c>
      <c r="E11" s="1">
        <v>595</v>
      </c>
      <c r="F11" s="1">
        <v>1574</v>
      </c>
      <c r="G11" s="8">
        <v>0.28000000000000003</v>
      </c>
      <c r="H11" s="1">
        <v>180</v>
      </c>
      <c r="I11" s="1" t="s">
        <v>51</v>
      </c>
      <c r="J11" s="1"/>
      <c r="K11" s="1">
        <v>599</v>
      </c>
      <c r="L11" s="1">
        <f t="shared" si="1"/>
        <v>-4</v>
      </c>
      <c r="M11" s="1"/>
      <c r="N11" s="1"/>
      <c r="O11" s="1"/>
      <c r="P11" s="1">
        <f t="shared" si="2"/>
        <v>119</v>
      </c>
      <c r="Q11" s="5">
        <v>92</v>
      </c>
      <c r="R11" s="5">
        <v>92</v>
      </c>
      <c r="S11" s="5">
        <f t="shared" si="10"/>
        <v>92</v>
      </c>
      <c r="T11" s="38">
        <f t="shared" si="5"/>
        <v>84</v>
      </c>
      <c r="U11" s="5"/>
      <c r="V11" s="1"/>
      <c r="W11" s="1">
        <f t="shared" si="3"/>
        <v>13.932773109243698</v>
      </c>
      <c r="X11" s="1">
        <f t="shared" si="4"/>
        <v>13.22689075630252</v>
      </c>
      <c r="Y11" s="1">
        <v>172.6</v>
      </c>
      <c r="Z11" s="1">
        <v>118</v>
      </c>
      <c r="AA11" s="1">
        <v>143</v>
      </c>
      <c r="AB11" s="1">
        <v>111.4</v>
      </c>
      <c r="AC11" s="1">
        <v>189.6</v>
      </c>
      <c r="AD11" s="1"/>
      <c r="AE11" s="1">
        <f t="shared" si="6"/>
        <v>25.76</v>
      </c>
      <c r="AF11" s="10">
        <v>6</v>
      </c>
      <c r="AG11" s="1">
        <f t="shared" si="7"/>
        <v>14</v>
      </c>
      <c r="AH11" s="1">
        <f t="shared" si="8"/>
        <v>23.520000000000003</v>
      </c>
      <c r="AI11" s="1">
        <v>14</v>
      </c>
      <c r="AJ11" s="1">
        <v>140</v>
      </c>
      <c r="AK11" s="10">
        <f t="shared" si="9"/>
        <v>0.1</v>
      </c>
      <c r="AL11" s="1"/>
      <c r="AM11" s="1">
        <f t="shared" si="11"/>
        <v>33.32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52</v>
      </c>
      <c r="B12" s="1" t="s">
        <v>38</v>
      </c>
      <c r="C12" s="1">
        <v>798</v>
      </c>
      <c r="D12" s="1">
        <v>392</v>
      </c>
      <c r="E12" s="1">
        <v>436</v>
      </c>
      <c r="F12" s="1">
        <v>379</v>
      </c>
      <c r="G12" s="8">
        <v>0.24</v>
      </c>
      <c r="H12" s="1">
        <v>180</v>
      </c>
      <c r="I12" s="1" t="s">
        <v>53</v>
      </c>
      <c r="J12" s="1"/>
      <c r="K12" s="1">
        <v>434</v>
      </c>
      <c r="L12" s="1">
        <f t="shared" si="1"/>
        <v>2</v>
      </c>
      <c r="M12" s="1"/>
      <c r="N12" s="1"/>
      <c r="O12" s="1"/>
      <c r="P12" s="1">
        <f t="shared" si="2"/>
        <v>87.2</v>
      </c>
      <c r="Q12" s="5">
        <v>754.60000000000014</v>
      </c>
      <c r="R12" s="5">
        <v>754.60000000000014</v>
      </c>
      <c r="S12" s="5">
        <f>R12*$S$1</f>
        <v>611.22600000000011</v>
      </c>
      <c r="T12" s="38">
        <f t="shared" si="5"/>
        <v>672</v>
      </c>
      <c r="U12" s="5"/>
      <c r="V12" s="1"/>
      <c r="W12" s="1">
        <f t="shared" si="3"/>
        <v>12.052752293577981</v>
      </c>
      <c r="X12" s="1">
        <f t="shared" si="4"/>
        <v>4.3463302752293576</v>
      </c>
      <c r="Y12" s="1">
        <v>87</v>
      </c>
      <c r="Z12" s="1">
        <v>75</v>
      </c>
      <c r="AA12" s="1">
        <v>115.2</v>
      </c>
      <c r="AB12" s="1">
        <v>116.4</v>
      </c>
      <c r="AC12" s="1">
        <v>102.4</v>
      </c>
      <c r="AD12" s="1"/>
      <c r="AE12" s="1">
        <f t="shared" si="6"/>
        <v>146.69424000000001</v>
      </c>
      <c r="AF12" s="10">
        <v>12</v>
      </c>
      <c r="AG12" s="1">
        <f t="shared" si="7"/>
        <v>56</v>
      </c>
      <c r="AH12" s="1">
        <f t="shared" si="8"/>
        <v>161.28</v>
      </c>
      <c r="AI12" s="1">
        <v>14</v>
      </c>
      <c r="AJ12" s="1">
        <v>70</v>
      </c>
      <c r="AK12" s="10">
        <f t="shared" si="9"/>
        <v>0.8</v>
      </c>
      <c r="AL12" s="1"/>
      <c r="AM12" s="1">
        <f t="shared" si="11"/>
        <v>20.928000000000001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54</v>
      </c>
      <c r="B13" s="1" t="s">
        <v>38</v>
      </c>
      <c r="C13" s="1">
        <v>1260</v>
      </c>
      <c r="D13" s="1">
        <v>1143</v>
      </c>
      <c r="E13" s="1">
        <v>935</v>
      </c>
      <c r="F13" s="1">
        <v>179</v>
      </c>
      <c r="G13" s="8">
        <v>0.24</v>
      </c>
      <c r="H13" s="1">
        <v>180</v>
      </c>
      <c r="I13" s="1" t="s">
        <v>55</v>
      </c>
      <c r="J13" s="1"/>
      <c r="K13" s="1">
        <v>953</v>
      </c>
      <c r="L13" s="1">
        <f t="shared" si="1"/>
        <v>-18</v>
      </c>
      <c r="M13" s="1"/>
      <c r="N13" s="1"/>
      <c r="O13" s="1"/>
      <c r="P13" s="1">
        <f t="shared" si="2"/>
        <v>187</v>
      </c>
      <c r="Q13" s="5">
        <v>1691</v>
      </c>
      <c r="R13" s="5">
        <v>1691</v>
      </c>
      <c r="S13" s="5">
        <f t="shared" ref="S13:S15" si="12">R13*$S$1</f>
        <v>1369.71</v>
      </c>
      <c r="T13" s="38">
        <f t="shared" si="5"/>
        <v>1344</v>
      </c>
      <c r="U13" s="5"/>
      <c r="V13" s="1"/>
      <c r="W13" s="1">
        <f t="shared" si="3"/>
        <v>8.144385026737968</v>
      </c>
      <c r="X13" s="1">
        <f t="shared" si="4"/>
        <v>0.95721925133689845</v>
      </c>
      <c r="Y13" s="1">
        <v>186.6</v>
      </c>
      <c r="Z13" s="1">
        <v>97.8</v>
      </c>
      <c r="AA13" s="1">
        <v>195.2</v>
      </c>
      <c r="AB13" s="1">
        <v>107.6</v>
      </c>
      <c r="AC13" s="1">
        <v>118</v>
      </c>
      <c r="AD13" s="1"/>
      <c r="AE13" s="1">
        <f t="shared" si="6"/>
        <v>328.73039999999997</v>
      </c>
      <c r="AF13" s="10">
        <v>12</v>
      </c>
      <c r="AG13" s="1">
        <f t="shared" si="7"/>
        <v>112</v>
      </c>
      <c r="AH13" s="1">
        <f t="shared" si="8"/>
        <v>322.56</v>
      </c>
      <c r="AI13" s="1">
        <v>14</v>
      </c>
      <c r="AJ13" s="1">
        <v>70</v>
      </c>
      <c r="AK13" s="10">
        <f t="shared" si="9"/>
        <v>1.6</v>
      </c>
      <c r="AL13" s="1"/>
      <c r="AM13" s="1">
        <f t="shared" si="11"/>
        <v>44.879999999999995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56</v>
      </c>
      <c r="B14" s="1" t="s">
        <v>38</v>
      </c>
      <c r="C14" s="1">
        <v>1376</v>
      </c>
      <c r="D14" s="1">
        <v>76</v>
      </c>
      <c r="E14" s="1">
        <v>479</v>
      </c>
      <c r="F14" s="1">
        <v>299</v>
      </c>
      <c r="G14" s="8">
        <v>0.24</v>
      </c>
      <c r="H14" s="1">
        <v>180</v>
      </c>
      <c r="I14" s="1" t="s">
        <v>57</v>
      </c>
      <c r="J14" s="1"/>
      <c r="K14" s="1">
        <v>485</v>
      </c>
      <c r="L14" s="1">
        <f t="shared" si="1"/>
        <v>-6</v>
      </c>
      <c r="M14" s="1"/>
      <c r="N14" s="1"/>
      <c r="O14" s="1"/>
      <c r="P14" s="1">
        <f t="shared" si="2"/>
        <v>95.8</v>
      </c>
      <c r="Q14" s="5">
        <v>850.59999999999991</v>
      </c>
      <c r="R14" s="5">
        <v>850.59999999999991</v>
      </c>
      <c r="S14" s="5">
        <f t="shared" si="12"/>
        <v>688.98599999999999</v>
      </c>
      <c r="T14" s="38">
        <f t="shared" si="5"/>
        <v>672</v>
      </c>
      <c r="U14" s="5"/>
      <c r="V14" s="1"/>
      <c r="W14" s="1">
        <f t="shared" si="3"/>
        <v>10.135699373695198</v>
      </c>
      <c r="X14" s="1">
        <f t="shared" si="4"/>
        <v>3.1210855949895615</v>
      </c>
      <c r="Y14" s="1">
        <v>113</v>
      </c>
      <c r="Z14" s="1">
        <v>95.6</v>
      </c>
      <c r="AA14" s="1">
        <v>123.8</v>
      </c>
      <c r="AB14" s="1">
        <v>94.6</v>
      </c>
      <c r="AC14" s="1">
        <v>147.6</v>
      </c>
      <c r="AD14" s="1"/>
      <c r="AE14" s="1">
        <f t="shared" si="6"/>
        <v>165.35664</v>
      </c>
      <c r="AF14" s="10">
        <v>12</v>
      </c>
      <c r="AG14" s="1">
        <f t="shared" si="7"/>
        <v>56</v>
      </c>
      <c r="AH14" s="1">
        <f t="shared" si="8"/>
        <v>161.28</v>
      </c>
      <c r="AI14" s="1">
        <v>14</v>
      </c>
      <c r="AJ14" s="1">
        <v>70</v>
      </c>
      <c r="AK14" s="10">
        <f t="shared" si="9"/>
        <v>0.8</v>
      </c>
      <c r="AL14" s="1"/>
      <c r="AM14" s="1">
        <f t="shared" si="11"/>
        <v>22.991999999999997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9" t="s">
        <v>40</v>
      </c>
      <c r="B15" s="1" t="s">
        <v>38</v>
      </c>
      <c r="C15" s="1">
        <v>881</v>
      </c>
      <c r="D15" s="1">
        <v>2469</v>
      </c>
      <c r="E15" s="20">
        <f>969+E6</f>
        <v>1219</v>
      </c>
      <c r="F15" s="20">
        <f>1163+F6</f>
        <v>1254</v>
      </c>
      <c r="G15" s="8">
        <v>0.24</v>
      </c>
      <c r="H15" s="1">
        <v>180</v>
      </c>
      <c r="I15" s="1" t="s">
        <v>58</v>
      </c>
      <c r="J15" s="1"/>
      <c r="K15" s="1">
        <v>986</v>
      </c>
      <c r="L15" s="1">
        <f t="shared" si="1"/>
        <v>233</v>
      </c>
      <c r="M15" s="1"/>
      <c r="N15" s="1"/>
      <c r="O15" s="1"/>
      <c r="P15" s="1">
        <f t="shared" si="2"/>
        <v>243.8</v>
      </c>
      <c r="Q15" s="5">
        <v>1671.6000000000004</v>
      </c>
      <c r="R15" s="5">
        <v>1671.6000000000004</v>
      </c>
      <c r="S15" s="5">
        <f t="shared" si="12"/>
        <v>1353.9960000000003</v>
      </c>
      <c r="T15" s="38">
        <f t="shared" si="5"/>
        <v>1344</v>
      </c>
      <c r="U15" s="5"/>
      <c r="V15" s="1"/>
      <c r="W15" s="1">
        <f t="shared" si="3"/>
        <v>10.656275635767022</v>
      </c>
      <c r="X15" s="1">
        <f t="shared" si="4"/>
        <v>5.1435602953240362</v>
      </c>
      <c r="Y15" s="1">
        <v>228.6</v>
      </c>
      <c r="Z15" s="1">
        <v>194.2</v>
      </c>
      <c r="AA15" s="1">
        <v>212.6</v>
      </c>
      <c r="AB15" s="1">
        <v>137.19999999999999</v>
      </c>
      <c r="AC15" s="1">
        <v>167.2</v>
      </c>
      <c r="AD15" s="1"/>
      <c r="AE15" s="1">
        <f t="shared" si="6"/>
        <v>324.95904000000007</v>
      </c>
      <c r="AF15" s="10">
        <v>12</v>
      </c>
      <c r="AG15" s="1">
        <f t="shared" si="7"/>
        <v>112</v>
      </c>
      <c r="AH15" s="1">
        <f t="shared" si="8"/>
        <v>322.56</v>
      </c>
      <c r="AI15" s="1">
        <v>14</v>
      </c>
      <c r="AJ15" s="1">
        <v>70</v>
      </c>
      <c r="AK15" s="10">
        <f t="shared" si="9"/>
        <v>1.6</v>
      </c>
      <c r="AL15" s="1"/>
      <c r="AM15" s="1">
        <f t="shared" si="11"/>
        <v>58.512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59</v>
      </c>
      <c r="B16" s="1" t="s">
        <v>38</v>
      </c>
      <c r="C16" s="1">
        <v>564</v>
      </c>
      <c r="D16" s="1">
        <v>2</v>
      </c>
      <c r="E16" s="1">
        <v>157</v>
      </c>
      <c r="F16" s="1">
        <v>404</v>
      </c>
      <c r="G16" s="8">
        <v>0.48</v>
      </c>
      <c r="H16" s="1">
        <v>180</v>
      </c>
      <c r="I16" s="1" t="s">
        <v>60</v>
      </c>
      <c r="J16" s="1"/>
      <c r="K16" s="1">
        <v>157</v>
      </c>
      <c r="L16" s="1">
        <f t="shared" si="1"/>
        <v>0</v>
      </c>
      <c r="M16" s="1"/>
      <c r="N16" s="1"/>
      <c r="O16" s="1"/>
      <c r="P16" s="1">
        <f t="shared" si="2"/>
        <v>31.4</v>
      </c>
      <c r="Q16" s="5"/>
      <c r="R16" s="5"/>
      <c r="S16" s="5"/>
      <c r="T16" s="38">
        <f t="shared" si="5"/>
        <v>0</v>
      </c>
      <c r="U16" s="5"/>
      <c r="V16" s="1"/>
      <c r="W16" s="1">
        <f t="shared" si="3"/>
        <v>12.86624203821656</v>
      </c>
      <c r="X16" s="1">
        <f t="shared" si="4"/>
        <v>12.86624203821656</v>
      </c>
      <c r="Y16" s="1">
        <v>39.4</v>
      </c>
      <c r="Z16" s="1">
        <v>13.8</v>
      </c>
      <c r="AA16" s="1">
        <v>14.6</v>
      </c>
      <c r="AB16" s="1">
        <v>35.200000000000003</v>
      </c>
      <c r="AC16" s="1">
        <v>34</v>
      </c>
      <c r="AD16" s="23" t="s">
        <v>163</v>
      </c>
      <c r="AE16" s="1">
        <f t="shared" si="6"/>
        <v>0</v>
      </c>
      <c r="AF16" s="10">
        <v>8</v>
      </c>
      <c r="AG16" s="1">
        <f t="shared" si="7"/>
        <v>0</v>
      </c>
      <c r="AH16" s="1">
        <f t="shared" si="8"/>
        <v>0</v>
      </c>
      <c r="AI16" s="1">
        <v>14</v>
      </c>
      <c r="AJ16" s="1">
        <v>70</v>
      </c>
      <c r="AK16" s="10">
        <f t="shared" si="9"/>
        <v>0</v>
      </c>
      <c r="AL16" s="1"/>
      <c r="AM16" s="1">
        <f t="shared" si="11"/>
        <v>15.071999999999999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62</v>
      </c>
      <c r="B17" s="1" t="s">
        <v>38</v>
      </c>
      <c r="C17" s="1">
        <v>223</v>
      </c>
      <c r="D17" s="1">
        <v>753</v>
      </c>
      <c r="E17" s="1">
        <v>365</v>
      </c>
      <c r="F17" s="1">
        <v>384</v>
      </c>
      <c r="G17" s="8">
        <v>0.09</v>
      </c>
      <c r="H17" s="1">
        <v>180</v>
      </c>
      <c r="I17" s="1" t="s">
        <v>63</v>
      </c>
      <c r="J17" s="1"/>
      <c r="K17" s="1">
        <v>389</v>
      </c>
      <c r="L17" s="1">
        <f t="shared" si="1"/>
        <v>-24</v>
      </c>
      <c r="M17" s="1"/>
      <c r="N17" s="1"/>
      <c r="O17" s="1"/>
      <c r="P17" s="1">
        <f t="shared" si="2"/>
        <v>73</v>
      </c>
      <c r="Q17" s="5">
        <v>638</v>
      </c>
      <c r="R17" s="5">
        <v>638</v>
      </c>
      <c r="S17" s="5">
        <f t="shared" ref="S17:S18" si="13">R17*$S$1</f>
        <v>516.78000000000009</v>
      </c>
      <c r="T17" s="38">
        <f t="shared" si="5"/>
        <v>672</v>
      </c>
      <c r="U17" s="5"/>
      <c r="V17" s="1"/>
      <c r="W17" s="1">
        <f t="shared" si="3"/>
        <v>14.465753424657533</v>
      </c>
      <c r="X17" s="1">
        <f t="shared" si="4"/>
        <v>5.2602739726027394</v>
      </c>
      <c r="Y17" s="1">
        <v>127.2</v>
      </c>
      <c r="Z17" s="1">
        <v>93.6</v>
      </c>
      <c r="AA17" s="1">
        <v>105.6</v>
      </c>
      <c r="AB17" s="1">
        <v>78.8</v>
      </c>
      <c r="AC17" s="1">
        <v>72.400000000000006</v>
      </c>
      <c r="AD17" s="1" t="s">
        <v>49</v>
      </c>
      <c r="AE17" s="1">
        <f t="shared" si="6"/>
        <v>46.510200000000005</v>
      </c>
      <c r="AF17" s="10">
        <v>24</v>
      </c>
      <c r="AG17" s="1">
        <f t="shared" si="7"/>
        <v>28</v>
      </c>
      <c r="AH17" s="1">
        <f t="shared" si="8"/>
        <v>60.48</v>
      </c>
      <c r="AI17" s="1">
        <v>14</v>
      </c>
      <c r="AJ17" s="1">
        <v>126</v>
      </c>
      <c r="AK17" s="10">
        <f t="shared" si="9"/>
        <v>0.22222222222222221</v>
      </c>
      <c r="AL17" s="1"/>
      <c r="AM17" s="1">
        <f t="shared" si="11"/>
        <v>6.5699999999999994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64</v>
      </c>
      <c r="B18" s="1" t="s">
        <v>38</v>
      </c>
      <c r="C18" s="1">
        <v>2005</v>
      </c>
      <c r="D18" s="1">
        <v>227</v>
      </c>
      <c r="E18" s="1">
        <v>520</v>
      </c>
      <c r="F18" s="1">
        <v>747</v>
      </c>
      <c r="G18" s="8">
        <v>0.36</v>
      </c>
      <c r="H18" s="1">
        <v>180</v>
      </c>
      <c r="I18" s="1" t="s">
        <v>65</v>
      </c>
      <c r="J18" s="1"/>
      <c r="K18" s="1">
        <v>520</v>
      </c>
      <c r="L18" s="1">
        <f t="shared" si="1"/>
        <v>0</v>
      </c>
      <c r="M18" s="1"/>
      <c r="N18" s="1"/>
      <c r="O18" s="1"/>
      <c r="P18" s="1">
        <f t="shared" si="2"/>
        <v>104</v>
      </c>
      <c r="Q18" s="5">
        <v>709</v>
      </c>
      <c r="R18" s="5">
        <v>709</v>
      </c>
      <c r="S18" s="5">
        <f t="shared" si="13"/>
        <v>574.29000000000008</v>
      </c>
      <c r="T18" s="38">
        <f t="shared" si="5"/>
        <v>560</v>
      </c>
      <c r="U18" s="5"/>
      <c r="V18" s="1"/>
      <c r="W18" s="1">
        <f t="shared" si="3"/>
        <v>12.567307692307692</v>
      </c>
      <c r="X18" s="1">
        <f t="shared" si="4"/>
        <v>7.1826923076923075</v>
      </c>
      <c r="Y18" s="1">
        <v>85</v>
      </c>
      <c r="Z18" s="1">
        <v>93.2</v>
      </c>
      <c r="AA18" s="1">
        <v>110</v>
      </c>
      <c r="AB18" s="1">
        <v>98.8</v>
      </c>
      <c r="AC18" s="1">
        <v>132.19999999999999</v>
      </c>
      <c r="AD18" s="1" t="s">
        <v>49</v>
      </c>
      <c r="AE18" s="1">
        <f t="shared" si="6"/>
        <v>206.74440000000001</v>
      </c>
      <c r="AF18" s="10">
        <v>10</v>
      </c>
      <c r="AG18" s="1">
        <f t="shared" si="7"/>
        <v>56</v>
      </c>
      <c r="AH18" s="1">
        <f t="shared" si="8"/>
        <v>201.6</v>
      </c>
      <c r="AI18" s="1">
        <v>14</v>
      </c>
      <c r="AJ18" s="1">
        <v>70</v>
      </c>
      <c r="AK18" s="10">
        <f t="shared" si="9"/>
        <v>0.8</v>
      </c>
      <c r="AL18" s="1"/>
      <c r="AM18" s="1">
        <f t="shared" si="11"/>
        <v>37.44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4" t="s">
        <v>66</v>
      </c>
      <c r="B19" s="14" t="s">
        <v>38</v>
      </c>
      <c r="C19" s="14">
        <v>294</v>
      </c>
      <c r="D19" s="14">
        <v>540</v>
      </c>
      <c r="E19" s="20">
        <v>1</v>
      </c>
      <c r="F19" s="20">
        <v>831</v>
      </c>
      <c r="G19" s="15">
        <v>0</v>
      </c>
      <c r="H19" s="14"/>
      <c r="I19" s="18" t="s">
        <v>67</v>
      </c>
      <c r="J19" s="14" t="s">
        <v>68</v>
      </c>
      <c r="K19" s="14"/>
      <c r="L19" s="14">
        <f t="shared" si="1"/>
        <v>1</v>
      </c>
      <c r="M19" s="14"/>
      <c r="N19" s="14"/>
      <c r="O19" s="14"/>
      <c r="P19" s="14">
        <f t="shared" si="2"/>
        <v>0.2</v>
      </c>
      <c r="Q19" s="16"/>
      <c r="R19" s="16"/>
      <c r="S19" s="16"/>
      <c r="T19" s="37"/>
      <c r="U19" s="16"/>
      <c r="V19" s="14"/>
      <c r="W19" s="14">
        <f t="shared" si="3"/>
        <v>4155</v>
      </c>
      <c r="X19" s="14">
        <f t="shared" si="4"/>
        <v>4155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/>
      <c r="AE19" s="14"/>
      <c r="AF19" s="17"/>
      <c r="AG19" s="14"/>
      <c r="AH19" s="14"/>
      <c r="AI19" s="14"/>
      <c r="AJ19" s="14"/>
      <c r="AK19" s="17"/>
      <c r="AL19" s="1"/>
      <c r="AM19" s="1">
        <f t="shared" si="11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9" t="s">
        <v>68</v>
      </c>
      <c r="B20" s="1" t="s">
        <v>38</v>
      </c>
      <c r="C20" s="1">
        <v>221</v>
      </c>
      <c r="D20" s="1">
        <v>546</v>
      </c>
      <c r="E20" s="20">
        <f>191+E19</f>
        <v>192</v>
      </c>
      <c r="F20" s="20">
        <f>531+F19</f>
        <v>1362</v>
      </c>
      <c r="G20" s="8">
        <v>0.2</v>
      </c>
      <c r="H20" s="1">
        <v>180</v>
      </c>
      <c r="I20" s="1" t="s">
        <v>69</v>
      </c>
      <c r="J20" s="1"/>
      <c r="K20" s="1">
        <v>191</v>
      </c>
      <c r="L20" s="1">
        <f t="shared" si="1"/>
        <v>1</v>
      </c>
      <c r="M20" s="1"/>
      <c r="N20" s="1"/>
      <c r="O20" s="1"/>
      <c r="P20" s="1">
        <f t="shared" si="2"/>
        <v>38.4</v>
      </c>
      <c r="Q20" s="5"/>
      <c r="R20" s="5"/>
      <c r="S20" s="5"/>
      <c r="T20" s="38">
        <f t="shared" si="5"/>
        <v>0</v>
      </c>
      <c r="U20" s="5"/>
      <c r="V20" s="1"/>
      <c r="W20" s="1">
        <f t="shared" si="3"/>
        <v>35.46875</v>
      </c>
      <c r="X20" s="1">
        <f t="shared" si="4"/>
        <v>35.46875</v>
      </c>
      <c r="Y20" s="1">
        <v>47.4</v>
      </c>
      <c r="Z20" s="1">
        <v>35.799999999999997</v>
      </c>
      <c r="AA20" s="1">
        <v>42.8</v>
      </c>
      <c r="AB20" s="1">
        <v>25.8</v>
      </c>
      <c r="AC20" s="1">
        <v>42</v>
      </c>
      <c r="AD20" s="24" t="s">
        <v>61</v>
      </c>
      <c r="AE20" s="1">
        <f t="shared" ref="AE20:AE25" si="14">G20*S20</f>
        <v>0</v>
      </c>
      <c r="AF20" s="10">
        <v>12</v>
      </c>
      <c r="AG20" s="1">
        <f t="shared" ref="AG20:AG25" si="15">MROUND(S20, AF20*AI20)/AF20</f>
        <v>0</v>
      </c>
      <c r="AH20" s="1">
        <f t="shared" ref="AH20:AH25" si="16">AG20*AF20*G20</f>
        <v>0</v>
      </c>
      <c r="AI20" s="1">
        <v>14</v>
      </c>
      <c r="AJ20" s="1">
        <v>70</v>
      </c>
      <c r="AK20" s="10">
        <f t="shared" ref="AK20:AK25" si="17">AG20/AJ20</f>
        <v>0</v>
      </c>
      <c r="AL20" s="1"/>
      <c r="AM20" s="1">
        <f t="shared" si="11"/>
        <v>7.68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70</v>
      </c>
      <c r="B21" s="1" t="s">
        <v>38</v>
      </c>
      <c r="C21" s="1">
        <v>1282</v>
      </c>
      <c r="D21" s="1">
        <v>511</v>
      </c>
      <c r="E21" s="1">
        <v>415</v>
      </c>
      <c r="F21" s="1">
        <v>1005</v>
      </c>
      <c r="G21" s="8">
        <v>0.2</v>
      </c>
      <c r="H21" s="1">
        <v>180</v>
      </c>
      <c r="I21" s="1" t="s">
        <v>71</v>
      </c>
      <c r="J21" s="1"/>
      <c r="K21" s="1">
        <v>416</v>
      </c>
      <c r="L21" s="1">
        <f t="shared" si="1"/>
        <v>-1</v>
      </c>
      <c r="M21" s="1"/>
      <c r="N21" s="1"/>
      <c r="O21" s="1"/>
      <c r="P21" s="1">
        <f t="shared" si="2"/>
        <v>83</v>
      </c>
      <c r="Q21" s="5">
        <v>157</v>
      </c>
      <c r="R21" s="5">
        <v>157</v>
      </c>
      <c r="S21" s="5">
        <f t="shared" ref="S21:S24" si="18">14*P21-F21</f>
        <v>157</v>
      </c>
      <c r="T21" s="38">
        <f t="shared" si="5"/>
        <v>168</v>
      </c>
      <c r="U21" s="5"/>
      <c r="V21" s="1"/>
      <c r="W21" s="1">
        <f t="shared" si="3"/>
        <v>14.132530120481928</v>
      </c>
      <c r="X21" s="1">
        <f t="shared" si="4"/>
        <v>12.108433734939759</v>
      </c>
      <c r="Y21" s="1">
        <v>118.4</v>
      </c>
      <c r="Z21" s="1">
        <v>99.8</v>
      </c>
      <c r="AA21" s="1">
        <v>75</v>
      </c>
      <c r="AB21" s="1">
        <v>106</v>
      </c>
      <c r="AC21" s="1">
        <v>159.6</v>
      </c>
      <c r="AD21" s="1"/>
      <c r="AE21" s="1">
        <f t="shared" si="14"/>
        <v>31.400000000000002</v>
      </c>
      <c r="AF21" s="10">
        <v>12</v>
      </c>
      <c r="AG21" s="1">
        <f t="shared" si="15"/>
        <v>14</v>
      </c>
      <c r="AH21" s="1">
        <f t="shared" si="16"/>
        <v>33.6</v>
      </c>
      <c r="AI21" s="1">
        <v>14</v>
      </c>
      <c r="AJ21" s="1">
        <v>70</v>
      </c>
      <c r="AK21" s="10">
        <f t="shared" si="17"/>
        <v>0.2</v>
      </c>
      <c r="AL21" s="1"/>
      <c r="AM21" s="1">
        <f t="shared" si="11"/>
        <v>16.600000000000001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72</v>
      </c>
      <c r="B22" s="1" t="s">
        <v>73</v>
      </c>
      <c r="C22" s="1">
        <v>300</v>
      </c>
      <c r="D22" s="1">
        <v>195</v>
      </c>
      <c r="E22" s="1">
        <v>120</v>
      </c>
      <c r="F22" s="1">
        <v>140</v>
      </c>
      <c r="G22" s="8">
        <v>1</v>
      </c>
      <c r="H22" s="1"/>
      <c r="I22" s="1" t="s">
        <v>74</v>
      </c>
      <c r="J22" s="1"/>
      <c r="K22" s="1">
        <v>180.7</v>
      </c>
      <c r="L22" s="1">
        <f t="shared" si="1"/>
        <v>-60.699999999999989</v>
      </c>
      <c r="M22" s="1"/>
      <c r="N22" s="1"/>
      <c r="O22" s="1"/>
      <c r="P22" s="1">
        <f t="shared" si="2"/>
        <v>24</v>
      </c>
      <c r="Q22" s="5">
        <v>196</v>
      </c>
      <c r="R22" s="5">
        <v>196</v>
      </c>
      <c r="S22" s="5">
        <f t="shared" si="18"/>
        <v>196</v>
      </c>
      <c r="T22" s="38">
        <f t="shared" si="5"/>
        <v>180</v>
      </c>
      <c r="U22" s="5"/>
      <c r="V22" s="1"/>
      <c r="W22" s="1">
        <f t="shared" si="3"/>
        <v>13.333333333333334</v>
      </c>
      <c r="X22" s="1">
        <f t="shared" si="4"/>
        <v>5.833333333333333</v>
      </c>
      <c r="Y22" s="1">
        <v>54</v>
      </c>
      <c r="Z22" s="1">
        <v>32</v>
      </c>
      <c r="AA22" s="1">
        <v>54</v>
      </c>
      <c r="AB22" s="1">
        <v>57</v>
      </c>
      <c r="AC22" s="1">
        <v>0</v>
      </c>
      <c r="AD22" s="1"/>
      <c r="AE22" s="1">
        <f t="shared" si="14"/>
        <v>196</v>
      </c>
      <c r="AF22" s="10">
        <v>5</v>
      </c>
      <c r="AG22" s="1">
        <f t="shared" si="15"/>
        <v>36</v>
      </c>
      <c r="AH22" s="1">
        <f t="shared" si="16"/>
        <v>180</v>
      </c>
      <c r="AI22" s="1">
        <v>12</v>
      </c>
      <c r="AJ22" s="1">
        <v>84</v>
      </c>
      <c r="AK22" s="10">
        <f t="shared" si="17"/>
        <v>0.42857142857142855</v>
      </c>
      <c r="AL22" s="1"/>
      <c r="AM22" s="1">
        <f t="shared" si="11"/>
        <v>24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75</v>
      </c>
      <c r="B23" s="1" t="s">
        <v>73</v>
      </c>
      <c r="C23" s="1">
        <v>123.5</v>
      </c>
      <c r="D23" s="1">
        <v>349.5</v>
      </c>
      <c r="E23" s="1">
        <v>164.5</v>
      </c>
      <c r="F23" s="1">
        <v>270.5</v>
      </c>
      <c r="G23" s="8">
        <v>1</v>
      </c>
      <c r="H23" s="1">
        <v>180</v>
      </c>
      <c r="I23" s="1" t="s">
        <v>76</v>
      </c>
      <c r="J23" s="1"/>
      <c r="K23" s="1">
        <v>186</v>
      </c>
      <c r="L23" s="1">
        <f t="shared" si="1"/>
        <v>-21.5</v>
      </c>
      <c r="M23" s="1"/>
      <c r="N23" s="1"/>
      <c r="O23" s="1"/>
      <c r="P23" s="1">
        <f t="shared" si="2"/>
        <v>32.9</v>
      </c>
      <c r="Q23" s="5">
        <v>190.09999999999997</v>
      </c>
      <c r="R23" s="5">
        <v>190.09999999999997</v>
      </c>
      <c r="S23" s="5">
        <f t="shared" si="18"/>
        <v>190.09999999999997</v>
      </c>
      <c r="T23" s="38">
        <f t="shared" si="5"/>
        <v>198</v>
      </c>
      <c r="U23" s="5"/>
      <c r="V23" s="1"/>
      <c r="W23" s="1">
        <f t="shared" si="3"/>
        <v>14.240121580547113</v>
      </c>
      <c r="X23" s="1">
        <f t="shared" si="4"/>
        <v>8.2218844984802431</v>
      </c>
      <c r="Y23" s="1">
        <v>31.8</v>
      </c>
      <c r="Z23" s="1">
        <v>28.6</v>
      </c>
      <c r="AA23" s="1">
        <v>28.4</v>
      </c>
      <c r="AB23" s="1">
        <v>26.4</v>
      </c>
      <c r="AC23" s="1">
        <v>33.9</v>
      </c>
      <c r="AD23" s="1"/>
      <c r="AE23" s="1">
        <f t="shared" si="14"/>
        <v>190.09999999999997</v>
      </c>
      <c r="AF23" s="10">
        <v>5.5</v>
      </c>
      <c r="AG23" s="1">
        <f t="shared" si="15"/>
        <v>36</v>
      </c>
      <c r="AH23" s="1">
        <f t="shared" si="16"/>
        <v>198</v>
      </c>
      <c r="AI23" s="1">
        <v>12</v>
      </c>
      <c r="AJ23" s="1">
        <v>84</v>
      </c>
      <c r="AK23" s="10">
        <f t="shared" si="17"/>
        <v>0.42857142857142855</v>
      </c>
      <c r="AL23" s="1"/>
      <c r="AM23" s="1">
        <f t="shared" si="11"/>
        <v>32.9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77</v>
      </c>
      <c r="B24" s="1" t="s">
        <v>73</v>
      </c>
      <c r="C24" s="1">
        <v>477</v>
      </c>
      <c r="D24" s="1">
        <v>3</v>
      </c>
      <c r="E24" s="1">
        <v>204</v>
      </c>
      <c r="F24" s="1">
        <v>240</v>
      </c>
      <c r="G24" s="8">
        <v>1</v>
      </c>
      <c r="H24" s="1">
        <v>180</v>
      </c>
      <c r="I24" s="1" t="s">
        <v>78</v>
      </c>
      <c r="J24" s="1"/>
      <c r="K24" s="1">
        <v>206</v>
      </c>
      <c r="L24" s="1">
        <f t="shared" si="1"/>
        <v>-2</v>
      </c>
      <c r="M24" s="1"/>
      <c r="N24" s="1"/>
      <c r="O24" s="1"/>
      <c r="P24" s="1">
        <f t="shared" si="2"/>
        <v>40.799999999999997</v>
      </c>
      <c r="Q24" s="5">
        <v>331.19999999999993</v>
      </c>
      <c r="R24" s="5">
        <v>331.19999999999993</v>
      </c>
      <c r="S24" s="5">
        <f t="shared" si="18"/>
        <v>331.19999999999993</v>
      </c>
      <c r="T24" s="38">
        <f t="shared" si="5"/>
        <v>336</v>
      </c>
      <c r="U24" s="5"/>
      <c r="V24" s="1"/>
      <c r="W24" s="1">
        <f t="shared" si="3"/>
        <v>14.117647058823531</v>
      </c>
      <c r="X24" s="1">
        <f t="shared" si="4"/>
        <v>5.882352941176471</v>
      </c>
      <c r="Y24" s="1">
        <v>37.200000000000003</v>
      </c>
      <c r="Z24" s="1">
        <v>26.4</v>
      </c>
      <c r="AA24" s="1">
        <v>34.200000000000003</v>
      </c>
      <c r="AB24" s="1">
        <v>28.8</v>
      </c>
      <c r="AC24" s="1">
        <v>42.6</v>
      </c>
      <c r="AD24" s="1"/>
      <c r="AE24" s="1">
        <f t="shared" si="14"/>
        <v>331.19999999999993</v>
      </c>
      <c r="AF24" s="10">
        <v>3</v>
      </c>
      <c r="AG24" s="1">
        <f t="shared" si="15"/>
        <v>112</v>
      </c>
      <c r="AH24" s="1">
        <f t="shared" si="16"/>
        <v>336</v>
      </c>
      <c r="AI24" s="1">
        <v>14</v>
      </c>
      <c r="AJ24" s="1">
        <v>126</v>
      </c>
      <c r="AK24" s="10">
        <f t="shared" si="17"/>
        <v>0.88888888888888884</v>
      </c>
      <c r="AL24" s="1"/>
      <c r="AM24" s="1">
        <f t="shared" si="11"/>
        <v>40.799999999999997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9" t="s">
        <v>79</v>
      </c>
      <c r="B25" s="1" t="s">
        <v>38</v>
      </c>
      <c r="C25" s="1">
        <v>176</v>
      </c>
      <c r="D25" s="1">
        <v>545</v>
      </c>
      <c r="E25" s="1">
        <v>329</v>
      </c>
      <c r="F25" s="1">
        <v>164</v>
      </c>
      <c r="G25" s="8">
        <v>0.25</v>
      </c>
      <c r="H25" s="1">
        <v>180</v>
      </c>
      <c r="I25" s="1" t="s">
        <v>80</v>
      </c>
      <c r="J25" s="1"/>
      <c r="K25" s="1">
        <v>331</v>
      </c>
      <c r="L25" s="1">
        <f t="shared" si="1"/>
        <v>-2</v>
      </c>
      <c r="M25" s="1"/>
      <c r="N25" s="1"/>
      <c r="O25" s="1"/>
      <c r="P25" s="1">
        <f t="shared" si="2"/>
        <v>65.8</v>
      </c>
      <c r="Q25" s="5">
        <v>559.79999999999995</v>
      </c>
      <c r="R25" s="5">
        <v>559.79999999999995</v>
      </c>
      <c r="S25" s="5">
        <f>R25*$S$1</f>
        <v>453.43799999999999</v>
      </c>
      <c r="T25" s="38">
        <f t="shared" si="5"/>
        <v>420</v>
      </c>
      <c r="U25" s="5"/>
      <c r="V25" s="1"/>
      <c r="W25" s="1">
        <f t="shared" si="3"/>
        <v>8.8753799392097275</v>
      </c>
      <c r="X25" s="1">
        <f t="shared" si="4"/>
        <v>2.4924012158054714</v>
      </c>
      <c r="Y25" s="1">
        <v>54.6</v>
      </c>
      <c r="Z25" s="1">
        <v>39.200000000000003</v>
      </c>
      <c r="AA25" s="1">
        <v>46.2</v>
      </c>
      <c r="AB25" s="1">
        <v>50</v>
      </c>
      <c r="AC25" s="1">
        <v>103.8</v>
      </c>
      <c r="AD25" s="1" t="s">
        <v>49</v>
      </c>
      <c r="AE25" s="1">
        <f t="shared" si="14"/>
        <v>113.3595</v>
      </c>
      <c r="AF25" s="10">
        <v>6</v>
      </c>
      <c r="AG25" s="1">
        <f t="shared" si="15"/>
        <v>70</v>
      </c>
      <c r="AH25" s="1">
        <f t="shared" si="16"/>
        <v>105</v>
      </c>
      <c r="AI25" s="1">
        <v>14</v>
      </c>
      <c r="AJ25" s="1">
        <v>140</v>
      </c>
      <c r="AK25" s="10">
        <f t="shared" si="17"/>
        <v>0.5</v>
      </c>
      <c r="AL25" s="1"/>
      <c r="AM25" s="1">
        <f t="shared" si="11"/>
        <v>16.45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4" t="s">
        <v>81</v>
      </c>
      <c r="B26" s="14" t="s">
        <v>38</v>
      </c>
      <c r="C26" s="14">
        <v>-3</v>
      </c>
      <c r="D26" s="14">
        <v>3</v>
      </c>
      <c r="E26" s="14"/>
      <c r="F26" s="14"/>
      <c r="G26" s="15">
        <v>0</v>
      </c>
      <c r="H26" s="14"/>
      <c r="I26" s="18" t="s">
        <v>67</v>
      </c>
      <c r="J26" s="14" t="s">
        <v>79</v>
      </c>
      <c r="K26" s="14"/>
      <c r="L26" s="14">
        <f t="shared" si="1"/>
        <v>0</v>
      </c>
      <c r="M26" s="14"/>
      <c r="N26" s="14"/>
      <c r="O26" s="14"/>
      <c r="P26" s="14">
        <f t="shared" si="2"/>
        <v>0</v>
      </c>
      <c r="Q26" s="16"/>
      <c r="R26" s="16"/>
      <c r="S26" s="16"/>
      <c r="T26" s="37"/>
      <c r="U26" s="16"/>
      <c r="V26" s="14"/>
      <c r="W26" s="14" t="e">
        <f t="shared" si="3"/>
        <v>#DIV/0!</v>
      </c>
      <c r="X26" s="14" t="e">
        <f t="shared" si="4"/>
        <v>#DIV/0!</v>
      </c>
      <c r="Y26" s="14">
        <v>0</v>
      </c>
      <c r="Z26" s="14">
        <v>0.6</v>
      </c>
      <c r="AA26" s="14">
        <v>0</v>
      </c>
      <c r="AB26" s="14">
        <v>0</v>
      </c>
      <c r="AC26" s="14">
        <v>0</v>
      </c>
      <c r="AD26" s="14"/>
      <c r="AE26" s="14"/>
      <c r="AF26" s="17"/>
      <c r="AG26" s="14"/>
      <c r="AH26" s="14"/>
      <c r="AI26" s="14"/>
      <c r="AJ26" s="14"/>
      <c r="AK26" s="17"/>
      <c r="AL26" s="1"/>
      <c r="AM26" s="1">
        <f t="shared" si="11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82</v>
      </c>
      <c r="B27" s="1" t="s">
        <v>38</v>
      </c>
      <c r="C27" s="1">
        <v>1346</v>
      </c>
      <c r="D27" s="1">
        <v>15</v>
      </c>
      <c r="E27" s="1">
        <v>257</v>
      </c>
      <c r="F27" s="1">
        <v>1024</v>
      </c>
      <c r="G27" s="8">
        <v>0.25</v>
      </c>
      <c r="H27" s="1">
        <v>180</v>
      </c>
      <c r="I27" s="1" t="s">
        <v>83</v>
      </c>
      <c r="J27" s="1"/>
      <c r="K27" s="1">
        <v>260</v>
      </c>
      <c r="L27" s="1">
        <f t="shared" si="1"/>
        <v>-3</v>
      </c>
      <c r="M27" s="1"/>
      <c r="N27" s="1"/>
      <c r="O27" s="1"/>
      <c r="P27" s="1">
        <f t="shared" si="2"/>
        <v>51.4</v>
      </c>
      <c r="Q27" s="5"/>
      <c r="R27" s="5"/>
      <c r="S27" s="5"/>
      <c r="T27" s="38">
        <f t="shared" si="5"/>
        <v>0</v>
      </c>
      <c r="U27" s="5"/>
      <c r="V27" s="1"/>
      <c r="W27" s="1">
        <f t="shared" si="3"/>
        <v>19.922178988326849</v>
      </c>
      <c r="X27" s="1">
        <f t="shared" si="4"/>
        <v>19.922178988326849</v>
      </c>
      <c r="Y27" s="1">
        <v>48</v>
      </c>
      <c r="Z27" s="1">
        <v>38.200000000000003</v>
      </c>
      <c r="AA27" s="1">
        <v>63.6</v>
      </c>
      <c r="AB27" s="1">
        <v>36.200000000000003</v>
      </c>
      <c r="AC27" s="1">
        <v>47.2</v>
      </c>
      <c r="AD27" s="1" t="s">
        <v>49</v>
      </c>
      <c r="AE27" s="1">
        <f>G27*S27</f>
        <v>0</v>
      </c>
      <c r="AF27" s="10">
        <v>6</v>
      </c>
      <c r="AG27" s="1">
        <f>MROUND(S27, AF27*AI27)/AF27</f>
        <v>0</v>
      </c>
      <c r="AH27" s="1">
        <f>AG27*AF27*G27</f>
        <v>0</v>
      </c>
      <c r="AI27" s="1">
        <v>14</v>
      </c>
      <c r="AJ27" s="1">
        <v>140</v>
      </c>
      <c r="AK27" s="10">
        <f>AG27/AJ27</f>
        <v>0</v>
      </c>
      <c r="AL27" s="1"/>
      <c r="AM27" s="1">
        <f t="shared" si="11"/>
        <v>12.85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84</v>
      </c>
      <c r="B28" s="1" t="s">
        <v>73</v>
      </c>
      <c r="C28" s="1">
        <v>396</v>
      </c>
      <c r="D28" s="1">
        <v>840</v>
      </c>
      <c r="E28" s="1">
        <v>503</v>
      </c>
      <c r="F28" s="1">
        <v>654</v>
      </c>
      <c r="G28" s="8">
        <v>1</v>
      </c>
      <c r="H28" s="1">
        <v>180</v>
      </c>
      <c r="I28" s="1" t="s">
        <v>85</v>
      </c>
      <c r="J28" s="1"/>
      <c r="K28" s="1">
        <v>514</v>
      </c>
      <c r="L28" s="1">
        <f t="shared" si="1"/>
        <v>-11</v>
      </c>
      <c r="M28" s="1"/>
      <c r="N28" s="1"/>
      <c r="O28" s="1"/>
      <c r="P28" s="1">
        <f t="shared" si="2"/>
        <v>100.6</v>
      </c>
      <c r="Q28" s="5">
        <v>754.39999999999986</v>
      </c>
      <c r="R28" s="5">
        <v>754.39999999999986</v>
      </c>
      <c r="S28" s="5">
        <f>R28*$S$1</f>
        <v>611.06399999999996</v>
      </c>
      <c r="T28" s="38">
        <f t="shared" si="5"/>
        <v>576</v>
      </c>
      <c r="U28" s="5"/>
      <c r="V28" s="1"/>
      <c r="W28" s="1">
        <f t="shared" si="3"/>
        <v>12.226640159045726</v>
      </c>
      <c r="X28" s="1">
        <f t="shared" si="4"/>
        <v>6.5009940357852889</v>
      </c>
      <c r="Y28" s="1">
        <v>96</v>
      </c>
      <c r="Z28" s="1">
        <v>93.8</v>
      </c>
      <c r="AA28" s="1">
        <v>87.6</v>
      </c>
      <c r="AB28" s="1">
        <v>76.8</v>
      </c>
      <c r="AC28" s="1">
        <v>80</v>
      </c>
      <c r="AD28" s="1"/>
      <c r="AE28" s="1">
        <f>G28*S28</f>
        <v>611.06399999999996</v>
      </c>
      <c r="AF28" s="10">
        <v>6</v>
      </c>
      <c r="AG28" s="1">
        <f>MROUND(S28, AF28*AI28)/AF28</f>
        <v>96</v>
      </c>
      <c r="AH28" s="1">
        <f>AG28*AF28*G28</f>
        <v>576</v>
      </c>
      <c r="AI28" s="1">
        <v>12</v>
      </c>
      <c r="AJ28" s="1">
        <v>84</v>
      </c>
      <c r="AK28" s="10">
        <f>AG28/AJ28</f>
        <v>1.1428571428571428</v>
      </c>
      <c r="AL28" s="1"/>
      <c r="AM28" s="1">
        <f t="shared" si="11"/>
        <v>100.6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86</v>
      </c>
      <c r="B29" s="1" t="s">
        <v>38</v>
      </c>
      <c r="C29" s="1">
        <v>119</v>
      </c>
      <c r="D29" s="1">
        <v>745</v>
      </c>
      <c r="E29" s="1">
        <v>217</v>
      </c>
      <c r="F29" s="1">
        <v>561</v>
      </c>
      <c r="G29" s="8">
        <v>0.23</v>
      </c>
      <c r="H29" s="1">
        <v>180</v>
      </c>
      <c r="I29" s="1" t="s">
        <v>87</v>
      </c>
      <c r="J29" s="1"/>
      <c r="K29" s="1">
        <v>220</v>
      </c>
      <c r="L29" s="1">
        <f t="shared" si="1"/>
        <v>-3</v>
      </c>
      <c r="M29" s="1"/>
      <c r="N29" s="1"/>
      <c r="O29" s="1"/>
      <c r="P29" s="1">
        <f t="shared" si="2"/>
        <v>43.4</v>
      </c>
      <c r="Q29" s="5"/>
      <c r="R29" s="5"/>
      <c r="S29" s="5"/>
      <c r="T29" s="38">
        <f t="shared" si="5"/>
        <v>0</v>
      </c>
      <c r="U29" s="5"/>
      <c r="V29" s="1"/>
      <c r="W29" s="1">
        <f t="shared" si="3"/>
        <v>12.926267281105991</v>
      </c>
      <c r="X29" s="1">
        <f t="shared" si="4"/>
        <v>12.926267281105991</v>
      </c>
      <c r="Y29" s="1">
        <v>23.6</v>
      </c>
      <c r="Z29" s="1">
        <v>60.6</v>
      </c>
      <c r="AA29" s="1">
        <v>14.8</v>
      </c>
      <c r="AB29" s="1">
        <v>17.399999999999999</v>
      </c>
      <c r="AC29" s="1">
        <v>37.799999999999997</v>
      </c>
      <c r="AD29" s="1"/>
      <c r="AE29" s="1">
        <f>G29*S29</f>
        <v>0</v>
      </c>
      <c r="AF29" s="10">
        <v>12</v>
      </c>
      <c r="AG29" s="1">
        <f>MROUND(S29, AF29*AI29)/AF29</f>
        <v>0</v>
      </c>
      <c r="AH29" s="1">
        <f>AG29*AF29*G29</f>
        <v>0</v>
      </c>
      <c r="AI29" s="1">
        <v>14</v>
      </c>
      <c r="AJ29" s="1">
        <v>70</v>
      </c>
      <c r="AK29" s="10">
        <f>AG29/AJ29</f>
        <v>0</v>
      </c>
      <c r="AL29" s="1"/>
      <c r="AM29" s="1">
        <f t="shared" si="11"/>
        <v>9.9819999999999993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88</v>
      </c>
      <c r="B30" s="1" t="s">
        <v>38</v>
      </c>
      <c r="C30" s="1">
        <v>1467</v>
      </c>
      <c r="D30" s="1">
        <v>41</v>
      </c>
      <c r="E30" s="1">
        <v>559</v>
      </c>
      <c r="F30" s="1">
        <v>890</v>
      </c>
      <c r="G30" s="8">
        <v>0.25</v>
      </c>
      <c r="H30" s="1">
        <v>365</v>
      </c>
      <c r="I30" s="1" t="s">
        <v>89</v>
      </c>
      <c r="J30" s="1"/>
      <c r="K30" s="1">
        <v>589</v>
      </c>
      <c r="L30" s="1">
        <f t="shared" si="1"/>
        <v>-30</v>
      </c>
      <c r="M30" s="1"/>
      <c r="N30" s="1"/>
      <c r="O30" s="1"/>
      <c r="P30" s="1">
        <f t="shared" si="2"/>
        <v>111.8</v>
      </c>
      <c r="Q30" s="5">
        <v>675.2</v>
      </c>
      <c r="R30" s="5">
        <v>675.2</v>
      </c>
      <c r="S30" s="5">
        <f t="shared" ref="S30:S31" si="19">R30*$S$1</f>
        <v>546.91200000000003</v>
      </c>
      <c r="T30" s="38">
        <f t="shared" si="5"/>
        <v>504</v>
      </c>
      <c r="U30" s="5"/>
      <c r="V30" s="1"/>
      <c r="W30" s="1">
        <f t="shared" si="3"/>
        <v>12.468694096601073</v>
      </c>
      <c r="X30" s="1">
        <f t="shared" si="4"/>
        <v>7.9606440071556355</v>
      </c>
      <c r="Y30" s="1">
        <v>103.2</v>
      </c>
      <c r="Z30" s="1">
        <v>81.2</v>
      </c>
      <c r="AA30" s="1">
        <v>79.400000000000006</v>
      </c>
      <c r="AB30" s="1">
        <v>116</v>
      </c>
      <c r="AC30" s="1">
        <v>127.4</v>
      </c>
      <c r="AD30" s="1" t="s">
        <v>49</v>
      </c>
      <c r="AE30" s="1">
        <f>G30*S30</f>
        <v>136.72800000000001</v>
      </c>
      <c r="AF30" s="10">
        <v>12</v>
      </c>
      <c r="AG30" s="1">
        <f>MROUND(S30, AF30*AI30)/AF30</f>
        <v>42</v>
      </c>
      <c r="AH30" s="1">
        <f>AG30*AF30*G30</f>
        <v>126</v>
      </c>
      <c r="AI30" s="1">
        <v>14</v>
      </c>
      <c r="AJ30" s="1">
        <v>70</v>
      </c>
      <c r="AK30" s="10">
        <f>AG30/AJ30</f>
        <v>0.6</v>
      </c>
      <c r="AL30" s="1"/>
      <c r="AM30" s="1">
        <f t="shared" si="11"/>
        <v>27.95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9" t="s">
        <v>90</v>
      </c>
      <c r="B31" s="1" t="s">
        <v>38</v>
      </c>
      <c r="C31" s="1">
        <v>794</v>
      </c>
      <c r="D31" s="1">
        <v>576</v>
      </c>
      <c r="E31" s="1">
        <v>604</v>
      </c>
      <c r="F31" s="1">
        <v>450</v>
      </c>
      <c r="G31" s="8">
        <v>0.25</v>
      </c>
      <c r="H31" s="1">
        <v>365</v>
      </c>
      <c r="I31" s="1" t="s">
        <v>91</v>
      </c>
      <c r="J31" s="1"/>
      <c r="K31" s="1">
        <v>610</v>
      </c>
      <c r="L31" s="1">
        <f t="shared" si="1"/>
        <v>-6</v>
      </c>
      <c r="M31" s="1"/>
      <c r="N31" s="1"/>
      <c r="O31" s="1"/>
      <c r="P31" s="1">
        <f t="shared" si="2"/>
        <v>120.8</v>
      </c>
      <c r="Q31" s="5">
        <v>999.59999999999991</v>
      </c>
      <c r="R31" s="5">
        <v>999.59999999999991</v>
      </c>
      <c r="S31" s="5">
        <f t="shared" si="19"/>
        <v>809.67599999999993</v>
      </c>
      <c r="T31" s="38">
        <f t="shared" si="5"/>
        <v>840</v>
      </c>
      <c r="U31" s="5"/>
      <c r="V31" s="1"/>
      <c r="W31" s="1">
        <f t="shared" si="3"/>
        <v>10.678807947019868</v>
      </c>
      <c r="X31" s="1">
        <f t="shared" si="4"/>
        <v>3.7251655629139075</v>
      </c>
      <c r="Y31" s="1">
        <v>101.2</v>
      </c>
      <c r="Z31" s="1">
        <v>66.8</v>
      </c>
      <c r="AA31" s="1">
        <v>73.599999999999994</v>
      </c>
      <c r="AB31" s="1">
        <v>38.6</v>
      </c>
      <c r="AC31" s="1">
        <v>46.4</v>
      </c>
      <c r="AD31" s="1"/>
      <c r="AE31" s="1">
        <f>G31*S31</f>
        <v>202.41899999999998</v>
      </c>
      <c r="AF31" s="10">
        <v>12</v>
      </c>
      <c r="AG31" s="1">
        <f>MROUND(S31, AF31*AI31)/AF31</f>
        <v>70</v>
      </c>
      <c r="AH31" s="1">
        <f>AG31*AF31*G31</f>
        <v>210</v>
      </c>
      <c r="AI31" s="1">
        <v>14</v>
      </c>
      <c r="AJ31" s="1">
        <v>70</v>
      </c>
      <c r="AK31" s="10">
        <f>AG31/AJ31</f>
        <v>1</v>
      </c>
      <c r="AL31" s="1"/>
      <c r="AM31" s="1">
        <f t="shared" si="11"/>
        <v>30.2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4" t="s">
        <v>92</v>
      </c>
      <c r="B32" s="14" t="s">
        <v>38</v>
      </c>
      <c r="C32" s="14">
        <v>-4</v>
      </c>
      <c r="D32" s="14">
        <v>36</v>
      </c>
      <c r="E32" s="14"/>
      <c r="F32" s="14"/>
      <c r="G32" s="15">
        <v>0</v>
      </c>
      <c r="H32" s="14"/>
      <c r="I32" s="18" t="s">
        <v>67</v>
      </c>
      <c r="J32" s="14" t="s">
        <v>90</v>
      </c>
      <c r="K32" s="14"/>
      <c r="L32" s="14">
        <f t="shared" si="1"/>
        <v>0</v>
      </c>
      <c r="M32" s="14"/>
      <c r="N32" s="14"/>
      <c r="O32" s="14"/>
      <c r="P32" s="14">
        <f t="shared" si="2"/>
        <v>0</v>
      </c>
      <c r="Q32" s="16"/>
      <c r="R32" s="16"/>
      <c r="S32" s="16"/>
      <c r="T32" s="37"/>
      <c r="U32" s="16"/>
      <c r="V32" s="14"/>
      <c r="W32" s="14" t="e">
        <f t="shared" si="3"/>
        <v>#DIV/0!</v>
      </c>
      <c r="X32" s="14" t="e">
        <f t="shared" si="4"/>
        <v>#DIV/0!</v>
      </c>
      <c r="Y32" s="14">
        <v>7.6</v>
      </c>
      <c r="Z32" s="14">
        <v>8</v>
      </c>
      <c r="AA32" s="14">
        <v>18.8</v>
      </c>
      <c r="AB32" s="14">
        <v>8.6</v>
      </c>
      <c r="AC32" s="14">
        <v>11.8</v>
      </c>
      <c r="AD32" s="14"/>
      <c r="AE32" s="14"/>
      <c r="AF32" s="17"/>
      <c r="AG32" s="14"/>
      <c r="AH32" s="14"/>
      <c r="AI32" s="14"/>
      <c r="AJ32" s="14"/>
      <c r="AK32" s="17"/>
      <c r="AL32" s="1"/>
      <c r="AM32" s="1">
        <f t="shared" si="11"/>
        <v>0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93</v>
      </c>
      <c r="B33" s="1" t="s">
        <v>38</v>
      </c>
      <c r="C33" s="1">
        <v>67</v>
      </c>
      <c r="D33" s="1">
        <v>543</v>
      </c>
      <c r="E33" s="1">
        <v>152</v>
      </c>
      <c r="F33" s="1">
        <v>395</v>
      </c>
      <c r="G33" s="8">
        <v>0.25</v>
      </c>
      <c r="H33" s="1">
        <v>180</v>
      </c>
      <c r="I33" s="1" t="s">
        <v>94</v>
      </c>
      <c r="J33" s="1"/>
      <c r="K33" s="1">
        <v>327</v>
      </c>
      <c r="L33" s="1">
        <f t="shared" si="1"/>
        <v>-175</v>
      </c>
      <c r="M33" s="1"/>
      <c r="N33" s="1"/>
      <c r="O33" s="1"/>
      <c r="P33" s="1">
        <f t="shared" si="2"/>
        <v>30.4</v>
      </c>
      <c r="Q33" s="5"/>
      <c r="R33" s="5"/>
      <c r="S33" s="5"/>
      <c r="T33" s="38">
        <f t="shared" si="5"/>
        <v>0</v>
      </c>
      <c r="U33" s="5"/>
      <c r="V33" s="1"/>
      <c r="W33" s="1">
        <f t="shared" si="3"/>
        <v>12.993421052631579</v>
      </c>
      <c r="X33" s="1">
        <f t="shared" si="4"/>
        <v>12.993421052631579</v>
      </c>
      <c r="Y33" s="1">
        <v>63</v>
      </c>
      <c r="Z33" s="1">
        <v>48.8</v>
      </c>
      <c r="AA33" s="1">
        <v>50</v>
      </c>
      <c r="AB33" s="1">
        <v>46</v>
      </c>
      <c r="AC33" s="1">
        <v>47.6</v>
      </c>
      <c r="AD33" s="1"/>
      <c r="AE33" s="1">
        <f t="shared" ref="AE33:AE44" si="20">G33*S33</f>
        <v>0</v>
      </c>
      <c r="AF33" s="10">
        <v>12</v>
      </c>
      <c r="AG33" s="1">
        <f t="shared" ref="AG33:AG44" si="21">MROUND(S33, AF33*AI33)/AF33</f>
        <v>0</v>
      </c>
      <c r="AH33" s="1">
        <f t="shared" ref="AH33:AH44" si="22">AG33*AF33*G33</f>
        <v>0</v>
      </c>
      <c r="AI33" s="1">
        <v>14</v>
      </c>
      <c r="AJ33" s="1">
        <v>70</v>
      </c>
      <c r="AK33" s="10">
        <f t="shared" ref="AK33:AK44" si="23">AG33/AJ33</f>
        <v>0</v>
      </c>
      <c r="AL33" s="1"/>
      <c r="AM33" s="1">
        <f t="shared" si="11"/>
        <v>7.6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95</v>
      </c>
      <c r="B34" s="1" t="s">
        <v>38</v>
      </c>
      <c r="C34" s="1">
        <v>56</v>
      </c>
      <c r="D34" s="1">
        <v>3</v>
      </c>
      <c r="E34" s="1">
        <v>62</v>
      </c>
      <c r="F34" s="1">
        <v>-6</v>
      </c>
      <c r="G34" s="8">
        <v>0.25</v>
      </c>
      <c r="H34" s="1">
        <v>180</v>
      </c>
      <c r="I34" s="1" t="s">
        <v>96</v>
      </c>
      <c r="J34" s="1"/>
      <c r="K34" s="1">
        <v>62</v>
      </c>
      <c r="L34" s="1">
        <f t="shared" si="1"/>
        <v>0</v>
      </c>
      <c r="M34" s="1"/>
      <c r="N34" s="1"/>
      <c r="O34" s="1"/>
      <c r="P34" s="1">
        <f t="shared" si="2"/>
        <v>12.4</v>
      </c>
      <c r="Q34" s="5">
        <v>117.60000000000001</v>
      </c>
      <c r="R34" s="5">
        <v>117.60000000000001</v>
      </c>
      <c r="S34" s="5">
        <f>9*P34-F34</f>
        <v>117.60000000000001</v>
      </c>
      <c r="T34" s="38">
        <f t="shared" si="5"/>
        <v>168</v>
      </c>
      <c r="U34" s="5"/>
      <c r="V34" s="1"/>
      <c r="W34" s="1">
        <f t="shared" si="3"/>
        <v>13.064516129032258</v>
      </c>
      <c r="X34" s="1">
        <f t="shared" si="4"/>
        <v>-0.48387096774193544</v>
      </c>
      <c r="Y34" s="1">
        <v>9</v>
      </c>
      <c r="Z34" s="1">
        <v>8.4</v>
      </c>
      <c r="AA34" s="1">
        <v>10.4</v>
      </c>
      <c r="AB34" s="1">
        <v>14.8</v>
      </c>
      <c r="AC34" s="1">
        <v>10.8</v>
      </c>
      <c r="AD34" s="1" t="s">
        <v>49</v>
      </c>
      <c r="AE34" s="1">
        <f t="shared" si="20"/>
        <v>29.400000000000002</v>
      </c>
      <c r="AF34" s="10">
        <v>12</v>
      </c>
      <c r="AG34" s="1">
        <f t="shared" si="21"/>
        <v>14</v>
      </c>
      <c r="AH34" s="1">
        <f t="shared" si="22"/>
        <v>42</v>
      </c>
      <c r="AI34" s="1">
        <v>14</v>
      </c>
      <c r="AJ34" s="1">
        <v>70</v>
      </c>
      <c r="AK34" s="10">
        <f t="shared" si="23"/>
        <v>0.2</v>
      </c>
      <c r="AL34" s="1"/>
      <c r="AM34" s="1">
        <f t="shared" si="11"/>
        <v>3.1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97</v>
      </c>
      <c r="B35" s="1" t="s">
        <v>38</v>
      </c>
      <c r="C35" s="1">
        <v>290</v>
      </c>
      <c r="D35" s="1">
        <v>134</v>
      </c>
      <c r="E35" s="1">
        <v>148</v>
      </c>
      <c r="F35" s="1">
        <v>244</v>
      </c>
      <c r="G35" s="8">
        <v>0.7</v>
      </c>
      <c r="H35" s="1">
        <v>180</v>
      </c>
      <c r="I35" s="1" t="s">
        <v>98</v>
      </c>
      <c r="J35" s="1"/>
      <c r="K35" s="1">
        <v>151</v>
      </c>
      <c r="L35" s="1">
        <f t="shared" si="1"/>
        <v>-3</v>
      </c>
      <c r="M35" s="1"/>
      <c r="N35" s="1"/>
      <c r="O35" s="1"/>
      <c r="P35" s="1">
        <f t="shared" si="2"/>
        <v>29.6</v>
      </c>
      <c r="Q35" s="5">
        <v>170.40000000000003</v>
      </c>
      <c r="R35" s="5">
        <v>170.40000000000003</v>
      </c>
      <c r="S35" s="5">
        <f t="shared" ref="S35:S44" si="24">14*P35-F35</f>
        <v>170.40000000000003</v>
      </c>
      <c r="T35" s="38">
        <f t="shared" si="5"/>
        <v>192</v>
      </c>
      <c r="U35" s="5"/>
      <c r="V35" s="1"/>
      <c r="W35" s="1">
        <f t="shared" si="3"/>
        <v>14.72972972972973</v>
      </c>
      <c r="X35" s="1">
        <f t="shared" si="4"/>
        <v>8.2432432432432421</v>
      </c>
      <c r="Y35" s="1">
        <v>28.6</v>
      </c>
      <c r="Z35" s="1">
        <v>22.8</v>
      </c>
      <c r="AA35" s="1">
        <v>23.4</v>
      </c>
      <c r="AB35" s="1">
        <v>19</v>
      </c>
      <c r="AC35" s="1">
        <v>37.6</v>
      </c>
      <c r="AD35" s="1"/>
      <c r="AE35" s="1">
        <f t="shared" si="20"/>
        <v>119.28000000000002</v>
      </c>
      <c r="AF35" s="10">
        <v>8</v>
      </c>
      <c r="AG35" s="1">
        <f t="shared" si="21"/>
        <v>24</v>
      </c>
      <c r="AH35" s="1">
        <f t="shared" si="22"/>
        <v>134.39999999999998</v>
      </c>
      <c r="AI35" s="1">
        <v>12</v>
      </c>
      <c r="AJ35" s="1">
        <v>84</v>
      </c>
      <c r="AK35" s="10">
        <f t="shared" si="23"/>
        <v>0.2857142857142857</v>
      </c>
      <c r="AL35" s="1"/>
      <c r="AM35" s="1">
        <f t="shared" si="11"/>
        <v>20.72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99</v>
      </c>
      <c r="B36" s="1" t="s">
        <v>38</v>
      </c>
      <c r="C36" s="1">
        <v>147</v>
      </c>
      <c r="D36" s="1">
        <v>222</v>
      </c>
      <c r="E36" s="1">
        <v>137</v>
      </c>
      <c r="F36" s="1">
        <v>199</v>
      </c>
      <c r="G36" s="8">
        <v>0.7</v>
      </c>
      <c r="H36" s="1">
        <v>180</v>
      </c>
      <c r="I36" s="1" t="s">
        <v>100</v>
      </c>
      <c r="J36" s="1"/>
      <c r="K36" s="1">
        <v>147</v>
      </c>
      <c r="L36" s="1">
        <f t="shared" si="1"/>
        <v>-10</v>
      </c>
      <c r="M36" s="1"/>
      <c r="N36" s="1"/>
      <c r="O36" s="1"/>
      <c r="P36" s="1">
        <f t="shared" si="2"/>
        <v>27.4</v>
      </c>
      <c r="Q36" s="5">
        <v>184.59999999999997</v>
      </c>
      <c r="R36" s="5">
        <v>184.59999999999997</v>
      </c>
      <c r="S36" s="5">
        <f t="shared" si="24"/>
        <v>184.59999999999997</v>
      </c>
      <c r="T36" s="38">
        <f t="shared" si="5"/>
        <v>192</v>
      </c>
      <c r="U36" s="5"/>
      <c r="V36" s="1"/>
      <c r="W36" s="1">
        <f t="shared" si="3"/>
        <v>14.270072992700731</v>
      </c>
      <c r="X36" s="1">
        <f t="shared" si="4"/>
        <v>7.2627737226277373</v>
      </c>
      <c r="Y36" s="1">
        <v>29.6</v>
      </c>
      <c r="Z36" s="1">
        <v>20.8</v>
      </c>
      <c r="AA36" s="1">
        <v>25.2</v>
      </c>
      <c r="AB36" s="1">
        <v>18.8</v>
      </c>
      <c r="AC36" s="1">
        <v>22.8</v>
      </c>
      <c r="AD36" s="1"/>
      <c r="AE36" s="1">
        <f t="shared" si="20"/>
        <v>129.21999999999997</v>
      </c>
      <c r="AF36" s="10">
        <v>8</v>
      </c>
      <c r="AG36" s="1">
        <f t="shared" si="21"/>
        <v>24</v>
      </c>
      <c r="AH36" s="1">
        <f t="shared" si="22"/>
        <v>134.39999999999998</v>
      </c>
      <c r="AI36" s="1">
        <v>12</v>
      </c>
      <c r="AJ36" s="1">
        <v>84</v>
      </c>
      <c r="AK36" s="10">
        <f t="shared" si="23"/>
        <v>0.2857142857142857</v>
      </c>
      <c r="AL36" s="1"/>
      <c r="AM36" s="1">
        <f t="shared" si="11"/>
        <v>19.179999999999996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101</v>
      </c>
      <c r="B37" s="1" t="s">
        <v>38</v>
      </c>
      <c r="C37" s="1">
        <v>291</v>
      </c>
      <c r="D37" s="1">
        <v>93</v>
      </c>
      <c r="E37" s="1">
        <v>146</v>
      </c>
      <c r="F37" s="1">
        <v>146</v>
      </c>
      <c r="G37" s="8">
        <v>0.7</v>
      </c>
      <c r="H37" s="1">
        <v>180</v>
      </c>
      <c r="I37" s="1" t="s">
        <v>102</v>
      </c>
      <c r="J37" s="1"/>
      <c r="K37" s="1">
        <v>155</v>
      </c>
      <c r="L37" s="1">
        <f t="shared" si="1"/>
        <v>-9</v>
      </c>
      <c r="M37" s="1"/>
      <c r="N37" s="1"/>
      <c r="O37" s="1"/>
      <c r="P37" s="1">
        <f t="shared" si="2"/>
        <v>29.2</v>
      </c>
      <c r="Q37" s="5">
        <v>262.8</v>
      </c>
      <c r="R37" s="5">
        <v>262.8</v>
      </c>
      <c r="S37" s="5">
        <f t="shared" si="24"/>
        <v>262.8</v>
      </c>
      <c r="T37" s="38">
        <f t="shared" si="5"/>
        <v>288</v>
      </c>
      <c r="U37" s="5"/>
      <c r="V37" s="1"/>
      <c r="W37" s="1">
        <f t="shared" si="3"/>
        <v>14.863013698630137</v>
      </c>
      <c r="X37" s="1">
        <f t="shared" si="4"/>
        <v>5</v>
      </c>
      <c r="Y37" s="1">
        <v>23.6</v>
      </c>
      <c r="Z37" s="1">
        <v>17.600000000000001</v>
      </c>
      <c r="AA37" s="1">
        <v>22.4</v>
      </c>
      <c r="AB37" s="1">
        <v>29</v>
      </c>
      <c r="AC37" s="1">
        <v>28.6</v>
      </c>
      <c r="AD37" s="1"/>
      <c r="AE37" s="1">
        <f t="shared" si="20"/>
        <v>183.96</v>
      </c>
      <c r="AF37" s="10">
        <v>8</v>
      </c>
      <c r="AG37" s="1">
        <f t="shared" si="21"/>
        <v>36</v>
      </c>
      <c r="AH37" s="1">
        <f t="shared" si="22"/>
        <v>201.6</v>
      </c>
      <c r="AI37" s="1">
        <v>12</v>
      </c>
      <c r="AJ37" s="1">
        <v>84</v>
      </c>
      <c r="AK37" s="10">
        <f t="shared" si="23"/>
        <v>0.42857142857142855</v>
      </c>
      <c r="AL37" s="1"/>
      <c r="AM37" s="1">
        <f t="shared" si="11"/>
        <v>20.439999999999998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103</v>
      </c>
      <c r="B38" s="1" t="s">
        <v>38</v>
      </c>
      <c r="C38" s="1">
        <v>348</v>
      </c>
      <c r="D38" s="1">
        <v>127</v>
      </c>
      <c r="E38" s="1">
        <v>117</v>
      </c>
      <c r="F38" s="1">
        <v>351</v>
      </c>
      <c r="G38" s="8">
        <v>0.7</v>
      </c>
      <c r="H38" s="1">
        <v>180</v>
      </c>
      <c r="I38" s="1" t="s">
        <v>104</v>
      </c>
      <c r="J38" s="1"/>
      <c r="K38" s="1">
        <v>142</v>
      </c>
      <c r="L38" s="1">
        <f t="shared" ref="L38:L69" si="25">E38-K38</f>
        <v>-25</v>
      </c>
      <c r="M38" s="1"/>
      <c r="N38" s="1"/>
      <c r="O38" s="1"/>
      <c r="P38" s="1">
        <f t="shared" si="2"/>
        <v>23.4</v>
      </c>
      <c r="Q38" s="5"/>
      <c r="R38" s="5"/>
      <c r="S38" s="5"/>
      <c r="T38" s="38">
        <f t="shared" si="5"/>
        <v>0</v>
      </c>
      <c r="U38" s="5"/>
      <c r="V38" s="1"/>
      <c r="W38" s="1">
        <f t="shared" si="3"/>
        <v>15.000000000000002</v>
      </c>
      <c r="X38" s="1">
        <f t="shared" si="4"/>
        <v>15.000000000000002</v>
      </c>
      <c r="Y38" s="1">
        <v>8</v>
      </c>
      <c r="Z38" s="1">
        <v>30.6</v>
      </c>
      <c r="AA38" s="1">
        <v>11.4</v>
      </c>
      <c r="AB38" s="1">
        <v>13.2</v>
      </c>
      <c r="AC38" s="1">
        <v>33.6</v>
      </c>
      <c r="AD38" s="1"/>
      <c r="AE38" s="1">
        <f t="shared" si="20"/>
        <v>0</v>
      </c>
      <c r="AF38" s="10">
        <v>10</v>
      </c>
      <c r="AG38" s="1">
        <f t="shared" si="21"/>
        <v>0</v>
      </c>
      <c r="AH38" s="1">
        <f t="shared" si="22"/>
        <v>0</v>
      </c>
      <c r="AI38" s="1">
        <v>12</v>
      </c>
      <c r="AJ38" s="1">
        <v>84</v>
      </c>
      <c r="AK38" s="10">
        <f t="shared" si="23"/>
        <v>0</v>
      </c>
      <c r="AL38" s="1"/>
      <c r="AM38" s="1">
        <f t="shared" si="11"/>
        <v>16.38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105</v>
      </c>
      <c r="B39" s="1" t="s">
        <v>38</v>
      </c>
      <c r="C39" s="1">
        <v>226</v>
      </c>
      <c r="D39" s="1">
        <v>17</v>
      </c>
      <c r="E39" s="1">
        <v>98</v>
      </c>
      <c r="F39" s="1">
        <v>121</v>
      </c>
      <c r="G39" s="8">
        <v>0.7</v>
      </c>
      <c r="H39" s="1">
        <v>180</v>
      </c>
      <c r="I39" s="1" t="s">
        <v>106</v>
      </c>
      <c r="J39" s="1"/>
      <c r="K39" s="1">
        <v>112</v>
      </c>
      <c r="L39" s="1">
        <f t="shared" si="25"/>
        <v>-14</v>
      </c>
      <c r="M39" s="1"/>
      <c r="N39" s="1"/>
      <c r="O39" s="1"/>
      <c r="P39" s="1">
        <f t="shared" si="2"/>
        <v>19.600000000000001</v>
      </c>
      <c r="Q39" s="5">
        <v>153.40000000000003</v>
      </c>
      <c r="R39" s="5">
        <v>153.40000000000003</v>
      </c>
      <c r="S39" s="5">
        <f t="shared" si="24"/>
        <v>153.40000000000003</v>
      </c>
      <c r="T39" s="38">
        <f t="shared" si="5"/>
        <v>120</v>
      </c>
      <c r="U39" s="5"/>
      <c r="V39" s="1"/>
      <c r="W39" s="1">
        <f t="shared" si="3"/>
        <v>12.295918367346937</v>
      </c>
      <c r="X39" s="1">
        <f t="shared" si="4"/>
        <v>6.1734693877551017</v>
      </c>
      <c r="Y39" s="1">
        <v>21.4</v>
      </c>
      <c r="Z39" s="1">
        <v>12.8</v>
      </c>
      <c r="AA39" s="1">
        <v>26</v>
      </c>
      <c r="AB39" s="1">
        <v>0.2</v>
      </c>
      <c r="AC39" s="1">
        <v>20.8</v>
      </c>
      <c r="AD39" s="1"/>
      <c r="AE39" s="1">
        <f t="shared" si="20"/>
        <v>107.38000000000002</v>
      </c>
      <c r="AF39" s="10">
        <v>10</v>
      </c>
      <c r="AG39" s="1">
        <f t="shared" si="21"/>
        <v>12</v>
      </c>
      <c r="AH39" s="1">
        <f t="shared" si="22"/>
        <v>84</v>
      </c>
      <c r="AI39" s="1">
        <v>12</v>
      </c>
      <c r="AJ39" s="1">
        <v>84</v>
      </c>
      <c r="AK39" s="10">
        <f t="shared" si="23"/>
        <v>0.14285714285714285</v>
      </c>
      <c r="AL39" s="1"/>
      <c r="AM39" s="1">
        <f t="shared" si="11"/>
        <v>13.72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107</v>
      </c>
      <c r="B40" s="1" t="s">
        <v>38</v>
      </c>
      <c r="C40" s="1">
        <v>421</v>
      </c>
      <c r="D40" s="1">
        <v>33</v>
      </c>
      <c r="E40" s="1">
        <v>213</v>
      </c>
      <c r="F40" s="1">
        <v>168</v>
      </c>
      <c r="G40" s="8">
        <v>0.7</v>
      </c>
      <c r="H40" s="1">
        <v>180</v>
      </c>
      <c r="I40" s="1" t="s">
        <v>108</v>
      </c>
      <c r="J40" s="1"/>
      <c r="K40" s="1">
        <v>217</v>
      </c>
      <c r="L40" s="1">
        <f t="shared" si="25"/>
        <v>-4</v>
      </c>
      <c r="M40" s="1"/>
      <c r="N40" s="1"/>
      <c r="O40" s="1"/>
      <c r="P40" s="1">
        <f t="shared" si="2"/>
        <v>42.6</v>
      </c>
      <c r="Q40" s="5">
        <v>385.80000000000007</v>
      </c>
      <c r="R40" s="5">
        <v>385.80000000000007</v>
      </c>
      <c r="S40" s="5">
        <f>13*P40-F40</f>
        <v>385.80000000000007</v>
      </c>
      <c r="T40" s="38">
        <f t="shared" si="5"/>
        <v>360</v>
      </c>
      <c r="U40" s="5"/>
      <c r="V40" s="1"/>
      <c r="W40" s="1">
        <f t="shared" si="3"/>
        <v>12.394366197183098</v>
      </c>
      <c r="X40" s="1">
        <f t="shared" si="4"/>
        <v>3.943661971830986</v>
      </c>
      <c r="Y40" s="1">
        <v>32.6</v>
      </c>
      <c r="Z40" s="1">
        <v>33</v>
      </c>
      <c r="AA40" s="1">
        <v>35.4</v>
      </c>
      <c r="AB40" s="1">
        <v>38</v>
      </c>
      <c r="AC40" s="1">
        <v>56.2</v>
      </c>
      <c r="AD40" s="1" t="s">
        <v>49</v>
      </c>
      <c r="AE40" s="1">
        <f t="shared" si="20"/>
        <v>270.06</v>
      </c>
      <c r="AF40" s="10">
        <v>10</v>
      </c>
      <c r="AG40" s="1">
        <f t="shared" si="21"/>
        <v>36</v>
      </c>
      <c r="AH40" s="1">
        <f t="shared" si="22"/>
        <v>251.99999999999997</v>
      </c>
      <c r="AI40" s="1">
        <v>12</v>
      </c>
      <c r="AJ40" s="1">
        <v>84</v>
      </c>
      <c r="AK40" s="10">
        <f t="shared" si="23"/>
        <v>0.42857142857142855</v>
      </c>
      <c r="AL40" s="1"/>
      <c r="AM40" s="1">
        <f t="shared" si="11"/>
        <v>29.82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109</v>
      </c>
      <c r="B41" s="1" t="s">
        <v>38</v>
      </c>
      <c r="C41" s="1">
        <v>225</v>
      </c>
      <c r="D41" s="1">
        <v>4</v>
      </c>
      <c r="E41" s="1">
        <v>94</v>
      </c>
      <c r="F41" s="1">
        <v>132</v>
      </c>
      <c r="G41" s="8">
        <v>0.7</v>
      </c>
      <c r="H41" s="1">
        <v>180</v>
      </c>
      <c r="I41" s="1" t="s">
        <v>110</v>
      </c>
      <c r="J41" s="1"/>
      <c r="K41" s="1">
        <v>104</v>
      </c>
      <c r="L41" s="1">
        <f t="shared" si="25"/>
        <v>-10</v>
      </c>
      <c r="M41" s="1"/>
      <c r="N41" s="1"/>
      <c r="O41" s="1"/>
      <c r="P41" s="1">
        <f t="shared" si="2"/>
        <v>18.8</v>
      </c>
      <c r="Q41" s="5">
        <v>131.19999999999999</v>
      </c>
      <c r="R41" s="5">
        <v>131.19999999999999</v>
      </c>
      <c r="S41" s="5">
        <f t="shared" si="24"/>
        <v>131.19999999999999</v>
      </c>
      <c r="T41" s="38">
        <f t="shared" si="5"/>
        <v>120</v>
      </c>
      <c r="U41" s="5"/>
      <c r="V41" s="1"/>
      <c r="W41" s="1">
        <f t="shared" si="3"/>
        <v>13.404255319148936</v>
      </c>
      <c r="X41" s="1">
        <f t="shared" si="4"/>
        <v>7.0212765957446805</v>
      </c>
      <c r="Y41" s="1">
        <v>9.6</v>
      </c>
      <c r="Z41" s="1">
        <v>10.8</v>
      </c>
      <c r="AA41" s="1">
        <v>14.2</v>
      </c>
      <c r="AB41" s="1">
        <v>14.8</v>
      </c>
      <c r="AC41" s="1">
        <v>13.8</v>
      </c>
      <c r="AD41" s="1"/>
      <c r="AE41" s="1">
        <f t="shared" si="20"/>
        <v>91.839999999999989</v>
      </c>
      <c r="AF41" s="10">
        <v>10</v>
      </c>
      <c r="AG41" s="1">
        <f t="shared" si="21"/>
        <v>12</v>
      </c>
      <c r="AH41" s="1">
        <f t="shared" si="22"/>
        <v>84</v>
      </c>
      <c r="AI41" s="1">
        <v>12</v>
      </c>
      <c r="AJ41" s="1">
        <v>84</v>
      </c>
      <c r="AK41" s="10">
        <f t="shared" si="23"/>
        <v>0.14285714285714285</v>
      </c>
      <c r="AL41" s="1"/>
      <c r="AM41" s="1">
        <f t="shared" si="11"/>
        <v>13.16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111</v>
      </c>
      <c r="B42" s="1" t="s">
        <v>73</v>
      </c>
      <c r="C42" s="1">
        <v>470</v>
      </c>
      <c r="D42" s="1">
        <v>665</v>
      </c>
      <c r="E42" s="1">
        <v>360</v>
      </c>
      <c r="F42" s="1">
        <v>660</v>
      </c>
      <c r="G42" s="8">
        <v>1</v>
      </c>
      <c r="H42" s="1">
        <v>180</v>
      </c>
      <c r="I42" s="1" t="s">
        <v>112</v>
      </c>
      <c r="J42" s="1"/>
      <c r="K42" s="1">
        <v>385</v>
      </c>
      <c r="L42" s="1">
        <f t="shared" si="25"/>
        <v>-25</v>
      </c>
      <c r="M42" s="1"/>
      <c r="N42" s="1"/>
      <c r="O42" s="1"/>
      <c r="P42" s="1">
        <f t="shared" si="2"/>
        <v>72</v>
      </c>
      <c r="Q42" s="5">
        <v>348</v>
      </c>
      <c r="R42" s="5">
        <v>348</v>
      </c>
      <c r="S42" s="5">
        <f t="shared" si="24"/>
        <v>348</v>
      </c>
      <c r="T42" s="38">
        <f t="shared" si="5"/>
        <v>360</v>
      </c>
      <c r="U42" s="5"/>
      <c r="V42" s="1"/>
      <c r="W42" s="1">
        <f t="shared" si="3"/>
        <v>14.166666666666666</v>
      </c>
      <c r="X42" s="1">
        <f t="shared" si="4"/>
        <v>9.1666666666666661</v>
      </c>
      <c r="Y42" s="1">
        <v>86</v>
      </c>
      <c r="Z42" s="1">
        <v>87</v>
      </c>
      <c r="AA42" s="1">
        <v>92</v>
      </c>
      <c r="AB42" s="1">
        <v>65</v>
      </c>
      <c r="AC42" s="1">
        <v>102</v>
      </c>
      <c r="AD42" s="1" t="s">
        <v>49</v>
      </c>
      <c r="AE42" s="1">
        <f t="shared" si="20"/>
        <v>348</v>
      </c>
      <c r="AF42" s="10">
        <v>5</v>
      </c>
      <c r="AG42" s="1">
        <f t="shared" si="21"/>
        <v>72</v>
      </c>
      <c r="AH42" s="1">
        <f t="shared" si="22"/>
        <v>360</v>
      </c>
      <c r="AI42" s="1">
        <v>12</v>
      </c>
      <c r="AJ42" s="1">
        <v>144</v>
      </c>
      <c r="AK42" s="10">
        <f t="shared" si="23"/>
        <v>0.5</v>
      </c>
      <c r="AL42" s="1"/>
      <c r="AM42" s="1">
        <f t="shared" si="11"/>
        <v>72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113</v>
      </c>
      <c r="B43" s="1" t="s">
        <v>38</v>
      </c>
      <c r="C43" s="1">
        <v>584</v>
      </c>
      <c r="D43" s="1">
        <v>215</v>
      </c>
      <c r="E43" s="1">
        <v>309</v>
      </c>
      <c r="F43" s="1">
        <v>224</v>
      </c>
      <c r="G43" s="8">
        <v>0.4</v>
      </c>
      <c r="H43" s="1"/>
      <c r="I43" s="1" t="s">
        <v>114</v>
      </c>
      <c r="J43" s="1"/>
      <c r="K43" s="1">
        <v>306</v>
      </c>
      <c r="L43" s="1">
        <f t="shared" si="25"/>
        <v>3</v>
      </c>
      <c r="M43" s="1"/>
      <c r="N43" s="1"/>
      <c r="O43" s="1"/>
      <c r="P43" s="1">
        <f t="shared" si="2"/>
        <v>61.8</v>
      </c>
      <c r="Q43" s="5">
        <v>579.4</v>
      </c>
      <c r="R43" s="5">
        <v>579.4</v>
      </c>
      <c r="S43" s="5">
        <f>R43*$S$1</f>
        <v>469.31400000000002</v>
      </c>
      <c r="T43" s="38">
        <f t="shared" si="5"/>
        <v>384</v>
      </c>
      <c r="U43" s="5"/>
      <c r="V43" s="1"/>
      <c r="W43" s="1">
        <f t="shared" si="3"/>
        <v>9.8381877022653725</v>
      </c>
      <c r="X43" s="1">
        <f t="shared" si="4"/>
        <v>3.6245954692556634</v>
      </c>
      <c r="Y43" s="1">
        <v>37</v>
      </c>
      <c r="Z43" s="1">
        <v>8.6</v>
      </c>
      <c r="AA43" s="1">
        <v>55.2</v>
      </c>
      <c r="AB43" s="1">
        <v>23.8</v>
      </c>
      <c r="AC43" s="1">
        <v>24.8</v>
      </c>
      <c r="AD43" s="1"/>
      <c r="AE43" s="1">
        <f t="shared" si="20"/>
        <v>187.72560000000001</v>
      </c>
      <c r="AF43" s="10">
        <v>16</v>
      </c>
      <c r="AG43" s="1">
        <f t="shared" si="21"/>
        <v>24</v>
      </c>
      <c r="AH43" s="1">
        <f t="shared" si="22"/>
        <v>153.60000000000002</v>
      </c>
      <c r="AI43" s="1">
        <v>12</v>
      </c>
      <c r="AJ43" s="1">
        <v>84</v>
      </c>
      <c r="AK43" s="10">
        <f t="shared" si="23"/>
        <v>0.2857142857142857</v>
      </c>
      <c r="AL43" s="1"/>
      <c r="AM43" s="1">
        <f t="shared" si="11"/>
        <v>24.72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115</v>
      </c>
      <c r="B44" s="1" t="s">
        <v>38</v>
      </c>
      <c r="C44" s="1">
        <v>424</v>
      </c>
      <c r="D44" s="1">
        <v>633</v>
      </c>
      <c r="E44" s="1">
        <v>327</v>
      </c>
      <c r="F44" s="1">
        <v>451</v>
      </c>
      <c r="G44" s="8">
        <v>0.7</v>
      </c>
      <c r="H44" s="1">
        <v>180</v>
      </c>
      <c r="I44" s="1" t="s">
        <v>116</v>
      </c>
      <c r="J44" s="1"/>
      <c r="K44" s="1">
        <v>338</v>
      </c>
      <c r="L44" s="1">
        <f t="shared" si="25"/>
        <v>-11</v>
      </c>
      <c r="M44" s="1"/>
      <c r="N44" s="1"/>
      <c r="O44" s="1"/>
      <c r="P44" s="1">
        <f t="shared" si="2"/>
        <v>65.400000000000006</v>
      </c>
      <c r="Q44" s="5">
        <v>464.60000000000014</v>
      </c>
      <c r="R44" s="5">
        <v>464.60000000000014</v>
      </c>
      <c r="S44" s="5">
        <f t="shared" si="24"/>
        <v>464.60000000000014</v>
      </c>
      <c r="T44" s="38">
        <f t="shared" si="5"/>
        <v>480</v>
      </c>
      <c r="U44" s="5"/>
      <c r="V44" s="1"/>
      <c r="W44" s="1">
        <f t="shared" si="3"/>
        <v>14.235474006116206</v>
      </c>
      <c r="X44" s="1">
        <f t="shared" si="4"/>
        <v>6.8960244648318039</v>
      </c>
      <c r="Y44" s="1">
        <v>75.8</v>
      </c>
      <c r="Z44" s="1">
        <v>69.599999999999994</v>
      </c>
      <c r="AA44" s="1">
        <v>82.8</v>
      </c>
      <c r="AB44" s="1">
        <v>56</v>
      </c>
      <c r="AC44" s="1">
        <v>87.2</v>
      </c>
      <c r="AD44" s="1" t="s">
        <v>49</v>
      </c>
      <c r="AE44" s="1">
        <f t="shared" si="20"/>
        <v>325.22000000000008</v>
      </c>
      <c r="AF44" s="10">
        <v>10</v>
      </c>
      <c r="AG44" s="1">
        <f t="shared" si="21"/>
        <v>48</v>
      </c>
      <c r="AH44" s="1">
        <f t="shared" si="22"/>
        <v>336</v>
      </c>
      <c r="AI44" s="1">
        <v>12</v>
      </c>
      <c r="AJ44" s="1">
        <v>84</v>
      </c>
      <c r="AK44" s="10">
        <f t="shared" si="23"/>
        <v>0.5714285714285714</v>
      </c>
      <c r="AL44" s="1"/>
      <c r="AM44" s="1">
        <f t="shared" si="11"/>
        <v>45.78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4" t="s">
        <v>117</v>
      </c>
      <c r="B45" s="14" t="s">
        <v>38</v>
      </c>
      <c r="C45" s="14"/>
      <c r="D45" s="14"/>
      <c r="E45" s="22">
        <v>1</v>
      </c>
      <c r="F45" s="21">
        <v>-1</v>
      </c>
      <c r="G45" s="15">
        <v>0</v>
      </c>
      <c r="H45" s="14"/>
      <c r="I45" s="14" t="s">
        <v>67</v>
      </c>
      <c r="J45" s="14" t="s">
        <v>118</v>
      </c>
      <c r="K45" s="14"/>
      <c r="L45" s="14">
        <f t="shared" si="25"/>
        <v>1</v>
      </c>
      <c r="M45" s="14"/>
      <c r="N45" s="14"/>
      <c r="O45" s="14"/>
      <c r="P45" s="14">
        <f t="shared" si="2"/>
        <v>0.2</v>
      </c>
      <c r="Q45" s="16"/>
      <c r="R45" s="16"/>
      <c r="S45" s="16"/>
      <c r="T45" s="37"/>
      <c r="U45" s="16"/>
      <c r="V45" s="14"/>
      <c r="W45" s="14">
        <f t="shared" si="3"/>
        <v>-5</v>
      </c>
      <c r="X45" s="14">
        <f t="shared" si="4"/>
        <v>-5</v>
      </c>
      <c r="Y45" s="14"/>
      <c r="Z45" s="14"/>
      <c r="AA45" s="14"/>
      <c r="AB45" s="14"/>
      <c r="AC45" s="14"/>
      <c r="AD45" s="14"/>
      <c r="AE45" s="14"/>
      <c r="AF45" s="17"/>
      <c r="AG45" s="14"/>
      <c r="AH45" s="14"/>
      <c r="AI45" s="14"/>
      <c r="AJ45" s="14"/>
      <c r="AK45" s="17"/>
      <c r="AL45" s="1"/>
      <c r="AM45" s="1">
        <f t="shared" si="11"/>
        <v>0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118</v>
      </c>
      <c r="B46" s="1" t="s">
        <v>38</v>
      </c>
      <c r="C46" s="1">
        <v>486</v>
      </c>
      <c r="D46" s="1">
        <v>35</v>
      </c>
      <c r="E46" s="22">
        <f>168+E45</f>
        <v>169</v>
      </c>
      <c r="F46" s="22">
        <f>273+F45</f>
        <v>272</v>
      </c>
      <c r="G46" s="8">
        <v>0.4</v>
      </c>
      <c r="H46" s="1">
        <v>180</v>
      </c>
      <c r="I46" s="1" t="s">
        <v>119</v>
      </c>
      <c r="J46" s="1"/>
      <c r="K46" s="1">
        <v>181</v>
      </c>
      <c r="L46" s="1">
        <f t="shared" si="25"/>
        <v>-12</v>
      </c>
      <c r="M46" s="1"/>
      <c r="N46" s="1"/>
      <c r="O46" s="1"/>
      <c r="P46" s="1">
        <f t="shared" si="2"/>
        <v>33.799999999999997</v>
      </c>
      <c r="Q46" s="5">
        <v>201.19999999999993</v>
      </c>
      <c r="R46" s="5">
        <v>201.19999999999993</v>
      </c>
      <c r="S46" s="5">
        <f t="shared" ref="S46:S59" si="26">14*P46-F46</f>
        <v>201.19999999999993</v>
      </c>
      <c r="T46" s="38">
        <f t="shared" ref="T46:T68" si="27">AF46*AG46</f>
        <v>192</v>
      </c>
      <c r="U46" s="5"/>
      <c r="V46" s="1"/>
      <c r="W46" s="1">
        <f t="shared" si="3"/>
        <v>13.727810650887575</v>
      </c>
      <c r="X46" s="1">
        <f t="shared" si="4"/>
        <v>8.0473372781065091</v>
      </c>
      <c r="Y46" s="1">
        <v>30.8</v>
      </c>
      <c r="Z46" s="1">
        <v>39.200000000000003</v>
      </c>
      <c r="AA46" s="1">
        <v>39.4</v>
      </c>
      <c r="AB46" s="1">
        <v>34.4</v>
      </c>
      <c r="AC46" s="1">
        <v>71</v>
      </c>
      <c r="AD46" s="1"/>
      <c r="AE46" s="1">
        <f t="shared" ref="AE46:AE68" si="28">G46*S46</f>
        <v>80.479999999999976</v>
      </c>
      <c r="AF46" s="10">
        <v>16</v>
      </c>
      <c r="AG46" s="1">
        <f t="shared" ref="AG46:AG68" si="29">MROUND(S46, AF46*AI46)/AF46</f>
        <v>12</v>
      </c>
      <c r="AH46" s="1">
        <f t="shared" ref="AH46:AH68" si="30">AG46*AF46*G46</f>
        <v>76.800000000000011</v>
      </c>
      <c r="AI46" s="1">
        <v>12</v>
      </c>
      <c r="AJ46" s="1">
        <v>84</v>
      </c>
      <c r="AK46" s="10">
        <f t="shared" ref="AK46:AK68" si="31">AG46/AJ46</f>
        <v>0.14285714285714285</v>
      </c>
      <c r="AL46" s="1"/>
      <c r="AM46" s="1">
        <f t="shared" si="11"/>
        <v>13.52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9" t="s">
        <v>42</v>
      </c>
      <c r="B47" s="1" t="s">
        <v>38</v>
      </c>
      <c r="C47" s="1">
        <v>215</v>
      </c>
      <c r="D47" s="1">
        <v>1493</v>
      </c>
      <c r="E47" s="20">
        <f>402+E7</f>
        <v>487</v>
      </c>
      <c r="F47" s="20">
        <f>595+F7</f>
        <v>838</v>
      </c>
      <c r="G47" s="8">
        <v>0.7</v>
      </c>
      <c r="H47" s="1">
        <v>180</v>
      </c>
      <c r="I47" s="1" t="s">
        <v>120</v>
      </c>
      <c r="J47" s="1"/>
      <c r="K47" s="1">
        <v>409</v>
      </c>
      <c r="L47" s="1">
        <f t="shared" si="25"/>
        <v>78</v>
      </c>
      <c r="M47" s="1"/>
      <c r="N47" s="1"/>
      <c r="O47" s="1"/>
      <c r="P47" s="1">
        <f t="shared" si="2"/>
        <v>97.4</v>
      </c>
      <c r="Q47" s="5">
        <v>525.60000000000014</v>
      </c>
      <c r="R47" s="5">
        <v>525.60000000000014</v>
      </c>
      <c r="S47" s="5">
        <f>R47*$S$1</f>
        <v>425.73600000000016</v>
      </c>
      <c r="T47" s="38">
        <f t="shared" si="27"/>
        <v>480</v>
      </c>
      <c r="U47" s="5"/>
      <c r="V47" s="1"/>
      <c r="W47" s="1">
        <f t="shared" si="3"/>
        <v>13.53182751540041</v>
      </c>
      <c r="X47" s="1">
        <f t="shared" si="4"/>
        <v>8.6036960985626276</v>
      </c>
      <c r="Y47" s="1">
        <v>111.8</v>
      </c>
      <c r="Z47" s="1">
        <v>102.2</v>
      </c>
      <c r="AA47" s="1">
        <v>96.2</v>
      </c>
      <c r="AB47" s="1">
        <v>54.2</v>
      </c>
      <c r="AC47" s="1">
        <v>65.8</v>
      </c>
      <c r="AD47" s="1"/>
      <c r="AE47" s="1">
        <f t="shared" si="28"/>
        <v>298.01520000000011</v>
      </c>
      <c r="AF47" s="10">
        <v>10</v>
      </c>
      <c r="AG47" s="1">
        <f t="shared" si="29"/>
        <v>48</v>
      </c>
      <c r="AH47" s="1">
        <f t="shared" si="30"/>
        <v>336</v>
      </c>
      <c r="AI47" s="1">
        <v>12</v>
      </c>
      <c r="AJ47" s="1">
        <v>84</v>
      </c>
      <c r="AK47" s="10">
        <f t="shared" si="31"/>
        <v>0.5714285714285714</v>
      </c>
      <c r="AL47" s="1"/>
      <c r="AM47" s="1">
        <f t="shared" si="11"/>
        <v>68.179999999999993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121</v>
      </c>
      <c r="B48" s="1" t="s">
        <v>38</v>
      </c>
      <c r="C48" s="1">
        <v>105</v>
      </c>
      <c r="D48" s="1">
        <v>141</v>
      </c>
      <c r="E48" s="1">
        <v>151</v>
      </c>
      <c r="F48" s="1">
        <v>58</v>
      </c>
      <c r="G48" s="8">
        <v>0.7</v>
      </c>
      <c r="H48" s="1">
        <v>180</v>
      </c>
      <c r="I48" s="1" t="s">
        <v>122</v>
      </c>
      <c r="J48" s="1"/>
      <c r="K48" s="1">
        <v>153</v>
      </c>
      <c r="L48" s="1">
        <f t="shared" si="25"/>
        <v>-2</v>
      </c>
      <c r="M48" s="1"/>
      <c r="N48" s="1"/>
      <c r="O48" s="1"/>
      <c r="P48" s="1">
        <f t="shared" si="2"/>
        <v>30.2</v>
      </c>
      <c r="Q48" s="5">
        <v>274.2</v>
      </c>
      <c r="R48" s="5">
        <v>274.2</v>
      </c>
      <c r="S48" s="5">
        <f>11*P48-F48</f>
        <v>274.2</v>
      </c>
      <c r="T48" s="38">
        <f t="shared" si="27"/>
        <v>240</v>
      </c>
      <c r="U48" s="5"/>
      <c r="V48" s="1"/>
      <c r="W48" s="1">
        <f t="shared" si="3"/>
        <v>9.8675496688741724</v>
      </c>
      <c r="X48" s="1">
        <f t="shared" si="4"/>
        <v>1.9205298013245033</v>
      </c>
      <c r="Y48" s="1">
        <v>21.2</v>
      </c>
      <c r="Z48" s="1">
        <v>27</v>
      </c>
      <c r="AA48" s="1">
        <v>27.4</v>
      </c>
      <c r="AB48" s="1">
        <v>23.4</v>
      </c>
      <c r="AC48" s="1">
        <v>1.2</v>
      </c>
      <c r="AD48" s="1"/>
      <c r="AE48" s="1">
        <f t="shared" si="28"/>
        <v>191.93999999999997</v>
      </c>
      <c r="AF48" s="10">
        <v>10</v>
      </c>
      <c r="AG48" s="1">
        <f t="shared" si="29"/>
        <v>24</v>
      </c>
      <c r="AH48" s="1">
        <f t="shared" si="30"/>
        <v>168</v>
      </c>
      <c r="AI48" s="1">
        <v>12</v>
      </c>
      <c r="AJ48" s="1">
        <v>84</v>
      </c>
      <c r="AK48" s="10">
        <f t="shared" si="31"/>
        <v>0.2857142857142857</v>
      </c>
      <c r="AL48" s="1"/>
      <c r="AM48" s="1">
        <f t="shared" si="11"/>
        <v>21.139999999999997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123</v>
      </c>
      <c r="B49" s="1" t="s">
        <v>38</v>
      </c>
      <c r="C49" s="1">
        <v>126</v>
      </c>
      <c r="D49" s="1">
        <v>1470</v>
      </c>
      <c r="E49" s="1">
        <v>469</v>
      </c>
      <c r="F49" s="1">
        <v>976</v>
      </c>
      <c r="G49" s="8">
        <v>1</v>
      </c>
      <c r="H49" s="1">
        <v>180</v>
      </c>
      <c r="I49" s="1" t="s">
        <v>124</v>
      </c>
      <c r="J49" s="1"/>
      <c r="K49" s="1">
        <v>673</v>
      </c>
      <c r="L49" s="1">
        <f t="shared" si="25"/>
        <v>-204</v>
      </c>
      <c r="M49" s="1"/>
      <c r="N49" s="1"/>
      <c r="O49" s="1"/>
      <c r="P49" s="1">
        <f t="shared" si="2"/>
        <v>93.8</v>
      </c>
      <c r="Q49" s="5">
        <v>337.20000000000005</v>
      </c>
      <c r="R49" s="5">
        <v>337.20000000000005</v>
      </c>
      <c r="S49" s="5">
        <f t="shared" si="26"/>
        <v>337.20000000000005</v>
      </c>
      <c r="T49" s="38">
        <f t="shared" si="27"/>
        <v>360</v>
      </c>
      <c r="U49" s="5"/>
      <c r="V49" s="1"/>
      <c r="W49" s="1">
        <f t="shared" si="3"/>
        <v>14.243070362473349</v>
      </c>
      <c r="X49" s="1">
        <f t="shared" si="4"/>
        <v>10.405117270788914</v>
      </c>
      <c r="Y49" s="1">
        <v>124.8</v>
      </c>
      <c r="Z49" s="1">
        <v>107.4</v>
      </c>
      <c r="AA49" s="1">
        <v>88.2</v>
      </c>
      <c r="AB49" s="1">
        <v>102.6</v>
      </c>
      <c r="AC49" s="1">
        <v>114.6</v>
      </c>
      <c r="AD49" s="1"/>
      <c r="AE49" s="1">
        <f t="shared" si="28"/>
        <v>337.20000000000005</v>
      </c>
      <c r="AF49" s="10">
        <v>5</v>
      </c>
      <c r="AG49" s="1">
        <f t="shared" si="29"/>
        <v>72</v>
      </c>
      <c r="AH49" s="1">
        <f t="shared" si="30"/>
        <v>360</v>
      </c>
      <c r="AI49" s="1">
        <v>12</v>
      </c>
      <c r="AJ49" s="1">
        <v>84</v>
      </c>
      <c r="AK49" s="10">
        <f t="shared" si="31"/>
        <v>0.8571428571428571</v>
      </c>
      <c r="AL49" s="1"/>
      <c r="AM49" s="1">
        <f t="shared" si="11"/>
        <v>93.8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125</v>
      </c>
      <c r="B50" s="1" t="s">
        <v>38</v>
      </c>
      <c r="C50" s="1">
        <v>81</v>
      </c>
      <c r="D50" s="1">
        <v>401</v>
      </c>
      <c r="E50" s="1">
        <v>201</v>
      </c>
      <c r="F50" s="1">
        <v>241</v>
      </c>
      <c r="G50" s="8">
        <v>0.9</v>
      </c>
      <c r="H50" s="1">
        <v>180</v>
      </c>
      <c r="I50" s="1" t="s">
        <v>126</v>
      </c>
      <c r="J50" s="1"/>
      <c r="K50" s="1">
        <v>224</v>
      </c>
      <c r="L50" s="1">
        <f t="shared" si="25"/>
        <v>-23</v>
      </c>
      <c r="M50" s="1"/>
      <c r="N50" s="1"/>
      <c r="O50" s="1"/>
      <c r="P50" s="1">
        <f t="shared" si="2"/>
        <v>40.200000000000003</v>
      </c>
      <c r="Q50" s="5">
        <v>321.80000000000007</v>
      </c>
      <c r="R50" s="5">
        <v>321.80000000000007</v>
      </c>
      <c r="S50" s="5">
        <f t="shared" si="26"/>
        <v>321.80000000000007</v>
      </c>
      <c r="T50" s="38">
        <f t="shared" si="27"/>
        <v>288</v>
      </c>
      <c r="U50" s="5"/>
      <c r="V50" s="1"/>
      <c r="W50" s="1">
        <f t="shared" si="3"/>
        <v>13.159203980099502</v>
      </c>
      <c r="X50" s="1">
        <f t="shared" si="4"/>
        <v>5.9950248756218905</v>
      </c>
      <c r="Y50" s="1">
        <v>34.200000000000003</v>
      </c>
      <c r="Z50" s="1">
        <v>21.4</v>
      </c>
      <c r="AA50" s="1">
        <v>21.6</v>
      </c>
      <c r="AB50" s="1">
        <v>27.2</v>
      </c>
      <c r="AC50" s="1">
        <v>23</v>
      </c>
      <c r="AD50" s="1" t="s">
        <v>49</v>
      </c>
      <c r="AE50" s="1">
        <f t="shared" si="28"/>
        <v>289.62000000000006</v>
      </c>
      <c r="AF50" s="10">
        <v>8</v>
      </c>
      <c r="AG50" s="1">
        <f t="shared" si="29"/>
        <v>36</v>
      </c>
      <c r="AH50" s="1">
        <f t="shared" si="30"/>
        <v>259.2</v>
      </c>
      <c r="AI50" s="1">
        <v>12</v>
      </c>
      <c r="AJ50" s="1">
        <v>84</v>
      </c>
      <c r="AK50" s="10">
        <f t="shared" si="31"/>
        <v>0.42857142857142855</v>
      </c>
      <c r="AL50" s="1"/>
      <c r="AM50" s="1">
        <f t="shared" si="11"/>
        <v>36.180000000000007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127</v>
      </c>
      <c r="B51" s="1" t="s">
        <v>38</v>
      </c>
      <c r="C51" s="1">
        <v>61</v>
      </c>
      <c r="D51" s="1">
        <v>199</v>
      </c>
      <c r="E51" s="1">
        <v>73</v>
      </c>
      <c r="F51" s="1">
        <v>164</v>
      </c>
      <c r="G51" s="8">
        <v>0.9</v>
      </c>
      <c r="H51" s="1">
        <v>180</v>
      </c>
      <c r="I51" s="1" t="s">
        <v>128</v>
      </c>
      <c r="J51" s="1"/>
      <c r="K51" s="1">
        <v>106</v>
      </c>
      <c r="L51" s="1">
        <f t="shared" si="25"/>
        <v>-33</v>
      </c>
      <c r="M51" s="1"/>
      <c r="N51" s="1"/>
      <c r="O51" s="1"/>
      <c r="P51" s="1">
        <f t="shared" si="2"/>
        <v>14.6</v>
      </c>
      <c r="Q51" s="5">
        <v>69.599999999999994</v>
      </c>
      <c r="R51" s="5">
        <v>69.599999999999994</v>
      </c>
      <c r="S51" s="5">
        <f>16*P51-F51</f>
        <v>69.599999999999994</v>
      </c>
      <c r="T51" s="38">
        <f t="shared" si="27"/>
        <v>96</v>
      </c>
      <c r="U51" s="5"/>
      <c r="V51" s="1"/>
      <c r="W51" s="1">
        <f t="shared" si="3"/>
        <v>17.808219178082194</v>
      </c>
      <c r="X51" s="1">
        <f t="shared" si="4"/>
        <v>11.232876712328768</v>
      </c>
      <c r="Y51" s="1">
        <v>20.8</v>
      </c>
      <c r="Z51" s="1">
        <v>8</v>
      </c>
      <c r="AA51" s="1">
        <v>8.6</v>
      </c>
      <c r="AB51" s="1">
        <v>12.8</v>
      </c>
      <c r="AC51" s="1">
        <v>17.2</v>
      </c>
      <c r="AD51" s="1" t="s">
        <v>49</v>
      </c>
      <c r="AE51" s="1">
        <f t="shared" si="28"/>
        <v>62.639999999999993</v>
      </c>
      <c r="AF51" s="10">
        <v>8</v>
      </c>
      <c r="AG51" s="1">
        <f t="shared" si="29"/>
        <v>12</v>
      </c>
      <c r="AH51" s="1">
        <f t="shared" si="30"/>
        <v>86.4</v>
      </c>
      <c r="AI51" s="1">
        <v>12</v>
      </c>
      <c r="AJ51" s="1">
        <v>84</v>
      </c>
      <c r="AK51" s="10">
        <f t="shared" si="31"/>
        <v>0.14285714285714285</v>
      </c>
      <c r="AL51" s="1"/>
      <c r="AM51" s="1">
        <f t="shared" si="11"/>
        <v>13.14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129</v>
      </c>
      <c r="B52" s="1" t="s">
        <v>73</v>
      </c>
      <c r="C52" s="1">
        <v>640</v>
      </c>
      <c r="D52" s="1">
        <v>350</v>
      </c>
      <c r="E52" s="1">
        <v>345</v>
      </c>
      <c r="F52" s="1">
        <v>540</v>
      </c>
      <c r="G52" s="8">
        <v>1</v>
      </c>
      <c r="H52" s="1">
        <v>180</v>
      </c>
      <c r="I52" s="1" t="s">
        <v>130</v>
      </c>
      <c r="J52" s="1"/>
      <c r="K52" s="1">
        <v>360</v>
      </c>
      <c r="L52" s="1">
        <f t="shared" si="25"/>
        <v>-15</v>
      </c>
      <c r="M52" s="1"/>
      <c r="N52" s="1"/>
      <c r="O52" s="1"/>
      <c r="P52" s="1">
        <f t="shared" si="2"/>
        <v>69</v>
      </c>
      <c r="Q52" s="5">
        <v>426</v>
      </c>
      <c r="R52" s="5">
        <v>426</v>
      </c>
      <c r="S52" s="5">
        <f t="shared" si="26"/>
        <v>426</v>
      </c>
      <c r="T52" s="38">
        <f t="shared" si="27"/>
        <v>420</v>
      </c>
      <c r="U52" s="5"/>
      <c r="V52" s="1"/>
      <c r="W52" s="1">
        <f t="shared" si="3"/>
        <v>13.913043478260869</v>
      </c>
      <c r="X52" s="1">
        <f t="shared" si="4"/>
        <v>7.8260869565217392</v>
      </c>
      <c r="Y52" s="1">
        <v>69</v>
      </c>
      <c r="Z52" s="1">
        <v>65</v>
      </c>
      <c r="AA52" s="1">
        <v>61</v>
      </c>
      <c r="AB52" s="1">
        <v>52</v>
      </c>
      <c r="AC52" s="1">
        <v>72</v>
      </c>
      <c r="AD52" s="1"/>
      <c r="AE52" s="1">
        <f t="shared" si="28"/>
        <v>426</v>
      </c>
      <c r="AF52" s="10">
        <v>5</v>
      </c>
      <c r="AG52" s="1">
        <f t="shared" si="29"/>
        <v>84</v>
      </c>
      <c r="AH52" s="1">
        <f t="shared" si="30"/>
        <v>420</v>
      </c>
      <c r="AI52" s="1">
        <v>12</v>
      </c>
      <c r="AJ52" s="1">
        <v>144</v>
      </c>
      <c r="AK52" s="10">
        <f t="shared" si="31"/>
        <v>0.58333333333333337</v>
      </c>
      <c r="AL52" s="1"/>
      <c r="AM52" s="1">
        <f t="shared" si="11"/>
        <v>69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131</v>
      </c>
      <c r="B53" s="1" t="s">
        <v>73</v>
      </c>
      <c r="C53" s="1">
        <v>414.4</v>
      </c>
      <c r="D53" s="1">
        <v>310.8</v>
      </c>
      <c r="E53" s="1">
        <v>473.5</v>
      </c>
      <c r="F53" s="1">
        <v>154.69999999999999</v>
      </c>
      <c r="G53" s="8">
        <v>1</v>
      </c>
      <c r="H53" s="1">
        <v>180</v>
      </c>
      <c r="I53" s="1" t="s">
        <v>132</v>
      </c>
      <c r="J53" s="1"/>
      <c r="K53" s="1">
        <v>470.4</v>
      </c>
      <c r="L53" s="1">
        <f t="shared" si="25"/>
        <v>3.1000000000000227</v>
      </c>
      <c r="M53" s="1"/>
      <c r="N53" s="1"/>
      <c r="O53" s="1"/>
      <c r="P53" s="1">
        <f t="shared" si="2"/>
        <v>94.7</v>
      </c>
      <c r="Q53" s="5">
        <v>887</v>
      </c>
      <c r="R53" s="5">
        <v>887</v>
      </c>
      <c r="S53" s="5">
        <f>R53*$S$1</f>
        <v>718.47</v>
      </c>
      <c r="T53" s="38">
        <f t="shared" si="27"/>
        <v>725.2</v>
      </c>
      <c r="U53" s="5"/>
      <c r="V53" s="1"/>
      <c r="W53" s="1">
        <f t="shared" si="3"/>
        <v>9.2914466737064423</v>
      </c>
      <c r="X53" s="1">
        <f t="shared" si="4"/>
        <v>1.6335797254487854</v>
      </c>
      <c r="Y53" s="1">
        <v>83.62</v>
      </c>
      <c r="Z53" s="1">
        <v>68.08</v>
      </c>
      <c r="AA53" s="1">
        <v>83.62</v>
      </c>
      <c r="AB53" s="1">
        <v>75.47999999999999</v>
      </c>
      <c r="AC53" s="1">
        <v>78.44</v>
      </c>
      <c r="AD53" s="1"/>
      <c r="AE53" s="1">
        <f t="shared" si="28"/>
        <v>718.47</v>
      </c>
      <c r="AF53" s="10">
        <v>3.7</v>
      </c>
      <c r="AG53" s="1">
        <f t="shared" si="29"/>
        <v>196</v>
      </c>
      <c r="AH53" s="1">
        <f t="shared" si="30"/>
        <v>725.2</v>
      </c>
      <c r="AI53" s="1">
        <v>14</v>
      </c>
      <c r="AJ53" s="1">
        <v>126</v>
      </c>
      <c r="AK53" s="10">
        <f t="shared" si="31"/>
        <v>1.5555555555555556</v>
      </c>
      <c r="AL53" s="1"/>
      <c r="AM53" s="1">
        <f t="shared" si="11"/>
        <v>94.7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133</v>
      </c>
      <c r="B54" s="1" t="s">
        <v>38</v>
      </c>
      <c r="C54" s="1">
        <v>634</v>
      </c>
      <c r="D54" s="1">
        <v>596</v>
      </c>
      <c r="E54" s="1">
        <v>239</v>
      </c>
      <c r="F54" s="1">
        <v>694</v>
      </c>
      <c r="G54" s="8">
        <v>0.09</v>
      </c>
      <c r="H54" s="1">
        <v>180</v>
      </c>
      <c r="I54" s="1" t="s">
        <v>134</v>
      </c>
      <c r="J54" s="1"/>
      <c r="K54" s="1">
        <v>249</v>
      </c>
      <c r="L54" s="1">
        <f t="shared" si="25"/>
        <v>-10</v>
      </c>
      <c r="M54" s="1"/>
      <c r="N54" s="1"/>
      <c r="O54" s="1"/>
      <c r="P54" s="1">
        <f t="shared" si="2"/>
        <v>47.8</v>
      </c>
      <c r="Q54" s="5"/>
      <c r="R54" s="5"/>
      <c r="S54" s="5"/>
      <c r="T54" s="38">
        <f t="shared" si="27"/>
        <v>0</v>
      </c>
      <c r="U54" s="5"/>
      <c r="V54" s="1"/>
      <c r="W54" s="1">
        <f t="shared" si="3"/>
        <v>14.518828451882847</v>
      </c>
      <c r="X54" s="1">
        <f t="shared" si="4"/>
        <v>14.518828451882847</v>
      </c>
      <c r="Y54" s="1">
        <v>80</v>
      </c>
      <c r="Z54" s="1">
        <v>105.6</v>
      </c>
      <c r="AA54" s="1">
        <v>73.8</v>
      </c>
      <c r="AB54" s="1">
        <v>39</v>
      </c>
      <c r="AC54" s="1">
        <v>76.2</v>
      </c>
      <c r="AD54" s="1" t="s">
        <v>135</v>
      </c>
      <c r="AE54" s="1">
        <f t="shared" si="28"/>
        <v>0</v>
      </c>
      <c r="AF54" s="10">
        <v>30</v>
      </c>
      <c r="AG54" s="1">
        <f t="shared" si="29"/>
        <v>0</v>
      </c>
      <c r="AH54" s="1">
        <f t="shared" si="30"/>
        <v>0</v>
      </c>
      <c r="AI54" s="1">
        <v>14</v>
      </c>
      <c r="AJ54" s="1">
        <v>126</v>
      </c>
      <c r="AK54" s="10">
        <f t="shared" si="31"/>
        <v>0</v>
      </c>
      <c r="AL54" s="1"/>
      <c r="AM54" s="1">
        <f t="shared" si="11"/>
        <v>4.3019999999999996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136</v>
      </c>
      <c r="B55" s="1" t="s">
        <v>38</v>
      </c>
      <c r="C55" s="1">
        <v>221</v>
      </c>
      <c r="D55" s="1">
        <v>7</v>
      </c>
      <c r="E55" s="1">
        <v>163</v>
      </c>
      <c r="F55" s="1">
        <v>52</v>
      </c>
      <c r="G55" s="8">
        <v>0.23</v>
      </c>
      <c r="H55" s="1">
        <v>0</v>
      </c>
      <c r="I55" s="1" t="s">
        <v>137</v>
      </c>
      <c r="J55" s="1"/>
      <c r="K55" s="1">
        <v>183</v>
      </c>
      <c r="L55" s="1">
        <f t="shared" si="25"/>
        <v>-20</v>
      </c>
      <c r="M55" s="1"/>
      <c r="N55" s="1"/>
      <c r="O55" s="1"/>
      <c r="P55" s="1">
        <f t="shared" si="2"/>
        <v>32.6</v>
      </c>
      <c r="Q55" s="5">
        <v>306.60000000000002</v>
      </c>
      <c r="R55" s="5">
        <v>306.60000000000002</v>
      </c>
      <c r="S55" s="5">
        <f>11*P55-F55</f>
        <v>306.60000000000002</v>
      </c>
      <c r="T55" s="38">
        <f t="shared" si="27"/>
        <v>336</v>
      </c>
      <c r="U55" s="5"/>
      <c r="V55" s="1"/>
      <c r="W55" s="1">
        <f t="shared" si="3"/>
        <v>11.901840490797545</v>
      </c>
      <c r="X55" s="1">
        <f t="shared" si="4"/>
        <v>1.5950920245398772</v>
      </c>
      <c r="Y55" s="1">
        <v>32</v>
      </c>
      <c r="Z55" s="1">
        <v>16</v>
      </c>
      <c r="AA55" s="1">
        <v>35.6</v>
      </c>
      <c r="AB55" s="1">
        <v>21.4</v>
      </c>
      <c r="AC55" s="1">
        <v>33.6</v>
      </c>
      <c r="AD55" s="1"/>
      <c r="AE55" s="1">
        <f t="shared" si="28"/>
        <v>70.518000000000015</v>
      </c>
      <c r="AF55" s="10">
        <v>6</v>
      </c>
      <c r="AG55" s="1">
        <f t="shared" si="29"/>
        <v>56</v>
      </c>
      <c r="AH55" s="1">
        <f t="shared" si="30"/>
        <v>77.28</v>
      </c>
      <c r="AI55" s="1">
        <v>14</v>
      </c>
      <c r="AJ55" s="1">
        <v>140</v>
      </c>
      <c r="AK55" s="10">
        <f t="shared" si="31"/>
        <v>0.4</v>
      </c>
      <c r="AL55" s="1"/>
      <c r="AM55" s="1">
        <f t="shared" si="11"/>
        <v>7.4980000000000002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138</v>
      </c>
      <c r="B56" s="1" t="s">
        <v>38</v>
      </c>
      <c r="C56" s="1">
        <v>938</v>
      </c>
      <c r="D56" s="1">
        <v>1524</v>
      </c>
      <c r="E56" s="1">
        <v>705</v>
      </c>
      <c r="F56" s="1">
        <v>1332</v>
      </c>
      <c r="G56" s="8">
        <v>0.25</v>
      </c>
      <c r="H56" s="1">
        <v>180</v>
      </c>
      <c r="I56" s="1" t="s">
        <v>139</v>
      </c>
      <c r="J56" s="1"/>
      <c r="K56" s="1">
        <v>699</v>
      </c>
      <c r="L56" s="1">
        <f t="shared" si="25"/>
        <v>6</v>
      </c>
      <c r="M56" s="1"/>
      <c r="N56" s="1"/>
      <c r="O56" s="1"/>
      <c r="P56" s="1">
        <f t="shared" si="2"/>
        <v>141</v>
      </c>
      <c r="Q56" s="5">
        <v>642</v>
      </c>
      <c r="R56" s="5">
        <v>642</v>
      </c>
      <c r="S56" s="5">
        <f>R56*$S$1</f>
        <v>520.02</v>
      </c>
      <c r="T56" s="38">
        <f t="shared" si="27"/>
        <v>504</v>
      </c>
      <c r="U56" s="5"/>
      <c r="V56" s="1"/>
      <c r="W56" s="1">
        <f t="shared" si="3"/>
        <v>13.021276595744681</v>
      </c>
      <c r="X56" s="1">
        <f t="shared" si="4"/>
        <v>9.4468085106382986</v>
      </c>
      <c r="Y56" s="1">
        <v>187.4</v>
      </c>
      <c r="Z56" s="1">
        <v>146.80000000000001</v>
      </c>
      <c r="AA56" s="1">
        <v>134</v>
      </c>
      <c r="AB56" s="1">
        <v>135.80000000000001</v>
      </c>
      <c r="AC56" s="1">
        <v>168.2</v>
      </c>
      <c r="AD56" s="1" t="s">
        <v>49</v>
      </c>
      <c r="AE56" s="1">
        <f t="shared" si="28"/>
        <v>130.005</v>
      </c>
      <c r="AF56" s="10">
        <v>12</v>
      </c>
      <c r="AG56" s="1">
        <f t="shared" si="29"/>
        <v>42</v>
      </c>
      <c r="AH56" s="1">
        <f t="shared" si="30"/>
        <v>126</v>
      </c>
      <c r="AI56" s="1">
        <v>14</v>
      </c>
      <c r="AJ56" s="1">
        <v>70</v>
      </c>
      <c r="AK56" s="10">
        <f t="shared" si="31"/>
        <v>0.6</v>
      </c>
      <c r="AL56" s="1"/>
      <c r="AM56" s="1">
        <f t="shared" si="11"/>
        <v>35.25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140</v>
      </c>
      <c r="B57" s="1" t="s">
        <v>38</v>
      </c>
      <c r="C57" s="1">
        <v>887</v>
      </c>
      <c r="D57" s="1">
        <v>375</v>
      </c>
      <c r="E57" s="1">
        <v>353</v>
      </c>
      <c r="F57" s="1">
        <v>866</v>
      </c>
      <c r="G57" s="8">
        <v>0.25</v>
      </c>
      <c r="H57" s="1">
        <v>180</v>
      </c>
      <c r="I57" s="1" t="s">
        <v>141</v>
      </c>
      <c r="J57" s="1"/>
      <c r="K57" s="1">
        <v>359</v>
      </c>
      <c r="L57" s="1">
        <f t="shared" si="25"/>
        <v>-6</v>
      </c>
      <c r="M57" s="1"/>
      <c r="N57" s="1"/>
      <c r="O57" s="1"/>
      <c r="P57" s="1">
        <f t="shared" si="2"/>
        <v>70.599999999999994</v>
      </c>
      <c r="Q57" s="5">
        <v>122.39999999999986</v>
      </c>
      <c r="R57" s="5">
        <v>122.39999999999986</v>
      </c>
      <c r="S57" s="5">
        <f t="shared" si="26"/>
        <v>122.39999999999986</v>
      </c>
      <c r="T57" s="38">
        <f t="shared" si="27"/>
        <v>168</v>
      </c>
      <c r="U57" s="5"/>
      <c r="V57" s="1"/>
      <c r="W57" s="1">
        <f t="shared" si="3"/>
        <v>14.645892351274789</v>
      </c>
      <c r="X57" s="1">
        <f t="shared" si="4"/>
        <v>12.266288951841361</v>
      </c>
      <c r="Y57" s="1">
        <v>95.4</v>
      </c>
      <c r="Z57" s="1">
        <v>71.400000000000006</v>
      </c>
      <c r="AA57" s="1">
        <v>52.6</v>
      </c>
      <c r="AB57" s="1">
        <v>65.599999999999994</v>
      </c>
      <c r="AC57" s="1">
        <v>117</v>
      </c>
      <c r="AD57" s="1"/>
      <c r="AE57" s="1">
        <f t="shared" si="28"/>
        <v>30.599999999999966</v>
      </c>
      <c r="AF57" s="10">
        <v>12</v>
      </c>
      <c r="AG57" s="1">
        <f t="shared" si="29"/>
        <v>14</v>
      </c>
      <c r="AH57" s="1">
        <f t="shared" si="30"/>
        <v>42</v>
      </c>
      <c r="AI57" s="1">
        <v>14</v>
      </c>
      <c r="AJ57" s="1">
        <v>70</v>
      </c>
      <c r="AK57" s="10">
        <f t="shared" si="31"/>
        <v>0.2</v>
      </c>
      <c r="AL57" s="1"/>
      <c r="AM57" s="1">
        <f t="shared" si="11"/>
        <v>17.649999999999999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142</v>
      </c>
      <c r="B58" s="1" t="s">
        <v>38</v>
      </c>
      <c r="C58" s="1">
        <v>123</v>
      </c>
      <c r="D58" s="1"/>
      <c r="E58" s="1">
        <v>36</v>
      </c>
      <c r="F58" s="1">
        <v>83</v>
      </c>
      <c r="G58" s="8">
        <v>0.18</v>
      </c>
      <c r="H58" s="1"/>
      <c r="I58" s="1" t="s">
        <v>143</v>
      </c>
      <c r="J58" s="1"/>
      <c r="K58" s="1">
        <v>36</v>
      </c>
      <c r="L58" s="1">
        <f t="shared" si="25"/>
        <v>0</v>
      </c>
      <c r="M58" s="1"/>
      <c r="N58" s="1"/>
      <c r="O58" s="1"/>
      <c r="P58" s="1">
        <f t="shared" si="2"/>
        <v>7.2</v>
      </c>
      <c r="Q58" s="5"/>
      <c r="R58" s="5"/>
      <c r="S58" s="5"/>
      <c r="T58" s="38">
        <f t="shared" si="27"/>
        <v>0</v>
      </c>
      <c r="U58" s="5"/>
      <c r="V58" s="1"/>
      <c r="W58" s="1">
        <f t="shared" si="3"/>
        <v>11.527777777777777</v>
      </c>
      <c r="X58" s="1">
        <f t="shared" si="4"/>
        <v>11.527777777777777</v>
      </c>
      <c r="Y58" s="1">
        <v>2.8</v>
      </c>
      <c r="Z58" s="1">
        <v>5.8</v>
      </c>
      <c r="AA58" s="1">
        <v>7.2</v>
      </c>
      <c r="AB58" s="1">
        <v>8.8000000000000007</v>
      </c>
      <c r="AC58" s="1">
        <v>9.6</v>
      </c>
      <c r="AD58" s="1"/>
      <c r="AE58" s="1">
        <f t="shared" si="28"/>
        <v>0</v>
      </c>
      <c r="AF58" s="10">
        <v>6</v>
      </c>
      <c r="AG58" s="1">
        <f t="shared" si="29"/>
        <v>0</v>
      </c>
      <c r="AH58" s="1">
        <f t="shared" si="30"/>
        <v>0</v>
      </c>
      <c r="AI58" s="1">
        <v>14</v>
      </c>
      <c r="AJ58" s="1">
        <v>140</v>
      </c>
      <c r="AK58" s="10">
        <f t="shared" si="31"/>
        <v>0</v>
      </c>
      <c r="AL58" s="1"/>
      <c r="AM58" s="1">
        <f t="shared" si="11"/>
        <v>1.296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144</v>
      </c>
      <c r="B59" s="1" t="s">
        <v>38</v>
      </c>
      <c r="C59" s="1">
        <v>120</v>
      </c>
      <c r="D59" s="1"/>
      <c r="E59" s="1">
        <v>48</v>
      </c>
      <c r="F59" s="1">
        <v>67</v>
      </c>
      <c r="G59" s="8">
        <v>0.18</v>
      </c>
      <c r="H59" s="1"/>
      <c r="I59" s="1" t="s">
        <v>145</v>
      </c>
      <c r="J59" s="1"/>
      <c r="K59" s="1">
        <v>48</v>
      </c>
      <c r="L59" s="1">
        <f t="shared" si="25"/>
        <v>0</v>
      </c>
      <c r="M59" s="1"/>
      <c r="N59" s="1"/>
      <c r="O59" s="1"/>
      <c r="P59" s="1">
        <f t="shared" si="2"/>
        <v>9.6</v>
      </c>
      <c r="Q59" s="5">
        <v>67.400000000000006</v>
      </c>
      <c r="R59" s="5">
        <v>67.400000000000006</v>
      </c>
      <c r="S59" s="5">
        <f t="shared" si="26"/>
        <v>67.400000000000006</v>
      </c>
      <c r="T59" s="38">
        <f t="shared" si="27"/>
        <v>84</v>
      </c>
      <c r="U59" s="5"/>
      <c r="V59" s="1"/>
      <c r="W59" s="1">
        <f t="shared" si="3"/>
        <v>15.729166666666668</v>
      </c>
      <c r="X59" s="1">
        <f t="shared" si="4"/>
        <v>6.979166666666667</v>
      </c>
      <c r="Y59" s="1">
        <v>8.1999999999999993</v>
      </c>
      <c r="Z59" s="1">
        <v>7</v>
      </c>
      <c r="AA59" s="1">
        <v>11.8</v>
      </c>
      <c r="AB59" s="1">
        <v>12.4</v>
      </c>
      <c r="AC59" s="1">
        <v>14.6</v>
      </c>
      <c r="AD59" s="1"/>
      <c r="AE59" s="1">
        <f t="shared" si="28"/>
        <v>12.132000000000001</v>
      </c>
      <c r="AF59" s="10">
        <v>6</v>
      </c>
      <c r="AG59" s="1">
        <f t="shared" si="29"/>
        <v>14</v>
      </c>
      <c r="AH59" s="1">
        <f t="shared" si="30"/>
        <v>15.12</v>
      </c>
      <c r="AI59" s="1">
        <v>14</v>
      </c>
      <c r="AJ59" s="1">
        <v>140</v>
      </c>
      <c r="AK59" s="10">
        <f t="shared" si="31"/>
        <v>0.1</v>
      </c>
      <c r="AL59" s="1"/>
      <c r="AM59" s="1">
        <f t="shared" si="11"/>
        <v>1.728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146</v>
      </c>
      <c r="B60" s="1" t="s">
        <v>38</v>
      </c>
      <c r="C60" s="1"/>
      <c r="D60" s="1"/>
      <c r="E60" s="1"/>
      <c r="F60" s="1"/>
      <c r="G60" s="8">
        <v>0.18</v>
      </c>
      <c r="H60" s="1"/>
      <c r="I60" s="1" t="s">
        <v>147</v>
      </c>
      <c r="J60" s="1"/>
      <c r="K60" s="1"/>
      <c r="L60" s="1">
        <f t="shared" si="25"/>
        <v>0</v>
      </c>
      <c r="M60" s="1"/>
      <c r="N60" s="1"/>
      <c r="O60" s="1"/>
      <c r="P60" s="1">
        <f t="shared" si="2"/>
        <v>0</v>
      </c>
      <c r="Q60" s="5">
        <v>84</v>
      </c>
      <c r="R60" s="5">
        <v>84</v>
      </c>
      <c r="S60" s="5">
        <f>6*14</f>
        <v>84</v>
      </c>
      <c r="T60" s="38">
        <f t="shared" si="27"/>
        <v>84</v>
      </c>
      <c r="U60" s="32">
        <v>100</v>
      </c>
      <c r="V60" s="21"/>
      <c r="W60" s="1" t="e">
        <f t="shared" si="3"/>
        <v>#DIV/0!</v>
      </c>
      <c r="X60" s="1" t="e">
        <f t="shared" si="4"/>
        <v>#DIV/0!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/>
      <c r="AE60" s="1">
        <f t="shared" si="28"/>
        <v>15.12</v>
      </c>
      <c r="AF60" s="10">
        <v>6</v>
      </c>
      <c r="AG60" s="1">
        <f t="shared" si="29"/>
        <v>14</v>
      </c>
      <c r="AH60" s="1">
        <f t="shared" si="30"/>
        <v>15.12</v>
      </c>
      <c r="AI60" s="1">
        <v>14</v>
      </c>
      <c r="AJ60" s="1">
        <v>140</v>
      </c>
      <c r="AK60" s="10">
        <f t="shared" si="31"/>
        <v>0.1</v>
      </c>
      <c r="AL60" s="1"/>
      <c r="AM60" s="1">
        <f t="shared" si="11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148</v>
      </c>
      <c r="B61" s="1" t="s">
        <v>38</v>
      </c>
      <c r="C61" s="1">
        <v>659</v>
      </c>
      <c r="D61" s="1">
        <v>921</v>
      </c>
      <c r="E61" s="1">
        <v>639</v>
      </c>
      <c r="F61" s="1">
        <v>864</v>
      </c>
      <c r="G61" s="8">
        <v>0.3</v>
      </c>
      <c r="H61" s="1">
        <v>180</v>
      </c>
      <c r="I61" s="1" t="s">
        <v>149</v>
      </c>
      <c r="J61" s="1"/>
      <c r="K61" s="1">
        <v>634</v>
      </c>
      <c r="L61" s="1">
        <f t="shared" si="25"/>
        <v>5</v>
      </c>
      <c r="M61" s="1"/>
      <c r="N61" s="1"/>
      <c r="O61" s="1"/>
      <c r="P61" s="1">
        <f t="shared" si="2"/>
        <v>127.8</v>
      </c>
      <c r="Q61" s="5">
        <v>925.2</v>
      </c>
      <c r="R61" s="5">
        <v>925.2</v>
      </c>
      <c r="S61" s="5">
        <f>R61*$S$1</f>
        <v>749.41200000000003</v>
      </c>
      <c r="T61" s="38">
        <f t="shared" si="27"/>
        <v>672</v>
      </c>
      <c r="U61" s="5"/>
      <c r="V61" s="1"/>
      <c r="W61" s="1">
        <f t="shared" si="3"/>
        <v>12.018779342723004</v>
      </c>
      <c r="X61" s="1">
        <f t="shared" si="4"/>
        <v>6.76056338028169</v>
      </c>
      <c r="Y61" s="1">
        <v>153.19999999999999</v>
      </c>
      <c r="Z61" s="1">
        <v>95.4</v>
      </c>
      <c r="AA61" s="1">
        <v>99.2</v>
      </c>
      <c r="AB61" s="1">
        <v>136</v>
      </c>
      <c r="AC61" s="1">
        <v>160.4</v>
      </c>
      <c r="AD61" s="1" t="s">
        <v>49</v>
      </c>
      <c r="AE61" s="1">
        <f t="shared" si="28"/>
        <v>224.8236</v>
      </c>
      <c r="AF61" s="10">
        <v>12</v>
      </c>
      <c r="AG61" s="1">
        <f t="shared" si="29"/>
        <v>56</v>
      </c>
      <c r="AH61" s="1">
        <f t="shared" si="30"/>
        <v>201.6</v>
      </c>
      <c r="AI61" s="1">
        <v>14</v>
      </c>
      <c r="AJ61" s="1">
        <v>70</v>
      </c>
      <c r="AK61" s="10">
        <f t="shared" si="31"/>
        <v>0.8</v>
      </c>
      <c r="AL61" s="1"/>
      <c r="AM61" s="1">
        <f t="shared" si="11"/>
        <v>38.339999999999996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150</v>
      </c>
      <c r="B62" s="1" t="s">
        <v>38</v>
      </c>
      <c r="C62" s="1">
        <v>433</v>
      </c>
      <c r="D62" s="1">
        <v>1498</v>
      </c>
      <c r="E62" s="1">
        <v>421</v>
      </c>
      <c r="F62" s="1">
        <v>1482</v>
      </c>
      <c r="G62" s="8">
        <v>0.3</v>
      </c>
      <c r="H62" s="1">
        <v>180</v>
      </c>
      <c r="I62" s="1" t="s">
        <v>151</v>
      </c>
      <c r="J62" s="1"/>
      <c r="K62" s="1">
        <v>419</v>
      </c>
      <c r="L62" s="1">
        <f t="shared" si="25"/>
        <v>2</v>
      </c>
      <c r="M62" s="1"/>
      <c r="N62" s="1"/>
      <c r="O62" s="1"/>
      <c r="P62" s="1">
        <f t="shared" si="2"/>
        <v>84.2</v>
      </c>
      <c r="Q62" s="5"/>
      <c r="R62" s="5"/>
      <c r="S62" s="5"/>
      <c r="T62" s="38">
        <f t="shared" si="27"/>
        <v>0</v>
      </c>
      <c r="U62" s="5"/>
      <c r="V62" s="1"/>
      <c r="W62" s="1">
        <f t="shared" si="3"/>
        <v>17.600950118764846</v>
      </c>
      <c r="X62" s="1">
        <f t="shared" si="4"/>
        <v>17.600950118764846</v>
      </c>
      <c r="Y62" s="1">
        <v>136</v>
      </c>
      <c r="Z62" s="1">
        <v>81</v>
      </c>
      <c r="AA62" s="1">
        <v>107</v>
      </c>
      <c r="AB62" s="1">
        <v>82.4</v>
      </c>
      <c r="AC62" s="1">
        <v>140</v>
      </c>
      <c r="AD62" s="1" t="s">
        <v>49</v>
      </c>
      <c r="AE62" s="1">
        <f t="shared" si="28"/>
        <v>0</v>
      </c>
      <c r="AF62" s="10">
        <v>12</v>
      </c>
      <c r="AG62" s="1">
        <f t="shared" si="29"/>
        <v>0</v>
      </c>
      <c r="AH62" s="1">
        <f t="shared" si="30"/>
        <v>0</v>
      </c>
      <c r="AI62" s="1">
        <v>14</v>
      </c>
      <c r="AJ62" s="1">
        <v>70</v>
      </c>
      <c r="AK62" s="10">
        <f t="shared" si="31"/>
        <v>0</v>
      </c>
      <c r="AL62" s="1"/>
      <c r="AM62" s="1">
        <f t="shared" si="11"/>
        <v>25.26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152</v>
      </c>
      <c r="B63" s="1" t="s">
        <v>38</v>
      </c>
      <c r="C63" s="1">
        <v>277</v>
      </c>
      <c r="D63" s="1">
        <v>208</v>
      </c>
      <c r="E63" s="1">
        <v>129</v>
      </c>
      <c r="F63" s="1">
        <v>356</v>
      </c>
      <c r="G63" s="8">
        <v>0.3</v>
      </c>
      <c r="H63" s="1">
        <v>180</v>
      </c>
      <c r="I63" s="1" t="s">
        <v>153</v>
      </c>
      <c r="J63" s="1"/>
      <c r="K63" s="1">
        <v>127</v>
      </c>
      <c r="L63" s="1">
        <f t="shared" si="25"/>
        <v>2</v>
      </c>
      <c r="M63" s="1"/>
      <c r="N63" s="1"/>
      <c r="O63" s="1"/>
      <c r="P63" s="1">
        <f t="shared" si="2"/>
        <v>25.8</v>
      </c>
      <c r="Q63" s="5"/>
      <c r="R63" s="5"/>
      <c r="S63" s="5"/>
      <c r="T63" s="38">
        <f t="shared" si="27"/>
        <v>0</v>
      </c>
      <c r="U63" s="5"/>
      <c r="V63" s="1"/>
      <c r="W63" s="1">
        <f t="shared" si="3"/>
        <v>13.7984496124031</v>
      </c>
      <c r="X63" s="1">
        <f t="shared" si="4"/>
        <v>13.7984496124031</v>
      </c>
      <c r="Y63" s="1">
        <v>16.2</v>
      </c>
      <c r="Z63" s="1">
        <v>35.6</v>
      </c>
      <c r="AA63" s="1">
        <v>18.399999999999999</v>
      </c>
      <c r="AB63" s="1">
        <v>12.2</v>
      </c>
      <c r="AC63" s="1">
        <v>34.200000000000003</v>
      </c>
      <c r="AD63" s="19" t="s">
        <v>49</v>
      </c>
      <c r="AE63" s="1">
        <f t="shared" si="28"/>
        <v>0</v>
      </c>
      <c r="AF63" s="10">
        <v>14</v>
      </c>
      <c r="AG63" s="1">
        <f t="shared" si="29"/>
        <v>0</v>
      </c>
      <c r="AH63" s="1">
        <f t="shared" si="30"/>
        <v>0</v>
      </c>
      <c r="AI63" s="1">
        <v>14</v>
      </c>
      <c r="AJ63" s="1">
        <v>70</v>
      </c>
      <c r="AK63" s="10">
        <f t="shared" si="31"/>
        <v>0</v>
      </c>
      <c r="AL63" s="1"/>
      <c r="AM63" s="1">
        <f t="shared" si="11"/>
        <v>7.74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154</v>
      </c>
      <c r="B64" s="1" t="s">
        <v>38</v>
      </c>
      <c r="C64" s="1">
        <v>1066</v>
      </c>
      <c r="D64" s="1">
        <v>2607</v>
      </c>
      <c r="E64" s="1">
        <v>1873</v>
      </c>
      <c r="F64" s="1">
        <v>728</v>
      </c>
      <c r="G64" s="8">
        <v>0.25</v>
      </c>
      <c r="H64" s="1">
        <v>180</v>
      </c>
      <c r="I64" s="1" t="s">
        <v>155</v>
      </c>
      <c r="J64" s="1"/>
      <c r="K64" s="1">
        <v>1900</v>
      </c>
      <c r="L64" s="1">
        <f t="shared" si="25"/>
        <v>-27</v>
      </c>
      <c r="M64" s="1"/>
      <c r="N64" s="1"/>
      <c r="O64" s="1"/>
      <c r="P64" s="1">
        <f t="shared" si="2"/>
        <v>374.6</v>
      </c>
      <c r="Q64" s="5">
        <v>3018</v>
      </c>
      <c r="R64" s="5">
        <v>3018</v>
      </c>
      <c r="S64" s="5">
        <f t="shared" ref="S64:S66" si="32">R64*$S$1</f>
        <v>2444.5800000000004</v>
      </c>
      <c r="T64" s="38">
        <f t="shared" si="27"/>
        <v>2520</v>
      </c>
      <c r="U64" s="5"/>
      <c r="V64" s="1"/>
      <c r="W64" s="1">
        <f t="shared" si="3"/>
        <v>8.6705819540843567</v>
      </c>
      <c r="X64" s="1">
        <f t="shared" si="4"/>
        <v>1.9434063000533901</v>
      </c>
      <c r="Y64" s="1">
        <v>318.2</v>
      </c>
      <c r="Z64" s="1">
        <v>326.39999999999998</v>
      </c>
      <c r="AA64" s="1">
        <v>306.2</v>
      </c>
      <c r="AB64" s="1">
        <v>249</v>
      </c>
      <c r="AC64" s="1">
        <v>287.39999999999998</v>
      </c>
      <c r="AD64" s="1" t="s">
        <v>49</v>
      </c>
      <c r="AE64" s="1">
        <f t="shared" si="28"/>
        <v>611.1450000000001</v>
      </c>
      <c r="AF64" s="10">
        <v>12</v>
      </c>
      <c r="AG64" s="1">
        <f t="shared" si="29"/>
        <v>210</v>
      </c>
      <c r="AH64" s="1">
        <f t="shared" si="30"/>
        <v>630</v>
      </c>
      <c r="AI64" s="1">
        <v>14</v>
      </c>
      <c r="AJ64" s="1">
        <v>70</v>
      </c>
      <c r="AK64" s="10">
        <f t="shared" si="31"/>
        <v>3</v>
      </c>
      <c r="AL64" s="1"/>
      <c r="AM64" s="1">
        <f t="shared" si="11"/>
        <v>93.65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9" t="s">
        <v>44</v>
      </c>
      <c r="B65" s="1" t="s">
        <v>38</v>
      </c>
      <c r="C65" s="1">
        <v>2158</v>
      </c>
      <c r="D65" s="1">
        <v>3306</v>
      </c>
      <c r="E65" s="20">
        <f>1652+E8</f>
        <v>1760</v>
      </c>
      <c r="F65" s="20">
        <f>2875+F8</f>
        <v>3306</v>
      </c>
      <c r="G65" s="8">
        <v>0.25</v>
      </c>
      <c r="H65" s="1">
        <v>180</v>
      </c>
      <c r="I65" s="1" t="s">
        <v>156</v>
      </c>
      <c r="J65" s="1"/>
      <c r="K65" s="1">
        <v>1677</v>
      </c>
      <c r="L65" s="1">
        <f t="shared" si="25"/>
        <v>83</v>
      </c>
      <c r="M65" s="1"/>
      <c r="N65" s="1"/>
      <c r="O65" s="1"/>
      <c r="P65" s="1">
        <f t="shared" si="2"/>
        <v>352</v>
      </c>
      <c r="Q65" s="5">
        <v>1622</v>
      </c>
      <c r="R65" s="5">
        <v>1622</v>
      </c>
      <c r="S65" s="5">
        <f t="shared" si="32"/>
        <v>1313.8200000000002</v>
      </c>
      <c r="T65" s="38">
        <f t="shared" si="27"/>
        <v>1344</v>
      </c>
      <c r="U65" s="5"/>
      <c r="V65" s="1"/>
      <c r="W65" s="1">
        <f t="shared" si="3"/>
        <v>13.210227272727273</v>
      </c>
      <c r="X65" s="1">
        <f t="shared" si="4"/>
        <v>9.392045454545455</v>
      </c>
      <c r="Y65" s="1">
        <v>386.2</v>
      </c>
      <c r="Z65" s="1">
        <v>273.2</v>
      </c>
      <c r="AA65" s="1">
        <v>338.6</v>
      </c>
      <c r="AB65" s="1">
        <v>325</v>
      </c>
      <c r="AC65" s="1">
        <v>395.2</v>
      </c>
      <c r="AD65" s="1" t="s">
        <v>49</v>
      </c>
      <c r="AE65" s="1">
        <f t="shared" si="28"/>
        <v>328.45500000000004</v>
      </c>
      <c r="AF65" s="10">
        <v>12</v>
      </c>
      <c r="AG65" s="1">
        <f t="shared" si="29"/>
        <v>112</v>
      </c>
      <c r="AH65" s="1">
        <f t="shared" si="30"/>
        <v>336</v>
      </c>
      <c r="AI65" s="1">
        <v>14</v>
      </c>
      <c r="AJ65" s="1">
        <v>70</v>
      </c>
      <c r="AK65" s="10">
        <f t="shared" si="31"/>
        <v>1.6</v>
      </c>
      <c r="AL65" s="1"/>
      <c r="AM65" s="1">
        <f t="shared" si="11"/>
        <v>88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 t="s">
        <v>157</v>
      </c>
      <c r="B66" s="1" t="s">
        <v>38</v>
      </c>
      <c r="C66" s="1">
        <v>447</v>
      </c>
      <c r="D66" s="1">
        <v>213</v>
      </c>
      <c r="E66" s="1">
        <v>331</v>
      </c>
      <c r="F66" s="1">
        <v>180</v>
      </c>
      <c r="G66" s="8">
        <v>0.23</v>
      </c>
      <c r="H66" s="1">
        <v>0</v>
      </c>
      <c r="I66" s="1" t="s">
        <v>158</v>
      </c>
      <c r="J66" s="1"/>
      <c r="K66" s="1">
        <v>336</v>
      </c>
      <c r="L66" s="1">
        <f t="shared" si="25"/>
        <v>-5</v>
      </c>
      <c r="M66" s="1"/>
      <c r="N66" s="1"/>
      <c r="O66" s="1"/>
      <c r="P66" s="1">
        <f t="shared" si="2"/>
        <v>66.2</v>
      </c>
      <c r="Q66" s="5">
        <v>614.40000000000009</v>
      </c>
      <c r="R66" s="5">
        <v>614.40000000000009</v>
      </c>
      <c r="S66" s="5">
        <f t="shared" si="32"/>
        <v>497.6640000000001</v>
      </c>
      <c r="T66" s="38">
        <f t="shared" si="27"/>
        <v>504</v>
      </c>
      <c r="U66" s="5"/>
      <c r="V66" s="1"/>
      <c r="W66" s="1">
        <f t="shared" si="3"/>
        <v>10.332326283987914</v>
      </c>
      <c r="X66" s="1">
        <f t="shared" si="4"/>
        <v>2.7190332326283988</v>
      </c>
      <c r="Y66" s="1">
        <v>64.2</v>
      </c>
      <c r="Z66" s="1">
        <v>53.8</v>
      </c>
      <c r="AA66" s="1">
        <v>71.8</v>
      </c>
      <c r="AB66" s="1">
        <v>70</v>
      </c>
      <c r="AC66" s="1">
        <v>97.2</v>
      </c>
      <c r="AD66" s="1"/>
      <c r="AE66" s="1">
        <f t="shared" si="28"/>
        <v>114.46272000000003</v>
      </c>
      <c r="AF66" s="10">
        <v>6</v>
      </c>
      <c r="AG66" s="1">
        <f t="shared" si="29"/>
        <v>84</v>
      </c>
      <c r="AH66" s="1">
        <f t="shared" si="30"/>
        <v>115.92</v>
      </c>
      <c r="AI66" s="1">
        <v>14</v>
      </c>
      <c r="AJ66" s="1">
        <v>140</v>
      </c>
      <c r="AK66" s="10">
        <f t="shared" si="31"/>
        <v>0.6</v>
      </c>
      <c r="AL66" s="1"/>
      <c r="AM66" s="1">
        <f t="shared" si="11"/>
        <v>15.226000000000001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 t="s">
        <v>159</v>
      </c>
      <c r="B67" s="1" t="s">
        <v>73</v>
      </c>
      <c r="C67" s="1">
        <v>317.8</v>
      </c>
      <c r="D67" s="1">
        <v>40.5</v>
      </c>
      <c r="E67" s="1">
        <v>210.6</v>
      </c>
      <c r="F67" s="1">
        <v>85.6</v>
      </c>
      <c r="G67" s="8">
        <v>1</v>
      </c>
      <c r="H67" s="1">
        <v>180</v>
      </c>
      <c r="I67" s="1" t="s">
        <v>160</v>
      </c>
      <c r="J67" s="1"/>
      <c r="K67" s="1">
        <v>198.2</v>
      </c>
      <c r="L67" s="1">
        <f t="shared" si="25"/>
        <v>12.400000000000006</v>
      </c>
      <c r="M67" s="1"/>
      <c r="N67" s="1"/>
      <c r="O67" s="1"/>
      <c r="P67" s="1">
        <f t="shared" si="2"/>
        <v>42.12</v>
      </c>
      <c r="Q67" s="5">
        <v>377.72</v>
      </c>
      <c r="R67" s="5">
        <v>377.72</v>
      </c>
      <c r="S67" s="5">
        <f>11*P67-F67</f>
        <v>377.72</v>
      </c>
      <c r="T67" s="38">
        <f t="shared" si="27"/>
        <v>378</v>
      </c>
      <c r="U67" s="5"/>
      <c r="V67" s="1"/>
      <c r="W67" s="1">
        <f t="shared" si="3"/>
        <v>11.00664767331434</v>
      </c>
      <c r="X67" s="1">
        <f t="shared" si="4"/>
        <v>2.0322886989553655</v>
      </c>
      <c r="Y67" s="1">
        <v>34.54</v>
      </c>
      <c r="Z67" s="1">
        <v>34.56</v>
      </c>
      <c r="AA67" s="1">
        <v>46.98</v>
      </c>
      <c r="AB67" s="1">
        <v>28.62</v>
      </c>
      <c r="AC67" s="1">
        <v>40.5</v>
      </c>
      <c r="AD67" s="1"/>
      <c r="AE67" s="1">
        <f t="shared" si="28"/>
        <v>377.72</v>
      </c>
      <c r="AF67" s="10">
        <v>2.7</v>
      </c>
      <c r="AG67" s="1">
        <f t="shared" si="29"/>
        <v>140</v>
      </c>
      <c r="AH67" s="1">
        <f t="shared" si="30"/>
        <v>378</v>
      </c>
      <c r="AI67" s="1">
        <v>14</v>
      </c>
      <c r="AJ67" s="1">
        <v>126</v>
      </c>
      <c r="AK67" s="10">
        <f t="shared" si="31"/>
        <v>1.1111111111111112</v>
      </c>
      <c r="AL67" s="1"/>
      <c r="AM67" s="1">
        <f t="shared" si="11"/>
        <v>42.12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9" t="s">
        <v>161</v>
      </c>
      <c r="B68" s="1" t="s">
        <v>73</v>
      </c>
      <c r="C68" s="1">
        <v>490</v>
      </c>
      <c r="D68" s="1">
        <v>960</v>
      </c>
      <c r="E68" s="20">
        <f>800+E69</f>
        <v>805</v>
      </c>
      <c r="F68" s="20">
        <f>550+F69</f>
        <v>545</v>
      </c>
      <c r="G68" s="8">
        <v>1</v>
      </c>
      <c r="H68" s="1">
        <v>180</v>
      </c>
      <c r="I68" s="1" t="s">
        <v>162</v>
      </c>
      <c r="J68" s="1"/>
      <c r="K68" s="1">
        <v>840</v>
      </c>
      <c r="L68" s="1">
        <f t="shared" si="25"/>
        <v>-35</v>
      </c>
      <c r="M68" s="1"/>
      <c r="N68" s="1"/>
      <c r="O68" s="1"/>
      <c r="P68" s="1">
        <f t="shared" si="2"/>
        <v>161</v>
      </c>
      <c r="Q68" s="5">
        <v>1387</v>
      </c>
      <c r="R68" s="5">
        <v>1387</v>
      </c>
      <c r="S68" s="5">
        <f>R68*$S$1</f>
        <v>1123.47</v>
      </c>
      <c r="T68" s="38">
        <f t="shared" si="27"/>
        <v>1140</v>
      </c>
      <c r="U68" s="5"/>
      <c r="V68" s="1"/>
      <c r="W68" s="1">
        <f t="shared" si="3"/>
        <v>10.46583850931677</v>
      </c>
      <c r="X68" s="1">
        <f t="shared" si="4"/>
        <v>3.3850931677018634</v>
      </c>
      <c r="Y68" s="1">
        <v>132</v>
      </c>
      <c r="Z68" s="1">
        <v>128</v>
      </c>
      <c r="AA68" s="1">
        <v>122</v>
      </c>
      <c r="AB68" s="1">
        <v>116</v>
      </c>
      <c r="AC68" s="1">
        <v>115</v>
      </c>
      <c r="AD68" s="1"/>
      <c r="AE68" s="1">
        <f t="shared" si="28"/>
        <v>1123.47</v>
      </c>
      <c r="AF68" s="10">
        <v>5</v>
      </c>
      <c r="AG68" s="1">
        <f t="shared" si="29"/>
        <v>228</v>
      </c>
      <c r="AH68" s="1">
        <f t="shared" si="30"/>
        <v>1140</v>
      </c>
      <c r="AI68" s="1">
        <v>12</v>
      </c>
      <c r="AJ68" s="1">
        <v>84</v>
      </c>
      <c r="AK68" s="10">
        <f t="shared" si="31"/>
        <v>2.7142857142857144</v>
      </c>
      <c r="AL68" s="1"/>
      <c r="AM68" s="1">
        <f t="shared" si="11"/>
        <v>161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4" t="s">
        <v>164</v>
      </c>
      <c r="B69" s="14" t="s">
        <v>73</v>
      </c>
      <c r="C69" s="14">
        <v>80</v>
      </c>
      <c r="D69" s="14"/>
      <c r="E69" s="20">
        <v>5</v>
      </c>
      <c r="F69" s="20">
        <v>-5</v>
      </c>
      <c r="G69" s="15">
        <v>0</v>
      </c>
      <c r="H69" s="14">
        <v>0</v>
      </c>
      <c r="I69" s="18" t="s">
        <v>67</v>
      </c>
      <c r="J69" s="14" t="s">
        <v>161</v>
      </c>
      <c r="K69" s="14">
        <v>5</v>
      </c>
      <c r="L69" s="14">
        <f t="shared" si="25"/>
        <v>0</v>
      </c>
      <c r="M69" s="14"/>
      <c r="N69" s="14"/>
      <c r="O69" s="14"/>
      <c r="P69" s="14">
        <f t="shared" si="2"/>
        <v>1</v>
      </c>
      <c r="Q69" s="25"/>
      <c r="R69" s="25"/>
      <c r="S69" s="25"/>
      <c r="T69" s="39"/>
      <c r="U69" s="25"/>
      <c r="V69" s="14"/>
      <c r="W69" s="14">
        <f t="shared" si="3"/>
        <v>-5</v>
      </c>
      <c r="X69" s="14">
        <f t="shared" si="4"/>
        <v>-5</v>
      </c>
      <c r="Y69" s="14">
        <v>16</v>
      </c>
      <c r="Z69" s="14">
        <v>1</v>
      </c>
      <c r="AA69" s="14">
        <v>4</v>
      </c>
      <c r="AB69" s="14">
        <v>10</v>
      </c>
      <c r="AC69" s="14">
        <v>13</v>
      </c>
      <c r="AD69" s="14"/>
      <c r="AE69" s="14"/>
      <c r="AF69" s="17"/>
      <c r="AG69" s="14"/>
      <c r="AH69" s="14"/>
      <c r="AI69" s="14"/>
      <c r="AJ69" s="14"/>
      <c r="AK69" s="17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26" t="s">
        <v>166</v>
      </c>
      <c r="B70" s="27" t="s">
        <v>38</v>
      </c>
      <c r="C70" s="28"/>
      <c r="D70" s="28"/>
      <c r="E70" s="28"/>
      <c r="F70" s="28"/>
      <c r="G70" s="29"/>
      <c r="H70" s="28"/>
      <c r="I70" s="30" t="s">
        <v>169</v>
      </c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40"/>
      <c r="U70" s="31">
        <v>100</v>
      </c>
      <c r="V70" s="23" t="s">
        <v>172</v>
      </c>
      <c r="W70" s="1"/>
      <c r="X70" s="1"/>
      <c r="Y70" s="1"/>
      <c r="Z70" s="1"/>
      <c r="AA70" s="1"/>
      <c r="AB70" s="1"/>
      <c r="AC70" s="1"/>
      <c r="AD70" s="1" t="s">
        <v>173</v>
      </c>
      <c r="AE70" s="1"/>
      <c r="AF70" s="10"/>
      <c r="AG70" s="1"/>
      <c r="AH70" s="1"/>
      <c r="AI70" s="1"/>
      <c r="AJ70" s="1"/>
      <c r="AK70" s="10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26" t="s">
        <v>167</v>
      </c>
      <c r="B71" s="27" t="s">
        <v>38</v>
      </c>
      <c r="C71" s="28"/>
      <c r="D71" s="28"/>
      <c r="E71" s="28"/>
      <c r="F71" s="28"/>
      <c r="G71" s="29"/>
      <c r="H71" s="28"/>
      <c r="I71" s="30" t="s">
        <v>170</v>
      </c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40"/>
      <c r="U71" s="31">
        <v>100</v>
      </c>
      <c r="V71" s="23" t="s">
        <v>172</v>
      </c>
      <c r="W71" s="1"/>
      <c r="X71" s="1"/>
      <c r="Y71" s="1"/>
      <c r="Z71" s="1"/>
      <c r="AA71" s="1"/>
      <c r="AB71" s="1"/>
      <c r="AC71" s="1"/>
      <c r="AD71" s="1" t="s">
        <v>174</v>
      </c>
      <c r="AE71" s="1"/>
      <c r="AF71" s="10">
        <v>12</v>
      </c>
      <c r="AG71" s="1"/>
      <c r="AH71" s="1"/>
      <c r="AI71" s="1">
        <v>14</v>
      </c>
      <c r="AJ71" s="1">
        <v>70</v>
      </c>
      <c r="AK71" s="10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26" t="s">
        <v>168</v>
      </c>
      <c r="B72" s="27" t="s">
        <v>38</v>
      </c>
      <c r="C72" s="28"/>
      <c r="D72" s="28"/>
      <c r="E72" s="28"/>
      <c r="F72" s="28"/>
      <c r="G72" s="29"/>
      <c r="H72" s="28"/>
      <c r="I72" s="30" t="s">
        <v>171</v>
      </c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40"/>
      <c r="U72" s="31">
        <v>100</v>
      </c>
      <c r="V72" s="23" t="s">
        <v>172</v>
      </c>
      <c r="W72" s="1"/>
      <c r="X72" s="1"/>
      <c r="Y72" s="1"/>
      <c r="Z72" s="1"/>
      <c r="AA72" s="1"/>
      <c r="AB72" s="1"/>
      <c r="AC72" s="1"/>
      <c r="AD72" s="1" t="s">
        <v>175</v>
      </c>
      <c r="AE72" s="1"/>
      <c r="AF72" s="10">
        <v>6</v>
      </c>
      <c r="AG72" s="1"/>
      <c r="AH72" s="1"/>
      <c r="AI72" s="1">
        <v>14</v>
      </c>
      <c r="AJ72" s="1">
        <v>140</v>
      </c>
      <c r="AK72" s="10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/>
      <c r="B73" s="1"/>
      <c r="C73" s="1"/>
      <c r="D73" s="1"/>
      <c r="E73" s="1"/>
      <c r="F73" s="1"/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35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0"/>
      <c r="AG73" s="1"/>
      <c r="AH73" s="1"/>
      <c r="AI73" s="1"/>
      <c r="AJ73" s="1"/>
      <c r="AK73" s="10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/>
      <c r="B74" s="1"/>
      <c r="C74" s="1"/>
      <c r="D74" s="1"/>
      <c r="E74" s="1"/>
      <c r="F74" s="1"/>
      <c r="G74" s="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35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0"/>
      <c r="AG74" s="1"/>
      <c r="AH74" s="1"/>
      <c r="AI74" s="1"/>
      <c r="AJ74" s="1"/>
      <c r="AK74" s="10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/>
      <c r="B75" s="1"/>
      <c r="C75" s="1"/>
      <c r="D75" s="1"/>
      <c r="E75" s="1"/>
      <c r="F75" s="1"/>
      <c r="G75" s="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35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0"/>
      <c r="AG75" s="1"/>
      <c r="AH75" s="1"/>
      <c r="AI75" s="1"/>
      <c r="AJ75" s="1"/>
      <c r="AK75" s="10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/>
      <c r="B76" s="1"/>
      <c r="C76" s="1"/>
      <c r="D76" s="1"/>
      <c r="E76" s="1"/>
      <c r="F76" s="1"/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35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0"/>
      <c r="AG76" s="1"/>
      <c r="AH76" s="1"/>
      <c r="AI76" s="1"/>
      <c r="AJ76" s="1"/>
      <c r="AK76" s="10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/>
      <c r="B77" s="1"/>
      <c r="C77" s="1"/>
      <c r="D77" s="1"/>
      <c r="E77" s="1"/>
      <c r="F77" s="1"/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35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0"/>
      <c r="AG77" s="1"/>
      <c r="AH77" s="1"/>
      <c r="AI77" s="1"/>
      <c r="AJ77" s="1"/>
      <c r="AK77" s="10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/>
      <c r="B78" s="1"/>
      <c r="C78" s="1"/>
      <c r="D78" s="1"/>
      <c r="E78" s="1"/>
      <c r="F78" s="1"/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35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0"/>
      <c r="AG78" s="1"/>
      <c r="AH78" s="1"/>
      <c r="AI78" s="1"/>
      <c r="AJ78" s="1"/>
      <c r="AK78" s="10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/>
      <c r="B79" s="1"/>
      <c r="C79" s="1"/>
      <c r="D79" s="1"/>
      <c r="E79" s="1"/>
      <c r="F79" s="1"/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35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0"/>
      <c r="AG79" s="1"/>
      <c r="AH79" s="1"/>
      <c r="AI79" s="1"/>
      <c r="AJ79" s="1"/>
      <c r="AK79" s="10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/>
      <c r="B80" s="1"/>
      <c r="C80" s="1"/>
      <c r="D80" s="1"/>
      <c r="E80" s="1"/>
      <c r="F80" s="1"/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35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0"/>
      <c r="AG80" s="1"/>
      <c r="AH80" s="1"/>
      <c r="AI80" s="1"/>
      <c r="AJ80" s="1"/>
      <c r="AK80" s="10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35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0"/>
      <c r="AG81" s="1"/>
      <c r="AH81" s="1"/>
      <c r="AI81" s="1"/>
      <c r="AJ81" s="1"/>
      <c r="AK81" s="10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35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0"/>
      <c r="AG82" s="1"/>
      <c r="AH82" s="1"/>
      <c r="AI82" s="1"/>
      <c r="AJ82" s="1"/>
      <c r="AK82" s="10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35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0"/>
      <c r="AG83" s="1"/>
      <c r="AH83" s="1"/>
      <c r="AI83" s="1"/>
      <c r="AJ83" s="1"/>
      <c r="AK83" s="10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35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0"/>
      <c r="AG84" s="1"/>
      <c r="AH84" s="1"/>
      <c r="AI84" s="1"/>
      <c r="AJ84" s="1"/>
      <c r="AK84" s="10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35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0"/>
      <c r="AG85" s="1"/>
      <c r="AH85" s="1"/>
      <c r="AI85" s="1"/>
      <c r="AJ85" s="1"/>
      <c r="AK85" s="10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35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0"/>
      <c r="AG86" s="1"/>
      <c r="AH86" s="1"/>
      <c r="AI86" s="1"/>
      <c r="AJ86" s="1"/>
      <c r="AK86" s="10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35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0"/>
      <c r="AG87" s="1"/>
      <c r="AH87" s="1"/>
      <c r="AI87" s="1"/>
      <c r="AJ87" s="1"/>
      <c r="AK87" s="10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35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0"/>
      <c r="AG88" s="1"/>
      <c r="AH88" s="1"/>
      <c r="AI88" s="1"/>
      <c r="AJ88" s="1"/>
      <c r="AK88" s="10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35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0"/>
      <c r="AG89" s="1"/>
      <c r="AH89" s="1"/>
      <c r="AI89" s="1"/>
      <c r="AJ89" s="1"/>
      <c r="AK89" s="10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35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0"/>
      <c r="AG90" s="1"/>
      <c r="AH90" s="1"/>
      <c r="AI90" s="1"/>
      <c r="AJ90" s="1"/>
      <c r="AK90" s="10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35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0"/>
      <c r="AG91" s="1"/>
      <c r="AH91" s="1"/>
      <c r="AI91" s="1"/>
      <c r="AJ91" s="1"/>
      <c r="AK91" s="10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35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0"/>
      <c r="AG92" s="1"/>
      <c r="AH92" s="1"/>
      <c r="AI92" s="1"/>
      <c r="AJ92" s="1"/>
      <c r="AK92" s="10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35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0"/>
      <c r="AG93" s="1"/>
      <c r="AH93" s="1"/>
      <c r="AI93" s="1"/>
      <c r="AJ93" s="1"/>
      <c r="AK93" s="10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35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0"/>
      <c r="AG94" s="1"/>
      <c r="AH94" s="1"/>
      <c r="AI94" s="1"/>
      <c r="AJ94" s="1"/>
      <c r="AK94" s="10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35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0"/>
      <c r="AG95" s="1"/>
      <c r="AH95" s="1"/>
      <c r="AI95" s="1"/>
      <c r="AJ95" s="1"/>
      <c r="AK95" s="10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35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0"/>
      <c r="AG96" s="1"/>
      <c r="AH96" s="1"/>
      <c r="AI96" s="1"/>
      <c r="AJ96" s="1"/>
      <c r="AK96" s="10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35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0"/>
      <c r="AG97" s="1"/>
      <c r="AH97" s="1"/>
      <c r="AI97" s="1"/>
      <c r="AJ97" s="1"/>
      <c r="AK97" s="10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35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0"/>
      <c r="AG98" s="1"/>
      <c r="AH98" s="1"/>
      <c r="AI98" s="1"/>
      <c r="AJ98" s="1"/>
      <c r="AK98" s="10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35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0"/>
      <c r="AG99" s="1"/>
      <c r="AH99" s="1"/>
      <c r="AI99" s="1"/>
      <c r="AJ99" s="1"/>
      <c r="AK99" s="10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35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0"/>
      <c r="AG100" s="1"/>
      <c r="AH100" s="1"/>
      <c r="AI100" s="1"/>
      <c r="AJ100" s="1"/>
      <c r="AK100" s="10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35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0"/>
      <c r="AG101" s="1"/>
      <c r="AH101" s="1"/>
      <c r="AI101" s="1"/>
      <c r="AJ101" s="1"/>
      <c r="AK101" s="10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35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0"/>
      <c r="AG102" s="1"/>
      <c r="AH102" s="1"/>
      <c r="AI102" s="1"/>
      <c r="AJ102" s="1"/>
      <c r="AK102" s="10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35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0"/>
      <c r="AG103" s="1"/>
      <c r="AH103" s="1"/>
      <c r="AI103" s="1"/>
      <c r="AJ103" s="1"/>
      <c r="AK103" s="10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35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0"/>
      <c r="AG104" s="1"/>
      <c r="AH104" s="1"/>
      <c r="AI104" s="1"/>
      <c r="AJ104" s="1"/>
      <c r="AK104" s="10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35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0"/>
      <c r="AG105" s="1"/>
      <c r="AH105" s="1"/>
      <c r="AI105" s="1"/>
      <c r="AJ105" s="1"/>
      <c r="AK105" s="10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35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0"/>
      <c r="AG106" s="1"/>
      <c r="AH106" s="1"/>
      <c r="AI106" s="1"/>
      <c r="AJ106" s="1"/>
      <c r="AK106" s="10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35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0"/>
      <c r="AG107" s="1"/>
      <c r="AH107" s="1"/>
      <c r="AI107" s="1"/>
      <c r="AJ107" s="1"/>
      <c r="AK107" s="10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35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0"/>
      <c r="AG108" s="1"/>
      <c r="AH108" s="1"/>
      <c r="AI108" s="1"/>
      <c r="AJ108" s="1"/>
      <c r="AK108" s="10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35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0"/>
      <c r="AG109" s="1"/>
      <c r="AH109" s="1"/>
      <c r="AI109" s="1"/>
      <c r="AJ109" s="1"/>
      <c r="AK109" s="10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35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0"/>
      <c r="AG110" s="1"/>
      <c r="AH110" s="1"/>
      <c r="AI110" s="1"/>
      <c r="AJ110" s="1"/>
      <c r="AK110" s="10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35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0"/>
      <c r="AG111" s="1"/>
      <c r="AH111" s="1"/>
      <c r="AI111" s="1"/>
      <c r="AJ111" s="1"/>
      <c r="AK111" s="10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35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0"/>
      <c r="AG112" s="1"/>
      <c r="AH112" s="1"/>
      <c r="AI112" s="1"/>
      <c r="AJ112" s="1"/>
      <c r="AK112" s="10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35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0"/>
      <c r="AG113" s="1"/>
      <c r="AH113" s="1"/>
      <c r="AI113" s="1"/>
      <c r="AJ113" s="1"/>
      <c r="AK113" s="10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35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0"/>
      <c r="AG114" s="1"/>
      <c r="AH114" s="1"/>
      <c r="AI114" s="1"/>
      <c r="AJ114" s="1"/>
      <c r="AK114" s="10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35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0"/>
      <c r="AG115" s="1"/>
      <c r="AH115" s="1"/>
      <c r="AI115" s="1"/>
      <c r="AJ115" s="1"/>
      <c r="AK115" s="10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35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0"/>
      <c r="AG116" s="1"/>
      <c r="AH116" s="1"/>
      <c r="AI116" s="1"/>
      <c r="AJ116" s="1"/>
      <c r="AK116" s="10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35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0"/>
      <c r="AG117" s="1"/>
      <c r="AH117" s="1"/>
      <c r="AI117" s="1"/>
      <c r="AJ117" s="1"/>
      <c r="AK117" s="10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35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0"/>
      <c r="AG118" s="1"/>
      <c r="AH118" s="1"/>
      <c r="AI118" s="1"/>
      <c r="AJ118" s="1"/>
      <c r="AK118" s="10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35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0"/>
      <c r="AG119" s="1"/>
      <c r="AH119" s="1"/>
      <c r="AI119" s="1"/>
      <c r="AJ119" s="1"/>
      <c r="AK119" s="10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35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0"/>
      <c r="AG120" s="1"/>
      <c r="AH120" s="1"/>
      <c r="AI120" s="1"/>
      <c r="AJ120" s="1"/>
      <c r="AK120" s="10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35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0"/>
      <c r="AG121" s="1"/>
      <c r="AH121" s="1"/>
      <c r="AI121" s="1"/>
      <c r="AJ121" s="1"/>
      <c r="AK121" s="10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35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0"/>
      <c r="AG122" s="1"/>
      <c r="AH122" s="1"/>
      <c r="AI122" s="1"/>
      <c r="AJ122" s="1"/>
      <c r="AK122" s="10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35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0"/>
      <c r="AG123" s="1"/>
      <c r="AH123" s="1"/>
      <c r="AI123" s="1"/>
      <c r="AJ123" s="1"/>
      <c r="AK123" s="10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35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0"/>
      <c r="AG124" s="1"/>
      <c r="AH124" s="1"/>
      <c r="AI124" s="1"/>
      <c r="AJ124" s="1"/>
      <c r="AK124" s="10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35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0"/>
      <c r="AG125" s="1"/>
      <c r="AH125" s="1"/>
      <c r="AI125" s="1"/>
      <c r="AJ125" s="1"/>
      <c r="AK125" s="10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35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0"/>
      <c r="AG126" s="1"/>
      <c r="AH126" s="1"/>
      <c r="AI126" s="1"/>
      <c r="AJ126" s="1"/>
      <c r="AK126" s="10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35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0"/>
      <c r="AG127" s="1"/>
      <c r="AH127" s="1"/>
      <c r="AI127" s="1"/>
      <c r="AJ127" s="1"/>
      <c r="AK127" s="10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35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0"/>
      <c r="AG128" s="1"/>
      <c r="AH128" s="1"/>
      <c r="AI128" s="1"/>
      <c r="AJ128" s="1"/>
      <c r="AK128" s="10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35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0"/>
      <c r="AG129" s="1"/>
      <c r="AH129" s="1"/>
      <c r="AI129" s="1"/>
      <c r="AJ129" s="1"/>
      <c r="AK129" s="10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35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0"/>
      <c r="AG130" s="1"/>
      <c r="AH130" s="1"/>
      <c r="AI130" s="1"/>
      <c r="AJ130" s="1"/>
      <c r="AK130" s="10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35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0"/>
      <c r="AG131" s="1"/>
      <c r="AH131" s="1"/>
      <c r="AI131" s="1"/>
      <c r="AJ131" s="1"/>
      <c r="AK131" s="10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35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0"/>
      <c r="AG132" s="1"/>
      <c r="AH132" s="1"/>
      <c r="AI132" s="1"/>
      <c r="AJ132" s="1"/>
      <c r="AK132" s="10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35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0"/>
      <c r="AG133" s="1"/>
      <c r="AH133" s="1"/>
      <c r="AI133" s="1"/>
      <c r="AJ133" s="1"/>
      <c r="AK133" s="10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35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0"/>
      <c r="AG134" s="1"/>
      <c r="AH134" s="1"/>
      <c r="AI134" s="1"/>
      <c r="AJ134" s="1"/>
      <c r="AK134" s="10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35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0"/>
      <c r="AG135" s="1"/>
      <c r="AH135" s="1"/>
      <c r="AI135" s="1"/>
      <c r="AJ135" s="1"/>
      <c r="AK135" s="10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35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0"/>
      <c r="AG136" s="1"/>
      <c r="AH136" s="1"/>
      <c r="AI136" s="1"/>
      <c r="AJ136" s="1"/>
      <c r="AK136" s="10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35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0"/>
      <c r="AG137" s="1"/>
      <c r="AH137" s="1"/>
      <c r="AI137" s="1"/>
      <c r="AJ137" s="1"/>
      <c r="AK137" s="10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35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0"/>
      <c r="AG138" s="1"/>
      <c r="AH138" s="1"/>
      <c r="AI138" s="1"/>
      <c r="AJ138" s="1"/>
      <c r="AK138" s="10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35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0"/>
      <c r="AG139" s="1"/>
      <c r="AH139" s="1"/>
      <c r="AI139" s="1"/>
      <c r="AJ139" s="1"/>
      <c r="AK139" s="10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35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0"/>
      <c r="AG140" s="1"/>
      <c r="AH140" s="1"/>
      <c r="AI140" s="1"/>
      <c r="AJ140" s="1"/>
      <c r="AK140" s="10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35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0"/>
      <c r="AG141" s="1"/>
      <c r="AH141" s="1"/>
      <c r="AI141" s="1"/>
      <c r="AJ141" s="1"/>
      <c r="AK141" s="10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35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0"/>
      <c r="AG142" s="1"/>
      <c r="AH142" s="1"/>
      <c r="AI142" s="1"/>
      <c r="AJ142" s="1"/>
      <c r="AK142" s="10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35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0"/>
      <c r="AG143" s="1"/>
      <c r="AH143" s="1"/>
      <c r="AI143" s="1"/>
      <c r="AJ143" s="1"/>
      <c r="AK143" s="10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35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0"/>
      <c r="AG144" s="1"/>
      <c r="AH144" s="1"/>
      <c r="AI144" s="1"/>
      <c r="AJ144" s="1"/>
      <c r="AK144" s="10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35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0"/>
      <c r="AG145" s="1"/>
      <c r="AH145" s="1"/>
      <c r="AI145" s="1"/>
      <c r="AJ145" s="1"/>
      <c r="AK145" s="10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35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0"/>
      <c r="AG146" s="1"/>
      <c r="AH146" s="1"/>
      <c r="AI146" s="1"/>
      <c r="AJ146" s="1"/>
      <c r="AK146" s="10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35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0"/>
      <c r="AG147" s="1"/>
      <c r="AH147" s="1"/>
      <c r="AI147" s="1"/>
      <c r="AJ147" s="1"/>
      <c r="AK147" s="10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35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0"/>
      <c r="AG148" s="1"/>
      <c r="AH148" s="1"/>
      <c r="AI148" s="1"/>
      <c r="AJ148" s="1"/>
      <c r="AK148" s="10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35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0"/>
      <c r="AG149" s="1"/>
      <c r="AH149" s="1"/>
      <c r="AI149" s="1"/>
      <c r="AJ149" s="1"/>
      <c r="AK149" s="10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35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0"/>
      <c r="AG150" s="1"/>
      <c r="AH150" s="1"/>
      <c r="AI150" s="1"/>
      <c r="AJ150" s="1"/>
      <c r="AK150" s="10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35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0"/>
      <c r="AG151" s="1"/>
      <c r="AH151" s="1"/>
      <c r="AI151" s="1"/>
      <c r="AJ151" s="1"/>
      <c r="AK151" s="10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35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0"/>
      <c r="AG152" s="1"/>
      <c r="AH152" s="1"/>
      <c r="AI152" s="1"/>
      <c r="AJ152" s="1"/>
      <c r="AK152" s="10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35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0"/>
      <c r="AG153" s="1"/>
      <c r="AH153" s="1"/>
      <c r="AI153" s="1"/>
      <c r="AJ153" s="1"/>
      <c r="AK153" s="10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35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0"/>
      <c r="AG154" s="1"/>
      <c r="AH154" s="1"/>
      <c r="AI154" s="1"/>
      <c r="AJ154" s="1"/>
      <c r="AK154" s="10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35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0"/>
      <c r="AG155" s="1"/>
      <c r="AH155" s="1"/>
      <c r="AI155" s="1"/>
      <c r="AJ155" s="1"/>
      <c r="AK155" s="10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35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0"/>
      <c r="AG156" s="1"/>
      <c r="AH156" s="1"/>
      <c r="AI156" s="1"/>
      <c r="AJ156" s="1"/>
      <c r="AK156" s="10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35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0"/>
      <c r="AG157" s="1"/>
      <c r="AH157" s="1"/>
      <c r="AI157" s="1"/>
      <c r="AJ157" s="1"/>
      <c r="AK157" s="10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35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0"/>
      <c r="AG158" s="1"/>
      <c r="AH158" s="1"/>
      <c r="AI158" s="1"/>
      <c r="AJ158" s="1"/>
      <c r="AK158" s="10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35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0"/>
      <c r="AG159" s="1"/>
      <c r="AH159" s="1"/>
      <c r="AI159" s="1"/>
      <c r="AJ159" s="1"/>
      <c r="AK159" s="10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35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0"/>
      <c r="AG160" s="1"/>
      <c r="AH160" s="1"/>
      <c r="AI160" s="1"/>
      <c r="AJ160" s="1"/>
      <c r="AK160" s="10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35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0"/>
      <c r="AG161" s="1"/>
      <c r="AH161" s="1"/>
      <c r="AI161" s="1"/>
      <c r="AJ161" s="1"/>
      <c r="AK161" s="10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35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0"/>
      <c r="AG162" s="1"/>
      <c r="AH162" s="1"/>
      <c r="AI162" s="1"/>
      <c r="AJ162" s="1"/>
      <c r="AK162" s="10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35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0"/>
      <c r="AG163" s="1"/>
      <c r="AH163" s="1"/>
      <c r="AI163" s="1"/>
      <c r="AJ163" s="1"/>
      <c r="AK163" s="10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35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0"/>
      <c r="AG164" s="1"/>
      <c r="AH164" s="1"/>
      <c r="AI164" s="1"/>
      <c r="AJ164" s="1"/>
      <c r="AK164" s="10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35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0"/>
      <c r="AG165" s="1"/>
      <c r="AH165" s="1"/>
      <c r="AI165" s="1"/>
      <c r="AJ165" s="1"/>
      <c r="AK165" s="10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35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0"/>
      <c r="AG166" s="1"/>
      <c r="AH166" s="1"/>
      <c r="AI166" s="1"/>
      <c r="AJ166" s="1"/>
      <c r="AK166" s="10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35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0"/>
      <c r="AG167" s="1"/>
      <c r="AH167" s="1"/>
      <c r="AI167" s="1"/>
      <c r="AJ167" s="1"/>
      <c r="AK167" s="10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35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0"/>
      <c r="AG168" s="1"/>
      <c r="AH168" s="1"/>
      <c r="AI168" s="1"/>
      <c r="AJ168" s="1"/>
      <c r="AK168" s="10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35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0"/>
      <c r="AG169" s="1"/>
      <c r="AH169" s="1"/>
      <c r="AI169" s="1"/>
      <c r="AJ169" s="1"/>
      <c r="AK169" s="10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35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0"/>
      <c r="AG170" s="1"/>
      <c r="AH170" s="1"/>
      <c r="AI170" s="1"/>
      <c r="AJ170" s="1"/>
      <c r="AK170" s="10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35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0"/>
      <c r="AG171" s="1"/>
      <c r="AH171" s="1"/>
      <c r="AI171" s="1"/>
      <c r="AJ171" s="1"/>
      <c r="AK171" s="10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35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0"/>
      <c r="AG172" s="1"/>
      <c r="AH172" s="1"/>
      <c r="AI172" s="1"/>
      <c r="AJ172" s="1"/>
      <c r="AK172" s="10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35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0"/>
      <c r="AG173" s="1"/>
      <c r="AH173" s="1"/>
      <c r="AI173" s="1"/>
      <c r="AJ173" s="1"/>
      <c r="AK173" s="10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35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0"/>
      <c r="AG174" s="1"/>
      <c r="AH174" s="1"/>
      <c r="AI174" s="1"/>
      <c r="AJ174" s="1"/>
      <c r="AK174" s="10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35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0"/>
      <c r="AG175" s="1"/>
      <c r="AH175" s="1"/>
      <c r="AI175" s="1"/>
      <c r="AJ175" s="1"/>
      <c r="AK175" s="10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35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0"/>
      <c r="AG176" s="1"/>
      <c r="AH176" s="1"/>
      <c r="AI176" s="1"/>
      <c r="AJ176" s="1"/>
      <c r="AK176" s="10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35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0"/>
      <c r="AG177" s="1"/>
      <c r="AH177" s="1"/>
      <c r="AI177" s="1"/>
      <c r="AJ177" s="1"/>
      <c r="AK177" s="10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35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0"/>
      <c r="AG178" s="1"/>
      <c r="AH178" s="1"/>
      <c r="AI178" s="1"/>
      <c r="AJ178" s="1"/>
      <c r="AK178" s="10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35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0"/>
      <c r="AG179" s="1"/>
      <c r="AH179" s="1"/>
      <c r="AI179" s="1"/>
      <c r="AJ179" s="1"/>
      <c r="AK179" s="10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35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0"/>
      <c r="AG180" s="1"/>
      <c r="AH180" s="1"/>
      <c r="AI180" s="1"/>
      <c r="AJ180" s="1"/>
      <c r="AK180" s="10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35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0"/>
      <c r="AG181" s="1"/>
      <c r="AH181" s="1"/>
      <c r="AI181" s="1"/>
      <c r="AJ181" s="1"/>
      <c r="AK181" s="10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35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0"/>
      <c r="AG182" s="1"/>
      <c r="AH182" s="1"/>
      <c r="AI182" s="1"/>
      <c r="AJ182" s="1"/>
      <c r="AK182" s="10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35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0"/>
      <c r="AG183" s="1"/>
      <c r="AH183" s="1"/>
      <c r="AI183" s="1"/>
      <c r="AJ183" s="1"/>
      <c r="AK183" s="10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35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0"/>
      <c r="AG184" s="1"/>
      <c r="AH184" s="1"/>
      <c r="AI184" s="1"/>
      <c r="AJ184" s="1"/>
      <c r="AK184" s="10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35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0"/>
      <c r="AG185" s="1"/>
      <c r="AH185" s="1"/>
      <c r="AI185" s="1"/>
      <c r="AJ185" s="1"/>
      <c r="AK185" s="10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35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0"/>
      <c r="AG186" s="1"/>
      <c r="AH186" s="1"/>
      <c r="AI186" s="1"/>
      <c r="AJ186" s="1"/>
      <c r="AK186" s="10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35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0"/>
      <c r="AG187" s="1"/>
      <c r="AH187" s="1"/>
      <c r="AI187" s="1"/>
      <c r="AJ187" s="1"/>
      <c r="AK187" s="10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35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0"/>
      <c r="AG188" s="1"/>
      <c r="AH188" s="1"/>
      <c r="AI188" s="1"/>
      <c r="AJ188" s="1"/>
      <c r="AK188" s="10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35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0"/>
      <c r="AG189" s="1"/>
      <c r="AH189" s="1"/>
      <c r="AI189" s="1"/>
      <c r="AJ189" s="1"/>
      <c r="AK189" s="10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35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0"/>
      <c r="AG190" s="1"/>
      <c r="AH190" s="1"/>
      <c r="AI190" s="1"/>
      <c r="AJ190" s="1"/>
      <c r="AK190" s="10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35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0"/>
      <c r="AG191" s="1"/>
      <c r="AH191" s="1"/>
      <c r="AI191" s="1"/>
      <c r="AJ191" s="1"/>
      <c r="AK191" s="10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35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0"/>
      <c r="AG192" s="1"/>
      <c r="AH192" s="1"/>
      <c r="AI192" s="1"/>
      <c r="AJ192" s="1"/>
      <c r="AK192" s="10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35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0"/>
      <c r="AG193" s="1"/>
      <c r="AH193" s="1"/>
      <c r="AI193" s="1"/>
      <c r="AJ193" s="1"/>
      <c r="AK193" s="10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35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0"/>
      <c r="AG194" s="1"/>
      <c r="AH194" s="1"/>
      <c r="AI194" s="1"/>
      <c r="AJ194" s="1"/>
      <c r="AK194" s="10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35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0"/>
      <c r="AG195" s="1"/>
      <c r="AH195" s="1"/>
      <c r="AI195" s="1"/>
      <c r="AJ195" s="1"/>
      <c r="AK195" s="10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35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0"/>
      <c r="AG196" s="1"/>
      <c r="AH196" s="1"/>
      <c r="AI196" s="1"/>
      <c r="AJ196" s="1"/>
      <c r="AK196" s="10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35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0"/>
      <c r="AG197" s="1"/>
      <c r="AH197" s="1"/>
      <c r="AI197" s="1"/>
      <c r="AJ197" s="1"/>
      <c r="AK197" s="10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35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0"/>
      <c r="AG198" s="1"/>
      <c r="AH198" s="1"/>
      <c r="AI198" s="1"/>
      <c r="AJ198" s="1"/>
      <c r="AK198" s="10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35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0"/>
      <c r="AG199" s="1"/>
      <c r="AH199" s="1"/>
      <c r="AI199" s="1"/>
      <c r="AJ199" s="1"/>
      <c r="AK199" s="10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35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0"/>
      <c r="AG200" s="1"/>
      <c r="AH200" s="1"/>
      <c r="AI200" s="1"/>
      <c r="AJ200" s="1"/>
      <c r="AK200" s="10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35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0"/>
      <c r="AG201" s="1"/>
      <c r="AH201" s="1"/>
      <c r="AI201" s="1"/>
      <c r="AJ201" s="1"/>
      <c r="AK201" s="10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35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0"/>
      <c r="AG202" s="1"/>
      <c r="AH202" s="1"/>
      <c r="AI202" s="1"/>
      <c r="AJ202" s="1"/>
      <c r="AK202" s="10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35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0"/>
      <c r="AG203" s="1"/>
      <c r="AH203" s="1"/>
      <c r="AI203" s="1"/>
      <c r="AJ203" s="1"/>
      <c r="AK203" s="10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35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0"/>
      <c r="AG204" s="1"/>
      <c r="AH204" s="1"/>
      <c r="AI204" s="1"/>
      <c r="AJ204" s="1"/>
      <c r="AK204" s="10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35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0"/>
      <c r="AG205" s="1"/>
      <c r="AH205" s="1"/>
      <c r="AI205" s="1"/>
      <c r="AJ205" s="1"/>
      <c r="AK205" s="10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35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0"/>
      <c r="AG206" s="1"/>
      <c r="AH206" s="1"/>
      <c r="AI206" s="1"/>
      <c r="AJ206" s="1"/>
      <c r="AK206" s="10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35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0"/>
      <c r="AG207" s="1"/>
      <c r="AH207" s="1"/>
      <c r="AI207" s="1"/>
      <c r="AJ207" s="1"/>
      <c r="AK207" s="10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35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0"/>
      <c r="AG208" s="1"/>
      <c r="AH208" s="1"/>
      <c r="AI208" s="1"/>
      <c r="AJ208" s="1"/>
      <c r="AK208" s="10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35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0"/>
      <c r="AG209" s="1"/>
      <c r="AH209" s="1"/>
      <c r="AI209" s="1"/>
      <c r="AJ209" s="1"/>
      <c r="AK209" s="10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35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0"/>
      <c r="AG210" s="1"/>
      <c r="AH210" s="1"/>
      <c r="AI210" s="1"/>
      <c r="AJ210" s="1"/>
      <c r="AK210" s="10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35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0"/>
      <c r="AG211" s="1"/>
      <c r="AH211" s="1"/>
      <c r="AI211" s="1"/>
      <c r="AJ211" s="1"/>
      <c r="AK211" s="10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35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0"/>
      <c r="AG212" s="1"/>
      <c r="AH212" s="1"/>
      <c r="AI212" s="1"/>
      <c r="AJ212" s="1"/>
      <c r="AK212" s="10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35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0"/>
      <c r="AG213" s="1"/>
      <c r="AH213" s="1"/>
      <c r="AI213" s="1"/>
      <c r="AJ213" s="1"/>
      <c r="AK213" s="10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35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0"/>
      <c r="AG214" s="1"/>
      <c r="AH214" s="1"/>
      <c r="AI214" s="1"/>
      <c r="AJ214" s="1"/>
      <c r="AK214" s="10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35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0"/>
      <c r="AG215" s="1"/>
      <c r="AH215" s="1"/>
      <c r="AI215" s="1"/>
      <c r="AJ215" s="1"/>
      <c r="AK215" s="10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35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0"/>
      <c r="AG216" s="1"/>
      <c r="AH216" s="1"/>
      <c r="AI216" s="1"/>
      <c r="AJ216" s="1"/>
      <c r="AK216" s="10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35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0"/>
      <c r="AG217" s="1"/>
      <c r="AH217" s="1"/>
      <c r="AI217" s="1"/>
      <c r="AJ217" s="1"/>
      <c r="AK217" s="10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35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0"/>
      <c r="AG218" s="1"/>
      <c r="AH218" s="1"/>
      <c r="AI218" s="1"/>
      <c r="AJ218" s="1"/>
      <c r="AK218" s="10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35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0"/>
      <c r="AG219" s="1"/>
      <c r="AH219" s="1"/>
      <c r="AI219" s="1"/>
      <c r="AJ219" s="1"/>
      <c r="AK219" s="10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35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0"/>
      <c r="AG220" s="1"/>
      <c r="AH220" s="1"/>
      <c r="AI220" s="1"/>
      <c r="AJ220" s="1"/>
      <c r="AK220" s="10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35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0"/>
      <c r="AG221" s="1"/>
      <c r="AH221" s="1"/>
      <c r="AI221" s="1"/>
      <c r="AJ221" s="1"/>
      <c r="AK221" s="10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35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0"/>
      <c r="AG222" s="1"/>
      <c r="AH222" s="1"/>
      <c r="AI222" s="1"/>
      <c r="AJ222" s="1"/>
      <c r="AK222" s="10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35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0"/>
      <c r="AG223" s="1"/>
      <c r="AH223" s="1"/>
      <c r="AI223" s="1"/>
      <c r="AJ223" s="1"/>
      <c r="AK223" s="10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35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0"/>
      <c r="AG224" s="1"/>
      <c r="AH224" s="1"/>
      <c r="AI224" s="1"/>
      <c r="AJ224" s="1"/>
      <c r="AK224" s="10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35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0"/>
      <c r="AG225" s="1"/>
      <c r="AH225" s="1"/>
      <c r="AI225" s="1"/>
      <c r="AJ225" s="1"/>
      <c r="AK225" s="10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35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0"/>
      <c r="AG226" s="1"/>
      <c r="AH226" s="1"/>
      <c r="AI226" s="1"/>
      <c r="AJ226" s="1"/>
      <c r="AK226" s="10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35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0"/>
      <c r="AG227" s="1"/>
      <c r="AH227" s="1"/>
      <c r="AI227" s="1"/>
      <c r="AJ227" s="1"/>
      <c r="AK227" s="10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35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0"/>
      <c r="AG228" s="1"/>
      <c r="AH228" s="1"/>
      <c r="AI228" s="1"/>
      <c r="AJ228" s="1"/>
      <c r="AK228" s="10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35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0"/>
      <c r="AG229" s="1"/>
      <c r="AH229" s="1"/>
      <c r="AI229" s="1"/>
      <c r="AJ229" s="1"/>
      <c r="AK229" s="10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35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0"/>
      <c r="AG230" s="1"/>
      <c r="AH230" s="1"/>
      <c r="AI230" s="1"/>
      <c r="AJ230" s="1"/>
      <c r="AK230" s="10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35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0"/>
      <c r="AG231" s="1"/>
      <c r="AH231" s="1"/>
      <c r="AI231" s="1"/>
      <c r="AJ231" s="1"/>
      <c r="AK231" s="10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35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0"/>
      <c r="AG232" s="1"/>
      <c r="AH232" s="1"/>
      <c r="AI232" s="1"/>
      <c r="AJ232" s="1"/>
      <c r="AK232" s="10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35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0"/>
      <c r="AG233" s="1"/>
      <c r="AH233" s="1"/>
      <c r="AI233" s="1"/>
      <c r="AJ233" s="1"/>
      <c r="AK233" s="10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35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0"/>
      <c r="AG234" s="1"/>
      <c r="AH234" s="1"/>
      <c r="AI234" s="1"/>
      <c r="AJ234" s="1"/>
      <c r="AK234" s="10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35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0"/>
      <c r="AG235" s="1"/>
      <c r="AH235" s="1"/>
      <c r="AI235" s="1"/>
      <c r="AJ235" s="1"/>
      <c r="AK235" s="10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35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0"/>
      <c r="AG236" s="1"/>
      <c r="AH236" s="1"/>
      <c r="AI236" s="1"/>
      <c r="AJ236" s="1"/>
      <c r="AK236" s="10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35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0"/>
      <c r="AG237" s="1"/>
      <c r="AH237" s="1"/>
      <c r="AI237" s="1"/>
      <c r="AJ237" s="1"/>
      <c r="AK237" s="10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35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0"/>
      <c r="AG238" s="1"/>
      <c r="AH238" s="1"/>
      <c r="AI238" s="1"/>
      <c r="AJ238" s="1"/>
      <c r="AK238" s="10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35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0"/>
      <c r="AG239" s="1"/>
      <c r="AH239" s="1"/>
      <c r="AI239" s="1"/>
      <c r="AJ239" s="1"/>
      <c r="AK239" s="10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35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0"/>
      <c r="AG240" s="1"/>
      <c r="AH240" s="1"/>
      <c r="AI240" s="1"/>
      <c r="AJ240" s="1"/>
      <c r="AK240" s="10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35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0"/>
      <c r="AG241" s="1"/>
      <c r="AH241" s="1"/>
      <c r="AI241" s="1"/>
      <c r="AJ241" s="1"/>
      <c r="AK241" s="10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35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0"/>
      <c r="AG242" s="1"/>
      <c r="AH242" s="1"/>
      <c r="AI242" s="1"/>
      <c r="AJ242" s="1"/>
      <c r="AK242" s="10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35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0"/>
      <c r="AG243" s="1"/>
      <c r="AH243" s="1"/>
      <c r="AI243" s="1"/>
      <c r="AJ243" s="1"/>
      <c r="AK243" s="10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35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0"/>
      <c r="AG244" s="1"/>
      <c r="AH244" s="1"/>
      <c r="AI244" s="1"/>
      <c r="AJ244" s="1"/>
      <c r="AK244" s="10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35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0"/>
      <c r="AG245" s="1"/>
      <c r="AH245" s="1"/>
      <c r="AI245" s="1"/>
      <c r="AJ245" s="1"/>
      <c r="AK245" s="10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35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0"/>
      <c r="AG246" s="1"/>
      <c r="AH246" s="1"/>
      <c r="AI246" s="1"/>
      <c r="AJ246" s="1"/>
      <c r="AK246" s="10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35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0"/>
      <c r="AG247" s="1"/>
      <c r="AH247" s="1"/>
      <c r="AI247" s="1"/>
      <c r="AJ247" s="1"/>
      <c r="AK247" s="10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35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0"/>
      <c r="AG248" s="1"/>
      <c r="AH248" s="1"/>
      <c r="AI248" s="1"/>
      <c r="AJ248" s="1"/>
      <c r="AK248" s="10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35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0"/>
      <c r="AG249" s="1"/>
      <c r="AH249" s="1"/>
      <c r="AI249" s="1"/>
      <c r="AJ249" s="1"/>
      <c r="AK249" s="10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35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0"/>
      <c r="AG250" s="1"/>
      <c r="AH250" s="1"/>
      <c r="AI250" s="1"/>
      <c r="AJ250" s="1"/>
      <c r="AK250" s="10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35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0"/>
      <c r="AG251" s="1"/>
      <c r="AH251" s="1"/>
      <c r="AI251" s="1"/>
      <c r="AJ251" s="1"/>
      <c r="AK251" s="10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35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0"/>
      <c r="AG252" s="1"/>
      <c r="AH252" s="1"/>
      <c r="AI252" s="1"/>
      <c r="AJ252" s="1"/>
      <c r="AK252" s="10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35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0"/>
      <c r="AG253" s="1"/>
      <c r="AH253" s="1"/>
      <c r="AI253" s="1"/>
      <c r="AJ253" s="1"/>
      <c r="AK253" s="10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35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0"/>
      <c r="AG254" s="1"/>
      <c r="AH254" s="1"/>
      <c r="AI254" s="1"/>
      <c r="AJ254" s="1"/>
      <c r="AK254" s="10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35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0"/>
      <c r="AG255" s="1"/>
      <c r="AH255" s="1"/>
      <c r="AI255" s="1"/>
      <c r="AJ255" s="1"/>
      <c r="AK255" s="10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35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0"/>
      <c r="AG256" s="1"/>
      <c r="AH256" s="1"/>
      <c r="AI256" s="1"/>
      <c r="AJ256" s="1"/>
      <c r="AK256" s="10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35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0"/>
      <c r="AG257" s="1"/>
      <c r="AH257" s="1"/>
      <c r="AI257" s="1"/>
      <c r="AJ257" s="1"/>
      <c r="AK257" s="10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35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0"/>
      <c r="AG258" s="1"/>
      <c r="AH258" s="1"/>
      <c r="AI258" s="1"/>
      <c r="AJ258" s="1"/>
      <c r="AK258" s="10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35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0"/>
      <c r="AG259" s="1"/>
      <c r="AH259" s="1"/>
      <c r="AI259" s="1"/>
      <c r="AJ259" s="1"/>
      <c r="AK259" s="10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35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0"/>
      <c r="AG260" s="1"/>
      <c r="AH260" s="1"/>
      <c r="AI260" s="1"/>
      <c r="AJ260" s="1"/>
      <c r="AK260" s="10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35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0"/>
      <c r="AG261" s="1"/>
      <c r="AH261" s="1"/>
      <c r="AI261" s="1"/>
      <c r="AJ261" s="1"/>
      <c r="AK261" s="10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35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0"/>
      <c r="AG262" s="1"/>
      <c r="AH262" s="1"/>
      <c r="AI262" s="1"/>
      <c r="AJ262" s="1"/>
      <c r="AK262" s="10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35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0"/>
      <c r="AG263" s="1"/>
      <c r="AH263" s="1"/>
      <c r="AI263" s="1"/>
      <c r="AJ263" s="1"/>
      <c r="AK263" s="10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35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0"/>
      <c r="AG264" s="1"/>
      <c r="AH264" s="1"/>
      <c r="AI264" s="1"/>
      <c r="AJ264" s="1"/>
      <c r="AK264" s="10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35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0"/>
      <c r="AG265" s="1"/>
      <c r="AH265" s="1"/>
      <c r="AI265" s="1"/>
      <c r="AJ265" s="1"/>
      <c r="AK265" s="10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35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0"/>
      <c r="AG266" s="1"/>
      <c r="AH266" s="1"/>
      <c r="AI266" s="1"/>
      <c r="AJ266" s="1"/>
      <c r="AK266" s="10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35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0"/>
      <c r="AG267" s="1"/>
      <c r="AH267" s="1"/>
      <c r="AI267" s="1"/>
      <c r="AJ267" s="1"/>
      <c r="AK267" s="10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35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0"/>
      <c r="AG268" s="1"/>
      <c r="AH268" s="1"/>
      <c r="AI268" s="1"/>
      <c r="AJ268" s="1"/>
      <c r="AK268" s="10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35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0"/>
      <c r="AG269" s="1"/>
      <c r="AH269" s="1"/>
      <c r="AI269" s="1"/>
      <c r="AJ269" s="1"/>
      <c r="AK269" s="10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35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0"/>
      <c r="AG270" s="1"/>
      <c r="AH270" s="1"/>
      <c r="AI270" s="1"/>
      <c r="AJ270" s="1"/>
      <c r="AK270" s="10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35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0"/>
      <c r="AG271" s="1"/>
      <c r="AH271" s="1"/>
      <c r="AI271" s="1"/>
      <c r="AJ271" s="1"/>
      <c r="AK271" s="10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35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0"/>
      <c r="AG272" s="1"/>
      <c r="AH272" s="1"/>
      <c r="AI272" s="1"/>
      <c r="AJ272" s="1"/>
      <c r="AK272" s="10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35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0"/>
      <c r="AG273" s="1"/>
      <c r="AH273" s="1"/>
      <c r="AI273" s="1"/>
      <c r="AJ273" s="1"/>
      <c r="AK273" s="10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35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0"/>
      <c r="AG274" s="1"/>
      <c r="AH274" s="1"/>
      <c r="AI274" s="1"/>
      <c r="AJ274" s="1"/>
      <c r="AK274" s="10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35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0"/>
      <c r="AG275" s="1"/>
      <c r="AH275" s="1"/>
      <c r="AI275" s="1"/>
      <c r="AJ275" s="1"/>
      <c r="AK275" s="10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35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0"/>
      <c r="AG276" s="1"/>
      <c r="AH276" s="1"/>
      <c r="AI276" s="1"/>
      <c r="AJ276" s="1"/>
      <c r="AK276" s="10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35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0"/>
      <c r="AG277" s="1"/>
      <c r="AH277" s="1"/>
      <c r="AI277" s="1"/>
      <c r="AJ277" s="1"/>
      <c r="AK277" s="10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35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0"/>
      <c r="AG278" s="1"/>
      <c r="AH278" s="1"/>
      <c r="AI278" s="1"/>
      <c r="AJ278" s="1"/>
      <c r="AK278" s="10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35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0"/>
      <c r="AG279" s="1"/>
      <c r="AH279" s="1"/>
      <c r="AI279" s="1"/>
      <c r="AJ279" s="1"/>
      <c r="AK279" s="10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35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0"/>
      <c r="AG280" s="1"/>
      <c r="AH280" s="1"/>
      <c r="AI280" s="1"/>
      <c r="AJ280" s="1"/>
      <c r="AK280" s="10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35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0"/>
      <c r="AG281" s="1"/>
      <c r="AH281" s="1"/>
      <c r="AI281" s="1"/>
      <c r="AJ281" s="1"/>
      <c r="AK281" s="10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35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0"/>
      <c r="AG282" s="1"/>
      <c r="AH282" s="1"/>
      <c r="AI282" s="1"/>
      <c r="AJ282" s="1"/>
      <c r="AK282" s="10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35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0"/>
      <c r="AG283" s="1"/>
      <c r="AH283" s="1"/>
      <c r="AI283" s="1"/>
      <c r="AJ283" s="1"/>
      <c r="AK283" s="10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35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0"/>
      <c r="AG284" s="1"/>
      <c r="AH284" s="1"/>
      <c r="AI284" s="1"/>
      <c r="AJ284" s="1"/>
      <c r="AK284" s="10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35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0"/>
      <c r="AG285" s="1"/>
      <c r="AH285" s="1"/>
      <c r="AI285" s="1"/>
      <c r="AJ285" s="1"/>
      <c r="AK285" s="10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35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0"/>
      <c r="AG286" s="1"/>
      <c r="AH286" s="1"/>
      <c r="AI286" s="1"/>
      <c r="AJ286" s="1"/>
      <c r="AK286" s="10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35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0"/>
      <c r="AG287" s="1"/>
      <c r="AH287" s="1"/>
      <c r="AI287" s="1"/>
      <c r="AJ287" s="1"/>
      <c r="AK287" s="10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35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0"/>
      <c r="AG288" s="1"/>
      <c r="AH288" s="1"/>
      <c r="AI288" s="1"/>
      <c r="AJ288" s="1"/>
      <c r="AK288" s="10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35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0"/>
      <c r="AG289" s="1"/>
      <c r="AH289" s="1"/>
      <c r="AI289" s="1"/>
      <c r="AJ289" s="1"/>
      <c r="AK289" s="10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35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0"/>
      <c r="AG290" s="1"/>
      <c r="AH290" s="1"/>
      <c r="AI290" s="1"/>
      <c r="AJ290" s="1"/>
      <c r="AK290" s="10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35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0"/>
      <c r="AG291" s="1"/>
      <c r="AH291" s="1"/>
      <c r="AI291" s="1"/>
      <c r="AJ291" s="1"/>
      <c r="AK291" s="10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35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0"/>
      <c r="AG292" s="1"/>
      <c r="AH292" s="1"/>
      <c r="AI292" s="1"/>
      <c r="AJ292" s="1"/>
      <c r="AK292" s="10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35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0"/>
      <c r="AG293" s="1"/>
      <c r="AH293" s="1"/>
      <c r="AI293" s="1"/>
      <c r="AJ293" s="1"/>
      <c r="AK293" s="10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35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0"/>
      <c r="AG294" s="1"/>
      <c r="AH294" s="1"/>
      <c r="AI294" s="1"/>
      <c r="AJ294" s="1"/>
      <c r="AK294" s="10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35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0"/>
      <c r="AG295" s="1"/>
      <c r="AH295" s="1"/>
      <c r="AI295" s="1"/>
      <c r="AJ295" s="1"/>
      <c r="AK295" s="10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35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0"/>
      <c r="AG296" s="1"/>
      <c r="AH296" s="1"/>
      <c r="AI296" s="1"/>
      <c r="AJ296" s="1"/>
      <c r="AK296" s="10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35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0"/>
      <c r="AG297" s="1"/>
      <c r="AH297" s="1"/>
      <c r="AI297" s="1"/>
      <c r="AJ297" s="1"/>
      <c r="AK297" s="10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35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0"/>
      <c r="AG298" s="1"/>
      <c r="AH298" s="1"/>
      <c r="AI298" s="1"/>
      <c r="AJ298" s="1"/>
      <c r="AK298" s="10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35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0"/>
      <c r="AG299" s="1"/>
      <c r="AH299" s="1"/>
      <c r="AI299" s="1"/>
      <c r="AJ299" s="1"/>
      <c r="AK299" s="10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35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0"/>
      <c r="AG300" s="1"/>
      <c r="AH300" s="1"/>
      <c r="AI300" s="1"/>
      <c r="AJ300" s="1"/>
      <c r="AK300" s="10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35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0"/>
      <c r="AG301" s="1"/>
      <c r="AH301" s="1"/>
      <c r="AI301" s="1"/>
      <c r="AJ301" s="1"/>
      <c r="AK301" s="10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35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0"/>
      <c r="AG302" s="1"/>
      <c r="AH302" s="1"/>
      <c r="AI302" s="1"/>
      <c r="AJ302" s="1"/>
      <c r="AK302" s="10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35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0"/>
      <c r="AG303" s="1"/>
      <c r="AH303" s="1"/>
      <c r="AI303" s="1"/>
      <c r="AJ303" s="1"/>
      <c r="AK303" s="10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35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0"/>
      <c r="AG304" s="1"/>
      <c r="AH304" s="1"/>
      <c r="AI304" s="1"/>
      <c r="AJ304" s="1"/>
      <c r="AK304" s="10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35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0"/>
      <c r="AG305" s="1"/>
      <c r="AH305" s="1"/>
      <c r="AI305" s="1"/>
      <c r="AJ305" s="1"/>
      <c r="AK305" s="10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35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0"/>
      <c r="AG306" s="1"/>
      <c r="AH306" s="1"/>
      <c r="AI306" s="1"/>
      <c r="AJ306" s="1"/>
      <c r="AK306" s="10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35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0"/>
      <c r="AG307" s="1"/>
      <c r="AH307" s="1"/>
      <c r="AI307" s="1"/>
      <c r="AJ307" s="1"/>
      <c r="AK307" s="10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35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0"/>
      <c r="AG308" s="1"/>
      <c r="AH308" s="1"/>
      <c r="AI308" s="1"/>
      <c r="AJ308" s="1"/>
      <c r="AK308" s="10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35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0"/>
      <c r="AG309" s="1"/>
      <c r="AH309" s="1"/>
      <c r="AI309" s="1"/>
      <c r="AJ309" s="1"/>
      <c r="AK309" s="10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35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0"/>
      <c r="AG310" s="1"/>
      <c r="AH310" s="1"/>
      <c r="AI310" s="1"/>
      <c r="AJ310" s="1"/>
      <c r="AK310" s="10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35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0"/>
      <c r="AG311" s="1"/>
      <c r="AH311" s="1"/>
      <c r="AI311" s="1"/>
      <c r="AJ311" s="1"/>
      <c r="AK311" s="10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35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0"/>
      <c r="AG312" s="1"/>
      <c r="AH312" s="1"/>
      <c r="AI312" s="1"/>
      <c r="AJ312" s="1"/>
      <c r="AK312" s="10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35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0"/>
      <c r="AG313" s="1"/>
      <c r="AH313" s="1"/>
      <c r="AI313" s="1"/>
      <c r="AJ313" s="1"/>
      <c r="AK313" s="10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35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0"/>
      <c r="AG314" s="1"/>
      <c r="AH314" s="1"/>
      <c r="AI314" s="1"/>
      <c r="AJ314" s="1"/>
      <c r="AK314" s="10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35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0"/>
      <c r="AG315" s="1"/>
      <c r="AH315" s="1"/>
      <c r="AI315" s="1"/>
      <c r="AJ315" s="1"/>
      <c r="AK315" s="10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35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0"/>
      <c r="AG316" s="1"/>
      <c r="AH316" s="1"/>
      <c r="AI316" s="1"/>
      <c r="AJ316" s="1"/>
      <c r="AK316" s="10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35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0"/>
      <c r="AG317" s="1"/>
      <c r="AH317" s="1"/>
      <c r="AI317" s="1"/>
      <c r="AJ317" s="1"/>
      <c r="AK317" s="10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35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0"/>
      <c r="AG318" s="1"/>
      <c r="AH318" s="1"/>
      <c r="AI318" s="1"/>
      <c r="AJ318" s="1"/>
      <c r="AK318" s="10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35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0"/>
      <c r="AG319" s="1"/>
      <c r="AH319" s="1"/>
      <c r="AI319" s="1"/>
      <c r="AJ319" s="1"/>
      <c r="AK319" s="10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35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0"/>
      <c r="AG320" s="1"/>
      <c r="AH320" s="1"/>
      <c r="AI320" s="1"/>
      <c r="AJ320" s="1"/>
      <c r="AK320" s="10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35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0"/>
      <c r="AG321" s="1"/>
      <c r="AH321" s="1"/>
      <c r="AI321" s="1"/>
      <c r="AJ321" s="1"/>
      <c r="AK321" s="10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35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0"/>
      <c r="AG322" s="1"/>
      <c r="AH322" s="1"/>
      <c r="AI322" s="1"/>
      <c r="AJ322" s="1"/>
      <c r="AK322" s="10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35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0"/>
      <c r="AG323" s="1"/>
      <c r="AH323" s="1"/>
      <c r="AI323" s="1"/>
      <c r="AJ323" s="1"/>
      <c r="AK323" s="10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35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0"/>
      <c r="AG324" s="1"/>
      <c r="AH324" s="1"/>
      <c r="AI324" s="1"/>
      <c r="AJ324" s="1"/>
      <c r="AK324" s="10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35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0"/>
      <c r="AG325" s="1"/>
      <c r="AH325" s="1"/>
      <c r="AI325" s="1"/>
      <c r="AJ325" s="1"/>
      <c r="AK325" s="10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35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0"/>
      <c r="AG326" s="1"/>
      <c r="AH326" s="1"/>
      <c r="AI326" s="1"/>
      <c r="AJ326" s="1"/>
      <c r="AK326" s="10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35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0"/>
      <c r="AG327" s="1"/>
      <c r="AH327" s="1"/>
      <c r="AI327" s="1"/>
      <c r="AJ327" s="1"/>
      <c r="AK327" s="10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35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0"/>
      <c r="AG328" s="1"/>
      <c r="AH328" s="1"/>
      <c r="AI328" s="1"/>
      <c r="AJ328" s="1"/>
      <c r="AK328" s="10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35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0"/>
      <c r="AG329" s="1"/>
      <c r="AH329" s="1"/>
      <c r="AI329" s="1"/>
      <c r="AJ329" s="1"/>
      <c r="AK329" s="10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35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0"/>
      <c r="AG330" s="1"/>
      <c r="AH330" s="1"/>
      <c r="AI330" s="1"/>
      <c r="AJ330" s="1"/>
      <c r="AK330" s="10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35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0"/>
      <c r="AG331" s="1"/>
      <c r="AH331" s="1"/>
      <c r="AI331" s="1"/>
      <c r="AJ331" s="1"/>
      <c r="AK331" s="10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35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0"/>
      <c r="AG332" s="1"/>
      <c r="AH332" s="1"/>
      <c r="AI332" s="1"/>
      <c r="AJ332" s="1"/>
      <c r="AK332" s="10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35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0"/>
      <c r="AG333" s="1"/>
      <c r="AH333" s="1"/>
      <c r="AI333" s="1"/>
      <c r="AJ333" s="1"/>
      <c r="AK333" s="10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35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0"/>
      <c r="AG334" s="1"/>
      <c r="AH334" s="1"/>
      <c r="AI334" s="1"/>
      <c r="AJ334" s="1"/>
      <c r="AK334" s="10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35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0"/>
      <c r="AG335" s="1"/>
      <c r="AH335" s="1"/>
      <c r="AI335" s="1"/>
      <c r="AJ335" s="1"/>
      <c r="AK335" s="10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35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0"/>
      <c r="AG336" s="1"/>
      <c r="AH336" s="1"/>
      <c r="AI336" s="1"/>
      <c r="AJ336" s="1"/>
      <c r="AK336" s="10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35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0"/>
      <c r="AG337" s="1"/>
      <c r="AH337" s="1"/>
      <c r="AI337" s="1"/>
      <c r="AJ337" s="1"/>
      <c r="AK337" s="10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35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0"/>
      <c r="AG338" s="1"/>
      <c r="AH338" s="1"/>
      <c r="AI338" s="1"/>
      <c r="AJ338" s="1"/>
      <c r="AK338" s="10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35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0"/>
      <c r="AG339" s="1"/>
      <c r="AH339" s="1"/>
      <c r="AI339" s="1"/>
      <c r="AJ339" s="1"/>
      <c r="AK339" s="10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35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0"/>
      <c r="AG340" s="1"/>
      <c r="AH340" s="1"/>
      <c r="AI340" s="1"/>
      <c r="AJ340" s="1"/>
      <c r="AK340" s="10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35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0"/>
      <c r="AG341" s="1"/>
      <c r="AH341" s="1"/>
      <c r="AI341" s="1"/>
      <c r="AJ341" s="1"/>
      <c r="AK341" s="10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35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0"/>
      <c r="AG342" s="1"/>
      <c r="AH342" s="1"/>
      <c r="AI342" s="1"/>
      <c r="AJ342" s="1"/>
      <c r="AK342" s="10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35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0"/>
      <c r="AG343" s="1"/>
      <c r="AH343" s="1"/>
      <c r="AI343" s="1"/>
      <c r="AJ343" s="1"/>
      <c r="AK343" s="10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35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0"/>
      <c r="AG344" s="1"/>
      <c r="AH344" s="1"/>
      <c r="AI344" s="1"/>
      <c r="AJ344" s="1"/>
      <c r="AK344" s="10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35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0"/>
      <c r="AG345" s="1"/>
      <c r="AH345" s="1"/>
      <c r="AI345" s="1"/>
      <c r="AJ345" s="1"/>
      <c r="AK345" s="10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35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0"/>
      <c r="AG346" s="1"/>
      <c r="AH346" s="1"/>
      <c r="AI346" s="1"/>
      <c r="AJ346" s="1"/>
      <c r="AK346" s="10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35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0"/>
      <c r="AG347" s="1"/>
      <c r="AH347" s="1"/>
      <c r="AI347" s="1"/>
      <c r="AJ347" s="1"/>
      <c r="AK347" s="10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35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0"/>
      <c r="AG348" s="1"/>
      <c r="AH348" s="1"/>
      <c r="AI348" s="1"/>
      <c r="AJ348" s="1"/>
      <c r="AK348" s="10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35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0"/>
      <c r="AG349" s="1"/>
      <c r="AH349" s="1"/>
      <c r="AI349" s="1"/>
      <c r="AJ349" s="1"/>
      <c r="AK349" s="10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35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0"/>
      <c r="AG350" s="1"/>
      <c r="AH350" s="1"/>
      <c r="AI350" s="1"/>
      <c r="AJ350" s="1"/>
      <c r="AK350" s="10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35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0"/>
      <c r="AG351" s="1"/>
      <c r="AH351" s="1"/>
      <c r="AI351" s="1"/>
      <c r="AJ351" s="1"/>
      <c r="AK351" s="10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35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0"/>
      <c r="AG352" s="1"/>
      <c r="AH352" s="1"/>
      <c r="AI352" s="1"/>
      <c r="AJ352" s="1"/>
      <c r="AK352" s="10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35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0"/>
      <c r="AG353" s="1"/>
      <c r="AH353" s="1"/>
      <c r="AI353" s="1"/>
      <c r="AJ353" s="1"/>
      <c r="AK353" s="10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35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0"/>
      <c r="AG354" s="1"/>
      <c r="AH354" s="1"/>
      <c r="AI354" s="1"/>
      <c r="AJ354" s="1"/>
      <c r="AK354" s="10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35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0"/>
      <c r="AG355" s="1"/>
      <c r="AH355" s="1"/>
      <c r="AI355" s="1"/>
      <c r="AJ355" s="1"/>
      <c r="AK355" s="10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35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0"/>
      <c r="AG356" s="1"/>
      <c r="AH356" s="1"/>
      <c r="AI356" s="1"/>
      <c r="AJ356" s="1"/>
      <c r="AK356" s="10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35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0"/>
      <c r="AG357" s="1"/>
      <c r="AH357" s="1"/>
      <c r="AI357" s="1"/>
      <c r="AJ357" s="1"/>
      <c r="AK357" s="10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35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0"/>
      <c r="AG358" s="1"/>
      <c r="AH358" s="1"/>
      <c r="AI358" s="1"/>
      <c r="AJ358" s="1"/>
      <c r="AK358" s="10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35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0"/>
      <c r="AG359" s="1"/>
      <c r="AH359" s="1"/>
      <c r="AI359" s="1"/>
      <c r="AJ359" s="1"/>
      <c r="AK359" s="10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35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0"/>
      <c r="AG360" s="1"/>
      <c r="AH360" s="1"/>
      <c r="AI360" s="1"/>
      <c r="AJ360" s="1"/>
      <c r="AK360" s="10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35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0"/>
      <c r="AG361" s="1"/>
      <c r="AH361" s="1"/>
      <c r="AI361" s="1"/>
      <c r="AJ361" s="1"/>
      <c r="AK361" s="10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35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0"/>
      <c r="AG362" s="1"/>
      <c r="AH362" s="1"/>
      <c r="AI362" s="1"/>
      <c r="AJ362" s="1"/>
      <c r="AK362" s="10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35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0"/>
      <c r="AG363" s="1"/>
      <c r="AH363" s="1"/>
      <c r="AI363" s="1"/>
      <c r="AJ363" s="1"/>
      <c r="AK363" s="10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35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0"/>
      <c r="AG364" s="1"/>
      <c r="AH364" s="1"/>
      <c r="AI364" s="1"/>
      <c r="AJ364" s="1"/>
      <c r="AK364" s="10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35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0"/>
      <c r="AG365" s="1"/>
      <c r="AH365" s="1"/>
      <c r="AI365" s="1"/>
      <c r="AJ365" s="1"/>
      <c r="AK365" s="10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35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0"/>
      <c r="AG366" s="1"/>
      <c r="AH366" s="1"/>
      <c r="AI366" s="1"/>
      <c r="AJ366" s="1"/>
      <c r="AK366" s="10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35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0"/>
      <c r="AG367" s="1"/>
      <c r="AH367" s="1"/>
      <c r="AI367" s="1"/>
      <c r="AJ367" s="1"/>
      <c r="AK367" s="10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35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0"/>
      <c r="AG368" s="1"/>
      <c r="AH368" s="1"/>
      <c r="AI368" s="1"/>
      <c r="AJ368" s="1"/>
      <c r="AK368" s="10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35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0"/>
      <c r="AG369" s="1"/>
      <c r="AH369" s="1"/>
      <c r="AI369" s="1"/>
      <c r="AJ369" s="1"/>
      <c r="AK369" s="10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35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0"/>
      <c r="AG370" s="1"/>
      <c r="AH370" s="1"/>
      <c r="AI370" s="1"/>
      <c r="AJ370" s="1"/>
      <c r="AK370" s="10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35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0"/>
      <c r="AG371" s="1"/>
      <c r="AH371" s="1"/>
      <c r="AI371" s="1"/>
      <c r="AJ371" s="1"/>
      <c r="AK371" s="10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35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0"/>
      <c r="AG372" s="1"/>
      <c r="AH372" s="1"/>
      <c r="AI372" s="1"/>
      <c r="AJ372" s="1"/>
      <c r="AK372" s="10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35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0"/>
      <c r="AG373" s="1"/>
      <c r="AH373" s="1"/>
      <c r="AI373" s="1"/>
      <c r="AJ373" s="1"/>
      <c r="AK373" s="10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35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0"/>
      <c r="AG374" s="1"/>
      <c r="AH374" s="1"/>
      <c r="AI374" s="1"/>
      <c r="AJ374" s="1"/>
      <c r="AK374" s="10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35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0"/>
      <c r="AG375" s="1"/>
      <c r="AH375" s="1"/>
      <c r="AI375" s="1"/>
      <c r="AJ375" s="1"/>
      <c r="AK375" s="10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35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0"/>
      <c r="AG376" s="1"/>
      <c r="AH376" s="1"/>
      <c r="AI376" s="1"/>
      <c r="AJ376" s="1"/>
      <c r="AK376" s="10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35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0"/>
      <c r="AG377" s="1"/>
      <c r="AH377" s="1"/>
      <c r="AI377" s="1"/>
      <c r="AJ377" s="1"/>
      <c r="AK377" s="10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35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0"/>
      <c r="AG378" s="1"/>
      <c r="AH378" s="1"/>
      <c r="AI378" s="1"/>
      <c r="AJ378" s="1"/>
      <c r="AK378" s="10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35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0"/>
      <c r="AG379" s="1"/>
      <c r="AH379" s="1"/>
      <c r="AI379" s="1"/>
      <c r="AJ379" s="1"/>
      <c r="AK379" s="10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35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0"/>
      <c r="AG380" s="1"/>
      <c r="AH380" s="1"/>
      <c r="AI380" s="1"/>
      <c r="AJ380" s="1"/>
      <c r="AK380" s="10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35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0"/>
      <c r="AG381" s="1"/>
      <c r="AH381" s="1"/>
      <c r="AI381" s="1"/>
      <c r="AJ381" s="1"/>
      <c r="AK381" s="10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35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0"/>
      <c r="AG382" s="1"/>
      <c r="AH382" s="1"/>
      <c r="AI382" s="1"/>
      <c r="AJ382" s="1"/>
      <c r="AK382" s="10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35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0"/>
      <c r="AG383" s="1"/>
      <c r="AH383" s="1"/>
      <c r="AI383" s="1"/>
      <c r="AJ383" s="1"/>
      <c r="AK383" s="10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35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0"/>
      <c r="AG384" s="1"/>
      <c r="AH384" s="1"/>
      <c r="AI384" s="1"/>
      <c r="AJ384" s="1"/>
      <c r="AK384" s="10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35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0"/>
      <c r="AG385" s="1"/>
      <c r="AH385" s="1"/>
      <c r="AI385" s="1"/>
      <c r="AJ385" s="1"/>
      <c r="AK385" s="10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35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0"/>
      <c r="AG386" s="1"/>
      <c r="AH386" s="1"/>
      <c r="AI386" s="1"/>
      <c r="AJ386" s="1"/>
      <c r="AK386" s="10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35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0"/>
      <c r="AG387" s="1"/>
      <c r="AH387" s="1"/>
      <c r="AI387" s="1"/>
      <c r="AJ387" s="1"/>
      <c r="AK387" s="10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35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0"/>
      <c r="AG388" s="1"/>
      <c r="AH388" s="1"/>
      <c r="AI388" s="1"/>
      <c r="AJ388" s="1"/>
      <c r="AK388" s="10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35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0"/>
      <c r="AG389" s="1"/>
      <c r="AH389" s="1"/>
      <c r="AI389" s="1"/>
      <c r="AJ389" s="1"/>
      <c r="AK389" s="10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35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0"/>
      <c r="AG390" s="1"/>
      <c r="AH390" s="1"/>
      <c r="AI390" s="1"/>
      <c r="AJ390" s="1"/>
      <c r="AK390" s="10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35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0"/>
      <c r="AG391" s="1"/>
      <c r="AH391" s="1"/>
      <c r="AI391" s="1"/>
      <c r="AJ391" s="1"/>
      <c r="AK391" s="10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35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0"/>
      <c r="AG392" s="1"/>
      <c r="AH392" s="1"/>
      <c r="AI392" s="1"/>
      <c r="AJ392" s="1"/>
      <c r="AK392" s="10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35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0"/>
      <c r="AG393" s="1"/>
      <c r="AH393" s="1"/>
      <c r="AI393" s="1"/>
      <c r="AJ393" s="1"/>
      <c r="AK393" s="10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35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0"/>
      <c r="AG394" s="1"/>
      <c r="AH394" s="1"/>
      <c r="AI394" s="1"/>
      <c r="AJ394" s="1"/>
      <c r="AK394" s="10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35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0"/>
      <c r="AG395" s="1"/>
      <c r="AH395" s="1"/>
      <c r="AI395" s="1"/>
      <c r="AJ395" s="1"/>
      <c r="AK395" s="10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35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0"/>
      <c r="AG396" s="1"/>
      <c r="AH396" s="1"/>
      <c r="AI396" s="1"/>
      <c r="AJ396" s="1"/>
      <c r="AK396" s="10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35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0"/>
      <c r="AG397" s="1"/>
      <c r="AH397" s="1"/>
      <c r="AI397" s="1"/>
      <c r="AJ397" s="1"/>
      <c r="AK397" s="10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35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0"/>
      <c r="AG398" s="1"/>
      <c r="AH398" s="1"/>
      <c r="AI398" s="1"/>
      <c r="AJ398" s="1"/>
      <c r="AK398" s="10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35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0"/>
      <c r="AG399" s="1"/>
      <c r="AH399" s="1"/>
      <c r="AI399" s="1"/>
      <c r="AJ399" s="1"/>
      <c r="AK399" s="10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35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0"/>
      <c r="AG400" s="1"/>
      <c r="AH400" s="1"/>
      <c r="AI400" s="1"/>
      <c r="AJ400" s="1"/>
      <c r="AK400" s="10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35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0"/>
      <c r="AG401" s="1"/>
      <c r="AH401" s="1"/>
      <c r="AI401" s="1"/>
      <c r="AJ401" s="1"/>
      <c r="AK401" s="10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35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0"/>
      <c r="AG402" s="1"/>
      <c r="AH402" s="1"/>
      <c r="AI402" s="1"/>
      <c r="AJ402" s="1"/>
      <c r="AK402" s="10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35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0"/>
      <c r="AG403" s="1"/>
      <c r="AH403" s="1"/>
      <c r="AI403" s="1"/>
      <c r="AJ403" s="1"/>
      <c r="AK403" s="10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35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0"/>
      <c r="AG404" s="1"/>
      <c r="AH404" s="1"/>
      <c r="AI404" s="1"/>
      <c r="AJ404" s="1"/>
      <c r="AK404" s="10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35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0"/>
      <c r="AG405" s="1"/>
      <c r="AH405" s="1"/>
      <c r="AI405" s="1"/>
      <c r="AJ405" s="1"/>
      <c r="AK405" s="10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35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0"/>
      <c r="AG406" s="1"/>
      <c r="AH406" s="1"/>
      <c r="AI406" s="1"/>
      <c r="AJ406" s="1"/>
      <c r="AK406" s="10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35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0"/>
      <c r="AG407" s="1"/>
      <c r="AH407" s="1"/>
      <c r="AI407" s="1"/>
      <c r="AJ407" s="1"/>
      <c r="AK407" s="10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35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0"/>
      <c r="AG408" s="1"/>
      <c r="AH408" s="1"/>
      <c r="AI408" s="1"/>
      <c r="AJ408" s="1"/>
      <c r="AK408" s="10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35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0"/>
      <c r="AG409" s="1"/>
      <c r="AH409" s="1"/>
      <c r="AI409" s="1"/>
      <c r="AJ409" s="1"/>
      <c r="AK409" s="10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35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0"/>
      <c r="AG410" s="1"/>
      <c r="AH410" s="1"/>
      <c r="AI410" s="1"/>
      <c r="AJ410" s="1"/>
      <c r="AK410" s="10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35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0"/>
      <c r="AG411" s="1"/>
      <c r="AH411" s="1"/>
      <c r="AI411" s="1"/>
      <c r="AJ411" s="1"/>
      <c r="AK411" s="10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35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0"/>
      <c r="AG412" s="1"/>
      <c r="AH412" s="1"/>
      <c r="AI412" s="1"/>
      <c r="AJ412" s="1"/>
      <c r="AK412" s="10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35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0"/>
      <c r="AG413" s="1"/>
      <c r="AH413" s="1"/>
      <c r="AI413" s="1"/>
      <c r="AJ413" s="1"/>
      <c r="AK413" s="10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35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0"/>
      <c r="AG414" s="1"/>
      <c r="AH414" s="1"/>
      <c r="AI414" s="1"/>
      <c r="AJ414" s="1"/>
      <c r="AK414" s="10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35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0"/>
      <c r="AG415" s="1"/>
      <c r="AH415" s="1"/>
      <c r="AI415" s="1"/>
      <c r="AJ415" s="1"/>
      <c r="AK415" s="10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35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0"/>
      <c r="AG416" s="1"/>
      <c r="AH416" s="1"/>
      <c r="AI416" s="1"/>
      <c r="AJ416" s="1"/>
      <c r="AK416" s="10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35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0"/>
      <c r="AG417" s="1"/>
      <c r="AH417" s="1"/>
      <c r="AI417" s="1"/>
      <c r="AJ417" s="1"/>
      <c r="AK417" s="10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35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0"/>
      <c r="AG418" s="1"/>
      <c r="AH418" s="1"/>
      <c r="AI418" s="1"/>
      <c r="AJ418" s="1"/>
      <c r="AK418" s="10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35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0"/>
      <c r="AG419" s="1"/>
      <c r="AH419" s="1"/>
      <c r="AI419" s="1"/>
      <c r="AJ419" s="1"/>
      <c r="AK419" s="10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35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0"/>
      <c r="AG420" s="1"/>
      <c r="AH420" s="1"/>
      <c r="AI420" s="1"/>
      <c r="AJ420" s="1"/>
      <c r="AK420" s="10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35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0"/>
      <c r="AG421" s="1"/>
      <c r="AH421" s="1"/>
      <c r="AI421" s="1"/>
      <c r="AJ421" s="1"/>
      <c r="AK421" s="10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35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0"/>
      <c r="AG422" s="1"/>
      <c r="AH422" s="1"/>
      <c r="AI422" s="1"/>
      <c r="AJ422" s="1"/>
      <c r="AK422" s="10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35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0"/>
      <c r="AG423" s="1"/>
      <c r="AH423" s="1"/>
      <c r="AI423" s="1"/>
      <c r="AJ423" s="1"/>
      <c r="AK423" s="10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35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0"/>
      <c r="AG424" s="1"/>
      <c r="AH424" s="1"/>
      <c r="AI424" s="1"/>
      <c r="AJ424" s="1"/>
      <c r="AK424" s="10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35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0"/>
      <c r="AG425" s="1"/>
      <c r="AH425" s="1"/>
      <c r="AI425" s="1"/>
      <c r="AJ425" s="1"/>
      <c r="AK425" s="10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35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0"/>
      <c r="AG426" s="1"/>
      <c r="AH426" s="1"/>
      <c r="AI426" s="1"/>
      <c r="AJ426" s="1"/>
      <c r="AK426" s="10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35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0"/>
      <c r="AG427" s="1"/>
      <c r="AH427" s="1"/>
      <c r="AI427" s="1"/>
      <c r="AJ427" s="1"/>
      <c r="AK427" s="10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35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0"/>
      <c r="AG428" s="1"/>
      <c r="AH428" s="1"/>
      <c r="AI428" s="1"/>
      <c r="AJ428" s="1"/>
      <c r="AK428" s="10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35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0"/>
      <c r="AG429" s="1"/>
      <c r="AH429" s="1"/>
      <c r="AI429" s="1"/>
      <c r="AJ429" s="1"/>
      <c r="AK429" s="10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35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0"/>
      <c r="AG430" s="1"/>
      <c r="AH430" s="1"/>
      <c r="AI430" s="1"/>
      <c r="AJ430" s="1"/>
      <c r="AK430" s="10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35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0"/>
      <c r="AG431" s="1"/>
      <c r="AH431" s="1"/>
      <c r="AI431" s="1"/>
      <c r="AJ431" s="1"/>
      <c r="AK431" s="10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35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0"/>
      <c r="AG432" s="1"/>
      <c r="AH432" s="1"/>
      <c r="AI432" s="1"/>
      <c r="AJ432" s="1"/>
      <c r="AK432" s="10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35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0"/>
      <c r="AG433" s="1"/>
      <c r="AH433" s="1"/>
      <c r="AI433" s="1"/>
      <c r="AJ433" s="1"/>
      <c r="AK433" s="10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35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0"/>
      <c r="AG434" s="1"/>
      <c r="AH434" s="1"/>
      <c r="AI434" s="1"/>
      <c r="AJ434" s="1"/>
      <c r="AK434" s="10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35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0"/>
      <c r="AG435" s="1"/>
      <c r="AH435" s="1"/>
      <c r="AI435" s="1"/>
      <c r="AJ435" s="1"/>
      <c r="AK435" s="10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35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0"/>
      <c r="AG436" s="1"/>
      <c r="AH436" s="1"/>
      <c r="AI436" s="1"/>
      <c r="AJ436" s="1"/>
      <c r="AK436" s="10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35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0"/>
      <c r="AG437" s="1"/>
      <c r="AH437" s="1"/>
      <c r="AI437" s="1"/>
      <c r="AJ437" s="1"/>
      <c r="AK437" s="10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35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0"/>
      <c r="AG438" s="1"/>
      <c r="AH438" s="1"/>
      <c r="AI438" s="1"/>
      <c r="AJ438" s="1"/>
      <c r="AK438" s="10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35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0"/>
      <c r="AG439" s="1"/>
      <c r="AH439" s="1"/>
      <c r="AI439" s="1"/>
      <c r="AJ439" s="1"/>
      <c r="AK439" s="10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35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0"/>
      <c r="AG440" s="1"/>
      <c r="AH440" s="1"/>
      <c r="AI440" s="1"/>
      <c r="AJ440" s="1"/>
      <c r="AK440" s="10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35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0"/>
      <c r="AG441" s="1"/>
      <c r="AH441" s="1"/>
      <c r="AI441" s="1"/>
      <c r="AJ441" s="1"/>
      <c r="AK441" s="10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35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0"/>
      <c r="AG442" s="1"/>
      <c r="AH442" s="1"/>
      <c r="AI442" s="1"/>
      <c r="AJ442" s="1"/>
      <c r="AK442" s="10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35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0"/>
      <c r="AG443" s="1"/>
      <c r="AH443" s="1"/>
      <c r="AI443" s="1"/>
      <c r="AJ443" s="1"/>
      <c r="AK443" s="10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35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0"/>
      <c r="AG444" s="1"/>
      <c r="AH444" s="1"/>
      <c r="AI444" s="1"/>
      <c r="AJ444" s="1"/>
      <c r="AK444" s="10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35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0"/>
      <c r="AG445" s="1"/>
      <c r="AH445" s="1"/>
      <c r="AI445" s="1"/>
      <c r="AJ445" s="1"/>
      <c r="AK445" s="10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35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0"/>
      <c r="AG446" s="1"/>
      <c r="AH446" s="1"/>
      <c r="AI446" s="1"/>
      <c r="AJ446" s="1"/>
      <c r="AK446" s="10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35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0"/>
      <c r="AG447" s="1"/>
      <c r="AH447" s="1"/>
      <c r="AI447" s="1"/>
      <c r="AJ447" s="1"/>
      <c r="AK447" s="10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35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0"/>
      <c r="AG448" s="1"/>
      <c r="AH448" s="1"/>
      <c r="AI448" s="1"/>
      <c r="AJ448" s="1"/>
      <c r="AK448" s="10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35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0"/>
      <c r="AG449" s="1"/>
      <c r="AH449" s="1"/>
      <c r="AI449" s="1"/>
      <c r="AJ449" s="1"/>
      <c r="AK449" s="10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35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0"/>
      <c r="AG450" s="1"/>
      <c r="AH450" s="1"/>
      <c r="AI450" s="1"/>
      <c r="AJ450" s="1"/>
      <c r="AK450" s="10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35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0"/>
      <c r="AG451" s="1"/>
      <c r="AH451" s="1"/>
      <c r="AI451" s="1"/>
      <c r="AJ451" s="1"/>
      <c r="AK451" s="10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35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0"/>
      <c r="AG452" s="1"/>
      <c r="AH452" s="1"/>
      <c r="AI452" s="1"/>
      <c r="AJ452" s="1"/>
      <c r="AK452" s="10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35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0"/>
      <c r="AG453" s="1"/>
      <c r="AH453" s="1"/>
      <c r="AI453" s="1"/>
      <c r="AJ453" s="1"/>
      <c r="AK453" s="10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35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0"/>
      <c r="AG454" s="1"/>
      <c r="AH454" s="1"/>
      <c r="AI454" s="1"/>
      <c r="AJ454" s="1"/>
      <c r="AK454" s="10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35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0"/>
      <c r="AG455" s="1"/>
      <c r="AH455" s="1"/>
      <c r="AI455" s="1"/>
      <c r="AJ455" s="1"/>
      <c r="AK455" s="10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35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0"/>
      <c r="AG456" s="1"/>
      <c r="AH456" s="1"/>
      <c r="AI456" s="1"/>
      <c r="AJ456" s="1"/>
      <c r="AK456" s="10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35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0"/>
      <c r="AG457" s="1"/>
      <c r="AH457" s="1"/>
      <c r="AI457" s="1"/>
      <c r="AJ457" s="1"/>
      <c r="AK457" s="10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35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0"/>
      <c r="AG458" s="1"/>
      <c r="AH458" s="1"/>
      <c r="AI458" s="1"/>
      <c r="AJ458" s="1"/>
      <c r="AK458" s="10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35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0"/>
      <c r="AG459" s="1"/>
      <c r="AH459" s="1"/>
      <c r="AI459" s="1"/>
      <c r="AJ459" s="1"/>
      <c r="AK459" s="10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35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0"/>
      <c r="AG460" s="1"/>
      <c r="AH460" s="1"/>
      <c r="AI460" s="1"/>
      <c r="AJ460" s="1"/>
      <c r="AK460" s="10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35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0"/>
      <c r="AG461" s="1"/>
      <c r="AH461" s="1"/>
      <c r="AI461" s="1"/>
      <c r="AJ461" s="1"/>
      <c r="AK461" s="10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35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0"/>
      <c r="AG462" s="1"/>
      <c r="AH462" s="1"/>
      <c r="AI462" s="1"/>
      <c r="AJ462" s="1"/>
      <c r="AK462" s="10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35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0"/>
      <c r="AG463" s="1"/>
      <c r="AH463" s="1"/>
      <c r="AI463" s="1"/>
      <c r="AJ463" s="1"/>
      <c r="AK463" s="10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35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0"/>
      <c r="AG464" s="1"/>
      <c r="AH464" s="1"/>
      <c r="AI464" s="1"/>
      <c r="AJ464" s="1"/>
      <c r="AK464" s="10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35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0"/>
      <c r="AG465" s="1"/>
      <c r="AH465" s="1"/>
      <c r="AI465" s="1"/>
      <c r="AJ465" s="1"/>
      <c r="AK465" s="10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35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0"/>
      <c r="AG466" s="1"/>
      <c r="AH466" s="1"/>
      <c r="AI466" s="1"/>
      <c r="AJ466" s="1"/>
      <c r="AK466" s="10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35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0"/>
      <c r="AG467" s="1"/>
      <c r="AH467" s="1"/>
      <c r="AI467" s="1"/>
      <c r="AJ467" s="1"/>
      <c r="AK467" s="10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35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0"/>
      <c r="AG468" s="1"/>
      <c r="AH468" s="1"/>
      <c r="AI468" s="1"/>
      <c r="AJ468" s="1"/>
      <c r="AK468" s="10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35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0"/>
      <c r="AG469" s="1"/>
      <c r="AH469" s="1"/>
      <c r="AI469" s="1"/>
      <c r="AJ469" s="1"/>
      <c r="AK469" s="10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35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0"/>
      <c r="AG470" s="1"/>
      <c r="AH470" s="1"/>
      <c r="AI470" s="1"/>
      <c r="AJ470" s="1"/>
      <c r="AK470" s="10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35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0"/>
      <c r="AG471" s="1"/>
      <c r="AH471" s="1"/>
      <c r="AI471" s="1"/>
      <c r="AJ471" s="1"/>
      <c r="AK471" s="10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35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0"/>
      <c r="AG472" s="1"/>
      <c r="AH472" s="1"/>
      <c r="AI472" s="1"/>
      <c r="AJ472" s="1"/>
      <c r="AK472" s="10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35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0"/>
      <c r="AG473" s="1"/>
      <c r="AH473" s="1"/>
      <c r="AI473" s="1"/>
      <c r="AJ473" s="1"/>
      <c r="AK473" s="10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35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0"/>
      <c r="AG474" s="1"/>
      <c r="AH474" s="1"/>
      <c r="AI474" s="1"/>
      <c r="AJ474" s="1"/>
      <c r="AK474" s="10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35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0"/>
      <c r="AG475" s="1"/>
      <c r="AH475" s="1"/>
      <c r="AI475" s="1"/>
      <c r="AJ475" s="1"/>
      <c r="AK475" s="10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35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0"/>
      <c r="AG476" s="1"/>
      <c r="AH476" s="1"/>
      <c r="AI476" s="1"/>
      <c r="AJ476" s="1"/>
      <c r="AK476" s="10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35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0"/>
      <c r="AG477" s="1"/>
      <c r="AH477" s="1"/>
      <c r="AI477" s="1"/>
      <c r="AJ477" s="1"/>
      <c r="AK477" s="10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35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0"/>
      <c r="AG478" s="1"/>
      <c r="AH478" s="1"/>
      <c r="AI478" s="1"/>
      <c r="AJ478" s="1"/>
      <c r="AK478" s="10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35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0"/>
      <c r="AG479" s="1"/>
      <c r="AH479" s="1"/>
      <c r="AI479" s="1"/>
      <c r="AJ479" s="1"/>
      <c r="AK479" s="10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35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0"/>
      <c r="AG480" s="1"/>
      <c r="AH480" s="1"/>
      <c r="AI480" s="1"/>
      <c r="AJ480" s="1"/>
      <c r="AK480" s="10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35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0"/>
      <c r="AG481" s="1"/>
      <c r="AH481" s="1"/>
      <c r="AI481" s="1"/>
      <c r="AJ481" s="1"/>
      <c r="AK481" s="10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35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0"/>
      <c r="AG482" s="1"/>
      <c r="AH482" s="1"/>
      <c r="AI482" s="1"/>
      <c r="AJ482" s="1"/>
      <c r="AK482" s="10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35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0"/>
      <c r="AG483" s="1"/>
      <c r="AH483" s="1"/>
      <c r="AI483" s="1"/>
      <c r="AJ483" s="1"/>
      <c r="AK483" s="10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35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0"/>
      <c r="AG484" s="1"/>
      <c r="AH484" s="1"/>
      <c r="AI484" s="1"/>
      <c r="AJ484" s="1"/>
      <c r="AK484" s="10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35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0"/>
      <c r="AG485" s="1"/>
      <c r="AH485" s="1"/>
      <c r="AI485" s="1"/>
      <c r="AJ485" s="1"/>
      <c r="AK485" s="10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35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0"/>
      <c r="AG486" s="1"/>
      <c r="AH486" s="1"/>
      <c r="AI486" s="1"/>
      <c r="AJ486" s="1"/>
      <c r="AK486" s="10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35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0"/>
      <c r="AG487" s="1"/>
      <c r="AH487" s="1"/>
      <c r="AI487" s="1"/>
      <c r="AJ487" s="1"/>
      <c r="AK487" s="10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35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0"/>
      <c r="AG488" s="1"/>
      <c r="AH488" s="1"/>
      <c r="AI488" s="1"/>
      <c r="AJ488" s="1"/>
      <c r="AK488" s="10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35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0"/>
      <c r="AG489" s="1"/>
      <c r="AH489" s="1"/>
      <c r="AI489" s="1"/>
      <c r="AJ489" s="1"/>
      <c r="AK489" s="10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35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0"/>
      <c r="AG490" s="1"/>
      <c r="AH490" s="1"/>
      <c r="AI490" s="1"/>
      <c r="AJ490" s="1"/>
      <c r="AK490" s="10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35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0"/>
      <c r="AG491" s="1"/>
      <c r="AH491" s="1"/>
      <c r="AI491" s="1"/>
      <c r="AJ491" s="1"/>
      <c r="AK491" s="10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35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0"/>
      <c r="AG492" s="1"/>
      <c r="AH492" s="1"/>
      <c r="AI492" s="1"/>
      <c r="AJ492" s="1"/>
      <c r="AK492" s="10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35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0"/>
      <c r="AG493" s="1"/>
      <c r="AH493" s="1"/>
      <c r="AI493" s="1"/>
      <c r="AJ493" s="1"/>
      <c r="AK493" s="10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35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0"/>
      <c r="AG494" s="1"/>
      <c r="AH494" s="1"/>
      <c r="AI494" s="1"/>
      <c r="AJ494" s="1"/>
      <c r="AK494" s="10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35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0"/>
      <c r="AG495" s="1"/>
      <c r="AH495" s="1"/>
      <c r="AI495" s="1"/>
      <c r="AJ495" s="1"/>
      <c r="AK495" s="10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35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0"/>
      <c r="AG496" s="1"/>
      <c r="AH496" s="1"/>
      <c r="AI496" s="1"/>
      <c r="AJ496" s="1"/>
      <c r="AK496" s="10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35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0"/>
      <c r="AG497" s="1"/>
      <c r="AH497" s="1"/>
      <c r="AI497" s="1"/>
      <c r="AJ497" s="1"/>
      <c r="AK497" s="10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35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0"/>
      <c r="AG498" s="1"/>
      <c r="AH498" s="1"/>
      <c r="AI498" s="1"/>
      <c r="AJ498" s="1"/>
      <c r="AK498" s="10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35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0"/>
      <c r="AG499" s="1"/>
      <c r="AH499" s="1"/>
      <c r="AI499" s="1"/>
      <c r="AJ499" s="1"/>
      <c r="AK499" s="10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35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0"/>
      <c r="AG500" s="1"/>
      <c r="AH500" s="1"/>
      <c r="AI500" s="1"/>
      <c r="AJ500" s="1"/>
      <c r="AK500" s="10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K72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2026-06-25T15:08:34Z</dcterms:created>
  <dcterms:modified xsi:type="dcterms:W3CDTF">2026-07-01T16:50:43Z</dcterms:modified>
</cp:coreProperties>
</file>