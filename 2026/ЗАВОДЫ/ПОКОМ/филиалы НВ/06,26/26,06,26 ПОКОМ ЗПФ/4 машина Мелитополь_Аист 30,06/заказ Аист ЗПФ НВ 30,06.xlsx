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4 машина Мелитополь_Аист 30,06\"/>
    </mc:Choice>
  </mc:AlternateContent>
  <xr:revisionPtr revIDLastSave="0" documentId="13_ncr:1_{E41B98C5-6028-4474-A366-9A9914CC1A6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заказа'!$X$272:$X$272</definedName>
    <definedName name="GrossWeightTotalR">'Бланк заказа'!$Y$272:$Y$272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заказа'!$X$273:$X$273</definedName>
    <definedName name="PalletQtyTotalR">'Бланк заказа'!$Y$273:$Y$273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заказа'!$B$41:$B$41</definedName>
    <definedName name="ProductId12">'Бланк заказа'!$B$46:$B$46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заказа'!$B$74:$B$74</definedName>
    <definedName name="ProductId24">'Бланк заказа'!$B$75:$B$75</definedName>
    <definedName name="ProductId25">'Бланк заказа'!$B$76:$B$76</definedName>
    <definedName name="ProductId26">'Бланк заказа'!$B$81:$B$81</definedName>
    <definedName name="ProductId27">'Бланк заказа'!$B$82:$B$82</definedName>
    <definedName name="ProductId28">'Бланк заказа'!$B$87:$B$87</definedName>
    <definedName name="ProductId29">'Бланк заказа'!$B$92:$B$92</definedName>
    <definedName name="ProductId3">'Бланк заказа'!$B$24:$B$24</definedName>
    <definedName name="ProductId30">'Бланк заказа'!$B$93:$B$93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заказа'!$B$141:$B$141</definedName>
    <definedName name="ProductId53">'Бланк заказа'!$B$142:$B$142</definedName>
    <definedName name="ProductId54">'Бланк заказа'!$B$143:$B$143</definedName>
    <definedName name="ProductId55">'Бланк заказа'!$B$148:$B$148</definedName>
    <definedName name="ProductId56">'Бланк заказа'!$B$149:$B$149</definedName>
    <definedName name="ProductId57">'Бланк заказа'!$B$150:$B$150</definedName>
    <definedName name="ProductId58">'Бланк заказа'!$B$155:$B$155</definedName>
    <definedName name="ProductId59">'Бланк заказа'!$B$156:$B$156</definedName>
    <definedName name="ProductId6">'Бланк заказа'!$B$27:$B$27</definedName>
    <definedName name="ProductId60">'Бланк заказа'!$B$161:$B$161</definedName>
    <definedName name="ProductId61">'Бланк заказа'!$B$166:$B$166</definedName>
    <definedName name="ProductId62">'Бланк заказа'!$B$171:$B$171</definedName>
    <definedName name="ProductId63">'Бланк заказа'!$B$177:$B$177</definedName>
    <definedName name="ProductId64">'Бланк заказа'!$B$178:$B$178</definedName>
    <definedName name="ProductId65">'Бланк заказа'!$B$182:$B$182</definedName>
    <definedName name="ProductId66">'Бланк заказа'!$B$183:$B$183</definedName>
    <definedName name="ProductId67">'Бланк заказа'!$B$189:$B$189</definedName>
    <definedName name="ProductId68">'Бланк заказа'!$B$190:$B$190</definedName>
    <definedName name="ProductId69">'Бланк заказа'!$B$191:$B$191</definedName>
    <definedName name="ProductId7">'Бланк заказа'!$B$28:$B$28</definedName>
    <definedName name="ProductId70">'Бланк заказа'!$B$192:$B$192</definedName>
    <definedName name="ProductId71">'Бланк заказа'!$B$198:$B$198</definedName>
    <definedName name="ProductId72">'Бланк заказа'!$B$202:$B$202</definedName>
    <definedName name="ProductId73">'Бланк заказа'!$B$203:$B$203</definedName>
    <definedName name="ProductId74">'Бланк заказа'!$B$204:$B$204</definedName>
    <definedName name="ProductId75">'Бланк заказа'!$B$205:$B$205</definedName>
    <definedName name="ProductId76">'Бланк заказа'!$B$210:$B$210</definedName>
    <definedName name="ProductId77">'Бланк заказа'!$B$215:$B$215</definedName>
    <definedName name="ProductId78">'Бланк заказа'!$B$216:$B$216</definedName>
    <definedName name="ProductId79">'Бланк заказа'!$B$222:$B$222</definedName>
    <definedName name="ProductId8">'Бланк заказа'!$B$33:$B$33</definedName>
    <definedName name="ProductId80">'Бланк заказа'!$B$228:$B$228</definedName>
    <definedName name="ProductId81">'Бланк заказа'!$B$234:$B$234</definedName>
    <definedName name="ProductId82">'Бланк заказа'!$B$238:$B$238</definedName>
    <definedName name="ProductId83">'Бланк заказа'!$B$244:$B$244</definedName>
    <definedName name="ProductId84">'Бланк заказа'!$B$245:$B$245</definedName>
    <definedName name="ProductId85">'Бланк заказа'!$B$249:$B$249</definedName>
    <definedName name="ProductId86">'Бланк заказа'!$B$253:$B$253</definedName>
    <definedName name="ProductId87">'Бланк заказа'!$B$254:$B$254</definedName>
    <definedName name="ProductId88">'Бланк заказа'!$B$255:$B$255</definedName>
    <definedName name="ProductId89">'Бланк заказа'!$B$259:$B$259</definedName>
    <definedName name="ProductId9">'Бланк заказа'!$B$34:$B$34</definedName>
    <definedName name="ProductId90">'Бланк заказа'!$B$260:$B$260</definedName>
    <definedName name="ProductId91">'Бланк заказа'!$B$261:$B$261</definedName>
    <definedName name="ProductId92">'Бланк заказа'!$B$262:$B$262</definedName>
    <definedName name="ProductId93">'Бланк заказа'!$B$263:$B$263</definedName>
    <definedName name="ProductId94">'Бланк заказа'!$B$264:$B$264</definedName>
    <definedName name="ProductId95">'Бланк заказа'!$B$265:$B$265</definedName>
    <definedName name="ProductId96">'Бланк заказа'!$B$266:$B$266</definedName>
    <definedName name="ProductId97">'Бланк заказа'!$B$267:$B$267</definedName>
    <definedName name="ProductId98">'Бланк заказа'!$B$268:$B$268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заказа'!$X$41:$X$41</definedName>
    <definedName name="SalesQty12">'Бланк заказа'!$X$46:$X$46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заказа'!$X$74:$X$74</definedName>
    <definedName name="SalesQty24">'Бланк заказа'!$X$75:$X$75</definedName>
    <definedName name="SalesQty25">'Бланк заказа'!$X$76:$X$76</definedName>
    <definedName name="SalesQty26">'Бланк заказа'!$X$81:$X$81</definedName>
    <definedName name="SalesQty27">'Бланк заказа'!$X$82:$X$82</definedName>
    <definedName name="SalesQty28">'Бланк заказа'!$X$87:$X$87</definedName>
    <definedName name="SalesQty29">'Бланк заказа'!$X$92:$X$92</definedName>
    <definedName name="SalesQty3">'Бланк заказа'!$X$24:$X$24</definedName>
    <definedName name="SalesQty30">'Бланк заказа'!$X$93:$X$93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заказа'!$X$141:$X$141</definedName>
    <definedName name="SalesQty53">'Бланк заказа'!$X$142:$X$142</definedName>
    <definedName name="SalesQty54">'Бланк заказа'!$X$143:$X$143</definedName>
    <definedName name="SalesQty55">'Бланк заказа'!$X$148:$X$148</definedName>
    <definedName name="SalesQty56">'Бланк заказа'!$X$149:$X$149</definedName>
    <definedName name="SalesQty57">'Бланк заказа'!$X$150:$X$150</definedName>
    <definedName name="SalesQty58">'Бланк заказа'!$X$155:$X$155</definedName>
    <definedName name="SalesQty59">'Бланк заказа'!$X$156:$X$156</definedName>
    <definedName name="SalesQty6">'Бланк заказа'!$X$27:$X$27</definedName>
    <definedName name="SalesQty60">'Бланк заказа'!$X$161:$X$161</definedName>
    <definedName name="SalesQty61">'Бланк заказа'!$X$166:$X$166</definedName>
    <definedName name="SalesQty62">'Бланк заказа'!$X$171:$X$171</definedName>
    <definedName name="SalesQty63">'Бланк заказа'!$X$177:$X$177</definedName>
    <definedName name="SalesQty64">'Бланк заказа'!$X$178:$X$178</definedName>
    <definedName name="SalesQty65">'Бланк заказа'!$X$182:$X$182</definedName>
    <definedName name="SalesQty66">'Бланк заказа'!$X$183:$X$183</definedName>
    <definedName name="SalesQty67">'Бланк заказа'!$X$189:$X$189</definedName>
    <definedName name="SalesQty68">'Бланк заказа'!$X$190:$X$190</definedName>
    <definedName name="SalesQty69">'Бланк заказа'!$X$191:$X$191</definedName>
    <definedName name="SalesQty7">'Бланк заказа'!$X$28:$X$28</definedName>
    <definedName name="SalesQty70">'Бланк заказа'!$X$192:$X$192</definedName>
    <definedName name="SalesQty71">'Бланк заказа'!$X$198:$X$198</definedName>
    <definedName name="SalesQty72">'Бланк заказа'!$X$202:$X$202</definedName>
    <definedName name="SalesQty73">'Бланк заказа'!$X$203:$X$203</definedName>
    <definedName name="SalesQty74">'Бланк заказа'!$X$204:$X$204</definedName>
    <definedName name="SalesQty75">'Бланк заказа'!$X$205:$X$205</definedName>
    <definedName name="SalesQty76">'Бланк заказа'!$X$210:$X$210</definedName>
    <definedName name="SalesQty77">'Бланк заказа'!$X$215:$X$215</definedName>
    <definedName name="SalesQty78">'Бланк заказа'!$X$216:$X$216</definedName>
    <definedName name="SalesQty79">'Бланк заказа'!$X$222:$X$222</definedName>
    <definedName name="SalesQty8">'Бланк заказа'!$X$33:$X$33</definedName>
    <definedName name="SalesQty80">'Бланк заказа'!$X$228:$X$228</definedName>
    <definedName name="SalesQty81">'Бланк заказа'!$X$234:$X$234</definedName>
    <definedName name="SalesQty82">'Бланк заказа'!$X$238:$X$238</definedName>
    <definedName name="SalesQty83">'Бланк заказа'!$X$244:$X$244</definedName>
    <definedName name="SalesQty84">'Бланк заказа'!$X$245:$X$245</definedName>
    <definedName name="SalesQty85">'Бланк заказа'!$X$249:$X$249</definedName>
    <definedName name="SalesQty86">'Бланк заказа'!$X$253:$X$253</definedName>
    <definedName name="SalesQty87">'Бланк заказа'!$X$254:$X$254</definedName>
    <definedName name="SalesQty88">'Бланк заказа'!$X$255:$X$255</definedName>
    <definedName name="SalesQty89">'Бланк заказа'!$X$259:$X$259</definedName>
    <definedName name="SalesQty9">'Бланк заказа'!$X$34:$X$34</definedName>
    <definedName name="SalesQty90">'Бланк заказа'!$X$260:$X$260</definedName>
    <definedName name="SalesQty91">'Бланк заказа'!$X$261:$X$261</definedName>
    <definedName name="SalesQty92">'Бланк заказа'!$X$262:$X$262</definedName>
    <definedName name="SalesQty93">'Бланк заказа'!$X$263:$X$263</definedName>
    <definedName name="SalesQty94">'Бланк заказа'!$X$264:$X$264</definedName>
    <definedName name="SalesQty95">'Бланк заказа'!$X$265:$X$265</definedName>
    <definedName name="SalesQty96">'Бланк заказа'!$X$266:$X$266</definedName>
    <definedName name="SalesQty97">'Бланк заказа'!$X$267:$X$267</definedName>
    <definedName name="SalesQty98">'Бланк заказа'!$X$268:$X$268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заказа'!$Y$41:$Y$41</definedName>
    <definedName name="SalesRoundBox12">'Бланк заказа'!$Y$46:$Y$46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заказа'!$Y$74:$Y$74</definedName>
    <definedName name="SalesRoundBox24">'Бланк заказа'!$Y$75:$Y$75</definedName>
    <definedName name="SalesRoundBox25">'Бланк заказа'!$Y$76:$Y$76</definedName>
    <definedName name="SalesRoundBox26">'Бланк заказа'!$Y$81:$Y$81</definedName>
    <definedName name="SalesRoundBox27">'Бланк заказа'!$Y$82:$Y$82</definedName>
    <definedName name="SalesRoundBox28">'Бланк заказа'!$Y$87:$Y$87</definedName>
    <definedName name="SalesRoundBox29">'Бланк заказа'!$Y$92:$Y$92</definedName>
    <definedName name="SalesRoundBox3">'Бланк заказа'!$Y$24:$Y$24</definedName>
    <definedName name="SalesRoundBox30">'Бланк заказа'!$Y$93:$Y$93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заказа'!$Y$141:$Y$141</definedName>
    <definedName name="SalesRoundBox53">'Бланк заказа'!$Y$142:$Y$142</definedName>
    <definedName name="SalesRoundBox54">'Бланк заказа'!$Y$143:$Y$143</definedName>
    <definedName name="SalesRoundBox55">'Бланк заказа'!$Y$148:$Y$148</definedName>
    <definedName name="SalesRoundBox56">'Бланк заказа'!$Y$149:$Y$149</definedName>
    <definedName name="SalesRoundBox57">'Бланк заказа'!$Y$150:$Y$150</definedName>
    <definedName name="SalesRoundBox58">'Бланк заказа'!$Y$155:$Y$155</definedName>
    <definedName name="SalesRoundBox59">'Бланк заказа'!$Y$156:$Y$156</definedName>
    <definedName name="SalesRoundBox6">'Бланк заказа'!$Y$27:$Y$27</definedName>
    <definedName name="SalesRoundBox60">'Бланк заказа'!$Y$161:$Y$161</definedName>
    <definedName name="SalesRoundBox61">'Бланк заказа'!$Y$166:$Y$166</definedName>
    <definedName name="SalesRoundBox62">'Бланк заказа'!$Y$171:$Y$171</definedName>
    <definedName name="SalesRoundBox63">'Бланк заказа'!$Y$177:$Y$177</definedName>
    <definedName name="SalesRoundBox64">'Бланк заказа'!$Y$178:$Y$178</definedName>
    <definedName name="SalesRoundBox65">'Бланк заказа'!$Y$182:$Y$182</definedName>
    <definedName name="SalesRoundBox66">'Бланк заказа'!$Y$183:$Y$183</definedName>
    <definedName name="SalesRoundBox67">'Бланк заказа'!$Y$189:$Y$189</definedName>
    <definedName name="SalesRoundBox68">'Бланк заказа'!$Y$190:$Y$190</definedName>
    <definedName name="SalesRoundBox69">'Бланк заказа'!$Y$191:$Y$191</definedName>
    <definedName name="SalesRoundBox7">'Бланк заказа'!$Y$28:$Y$28</definedName>
    <definedName name="SalesRoundBox70">'Бланк заказа'!$Y$192:$Y$192</definedName>
    <definedName name="SalesRoundBox71">'Бланк заказа'!$Y$198:$Y$198</definedName>
    <definedName name="SalesRoundBox72">'Бланк заказа'!$Y$202:$Y$202</definedName>
    <definedName name="SalesRoundBox73">'Бланк заказа'!$Y$203:$Y$203</definedName>
    <definedName name="SalesRoundBox74">'Бланк заказа'!$Y$204:$Y$204</definedName>
    <definedName name="SalesRoundBox75">'Бланк заказа'!$Y$205:$Y$205</definedName>
    <definedName name="SalesRoundBox76">'Бланк заказа'!$Y$210:$Y$210</definedName>
    <definedName name="SalesRoundBox77">'Бланк заказа'!$Y$215:$Y$215</definedName>
    <definedName name="SalesRoundBox78">'Бланк заказа'!$Y$216:$Y$216</definedName>
    <definedName name="SalesRoundBox79">'Бланк заказа'!$Y$222:$Y$222</definedName>
    <definedName name="SalesRoundBox8">'Бланк заказа'!$Y$33:$Y$33</definedName>
    <definedName name="SalesRoundBox80">'Бланк заказа'!$Y$228:$Y$228</definedName>
    <definedName name="SalesRoundBox81">'Бланк заказа'!$Y$234:$Y$234</definedName>
    <definedName name="SalesRoundBox82">'Бланк заказа'!$Y$238:$Y$238</definedName>
    <definedName name="SalesRoundBox83">'Бланк заказа'!$Y$244:$Y$244</definedName>
    <definedName name="SalesRoundBox84">'Бланк заказа'!$Y$245:$Y$245</definedName>
    <definedName name="SalesRoundBox85">'Бланк заказа'!$Y$249:$Y$249</definedName>
    <definedName name="SalesRoundBox86">'Бланк заказа'!$Y$253:$Y$253</definedName>
    <definedName name="SalesRoundBox87">'Бланк заказа'!$Y$254:$Y$254</definedName>
    <definedName name="SalesRoundBox88">'Бланк заказа'!$Y$255:$Y$255</definedName>
    <definedName name="SalesRoundBox89">'Бланк заказа'!$Y$259:$Y$259</definedName>
    <definedName name="SalesRoundBox9">'Бланк заказа'!$Y$34:$Y$34</definedName>
    <definedName name="SalesRoundBox90">'Бланк заказа'!$Y$260:$Y$260</definedName>
    <definedName name="SalesRoundBox91">'Бланк заказа'!$Y$261:$Y$261</definedName>
    <definedName name="SalesRoundBox92">'Бланк заказа'!$Y$262:$Y$262</definedName>
    <definedName name="SalesRoundBox93">'Бланк заказа'!$Y$263:$Y$263</definedName>
    <definedName name="SalesRoundBox94">'Бланк заказа'!$Y$264:$Y$264</definedName>
    <definedName name="SalesRoundBox95">'Бланк заказа'!$Y$265:$Y$265</definedName>
    <definedName name="SalesRoundBox96">'Бланк заказа'!$Y$266:$Y$266</definedName>
    <definedName name="SalesRoundBox97">'Бланк заказа'!$Y$267:$Y$267</definedName>
    <definedName name="SalesRoundBox98">'Бланк заказа'!$Y$268:$Y$268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заказа'!$W$41:$W$41</definedName>
    <definedName name="UnitOfMeasure12">'Бланк заказа'!$W$46:$W$46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заказа'!$W$74:$W$74</definedName>
    <definedName name="UnitOfMeasure24">'Бланк заказа'!$W$75:$W$75</definedName>
    <definedName name="UnitOfMeasure25">'Бланк заказа'!$W$76:$W$76</definedName>
    <definedName name="UnitOfMeasure26">'Бланк заказа'!$W$81:$W$81</definedName>
    <definedName name="UnitOfMeasure27">'Бланк заказа'!$W$82:$W$82</definedName>
    <definedName name="UnitOfMeasure28">'Бланк заказа'!$W$87:$W$87</definedName>
    <definedName name="UnitOfMeasure29">'Бланк заказа'!$W$92:$W$92</definedName>
    <definedName name="UnitOfMeasure3">'Бланк заказа'!$W$24:$W$24</definedName>
    <definedName name="UnitOfMeasure30">'Бланк заказа'!$W$93:$W$93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заказа'!$W$141:$W$141</definedName>
    <definedName name="UnitOfMeasure53">'Бланк заказа'!$W$142:$W$142</definedName>
    <definedName name="UnitOfMeasure54">'Бланк заказа'!$W$143:$W$143</definedName>
    <definedName name="UnitOfMeasure55">'Бланк заказа'!$W$148:$W$148</definedName>
    <definedName name="UnitOfMeasure56">'Бланк заказа'!$W$149:$W$149</definedName>
    <definedName name="UnitOfMeasure57">'Бланк заказа'!$W$150:$W$150</definedName>
    <definedName name="UnitOfMeasure58">'Бланк заказа'!$W$155:$W$155</definedName>
    <definedName name="UnitOfMeasure59">'Бланк заказа'!$W$156:$W$156</definedName>
    <definedName name="UnitOfMeasure6">'Бланк заказа'!$W$27:$W$27</definedName>
    <definedName name="UnitOfMeasure60">'Бланк заказа'!$W$161:$W$161</definedName>
    <definedName name="UnitOfMeasure61">'Бланк заказа'!$W$166:$W$166</definedName>
    <definedName name="UnitOfMeasure62">'Бланк заказа'!$W$171:$W$171</definedName>
    <definedName name="UnitOfMeasure63">'Бланк заказа'!$W$177:$W$177</definedName>
    <definedName name="UnitOfMeasure64">'Бланк заказа'!$W$178:$W$178</definedName>
    <definedName name="UnitOfMeasure65">'Бланк заказа'!$W$182:$W$182</definedName>
    <definedName name="UnitOfMeasure66">'Бланк заказа'!$W$183:$W$183</definedName>
    <definedName name="UnitOfMeasure67">'Бланк заказа'!$W$189:$W$189</definedName>
    <definedName name="UnitOfMeasure68">'Бланк заказа'!$W$190:$W$190</definedName>
    <definedName name="UnitOfMeasure69">'Бланк заказа'!$W$191:$W$191</definedName>
    <definedName name="UnitOfMeasure7">'Бланк заказа'!$W$28:$W$28</definedName>
    <definedName name="UnitOfMeasure70">'Бланк заказа'!$W$192:$W$192</definedName>
    <definedName name="UnitOfMeasure71">'Бланк заказа'!$W$198:$W$198</definedName>
    <definedName name="UnitOfMeasure72">'Бланк заказа'!$W$202:$W$202</definedName>
    <definedName name="UnitOfMeasure73">'Бланк заказа'!$W$203:$W$203</definedName>
    <definedName name="UnitOfMeasure74">'Бланк заказа'!$W$204:$W$204</definedName>
    <definedName name="UnitOfMeasure75">'Бланк заказа'!$W$205:$W$205</definedName>
    <definedName name="UnitOfMeasure76">'Бланк заказа'!$W$210:$W$210</definedName>
    <definedName name="UnitOfMeasure77">'Бланк заказа'!$W$215:$W$215</definedName>
    <definedName name="UnitOfMeasure78">'Бланк заказа'!$W$216:$W$216</definedName>
    <definedName name="UnitOfMeasure79">'Бланк заказа'!$W$222:$W$222</definedName>
    <definedName name="UnitOfMeasure8">'Бланк заказа'!$W$33:$W$33</definedName>
    <definedName name="UnitOfMeasure80">'Бланк заказа'!$W$228:$W$228</definedName>
    <definedName name="UnitOfMeasure81">'Бланк заказа'!$W$234:$W$234</definedName>
    <definedName name="UnitOfMeasure82">'Бланк заказа'!$W$238:$W$238</definedName>
    <definedName name="UnitOfMeasure83">'Бланк заказа'!$W$244:$W$244</definedName>
    <definedName name="UnitOfMeasure84">'Бланк заказа'!$W$245:$W$245</definedName>
    <definedName name="UnitOfMeasure85">'Бланк заказа'!$W$249:$W$249</definedName>
    <definedName name="UnitOfMeasure86">'Бланк заказа'!$W$253:$W$253</definedName>
    <definedName name="UnitOfMeasure87">'Бланк заказа'!$W$254:$W$254</definedName>
    <definedName name="UnitOfMeasure88">'Бланк заказа'!$W$255:$W$255</definedName>
    <definedName name="UnitOfMeasure89">'Бланк заказа'!$W$259:$W$259</definedName>
    <definedName name="UnitOfMeasure9">'Бланк заказа'!$W$34:$W$34</definedName>
    <definedName name="UnitOfMeasure90">'Бланк заказа'!$W$260:$W$260</definedName>
    <definedName name="UnitOfMeasure91">'Бланк заказа'!$W$261:$W$261</definedName>
    <definedName name="UnitOfMeasure92">'Бланк заказа'!$W$262:$W$262</definedName>
    <definedName name="UnitOfMeasure93">'Бланк заказа'!$W$263:$W$263</definedName>
    <definedName name="UnitOfMeasure94">'Бланк заказа'!$W$264:$W$264</definedName>
    <definedName name="UnitOfMeasure95">'Бланк заказа'!$W$265:$W$265</definedName>
    <definedName name="UnitOfMeasure96">'Бланк заказа'!$W$266:$W$266</definedName>
    <definedName name="UnitOfMeasure97">'Бланк заказа'!$W$267:$W$267</definedName>
    <definedName name="UnitOfMeasure98">'Бланк заказа'!$W$268:$W$268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1" i="2" l="1"/>
  <c r="AC281" i="2"/>
  <c r="AB281" i="2"/>
  <c r="AA281" i="2"/>
  <c r="Z281" i="2"/>
  <c r="Y281" i="2"/>
  <c r="X281" i="2"/>
  <c r="W281" i="2"/>
  <c r="V281" i="2"/>
  <c r="U281" i="2"/>
  <c r="T281" i="2"/>
  <c r="S281" i="2"/>
  <c r="R281" i="2"/>
  <c r="Q281" i="2"/>
  <c r="P281" i="2"/>
  <c r="O281" i="2"/>
  <c r="M281" i="2"/>
  <c r="L281" i="2"/>
  <c r="K281" i="2"/>
  <c r="J281" i="2"/>
  <c r="I281" i="2"/>
  <c r="H281" i="2"/>
  <c r="G281" i="2"/>
  <c r="F281" i="2"/>
  <c r="E281" i="2"/>
  <c r="D281" i="2"/>
  <c r="C281" i="2"/>
  <c r="B281" i="2"/>
  <c r="X270" i="2"/>
  <c r="X269" i="2"/>
  <c r="BO268" i="2"/>
  <c r="BM268" i="2"/>
  <c r="Z268" i="2"/>
  <c r="Y268" i="2"/>
  <c r="P268" i="2"/>
  <c r="BO267" i="2"/>
  <c r="BM267" i="2"/>
  <c r="Z267" i="2"/>
  <c r="Y267" i="2"/>
  <c r="BP267" i="2" s="1"/>
  <c r="P267" i="2"/>
  <c r="BO266" i="2"/>
  <c r="BM266" i="2"/>
  <c r="Z266" i="2"/>
  <c r="Y266" i="2"/>
  <c r="BP266" i="2" s="1"/>
  <c r="P266" i="2"/>
  <c r="BO265" i="2"/>
  <c r="BM265" i="2"/>
  <c r="Z265" i="2"/>
  <c r="Y265" i="2"/>
  <c r="BP265" i="2" s="1"/>
  <c r="P265" i="2"/>
  <c r="BP264" i="2"/>
  <c r="BO264" i="2"/>
  <c r="BN264" i="2"/>
  <c r="BM264" i="2"/>
  <c r="Z264" i="2"/>
  <c r="Y264" i="2"/>
  <c r="P264" i="2"/>
  <c r="BO263" i="2"/>
  <c r="BM263" i="2"/>
  <c r="Z263" i="2"/>
  <c r="Y263" i="2"/>
  <c r="BN263" i="2" s="1"/>
  <c r="P263" i="2"/>
  <c r="BP262" i="2"/>
  <c r="BO262" i="2"/>
  <c r="BN262" i="2"/>
  <c r="BM262" i="2"/>
  <c r="Z262" i="2"/>
  <c r="Y262" i="2"/>
  <c r="P262" i="2"/>
  <c r="BO261" i="2"/>
  <c r="BM261" i="2"/>
  <c r="Z261" i="2"/>
  <c r="Y261" i="2"/>
  <c r="BP261" i="2" s="1"/>
  <c r="P261" i="2"/>
  <c r="BO260" i="2"/>
  <c r="BM260" i="2"/>
  <c r="Z260" i="2"/>
  <c r="Y260" i="2"/>
  <c r="P260" i="2"/>
  <c r="BO259" i="2"/>
  <c r="BM259" i="2"/>
  <c r="Z259" i="2"/>
  <c r="Y259" i="2"/>
  <c r="BN259" i="2" s="1"/>
  <c r="P259" i="2"/>
  <c r="X257" i="2"/>
  <c r="X256" i="2"/>
  <c r="BO255" i="2"/>
  <c r="BM255" i="2"/>
  <c r="Z255" i="2"/>
  <c r="Y255" i="2"/>
  <c r="BP255" i="2" s="1"/>
  <c r="P255" i="2"/>
  <c r="BO254" i="2"/>
  <c r="BM254" i="2"/>
  <c r="Z254" i="2"/>
  <c r="Y254" i="2"/>
  <c r="BP254" i="2" s="1"/>
  <c r="P254" i="2"/>
  <c r="BO253" i="2"/>
  <c r="BM253" i="2"/>
  <c r="Z253" i="2"/>
  <c r="Z256" i="2" s="1"/>
  <c r="Y253" i="2"/>
  <c r="P253" i="2"/>
  <c r="X251" i="2"/>
  <c r="Y250" i="2"/>
  <c r="X250" i="2"/>
  <c r="BO249" i="2"/>
  <c r="BM249" i="2"/>
  <c r="Z249" i="2"/>
  <c r="Z250" i="2" s="1"/>
  <c r="Y249" i="2"/>
  <c r="BP249" i="2" s="1"/>
  <c r="P249" i="2"/>
  <c r="X247" i="2"/>
  <c r="X246" i="2"/>
  <c r="BO245" i="2"/>
  <c r="BM245" i="2"/>
  <c r="Z245" i="2"/>
  <c r="Y245" i="2"/>
  <c r="BP245" i="2" s="1"/>
  <c r="P245" i="2"/>
  <c r="BO244" i="2"/>
  <c r="BM244" i="2"/>
  <c r="Z244" i="2"/>
  <c r="Y244" i="2"/>
  <c r="BP244" i="2" s="1"/>
  <c r="P244" i="2"/>
  <c r="X240" i="2"/>
  <c r="Y239" i="2"/>
  <c r="X239" i="2"/>
  <c r="BP238" i="2"/>
  <c r="BO238" i="2"/>
  <c r="BN238" i="2"/>
  <c r="BM238" i="2"/>
  <c r="Z238" i="2"/>
  <c r="Z239" i="2" s="1"/>
  <c r="Y238" i="2"/>
  <c r="Y240" i="2" s="1"/>
  <c r="P238" i="2"/>
  <c r="X236" i="2"/>
  <c r="X235" i="2"/>
  <c r="BO234" i="2"/>
  <c r="BM234" i="2"/>
  <c r="Z234" i="2"/>
  <c r="Z235" i="2" s="1"/>
  <c r="Y234" i="2"/>
  <c r="P234" i="2"/>
  <c r="X230" i="2"/>
  <c r="X229" i="2"/>
  <c r="BO228" i="2"/>
  <c r="BM228" i="2"/>
  <c r="Z228" i="2"/>
  <c r="Z229" i="2" s="1"/>
  <c r="Y228" i="2"/>
  <c r="Y229" i="2" s="1"/>
  <c r="P228" i="2"/>
  <c r="X224" i="2"/>
  <c r="Y223" i="2"/>
  <c r="X223" i="2"/>
  <c r="BP222" i="2"/>
  <c r="BO222" i="2"/>
  <c r="BN222" i="2"/>
  <c r="BM222" i="2"/>
  <c r="Z222" i="2"/>
  <c r="Z223" i="2" s="1"/>
  <c r="Y222" i="2"/>
  <c r="Y224" i="2" s="1"/>
  <c r="P222" i="2"/>
  <c r="X218" i="2"/>
  <c r="X217" i="2"/>
  <c r="BO216" i="2"/>
  <c r="BM216" i="2"/>
  <c r="Z216" i="2"/>
  <c r="Y216" i="2"/>
  <c r="P216" i="2"/>
  <c r="BP215" i="2"/>
  <c r="BO215" i="2"/>
  <c r="BN215" i="2"/>
  <c r="BM215" i="2"/>
  <c r="Z215" i="2"/>
  <c r="Z217" i="2" s="1"/>
  <c r="Y215" i="2"/>
  <c r="P215" i="2"/>
  <c r="X212" i="2"/>
  <c r="X211" i="2"/>
  <c r="BO210" i="2"/>
  <c r="BM210" i="2"/>
  <c r="Z210" i="2"/>
  <c r="Z211" i="2" s="1"/>
  <c r="Y210" i="2"/>
  <c r="P210" i="2"/>
  <c r="X207" i="2"/>
  <c r="X206" i="2"/>
  <c r="BO205" i="2"/>
  <c r="BM205" i="2"/>
  <c r="Z205" i="2"/>
  <c r="Y205" i="2"/>
  <c r="BP205" i="2" s="1"/>
  <c r="P205" i="2"/>
  <c r="BO204" i="2"/>
  <c r="BM204" i="2"/>
  <c r="Z204" i="2"/>
  <c r="Y204" i="2"/>
  <c r="P204" i="2"/>
  <c r="BO203" i="2"/>
  <c r="BM203" i="2"/>
  <c r="Z203" i="2"/>
  <c r="Y203" i="2"/>
  <c r="BN203" i="2" s="1"/>
  <c r="P203" i="2"/>
  <c r="BO202" i="2"/>
  <c r="BM202" i="2"/>
  <c r="Z202" i="2"/>
  <c r="Y202" i="2"/>
  <c r="Y207" i="2" s="1"/>
  <c r="P202" i="2"/>
  <c r="Y200" i="2"/>
  <c r="X200" i="2"/>
  <c r="X199" i="2"/>
  <c r="BO198" i="2"/>
  <c r="BN198" i="2"/>
  <c r="BM198" i="2"/>
  <c r="Z198" i="2"/>
  <c r="Z199" i="2" s="1"/>
  <c r="Y198" i="2"/>
  <c r="BP198" i="2" s="1"/>
  <c r="P198" i="2"/>
  <c r="X194" i="2"/>
  <c r="X193" i="2"/>
  <c r="BO192" i="2"/>
  <c r="BM192" i="2"/>
  <c r="Z192" i="2"/>
  <c r="Y192" i="2"/>
  <c r="BP192" i="2" s="1"/>
  <c r="P192" i="2"/>
  <c r="BO191" i="2"/>
  <c r="BM191" i="2"/>
  <c r="Z191" i="2"/>
  <c r="Y191" i="2"/>
  <c r="BP191" i="2" s="1"/>
  <c r="P191" i="2"/>
  <c r="BO190" i="2"/>
  <c r="BM190" i="2"/>
  <c r="Z190" i="2"/>
  <c r="Y190" i="2"/>
  <c r="P190" i="2"/>
  <c r="BO189" i="2"/>
  <c r="BM189" i="2"/>
  <c r="Z189" i="2"/>
  <c r="Y189" i="2"/>
  <c r="BP189" i="2" s="1"/>
  <c r="P189" i="2"/>
  <c r="X185" i="2"/>
  <c r="X184" i="2"/>
  <c r="BO183" i="2"/>
  <c r="BM183" i="2"/>
  <c r="Z183" i="2"/>
  <c r="Y183" i="2"/>
  <c r="P183" i="2"/>
  <c r="BO182" i="2"/>
  <c r="BM182" i="2"/>
  <c r="Z182" i="2"/>
  <c r="Y182" i="2"/>
  <c r="BN182" i="2" s="1"/>
  <c r="P182" i="2"/>
  <c r="X180" i="2"/>
  <c r="X179" i="2"/>
  <c r="BO178" i="2"/>
  <c r="BM178" i="2"/>
  <c r="Z178" i="2"/>
  <c r="Y178" i="2"/>
  <c r="P178" i="2"/>
  <c r="BO177" i="2"/>
  <c r="BM177" i="2"/>
  <c r="Z177" i="2"/>
  <c r="Y177" i="2"/>
  <c r="BN177" i="2" s="1"/>
  <c r="P177" i="2"/>
  <c r="X173" i="2"/>
  <c r="X172" i="2"/>
  <c r="BO171" i="2"/>
  <c r="BM171" i="2"/>
  <c r="Z171" i="2"/>
  <c r="Z172" i="2" s="1"/>
  <c r="Y171" i="2"/>
  <c r="BN171" i="2" s="1"/>
  <c r="P171" i="2"/>
  <c r="X168" i="2"/>
  <c r="X167" i="2"/>
  <c r="BO166" i="2"/>
  <c r="BM166" i="2"/>
  <c r="Z166" i="2"/>
  <c r="Z167" i="2" s="1"/>
  <c r="Y166" i="2"/>
  <c r="Y168" i="2" s="1"/>
  <c r="P166" i="2"/>
  <c r="X163" i="2"/>
  <c r="X162" i="2"/>
  <c r="BO161" i="2"/>
  <c r="BM161" i="2"/>
  <c r="Z161" i="2"/>
  <c r="Z162" i="2" s="1"/>
  <c r="Y161" i="2"/>
  <c r="BN161" i="2" s="1"/>
  <c r="P161" i="2"/>
  <c r="X158" i="2"/>
  <c r="X157" i="2"/>
  <c r="BO156" i="2"/>
  <c r="BM156" i="2"/>
  <c r="Z156" i="2"/>
  <c r="Y156" i="2"/>
  <c r="P156" i="2"/>
  <c r="BO155" i="2"/>
  <c r="BM155" i="2"/>
  <c r="Z155" i="2"/>
  <c r="Y155" i="2"/>
  <c r="BP155" i="2" s="1"/>
  <c r="P155" i="2"/>
  <c r="X152" i="2"/>
  <c r="X151" i="2"/>
  <c r="BO150" i="2"/>
  <c r="BM150" i="2"/>
  <c r="Z150" i="2"/>
  <c r="Y150" i="2"/>
  <c r="BP150" i="2" s="1"/>
  <c r="P150" i="2"/>
  <c r="BO149" i="2"/>
  <c r="BM149" i="2"/>
  <c r="Z149" i="2"/>
  <c r="Y149" i="2"/>
  <c r="BP149" i="2" s="1"/>
  <c r="P149" i="2"/>
  <c r="BO148" i="2"/>
  <c r="BM148" i="2"/>
  <c r="Z148" i="2"/>
  <c r="Y148" i="2"/>
  <c r="P148" i="2"/>
  <c r="X145" i="2"/>
  <c r="X144" i="2"/>
  <c r="BO143" i="2"/>
  <c r="BM143" i="2"/>
  <c r="Z143" i="2"/>
  <c r="Y143" i="2"/>
  <c r="BP143" i="2" s="1"/>
  <c r="P143" i="2"/>
  <c r="BO142" i="2"/>
  <c r="BM142" i="2"/>
  <c r="Z142" i="2"/>
  <c r="Y142" i="2"/>
  <c r="P142" i="2"/>
  <c r="BO141" i="2"/>
  <c r="BM141" i="2"/>
  <c r="Z141" i="2"/>
  <c r="Y141" i="2"/>
  <c r="P141" i="2"/>
  <c r="X138" i="2"/>
  <c r="X137" i="2"/>
  <c r="BO136" i="2"/>
  <c r="BM136" i="2"/>
  <c r="Z136" i="2"/>
  <c r="Y136" i="2"/>
  <c r="P136" i="2"/>
  <c r="BO135" i="2"/>
  <c r="BM135" i="2"/>
  <c r="Z135" i="2"/>
  <c r="Y135" i="2"/>
  <c r="BN135" i="2" s="1"/>
  <c r="P135" i="2"/>
  <c r="BO134" i="2"/>
  <c r="BM134" i="2"/>
  <c r="Z134" i="2"/>
  <c r="Y134" i="2"/>
  <c r="BP134" i="2" s="1"/>
  <c r="P134" i="2"/>
  <c r="X131" i="2"/>
  <c r="X130" i="2"/>
  <c r="BO129" i="2"/>
  <c r="BM129" i="2"/>
  <c r="Z129" i="2"/>
  <c r="Z130" i="2" s="1"/>
  <c r="Y129" i="2"/>
  <c r="BP129" i="2" s="1"/>
  <c r="P129" i="2"/>
  <c r="X127" i="2"/>
  <c r="X126" i="2"/>
  <c r="BO125" i="2"/>
  <c r="BM125" i="2"/>
  <c r="Z125" i="2"/>
  <c r="Z126" i="2" s="1"/>
  <c r="Y125" i="2"/>
  <c r="BN125" i="2" s="1"/>
  <c r="P125" i="2"/>
  <c r="X123" i="2"/>
  <c r="X122" i="2"/>
  <c r="BO121" i="2"/>
  <c r="BM121" i="2"/>
  <c r="Z121" i="2"/>
  <c r="Y121" i="2"/>
  <c r="BP121" i="2" s="1"/>
  <c r="P121" i="2"/>
  <c r="BO120" i="2"/>
  <c r="BM120" i="2"/>
  <c r="Z120" i="2"/>
  <c r="Y120" i="2"/>
  <c r="BP120" i="2" s="1"/>
  <c r="P120" i="2"/>
  <c r="BO119" i="2"/>
  <c r="BM119" i="2"/>
  <c r="Z119" i="2"/>
  <c r="Y119" i="2"/>
  <c r="BP119" i="2" s="1"/>
  <c r="P119" i="2"/>
  <c r="BO118" i="2"/>
  <c r="BM118" i="2"/>
  <c r="Z118" i="2"/>
  <c r="Y118" i="2"/>
  <c r="P118" i="2"/>
  <c r="BO117" i="2"/>
  <c r="BM117" i="2"/>
  <c r="Z117" i="2"/>
  <c r="Y117" i="2"/>
  <c r="BN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BN115" i="2" s="1"/>
  <c r="P115" i="2"/>
  <c r="X112" i="2"/>
  <c r="X111" i="2"/>
  <c r="BO110" i="2"/>
  <c r="BM110" i="2"/>
  <c r="Z110" i="2"/>
  <c r="Y110" i="2"/>
  <c r="P110" i="2"/>
  <c r="BO109" i="2"/>
  <c r="BM109" i="2"/>
  <c r="Z109" i="2"/>
  <c r="Y109" i="2"/>
  <c r="BP109" i="2" s="1"/>
  <c r="P109" i="2"/>
  <c r="X106" i="2"/>
  <c r="X105" i="2"/>
  <c r="BO104" i="2"/>
  <c r="BM104" i="2"/>
  <c r="Z104" i="2"/>
  <c r="Y104" i="2"/>
  <c r="BP104" i="2" s="1"/>
  <c r="P104" i="2"/>
  <c r="BO103" i="2"/>
  <c r="BM103" i="2"/>
  <c r="Z103" i="2"/>
  <c r="Y103" i="2"/>
  <c r="BP103" i="2" s="1"/>
  <c r="P103" i="2"/>
  <c r="BO102" i="2"/>
  <c r="BM102" i="2"/>
  <c r="Z102" i="2"/>
  <c r="Y102" i="2"/>
  <c r="BN102" i="2" s="1"/>
  <c r="P102" i="2"/>
  <c r="BO101" i="2"/>
  <c r="BM101" i="2"/>
  <c r="Z101" i="2"/>
  <c r="Y101" i="2"/>
  <c r="P101" i="2"/>
  <c r="BO100" i="2"/>
  <c r="BM100" i="2"/>
  <c r="Z100" i="2"/>
  <c r="Y100" i="2"/>
  <c r="BN100" i="2" s="1"/>
  <c r="P100" i="2"/>
  <c r="BO99" i="2"/>
  <c r="BM99" i="2"/>
  <c r="Z99" i="2"/>
  <c r="Y99" i="2"/>
  <c r="P99" i="2"/>
  <c r="BO98" i="2"/>
  <c r="BM98" i="2"/>
  <c r="Z98" i="2"/>
  <c r="Y98" i="2"/>
  <c r="BN98" i="2" s="1"/>
  <c r="P98" i="2"/>
  <c r="X95" i="2"/>
  <c r="X94" i="2"/>
  <c r="BO93" i="2"/>
  <c r="BM93" i="2"/>
  <c r="Z93" i="2"/>
  <c r="Y93" i="2"/>
  <c r="P93" i="2"/>
  <c r="BO92" i="2"/>
  <c r="BM92" i="2"/>
  <c r="Z92" i="2"/>
  <c r="Y92" i="2"/>
  <c r="BP92" i="2" s="1"/>
  <c r="P92" i="2"/>
  <c r="X89" i="2"/>
  <c r="X88" i="2"/>
  <c r="BO87" i="2"/>
  <c r="BM87" i="2"/>
  <c r="Z87" i="2"/>
  <c r="Z88" i="2" s="1"/>
  <c r="Y87" i="2"/>
  <c r="P87" i="2"/>
  <c r="X84" i="2"/>
  <c r="X83" i="2"/>
  <c r="BO82" i="2"/>
  <c r="BM82" i="2"/>
  <c r="Z82" i="2"/>
  <c r="Y82" i="2"/>
  <c r="BP82" i="2" s="1"/>
  <c r="P82" i="2"/>
  <c r="BO81" i="2"/>
  <c r="BM81" i="2"/>
  <c r="Z81" i="2"/>
  <c r="Y81" i="2"/>
  <c r="P81" i="2"/>
  <c r="X78" i="2"/>
  <c r="X77" i="2"/>
  <c r="BO76" i="2"/>
  <c r="BM76" i="2"/>
  <c r="Z76" i="2"/>
  <c r="Y76" i="2"/>
  <c r="BP76" i="2" s="1"/>
  <c r="P76" i="2"/>
  <c r="BO75" i="2"/>
  <c r="BM75" i="2"/>
  <c r="Z75" i="2"/>
  <c r="Y75" i="2"/>
  <c r="P75" i="2"/>
  <c r="BO74" i="2"/>
  <c r="BM74" i="2"/>
  <c r="Z74" i="2"/>
  <c r="Y74" i="2"/>
  <c r="BP74" i="2" s="1"/>
  <c r="P74" i="2"/>
  <c r="X72" i="2"/>
  <c r="X71" i="2"/>
  <c r="BO70" i="2"/>
  <c r="BM70" i="2"/>
  <c r="Z70" i="2"/>
  <c r="Z71" i="2" s="1"/>
  <c r="Y70" i="2"/>
  <c r="P70" i="2"/>
  <c r="BO69" i="2"/>
  <c r="BM69" i="2"/>
  <c r="Z69" i="2"/>
  <c r="Y69" i="2"/>
  <c r="BP69" i="2" s="1"/>
  <c r="P69" i="2"/>
  <c r="X67" i="2"/>
  <c r="X66" i="2"/>
  <c r="BO65" i="2"/>
  <c r="BM65" i="2"/>
  <c r="Z65" i="2"/>
  <c r="Z66" i="2" s="1"/>
  <c r="Y65" i="2"/>
  <c r="P65" i="2"/>
  <c r="X63" i="2"/>
  <c r="X62" i="2"/>
  <c r="BO61" i="2"/>
  <c r="BM61" i="2"/>
  <c r="Z61" i="2"/>
  <c r="Z62" i="2" s="1"/>
  <c r="Y61" i="2"/>
  <c r="Y63" i="2" s="1"/>
  <c r="P61" i="2"/>
  <c r="X58" i="2"/>
  <c r="X57" i="2"/>
  <c r="BO56" i="2"/>
  <c r="BM56" i="2"/>
  <c r="Z56" i="2"/>
  <c r="Y56" i="2"/>
  <c r="BP56" i="2" s="1"/>
  <c r="P56" i="2"/>
  <c r="BO55" i="2"/>
  <c r="BM55" i="2"/>
  <c r="Z55" i="2"/>
  <c r="Y55" i="2"/>
  <c r="BP55" i="2" s="1"/>
  <c r="P55" i="2"/>
  <c r="BO54" i="2"/>
  <c r="BM54" i="2"/>
  <c r="Z54" i="2"/>
  <c r="Y54" i="2"/>
  <c r="BP54" i="2" s="1"/>
  <c r="P54" i="2"/>
  <c r="BO53" i="2"/>
  <c r="BM53" i="2"/>
  <c r="Z53" i="2"/>
  <c r="Y53" i="2"/>
  <c r="BP53" i="2" s="1"/>
  <c r="P53" i="2"/>
  <c r="X50" i="2"/>
  <c r="X49" i="2"/>
  <c r="BO48" i="2"/>
  <c r="BM48" i="2"/>
  <c r="Z48" i="2"/>
  <c r="Y48" i="2"/>
  <c r="BP48" i="2" s="1"/>
  <c r="P48" i="2"/>
  <c r="BO47" i="2"/>
  <c r="BM47" i="2"/>
  <c r="Z47" i="2"/>
  <c r="Y47" i="2"/>
  <c r="BP47" i="2" s="1"/>
  <c r="P47" i="2"/>
  <c r="BO46" i="2"/>
  <c r="BM46" i="2"/>
  <c r="Z46" i="2"/>
  <c r="Y46" i="2"/>
  <c r="P46" i="2"/>
  <c r="X43" i="2"/>
  <c r="X42" i="2"/>
  <c r="BO41" i="2"/>
  <c r="BM41" i="2"/>
  <c r="Z41" i="2"/>
  <c r="Y41" i="2"/>
  <c r="BP41" i="2" s="1"/>
  <c r="P41" i="2"/>
  <c r="BO40" i="2"/>
  <c r="BM40" i="2"/>
  <c r="Z40" i="2"/>
  <c r="Y40" i="2"/>
  <c r="P40" i="2"/>
  <c r="X36" i="2"/>
  <c r="X35" i="2"/>
  <c r="BO34" i="2"/>
  <c r="BM34" i="2"/>
  <c r="Z34" i="2"/>
  <c r="Y34" i="2"/>
  <c r="P34" i="2"/>
  <c r="BO33" i="2"/>
  <c r="BM33" i="2"/>
  <c r="Z33" i="2"/>
  <c r="Y33" i="2"/>
  <c r="BP33" i="2" s="1"/>
  <c r="P33" i="2"/>
  <c r="X30" i="2"/>
  <c r="X29" i="2"/>
  <c r="BO28" i="2"/>
  <c r="BM28" i="2"/>
  <c r="Z28" i="2"/>
  <c r="Y28" i="2"/>
  <c r="BP28" i="2" s="1"/>
  <c r="P28" i="2"/>
  <c r="BO27" i="2"/>
  <c r="BM27" i="2"/>
  <c r="Z27" i="2"/>
  <c r="Y27" i="2"/>
  <c r="BP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N24" i="2" s="1"/>
  <c r="P24" i="2"/>
  <c r="BO23" i="2"/>
  <c r="BM23" i="2"/>
  <c r="Z23" i="2"/>
  <c r="Y23" i="2"/>
  <c r="P23" i="2"/>
  <c r="BO22" i="2"/>
  <c r="BM22" i="2"/>
  <c r="Z22" i="2"/>
  <c r="Y22" i="2"/>
  <c r="BP22" i="2" s="1"/>
  <c r="P22" i="2"/>
  <c r="H10" i="2"/>
  <c r="A9" i="2"/>
  <c r="A10" i="2" s="1"/>
  <c r="D7" i="2"/>
  <c r="Q6" i="2"/>
  <c r="P2" i="2"/>
  <c r="Y49" i="2" l="1"/>
  <c r="Y84" i="2"/>
  <c r="Z111" i="2"/>
  <c r="Y230" i="2"/>
  <c r="Y163" i="2"/>
  <c r="Z83" i="2"/>
  <c r="BN189" i="2"/>
  <c r="Y144" i="2"/>
  <c r="Z144" i="2"/>
  <c r="Z105" i="2"/>
  <c r="BP98" i="2"/>
  <c r="BN92" i="2"/>
  <c r="Y95" i="2"/>
  <c r="X273" i="2"/>
  <c r="Z57" i="2"/>
  <c r="BP24" i="2"/>
  <c r="Y58" i="2"/>
  <c r="Y106" i="2"/>
  <c r="BN103" i="2"/>
  <c r="BN109" i="2"/>
  <c r="Y111" i="2"/>
  <c r="BP117" i="2"/>
  <c r="Y130" i="2"/>
  <c r="Z137" i="2"/>
  <c r="BP135" i="2"/>
  <c r="Z151" i="2"/>
  <c r="Z157" i="2"/>
  <c r="BP161" i="2"/>
  <c r="Y162" i="2"/>
  <c r="BP177" i="2"/>
  <c r="Z184" i="2"/>
  <c r="Z193" i="2"/>
  <c r="Y199" i="2"/>
  <c r="BP203" i="2"/>
  <c r="Z246" i="2"/>
  <c r="BN245" i="2"/>
  <c r="Y246" i="2"/>
  <c r="Y247" i="2"/>
  <c r="Y251" i="2"/>
  <c r="Y257" i="2"/>
  <c r="BN254" i="2"/>
  <c r="BP259" i="2"/>
  <c r="BN267" i="2"/>
  <c r="Z29" i="2"/>
  <c r="BN22" i="2"/>
  <c r="Y30" i="2"/>
  <c r="BN27" i="2"/>
  <c r="Z35" i="2"/>
  <c r="BN33" i="2"/>
  <c r="Y36" i="2"/>
  <c r="Z42" i="2"/>
  <c r="Z49" i="2"/>
  <c r="BN48" i="2"/>
  <c r="BN54" i="2"/>
  <c r="Y57" i="2"/>
  <c r="Z94" i="2"/>
  <c r="BP100" i="2"/>
  <c r="BN120" i="2"/>
  <c r="Y131" i="2"/>
  <c r="BP141" i="2"/>
  <c r="Y145" i="2"/>
  <c r="Z179" i="2"/>
  <c r="BP182" i="2"/>
  <c r="Z269" i="2"/>
  <c r="Y211" i="2"/>
  <c r="BP210" i="2"/>
  <c r="BN210" i="2"/>
  <c r="Y212" i="2"/>
  <c r="BN265" i="2"/>
  <c r="BN190" i="2"/>
  <c r="Y194" i="2"/>
  <c r="BP190" i="2"/>
  <c r="Y193" i="2"/>
  <c r="Y72" i="2"/>
  <c r="Y71" i="2"/>
  <c r="BP70" i="2"/>
  <c r="BN75" i="2"/>
  <c r="BP75" i="2"/>
  <c r="Y127" i="2"/>
  <c r="BP125" i="2"/>
  <c r="Y126" i="2"/>
  <c r="BN260" i="2"/>
  <c r="Y269" i="2"/>
  <c r="BP260" i="2"/>
  <c r="BN142" i="2"/>
  <c r="BP142" i="2"/>
  <c r="Y185" i="2"/>
  <c r="Y184" i="2"/>
  <c r="BN183" i="2"/>
  <c r="BP183" i="2"/>
  <c r="BN204" i="2"/>
  <c r="BP204" i="2"/>
  <c r="Y157" i="2"/>
  <c r="Y158" i="2"/>
  <c r="BP156" i="2"/>
  <c r="Y236" i="2"/>
  <c r="Y235" i="2"/>
  <c r="BP234" i="2"/>
  <c r="BN234" i="2"/>
  <c r="BN46" i="2"/>
  <c r="BN156" i="2"/>
  <c r="Y152" i="2"/>
  <c r="Y151" i="2"/>
  <c r="BP148" i="2"/>
  <c r="BN148" i="2"/>
  <c r="Y77" i="2"/>
  <c r="BP136" i="2"/>
  <c r="BN136" i="2"/>
  <c r="BN178" i="2"/>
  <c r="Y180" i="2"/>
  <c r="Y179" i="2"/>
  <c r="BP178" i="2"/>
  <c r="Y67" i="2"/>
  <c r="BP65" i="2"/>
  <c r="Y66" i="2"/>
  <c r="BN25" i="2"/>
  <c r="Y43" i="2"/>
  <c r="Y42" i="2"/>
  <c r="BP40" i="2"/>
  <c r="Z77" i="2"/>
  <c r="Y83" i="2"/>
  <c r="BP81" i="2"/>
  <c r="BN81" i="2"/>
  <c r="BP118" i="2"/>
  <c r="BN118" i="2"/>
  <c r="BN255" i="2"/>
  <c r="BN70" i="2"/>
  <c r="X272" i="2"/>
  <c r="BP101" i="2"/>
  <c r="BN101" i="2"/>
  <c r="Y123" i="2"/>
  <c r="Y122" i="2"/>
  <c r="BP115" i="2"/>
  <c r="Y206" i="2"/>
  <c r="X275" i="2"/>
  <c r="Y50" i="2"/>
  <c r="BP46" i="2"/>
  <c r="Y78" i="2"/>
  <c r="X271" i="2"/>
  <c r="Z122" i="2"/>
  <c r="Z206" i="2"/>
  <c r="Y89" i="2"/>
  <c r="Y88" i="2"/>
  <c r="BP87" i="2"/>
  <c r="BN87" i="2"/>
  <c r="BN65" i="2"/>
  <c r="BN40" i="2"/>
  <c r="BN150" i="2"/>
  <c r="Y172" i="2"/>
  <c r="Y173" i="2"/>
  <c r="BP171" i="2"/>
  <c r="BN192" i="2"/>
  <c r="Y218" i="2"/>
  <c r="Y217" i="2"/>
  <c r="BP216" i="2"/>
  <c r="BN216" i="2"/>
  <c r="BP268" i="2"/>
  <c r="BN268" i="2"/>
  <c r="BN55" i="2"/>
  <c r="BN34" i="2"/>
  <c r="BN121" i="2"/>
  <c r="BN202" i="2"/>
  <c r="BN61" i="2"/>
  <c r="BP253" i="2"/>
  <c r="BP263" i="2"/>
  <c r="BN205" i="2"/>
  <c r="BN261" i="2"/>
  <c r="BN28" i="2"/>
  <c r="BN93" i="2"/>
  <c r="BN104" i="2"/>
  <c r="BN23" i="2"/>
  <c r="BN99" i="2"/>
  <c r="BN110" i="2"/>
  <c r="BN134" i="2"/>
  <c r="Y137" i="2"/>
  <c r="BN41" i="2"/>
  <c r="BN116" i="2"/>
  <c r="BN166" i="2"/>
  <c r="H9" i="2"/>
  <c r="BP23" i="2"/>
  <c r="BP34" i="2"/>
  <c r="BN47" i="2"/>
  <c r="BP61" i="2"/>
  <c r="BP99" i="2"/>
  <c r="BP202" i="2"/>
  <c r="BN266" i="2"/>
  <c r="BN26" i="2"/>
  <c r="BN76" i="2"/>
  <c r="Y105" i="2"/>
  <c r="Y138" i="2"/>
  <c r="BP166" i="2"/>
  <c r="Y35" i="2"/>
  <c r="Y62" i="2"/>
  <c r="BN143" i="2"/>
  <c r="BN244" i="2"/>
  <c r="F10" i="2"/>
  <c r="BP102" i="2"/>
  <c r="BN149" i="2"/>
  <c r="Y167" i="2"/>
  <c r="BN191" i="2"/>
  <c r="BN249" i="2"/>
  <c r="Y270" i="2"/>
  <c r="BN129" i="2"/>
  <c r="BN155" i="2"/>
  <c r="BP228" i="2"/>
  <c r="BN74" i="2"/>
  <c r="Y112" i="2"/>
  <c r="BN253" i="2"/>
  <c r="Y256" i="2"/>
  <c r="F9" i="2"/>
  <c r="BP93" i="2"/>
  <c r="BP110" i="2"/>
  <c r="J9" i="2"/>
  <c r="Y29" i="2"/>
  <c r="BN53" i="2"/>
  <c r="Y94" i="2"/>
  <c r="BN82" i="2"/>
  <c r="BN119" i="2"/>
  <c r="BN228" i="2"/>
  <c r="BN56" i="2"/>
  <c r="BN69" i="2"/>
  <c r="BN141" i="2"/>
  <c r="X274" i="2" l="1"/>
  <c r="Z276" i="2"/>
  <c r="Y273" i="2"/>
  <c r="Y271" i="2"/>
  <c r="Y272" i="2"/>
  <c r="Y275" i="2"/>
  <c r="Y274" i="2" l="1"/>
  <c r="A284" i="2" s="1"/>
  <c r="C284" i="2"/>
  <c r="B284" i="2"/>
</calcChain>
</file>

<file path=xl/sharedStrings.xml><?xml version="1.0" encoding="utf-8"?>
<sst xmlns="http://schemas.openxmlformats.org/spreadsheetml/2006/main" count="1706" uniqueCount="396">
  <si>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</si>
  <si>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</si>
  <si>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</si>
  <si>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</si>
  <si>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</si>
  <si>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</si>
  <si>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</si>
  <si>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</si>
  <si>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</si>
  <si>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</si>
  <si>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</si>
  <si>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</si>
  <si>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</si>
  <si>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</si>
  <si>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</si>
  <si>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</si>
  <si>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</si>
  <si>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</si>
  <si>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</si>
  <si>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</si>
  <si>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</si>
  <si>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</si>
  <si>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</si>
  <si>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</si>
  <si>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</si>
  <si>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</si>
  <si>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</si>
  <si>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</si>
  <si>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</si>
  <si>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</si>
  <si>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</si>
  <si>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</si>
  <si>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</si>
  <si>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</si>
  <si>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</si>
  <si>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</si>
  <si>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</si>
  <si>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</si>
  <si>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</si>
  <si>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</si>
  <si>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</si>
  <si>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</si>
  <si>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</si>
  <si>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</si>
  <si>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</si>
  <si>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</si>
  <si>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</si>
  <si>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</si>
  <si>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</si>
  <si>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</si>
  <si>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</si>
  <si>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</si>
  <si>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</si>
  <si>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</si>
  <si>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</si>
  <si>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</si>
  <si>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</si>
  <si>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</si>
  <si>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</si>
  <si>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</si>
  <si>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</si>
  <si>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</si>
  <si>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</si>
  <si>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</si>
  <si>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</si>
  <si>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</si>
  <si>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</si>
  <si>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</si>
  <si>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</si>
  <si>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</si>
  <si>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</si>
  <si>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24.03.2026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</si>
  <si>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</si>
  <si>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</si>
  <si>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</si>
  <si>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</si>
  <si>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</si>
  <si>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</si>
  <si>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Запорожская обл, Мелитополь г, Семёновка с., Северный переезд ул, стр 3,</t>
  </si>
  <si>
    <t>272355Российская Федерация, Запорожская обл, Мелитопольский р-н, Мелитополь г, Семёновка с., Северный переезд ул, стр 3,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</si>
  <si>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</si>
  <si>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</si>
  <si>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</si>
  <si>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</si>
  <si>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</si>
  <si>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</si>
  <si>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</si>
  <si>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</si>
  <si>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</si>
  <si>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</si>
  <si>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</si>
  <si>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</si>
  <si>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</si>
  <si>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</si>
  <si>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</si>
  <si>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</si>
  <si>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</si>
  <si>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</si>
  <si>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</si>
  <si>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</si>
  <si>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</si>
  <si>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</si>
  <si>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</si>
  <si>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</si>
  <si>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</si>
  <si>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</si>
  <si>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</si>
  <si>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</si>
  <si>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</si>
  <si>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</si>
  <si>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</si>
  <si>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</si>
  <si>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</si>
  <si>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</si>
  <si>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</si>
  <si>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</si>
  <si>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</si>
  <si>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</si>
  <si>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</si>
  <si>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</si>
  <si>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</si>
  <si>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</si>
  <si>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</si>
  <si>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</si>
  <si>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</si>
  <si>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</si>
  <si>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</si>
  <si>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</si>
  <si>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</si>
  <si>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</si>
  <si>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</si>
  <si>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</si>
  <si>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</si>
  <si>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</si>
  <si>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</si>
  <si>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</si>
  <si>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</si>
  <si>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</si>
  <si>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</si>
  <si>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</si>
  <si>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</si>
  <si>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</si>
  <si>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</si>
  <si>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</si>
  <si>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</si>
  <si>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</si>
  <si>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</si>
  <si>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</si>
  <si>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</si>
  <si>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</si>
  <si>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</si>
  <si>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</si>
  <si>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</si>
  <si>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</si>
  <si>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</si>
  <si>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</si>
  <si>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</si>
  <si>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</si>
  <si>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</si>
  <si>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</si>
  <si>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</si>
  <si>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</si>
  <si>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</si>
  <si>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</si>
  <si>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</si>
  <si>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</si>
  <si>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</si>
  <si>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</si>
  <si>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</si>
  <si>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</si>
  <si>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</si>
  <si>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</si>
  <si>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</si>
  <si>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</si>
  <si>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</si>
  <si>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</si>
  <si>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</si>
  <si>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</si>
  <si>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</si>
  <si>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</si>
  <si>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</si>
  <si>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</si>
  <si>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</si>
  <si>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</si>
  <si>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</si>
  <si>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</si>
  <si>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</si>
  <si>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</si>
  <si>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</si>
  <si>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</si>
  <si>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</si>
  <si>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</si>
  <si>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</si>
  <si>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</si>
  <si>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</si>
  <si>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SU004097</t>
  </si>
  <si>
    <t>P005291</t>
  </si>
  <si>
    <t>ЕАЭС N RU Д-RU.РА11.В.05259/25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</si>
  <si>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</si>
  <si>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</si>
  <si>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</si>
  <si>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</si>
  <si>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</si>
  <si>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</si>
  <si>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</si>
  <si>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</si>
  <si>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</si>
  <si>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</si>
  <si>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</si>
  <si>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</si>
  <si>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</si>
  <si>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</si>
  <si>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</si>
  <si>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</si>
  <si>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</si>
  <si>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</si>
  <si>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</si>
  <si>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</si>
  <si>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</si>
  <si>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</si>
  <si>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</si>
  <si>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</si>
  <si>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</si>
  <si>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</si>
  <si>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</si>
  <si>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</si>
  <si>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</si>
  <si>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</si>
  <si>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</si>
  <si>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Хрустипай мини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</si>
  <si>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</si>
  <si>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</si>
  <si>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</si>
  <si>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</si>
  <si>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</si>
  <si>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</si>
  <si>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</si>
  <si>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</si>
  <si>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</si>
  <si>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SU004032</t>
  </si>
  <si>
    <t>P005180</t>
  </si>
  <si>
    <t>SU003578</t>
  </si>
  <si>
    <t>P004484</t>
  </si>
  <si>
    <t>ЕАЭС N RU Д-RU.РА10.В.33475/23</t>
  </si>
  <si>
    <t>SU003580</t>
  </si>
  <si>
    <t>P004486</t>
  </si>
  <si>
    <t>Хотстеры</t>
  </si>
  <si>
    <t>SU004034</t>
  </si>
  <si>
    <t>P005182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</si>
  <si>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</si>
  <si>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</si>
  <si>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</si>
  <si>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</si>
  <si>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</si>
  <si>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</si>
  <si>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</si>
  <si>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</si>
  <si>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</si>
  <si>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</si>
  <si>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</si>
  <si>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</si>
  <si>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</si>
  <si>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</si>
  <si>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</si>
  <si>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</si>
  <si>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</si>
  <si>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</si>
  <si>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</si>
  <si>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</si>
  <si>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</si>
  <si>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</si>
  <si>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</si>
  <si>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</si>
  <si>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</si>
  <si>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</si>
  <si>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</si>
  <si>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</si>
  <si>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</si>
  <si>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</si>
  <si>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</si>
  <si>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</si>
  <si>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</si>
  <si>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</si>
  <si>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</si>
  <si>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</si>
  <si>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</si>
  <si>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</si>
  <si>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</si>
  <si>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</si>
  <si>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</si>
  <si>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</si>
  <si>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</si>
  <si>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</si>
  <si>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</si>
  <si>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</si>
  <si>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</si>
  <si>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</si>
  <si>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</si>
  <si>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</si>
  <si>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</si>
  <si>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</si>
  <si>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</si>
  <si>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</si>
  <si>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</si>
  <si>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</si>
  <si>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</si>
  <si>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</si>
  <si>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</si>
  <si>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</si>
  <si>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</si>
  <si>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</si>
  <si>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</si>
  <si>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</si>
  <si>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</si>
  <si>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</si>
  <si>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</si>
  <si>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</si>
  <si>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</si>
  <si>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</si>
  <si>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</si>
  <si>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</si>
  <si>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</si>
  <si>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</si>
  <si>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</si>
  <si>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</si>
  <si>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</si>
  <si>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</si>
  <si>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</si>
  <si>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</si>
  <si>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</si>
  <si>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</si>
  <si>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</si>
  <si>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</si>
  <si>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</si>
  <si>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</si>
  <si>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</si>
  <si>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</si>
  <si>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</si>
  <si>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</si>
  <si>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</si>
  <si>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</si>
  <si>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</si>
  <si>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</si>
  <si>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</si>
  <si>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</si>
  <si>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</si>
  <si>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</si>
  <si>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</si>
  <si>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</si>
  <si>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</si>
  <si>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</si>
  <si>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</si>
  <si>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</si>
  <si>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</si>
  <si>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</si>
  <si>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</si>
  <si>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</si>
  <si>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</si>
  <si>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</si>
  <si>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</si>
  <si>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</si>
  <si>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</si>
  <si>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</si>
  <si>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</si>
  <si>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</si>
  <si>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</si>
  <si>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</si>
  <si>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</si>
  <si>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</si>
  <si>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</si>
  <si>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</si>
  <si>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</si>
  <si>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</si>
  <si>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</si>
  <si>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</si>
  <si>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</si>
  <si>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</si>
  <si>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</si>
  <si>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</si>
  <si>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</si>
  <si>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</si>
  <si>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</si>
  <si>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</si>
  <si>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596383_10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</si>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</sst>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54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4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59" t="s">
        <v>26</v>
      </c>
      <c r="E1" s="459"/>
      <c r="F1" s="459"/>
      <c r="G1" s="14" t="s">
        <v>70</v>
      </c>
      <c r="H1" s="459" t="s">
        <v>47</v>
      </c>
      <c r="I1" s="459"/>
      <c r="J1" s="459"/>
      <c r="K1" s="459"/>
      <c r="L1" s="459"/>
      <c r="M1" s="459"/>
      <c r="N1" s="459"/>
      <c r="O1" s="459"/>
      <c r="P1" s="459"/>
      <c r="Q1" s="459"/>
      <c r="R1" s="460" t="s">
        <v>71</v>
      </c>
      <c r="S1" s="461"/>
      <c r="T1" s="46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71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6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62"/>
      <c r="R2" s="462"/>
      <c r="S2" s="462"/>
      <c r="T2" s="462"/>
      <c r="U2" s="462"/>
      <c r="V2" s="462"/>
      <c r="W2" s="46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62"/>
      <c r="Q3" s="462"/>
      <c r="R3" s="462"/>
      <c r="S3" s="462"/>
      <c r="T3" s="462"/>
      <c r="U3" s="462"/>
      <c r="V3" s="462"/>
      <c r="W3" s="46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41" t="s">
        <v>8</v>
      </c>
      <c r="B5" s="441"/>
      <c r="C5" s="441"/>
      <c r="D5" s="463"/>
      <c r="E5" s="463"/>
      <c r="F5" s="464" t="s">
        <v>14</v>
      </c>
      <c r="G5" s="464"/>
      <c r="H5" s="463"/>
      <c r="I5" s="463"/>
      <c r="J5" s="463"/>
      <c r="K5" s="463"/>
      <c r="L5" s="463"/>
      <c r="M5" s="463"/>
      <c r="N5" s="75"/>
      <c r="P5" s="27" t="s">
        <v>4</v>
      </c>
      <c r="Q5" s="465">
        <v>46196</v>
      </c>
      <c r="R5" s="465"/>
      <c r="T5" s="466" t="s">
        <v>3</v>
      </c>
      <c r="U5" s="467"/>
      <c r="V5" s="468" t="s">
        <v>382</v>
      </c>
      <c r="W5" s="469"/>
      <c r="AB5" s="59"/>
      <c r="AC5" s="59"/>
      <c r="AD5" s="59"/>
      <c r="AE5" s="59"/>
    </row>
    <row r="6" spans="1:32" s="17" customFormat="1" ht="24" customHeight="1" x14ac:dyDescent="0.2">
      <c r="A6" s="441" t="s">
        <v>1</v>
      </c>
      <c r="B6" s="441"/>
      <c r="C6" s="441"/>
      <c r="D6" s="442" t="s">
        <v>78</v>
      </c>
      <c r="E6" s="442"/>
      <c r="F6" s="442"/>
      <c r="G6" s="442"/>
      <c r="H6" s="442"/>
      <c r="I6" s="442"/>
      <c r="J6" s="442"/>
      <c r="K6" s="442"/>
      <c r="L6" s="442"/>
      <c r="M6" s="442"/>
      <c r="N6" s="76"/>
      <c r="P6" s="27" t="s">
        <v>27</v>
      </c>
      <c r="Q6" s="443" t="str">
        <f>IF(Q5=0," ",CHOOSE(WEEKDAY(Q5,2),"Понедельник","Вторник","Среда","Четверг","Пятница","Суббота","Воскресенье"))</f>
        <v>Вторник</v>
      </c>
      <c r="R6" s="443"/>
      <c r="T6" s="444" t="s">
        <v>5</v>
      </c>
      <c r="U6" s="445"/>
      <c r="V6" s="446" t="s">
        <v>72</v>
      </c>
      <c r="W6" s="44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52" t="str">
        <f>IFERROR(VLOOKUP(DeliveryAddress,Table,3,0),1)</f>
        <v>1</v>
      </c>
      <c r="E7" s="453"/>
      <c r="F7" s="453"/>
      <c r="G7" s="453"/>
      <c r="H7" s="453"/>
      <c r="I7" s="453"/>
      <c r="J7" s="453"/>
      <c r="K7" s="453"/>
      <c r="L7" s="453"/>
      <c r="M7" s="454"/>
      <c r="N7" s="77"/>
      <c r="P7" s="29"/>
      <c r="Q7" s="48"/>
      <c r="R7" s="48"/>
      <c r="T7" s="444"/>
      <c r="U7" s="445"/>
      <c r="V7" s="448"/>
      <c r="W7" s="449"/>
      <c r="AB7" s="59"/>
      <c r="AC7" s="59"/>
      <c r="AD7" s="59"/>
      <c r="AE7" s="59"/>
    </row>
    <row r="8" spans="1:32" s="17" customFormat="1" ht="25.5" customHeight="1" x14ac:dyDescent="0.2">
      <c r="A8" s="455" t="s">
        <v>58</v>
      </c>
      <c r="B8" s="455"/>
      <c r="C8" s="455"/>
      <c r="D8" s="456" t="s">
        <v>79</v>
      </c>
      <c r="E8" s="456"/>
      <c r="F8" s="456"/>
      <c r="G8" s="456"/>
      <c r="H8" s="456"/>
      <c r="I8" s="456"/>
      <c r="J8" s="456"/>
      <c r="K8" s="456"/>
      <c r="L8" s="456"/>
      <c r="M8" s="456"/>
      <c r="N8" s="78"/>
      <c r="P8" s="27" t="s">
        <v>11</v>
      </c>
      <c r="Q8" s="439">
        <v>0.41666666666666669</v>
      </c>
      <c r="R8" s="439"/>
      <c r="T8" s="444"/>
      <c r="U8" s="445"/>
      <c r="V8" s="448"/>
      <c r="W8" s="449"/>
      <c r="AB8" s="59"/>
      <c r="AC8" s="59"/>
      <c r="AD8" s="59"/>
      <c r="AE8" s="59"/>
    </row>
    <row r="9" spans="1:32" s="17" customFormat="1" ht="39.950000000000003" customHeight="1" x14ac:dyDescent="0.2">
      <c r="A9" s="43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31"/>
      <c r="C9" s="431"/>
      <c r="D9" s="432" t="s">
        <v>46</v>
      </c>
      <c r="E9" s="433"/>
      <c r="F9" s="43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31"/>
      <c r="H9" s="457" t="str">
        <f>IF(AND($A$9="Тип доверенности/получателя при получении в адресе перегруза:",$D$9="Разовая доверенность"),"Введите ФИО","")</f>
        <v/>
      </c>
      <c r="I9" s="457"/>
      <c r="J9" s="4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57"/>
      <c r="L9" s="457"/>
      <c r="M9" s="457"/>
      <c r="N9" s="73"/>
      <c r="P9" s="31" t="s">
        <v>15</v>
      </c>
      <c r="Q9" s="458"/>
      <c r="R9" s="458"/>
      <c r="T9" s="444"/>
      <c r="U9" s="445"/>
      <c r="V9" s="450"/>
      <c r="W9" s="45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3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31"/>
      <c r="C10" s="431"/>
      <c r="D10" s="432"/>
      <c r="E10" s="433"/>
      <c r="F10" s="43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31"/>
      <c r="H10" s="434" t="str">
        <f>IFERROR(VLOOKUP($D$10,Proxy,2,FALSE),"")</f>
        <v/>
      </c>
      <c r="I10" s="434"/>
      <c r="J10" s="434"/>
      <c r="K10" s="434"/>
      <c r="L10" s="434"/>
      <c r="M10" s="434"/>
      <c r="N10" s="74"/>
      <c r="P10" s="31" t="s">
        <v>32</v>
      </c>
      <c r="Q10" s="435"/>
      <c r="R10" s="435"/>
      <c r="U10" s="29" t="s">
        <v>12</v>
      </c>
      <c r="V10" s="436" t="s">
        <v>73</v>
      </c>
      <c r="W10" s="43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38"/>
      <c r="R11" s="438"/>
      <c r="U11" s="29" t="s">
        <v>28</v>
      </c>
      <c r="V11" s="417" t="s">
        <v>55</v>
      </c>
      <c r="W11" s="41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16" t="s">
        <v>74</v>
      </c>
      <c r="B12" s="416"/>
      <c r="C12" s="416"/>
      <c r="D12" s="416"/>
      <c r="E12" s="416"/>
      <c r="F12" s="416"/>
      <c r="G12" s="416"/>
      <c r="H12" s="416"/>
      <c r="I12" s="416"/>
      <c r="J12" s="416"/>
      <c r="K12" s="416"/>
      <c r="L12" s="416"/>
      <c r="M12" s="416"/>
      <c r="N12" s="79"/>
      <c r="P12" s="27" t="s">
        <v>30</v>
      </c>
      <c r="Q12" s="439"/>
      <c r="R12" s="439"/>
      <c r="S12" s="28"/>
      <c r="T12"/>
      <c r="U12" s="29" t="s">
        <v>46</v>
      </c>
      <c r="V12" s="440"/>
      <c r="W12" s="440"/>
      <c r="X12"/>
      <c r="AB12" s="59"/>
      <c r="AC12" s="59"/>
      <c r="AD12" s="59"/>
      <c r="AE12" s="59"/>
    </row>
    <row r="13" spans="1:32" s="17" customFormat="1" ht="23.25" customHeight="1" x14ac:dyDescent="0.2">
      <c r="A13" s="416" t="s">
        <v>75</v>
      </c>
      <c r="B13" s="416"/>
      <c r="C13" s="416"/>
      <c r="D13" s="416"/>
      <c r="E13" s="416"/>
      <c r="F13" s="416"/>
      <c r="G13" s="416"/>
      <c r="H13" s="416"/>
      <c r="I13" s="416"/>
      <c r="J13" s="416"/>
      <c r="K13" s="416"/>
      <c r="L13" s="416"/>
      <c r="M13" s="416"/>
      <c r="N13" s="79"/>
      <c r="O13" s="31"/>
      <c r="P13" s="31" t="s">
        <v>31</v>
      </c>
      <c r="Q13" s="417"/>
      <c r="R13" s="41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16" t="s">
        <v>76</v>
      </c>
      <c r="B14" s="416"/>
      <c r="C14" s="416"/>
      <c r="D14" s="416"/>
      <c r="E14" s="416"/>
      <c r="F14" s="416"/>
      <c r="G14" s="416"/>
      <c r="H14" s="416"/>
      <c r="I14" s="416"/>
      <c r="J14" s="416"/>
      <c r="K14" s="416"/>
      <c r="L14" s="416"/>
      <c r="M14" s="416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18" t="s">
        <v>77</v>
      </c>
      <c r="B15" s="418"/>
      <c r="C15" s="418"/>
      <c r="D15" s="418"/>
      <c r="E15" s="418"/>
      <c r="F15" s="418"/>
      <c r="G15" s="418"/>
      <c r="H15" s="418"/>
      <c r="I15" s="418"/>
      <c r="J15" s="418"/>
      <c r="K15" s="418"/>
      <c r="L15" s="418"/>
      <c r="M15" s="418"/>
      <c r="N15" s="80"/>
      <c r="O15"/>
      <c r="P15" s="419" t="s">
        <v>61</v>
      </c>
      <c r="Q15" s="419"/>
      <c r="R15" s="419"/>
      <c r="S15" s="419"/>
      <c r="T15" s="41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20"/>
      <c r="Q16" s="420"/>
      <c r="R16" s="420"/>
      <c r="S16" s="420"/>
      <c r="T16" s="42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402" t="s">
        <v>59</v>
      </c>
      <c r="B17" s="402" t="s">
        <v>49</v>
      </c>
      <c r="C17" s="423" t="s">
        <v>48</v>
      </c>
      <c r="D17" s="425" t="s">
        <v>50</v>
      </c>
      <c r="E17" s="426"/>
      <c r="F17" s="402" t="s">
        <v>21</v>
      </c>
      <c r="G17" s="402" t="s">
        <v>24</v>
      </c>
      <c r="H17" s="402" t="s">
        <v>22</v>
      </c>
      <c r="I17" s="402" t="s">
        <v>23</v>
      </c>
      <c r="J17" s="402" t="s">
        <v>16</v>
      </c>
      <c r="K17" s="402" t="s">
        <v>69</v>
      </c>
      <c r="L17" s="402" t="s">
        <v>67</v>
      </c>
      <c r="M17" s="402" t="s">
        <v>2</v>
      </c>
      <c r="N17" s="402" t="s">
        <v>66</v>
      </c>
      <c r="O17" s="402" t="s">
        <v>25</v>
      </c>
      <c r="P17" s="425" t="s">
        <v>17</v>
      </c>
      <c r="Q17" s="429"/>
      <c r="R17" s="429"/>
      <c r="S17" s="429"/>
      <c r="T17" s="426"/>
      <c r="U17" s="421" t="s">
        <v>56</v>
      </c>
      <c r="V17" s="422"/>
      <c r="W17" s="402" t="s">
        <v>6</v>
      </c>
      <c r="X17" s="402" t="s">
        <v>41</v>
      </c>
      <c r="Y17" s="404" t="s">
        <v>54</v>
      </c>
      <c r="Z17" s="406" t="s">
        <v>18</v>
      </c>
      <c r="AA17" s="408" t="s">
        <v>60</v>
      </c>
      <c r="AB17" s="408" t="s">
        <v>19</v>
      </c>
      <c r="AC17" s="408" t="s">
        <v>68</v>
      </c>
      <c r="AD17" s="410" t="s">
        <v>57</v>
      </c>
      <c r="AE17" s="411"/>
      <c r="AF17" s="412"/>
      <c r="AG17" s="85"/>
      <c r="BD17" s="84" t="s">
        <v>64</v>
      </c>
    </row>
    <row r="18" spans="1:68" ht="14.25" customHeight="1" x14ac:dyDescent="0.2">
      <c r="A18" s="403"/>
      <c r="B18" s="403"/>
      <c r="C18" s="424"/>
      <c r="D18" s="427"/>
      <c r="E18" s="428"/>
      <c r="F18" s="403"/>
      <c r="G18" s="403"/>
      <c r="H18" s="403"/>
      <c r="I18" s="403"/>
      <c r="J18" s="403"/>
      <c r="K18" s="403"/>
      <c r="L18" s="403"/>
      <c r="M18" s="403"/>
      <c r="N18" s="403"/>
      <c r="O18" s="403"/>
      <c r="P18" s="427"/>
      <c r="Q18" s="430"/>
      <c r="R18" s="430"/>
      <c r="S18" s="430"/>
      <c r="T18" s="428"/>
      <c r="U18" s="86" t="s">
        <v>44</v>
      </c>
      <c r="V18" s="86" t="s">
        <v>43</v>
      </c>
      <c r="W18" s="403"/>
      <c r="X18" s="403"/>
      <c r="Y18" s="405"/>
      <c r="Z18" s="407"/>
      <c r="AA18" s="409"/>
      <c r="AB18" s="409"/>
      <c r="AC18" s="409"/>
      <c r="AD18" s="413"/>
      <c r="AE18" s="414"/>
      <c r="AF18" s="415"/>
      <c r="AG18" s="85"/>
      <c r="BD18" s="84"/>
    </row>
    <row r="19" spans="1:68" ht="27.75" customHeight="1" x14ac:dyDescent="0.2">
      <c r="A19" s="316" t="s">
        <v>80</v>
      </c>
      <c r="B19" s="316"/>
      <c r="C19" s="316"/>
      <c r="D19" s="316"/>
      <c r="E19" s="316"/>
      <c r="F19" s="316"/>
      <c r="G19" s="316"/>
      <c r="H19" s="316"/>
      <c r="I19" s="316"/>
      <c r="J19" s="316"/>
      <c r="K19" s="316"/>
      <c r="L19" s="316"/>
      <c r="M19" s="316"/>
      <c r="N19" s="316"/>
      <c r="O19" s="316"/>
      <c r="P19" s="316"/>
      <c r="Q19" s="316"/>
      <c r="R19" s="316"/>
      <c r="S19" s="316"/>
      <c r="T19" s="316"/>
      <c r="U19" s="316"/>
      <c r="V19" s="316"/>
      <c r="W19" s="316"/>
      <c r="X19" s="316"/>
      <c r="Y19" s="316"/>
      <c r="Z19" s="316"/>
      <c r="AA19" s="54"/>
      <c r="AB19" s="54"/>
      <c r="AC19" s="54"/>
    </row>
    <row r="20" spans="1:68" ht="16.5" customHeight="1" x14ac:dyDescent="0.25">
      <c r="A20" s="317" t="s">
        <v>80</v>
      </c>
      <c r="B20" s="317"/>
      <c r="C20" s="317"/>
      <c r="D20" s="317"/>
      <c r="E20" s="317"/>
      <c r="F20" s="317"/>
      <c r="G20" s="317"/>
      <c r="H20" s="317"/>
      <c r="I20" s="317"/>
      <c r="J20" s="317"/>
      <c r="K20" s="317"/>
      <c r="L20" s="317"/>
      <c r="M20" s="317"/>
      <c r="N20" s="317"/>
      <c r="O20" s="317"/>
      <c r="P20" s="317"/>
      <c r="Q20" s="317"/>
      <c r="R20" s="317"/>
      <c r="S20" s="317"/>
      <c r="T20" s="317"/>
      <c r="U20" s="317"/>
      <c r="V20" s="317"/>
      <c r="W20" s="317"/>
      <c r="X20" s="317"/>
      <c r="Y20" s="317"/>
      <c r="Z20" s="317"/>
      <c r="AA20" s="65"/>
      <c r="AB20" s="65"/>
      <c r="AC20" s="82"/>
    </row>
    <row r="21" spans="1:68" ht="14.25" customHeight="1" x14ac:dyDescent="0.25">
      <c r="A21" s="307" t="s">
        <v>81</v>
      </c>
      <c r="B21" s="307"/>
      <c r="C21" s="307"/>
      <c r="D21" s="307"/>
      <c r="E21" s="307"/>
      <c r="F21" s="307"/>
      <c r="G21" s="307"/>
      <c r="H21" s="307"/>
      <c r="I21" s="307"/>
      <c r="J21" s="307"/>
      <c r="K21" s="307"/>
      <c r="L21" s="307"/>
      <c r="M21" s="307"/>
      <c r="N21" s="307"/>
      <c r="O21" s="307"/>
      <c r="P21" s="307"/>
      <c r="Q21" s="307"/>
      <c r="R21" s="307"/>
      <c r="S21" s="307"/>
      <c r="T21" s="307"/>
      <c r="U21" s="307"/>
      <c r="V21" s="307"/>
      <c r="W21" s="307"/>
      <c r="X21" s="307"/>
      <c r="Y21" s="307"/>
      <c r="Z21" s="307"/>
      <c r="AA21" s="66"/>
      <c r="AB21" s="66"/>
      <c r="AC21" s="83"/>
    </row>
    <row r="22" spans="1:68" ht="27" customHeight="1" x14ac:dyDescent="0.25">
      <c r="A22" s="63" t="s">
        <v>82</v>
      </c>
      <c r="B22" s="63" t="s">
        <v>83</v>
      </c>
      <c r="C22" s="36">
        <v>4301071113</v>
      </c>
      <c r="D22" s="289">
        <v>4620207491508</v>
      </c>
      <c r="E22" s="289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86</v>
      </c>
      <c r="L22" s="37" t="s">
        <v>87</v>
      </c>
      <c r="M22" s="38" t="s">
        <v>85</v>
      </c>
      <c r="N22" s="38"/>
      <c r="O22" s="37">
        <v>180</v>
      </c>
      <c r="P22" s="398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1"/>
      <c r="R22" s="291"/>
      <c r="S22" s="291"/>
      <c r="T22" s="292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8" si="0">IFERROR(IF(X22="","",X22),"")</f>
        <v>0</v>
      </c>
      <c r="Z22" s="41">
        <f t="shared" ref="Z22:Z28" si="1">IFERROR(IF(X22="","",X22*0.0155),"")</f>
        <v>0</v>
      </c>
      <c r="AA22" s="68" t="s">
        <v>46</v>
      </c>
      <c r="AB22" s="69" t="s">
        <v>46</v>
      </c>
      <c r="AC22" s="89" t="s">
        <v>84</v>
      </c>
      <c r="AG22" s="81"/>
      <c r="AJ22" s="87" t="s">
        <v>88</v>
      </c>
      <c r="AK22" s="87">
        <v>1</v>
      </c>
      <c r="BB22" s="90" t="s">
        <v>70</v>
      </c>
      <c r="BM22" s="81">
        <f t="shared" ref="BM22:BM28" si="2">IFERROR(X22*I22,"0")</f>
        <v>0</v>
      </c>
      <c r="BN22" s="81">
        <f t="shared" ref="BN22:BN28" si="3">IFERROR(Y22*I22,"0")</f>
        <v>0</v>
      </c>
      <c r="BO22" s="81">
        <f t="shared" ref="BO22:BO28" si="4">IFERROR(X22/J22,"0")</f>
        <v>0</v>
      </c>
      <c r="BP22" s="81">
        <f t="shared" ref="BP22:BP28" si="5">IFERROR(Y22/J22,"0")</f>
        <v>0</v>
      </c>
    </row>
    <row r="23" spans="1:68" ht="27" customHeight="1" x14ac:dyDescent="0.25">
      <c r="A23" s="63" t="s">
        <v>89</v>
      </c>
      <c r="B23" s="63" t="s">
        <v>90</v>
      </c>
      <c r="C23" s="36">
        <v>4301071112</v>
      </c>
      <c r="D23" s="289">
        <v>4620207491256</v>
      </c>
      <c r="E23" s="289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86</v>
      </c>
      <c r="L23" s="37" t="s">
        <v>87</v>
      </c>
      <c r="M23" s="38" t="s">
        <v>85</v>
      </c>
      <c r="N23" s="38"/>
      <c r="O23" s="37">
        <v>180</v>
      </c>
      <c r="P23" s="399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1"/>
      <c r="R23" s="291"/>
      <c r="S23" s="291"/>
      <c r="T23" s="292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84</v>
      </c>
      <c r="AG23" s="81"/>
      <c r="AJ23" s="87" t="s">
        <v>88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91</v>
      </c>
      <c r="B24" s="63" t="s">
        <v>92</v>
      </c>
      <c r="C24" s="36">
        <v>4301071108</v>
      </c>
      <c r="D24" s="289">
        <v>4607111035912</v>
      </c>
      <c r="E24" s="289"/>
      <c r="F24" s="62">
        <v>0.43</v>
      </c>
      <c r="G24" s="37">
        <v>16</v>
      </c>
      <c r="H24" s="62">
        <v>6.88</v>
      </c>
      <c r="I24" s="62">
        <v>7.19</v>
      </c>
      <c r="J24" s="37">
        <v>84</v>
      </c>
      <c r="K24" s="37" t="s">
        <v>86</v>
      </c>
      <c r="L24" s="37" t="s">
        <v>87</v>
      </c>
      <c r="M24" s="38" t="s">
        <v>85</v>
      </c>
      <c r="N24" s="38"/>
      <c r="O24" s="37">
        <v>180</v>
      </c>
      <c r="P24" s="400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4" s="291"/>
      <c r="R24" s="291"/>
      <c r="S24" s="291"/>
      <c r="T24" s="292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93</v>
      </c>
      <c r="AG24" s="81"/>
      <c r="AJ24" s="87" t="s">
        <v>88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94</v>
      </c>
      <c r="B25" s="63" t="s">
        <v>95</v>
      </c>
      <c r="C25" s="36">
        <v>4301071109</v>
      </c>
      <c r="D25" s="289">
        <v>4607111035929</v>
      </c>
      <c r="E25" s="289"/>
      <c r="F25" s="62">
        <v>0.9</v>
      </c>
      <c r="G25" s="37">
        <v>8</v>
      </c>
      <c r="H25" s="62">
        <v>7.2</v>
      </c>
      <c r="I25" s="62">
        <v>7.47</v>
      </c>
      <c r="J25" s="37">
        <v>84</v>
      </c>
      <c r="K25" s="37" t="s">
        <v>86</v>
      </c>
      <c r="L25" s="37" t="s">
        <v>87</v>
      </c>
      <c r="M25" s="38" t="s">
        <v>85</v>
      </c>
      <c r="N25" s="38"/>
      <c r="O25" s="37">
        <v>180</v>
      </c>
      <c r="P25" s="40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5" s="291"/>
      <c r="R25" s="291"/>
      <c r="S25" s="291"/>
      <c r="T25" s="292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93</v>
      </c>
      <c r="AG25" s="81"/>
      <c r="AJ25" s="87" t="s">
        <v>88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96</v>
      </c>
      <c r="B26" s="63" t="s">
        <v>97</v>
      </c>
      <c r="C26" s="36">
        <v>4301071106</v>
      </c>
      <c r="D26" s="289">
        <v>4607111035882</v>
      </c>
      <c r="E26" s="289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86</v>
      </c>
      <c r="L26" s="37" t="s">
        <v>87</v>
      </c>
      <c r="M26" s="38" t="s">
        <v>85</v>
      </c>
      <c r="N26" s="38"/>
      <c r="O26" s="37">
        <v>180</v>
      </c>
      <c r="P26" s="39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6" s="291"/>
      <c r="R26" s="291"/>
      <c r="S26" s="291"/>
      <c r="T26" s="292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93</v>
      </c>
      <c r="AG26" s="81"/>
      <c r="AJ26" s="87" t="s">
        <v>88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98</v>
      </c>
      <c r="B27" s="63" t="s">
        <v>99</v>
      </c>
      <c r="C27" s="36">
        <v>4301071105</v>
      </c>
      <c r="D27" s="289">
        <v>4607111035110</v>
      </c>
      <c r="E27" s="289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86</v>
      </c>
      <c r="L27" s="37" t="s">
        <v>87</v>
      </c>
      <c r="M27" s="38" t="s">
        <v>85</v>
      </c>
      <c r="N27" s="38"/>
      <c r="O27" s="37">
        <v>180</v>
      </c>
      <c r="P27" s="396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7" s="291"/>
      <c r="R27" s="291"/>
      <c r="S27" s="291"/>
      <c r="T27" s="292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93</v>
      </c>
      <c r="AG27" s="81"/>
      <c r="AJ27" s="87" t="s">
        <v>88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customHeight="1" x14ac:dyDescent="0.25">
      <c r="A28" s="63" t="s">
        <v>100</v>
      </c>
      <c r="B28" s="63" t="s">
        <v>101</v>
      </c>
      <c r="C28" s="36">
        <v>4301071107</v>
      </c>
      <c r="D28" s="289">
        <v>4607111035905</v>
      </c>
      <c r="E28" s="289"/>
      <c r="F28" s="62">
        <v>0.9</v>
      </c>
      <c r="G28" s="37">
        <v>8</v>
      </c>
      <c r="H28" s="62">
        <v>7.2</v>
      </c>
      <c r="I28" s="62">
        <v>7.47</v>
      </c>
      <c r="J28" s="37">
        <v>84</v>
      </c>
      <c r="K28" s="37" t="s">
        <v>86</v>
      </c>
      <c r="L28" s="37" t="s">
        <v>87</v>
      </c>
      <c r="M28" s="38" t="s">
        <v>85</v>
      </c>
      <c r="N28" s="38"/>
      <c r="O28" s="37">
        <v>180</v>
      </c>
      <c r="P28" s="397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8" s="291"/>
      <c r="R28" s="291"/>
      <c r="S28" s="291"/>
      <c r="T28" s="292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93</v>
      </c>
      <c r="AG28" s="81"/>
      <c r="AJ28" s="87" t="s">
        <v>88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x14ac:dyDescent="0.2">
      <c r="A29" s="296"/>
      <c r="B29" s="296"/>
      <c r="C29" s="296"/>
      <c r="D29" s="296"/>
      <c r="E29" s="296"/>
      <c r="F29" s="296"/>
      <c r="G29" s="296"/>
      <c r="H29" s="296"/>
      <c r="I29" s="296"/>
      <c r="J29" s="296"/>
      <c r="K29" s="296"/>
      <c r="L29" s="296"/>
      <c r="M29" s="296"/>
      <c r="N29" s="296"/>
      <c r="O29" s="297"/>
      <c r="P29" s="293" t="s">
        <v>40</v>
      </c>
      <c r="Q29" s="294"/>
      <c r="R29" s="294"/>
      <c r="S29" s="294"/>
      <c r="T29" s="294"/>
      <c r="U29" s="294"/>
      <c r="V29" s="295"/>
      <c r="W29" s="42" t="s">
        <v>39</v>
      </c>
      <c r="X29" s="43">
        <f>IFERROR(SUM(X22:X28),"0")</f>
        <v>0</v>
      </c>
      <c r="Y29" s="43">
        <f>IFERROR(SUM(Y22:Y28),"0")</f>
        <v>0</v>
      </c>
      <c r="Z29" s="43">
        <f>IFERROR(IF(Z22="",0,Z22),"0")+IFERROR(IF(Z23="",0,Z23),"0")+IFERROR(IF(Z24="",0,Z24),"0")+IFERROR(IF(Z25="",0,Z25),"0")+IFERROR(IF(Z26="",0,Z26),"0")+IFERROR(IF(Z27="",0,Z27),"0")+IFERROR(IF(Z28="",0,Z28),"0")</f>
        <v>0</v>
      </c>
      <c r="AA29" s="67"/>
      <c r="AB29" s="67"/>
      <c r="AC29" s="67"/>
    </row>
    <row r="30" spans="1:68" x14ac:dyDescent="0.2">
      <c r="A30" s="296"/>
      <c r="B30" s="296"/>
      <c r="C30" s="296"/>
      <c r="D30" s="296"/>
      <c r="E30" s="296"/>
      <c r="F30" s="296"/>
      <c r="G30" s="296"/>
      <c r="H30" s="296"/>
      <c r="I30" s="296"/>
      <c r="J30" s="296"/>
      <c r="K30" s="296"/>
      <c r="L30" s="296"/>
      <c r="M30" s="296"/>
      <c r="N30" s="296"/>
      <c r="O30" s="297"/>
      <c r="P30" s="293" t="s">
        <v>40</v>
      </c>
      <c r="Q30" s="294"/>
      <c r="R30" s="294"/>
      <c r="S30" s="294"/>
      <c r="T30" s="294"/>
      <c r="U30" s="294"/>
      <c r="V30" s="295"/>
      <c r="W30" s="42" t="s">
        <v>0</v>
      </c>
      <c r="X30" s="43">
        <f>IFERROR(SUMPRODUCT(X22:X28*H22:H28),"0")</f>
        <v>0</v>
      </c>
      <c r="Y30" s="43">
        <f>IFERROR(SUMPRODUCT(Y22:Y28*H22:H28),"0")</f>
        <v>0</v>
      </c>
      <c r="Z30" s="42"/>
      <c r="AA30" s="67"/>
      <c r="AB30" s="67"/>
      <c r="AC30" s="67"/>
    </row>
    <row r="31" spans="1:68" ht="16.5" customHeight="1" x14ac:dyDescent="0.25">
      <c r="A31" s="317" t="s">
        <v>102</v>
      </c>
      <c r="B31" s="317"/>
      <c r="C31" s="317"/>
      <c r="D31" s="317"/>
      <c r="E31" s="317"/>
      <c r="F31" s="317"/>
      <c r="G31" s="317"/>
      <c r="H31" s="317"/>
      <c r="I31" s="317"/>
      <c r="J31" s="317"/>
      <c r="K31" s="317"/>
      <c r="L31" s="317"/>
      <c r="M31" s="317"/>
      <c r="N31" s="317"/>
      <c r="O31" s="317"/>
      <c r="P31" s="317"/>
      <c r="Q31" s="317"/>
      <c r="R31" s="317"/>
      <c r="S31" s="317"/>
      <c r="T31" s="317"/>
      <c r="U31" s="317"/>
      <c r="V31" s="317"/>
      <c r="W31" s="317"/>
      <c r="X31" s="317"/>
      <c r="Y31" s="317"/>
      <c r="Z31" s="317"/>
      <c r="AA31" s="65"/>
      <c r="AB31" s="65"/>
      <c r="AC31" s="82"/>
    </row>
    <row r="32" spans="1:68" ht="14.25" customHeight="1" x14ac:dyDescent="0.25">
      <c r="A32" s="307" t="s">
        <v>81</v>
      </c>
      <c r="B32" s="307"/>
      <c r="C32" s="307"/>
      <c r="D32" s="307"/>
      <c r="E32" s="307"/>
      <c r="F32" s="307"/>
      <c r="G32" s="307"/>
      <c r="H32" s="307"/>
      <c r="I32" s="307"/>
      <c r="J32" s="307"/>
      <c r="K32" s="307"/>
      <c r="L32" s="307"/>
      <c r="M32" s="307"/>
      <c r="N32" s="307"/>
      <c r="O32" s="307"/>
      <c r="P32" s="307"/>
      <c r="Q32" s="307"/>
      <c r="R32" s="307"/>
      <c r="S32" s="307"/>
      <c r="T32" s="307"/>
      <c r="U32" s="307"/>
      <c r="V32" s="307"/>
      <c r="W32" s="307"/>
      <c r="X32" s="307"/>
      <c r="Y32" s="307"/>
      <c r="Z32" s="307"/>
      <c r="AA32" s="66"/>
      <c r="AB32" s="66"/>
      <c r="AC32" s="83"/>
    </row>
    <row r="33" spans="1:68" ht="16.5" customHeight="1" x14ac:dyDescent="0.25">
      <c r="A33" s="63" t="s">
        <v>103</v>
      </c>
      <c r="B33" s="63" t="s">
        <v>104</v>
      </c>
      <c r="C33" s="36">
        <v>4301071099</v>
      </c>
      <c r="D33" s="289">
        <v>4607111039019</v>
      </c>
      <c r="E33" s="289"/>
      <c r="F33" s="62">
        <v>0.43</v>
      </c>
      <c r="G33" s="37">
        <v>16</v>
      </c>
      <c r="H33" s="62">
        <v>6.88</v>
      </c>
      <c r="I33" s="62">
        <v>7.2060000000000004</v>
      </c>
      <c r="J33" s="37">
        <v>84</v>
      </c>
      <c r="K33" s="37" t="s">
        <v>86</v>
      </c>
      <c r="L33" s="37" t="s">
        <v>87</v>
      </c>
      <c r="M33" s="38" t="s">
        <v>85</v>
      </c>
      <c r="N33" s="38"/>
      <c r="O33" s="37">
        <v>180</v>
      </c>
      <c r="P33" s="393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3" s="291"/>
      <c r="R33" s="291"/>
      <c r="S33" s="291"/>
      <c r="T33" s="292"/>
      <c r="U33" s="39" t="s">
        <v>46</v>
      </c>
      <c r="V33" s="39" t="s">
        <v>46</v>
      </c>
      <c r="W33" s="40" t="s">
        <v>39</v>
      </c>
      <c r="X33" s="58">
        <v>0</v>
      </c>
      <c r="Y33" s="55">
        <f>IFERROR(IF(X33="","",X33),"")</f>
        <v>0</v>
      </c>
      <c r="Z33" s="41">
        <f>IFERROR(IF(X33="","",X33*0.0155),"")</f>
        <v>0</v>
      </c>
      <c r="AA33" s="68" t="s">
        <v>46</v>
      </c>
      <c r="AB33" s="69" t="s">
        <v>46</v>
      </c>
      <c r="AC33" s="103" t="s">
        <v>105</v>
      </c>
      <c r="AG33" s="81"/>
      <c r="AJ33" s="87" t="s">
        <v>88</v>
      </c>
      <c r="AK33" s="87">
        <v>1</v>
      </c>
      <c r="BB33" s="104" t="s">
        <v>70</v>
      </c>
      <c r="BM33" s="81">
        <f>IFERROR(X33*I33,"0")</f>
        <v>0</v>
      </c>
      <c r="BN33" s="81">
        <f>IFERROR(Y33*I33,"0")</f>
        <v>0</v>
      </c>
      <c r="BO33" s="81">
        <f>IFERROR(X33/J33,"0")</f>
        <v>0</v>
      </c>
      <c r="BP33" s="81">
        <f>IFERROR(Y33/J33,"0")</f>
        <v>0</v>
      </c>
    </row>
    <row r="34" spans="1:68" ht="16.5" customHeight="1" x14ac:dyDescent="0.25">
      <c r="A34" s="63" t="s">
        <v>106</v>
      </c>
      <c r="B34" s="63" t="s">
        <v>107</v>
      </c>
      <c r="C34" s="36">
        <v>4301071100</v>
      </c>
      <c r="D34" s="289">
        <v>4607111038708</v>
      </c>
      <c r="E34" s="289"/>
      <c r="F34" s="62">
        <v>0.8</v>
      </c>
      <c r="G34" s="37">
        <v>8</v>
      </c>
      <c r="H34" s="62">
        <v>6.4</v>
      </c>
      <c r="I34" s="62">
        <v>6.67</v>
      </c>
      <c r="J34" s="37">
        <v>84</v>
      </c>
      <c r="K34" s="37" t="s">
        <v>86</v>
      </c>
      <c r="L34" s="37" t="s">
        <v>87</v>
      </c>
      <c r="M34" s="38" t="s">
        <v>85</v>
      </c>
      <c r="N34" s="38"/>
      <c r="O34" s="37">
        <v>180</v>
      </c>
      <c r="P34" s="39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4" s="291"/>
      <c r="R34" s="291"/>
      <c r="S34" s="291"/>
      <c r="T34" s="292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105</v>
      </c>
      <c r="AG34" s="81"/>
      <c r="AJ34" s="87" t="s">
        <v>88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x14ac:dyDescent="0.2">
      <c r="A35" s="296"/>
      <c r="B35" s="296"/>
      <c r="C35" s="296"/>
      <c r="D35" s="296"/>
      <c r="E35" s="296"/>
      <c r="F35" s="296"/>
      <c r="G35" s="296"/>
      <c r="H35" s="296"/>
      <c r="I35" s="296"/>
      <c r="J35" s="296"/>
      <c r="K35" s="296"/>
      <c r="L35" s="296"/>
      <c r="M35" s="296"/>
      <c r="N35" s="296"/>
      <c r="O35" s="297"/>
      <c r="P35" s="293" t="s">
        <v>40</v>
      </c>
      <c r="Q35" s="294"/>
      <c r="R35" s="294"/>
      <c r="S35" s="294"/>
      <c r="T35" s="294"/>
      <c r="U35" s="294"/>
      <c r="V35" s="295"/>
      <c r="W35" s="42" t="s">
        <v>39</v>
      </c>
      <c r="X35" s="43">
        <f>IFERROR(SUM(X33:X34),"0")</f>
        <v>0</v>
      </c>
      <c r="Y35" s="43">
        <f>IFERROR(SUM(Y33:Y34),"0")</f>
        <v>0</v>
      </c>
      <c r="Z35" s="43">
        <f>IFERROR(IF(Z33="",0,Z33),"0")+IFERROR(IF(Z34="",0,Z34),"0")</f>
        <v>0</v>
      </c>
      <c r="AA35" s="67"/>
      <c r="AB35" s="67"/>
      <c r="AC35" s="67"/>
    </row>
    <row r="36" spans="1:68" x14ac:dyDescent="0.2">
      <c r="A36" s="296"/>
      <c r="B36" s="296"/>
      <c r="C36" s="296"/>
      <c r="D36" s="296"/>
      <c r="E36" s="296"/>
      <c r="F36" s="296"/>
      <c r="G36" s="296"/>
      <c r="H36" s="296"/>
      <c r="I36" s="296"/>
      <c r="J36" s="296"/>
      <c r="K36" s="296"/>
      <c r="L36" s="296"/>
      <c r="M36" s="296"/>
      <c r="N36" s="296"/>
      <c r="O36" s="297"/>
      <c r="P36" s="293" t="s">
        <v>40</v>
      </c>
      <c r="Q36" s="294"/>
      <c r="R36" s="294"/>
      <c r="S36" s="294"/>
      <c r="T36" s="294"/>
      <c r="U36" s="294"/>
      <c r="V36" s="295"/>
      <c r="W36" s="42" t="s">
        <v>0</v>
      </c>
      <c r="X36" s="43">
        <f>IFERROR(SUMPRODUCT(X33:X34*H33:H34),"0")</f>
        <v>0</v>
      </c>
      <c r="Y36" s="43">
        <f>IFERROR(SUMPRODUCT(Y33:Y34*H33:H34),"0")</f>
        <v>0</v>
      </c>
      <c r="Z36" s="42"/>
      <c r="AA36" s="67"/>
      <c r="AB36" s="67"/>
      <c r="AC36" s="67"/>
    </row>
    <row r="37" spans="1:68" ht="27.75" customHeight="1" x14ac:dyDescent="0.2">
      <c r="A37" s="316" t="s">
        <v>45</v>
      </c>
      <c r="B37" s="316"/>
      <c r="C37" s="316"/>
      <c r="D37" s="316"/>
      <c r="E37" s="316"/>
      <c r="F37" s="316"/>
      <c r="G37" s="316"/>
      <c r="H37" s="316"/>
      <c r="I37" s="316"/>
      <c r="J37" s="316"/>
      <c r="K37" s="316"/>
      <c r="L37" s="316"/>
      <c r="M37" s="316"/>
      <c r="N37" s="316"/>
      <c r="O37" s="316"/>
      <c r="P37" s="316"/>
      <c r="Q37" s="316"/>
      <c r="R37" s="316"/>
      <c r="S37" s="316"/>
      <c r="T37" s="316"/>
      <c r="U37" s="316"/>
      <c r="V37" s="316"/>
      <c r="W37" s="316"/>
      <c r="X37" s="316"/>
      <c r="Y37" s="316"/>
      <c r="Z37" s="316"/>
      <c r="AA37" s="54"/>
      <c r="AB37" s="54"/>
      <c r="AC37" s="54"/>
    </row>
    <row r="38" spans="1:68" ht="16.5" customHeight="1" x14ac:dyDescent="0.25">
      <c r="A38" s="317" t="s">
        <v>108</v>
      </c>
      <c r="B38" s="317"/>
      <c r="C38" s="317"/>
      <c r="D38" s="317"/>
      <c r="E38" s="317"/>
      <c r="F38" s="317"/>
      <c r="G38" s="317"/>
      <c r="H38" s="317"/>
      <c r="I38" s="317"/>
      <c r="J38" s="317"/>
      <c r="K38" s="317"/>
      <c r="L38" s="317"/>
      <c r="M38" s="317"/>
      <c r="N38" s="317"/>
      <c r="O38" s="317"/>
      <c r="P38" s="317"/>
      <c r="Q38" s="317"/>
      <c r="R38" s="317"/>
      <c r="S38" s="317"/>
      <c r="T38" s="317"/>
      <c r="U38" s="317"/>
      <c r="V38" s="317"/>
      <c r="W38" s="317"/>
      <c r="X38" s="317"/>
      <c r="Y38" s="317"/>
      <c r="Z38" s="317"/>
      <c r="AA38" s="65"/>
      <c r="AB38" s="65"/>
      <c r="AC38" s="82"/>
    </row>
    <row r="39" spans="1:68" ht="14.25" customHeight="1" x14ac:dyDescent="0.25">
      <c r="A39" s="307" t="s">
        <v>109</v>
      </c>
      <c r="B39" s="307"/>
      <c r="C39" s="307"/>
      <c r="D39" s="307"/>
      <c r="E39" s="307"/>
      <c r="F39" s="307"/>
      <c r="G39" s="307"/>
      <c r="H39" s="307"/>
      <c r="I39" s="307"/>
      <c r="J39" s="307"/>
      <c r="K39" s="307"/>
      <c r="L39" s="307"/>
      <c r="M39" s="307"/>
      <c r="N39" s="307"/>
      <c r="O39" s="307"/>
      <c r="P39" s="307"/>
      <c r="Q39" s="307"/>
      <c r="R39" s="307"/>
      <c r="S39" s="307"/>
      <c r="T39" s="307"/>
      <c r="U39" s="307"/>
      <c r="V39" s="307"/>
      <c r="W39" s="307"/>
      <c r="X39" s="307"/>
      <c r="Y39" s="307"/>
      <c r="Z39" s="307"/>
      <c r="AA39" s="66"/>
      <c r="AB39" s="66"/>
      <c r="AC39" s="83"/>
    </row>
    <row r="40" spans="1:68" ht="27" customHeight="1" x14ac:dyDescent="0.25">
      <c r="A40" s="63" t="s">
        <v>110</v>
      </c>
      <c r="B40" s="63" t="s">
        <v>111</v>
      </c>
      <c r="C40" s="36">
        <v>4301132190</v>
      </c>
      <c r="D40" s="289">
        <v>4607111036537</v>
      </c>
      <c r="E40" s="289"/>
      <c r="F40" s="62">
        <v>0.25</v>
      </c>
      <c r="G40" s="37">
        <v>6</v>
      </c>
      <c r="H40" s="62">
        <v>1.5</v>
      </c>
      <c r="I40" s="62">
        <v>1.9218</v>
      </c>
      <c r="J40" s="37">
        <v>140</v>
      </c>
      <c r="K40" s="37" t="s">
        <v>114</v>
      </c>
      <c r="L40" s="37" t="s">
        <v>115</v>
      </c>
      <c r="M40" s="38" t="s">
        <v>85</v>
      </c>
      <c r="N40" s="38"/>
      <c r="O40" s="37">
        <v>365</v>
      </c>
      <c r="P40" s="39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0" s="291"/>
      <c r="R40" s="291"/>
      <c r="S40" s="291"/>
      <c r="T40" s="292"/>
      <c r="U40" s="39" t="s">
        <v>46</v>
      </c>
      <c r="V40" s="39" t="s">
        <v>46</v>
      </c>
      <c r="W40" s="40" t="s">
        <v>39</v>
      </c>
      <c r="X40" s="58">
        <v>0</v>
      </c>
      <c r="Y40" s="55">
        <f>IFERROR(IF(X40="","",X40),"")</f>
        <v>0</v>
      </c>
      <c r="Z40" s="41">
        <f>IFERROR(IF(X40="","",X40*0.00941),"")</f>
        <v>0</v>
      </c>
      <c r="AA40" s="68" t="s">
        <v>46</v>
      </c>
      <c r="AB40" s="69" t="s">
        <v>46</v>
      </c>
      <c r="AC40" s="107" t="s">
        <v>112</v>
      </c>
      <c r="AG40" s="81"/>
      <c r="AJ40" s="87" t="s">
        <v>116</v>
      </c>
      <c r="AK40" s="87">
        <v>14</v>
      </c>
      <c r="BB40" s="108" t="s">
        <v>113</v>
      </c>
      <c r="BM40" s="81">
        <f>IFERROR(X40*I40,"0")</f>
        <v>0</v>
      </c>
      <c r="BN40" s="81">
        <f>IFERROR(Y40*I40,"0")</f>
        <v>0</v>
      </c>
      <c r="BO40" s="81">
        <f>IFERROR(X40/J40,"0")</f>
        <v>0</v>
      </c>
      <c r="BP40" s="81">
        <f>IFERROR(Y40/J40,"0")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4301132188</v>
      </c>
      <c r="D41" s="289">
        <v>4607111036605</v>
      </c>
      <c r="E41" s="289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114</v>
      </c>
      <c r="L41" s="37" t="s">
        <v>115</v>
      </c>
      <c r="M41" s="38" t="s">
        <v>85</v>
      </c>
      <c r="N41" s="38"/>
      <c r="O41" s="37">
        <v>365</v>
      </c>
      <c r="P41" s="392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1" s="291"/>
      <c r="R41" s="291"/>
      <c r="S41" s="291"/>
      <c r="T41" s="292"/>
      <c r="U41" s="39" t="s">
        <v>46</v>
      </c>
      <c r="V41" s="39" t="s">
        <v>46</v>
      </c>
      <c r="W41" s="40" t="s">
        <v>39</v>
      </c>
      <c r="X41" s="58">
        <v>42</v>
      </c>
      <c r="Y41" s="55">
        <f>IFERROR(IF(X41="","",X41),"")</f>
        <v>42</v>
      </c>
      <c r="Z41" s="41">
        <f>IFERROR(IF(X41="","",X41*0.00941),"")</f>
        <v>0.39522000000000002</v>
      </c>
      <c r="AA41" s="68" t="s">
        <v>46</v>
      </c>
      <c r="AB41" s="69" t="s">
        <v>46</v>
      </c>
      <c r="AC41" s="109" t="s">
        <v>112</v>
      </c>
      <c r="AG41" s="81"/>
      <c r="AJ41" s="87" t="s">
        <v>116</v>
      </c>
      <c r="AK41" s="87">
        <v>14</v>
      </c>
      <c r="BB41" s="110" t="s">
        <v>113</v>
      </c>
      <c r="BM41" s="81">
        <f>IFERROR(X41*I41,"0")</f>
        <v>80.715599999999995</v>
      </c>
      <c r="BN41" s="81">
        <f>IFERROR(Y41*I41,"0")</f>
        <v>80.715599999999995</v>
      </c>
      <c r="BO41" s="81">
        <f>IFERROR(X41/J41,"0")</f>
        <v>0.3</v>
      </c>
      <c r="BP41" s="81">
        <f>IFERROR(Y41/J41,"0")</f>
        <v>0.3</v>
      </c>
    </row>
    <row r="42" spans="1:68" x14ac:dyDescent="0.2">
      <c r="A42" s="296"/>
      <c r="B42" s="296"/>
      <c r="C42" s="296"/>
      <c r="D42" s="296"/>
      <c r="E42" s="296"/>
      <c r="F42" s="296"/>
      <c r="G42" s="296"/>
      <c r="H42" s="296"/>
      <c r="I42" s="296"/>
      <c r="J42" s="296"/>
      <c r="K42" s="296"/>
      <c r="L42" s="296"/>
      <c r="M42" s="296"/>
      <c r="N42" s="296"/>
      <c r="O42" s="297"/>
      <c r="P42" s="293" t="s">
        <v>40</v>
      </c>
      <c r="Q42" s="294"/>
      <c r="R42" s="294"/>
      <c r="S42" s="294"/>
      <c r="T42" s="294"/>
      <c r="U42" s="294"/>
      <c r="V42" s="295"/>
      <c r="W42" s="42" t="s">
        <v>39</v>
      </c>
      <c r="X42" s="43">
        <f>IFERROR(SUM(X40:X41),"0")</f>
        <v>42</v>
      </c>
      <c r="Y42" s="43">
        <f>IFERROR(SUM(Y40:Y41),"0")</f>
        <v>42</v>
      </c>
      <c r="Z42" s="43">
        <f>IFERROR(IF(Z40="",0,Z40),"0")+IFERROR(IF(Z41="",0,Z41),"0")</f>
        <v>0.39522000000000002</v>
      </c>
      <c r="AA42" s="67"/>
      <c r="AB42" s="67"/>
      <c r="AC42" s="67"/>
    </row>
    <row r="43" spans="1:68" x14ac:dyDescent="0.2">
      <c r="A43" s="296"/>
      <c r="B43" s="296"/>
      <c r="C43" s="296"/>
      <c r="D43" s="296"/>
      <c r="E43" s="296"/>
      <c r="F43" s="296"/>
      <c r="G43" s="296"/>
      <c r="H43" s="296"/>
      <c r="I43" s="296"/>
      <c r="J43" s="296"/>
      <c r="K43" s="296"/>
      <c r="L43" s="296"/>
      <c r="M43" s="296"/>
      <c r="N43" s="296"/>
      <c r="O43" s="297"/>
      <c r="P43" s="293" t="s">
        <v>40</v>
      </c>
      <c r="Q43" s="294"/>
      <c r="R43" s="294"/>
      <c r="S43" s="294"/>
      <c r="T43" s="294"/>
      <c r="U43" s="294"/>
      <c r="V43" s="295"/>
      <c r="W43" s="42" t="s">
        <v>0</v>
      </c>
      <c r="X43" s="43">
        <f>IFERROR(SUMPRODUCT(X40:X41*H40:H41),"0")</f>
        <v>63</v>
      </c>
      <c r="Y43" s="43">
        <f>IFERROR(SUMPRODUCT(Y40:Y41*H40:H41),"0")</f>
        <v>63</v>
      </c>
      <c r="Z43" s="42"/>
      <c r="AA43" s="67"/>
      <c r="AB43" s="67"/>
      <c r="AC43" s="67"/>
    </row>
    <row r="44" spans="1:68" ht="16.5" customHeight="1" x14ac:dyDescent="0.25">
      <c r="A44" s="317" t="s">
        <v>119</v>
      </c>
      <c r="B44" s="317"/>
      <c r="C44" s="317"/>
      <c r="D44" s="317"/>
      <c r="E44" s="317"/>
      <c r="F44" s="317"/>
      <c r="G44" s="317"/>
      <c r="H44" s="317"/>
      <c r="I44" s="317"/>
      <c r="J44" s="317"/>
      <c r="K44" s="317"/>
      <c r="L44" s="317"/>
      <c r="M44" s="317"/>
      <c r="N44" s="317"/>
      <c r="O44" s="317"/>
      <c r="P44" s="317"/>
      <c r="Q44" s="317"/>
      <c r="R44" s="317"/>
      <c r="S44" s="317"/>
      <c r="T44" s="317"/>
      <c r="U44" s="317"/>
      <c r="V44" s="317"/>
      <c r="W44" s="317"/>
      <c r="X44" s="317"/>
      <c r="Y44" s="317"/>
      <c r="Z44" s="317"/>
      <c r="AA44" s="65"/>
      <c r="AB44" s="65"/>
      <c r="AC44" s="82"/>
    </row>
    <row r="45" spans="1:68" ht="14.25" customHeight="1" x14ac:dyDescent="0.25">
      <c r="A45" s="307" t="s">
        <v>81</v>
      </c>
      <c r="B45" s="307"/>
      <c r="C45" s="307"/>
      <c r="D45" s="307"/>
      <c r="E45" s="307"/>
      <c r="F45" s="307"/>
      <c r="G45" s="307"/>
      <c r="H45" s="307"/>
      <c r="I45" s="307"/>
      <c r="J45" s="307"/>
      <c r="K45" s="307"/>
      <c r="L45" s="307"/>
      <c r="M45" s="307"/>
      <c r="N45" s="307"/>
      <c r="O45" s="307"/>
      <c r="P45" s="307"/>
      <c r="Q45" s="307"/>
      <c r="R45" s="307"/>
      <c r="S45" s="307"/>
      <c r="T45" s="307"/>
      <c r="U45" s="307"/>
      <c r="V45" s="307"/>
      <c r="W45" s="307"/>
      <c r="X45" s="307"/>
      <c r="Y45" s="307"/>
      <c r="Z45" s="307"/>
      <c r="AA45" s="66"/>
      <c r="AB45" s="66"/>
      <c r="AC45" s="83"/>
    </row>
    <row r="46" spans="1:68" ht="27" customHeight="1" x14ac:dyDescent="0.25">
      <c r="A46" s="63" t="s">
        <v>120</v>
      </c>
      <c r="B46" s="63" t="s">
        <v>121</v>
      </c>
      <c r="C46" s="36">
        <v>4301071090</v>
      </c>
      <c r="D46" s="289">
        <v>4620207490075</v>
      </c>
      <c r="E46" s="289"/>
      <c r="F46" s="62">
        <v>0.7</v>
      </c>
      <c r="G46" s="37">
        <v>8</v>
      </c>
      <c r="H46" s="62">
        <v>5.6</v>
      </c>
      <c r="I46" s="62">
        <v>5.87</v>
      </c>
      <c r="J46" s="37">
        <v>84</v>
      </c>
      <c r="K46" s="37" t="s">
        <v>86</v>
      </c>
      <c r="L46" s="37" t="s">
        <v>115</v>
      </c>
      <c r="M46" s="38" t="s">
        <v>85</v>
      </c>
      <c r="N46" s="38"/>
      <c r="O46" s="37">
        <v>180</v>
      </c>
      <c r="P46" s="388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6" s="291"/>
      <c r="R46" s="291"/>
      <c r="S46" s="291"/>
      <c r="T46" s="292"/>
      <c r="U46" s="39" t="s">
        <v>46</v>
      </c>
      <c r="V46" s="39" t="s">
        <v>46</v>
      </c>
      <c r="W46" s="40" t="s">
        <v>39</v>
      </c>
      <c r="X46" s="58">
        <v>0</v>
      </c>
      <c r="Y46" s="55">
        <f>IFERROR(IF(X46="","",X46),"")</f>
        <v>0</v>
      </c>
      <c r="Z46" s="41">
        <f>IFERROR(IF(X46="","",X46*0.0155),"")</f>
        <v>0</v>
      </c>
      <c r="AA46" s="68" t="s">
        <v>46</v>
      </c>
      <c r="AB46" s="69" t="s">
        <v>46</v>
      </c>
      <c r="AC46" s="111" t="s">
        <v>122</v>
      </c>
      <c r="AG46" s="81"/>
      <c r="AJ46" s="87" t="s">
        <v>116</v>
      </c>
      <c r="AK46" s="87">
        <v>12</v>
      </c>
      <c r="BB46" s="112" t="s">
        <v>70</v>
      </c>
      <c r="BM46" s="81">
        <f>IFERROR(X46*I46,"0")</f>
        <v>0</v>
      </c>
      <c r="BN46" s="81">
        <f>IFERROR(Y46*I46,"0")</f>
        <v>0</v>
      </c>
      <c r="BO46" s="81">
        <f>IFERROR(X46/J46,"0")</f>
        <v>0</v>
      </c>
      <c r="BP46" s="81">
        <f>IFERROR(Y46/J46,"0")</f>
        <v>0</v>
      </c>
    </row>
    <row r="47" spans="1:68" ht="27" customHeight="1" x14ac:dyDescent="0.25">
      <c r="A47" s="63" t="s">
        <v>123</v>
      </c>
      <c r="B47" s="63" t="s">
        <v>124</v>
      </c>
      <c r="C47" s="36">
        <v>4301071092</v>
      </c>
      <c r="D47" s="289">
        <v>4620207490174</v>
      </c>
      <c r="E47" s="289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86</v>
      </c>
      <c r="L47" s="37" t="s">
        <v>115</v>
      </c>
      <c r="M47" s="38" t="s">
        <v>85</v>
      </c>
      <c r="N47" s="38"/>
      <c r="O47" s="37">
        <v>180</v>
      </c>
      <c r="P47" s="389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7" s="291"/>
      <c r="R47" s="291"/>
      <c r="S47" s="291"/>
      <c r="T47" s="292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125</v>
      </c>
      <c r="AG47" s="81"/>
      <c r="AJ47" s="87" t="s">
        <v>116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126</v>
      </c>
      <c r="B48" s="63" t="s">
        <v>127</v>
      </c>
      <c r="C48" s="36">
        <v>4301071091</v>
      </c>
      <c r="D48" s="289">
        <v>4620207490044</v>
      </c>
      <c r="E48" s="289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86</v>
      </c>
      <c r="L48" s="37" t="s">
        <v>115</v>
      </c>
      <c r="M48" s="38" t="s">
        <v>85</v>
      </c>
      <c r="N48" s="38"/>
      <c r="O48" s="37">
        <v>180</v>
      </c>
      <c r="P48" s="390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8" s="291"/>
      <c r="R48" s="291"/>
      <c r="S48" s="291"/>
      <c r="T48" s="292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128</v>
      </c>
      <c r="AG48" s="81"/>
      <c r="AJ48" s="87" t="s">
        <v>116</v>
      </c>
      <c r="AK48" s="87">
        <v>12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x14ac:dyDescent="0.2">
      <c r="A49" s="296"/>
      <c r="B49" s="296"/>
      <c r="C49" s="296"/>
      <c r="D49" s="296"/>
      <c r="E49" s="296"/>
      <c r="F49" s="296"/>
      <c r="G49" s="296"/>
      <c r="H49" s="296"/>
      <c r="I49" s="296"/>
      <c r="J49" s="296"/>
      <c r="K49" s="296"/>
      <c r="L49" s="296"/>
      <c r="M49" s="296"/>
      <c r="N49" s="296"/>
      <c r="O49" s="297"/>
      <c r="P49" s="293" t="s">
        <v>40</v>
      </c>
      <c r="Q49" s="294"/>
      <c r="R49" s="294"/>
      <c r="S49" s="294"/>
      <c r="T49" s="294"/>
      <c r="U49" s="294"/>
      <c r="V49" s="295"/>
      <c r="W49" s="42" t="s">
        <v>39</v>
      </c>
      <c r="X49" s="43">
        <f>IFERROR(SUM(X46:X48),"0")</f>
        <v>0</v>
      </c>
      <c r="Y49" s="43">
        <f>IFERROR(SUM(Y46:Y48),"0")</f>
        <v>0</v>
      </c>
      <c r="Z49" s="43">
        <f>IFERROR(IF(Z46="",0,Z46),"0")+IFERROR(IF(Z47="",0,Z47),"0")+IFERROR(IF(Z48="",0,Z48),"0")</f>
        <v>0</v>
      </c>
      <c r="AA49" s="67"/>
      <c r="AB49" s="67"/>
      <c r="AC49" s="67"/>
    </row>
    <row r="50" spans="1:68" x14ac:dyDescent="0.2">
      <c r="A50" s="296"/>
      <c r="B50" s="296"/>
      <c r="C50" s="296"/>
      <c r="D50" s="296"/>
      <c r="E50" s="296"/>
      <c r="F50" s="296"/>
      <c r="G50" s="296"/>
      <c r="H50" s="296"/>
      <c r="I50" s="296"/>
      <c r="J50" s="296"/>
      <c r="K50" s="296"/>
      <c r="L50" s="296"/>
      <c r="M50" s="296"/>
      <c r="N50" s="296"/>
      <c r="O50" s="297"/>
      <c r="P50" s="293" t="s">
        <v>40</v>
      </c>
      <c r="Q50" s="294"/>
      <c r="R50" s="294"/>
      <c r="S50" s="294"/>
      <c r="T50" s="294"/>
      <c r="U50" s="294"/>
      <c r="V50" s="295"/>
      <c r="W50" s="42" t="s">
        <v>0</v>
      </c>
      <c r="X50" s="43">
        <f>IFERROR(SUMPRODUCT(X46:X48*H46:H48),"0")</f>
        <v>0</v>
      </c>
      <c r="Y50" s="43">
        <f>IFERROR(SUMPRODUCT(Y46:Y48*H46:H48),"0")</f>
        <v>0</v>
      </c>
      <c r="Z50" s="42"/>
      <c r="AA50" s="67"/>
      <c r="AB50" s="67"/>
      <c r="AC50" s="67"/>
    </row>
    <row r="51" spans="1:68" ht="16.5" customHeight="1" x14ac:dyDescent="0.25">
      <c r="A51" s="317" t="s">
        <v>129</v>
      </c>
      <c r="B51" s="317"/>
      <c r="C51" s="317"/>
      <c r="D51" s="317"/>
      <c r="E51" s="317"/>
      <c r="F51" s="317"/>
      <c r="G51" s="317"/>
      <c r="H51" s="317"/>
      <c r="I51" s="317"/>
      <c r="J51" s="317"/>
      <c r="K51" s="317"/>
      <c r="L51" s="317"/>
      <c r="M51" s="317"/>
      <c r="N51" s="317"/>
      <c r="O51" s="317"/>
      <c r="P51" s="317"/>
      <c r="Q51" s="317"/>
      <c r="R51" s="317"/>
      <c r="S51" s="317"/>
      <c r="T51" s="317"/>
      <c r="U51" s="317"/>
      <c r="V51" s="317"/>
      <c r="W51" s="317"/>
      <c r="X51" s="317"/>
      <c r="Y51" s="317"/>
      <c r="Z51" s="317"/>
      <c r="AA51" s="65"/>
      <c r="AB51" s="65"/>
      <c r="AC51" s="82"/>
    </row>
    <row r="52" spans="1:68" ht="14.25" customHeight="1" x14ac:dyDescent="0.25">
      <c r="A52" s="307" t="s">
        <v>81</v>
      </c>
      <c r="B52" s="307"/>
      <c r="C52" s="307"/>
      <c r="D52" s="307"/>
      <c r="E52" s="307"/>
      <c r="F52" s="307"/>
      <c r="G52" s="307"/>
      <c r="H52" s="307"/>
      <c r="I52" s="307"/>
      <c r="J52" s="307"/>
      <c r="K52" s="307"/>
      <c r="L52" s="307"/>
      <c r="M52" s="307"/>
      <c r="N52" s="307"/>
      <c r="O52" s="307"/>
      <c r="P52" s="307"/>
      <c r="Q52" s="307"/>
      <c r="R52" s="307"/>
      <c r="S52" s="307"/>
      <c r="T52" s="307"/>
      <c r="U52" s="307"/>
      <c r="V52" s="307"/>
      <c r="W52" s="307"/>
      <c r="X52" s="307"/>
      <c r="Y52" s="307"/>
      <c r="Z52" s="307"/>
      <c r="AA52" s="66"/>
      <c r="AB52" s="66"/>
      <c r="AC52" s="83"/>
    </row>
    <row r="53" spans="1:68" ht="27" customHeight="1" x14ac:dyDescent="0.25">
      <c r="A53" s="63" t="s">
        <v>130</v>
      </c>
      <c r="B53" s="63" t="s">
        <v>131</v>
      </c>
      <c r="C53" s="36">
        <v>4301071044</v>
      </c>
      <c r="D53" s="289">
        <v>4607111039385</v>
      </c>
      <c r="E53" s="289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86</v>
      </c>
      <c r="L53" s="37" t="s">
        <v>115</v>
      </c>
      <c r="M53" s="38" t="s">
        <v>85</v>
      </c>
      <c r="N53" s="38"/>
      <c r="O53" s="37">
        <v>180</v>
      </c>
      <c r="P53" s="384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91"/>
      <c r="R53" s="291"/>
      <c r="S53" s="291"/>
      <c r="T53" s="292"/>
      <c r="U53" s="39" t="s">
        <v>46</v>
      </c>
      <c r="V53" s="39" t="s">
        <v>46</v>
      </c>
      <c r="W53" s="40" t="s">
        <v>39</v>
      </c>
      <c r="X53" s="58">
        <v>48</v>
      </c>
      <c r="Y53" s="55">
        <f>IFERROR(IF(X53="","",X53),"")</f>
        <v>48</v>
      </c>
      <c r="Z53" s="41">
        <f>IFERROR(IF(X53="","",X53*0.0155),"")</f>
        <v>0.74399999999999999</v>
      </c>
      <c r="AA53" s="68" t="s">
        <v>46</v>
      </c>
      <c r="AB53" s="69" t="s">
        <v>46</v>
      </c>
      <c r="AC53" s="117" t="s">
        <v>132</v>
      </c>
      <c r="AG53" s="81"/>
      <c r="AJ53" s="87" t="s">
        <v>116</v>
      </c>
      <c r="AK53" s="87">
        <v>12</v>
      </c>
      <c r="BB53" s="118" t="s">
        <v>70</v>
      </c>
      <c r="BM53" s="81">
        <f>IFERROR(X53*I53,"0")</f>
        <v>350.4</v>
      </c>
      <c r="BN53" s="81">
        <f>IFERROR(Y53*I53,"0")</f>
        <v>350.4</v>
      </c>
      <c r="BO53" s="81">
        <f>IFERROR(X53/J53,"0")</f>
        <v>0.5714285714285714</v>
      </c>
      <c r="BP53" s="81">
        <f>IFERROR(Y53/J53,"0")</f>
        <v>0.5714285714285714</v>
      </c>
    </row>
    <row r="54" spans="1:68" ht="27" customHeight="1" x14ac:dyDescent="0.25">
      <c r="A54" s="63" t="s">
        <v>133</v>
      </c>
      <c r="B54" s="63" t="s">
        <v>134</v>
      </c>
      <c r="C54" s="36">
        <v>4301071031</v>
      </c>
      <c r="D54" s="289">
        <v>4607111038982</v>
      </c>
      <c r="E54" s="289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86</v>
      </c>
      <c r="L54" s="37" t="s">
        <v>115</v>
      </c>
      <c r="M54" s="38" t="s">
        <v>85</v>
      </c>
      <c r="N54" s="38"/>
      <c r="O54" s="37">
        <v>180</v>
      </c>
      <c r="P54" s="385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91"/>
      <c r="R54" s="291"/>
      <c r="S54" s="291"/>
      <c r="T54" s="292"/>
      <c r="U54" s="39" t="s">
        <v>46</v>
      </c>
      <c r="V54" s="39" t="s">
        <v>46</v>
      </c>
      <c r="W54" s="40" t="s">
        <v>39</v>
      </c>
      <c r="X54" s="58">
        <v>48</v>
      </c>
      <c r="Y54" s="55">
        <f>IFERROR(IF(X54="","",X54),"")</f>
        <v>48</v>
      </c>
      <c r="Z54" s="41">
        <f>IFERROR(IF(X54="","",X54*0.0155),"")</f>
        <v>0.74399999999999999</v>
      </c>
      <c r="AA54" s="68" t="s">
        <v>46</v>
      </c>
      <c r="AB54" s="69" t="s">
        <v>46</v>
      </c>
      <c r="AC54" s="119" t="s">
        <v>135</v>
      </c>
      <c r="AG54" s="81"/>
      <c r="AJ54" s="87" t="s">
        <v>116</v>
      </c>
      <c r="AK54" s="87">
        <v>12</v>
      </c>
      <c r="BB54" s="120" t="s">
        <v>70</v>
      </c>
      <c r="BM54" s="81">
        <f>IFERROR(X54*I54,"0")</f>
        <v>349.72799999999995</v>
      </c>
      <c r="BN54" s="81">
        <f>IFERROR(Y54*I54,"0")</f>
        <v>349.72799999999995</v>
      </c>
      <c r="BO54" s="81">
        <f>IFERROR(X54/J54,"0")</f>
        <v>0.5714285714285714</v>
      </c>
      <c r="BP54" s="81">
        <f>IFERROR(Y54/J54,"0")</f>
        <v>0.5714285714285714</v>
      </c>
    </row>
    <row r="55" spans="1:68" ht="27" customHeight="1" x14ac:dyDescent="0.25">
      <c r="A55" s="63" t="s">
        <v>136</v>
      </c>
      <c r="B55" s="63" t="s">
        <v>137</v>
      </c>
      <c r="C55" s="36">
        <v>4301071046</v>
      </c>
      <c r="D55" s="289">
        <v>4607111039354</v>
      </c>
      <c r="E55" s="289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86</v>
      </c>
      <c r="L55" s="37" t="s">
        <v>115</v>
      </c>
      <c r="M55" s="38" t="s">
        <v>85</v>
      </c>
      <c r="N55" s="38"/>
      <c r="O55" s="37">
        <v>180</v>
      </c>
      <c r="P55" s="38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91"/>
      <c r="R55" s="291"/>
      <c r="S55" s="291"/>
      <c r="T55" s="292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135</v>
      </c>
      <c r="AG55" s="81"/>
      <c r="AJ55" s="87" t="s">
        <v>116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customHeight="1" x14ac:dyDescent="0.25">
      <c r="A56" s="63" t="s">
        <v>138</v>
      </c>
      <c r="B56" s="63" t="s">
        <v>139</v>
      </c>
      <c r="C56" s="36">
        <v>4301071047</v>
      </c>
      <c r="D56" s="289">
        <v>4607111039330</v>
      </c>
      <c r="E56" s="289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86</v>
      </c>
      <c r="L56" s="37" t="s">
        <v>115</v>
      </c>
      <c r="M56" s="38" t="s">
        <v>85</v>
      </c>
      <c r="N56" s="38"/>
      <c r="O56" s="37">
        <v>180</v>
      </c>
      <c r="P56" s="38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91"/>
      <c r="R56" s="291"/>
      <c r="S56" s="291"/>
      <c r="T56" s="292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135</v>
      </c>
      <c r="AG56" s="81"/>
      <c r="AJ56" s="87" t="s">
        <v>116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x14ac:dyDescent="0.2">
      <c r="A57" s="296"/>
      <c r="B57" s="296"/>
      <c r="C57" s="296"/>
      <c r="D57" s="296"/>
      <c r="E57" s="296"/>
      <c r="F57" s="296"/>
      <c r="G57" s="296"/>
      <c r="H57" s="296"/>
      <c r="I57" s="296"/>
      <c r="J57" s="296"/>
      <c r="K57" s="296"/>
      <c r="L57" s="296"/>
      <c r="M57" s="296"/>
      <c r="N57" s="296"/>
      <c r="O57" s="297"/>
      <c r="P57" s="293" t="s">
        <v>40</v>
      </c>
      <c r="Q57" s="294"/>
      <c r="R57" s="294"/>
      <c r="S57" s="294"/>
      <c r="T57" s="294"/>
      <c r="U57" s="294"/>
      <c r="V57" s="295"/>
      <c r="W57" s="42" t="s">
        <v>39</v>
      </c>
      <c r="X57" s="43">
        <f>IFERROR(SUM(X53:X56),"0")</f>
        <v>96</v>
      </c>
      <c r="Y57" s="43">
        <f>IFERROR(SUM(Y53:Y56),"0")</f>
        <v>96</v>
      </c>
      <c r="Z57" s="43">
        <f>IFERROR(IF(Z53="",0,Z53),"0")+IFERROR(IF(Z54="",0,Z54),"0")+IFERROR(IF(Z55="",0,Z55),"0")+IFERROR(IF(Z56="",0,Z56),"0")</f>
        <v>1.488</v>
      </c>
      <c r="AA57" s="67"/>
      <c r="AB57" s="67"/>
      <c r="AC57" s="67"/>
    </row>
    <row r="58" spans="1:68" x14ac:dyDescent="0.2">
      <c r="A58" s="296"/>
      <c r="B58" s="296"/>
      <c r="C58" s="296"/>
      <c r="D58" s="296"/>
      <c r="E58" s="296"/>
      <c r="F58" s="296"/>
      <c r="G58" s="296"/>
      <c r="H58" s="296"/>
      <c r="I58" s="296"/>
      <c r="J58" s="296"/>
      <c r="K58" s="296"/>
      <c r="L58" s="296"/>
      <c r="M58" s="296"/>
      <c r="N58" s="296"/>
      <c r="O58" s="297"/>
      <c r="P58" s="293" t="s">
        <v>40</v>
      </c>
      <c r="Q58" s="294"/>
      <c r="R58" s="294"/>
      <c r="S58" s="294"/>
      <c r="T58" s="294"/>
      <c r="U58" s="294"/>
      <c r="V58" s="295"/>
      <c r="W58" s="42" t="s">
        <v>0</v>
      </c>
      <c r="X58" s="43">
        <f>IFERROR(SUMPRODUCT(X53:X56*H53:H56),"0")</f>
        <v>672</v>
      </c>
      <c r="Y58" s="43">
        <f>IFERROR(SUMPRODUCT(Y53:Y56*H53:H56),"0")</f>
        <v>672</v>
      </c>
      <c r="Z58" s="42"/>
      <c r="AA58" s="67"/>
      <c r="AB58" s="67"/>
      <c r="AC58" s="67"/>
    </row>
    <row r="59" spans="1:68" ht="16.5" customHeight="1" x14ac:dyDescent="0.25">
      <c r="A59" s="317" t="s">
        <v>140</v>
      </c>
      <c r="B59" s="317"/>
      <c r="C59" s="317"/>
      <c r="D59" s="317"/>
      <c r="E59" s="317"/>
      <c r="F59" s="317"/>
      <c r="G59" s="317"/>
      <c r="H59" s="317"/>
      <c r="I59" s="317"/>
      <c r="J59" s="317"/>
      <c r="K59" s="317"/>
      <c r="L59" s="317"/>
      <c r="M59" s="317"/>
      <c r="N59" s="317"/>
      <c r="O59" s="317"/>
      <c r="P59" s="317"/>
      <c r="Q59" s="317"/>
      <c r="R59" s="317"/>
      <c r="S59" s="317"/>
      <c r="T59" s="317"/>
      <c r="U59" s="317"/>
      <c r="V59" s="317"/>
      <c r="W59" s="317"/>
      <c r="X59" s="317"/>
      <c r="Y59" s="317"/>
      <c r="Z59" s="317"/>
      <c r="AA59" s="65"/>
      <c r="AB59" s="65"/>
      <c r="AC59" s="82"/>
    </row>
    <row r="60" spans="1:68" ht="14.25" customHeight="1" x14ac:dyDescent="0.25">
      <c r="A60" s="307" t="s">
        <v>81</v>
      </c>
      <c r="B60" s="307"/>
      <c r="C60" s="307"/>
      <c r="D60" s="307"/>
      <c r="E60" s="307"/>
      <c r="F60" s="307"/>
      <c r="G60" s="307"/>
      <c r="H60" s="307"/>
      <c r="I60" s="307"/>
      <c r="J60" s="307"/>
      <c r="K60" s="307"/>
      <c r="L60" s="307"/>
      <c r="M60" s="307"/>
      <c r="N60" s="307"/>
      <c r="O60" s="307"/>
      <c r="P60" s="307"/>
      <c r="Q60" s="307"/>
      <c r="R60" s="307"/>
      <c r="S60" s="307"/>
      <c r="T60" s="307"/>
      <c r="U60" s="307"/>
      <c r="V60" s="307"/>
      <c r="W60" s="307"/>
      <c r="X60" s="307"/>
      <c r="Y60" s="307"/>
      <c r="Z60" s="307"/>
      <c r="AA60" s="66"/>
      <c r="AB60" s="66"/>
      <c r="AC60" s="83"/>
    </row>
    <row r="61" spans="1:68" ht="16.5" customHeight="1" x14ac:dyDescent="0.25">
      <c r="A61" s="63" t="s">
        <v>141</v>
      </c>
      <c r="B61" s="63" t="s">
        <v>142</v>
      </c>
      <c r="C61" s="36">
        <v>4301071073</v>
      </c>
      <c r="D61" s="289">
        <v>4620207490822</v>
      </c>
      <c r="E61" s="289"/>
      <c r="F61" s="62">
        <v>0.43</v>
      </c>
      <c r="G61" s="37">
        <v>8</v>
      </c>
      <c r="H61" s="62">
        <v>3.44</v>
      </c>
      <c r="I61" s="62">
        <v>3.64</v>
      </c>
      <c r="J61" s="37">
        <v>144</v>
      </c>
      <c r="K61" s="37" t="s">
        <v>86</v>
      </c>
      <c r="L61" s="37" t="s">
        <v>87</v>
      </c>
      <c r="M61" s="38" t="s">
        <v>85</v>
      </c>
      <c r="N61" s="38"/>
      <c r="O61" s="37">
        <v>365</v>
      </c>
      <c r="P61" s="383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1" s="291"/>
      <c r="R61" s="291"/>
      <c r="S61" s="291"/>
      <c r="T61" s="292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IFERROR(IF(X61="","",X61*0.00866),"")</f>
        <v>0</v>
      </c>
      <c r="AA61" s="68" t="s">
        <v>46</v>
      </c>
      <c r="AB61" s="69" t="s">
        <v>46</v>
      </c>
      <c r="AC61" s="125" t="s">
        <v>143</v>
      </c>
      <c r="AG61" s="81"/>
      <c r="AJ61" s="87" t="s">
        <v>88</v>
      </c>
      <c r="AK61" s="87">
        <v>1</v>
      </c>
      <c r="BB61" s="126" t="s">
        <v>70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x14ac:dyDescent="0.2">
      <c r="A62" s="296"/>
      <c r="B62" s="296"/>
      <c r="C62" s="296"/>
      <c r="D62" s="296"/>
      <c r="E62" s="296"/>
      <c r="F62" s="296"/>
      <c r="G62" s="296"/>
      <c r="H62" s="296"/>
      <c r="I62" s="296"/>
      <c r="J62" s="296"/>
      <c r="K62" s="296"/>
      <c r="L62" s="296"/>
      <c r="M62" s="296"/>
      <c r="N62" s="296"/>
      <c r="O62" s="297"/>
      <c r="P62" s="293" t="s">
        <v>40</v>
      </c>
      <c r="Q62" s="294"/>
      <c r="R62" s="294"/>
      <c r="S62" s="294"/>
      <c r="T62" s="294"/>
      <c r="U62" s="294"/>
      <c r="V62" s="295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x14ac:dyDescent="0.2">
      <c r="A63" s="296"/>
      <c r="B63" s="296"/>
      <c r="C63" s="296"/>
      <c r="D63" s="296"/>
      <c r="E63" s="296"/>
      <c r="F63" s="296"/>
      <c r="G63" s="296"/>
      <c r="H63" s="296"/>
      <c r="I63" s="296"/>
      <c r="J63" s="296"/>
      <c r="K63" s="296"/>
      <c r="L63" s="296"/>
      <c r="M63" s="296"/>
      <c r="N63" s="296"/>
      <c r="O63" s="297"/>
      <c r="P63" s="293" t="s">
        <v>40</v>
      </c>
      <c r="Q63" s="294"/>
      <c r="R63" s="294"/>
      <c r="S63" s="294"/>
      <c r="T63" s="294"/>
      <c r="U63" s="294"/>
      <c r="V63" s="295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customHeight="1" x14ac:dyDescent="0.25">
      <c r="A64" s="307" t="s">
        <v>109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7"/>
      <c r="Q64" s="307"/>
      <c r="R64" s="307"/>
      <c r="S64" s="307"/>
      <c r="T64" s="307"/>
      <c r="U64" s="307"/>
      <c r="V64" s="307"/>
      <c r="W64" s="307"/>
      <c r="X64" s="307"/>
      <c r="Y64" s="307"/>
      <c r="Z64" s="307"/>
      <c r="AA64" s="66"/>
      <c r="AB64" s="66"/>
      <c r="AC64" s="83"/>
    </row>
    <row r="65" spans="1:68" ht="27" customHeight="1" x14ac:dyDescent="0.25">
      <c r="A65" s="63" t="s">
        <v>144</v>
      </c>
      <c r="B65" s="63" t="s">
        <v>145</v>
      </c>
      <c r="C65" s="36">
        <v>4301132194</v>
      </c>
      <c r="D65" s="289">
        <v>4607111039712</v>
      </c>
      <c r="E65" s="289"/>
      <c r="F65" s="62">
        <v>0.2</v>
      </c>
      <c r="G65" s="37">
        <v>6</v>
      </c>
      <c r="H65" s="62">
        <v>1.2</v>
      </c>
      <c r="I65" s="62">
        <v>1.56</v>
      </c>
      <c r="J65" s="37">
        <v>140</v>
      </c>
      <c r="K65" s="37" t="s">
        <v>114</v>
      </c>
      <c r="L65" s="37" t="s">
        <v>87</v>
      </c>
      <c r="M65" s="38" t="s">
        <v>85</v>
      </c>
      <c r="N65" s="38"/>
      <c r="O65" s="37">
        <v>365</v>
      </c>
      <c r="P65" s="381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5" s="291"/>
      <c r="R65" s="291"/>
      <c r="S65" s="291"/>
      <c r="T65" s="292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146</v>
      </c>
      <c r="AG65" s="81"/>
      <c r="AJ65" s="87" t="s">
        <v>88</v>
      </c>
      <c r="AK65" s="87">
        <v>1</v>
      </c>
      <c r="BB65" s="128" t="s">
        <v>113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x14ac:dyDescent="0.2">
      <c r="A66" s="296"/>
      <c r="B66" s="296"/>
      <c r="C66" s="296"/>
      <c r="D66" s="296"/>
      <c r="E66" s="296"/>
      <c r="F66" s="296"/>
      <c r="G66" s="296"/>
      <c r="H66" s="296"/>
      <c r="I66" s="296"/>
      <c r="J66" s="296"/>
      <c r="K66" s="296"/>
      <c r="L66" s="296"/>
      <c r="M66" s="296"/>
      <c r="N66" s="296"/>
      <c r="O66" s="297"/>
      <c r="P66" s="293" t="s">
        <v>40</v>
      </c>
      <c r="Q66" s="294"/>
      <c r="R66" s="294"/>
      <c r="S66" s="294"/>
      <c r="T66" s="294"/>
      <c r="U66" s="294"/>
      <c r="V66" s="295"/>
      <c r="W66" s="42" t="s">
        <v>39</v>
      </c>
      <c r="X66" s="43">
        <f>IFERROR(SUM(X65:X65),"0")</f>
        <v>0</v>
      </c>
      <c r="Y66" s="43">
        <f>IFERROR(SUM(Y65:Y65),"0")</f>
        <v>0</v>
      </c>
      <c r="Z66" s="43">
        <f>IFERROR(IF(Z65="",0,Z65),"0")</f>
        <v>0</v>
      </c>
      <c r="AA66" s="67"/>
      <c r="AB66" s="67"/>
      <c r="AC66" s="67"/>
    </row>
    <row r="67" spans="1:68" x14ac:dyDescent="0.2">
      <c r="A67" s="296"/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7"/>
      <c r="P67" s="293" t="s">
        <v>40</v>
      </c>
      <c r="Q67" s="294"/>
      <c r="R67" s="294"/>
      <c r="S67" s="294"/>
      <c r="T67" s="294"/>
      <c r="U67" s="294"/>
      <c r="V67" s="295"/>
      <c r="W67" s="42" t="s">
        <v>0</v>
      </c>
      <c r="X67" s="43">
        <f>IFERROR(SUMPRODUCT(X65:X65*H65:H65),"0")</f>
        <v>0</v>
      </c>
      <c r="Y67" s="43">
        <f>IFERROR(SUMPRODUCT(Y65:Y65*H65:H65),"0")</f>
        <v>0</v>
      </c>
      <c r="Z67" s="42"/>
      <c r="AA67" s="67"/>
      <c r="AB67" s="67"/>
      <c r="AC67" s="67"/>
    </row>
    <row r="68" spans="1:68" ht="14.25" customHeight="1" x14ac:dyDescent="0.25">
      <c r="A68" s="307" t="s">
        <v>147</v>
      </c>
      <c r="B68" s="307"/>
      <c r="C68" s="307"/>
      <c r="D68" s="307"/>
      <c r="E68" s="307"/>
      <c r="F68" s="307"/>
      <c r="G68" s="307"/>
      <c r="H68" s="307"/>
      <c r="I68" s="307"/>
      <c r="J68" s="307"/>
      <c r="K68" s="307"/>
      <c r="L68" s="307"/>
      <c r="M68" s="307"/>
      <c r="N68" s="307"/>
      <c r="O68" s="307"/>
      <c r="P68" s="307"/>
      <c r="Q68" s="307"/>
      <c r="R68" s="307"/>
      <c r="S68" s="307"/>
      <c r="T68" s="307"/>
      <c r="U68" s="307"/>
      <c r="V68" s="307"/>
      <c r="W68" s="307"/>
      <c r="X68" s="307"/>
      <c r="Y68" s="307"/>
      <c r="Z68" s="307"/>
      <c r="AA68" s="66"/>
      <c r="AB68" s="66"/>
      <c r="AC68" s="83"/>
    </row>
    <row r="69" spans="1:68" ht="16.5" customHeight="1" x14ac:dyDescent="0.25">
      <c r="A69" s="63" t="s">
        <v>148</v>
      </c>
      <c r="B69" s="63" t="s">
        <v>149</v>
      </c>
      <c r="C69" s="36">
        <v>4301136018</v>
      </c>
      <c r="D69" s="289">
        <v>4607111037008</v>
      </c>
      <c r="E69" s="289"/>
      <c r="F69" s="62">
        <v>0.36</v>
      </c>
      <c r="G69" s="37">
        <v>4</v>
      </c>
      <c r="H69" s="62">
        <v>1.44</v>
      </c>
      <c r="I69" s="62">
        <v>1.74</v>
      </c>
      <c r="J69" s="37">
        <v>140</v>
      </c>
      <c r="K69" s="37" t="s">
        <v>114</v>
      </c>
      <c r="L69" s="37" t="s">
        <v>87</v>
      </c>
      <c r="M69" s="38" t="s">
        <v>85</v>
      </c>
      <c r="N69" s="38"/>
      <c r="O69" s="37">
        <v>365</v>
      </c>
      <c r="P69" s="382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9" s="291"/>
      <c r="R69" s="291"/>
      <c r="S69" s="291"/>
      <c r="T69" s="292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IFERROR(IF(X69="","",X69*0.00941),"")</f>
        <v>0</v>
      </c>
      <c r="AA69" s="68" t="s">
        <v>46</v>
      </c>
      <c r="AB69" s="69" t="s">
        <v>46</v>
      </c>
      <c r="AC69" s="129" t="s">
        <v>150</v>
      </c>
      <c r="AG69" s="81"/>
      <c r="AJ69" s="87" t="s">
        <v>88</v>
      </c>
      <c r="AK69" s="87">
        <v>1</v>
      </c>
      <c r="BB69" s="130" t="s">
        <v>113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ht="16.5" customHeight="1" x14ac:dyDescent="0.25">
      <c r="A70" s="63" t="s">
        <v>151</v>
      </c>
      <c r="B70" s="63" t="s">
        <v>152</v>
      </c>
      <c r="C70" s="36">
        <v>4301136015</v>
      </c>
      <c r="D70" s="289">
        <v>4607111037398</v>
      </c>
      <c r="E70" s="289"/>
      <c r="F70" s="62">
        <v>0.09</v>
      </c>
      <c r="G70" s="37">
        <v>24</v>
      </c>
      <c r="H70" s="62">
        <v>2.16</v>
      </c>
      <c r="I70" s="62">
        <v>4.0199999999999996</v>
      </c>
      <c r="J70" s="37">
        <v>126</v>
      </c>
      <c r="K70" s="37" t="s">
        <v>114</v>
      </c>
      <c r="L70" s="37" t="s">
        <v>87</v>
      </c>
      <c r="M70" s="38" t="s">
        <v>85</v>
      </c>
      <c r="N70" s="38"/>
      <c r="O70" s="37">
        <v>365</v>
      </c>
      <c r="P70" s="378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0" s="291"/>
      <c r="R70" s="291"/>
      <c r="S70" s="291"/>
      <c r="T70" s="292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IFERROR(IF(X70="","",X70*0.00936),"")</f>
        <v>0</v>
      </c>
      <c r="AA70" s="68" t="s">
        <v>46</v>
      </c>
      <c r="AB70" s="69" t="s">
        <v>46</v>
      </c>
      <c r="AC70" s="131" t="s">
        <v>150</v>
      </c>
      <c r="AG70" s="81"/>
      <c r="AJ70" s="87" t="s">
        <v>88</v>
      </c>
      <c r="AK70" s="87">
        <v>1</v>
      </c>
      <c r="BB70" s="132" t="s">
        <v>113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x14ac:dyDescent="0.2">
      <c r="A71" s="296"/>
      <c r="B71" s="296"/>
      <c r="C71" s="296"/>
      <c r="D71" s="296"/>
      <c r="E71" s="296"/>
      <c r="F71" s="296"/>
      <c r="G71" s="296"/>
      <c r="H71" s="296"/>
      <c r="I71" s="296"/>
      <c r="J71" s="296"/>
      <c r="K71" s="296"/>
      <c r="L71" s="296"/>
      <c r="M71" s="296"/>
      <c r="N71" s="296"/>
      <c r="O71" s="297"/>
      <c r="P71" s="293" t="s">
        <v>40</v>
      </c>
      <c r="Q71" s="294"/>
      <c r="R71" s="294"/>
      <c r="S71" s="294"/>
      <c r="T71" s="294"/>
      <c r="U71" s="294"/>
      <c r="V71" s="295"/>
      <c r="W71" s="42" t="s">
        <v>39</v>
      </c>
      <c r="X71" s="43">
        <f>IFERROR(SUM(X69:X70),"0")</f>
        <v>0</v>
      </c>
      <c r="Y71" s="43">
        <f>IFERROR(SUM(Y69:Y70),"0")</f>
        <v>0</v>
      </c>
      <c r="Z71" s="43">
        <f>IFERROR(IF(Z69="",0,Z69),"0")+IFERROR(IF(Z70="",0,Z70),"0")</f>
        <v>0</v>
      </c>
      <c r="AA71" s="67"/>
      <c r="AB71" s="67"/>
      <c r="AC71" s="67"/>
    </row>
    <row r="72" spans="1:68" x14ac:dyDescent="0.2">
      <c r="A72" s="296"/>
      <c r="B72" s="296"/>
      <c r="C72" s="296"/>
      <c r="D72" s="296"/>
      <c r="E72" s="296"/>
      <c r="F72" s="296"/>
      <c r="G72" s="296"/>
      <c r="H72" s="296"/>
      <c r="I72" s="296"/>
      <c r="J72" s="296"/>
      <c r="K72" s="296"/>
      <c r="L72" s="296"/>
      <c r="M72" s="296"/>
      <c r="N72" s="296"/>
      <c r="O72" s="297"/>
      <c r="P72" s="293" t="s">
        <v>40</v>
      </c>
      <c r="Q72" s="294"/>
      <c r="R72" s="294"/>
      <c r="S72" s="294"/>
      <c r="T72" s="294"/>
      <c r="U72" s="294"/>
      <c r="V72" s="295"/>
      <c r="W72" s="42" t="s">
        <v>0</v>
      </c>
      <c r="X72" s="43">
        <f>IFERROR(SUMPRODUCT(X69:X70*H69:H70),"0")</f>
        <v>0</v>
      </c>
      <c r="Y72" s="43">
        <f>IFERROR(SUMPRODUCT(Y69:Y70*H69:H70),"0")</f>
        <v>0</v>
      </c>
      <c r="Z72" s="42"/>
      <c r="AA72" s="67"/>
      <c r="AB72" s="67"/>
      <c r="AC72" s="67"/>
    </row>
    <row r="73" spans="1:68" ht="14.25" customHeight="1" x14ac:dyDescent="0.25">
      <c r="A73" s="307" t="s">
        <v>153</v>
      </c>
      <c r="B73" s="307"/>
      <c r="C73" s="307"/>
      <c r="D73" s="307"/>
      <c r="E73" s="307"/>
      <c r="F73" s="307"/>
      <c r="G73" s="307"/>
      <c r="H73" s="307"/>
      <c r="I73" s="307"/>
      <c r="J73" s="307"/>
      <c r="K73" s="307"/>
      <c r="L73" s="307"/>
      <c r="M73" s="307"/>
      <c r="N73" s="307"/>
      <c r="O73" s="307"/>
      <c r="P73" s="307"/>
      <c r="Q73" s="307"/>
      <c r="R73" s="307"/>
      <c r="S73" s="307"/>
      <c r="T73" s="307"/>
      <c r="U73" s="307"/>
      <c r="V73" s="307"/>
      <c r="W73" s="307"/>
      <c r="X73" s="307"/>
      <c r="Y73" s="307"/>
      <c r="Z73" s="307"/>
      <c r="AA73" s="66"/>
      <c r="AB73" s="66"/>
      <c r="AC73" s="83"/>
    </row>
    <row r="74" spans="1:68" ht="27" customHeight="1" x14ac:dyDescent="0.25">
      <c r="A74" s="63" t="s">
        <v>154</v>
      </c>
      <c r="B74" s="63" t="s">
        <v>155</v>
      </c>
      <c r="C74" s="36">
        <v>4301135664</v>
      </c>
      <c r="D74" s="289">
        <v>4607111039705</v>
      </c>
      <c r="E74" s="289"/>
      <c r="F74" s="62">
        <v>0.2</v>
      </c>
      <c r="G74" s="37">
        <v>6</v>
      </c>
      <c r="H74" s="62">
        <v>1.2</v>
      </c>
      <c r="I74" s="62">
        <v>1.56</v>
      </c>
      <c r="J74" s="37">
        <v>140</v>
      </c>
      <c r="K74" s="37" t="s">
        <v>114</v>
      </c>
      <c r="L74" s="37" t="s">
        <v>87</v>
      </c>
      <c r="M74" s="38" t="s">
        <v>85</v>
      </c>
      <c r="N74" s="38"/>
      <c r="O74" s="37">
        <v>365</v>
      </c>
      <c r="P74" s="379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4" s="291"/>
      <c r="R74" s="291"/>
      <c r="S74" s="291"/>
      <c r="T74" s="292"/>
      <c r="U74" s="39" t="s">
        <v>46</v>
      </c>
      <c r="V74" s="39" t="s">
        <v>46</v>
      </c>
      <c r="W74" s="40" t="s">
        <v>39</v>
      </c>
      <c r="X74" s="58">
        <v>0</v>
      </c>
      <c r="Y74" s="55">
        <f>IFERROR(IF(X74="","",X74),"")</f>
        <v>0</v>
      </c>
      <c r="Z74" s="41">
        <f>IFERROR(IF(X74="","",X74*0.00941),"")</f>
        <v>0</v>
      </c>
      <c r="AA74" s="68" t="s">
        <v>46</v>
      </c>
      <c r="AB74" s="69" t="s">
        <v>46</v>
      </c>
      <c r="AC74" s="133" t="s">
        <v>150</v>
      </c>
      <c r="AG74" s="81"/>
      <c r="AJ74" s="87" t="s">
        <v>88</v>
      </c>
      <c r="AK74" s="87">
        <v>1</v>
      </c>
      <c r="BB74" s="134" t="s">
        <v>113</v>
      </c>
      <c r="BM74" s="81">
        <f>IFERROR(X74*I74,"0")</f>
        <v>0</v>
      </c>
      <c r="BN74" s="81">
        <f>IFERROR(Y74*I74,"0")</f>
        <v>0</v>
      </c>
      <c r="BO74" s="81">
        <f>IFERROR(X74/J74,"0")</f>
        <v>0</v>
      </c>
      <c r="BP74" s="81">
        <f>IFERROR(Y74/J74,"0")</f>
        <v>0</v>
      </c>
    </row>
    <row r="75" spans="1:68" ht="27" customHeight="1" x14ac:dyDescent="0.25">
      <c r="A75" s="63" t="s">
        <v>156</v>
      </c>
      <c r="B75" s="63" t="s">
        <v>157</v>
      </c>
      <c r="C75" s="36">
        <v>4301135665</v>
      </c>
      <c r="D75" s="289">
        <v>4607111039729</v>
      </c>
      <c r="E75" s="289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114</v>
      </c>
      <c r="L75" s="37" t="s">
        <v>87</v>
      </c>
      <c r="M75" s="38" t="s">
        <v>85</v>
      </c>
      <c r="N75" s="38"/>
      <c r="O75" s="37">
        <v>365</v>
      </c>
      <c r="P75" s="380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5" s="291"/>
      <c r="R75" s="291"/>
      <c r="S75" s="291"/>
      <c r="T75" s="292"/>
      <c r="U75" s="39" t="s">
        <v>46</v>
      </c>
      <c r="V75" s="39" t="s">
        <v>46</v>
      </c>
      <c r="W75" s="40" t="s">
        <v>39</v>
      </c>
      <c r="X75" s="58">
        <v>56</v>
      </c>
      <c r="Y75" s="55">
        <f>IFERROR(IF(X75="","",X75),"")</f>
        <v>56</v>
      </c>
      <c r="Z75" s="41">
        <f>IFERROR(IF(X75="","",X75*0.00941),"")</f>
        <v>0.52695999999999998</v>
      </c>
      <c r="AA75" s="68" t="s">
        <v>46</v>
      </c>
      <c r="AB75" s="69" t="s">
        <v>46</v>
      </c>
      <c r="AC75" s="135" t="s">
        <v>158</v>
      </c>
      <c r="AG75" s="81"/>
      <c r="AJ75" s="87" t="s">
        <v>88</v>
      </c>
      <c r="AK75" s="87">
        <v>1</v>
      </c>
      <c r="BB75" s="136" t="s">
        <v>113</v>
      </c>
      <c r="BM75" s="81">
        <f>IFERROR(X75*I75,"0")</f>
        <v>87.36</v>
      </c>
      <c r="BN75" s="81">
        <f>IFERROR(Y75*I75,"0")</f>
        <v>87.36</v>
      </c>
      <c r="BO75" s="81">
        <f>IFERROR(X75/J75,"0")</f>
        <v>0.4</v>
      </c>
      <c r="BP75" s="81">
        <f>IFERROR(Y75/J75,"0")</f>
        <v>0.4</v>
      </c>
    </row>
    <row r="76" spans="1:68" ht="27" customHeight="1" x14ac:dyDescent="0.25">
      <c r="A76" s="63" t="s">
        <v>159</v>
      </c>
      <c r="B76" s="63" t="s">
        <v>160</v>
      </c>
      <c r="C76" s="36">
        <v>4301135702</v>
      </c>
      <c r="D76" s="289">
        <v>4620207490228</v>
      </c>
      <c r="E76" s="289"/>
      <c r="F76" s="62">
        <v>0.2</v>
      </c>
      <c r="G76" s="37">
        <v>6</v>
      </c>
      <c r="H76" s="62">
        <v>1.2</v>
      </c>
      <c r="I76" s="62">
        <v>1.56</v>
      </c>
      <c r="J76" s="37">
        <v>140</v>
      </c>
      <c r="K76" s="37" t="s">
        <v>114</v>
      </c>
      <c r="L76" s="37" t="s">
        <v>87</v>
      </c>
      <c r="M76" s="38" t="s">
        <v>85</v>
      </c>
      <c r="N76" s="38"/>
      <c r="O76" s="37">
        <v>365</v>
      </c>
      <c r="P76" s="376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6" s="291"/>
      <c r="R76" s="291"/>
      <c r="S76" s="291"/>
      <c r="T76" s="292"/>
      <c r="U76" s="39" t="s">
        <v>46</v>
      </c>
      <c r="V76" s="39" t="s">
        <v>46</v>
      </c>
      <c r="W76" s="40" t="s">
        <v>39</v>
      </c>
      <c r="X76" s="58">
        <v>56</v>
      </c>
      <c r="Y76" s="55">
        <f>IFERROR(IF(X76="","",X76),"")</f>
        <v>56</v>
      </c>
      <c r="Z76" s="41">
        <f>IFERROR(IF(X76="","",X76*0.00941),"")</f>
        <v>0.52695999999999998</v>
      </c>
      <c r="AA76" s="68" t="s">
        <v>46</v>
      </c>
      <c r="AB76" s="69" t="s">
        <v>46</v>
      </c>
      <c r="AC76" s="137" t="s">
        <v>158</v>
      </c>
      <c r="AG76" s="81"/>
      <c r="AJ76" s="87" t="s">
        <v>88</v>
      </c>
      <c r="AK76" s="87">
        <v>1</v>
      </c>
      <c r="BB76" s="138" t="s">
        <v>113</v>
      </c>
      <c r="BM76" s="81">
        <f>IFERROR(X76*I76,"0")</f>
        <v>87.36</v>
      </c>
      <c r="BN76" s="81">
        <f>IFERROR(Y76*I76,"0")</f>
        <v>87.36</v>
      </c>
      <c r="BO76" s="81">
        <f>IFERROR(X76/J76,"0")</f>
        <v>0.4</v>
      </c>
      <c r="BP76" s="81">
        <f>IFERROR(Y76/J76,"0")</f>
        <v>0.4</v>
      </c>
    </row>
    <row r="77" spans="1:68" x14ac:dyDescent="0.2">
      <c r="A77" s="296"/>
      <c r="B77" s="296"/>
      <c r="C77" s="296"/>
      <c r="D77" s="296"/>
      <c r="E77" s="296"/>
      <c r="F77" s="296"/>
      <c r="G77" s="296"/>
      <c r="H77" s="296"/>
      <c r="I77" s="296"/>
      <c r="J77" s="296"/>
      <c r="K77" s="296"/>
      <c r="L77" s="296"/>
      <c r="M77" s="296"/>
      <c r="N77" s="296"/>
      <c r="O77" s="297"/>
      <c r="P77" s="293" t="s">
        <v>40</v>
      </c>
      <c r="Q77" s="294"/>
      <c r="R77" s="294"/>
      <c r="S77" s="294"/>
      <c r="T77" s="294"/>
      <c r="U77" s="294"/>
      <c r="V77" s="295"/>
      <c r="W77" s="42" t="s">
        <v>39</v>
      </c>
      <c r="X77" s="43">
        <f>IFERROR(SUM(X74:X76),"0")</f>
        <v>112</v>
      </c>
      <c r="Y77" s="43">
        <f>IFERROR(SUM(Y74:Y76),"0")</f>
        <v>112</v>
      </c>
      <c r="Z77" s="43">
        <f>IFERROR(IF(Z74="",0,Z74),"0")+IFERROR(IF(Z75="",0,Z75),"0")+IFERROR(IF(Z76="",0,Z76),"0")</f>
        <v>1.05392</v>
      </c>
      <c r="AA77" s="67"/>
      <c r="AB77" s="67"/>
      <c r="AC77" s="67"/>
    </row>
    <row r="78" spans="1:68" x14ac:dyDescent="0.2">
      <c r="A78" s="296"/>
      <c r="B78" s="296"/>
      <c r="C78" s="296"/>
      <c r="D78" s="296"/>
      <c r="E78" s="296"/>
      <c r="F78" s="296"/>
      <c r="G78" s="296"/>
      <c r="H78" s="296"/>
      <c r="I78" s="296"/>
      <c r="J78" s="296"/>
      <c r="K78" s="296"/>
      <c r="L78" s="296"/>
      <c r="M78" s="296"/>
      <c r="N78" s="296"/>
      <c r="O78" s="297"/>
      <c r="P78" s="293" t="s">
        <v>40</v>
      </c>
      <c r="Q78" s="294"/>
      <c r="R78" s="294"/>
      <c r="S78" s="294"/>
      <c r="T78" s="294"/>
      <c r="U78" s="294"/>
      <c r="V78" s="295"/>
      <c r="W78" s="42" t="s">
        <v>0</v>
      </c>
      <c r="X78" s="43">
        <f>IFERROR(SUMPRODUCT(X74:X76*H74:H76),"0")</f>
        <v>134.4</v>
      </c>
      <c r="Y78" s="43">
        <f>IFERROR(SUMPRODUCT(Y74:Y76*H74:H76),"0")</f>
        <v>134.4</v>
      </c>
      <c r="Z78" s="42"/>
      <c r="AA78" s="67"/>
      <c r="AB78" s="67"/>
      <c r="AC78" s="67"/>
    </row>
    <row r="79" spans="1:68" ht="16.5" customHeight="1" x14ac:dyDescent="0.25">
      <c r="A79" s="317" t="s">
        <v>161</v>
      </c>
      <c r="B79" s="317"/>
      <c r="C79" s="317"/>
      <c r="D79" s="317"/>
      <c r="E79" s="317"/>
      <c r="F79" s="317"/>
      <c r="G79" s="317"/>
      <c r="H79" s="317"/>
      <c r="I79" s="317"/>
      <c r="J79" s="317"/>
      <c r="K79" s="317"/>
      <c r="L79" s="317"/>
      <c r="M79" s="317"/>
      <c r="N79" s="317"/>
      <c r="O79" s="317"/>
      <c r="P79" s="317"/>
      <c r="Q79" s="317"/>
      <c r="R79" s="317"/>
      <c r="S79" s="317"/>
      <c r="T79" s="317"/>
      <c r="U79" s="317"/>
      <c r="V79" s="317"/>
      <c r="W79" s="317"/>
      <c r="X79" s="317"/>
      <c r="Y79" s="317"/>
      <c r="Z79" s="317"/>
      <c r="AA79" s="65"/>
      <c r="AB79" s="65"/>
      <c r="AC79" s="82"/>
    </row>
    <row r="80" spans="1:68" ht="14.25" customHeight="1" x14ac:dyDescent="0.25">
      <c r="A80" s="307" t="s">
        <v>81</v>
      </c>
      <c r="B80" s="307"/>
      <c r="C80" s="307"/>
      <c r="D80" s="307"/>
      <c r="E80" s="307"/>
      <c r="F80" s="307"/>
      <c r="G80" s="307"/>
      <c r="H80" s="307"/>
      <c r="I80" s="307"/>
      <c r="J80" s="307"/>
      <c r="K80" s="307"/>
      <c r="L80" s="307"/>
      <c r="M80" s="307"/>
      <c r="N80" s="307"/>
      <c r="O80" s="307"/>
      <c r="P80" s="307"/>
      <c r="Q80" s="307"/>
      <c r="R80" s="307"/>
      <c r="S80" s="307"/>
      <c r="T80" s="307"/>
      <c r="U80" s="307"/>
      <c r="V80" s="307"/>
      <c r="W80" s="307"/>
      <c r="X80" s="307"/>
      <c r="Y80" s="307"/>
      <c r="Z80" s="307"/>
      <c r="AA80" s="66"/>
      <c r="AB80" s="66"/>
      <c r="AC80" s="83"/>
    </row>
    <row r="81" spans="1:68" ht="27" customHeight="1" x14ac:dyDescent="0.25">
      <c r="A81" s="63" t="s">
        <v>162</v>
      </c>
      <c r="B81" s="63" t="s">
        <v>163</v>
      </c>
      <c r="C81" s="36">
        <v>4301070977</v>
      </c>
      <c r="D81" s="289">
        <v>4607111037411</v>
      </c>
      <c r="E81" s="289"/>
      <c r="F81" s="62">
        <v>2.7</v>
      </c>
      <c r="G81" s="37">
        <v>1</v>
      </c>
      <c r="H81" s="62">
        <v>2.7</v>
      </c>
      <c r="I81" s="62">
        <v>2.8132000000000001</v>
      </c>
      <c r="J81" s="37">
        <v>234</v>
      </c>
      <c r="K81" s="37" t="s">
        <v>165</v>
      </c>
      <c r="L81" s="37" t="s">
        <v>87</v>
      </c>
      <c r="M81" s="38" t="s">
        <v>85</v>
      </c>
      <c r="N81" s="38"/>
      <c r="O81" s="37">
        <v>180</v>
      </c>
      <c r="P81" s="37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1" s="291"/>
      <c r="R81" s="291"/>
      <c r="S81" s="291"/>
      <c r="T81" s="292"/>
      <c r="U81" s="39" t="s">
        <v>46</v>
      </c>
      <c r="V81" s="39" t="s">
        <v>46</v>
      </c>
      <c r="W81" s="40" t="s">
        <v>39</v>
      </c>
      <c r="X81" s="58">
        <v>72</v>
      </c>
      <c r="Y81" s="55">
        <f>IFERROR(IF(X81="","",X81),"")</f>
        <v>72</v>
      </c>
      <c r="Z81" s="41">
        <f>IFERROR(IF(X81="","",X81*0.00502),"")</f>
        <v>0.36143999999999998</v>
      </c>
      <c r="AA81" s="68" t="s">
        <v>46</v>
      </c>
      <c r="AB81" s="69" t="s">
        <v>46</v>
      </c>
      <c r="AC81" s="139" t="s">
        <v>164</v>
      </c>
      <c r="AG81" s="81"/>
      <c r="AJ81" s="87" t="s">
        <v>88</v>
      </c>
      <c r="AK81" s="87">
        <v>1</v>
      </c>
      <c r="BB81" s="140" t="s">
        <v>70</v>
      </c>
      <c r="BM81" s="81">
        <f>IFERROR(X81*I81,"0")</f>
        <v>202.55040000000002</v>
      </c>
      <c r="BN81" s="81">
        <f>IFERROR(Y81*I81,"0")</f>
        <v>202.55040000000002</v>
      </c>
      <c r="BO81" s="81">
        <f>IFERROR(X81/J81,"0")</f>
        <v>0.30769230769230771</v>
      </c>
      <c r="BP81" s="81">
        <f>IFERROR(Y81/J81,"0")</f>
        <v>0.30769230769230771</v>
      </c>
    </row>
    <row r="82" spans="1:68" ht="27" customHeight="1" x14ac:dyDescent="0.25">
      <c r="A82" s="63" t="s">
        <v>166</v>
      </c>
      <c r="B82" s="63" t="s">
        <v>167</v>
      </c>
      <c r="C82" s="36">
        <v>4301070981</v>
      </c>
      <c r="D82" s="289">
        <v>4607111036728</v>
      </c>
      <c r="E82" s="289"/>
      <c r="F82" s="62">
        <v>5</v>
      </c>
      <c r="G82" s="37">
        <v>1</v>
      </c>
      <c r="H82" s="62">
        <v>5</v>
      </c>
      <c r="I82" s="62">
        <v>5.2131999999999996</v>
      </c>
      <c r="J82" s="37">
        <v>144</v>
      </c>
      <c r="K82" s="37" t="s">
        <v>86</v>
      </c>
      <c r="L82" s="37" t="s">
        <v>115</v>
      </c>
      <c r="M82" s="38" t="s">
        <v>85</v>
      </c>
      <c r="N82" s="38"/>
      <c r="O82" s="37">
        <v>180</v>
      </c>
      <c r="P82" s="374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2" s="291"/>
      <c r="R82" s="291"/>
      <c r="S82" s="291"/>
      <c r="T82" s="292"/>
      <c r="U82" s="39" t="s">
        <v>46</v>
      </c>
      <c r="V82" s="39" t="s">
        <v>46</v>
      </c>
      <c r="W82" s="40" t="s">
        <v>39</v>
      </c>
      <c r="X82" s="58">
        <v>0</v>
      </c>
      <c r="Y82" s="55">
        <f>IFERROR(IF(X82="","",X82),"")</f>
        <v>0</v>
      </c>
      <c r="Z82" s="41">
        <f>IFERROR(IF(X82="","",X82*0.00866),"")</f>
        <v>0</v>
      </c>
      <c r="AA82" s="68" t="s">
        <v>46</v>
      </c>
      <c r="AB82" s="69" t="s">
        <v>46</v>
      </c>
      <c r="AC82" s="141" t="s">
        <v>164</v>
      </c>
      <c r="AG82" s="81"/>
      <c r="AJ82" s="87" t="s">
        <v>116</v>
      </c>
      <c r="AK82" s="87">
        <v>12</v>
      </c>
      <c r="BB82" s="142" t="s">
        <v>70</v>
      </c>
      <c r="BM82" s="81">
        <f>IFERROR(X82*I82,"0")</f>
        <v>0</v>
      </c>
      <c r="BN82" s="81">
        <f>IFERROR(Y82*I82,"0")</f>
        <v>0</v>
      </c>
      <c r="BO82" s="81">
        <f>IFERROR(X82/J82,"0")</f>
        <v>0</v>
      </c>
      <c r="BP82" s="81">
        <f>IFERROR(Y82/J82,"0")</f>
        <v>0</v>
      </c>
    </row>
    <row r="83" spans="1:68" x14ac:dyDescent="0.2">
      <c r="A83" s="296"/>
      <c r="B83" s="296"/>
      <c r="C83" s="296"/>
      <c r="D83" s="296"/>
      <c r="E83" s="296"/>
      <c r="F83" s="296"/>
      <c r="G83" s="296"/>
      <c r="H83" s="296"/>
      <c r="I83" s="296"/>
      <c r="J83" s="296"/>
      <c r="K83" s="296"/>
      <c r="L83" s="296"/>
      <c r="M83" s="296"/>
      <c r="N83" s="296"/>
      <c r="O83" s="297"/>
      <c r="P83" s="293" t="s">
        <v>40</v>
      </c>
      <c r="Q83" s="294"/>
      <c r="R83" s="294"/>
      <c r="S83" s="294"/>
      <c r="T83" s="294"/>
      <c r="U83" s="294"/>
      <c r="V83" s="295"/>
      <c r="W83" s="42" t="s">
        <v>39</v>
      </c>
      <c r="X83" s="43">
        <f>IFERROR(SUM(X81:X82),"0")</f>
        <v>72</v>
      </c>
      <c r="Y83" s="43">
        <f>IFERROR(SUM(Y81:Y82),"0")</f>
        <v>72</v>
      </c>
      <c r="Z83" s="43">
        <f>IFERROR(IF(Z81="",0,Z81),"0")+IFERROR(IF(Z82="",0,Z82),"0")</f>
        <v>0.36143999999999998</v>
      </c>
      <c r="AA83" s="67"/>
      <c r="AB83" s="67"/>
      <c r="AC83" s="67"/>
    </row>
    <row r="84" spans="1:68" x14ac:dyDescent="0.2">
      <c r="A84" s="296"/>
      <c r="B84" s="296"/>
      <c r="C84" s="296"/>
      <c r="D84" s="296"/>
      <c r="E84" s="296"/>
      <c r="F84" s="296"/>
      <c r="G84" s="296"/>
      <c r="H84" s="296"/>
      <c r="I84" s="296"/>
      <c r="J84" s="296"/>
      <c r="K84" s="296"/>
      <c r="L84" s="296"/>
      <c r="M84" s="296"/>
      <c r="N84" s="296"/>
      <c r="O84" s="297"/>
      <c r="P84" s="293" t="s">
        <v>40</v>
      </c>
      <c r="Q84" s="294"/>
      <c r="R84" s="294"/>
      <c r="S84" s="294"/>
      <c r="T84" s="294"/>
      <c r="U84" s="294"/>
      <c r="V84" s="295"/>
      <c r="W84" s="42" t="s">
        <v>0</v>
      </c>
      <c r="X84" s="43">
        <f>IFERROR(SUMPRODUCT(X81:X82*H81:H82),"0")</f>
        <v>194.4</v>
      </c>
      <c r="Y84" s="43">
        <f>IFERROR(SUMPRODUCT(Y81:Y82*H81:H82),"0")</f>
        <v>194.4</v>
      </c>
      <c r="Z84" s="42"/>
      <c r="AA84" s="67"/>
      <c r="AB84" s="67"/>
      <c r="AC84" s="67"/>
    </row>
    <row r="85" spans="1:68" ht="16.5" customHeight="1" x14ac:dyDescent="0.25">
      <c r="A85" s="317" t="s">
        <v>168</v>
      </c>
      <c r="B85" s="317"/>
      <c r="C85" s="317"/>
      <c r="D85" s="317"/>
      <c r="E85" s="317"/>
      <c r="F85" s="317"/>
      <c r="G85" s="317"/>
      <c r="H85" s="317"/>
      <c r="I85" s="317"/>
      <c r="J85" s="317"/>
      <c r="K85" s="317"/>
      <c r="L85" s="317"/>
      <c r="M85" s="317"/>
      <c r="N85" s="317"/>
      <c r="O85" s="317"/>
      <c r="P85" s="317"/>
      <c r="Q85" s="317"/>
      <c r="R85" s="317"/>
      <c r="S85" s="317"/>
      <c r="T85" s="317"/>
      <c r="U85" s="317"/>
      <c r="V85" s="317"/>
      <c r="W85" s="317"/>
      <c r="X85" s="317"/>
      <c r="Y85" s="317"/>
      <c r="Z85" s="317"/>
      <c r="AA85" s="65"/>
      <c r="AB85" s="65"/>
      <c r="AC85" s="82"/>
    </row>
    <row r="86" spans="1:68" ht="14.25" customHeight="1" x14ac:dyDescent="0.25">
      <c r="A86" s="307" t="s">
        <v>153</v>
      </c>
      <c r="B86" s="307"/>
      <c r="C86" s="307"/>
      <c r="D86" s="307"/>
      <c r="E86" s="307"/>
      <c r="F86" s="307"/>
      <c r="G86" s="307"/>
      <c r="H86" s="307"/>
      <c r="I86" s="307"/>
      <c r="J86" s="307"/>
      <c r="K86" s="307"/>
      <c r="L86" s="307"/>
      <c r="M86" s="307"/>
      <c r="N86" s="307"/>
      <c r="O86" s="307"/>
      <c r="P86" s="307"/>
      <c r="Q86" s="307"/>
      <c r="R86" s="307"/>
      <c r="S86" s="307"/>
      <c r="T86" s="307"/>
      <c r="U86" s="307"/>
      <c r="V86" s="307"/>
      <c r="W86" s="307"/>
      <c r="X86" s="307"/>
      <c r="Y86" s="307"/>
      <c r="Z86" s="307"/>
      <c r="AA86" s="66"/>
      <c r="AB86" s="66"/>
      <c r="AC86" s="83"/>
    </row>
    <row r="87" spans="1:68" ht="27" customHeight="1" x14ac:dyDescent="0.25">
      <c r="A87" s="63" t="s">
        <v>169</v>
      </c>
      <c r="B87" s="63" t="s">
        <v>170</v>
      </c>
      <c r="C87" s="36">
        <v>4301135574</v>
      </c>
      <c r="D87" s="289">
        <v>4607111033659</v>
      </c>
      <c r="E87" s="289"/>
      <c r="F87" s="62">
        <v>0.3</v>
      </c>
      <c r="G87" s="37">
        <v>12</v>
      </c>
      <c r="H87" s="62">
        <v>3.6</v>
      </c>
      <c r="I87" s="62">
        <v>4.3036000000000003</v>
      </c>
      <c r="J87" s="37">
        <v>70</v>
      </c>
      <c r="K87" s="37" t="s">
        <v>114</v>
      </c>
      <c r="L87" s="37" t="s">
        <v>115</v>
      </c>
      <c r="M87" s="38" t="s">
        <v>85</v>
      </c>
      <c r="N87" s="38"/>
      <c r="O87" s="37">
        <v>180</v>
      </c>
      <c r="P87" s="375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7" s="291"/>
      <c r="R87" s="291"/>
      <c r="S87" s="291"/>
      <c r="T87" s="292"/>
      <c r="U87" s="39" t="s">
        <v>46</v>
      </c>
      <c r="V87" s="39" t="s">
        <v>46</v>
      </c>
      <c r="W87" s="40" t="s">
        <v>39</v>
      </c>
      <c r="X87" s="58">
        <v>0</v>
      </c>
      <c r="Y87" s="55">
        <f>IFERROR(IF(X87="","",X87),"")</f>
        <v>0</v>
      </c>
      <c r="Z87" s="41">
        <f>IFERROR(IF(X87="","",X87*0.01788),"")</f>
        <v>0</v>
      </c>
      <c r="AA87" s="68" t="s">
        <v>46</v>
      </c>
      <c r="AB87" s="69" t="s">
        <v>46</v>
      </c>
      <c r="AC87" s="143" t="s">
        <v>171</v>
      </c>
      <c r="AG87" s="81"/>
      <c r="AJ87" s="87" t="s">
        <v>116</v>
      </c>
      <c r="AK87" s="87">
        <v>14</v>
      </c>
      <c r="BB87" s="144" t="s">
        <v>113</v>
      </c>
      <c r="BM87" s="81">
        <f>IFERROR(X87*I87,"0")</f>
        <v>0</v>
      </c>
      <c r="BN87" s="81">
        <f>IFERROR(Y87*I87,"0")</f>
        <v>0</v>
      </c>
      <c r="BO87" s="81">
        <f>IFERROR(X87/J87,"0")</f>
        <v>0</v>
      </c>
      <c r="BP87" s="81">
        <f>IFERROR(Y87/J87,"0")</f>
        <v>0</v>
      </c>
    </row>
    <row r="88" spans="1:68" x14ac:dyDescent="0.2">
      <c r="A88" s="296"/>
      <c r="B88" s="296"/>
      <c r="C88" s="296"/>
      <c r="D88" s="296"/>
      <c r="E88" s="296"/>
      <c r="F88" s="296"/>
      <c r="G88" s="296"/>
      <c r="H88" s="296"/>
      <c r="I88" s="296"/>
      <c r="J88" s="296"/>
      <c r="K88" s="296"/>
      <c r="L88" s="296"/>
      <c r="M88" s="296"/>
      <c r="N88" s="296"/>
      <c r="O88" s="297"/>
      <c r="P88" s="293" t="s">
        <v>40</v>
      </c>
      <c r="Q88" s="294"/>
      <c r="R88" s="294"/>
      <c r="S88" s="294"/>
      <c r="T88" s="294"/>
      <c r="U88" s="294"/>
      <c r="V88" s="295"/>
      <c r="W88" s="42" t="s">
        <v>39</v>
      </c>
      <c r="X88" s="43">
        <f>IFERROR(SUM(X87:X87),"0")</f>
        <v>0</v>
      </c>
      <c r="Y88" s="43">
        <f>IFERROR(SUM(Y87:Y87),"0")</f>
        <v>0</v>
      </c>
      <c r="Z88" s="43">
        <f>IFERROR(IF(Z87="",0,Z87),"0")</f>
        <v>0</v>
      </c>
      <c r="AA88" s="67"/>
      <c r="AB88" s="67"/>
      <c r="AC88" s="67"/>
    </row>
    <row r="89" spans="1:68" x14ac:dyDescent="0.2">
      <c r="A89" s="296"/>
      <c r="B89" s="296"/>
      <c r="C89" s="296"/>
      <c r="D89" s="296"/>
      <c r="E89" s="296"/>
      <c r="F89" s="296"/>
      <c r="G89" s="296"/>
      <c r="H89" s="296"/>
      <c r="I89" s="296"/>
      <c r="J89" s="296"/>
      <c r="K89" s="296"/>
      <c r="L89" s="296"/>
      <c r="M89" s="296"/>
      <c r="N89" s="296"/>
      <c r="O89" s="297"/>
      <c r="P89" s="293" t="s">
        <v>40</v>
      </c>
      <c r="Q89" s="294"/>
      <c r="R89" s="294"/>
      <c r="S89" s="294"/>
      <c r="T89" s="294"/>
      <c r="U89" s="294"/>
      <c r="V89" s="295"/>
      <c r="W89" s="42" t="s">
        <v>0</v>
      </c>
      <c r="X89" s="43">
        <f>IFERROR(SUMPRODUCT(X87:X87*H87:H87),"0")</f>
        <v>0</v>
      </c>
      <c r="Y89" s="43">
        <f>IFERROR(SUMPRODUCT(Y87:Y87*H87:H87),"0")</f>
        <v>0</v>
      </c>
      <c r="Z89" s="42"/>
      <c r="AA89" s="67"/>
      <c r="AB89" s="67"/>
      <c r="AC89" s="67"/>
    </row>
    <row r="90" spans="1:68" ht="16.5" customHeight="1" x14ac:dyDescent="0.25">
      <c r="A90" s="317" t="s">
        <v>172</v>
      </c>
      <c r="B90" s="317"/>
      <c r="C90" s="317"/>
      <c r="D90" s="317"/>
      <c r="E90" s="317"/>
      <c r="F90" s="317"/>
      <c r="G90" s="317"/>
      <c r="H90" s="317"/>
      <c r="I90" s="317"/>
      <c r="J90" s="317"/>
      <c r="K90" s="317"/>
      <c r="L90" s="317"/>
      <c r="M90" s="317"/>
      <c r="N90" s="317"/>
      <c r="O90" s="317"/>
      <c r="P90" s="317"/>
      <c r="Q90" s="317"/>
      <c r="R90" s="317"/>
      <c r="S90" s="317"/>
      <c r="T90" s="317"/>
      <c r="U90" s="317"/>
      <c r="V90" s="317"/>
      <c r="W90" s="317"/>
      <c r="X90" s="317"/>
      <c r="Y90" s="317"/>
      <c r="Z90" s="317"/>
      <c r="AA90" s="65"/>
      <c r="AB90" s="65"/>
      <c r="AC90" s="82"/>
    </row>
    <row r="91" spans="1:68" ht="14.25" customHeight="1" x14ac:dyDescent="0.25">
      <c r="A91" s="307" t="s">
        <v>173</v>
      </c>
      <c r="B91" s="307"/>
      <c r="C91" s="307"/>
      <c r="D91" s="307"/>
      <c r="E91" s="307"/>
      <c r="F91" s="307"/>
      <c r="G91" s="307"/>
      <c r="H91" s="307"/>
      <c r="I91" s="307"/>
      <c r="J91" s="307"/>
      <c r="K91" s="307"/>
      <c r="L91" s="307"/>
      <c r="M91" s="307"/>
      <c r="N91" s="307"/>
      <c r="O91" s="307"/>
      <c r="P91" s="307"/>
      <c r="Q91" s="307"/>
      <c r="R91" s="307"/>
      <c r="S91" s="307"/>
      <c r="T91" s="307"/>
      <c r="U91" s="307"/>
      <c r="V91" s="307"/>
      <c r="W91" s="307"/>
      <c r="X91" s="307"/>
      <c r="Y91" s="307"/>
      <c r="Z91" s="307"/>
      <c r="AA91" s="66"/>
      <c r="AB91" s="66"/>
      <c r="AC91" s="83"/>
    </row>
    <row r="92" spans="1:68" ht="27" customHeight="1" x14ac:dyDescent="0.25">
      <c r="A92" s="63" t="s">
        <v>174</v>
      </c>
      <c r="B92" s="63" t="s">
        <v>175</v>
      </c>
      <c r="C92" s="36">
        <v>4301131047</v>
      </c>
      <c r="D92" s="289">
        <v>4607111034120</v>
      </c>
      <c r="E92" s="289"/>
      <c r="F92" s="62">
        <v>0.3</v>
      </c>
      <c r="G92" s="37">
        <v>12</v>
      </c>
      <c r="H92" s="62">
        <v>3.6</v>
      </c>
      <c r="I92" s="62">
        <v>4.3036000000000003</v>
      </c>
      <c r="J92" s="37">
        <v>70</v>
      </c>
      <c r="K92" s="37" t="s">
        <v>114</v>
      </c>
      <c r="L92" s="37" t="s">
        <v>115</v>
      </c>
      <c r="M92" s="38" t="s">
        <v>85</v>
      </c>
      <c r="N92" s="38"/>
      <c r="O92" s="37">
        <v>180</v>
      </c>
      <c r="P92" s="372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2" s="291"/>
      <c r="R92" s="291"/>
      <c r="S92" s="291"/>
      <c r="T92" s="292"/>
      <c r="U92" s="39" t="s">
        <v>46</v>
      </c>
      <c r="V92" s="39" t="s">
        <v>46</v>
      </c>
      <c r="W92" s="40" t="s">
        <v>39</v>
      </c>
      <c r="X92" s="58">
        <v>70</v>
      </c>
      <c r="Y92" s="55">
        <f>IFERROR(IF(X92="","",X92),"")</f>
        <v>70</v>
      </c>
      <c r="Z92" s="41">
        <f>IFERROR(IF(X92="","",X92*0.01788),"")</f>
        <v>1.2516</v>
      </c>
      <c r="AA92" s="68" t="s">
        <v>46</v>
      </c>
      <c r="AB92" s="69" t="s">
        <v>46</v>
      </c>
      <c r="AC92" s="145" t="s">
        <v>176</v>
      </c>
      <c r="AG92" s="81"/>
      <c r="AJ92" s="87" t="s">
        <v>116</v>
      </c>
      <c r="AK92" s="87">
        <v>14</v>
      </c>
      <c r="BB92" s="146" t="s">
        <v>113</v>
      </c>
      <c r="BM92" s="81">
        <f>IFERROR(X92*I92,"0")</f>
        <v>301.25200000000001</v>
      </c>
      <c r="BN92" s="81">
        <f>IFERROR(Y92*I92,"0")</f>
        <v>301.25200000000001</v>
      </c>
      <c r="BO92" s="81">
        <f>IFERROR(X92/J92,"0")</f>
        <v>1</v>
      </c>
      <c r="BP92" s="81">
        <f>IFERROR(Y92/J92,"0")</f>
        <v>1</v>
      </c>
    </row>
    <row r="93" spans="1:68" ht="27" customHeight="1" x14ac:dyDescent="0.25">
      <c r="A93" s="63" t="s">
        <v>177</v>
      </c>
      <c r="B93" s="63" t="s">
        <v>178</v>
      </c>
      <c r="C93" s="36">
        <v>4301131046</v>
      </c>
      <c r="D93" s="289">
        <v>4607111034137</v>
      </c>
      <c r="E93" s="289"/>
      <c r="F93" s="62">
        <v>0.3</v>
      </c>
      <c r="G93" s="37">
        <v>12</v>
      </c>
      <c r="H93" s="62">
        <v>3.6</v>
      </c>
      <c r="I93" s="62">
        <v>4.3036000000000003</v>
      </c>
      <c r="J93" s="37">
        <v>70</v>
      </c>
      <c r="K93" s="37" t="s">
        <v>114</v>
      </c>
      <c r="L93" s="37" t="s">
        <v>115</v>
      </c>
      <c r="M93" s="38" t="s">
        <v>85</v>
      </c>
      <c r="N93" s="38"/>
      <c r="O93" s="37">
        <v>180</v>
      </c>
      <c r="P93" s="373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3" s="291"/>
      <c r="R93" s="291"/>
      <c r="S93" s="291"/>
      <c r="T93" s="292"/>
      <c r="U93" s="39" t="s">
        <v>46</v>
      </c>
      <c r="V93" s="39" t="s">
        <v>46</v>
      </c>
      <c r="W93" s="40" t="s">
        <v>39</v>
      </c>
      <c r="X93" s="58">
        <v>0</v>
      </c>
      <c r="Y93" s="55">
        <f>IFERROR(IF(X93="","",X93),"")</f>
        <v>0</v>
      </c>
      <c r="Z93" s="41">
        <f>IFERROR(IF(X93="","",X93*0.01788),"")</f>
        <v>0</v>
      </c>
      <c r="AA93" s="68" t="s">
        <v>46</v>
      </c>
      <c r="AB93" s="69" t="s">
        <v>46</v>
      </c>
      <c r="AC93" s="147" t="s">
        <v>179</v>
      </c>
      <c r="AG93" s="81"/>
      <c r="AJ93" s="87" t="s">
        <v>116</v>
      </c>
      <c r="AK93" s="87">
        <v>14</v>
      </c>
      <c r="BB93" s="148" t="s">
        <v>113</v>
      </c>
      <c r="BM93" s="81">
        <f>IFERROR(X93*I93,"0")</f>
        <v>0</v>
      </c>
      <c r="BN93" s="81">
        <f>IFERROR(Y93*I93,"0")</f>
        <v>0</v>
      </c>
      <c r="BO93" s="81">
        <f>IFERROR(X93/J93,"0")</f>
        <v>0</v>
      </c>
      <c r="BP93" s="81">
        <f>IFERROR(Y93/J93,"0")</f>
        <v>0</v>
      </c>
    </row>
    <row r="94" spans="1:68" x14ac:dyDescent="0.2">
      <c r="A94" s="296"/>
      <c r="B94" s="296"/>
      <c r="C94" s="296"/>
      <c r="D94" s="296"/>
      <c r="E94" s="296"/>
      <c r="F94" s="296"/>
      <c r="G94" s="296"/>
      <c r="H94" s="296"/>
      <c r="I94" s="296"/>
      <c r="J94" s="296"/>
      <c r="K94" s="296"/>
      <c r="L94" s="296"/>
      <c r="M94" s="296"/>
      <c r="N94" s="296"/>
      <c r="O94" s="297"/>
      <c r="P94" s="293" t="s">
        <v>40</v>
      </c>
      <c r="Q94" s="294"/>
      <c r="R94" s="294"/>
      <c r="S94" s="294"/>
      <c r="T94" s="294"/>
      <c r="U94" s="294"/>
      <c r="V94" s="295"/>
      <c r="W94" s="42" t="s">
        <v>39</v>
      </c>
      <c r="X94" s="43">
        <f>IFERROR(SUM(X92:X93),"0")</f>
        <v>70</v>
      </c>
      <c r="Y94" s="43">
        <f>IFERROR(SUM(Y92:Y93),"0")</f>
        <v>70</v>
      </c>
      <c r="Z94" s="43">
        <f>IFERROR(IF(Z92="",0,Z92),"0")+IFERROR(IF(Z93="",0,Z93),"0")</f>
        <v>1.2516</v>
      </c>
      <c r="AA94" s="67"/>
      <c r="AB94" s="67"/>
      <c r="AC94" s="67"/>
    </row>
    <row r="95" spans="1:68" x14ac:dyDescent="0.2">
      <c r="A95" s="296"/>
      <c r="B95" s="296"/>
      <c r="C95" s="296"/>
      <c r="D95" s="296"/>
      <c r="E95" s="296"/>
      <c r="F95" s="296"/>
      <c r="G95" s="296"/>
      <c r="H95" s="296"/>
      <c r="I95" s="296"/>
      <c r="J95" s="296"/>
      <c r="K95" s="296"/>
      <c r="L95" s="296"/>
      <c r="M95" s="296"/>
      <c r="N95" s="296"/>
      <c r="O95" s="297"/>
      <c r="P95" s="293" t="s">
        <v>40</v>
      </c>
      <c r="Q95" s="294"/>
      <c r="R95" s="294"/>
      <c r="S95" s="294"/>
      <c r="T95" s="294"/>
      <c r="U95" s="294"/>
      <c r="V95" s="295"/>
      <c r="W95" s="42" t="s">
        <v>0</v>
      </c>
      <c r="X95" s="43">
        <f>IFERROR(SUMPRODUCT(X92:X93*H92:H93),"0")</f>
        <v>252</v>
      </c>
      <c r="Y95" s="43">
        <f>IFERROR(SUMPRODUCT(Y92:Y93*H92:H93),"0")</f>
        <v>252</v>
      </c>
      <c r="Z95" s="42"/>
      <c r="AA95" s="67"/>
      <c r="AB95" s="67"/>
      <c r="AC95" s="67"/>
    </row>
    <row r="96" spans="1:68" ht="16.5" customHeight="1" x14ac:dyDescent="0.25">
      <c r="A96" s="317" t="s">
        <v>180</v>
      </c>
      <c r="B96" s="317"/>
      <c r="C96" s="317"/>
      <c r="D96" s="317"/>
      <c r="E96" s="317"/>
      <c r="F96" s="317"/>
      <c r="G96" s="317"/>
      <c r="H96" s="317"/>
      <c r="I96" s="317"/>
      <c r="J96" s="317"/>
      <c r="K96" s="317"/>
      <c r="L96" s="317"/>
      <c r="M96" s="317"/>
      <c r="N96" s="317"/>
      <c r="O96" s="317"/>
      <c r="P96" s="317"/>
      <c r="Q96" s="317"/>
      <c r="R96" s="317"/>
      <c r="S96" s="317"/>
      <c r="T96" s="317"/>
      <c r="U96" s="317"/>
      <c r="V96" s="317"/>
      <c r="W96" s="317"/>
      <c r="X96" s="317"/>
      <c r="Y96" s="317"/>
      <c r="Z96" s="317"/>
      <c r="AA96" s="65"/>
      <c r="AB96" s="65"/>
      <c r="AC96" s="82"/>
    </row>
    <row r="97" spans="1:68" ht="14.25" customHeight="1" x14ac:dyDescent="0.25">
      <c r="A97" s="307" t="s">
        <v>153</v>
      </c>
      <c r="B97" s="307"/>
      <c r="C97" s="307"/>
      <c r="D97" s="307"/>
      <c r="E97" s="307"/>
      <c r="F97" s="307"/>
      <c r="G97" s="307"/>
      <c r="H97" s="307"/>
      <c r="I97" s="307"/>
      <c r="J97" s="307"/>
      <c r="K97" s="307"/>
      <c r="L97" s="307"/>
      <c r="M97" s="307"/>
      <c r="N97" s="307"/>
      <c r="O97" s="307"/>
      <c r="P97" s="307"/>
      <c r="Q97" s="307"/>
      <c r="R97" s="307"/>
      <c r="S97" s="307"/>
      <c r="T97" s="307"/>
      <c r="U97" s="307"/>
      <c r="V97" s="307"/>
      <c r="W97" s="307"/>
      <c r="X97" s="307"/>
      <c r="Y97" s="307"/>
      <c r="Z97" s="307"/>
      <c r="AA97" s="66"/>
      <c r="AB97" s="66"/>
      <c r="AC97" s="83"/>
    </row>
    <row r="98" spans="1:68" ht="27" customHeight="1" x14ac:dyDescent="0.25">
      <c r="A98" s="63" t="s">
        <v>181</v>
      </c>
      <c r="B98" s="63" t="s">
        <v>182</v>
      </c>
      <c r="C98" s="36">
        <v>4301135763</v>
      </c>
      <c r="D98" s="289">
        <v>4620207491027</v>
      </c>
      <c r="E98" s="289"/>
      <c r="F98" s="62">
        <v>0.24</v>
      </c>
      <c r="G98" s="37">
        <v>12</v>
      </c>
      <c r="H98" s="62">
        <v>2.88</v>
      </c>
      <c r="I98" s="62">
        <v>3.5836000000000001</v>
      </c>
      <c r="J98" s="37">
        <v>70</v>
      </c>
      <c r="K98" s="37" t="s">
        <v>114</v>
      </c>
      <c r="L98" s="37" t="s">
        <v>115</v>
      </c>
      <c r="M98" s="38" t="s">
        <v>85</v>
      </c>
      <c r="N98" s="38"/>
      <c r="O98" s="37">
        <v>180</v>
      </c>
      <c r="P98" s="370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8" s="291"/>
      <c r="R98" s="291"/>
      <c r="S98" s="291"/>
      <c r="T98" s="292"/>
      <c r="U98" s="39" t="s">
        <v>46</v>
      </c>
      <c r="V98" s="39" t="s">
        <v>46</v>
      </c>
      <c r="W98" s="40" t="s">
        <v>39</v>
      </c>
      <c r="X98" s="58">
        <v>28</v>
      </c>
      <c r="Y98" s="55">
        <f t="shared" ref="Y98:Y104" si="6">IFERROR(IF(X98="","",X98),"")</f>
        <v>28</v>
      </c>
      <c r="Z98" s="41">
        <f t="shared" ref="Z98:Z103" si="7">IFERROR(IF(X98="","",X98*0.01788),"")</f>
        <v>0.50063999999999997</v>
      </c>
      <c r="AA98" s="68" t="s">
        <v>46</v>
      </c>
      <c r="AB98" s="69" t="s">
        <v>46</v>
      </c>
      <c r="AC98" s="149" t="s">
        <v>171</v>
      </c>
      <c r="AG98" s="81"/>
      <c r="AJ98" s="87" t="s">
        <v>116</v>
      </c>
      <c r="AK98" s="87">
        <v>14</v>
      </c>
      <c r="BB98" s="150" t="s">
        <v>113</v>
      </c>
      <c r="BM98" s="81">
        <f t="shared" ref="BM98:BM104" si="8">IFERROR(X98*I98,"0")</f>
        <v>100.3408</v>
      </c>
      <c r="BN98" s="81">
        <f t="shared" ref="BN98:BN104" si="9">IFERROR(Y98*I98,"0")</f>
        <v>100.3408</v>
      </c>
      <c r="BO98" s="81">
        <f t="shared" ref="BO98:BO104" si="10">IFERROR(X98/J98,"0")</f>
        <v>0.4</v>
      </c>
      <c r="BP98" s="81">
        <f t="shared" ref="BP98:BP104" si="11">IFERROR(Y98/J98,"0")</f>
        <v>0.4</v>
      </c>
    </row>
    <row r="99" spans="1:68" ht="27" customHeight="1" x14ac:dyDescent="0.25">
      <c r="A99" s="63" t="s">
        <v>183</v>
      </c>
      <c r="B99" s="63" t="s">
        <v>184</v>
      </c>
      <c r="C99" s="36">
        <v>4301135793</v>
      </c>
      <c r="D99" s="289">
        <v>4620207491003</v>
      </c>
      <c r="E99" s="289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114</v>
      </c>
      <c r="L99" s="37" t="s">
        <v>115</v>
      </c>
      <c r="M99" s="38" t="s">
        <v>85</v>
      </c>
      <c r="N99" s="38"/>
      <c r="O99" s="37">
        <v>180</v>
      </c>
      <c r="P99" s="371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9" s="291"/>
      <c r="R99" s="291"/>
      <c r="S99" s="291"/>
      <c r="T99" s="292"/>
      <c r="U99" s="39" t="s">
        <v>46</v>
      </c>
      <c r="V99" s="39" t="s">
        <v>46</v>
      </c>
      <c r="W99" s="40" t="s">
        <v>39</v>
      </c>
      <c r="X99" s="58">
        <v>42</v>
      </c>
      <c r="Y99" s="55">
        <f t="shared" si="6"/>
        <v>42</v>
      </c>
      <c r="Z99" s="41">
        <f t="shared" si="7"/>
        <v>0.75095999999999996</v>
      </c>
      <c r="AA99" s="68" t="s">
        <v>46</v>
      </c>
      <c r="AB99" s="69" t="s">
        <v>46</v>
      </c>
      <c r="AC99" s="151" t="s">
        <v>171</v>
      </c>
      <c r="AG99" s="81"/>
      <c r="AJ99" s="87" t="s">
        <v>116</v>
      </c>
      <c r="AK99" s="87">
        <v>14</v>
      </c>
      <c r="BB99" s="152" t="s">
        <v>113</v>
      </c>
      <c r="BM99" s="81">
        <f t="shared" si="8"/>
        <v>150.5112</v>
      </c>
      <c r="BN99" s="81">
        <f t="shared" si="9"/>
        <v>150.5112</v>
      </c>
      <c r="BO99" s="81">
        <f t="shared" si="10"/>
        <v>0.6</v>
      </c>
      <c r="BP99" s="81">
        <f t="shared" si="11"/>
        <v>0.6</v>
      </c>
    </row>
    <row r="100" spans="1:68" ht="27" customHeight="1" x14ac:dyDescent="0.25">
      <c r="A100" s="63" t="s">
        <v>185</v>
      </c>
      <c r="B100" s="63" t="s">
        <v>186</v>
      </c>
      <c r="C100" s="36">
        <v>4301135768</v>
      </c>
      <c r="D100" s="289">
        <v>4620207491034</v>
      </c>
      <c r="E100" s="289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114</v>
      </c>
      <c r="L100" s="37" t="s">
        <v>115</v>
      </c>
      <c r="M100" s="38" t="s">
        <v>85</v>
      </c>
      <c r="N100" s="38"/>
      <c r="O100" s="37">
        <v>180</v>
      </c>
      <c r="P100" s="365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0" s="291"/>
      <c r="R100" s="291"/>
      <c r="S100" s="291"/>
      <c r="T100" s="292"/>
      <c r="U100" s="39" t="s">
        <v>46</v>
      </c>
      <c r="V100" s="39" t="s">
        <v>46</v>
      </c>
      <c r="W100" s="40" t="s">
        <v>39</v>
      </c>
      <c r="X100" s="58">
        <v>0</v>
      </c>
      <c r="Y100" s="55">
        <f t="shared" si="6"/>
        <v>0</v>
      </c>
      <c r="Z100" s="41">
        <f t="shared" si="7"/>
        <v>0</v>
      </c>
      <c r="AA100" s="68" t="s">
        <v>46</v>
      </c>
      <c r="AB100" s="69" t="s">
        <v>46</v>
      </c>
      <c r="AC100" s="153" t="s">
        <v>187</v>
      </c>
      <c r="AG100" s="81"/>
      <c r="AJ100" s="87" t="s">
        <v>116</v>
      </c>
      <c r="AK100" s="87">
        <v>14</v>
      </c>
      <c r="BB100" s="154" t="s">
        <v>113</v>
      </c>
      <c r="BM100" s="81">
        <f t="shared" si="8"/>
        <v>0</v>
      </c>
      <c r="BN100" s="81">
        <f t="shared" si="9"/>
        <v>0</v>
      </c>
      <c r="BO100" s="81">
        <f t="shared" si="10"/>
        <v>0</v>
      </c>
      <c r="BP100" s="81">
        <f t="shared" si="11"/>
        <v>0</v>
      </c>
    </row>
    <row r="101" spans="1:68" ht="27" customHeight="1" x14ac:dyDescent="0.25">
      <c r="A101" s="63" t="s">
        <v>188</v>
      </c>
      <c r="B101" s="63" t="s">
        <v>189</v>
      </c>
      <c r="C101" s="36">
        <v>4301135760</v>
      </c>
      <c r="D101" s="289">
        <v>4620207491010</v>
      </c>
      <c r="E101" s="289"/>
      <c r="F101" s="62">
        <v>0.24</v>
      </c>
      <c r="G101" s="37">
        <v>12</v>
      </c>
      <c r="H101" s="62">
        <v>2.88</v>
      </c>
      <c r="I101" s="62">
        <v>3.5836000000000001</v>
      </c>
      <c r="J101" s="37">
        <v>70</v>
      </c>
      <c r="K101" s="37" t="s">
        <v>114</v>
      </c>
      <c r="L101" s="37" t="s">
        <v>115</v>
      </c>
      <c r="M101" s="38" t="s">
        <v>85</v>
      </c>
      <c r="N101" s="38"/>
      <c r="O101" s="37">
        <v>180</v>
      </c>
      <c r="P101" s="366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1" s="291"/>
      <c r="R101" s="291"/>
      <c r="S101" s="291"/>
      <c r="T101" s="292"/>
      <c r="U101" s="39" t="s">
        <v>46</v>
      </c>
      <c r="V101" s="39" t="s">
        <v>46</v>
      </c>
      <c r="W101" s="40" t="s">
        <v>39</v>
      </c>
      <c r="X101" s="58">
        <v>42</v>
      </c>
      <c r="Y101" s="55">
        <f t="shared" si="6"/>
        <v>42</v>
      </c>
      <c r="Z101" s="41">
        <f t="shared" si="7"/>
        <v>0.75095999999999996</v>
      </c>
      <c r="AA101" s="68" t="s">
        <v>46</v>
      </c>
      <c r="AB101" s="69" t="s">
        <v>46</v>
      </c>
      <c r="AC101" s="155" t="s">
        <v>171</v>
      </c>
      <c r="AG101" s="81"/>
      <c r="AJ101" s="87" t="s">
        <v>116</v>
      </c>
      <c r="AK101" s="87">
        <v>14</v>
      </c>
      <c r="BB101" s="156" t="s">
        <v>113</v>
      </c>
      <c r="BM101" s="81">
        <f t="shared" si="8"/>
        <v>150.5112</v>
      </c>
      <c r="BN101" s="81">
        <f t="shared" si="9"/>
        <v>150.5112</v>
      </c>
      <c r="BO101" s="81">
        <f t="shared" si="10"/>
        <v>0.6</v>
      </c>
      <c r="BP101" s="81">
        <f t="shared" si="11"/>
        <v>0.6</v>
      </c>
    </row>
    <row r="102" spans="1:68" ht="27" customHeight="1" x14ac:dyDescent="0.25">
      <c r="A102" s="63" t="s">
        <v>190</v>
      </c>
      <c r="B102" s="63" t="s">
        <v>191</v>
      </c>
      <c r="C102" s="36">
        <v>4301135571</v>
      </c>
      <c r="D102" s="289">
        <v>4607111035028</v>
      </c>
      <c r="E102" s="289"/>
      <c r="F102" s="62">
        <v>0.48</v>
      </c>
      <c r="G102" s="37">
        <v>8</v>
      </c>
      <c r="H102" s="62">
        <v>3.84</v>
      </c>
      <c r="I102" s="62">
        <v>4.4488000000000003</v>
      </c>
      <c r="J102" s="37">
        <v>70</v>
      </c>
      <c r="K102" s="37" t="s">
        <v>114</v>
      </c>
      <c r="L102" s="37" t="s">
        <v>115</v>
      </c>
      <c r="M102" s="38" t="s">
        <v>85</v>
      </c>
      <c r="N102" s="38"/>
      <c r="O102" s="37">
        <v>180</v>
      </c>
      <c r="P102" s="367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2" s="291"/>
      <c r="R102" s="291"/>
      <c r="S102" s="291"/>
      <c r="T102" s="292"/>
      <c r="U102" s="39" t="s">
        <v>46</v>
      </c>
      <c r="V102" s="39" t="s">
        <v>46</v>
      </c>
      <c r="W102" s="40" t="s">
        <v>39</v>
      </c>
      <c r="X102" s="58">
        <v>0</v>
      </c>
      <c r="Y102" s="55">
        <f t="shared" si="6"/>
        <v>0</v>
      </c>
      <c r="Z102" s="41">
        <f t="shared" si="7"/>
        <v>0</v>
      </c>
      <c r="AA102" s="68" t="s">
        <v>46</v>
      </c>
      <c r="AB102" s="69" t="s">
        <v>46</v>
      </c>
      <c r="AC102" s="157" t="s">
        <v>171</v>
      </c>
      <c r="AG102" s="81"/>
      <c r="AJ102" s="87" t="s">
        <v>116</v>
      </c>
      <c r="AK102" s="87">
        <v>14</v>
      </c>
      <c r="BB102" s="158" t="s">
        <v>113</v>
      </c>
      <c r="BM102" s="81">
        <f t="shared" si="8"/>
        <v>0</v>
      </c>
      <c r="BN102" s="81">
        <f t="shared" si="9"/>
        <v>0</v>
      </c>
      <c r="BO102" s="81">
        <f t="shared" si="10"/>
        <v>0</v>
      </c>
      <c r="BP102" s="81">
        <f t="shared" si="11"/>
        <v>0</v>
      </c>
    </row>
    <row r="103" spans="1:68" ht="27" customHeight="1" x14ac:dyDescent="0.25">
      <c r="A103" s="63" t="s">
        <v>192</v>
      </c>
      <c r="B103" s="63" t="s">
        <v>193</v>
      </c>
      <c r="C103" s="36">
        <v>4301135285</v>
      </c>
      <c r="D103" s="289">
        <v>4607111036407</v>
      </c>
      <c r="E103" s="289"/>
      <c r="F103" s="62">
        <v>0.3</v>
      </c>
      <c r="G103" s="37">
        <v>14</v>
      </c>
      <c r="H103" s="62">
        <v>4.2</v>
      </c>
      <c r="I103" s="62">
        <v>4.5292000000000003</v>
      </c>
      <c r="J103" s="37">
        <v>70</v>
      </c>
      <c r="K103" s="37" t="s">
        <v>114</v>
      </c>
      <c r="L103" s="37" t="s">
        <v>87</v>
      </c>
      <c r="M103" s="38" t="s">
        <v>85</v>
      </c>
      <c r="N103" s="38"/>
      <c r="O103" s="37">
        <v>180</v>
      </c>
      <c r="P103" s="368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3" s="291"/>
      <c r="R103" s="291"/>
      <c r="S103" s="291"/>
      <c r="T103" s="292"/>
      <c r="U103" s="39" t="s">
        <v>46</v>
      </c>
      <c r="V103" s="39" t="s">
        <v>46</v>
      </c>
      <c r="W103" s="40" t="s">
        <v>39</v>
      </c>
      <c r="X103" s="58">
        <v>0</v>
      </c>
      <c r="Y103" s="55">
        <f t="shared" si="6"/>
        <v>0</v>
      </c>
      <c r="Z103" s="41">
        <f t="shared" si="7"/>
        <v>0</v>
      </c>
      <c r="AA103" s="68" t="s">
        <v>46</v>
      </c>
      <c r="AB103" s="69" t="s">
        <v>46</v>
      </c>
      <c r="AC103" s="159" t="s">
        <v>194</v>
      </c>
      <c r="AG103" s="81"/>
      <c r="AJ103" s="87" t="s">
        <v>88</v>
      </c>
      <c r="AK103" s="87">
        <v>1</v>
      </c>
      <c r="BB103" s="160" t="s">
        <v>113</v>
      </c>
      <c r="BM103" s="81">
        <f t="shared" si="8"/>
        <v>0</v>
      </c>
      <c r="BN103" s="81">
        <f t="shared" si="9"/>
        <v>0</v>
      </c>
      <c r="BO103" s="81">
        <f t="shared" si="10"/>
        <v>0</v>
      </c>
      <c r="BP103" s="81">
        <f t="shared" si="11"/>
        <v>0</v>
      </c>
    </row>
    <row r="104" spans="1:68" ht="27" customHeight="1" x14ac:dyDescent="0.25">
      <c r="A104" s="63" t="s">
        <v>195</v>
      </c>
      <c r="B104" s="63" t="s">
        <v>196</v>
      </c>
      <c r="C104" s="36">
        <v>4301190118</v>
      </c>
      <c r="D104" s="289">
        <v>4620207491461</v>
      </c>
      <c r="E104" s="289"/>
      <c r="F104" s="62">
        <v>0.22</v>
      </c>
      <c r="G104" s="37">
        <v>6</v>
      </c>
      <c r="H104" s="62">
        <v>1.32</v>
      </c>
      <c r="I104" s="62">
        <v>1.74</v>
      </c>
      <c r="J104" s="37">
        <v>140</v>
      </c>
      <c r="K104" s="37" t="s">
        <v>114</v>
      </c>
      <c r="L104" s="37" t="s">
        <v>87</v>
      </c>
      <c r="M104" s="38" t="s">
        <v>85</v>
      </c>
      <c r="N104" s="38"/>
      <c r="O104" s="37">
        <v>180</v>
      </c>
      <c r="P104" s="369" t="str">
        <f>HYPERLINK("https://abi.ru/products/Замороженные/Горячая штучка/Чебупели/Снеки/P005291/","Снеки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04" s="291"/>
      <c r="R104" s="291"/>
      <c r="S104" s="291"/>
      <c r="T104" s="292"/>
      <c r="U104" s="39" t="s">
        <v>46</v>
      </c>
      <c r="V104" s="39" t="s">
        <v>46</v>
      </c>
      <c r="W104" s="40" t="s">
        <v>39</v>
      </c>
      <c r="X104" s="58">
        <v>0</v>
      </c>
      <c r="Y104" s="55">
        <f t="shared" si="6"/>
        <v>0</v>
      </c>
      <c r="Z104" s="41">
        <f>IFERROR(IF(X104="","",X104*0.00941),"")</f>
        <v>0</v>
      </c>
      <c r="AA104" s="68" t="s">
        <v>46</v>
      </c>
      <c r="AB104" s="69" t="s">
        <v>46</v>
      </c>
      <c r="AC104" s="161" t="s">
        <v>197</v>
      </c>
      <c r="AG104" s="81"/>
      <c r="AJ104" s="87" t="s">
        <v>88</v>
      </c>
      <c r="AK104" s="87">
        <v>1</v>
      </c>
      <c r="BB104" s="162" t="s">
        <v>113</v>
      </c>
      <c r="BM104" s="81">
        <f t="shared" si="8"/>
        <v>0</v>
      </c>
      <c r="BN104" s="81">
        <f t="shared" si="9"/>
        <v>0</v>
      </c>
      <c r="BO104" s="81">
        <f t="shared" si="10"/>
        <v>0</v>
      </c>
      <c r="BP104" s="81">
        <f t="shared" si="11"/>
        <v>0</v>
      </c>
    </row>
    <row r="105" spans="1:68" x14ac:dyDescent="0.2">
      <c r="A105" s="296"/>
      <c r="B105" s="296"/>
      <c r="C105" s="296"/>
      <c r="D105" s="296"/>
      <c r="E105" s="296"/>
      <c r="F105" s="296"/>
      <c r="G105" s="296"/>
      <c r="H105" s="296"/>
      <c r="I105" s="296"/>
      <c r="J105" s="296"/>
      <c r="K105" s="296"/>
      <c r="L105" s="296"/>
      <c r="M105" s="296"/>
      <c r="N105" s="296"/>
      <c r="O105" s="297"/>
      <c r="P105" s="293" t="s">
        <v>40</v>
      </c>
      <c r="Q105" s="294"/>
      <c r="R105" s="294"/>
      <c r="S105" s="294"/>
      <c r="T105" s="294"/>
      <c r="U105" s="294"/>
      <c r="V105" s="295"/>
      <c r="W105" s="42" t="s">
        <v>39</v>
      </c>
      <c r="X105" s="43">
        <f>IFERROR(SUM(X98:X104),"0")</f>
        <v>112</v>
      </c>
      <c r="Y105" s="43">
        <f>IFERROR(SUM(Y98:Y104),"0")</f>
        <v>112</v>
      </c>
      <c r="Z105" s="43">
        <f>IFERROR(IF(Z98="",0,Z98),"0")+IFERROR(IF(Z99="",0,Z99),"0")+IFERROR(IF(Z100="",0,Z100),"0")+IFERROR(IF(Z101="",0,Z101),"0")+IFERROR(IF(Z102="",0,Z102),"0")+IFERROR(IF(Z103="",0,Z103),"0")+IFERROR(IF(Z104="",0,Z104),"0")</f>
        <v>2.0025599999999999</v>
      </c>
      <c r="AA105" s="67"/>
      <c r="AB105" s="67"/>
      <c r="AC105" s="67"/>
    </row>
    <row r="106" spans="1:68" x14ac:dyDescent="0.2">
      <c r="A106" s="296"/>
      <c r="B106" s="296"/>
      <c r="C106" s="296"/>
      <c r="D106" s="296"/>
      <c r="E106" s="296"/>
      <c r="F106" s="296"/>
      <c r="G106" s="296"/>
      <c r="H106" s="296"/>
      <c r="I106" s="296"/>
      <c r="J106" s="296"/>
      <c r="K106" s="296"/>
      <c r="L106" s="296"/>
      <c r="M106" s="296"/>
      <c r="N106" s="296"/>
      <c r="O106" s="297"/>
      <c r="P106" s="293" t="s">
        <v>40</v>
      </c>
      <c r="Q106" s="294"/>
      <c r="R106" s="294"/>
      <c r="S106" s="294"/>
      <c r="T106" s="294"/>
      <c r="U106" s="294"/>
      <c r="V106" s="295"/>
      <c r="W106" s="42" t="s">
        <v>0</v>
      </c>
      <c r="X106" s="43">
        <f>IFERROR(SUMPRODUCT(X98:X104*H98:H104),"0")</f>
        <v>322.56</v>
      </c>
      <c r="Y106" s="43">
        <f>IFERROR(SUMPRODUCT(Y98:Y104*H98:H104),"0")</f>
        <v>322.56</v>
      </c>
      <c r="Z106" s="42"/>
      <c r="AA106" s="67"/>
      <c r="AB106" s="67"/>
      <c r="AC106" s="67"/>
    </row>
    <row r="107" spans="1:68" ht="16.5" customHeight="1" x14ac:dyDescent="0.25">
      <c r="A107" s="317" t="s">
        <v>198</v>
      </c>
      <c r="B107" s="317"/>
      <c r="C107" s="317"/>
      <c r="D107" s="317"/>
      <c r="E107" s="317"/>
      <c r="F107" s="317"/>
      <c r="G107" s="317"/>
      <c r="H107" s="317"/>
      <c r="I107" s="317"/>
      <c r="J107" s="317"/>
      <c r="K107" s="317"/>
      <c r="L107" s="317"/>
      <c r="M107" s="317"/>
      <c r="N107" s="317"/>
      <c r="O107" s="317"/>
      <c r="P107" s="317"/>
      <c r="Q107" s="317"/>
      <c r="R107" s="317"/>
      <c r="S107" s="317"/>
      <c r="T107" s="317"/>
      <c r="U107" s="317"/>
      <c r="V107" s="317"/>
      <c r="W107" s="317"/>
      <c r="X107" s="317"/>
      <c r="Y107" s="317"/>
      <c r="Z107" s="317"/>
      <c r="AA107" s="65"/>
      <c r="AB107" s="65"/>
      <c r="AC107" s="82"/>
    </row>
    <row r="108" spans="1:68" ht="14.25" customHeight="1" x14ac:dyDescent="0.25">
      <c r="A108" s="307" t="s">
        <v>147</v>
      </c>
      <c r="B108" s="307"/>
      <c r="C108" s="307"/>
      <c r="D108" s="307"/>
      <c r="E108" s="307"/>
      <c r="F108" s="307"/>
      <c r="G108" s="307"/>
      <c r="H108" s="307"/>
      <c r="I108" s="307"/>
      <c r="J108" s="307"/>
      <c r="K108" s="307"/>
      <c r="L108" s="307"/>
      <c r="M108" s="307"/>
      <c r="N108" s="307"/>
      <c r="O108" s="307"/>
      <c r="P108" s="307"/>
      <c r="Q108" s="307"/>
      <c r="R108" s="307"/>
      <c r="S108" s="307"/>
      <c r="T108" s="307"/>
      <c r="U108" s="307"/>
      <c r="V108" s="307"/>
      <c r="W108" s="307"/>
      <c r="X108" s="307"/>
      <c r="Y108" s="307"/>
      <c r="Z108" s="307"/>
      <c r="AA108" s="66"/>
      <c r="AB108" s="66"/>
      <c r="AC108" s="83"/>
    </row>
    <row r="109" spans="1:68" ht="27" customHeight="1" x14ac:dyDescent="0.25">
      <c r="A109" s="63" t="s">
        <v>199</v>
      </c>
      <c r="B109" s="63" t="s">
        <v>200</v>
      </c>
      <c r="C109" s="36">
        <v>4301136070</v>
      </c>
      <c r="D109" s="289">
        <v>4607025784012</v>
      </c>
      <c r="E109" s="289"/>
      <c r="F109" s="62">
        <v>0.09</v>
      </c>
      <c r="G109" s="37">
        <v>24</v>
      </c>
      <c r="H109" s="62">
        <v>2.16</v>
      </c>
      <c r="I109" s="62">
        <v>2.4912000000000001</v>
      </c>
      <c r="J109" s="37">
        <v>126</v>
      </c>
      <c r="K109" s="37" t="s">
        <v>114</v>
      </c>
      <c r="L109" s="37" t="s">
        <v>115</v>
      </c>
      <c r="M109" s="38" t="s">
        <v>85</v>
      </c>
      <c r="N109" s="38"/>
      <c r="O109" s="37">
        <v>180</v>
      </c>
      <c r="P109" s="363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291"/>
      <c r="R109" s="291"/>
      <c r="S109" s="291"/>
      <c r="T109" s="292"/>
      <c r="U109" s="39" t="s">
        <v>46</v>
      </c>
      <c r="V109" s="39" t="s">
        <v>46</v>
      </c>
      <c r="W109" s="40" t="s">
        <v>39</v>
      </c>
      <c r="X109" s="58">
        <v>0</v>
      </c>
      <c r="Y109" s="55">
        <f>IFERROR(IF(X109="","",X109),"")</f>
        <v>0</v>
      </c>
      <c r="Z109" s="41">
        <f>IFERROR(IF(X109="","",X109*0.00936),"")</f>
        <v>0</v>
      </c>
      <c r="AA109" s="68" t="s">
        <v>46</v>
      </c>
      <c r="AB109" s="69" t="s">
        <v>46</v>
      </c>
      <c r="AC109" s="163" t="s">
        <v>201</v>
      </c>
      <c r="AG109" s="81"/>
      <c r="AJ109" s="87" t="s">
        <v>116</v>
      </c>
      <c r="AK109" s="87">
        <v>14</v>
      </c>
      <c r="BB109" s="164" t="s">
        <v>113</v>
      </c>
      <c r="BM109" s="81">
        <f>IFERROR(X109*I109,"0")</f>
        <v>0</v>
      </c>
      <c r="BN109" s="81">
        <f>IFERROR(Y109*I109,"0")</f>
        <v>0</v>
      </c>
      <c r="BO109" s="81">
        <f>IFERROR(X109/J109,"0")</f>
        <v>0</v>
      </c>
      <c r="BP109" s="81">
        <f>IFERROR(Y109/J109,"0")</f>
        <v>0</v>
      </c>
    </row>
    <row r="110" spans="1:68" ht="27" customHeight="1" x14ac:dyDescent="0.25">
      <c r="A110" s="63" t="s">
        <v>202</v>
      </c>
      <c r="B110" s="63" t="s">
        <v>203</v>
      </c>
      <c r="C110" s="36">
        <v>4301136079</v>
      </c>
      <c r="D110" s="289">
        <v>4607025784319</v>
      </c>
      <c r="E110" s="289"/>
      <c r="F110" s="62">
        <v>0.36</v>
      </c>
      <c r="G110" s="37">
        <v>10</v>
      </c>
      <c r="H110" s="62">
        <v>3.6</v>
      </c>
      <c r="I110" s="62">
        <v>4.2439999999999998</v>
      </c>
      <c r="J110" s="37">
        <v>70</v>
      </c>
      <c r="K110" s="37" t="s">
        <v>114</v>
      </c>
      <c r="L110" s="37" t="s">
        <v>115</v>
      </c>
      <c r="M110" s="38" t="s">
        <v>85</v>
      </c>
      <c r="N110" s="38"/>
      <c r="O110" s="37">
        <v>180</v>
      </c>
      <c r="P110" s="364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291"/>
      <c r="R110" s="291"/>
      <c r="S110" s="291"/>
      <c r="T110" s="292"/>
      <c r="U110" s="39" t="s">
        <v>46</v>
      </c>
      <c r="V110" s="39" t="s">
        <v>46</v>
      </c>
      <c r="W110" s="40" t="s">
        <v>39</v>
      </c>
      <c r="X110" s="58">
        <v>42</v>
      </c>
      <c r="Y110" s="55">
        <f>IFERROR(IF(X110="","",X110),"")</f>
        <v>42</v>
      </c>
      <c r="Z110" s="41">
        <f>IFERROR(IF(X110="","",X110*0.01788),"")</f>
        <v>0.75095999999999996</v>
      </c>
      <c r="AA110" s="68" t="s">
        <v>46</v>
      </c>
      <c r="AB110" s="69" t="s">
        <v>46</v>
      </c>
      <c r="AC110" s="165" t="s">
        <v>171</v>
      </c>
      <c r="AG110" s="81"/>
      <c r="AJ110" s="87" t="s">
        <v>116</v>
      </c>
      <c r="AK110" s="87">
        <v>14</v>
      </c>
      <c r="BB110" s="166" t="s">
        <v>113</v>
      </c>
      <c r="BM110" s="81">
        <f>IFERROR(X110*I110,"0")</f>
        <v>178.24799999999999</v>
      </c>
      <c r="BN110" s="81">
        <f>IFERROR(Y110*I110,"0")</f>
        <v>178.24799999999999</v>
      </c>
      <c r="BO110" s="81">
        <f>IFERROR(X110/J110,"0")</f>
        <v>0.6</v>
      </c>
      <c r="BP110" s="81">
        <f>IFERROR(Y110/J110,"0")</f>
        <v>0.6</v>
      </c>
    </row>
    <row r="111" spans="1:68" x14ac:dyDescent="0.2">
      <c r="A111" s="296"/>
      <c r="B111" s="296"/>
      <c r="C111" s="296"/>
      <c r="D111" s="296"/>
      <c r="E111" s="296"/>
      <c r="F111" s="296"/>
      <c r="G111" s="296"/>
      <c r="H111" s="296"/>
      <c r="I111" s="296"/>
      <c r="J111" s="296"/>
      <c r="K111" s="296"/>
      <c r="L111" s="296"/>
      <c r="M111" s="296"/>
      <c r="N111" s="296"/>
      <c r="O111" s="297"/>
      <c r="P111" s="293" t="s">
        <v>40</v>
      </c>
      <c r="Q111" s="294"/>
      <c r="R111" s="294"/>
      <c r="S111" s="294"/>
      <c r="T111" s="294"/>
      <c r="U111" s="294"/>
      <c r="V111" s="295"/>
      <c r="W111" s="42" t="s">
        <v>39</v>
      </c>
      <c r="X111" s="43">
        <f>IFERROR(SUM(X109:X110),"0")</f>
        <v>42</v>
      </c>
      <c r="Y111" s="43">
        <f>IFERROR(SUM(Y109:Y110),"0")</f>
        <v>42</v>
      </c>
      <c r="Z111" s="43">
        <f>IFERROR(IF(Z109="",0,Z109),"0")+IFERROR(IF(Z110="",0,Z110),"0")</f>
        <v>0.75095999999999996</v>
      </c>
      <c r="AA111" s="67"/>
      <c r="AB111" s="67"/>
      <c r="AC111" s="67"/>
    </row>
    <row r="112" spans="1:68" x14ac:dyDescent="0.2">
      <c r="A112" s="296"/>
      <c r="B112" s="296"/>
      <c r="C112" s="296"/>
      <c r="D112" s="296"/>
      <c r="E112" s="296"/>
      <c r="F112" s="296"/>
      <c r="G112" s="296"/>
      <c r="H112" s="296"/>
      <c r="I112" s="296"/>
      <c r="J112" s="296"/>
      <c r="K112" s="296"/>
      <c r="L112" s="296"/>
      <c r="M112" s="296"/>
      <c r="N112" s="296"/>
      <c r="O112" s="297"/>
      <c r="P112" s="293" t="s">
        <v>40</v>
      </c>
      <c r="Q112" s="294"/>
      <c r="R112" s="294"/>
      <c r="S112" s="294"/>
      <c r="T112" s="294"/>
      <c r="U112" s="294"/>
      <c r="V112" s="295"/>
      <c r="W112" s="42" t="s">
        <v>0</v>
      </c>
      <c r="X112" s="43">
        <f>IFERROR(SUMPRODUCT(X109:X110*H109:H110),"0")</f>
        <v>151.20000000000002</v>
      </c>
      <c r="Y112" s="43">
        <f>IFERROR(SUMPRODUCT(Y109:Y110*H109:H110),"0")</f>
        <v>151.20000000000002</v>
      </c>
      <c r="Z112" s="42"/>
      <c r="AA112" s="67"/>
      <c r="AB112" s="67"/>
      <c r="AC112" s="67"/>
    </row>
    <row r="113" spans="1:68" ht="16.5" customHeight="1" x14ac:dyDescent="0.25">
      <c r="A113" s="317" t="s">
        <v>204</v>
      </c>
      <c r="B113" s="317"/>
      <c r="C113" s="317"/>
      <c r="D113" s="317"/>
      <c r="E113" s="317"/>
      <c r="F113" s="317"/>
      <c r="G113" s="317"/>
      <c r="H113" s="317"/>
      <c r="I113" s="317"/>
      <c r="J113" s="317"/>
      <c r="K113" s="317"/>
      <c r="L113" s="317"/>
      <c r="M113" s="317"/>
      <c r="N113" s="317"/>
      <c r="O113" s="317"/>
      <c r="P113" s="317"/>
      <c r="Q113" s="317"/>
      <c r="R113" s="317"/>
      <c r="S113" s="317"/>
      <c r="T113" s="317"/>
      <c r="U113" s="317"/>
      <c r="V113" s="317"/>
      <c r="W113" s="317"/>
      <c r="X113" s="317"/>
      <c r="Y113" s="317"/>
      <c r="Z113" s="317"/>
      <c r="AA113" s="65"/>
      <c r="AB113" s="65"/>
      <c r="AC113" s="82"/>
    </row>
    <row r="114" spans="1:68" ht="14.25" customHeight="1" x14ac:dyDescent="0.25">
      <c r="A114" s="307" t="s">
        <v>81</v>
      </c>
      <c r="B114" s="307"/>
      <c r="C114" s="307"/>
      <c r="D114" s="307"/>
      <c r="E114" s="307"/>
      <c r="F114" s="307"/>
      <c r="G114" s="307"/>
      <c r="H114" s="307"/>
      <c r="I114" s="307"/>
      <c r="J114" s="307"/>
      <c r="K114" s="307"/>
      <c r="L114" s="307"/>
      <c r="M114" s="307"/>
      <c r="N114" s="307"/>
      <c r="O114" s="307"/>
      <c r="P114" s="307"/>
      <c r="Q114" s="307"/>
      <c r="R114" s="307"/>
      <c r="S114" s="307"/>
      <c r="T114" s="307"/>
      <c r="U114" s="307"/>
      <c r="V114" s="307"/>
      <c r="W114" s="307"/>
      <c r="X114" s="307"/>
      <c r="Y114" s="307"/>
      <c r="Z114" s="307"/>
      <c r="AA114" s="66"/>
      <c r="AB114" s="66"/>
      <c r="AC114" s="83"/>
    </row>
    <row r="115" spans="1:68" ht="27" customHeight="1" x14ac:dyDescent="0.25">
      <c r="A115" s="63" t="s">
        <v>205</v>
      </c>
      <c r="B115" s="63" t="s">
        <v>206</v>
      </c>
      <c r="C115" s="36">
        <v>4301071074</v>
      </c>
      <c r="D115" s="289">
        <v>4620207491157</v>
      </c>
      <c r="E115" s="289"/>
      <c r="F115" s="62">
        <v>0.7</v>
      </c>
      <c r="G115" s="37">
        <v>10</v>
      </c>
      <c r="H115" s="62">
        <v>7</v>
      </c>
      <c r="I115" s="62">
        <v>7.28</v>
      </c>
      <c r="J115" s="37">
        <v>84</v>
      </c>
      <c r="K115" s="37" t="s">
        <v>86</v>
      </c>
      <c r="L115" s="37" t="s">
        <v>115</v>
      </c>
      <c r="M115" s="38" t="s">
        <v>85</v>
      </c>
      <c r="N115" s="38"/>
      <c r="O115" s="37">
        <v>180</v>
      </c>
      <c r="P115" s="36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291"/>
      <c r="R115" s="291"/>
      <c r="S115" s="291"/>
      <c r="T115" s="292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ref="Y115:Y121" si="12">IFERROR(IF(X115="","",X115),"")</f>
        <v>0</v>
      </c>
      <c r="Z115" s="41">
        <f t="shared" ref="Z115:Z121" si="13">IFERROR(IF(X115="","",X115*0.0155),"")</f>
        <v>0</v>
      </c>
      <c r="AA115" s="68" t="s">
        <v>46</v>
      </c>
      <c r="AB115" s="69" t="s">
        <v>46</v>
      </c>
      <c r="AC115" s="167" t="s">
        <v>207</v>
      </c>
      <c r="AG115" s="81"/>
      <c r="AJ115" s="87" t="s">
        <v>116</v>
      </c>
      <c r="AK115" s="87">
        <v>12</v>
      </c>
      <c r="BB115" s="168" t="s">
        <v>70</v>
      </c>
      <c r="BM115" s="81">
        <f t="shared" ref="BM115:BM121" si="14">IFERROR(X115*I115,"0")</f>
        <v>0</v>
      </c>
      <c r="BN115" s="81">
        <f t="shared" ref="BN115:BN121" si="15">IFERROR(Y115*I115,"0")</f>
        <v>0</v>
      </c>
      <c r="BO115" s="81">
        <f t="shared" ref="BO115:BO121" si="16">IFERROR(X115/J115,"0")</f>
        <v>0</v>
      </c>
      <c r="BP115" s="81">
        <f t="shared" ref="BP115:BP121" si="17">IFERROR(Y115/J115,"0")</f>
        <v>0</v>
      </c>
    </row>
    <row r="116" spans="1:68" ht="27" customHeight="1" x14ac:dyDescent="0.25">
      <c r="A116" s="63" t="s">
        <v>208</v>
      </c>
      <c r="B116" s="63" t="s">
        <v>209</v>
      </c>
      <c r="C116" s="36">
        <v>4301071121</v>
      </c>
      <c r="D116" s="289">
        <v>4620207491393</v>
      </c>
      <c r="E116" s="289"/>
      <c r="F116" s="62">
        <v>0.4</v>
      </c>
      <c r="G116" s="37">
        <v>16</v>
      </c>
      <c r="H116" s="62">
        <v>6.4</v>
      </c>
      <c r="I116" s="62">
        <v>6.71</v>
      </c>
      <c r="J116" s="37">
        <v>84</v>
      </c>
      <c r="K116" s="37" t="s">
        <v>86</v>
      </c>
      <c r="L116" s="37" t="s">
        <v>87</v>
      </c>
      <c r="M116" s="38" t="s">
        <v>85</v>
      </c>
      <c r="N116" s="38"/>
      <c r="O116" s="37">
        <v>180</v>
      </c>
      <c r="P116" s="362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291"/>
      <c r="R116" s="291"/>
      <c r="S116" s="291"/>
      <c r="T116" s="292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210</v>
      </c>
      <c r="AG116" s="81"/>
      <c r="AJ116" s="87" t="s">
        <v>88</v>
      </c>
      <c r="AK116" s="87">
        <v>1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211</v>
      </c>
      <c r="B117" s="63" t="s">
        <v>212</v>
      </c>
      <c r="C117" s="36">
        <v>4301071051</v>
      </c>
      <c r="D117" s="289">
        <v>4607111039262</v>
      </c>
      <c r="E117" s="289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86</v>
      </c>
      <c r="L117" s="37" t="s">
        <v>115</v>
      </c>
      <c r="M117" s="38" t="s">
        <v>85</v>
      </c>
      <c r="N117" s="38"/>
      <c r="O117" s="37">
        <v>180</v>
      </c>
      <c r="P117" s="356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291"/>
      <c r="R117" s="291"/>
      <c r="S117" s="291"/>
      <c r="T117" s="292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1" t="s">
        <v>164</v>
      </c>
      <c r="AG117" s="81"/>
      <c r="AJ117" s="87" t="s">
        <v>116</v>
      </c>
      <c r="AK117" s="87">
        <v>12</v>
      </c>
      <c r="BB117" s="172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213</v>
      </c>
      <c r="B118" s="63" t="s">
        <v>214</v>
      </c>
      <c r="C118" s="36">
        <v>4301071038</v>
      </c>
      <c r="D118" s="289">
        <v>4607111039248</v>
      </c>
      <c r="E118" s="289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86</v>
      </c>
      <c r="L118" s="37" t="s">
        <v>115</v>
      </c>
      <c r="M118" s="38" t="s">
        <v>85</v>
      </c>
      <c r="N118" s="38"/>
      <c r="O118" s="37">
        <v>180</v>
      </c>
      <c r="P118" s="357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291"/>
      <c r="R118" s="291"/>
      <c r="S118" s="291"/>
      <c r="T118" s="292"/>
      <c r="U118" s="39" t="s">
        <v>46</v>
      </c>
      <c r="V118" s="39" t="s">
        <v>46</v>
      </c>
      <c r="W118" s="40" t="s">
        <v>39</v>
      </c>
      <c r="X118" s="58">
        <v>60</v>
      </c>
      <c r="Y118" s="55">
        <f t="shared" si="12"/>
        <v>60</v>
      </c>
      <c r="Z118" s="41">
        <f t="shared" si="13"/>
        <v>0.92999999999999994</v>
      </c>
      <c r="AA118" s="68" t="s">
        <v>46</v>
      </c>
      <c r="AB118" s="69" t="s">
        <v>46</v>
      </c>
      <c r="AC118" s="173" t="s">
        <v>164</v>
      </c>
      <c r="AG118" s="81"/>
      <c r="AJ118" s="87" t="s">
        <v>116</v>
      </c>
      <c r="AK118" s="87">
        <v>12</v>
      </c>
      <c r="BB118" s="174" t="s">
        <v>70</v>
      </c>
      <c r="BM118" s="81">
        <f t="shared" si="14"/>
        <v>438</v>
      </c>
      <c r="BN118" s="81">
        <f t="shared" si="15"/>
        <v>438</v>
      </c>
      <c r="BO118" s="81">
        <f t="shared" si="16"/>
        <v>0.7142857142857143</v>
      </c>
      <c r="BP118" s="81">
        <f t="shared" si="17"/>
        <v>0.7142857142857143</v>
      </c>
    </row>
    <row r="119" spans="1:68" ht="27" customHeight="1" x14ac:dyDescent="0.25">
      <c r="A119" s="63" t="s">
        <v>215</v>
      </c>
      <c r="B119" s="63" t="s">
        <v>216</v>
      </c>
      <c r="C119" s="36">
        <v>4301070979</v>
      </c>
      <c r="D119" s="289">
        <v>4607111037145</v>
      </c>
      <c r="E119" s="289"/>
      <c r="F119" s="62">
        <v>0.8</v>
      </c>
      <c r="G119" s="37">
        <v>8</v>
      </c>
      <c r="H119" s="62">
        <v>6.4</v>
      </c>
      <c r="I119" s="62">
        <v>6.6748000000000003</v>
      </c>
      <c r="J119" s="37">
        <v>84</v>
      </c>
      <c r="K119" s="37" t="s">
        <v>86</v>
      </c>
      <c r="L119" s="37" t="s">
        <v>87</v>
      </c>
      <c r="M119" s="38" t="s">
        <v>85</v>
      </c>
      <c r="N119" s="38"/>
      <c r="O119" s="37">
        <v>180</v>
      </c>
      <c r="P119" s="358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291"/>
      <c r="R119" s="291"/>
      <c r="S119" s="291"/>
      <c r="T119" s="292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217</v>
      </c>
      <c r="AG119" s="81"/>
      <c r="AJ119" s="87" t="s">
        <v>88</v>
      </c>
      <c r="AK119" s="87">
        <v>1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ht="27" customHeight="1" x14ac:dyDescent="0.25">
      <c r="A120" s="63" t="s">
        <v>218</v>
      </c>
      <c r="B120" s="63" t="s">
        <v>219</v>
      </c>
      <c r="C120" s="36">
        <v>4301071049</v>
      </c>
      <c r="D120" s="289">
        <v>4607111039293</v>
      </c>
      <c r="E120" s="289"/>
      <c r="F120" s="62">
        <v>0.4</v>
      </c>
      <c r="G120" s="37">
        <v>16</v>
      </c>
      <c r="H120" s="62">
        <v>6.4</v>
      </c>
      <c r="I120" s="62">
        <v>6.7195999999999998</v>
      </c>
      <c r="J120" s="37">
        <v>84</v>
      </c>
      <c r="K120" s="37" t="s">
        <v>86</v>
      </c>
      <c r="L120" s="37" t="s">
        <v>115</v>
      </c>
      <c r="M120" s="38" t="s">
        <v>85</v>
      </c>
      <c r="N120" s="38"/>
      <c r="O120" s="37">
        <v>180</v>
      </c>
      <c r="P120" s="35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0" s="291"/>
      <c r="R120" s="291"/>
      <c r="S120" s="291"/>
      <c r="T120" s="292"/>
      <c r="U120" s="39" t="s">
        <v>46</v>
      </c>
      <c r="V120" s="39" t="s">
        <v>46</v>
      </c>
      <c r="W120" s="40" t="s">
        <v>39</v>
      </c>
      <c r="X120" s="58">
        <v>0</v>
      </c>
      <c r="Y120" s="55">
        <f t="shared" si="12"/>
        <v>0</v>
      </c>
      <c r="Z120" s="41">
        <f t="shared" si="13"/>
        <v>0</v>
      </c>
      <c r="AA120" s="68" t="s">
        <v>46</v>
      </c>
      <c r="AB120" s="69" t="s">
        <v>46</v>
      </c>
      <c r="AC120" s="177" t="s">
        <v>164</v>
      </c>
      <c r="AG120" s="81"/>
      <c r="AJ120" s="87" t="s">
        <v>116</v>
      </c>
      <c r="AK120" s="87">
        <v>12</v>
      </c>
      <c r="BB120" s="178" t="s">
        <v>70</v>
      </c>
      <c r="BM120" s="81">
        <f t="shared" si="14"/>
        <v>0</v>
      </c>
      <c r="BN120" s="81">
        <f t="shared" si="15"/>
        <v>0</v>
      </c>
      <c r="BO120" s="81">
        <f t="shared" si="16"/>
        <v>0</v>
      </c>
      <c r="BP120" s="81">
        <f t="shared" si="17"/>
        <v>0</v>
      </c>
    </row>
    <row r="121" spans="1:68" ht="27" customHeight="1" x14ac:dyDescent="0.25">
      <c r="A121" s="63" t="s">
        <v>220</v>
      </c>
      <c r="B121" s="63" t="s">
        <v>221</v>
      </c>
      <c r="C121" s="36">
        <v>4301071039</v>
      </c>
      <c r="D121" s="289">
        <v>4607111039279</v>
      </c>
      <c r="E121" s="289"/>
      <c r="F121" s="62">
        <v>0.7</v>
      </c>
      <c r="G121" s="37">
        <v>10</v>
      </c>
      <c r="H121" s="62">
        <v>7</v>
      </c>
      <c r="I121" s="62">
        <v>7.3</v>
      </c>
      <c r="J121" s="37">
        <v>84</v>
      </c>
      <c r="K121" s="37" t="s">
        <v>86</v>
      </c>
      <c r="L121" s="37" t="s">
        <v>115</v>
      </c>
      <c r="M121" s="38" t="s">
        <v>85</v>
      </c>
      <c r="N121" s="38"/>
      <c r="O121" s="37">
        <v>180</v>
      </c>
      <c r="P121" s="36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1" s="291"/>
      <c r="R121" s="291"/>
      <c r="S121" s="291"/>
      <c r="T121" s="292"/>
      <c r="U121" s="39" t="s">
        <v>46</v>
      </c>
      <c r="V121" s="39" t="s">
        <v>46</v>
      </c>
      <c r="W121" s="40" t="s">
        <v>39</v>
      </c>
      <c r="X121" s="58">
        <v>36</v>
      </c>
      <c r="Y121" s="55">
        <f t="shared" si="12"/>
        <v>36</v>
      </c>
      <c r="Z121" s="41">
        <f t="shared" si="13"/>
        <v>0.55800000000000005</v>
      </c>
      <c r="AA121" s="68" t="s">
        <v>46</v>
      </c>
      <c r="AB121" s="69" t="s">
        <v>46</v>
      </c>
      <c r="AC121" s="179" t="s">
        <v>164</v>
      </c>
      <c r="AG121" s="81"/>
      <c r="AJ121" s="87" t="s">
        <v>116</v>
      </c>
      <c r="AK121" s="87">
        <v>12</v>
      </c>
      <c r="BB121" s="180" t="s">
        <v>70</v>
      </c>
      <c r="BM121" s="81">
        <f t="shared" si="14"/>
        <v>262.8</v>
      </c>
      <c r="BN121" s="81">
        <f t="shared" si="15"/>
        <v>262.8</v>
      </c>
      <c r="BO121" s="81">
        <f t="shared" si="16"/>
        <v>0.42857142857142855</v>
      </c>
      <c r="BP121" s="81">
        <f t="shared" si="17"/>
        <v>0.42857142857142855</v>
      </c>
    </row>
    <row r="122" spans="1:68" x14ac:dyDescent="0.2">
      <c r="A122" s="296"/>
      <c r="B122" s="296"/>
      <c r="C122" s="296"/>
      <c r="D122" s="296"/>
      <c r="E122" s="296"/>
      <c r="F122" s="296"/>
      <c r="G122" s="296"/>
      <c r="H122" s="296"/>
      <c r="I122" s="296"/>
      <c r="J122" s="296"/>
      <c r="K122" s="296"/>
      <c r="L122" s="296"/>
      <c r="M122" s="296"/>
      <c r="N122" s="296"/>
      <c r="O122" s="297"/>
      <c r="P122" s="293" t="s">
        <v>40</v>
      </c>
      <c r="Q122" s="294"/>
      <c r="R122" s="294"/>
      <c r="S122" s="294"/>
      <c r="T122" s="294"/>
      <c r="U122" s="294"/>
      <c r="V122" s="295"/>
      <c r="W122" s="42" t="s">
        <v>39</v>
      </c>
      <c r="X122" s="43">
        <f>IFERROR(SUM(X115:X121),"0")</f>
        <v>96</v>
      </c>
      <c r="Y122" s="43">
        <f>IFERROR(SUM(Y115:Y121),"0")</f>
        <v>96</v>
      </c>
      <c r="Z122" s="43">
        <f>IFERROR(IF(Z115="",0,Z115),"0")+IFERROR(IF(Z116="",0,Z116),"0")+IFERROR(IF(Z117="",0,Z117),"0")+IFERROR(IF(Z118="",0,Z118),"0")+IFERROR(IF(Z119="",0,Z119),"0")+IFERROR(IF(Z120="",0,Z120),"0")+IFERROR(IF(Z121="",0,Z121),"0")</f>
        <v>1.488</v>
      </c>
      <c r="AA122" s="67"/>
      <c r="AB122" s="67"/>
      <c r="AC122" s="67"/>
    </row>
    <row r="123" spans="1:68" x14ac:dyDescent="0.2">
      <c r="A123" s="296"/>
      <c r="B123" s="296"/>
      <c r="C123" s="296"/>
      <c r="D123" s="296"/>
      <c r="E123" s="296"/>
      <c r="F123" s="296"/>
      <c r="G123" s="296"/>
      <c r="H123" s="296"/>
      <c r="I123" s="296"/>
      <c r="J123" s="296"/>
      <c r="K123" s="296"/>
      <c r="L123" s="296"/>
      <c r="M123" s="296"/>
      <c r="N123" s="296"/>
      <c r="O123" s="297"/>
      <c r="P123" s="293" t="s">
        <v>40</v>
      </c>
      <c r="Q123" s="294"/>
      <c r="R123" s="294"/>
      <c r="S123" s="294"/>
      <c r="T123" s="294"/>
      <c r="U123" s="294"/>
      <c r="V123" s="295"/>
      <c r="W123" s="42" t="s">
        <v>0</v>
      </c>
      <c r="X123" s="43">
        <f>IFERROR(SUMPRODUCT(X115:X121*H115:H121),"0")</f>
        <v>672</v>
      </c>
      <c r="Y123" s="43">
        <f>IFERROR(SUMPRODUCT(Y115:Y121*H115:H121),"0")</f>
        <v>672</v>
      </c>
      <c r="Z123" s="42"/>
      <c r="AA123" s="67"/>
      <c r="AB123" s="67"/>
      <c r="AC123" s="67"/>
    </row>
    <row r="124" spans="1:68" ht="14.25" customHeight="1" x14ac:dyDescent="0.25">
      <c r="A124" s="307" t="s">
        <v>153</v>
      </c>
      <c r="B124" s="307"/>
      <c r="C124" s="307"/>
      <c r="D124" s="307"/>
      <c r="E124" s="307"/>
      <c r="F124" s="307"/>
      <c r="G124" s="307"/>
      <c r="H124" s="307"/>
      <c r="I124" s="307"/>
      <c r="J124" s="307"/>
      <c r="K124" s="307"/>
      <c r="L124" s="307"/>
      <c r="M124" s="307"/>
      <c r="N124" s="307"/>
      <c r="O124" s="307"/>
      <c r="P124" s="307"/>
      <c r="Q124" s="307"/>
      <c r="R124" s="307"/>
      <c r="S124" s="307"/>
      <c r="T124" s="307"/>
      <c r="U124" s="307"/>
      <c r="V124" s="307"/>
      <c r="W124" s="307"/>
      <c r="X124" s="307"/>
      <c r="Y124" s="307"/>
      <c r="Z124" s="307"/>
      <c r="AA124" s="66"/>
      <c r="AB124" s="66"/>
      <c r="AC124" s="83"/>
    </row>
    <row r="125" spans="1:68" ht="27" customHeight="1" x14ac:dyDescent="0.25">
      <c r="A125" s="63" t="s">
        <v>222</v>
      </c>
      <c r="B125" s="63" t="s">
        <v>223</v>
      </c>
      <c r="C125" s="36">
        <v>4301135826</v>
      </c>
      <c r="D125" s="289">
        <v>4620207490983</v>
      </c>
      <c r="E125" s="289"/>
      <c r="F125" s="62">
        <v>0.22</v>
      </c>
      <c r="G125" s="37">
        <v>12</v>
      </c>
      <c r="H125" s="62">
        <v>2.64</v>
      </c>
      <c r="I125" s="62">
        <v>3.3435999999999999</v>
      </c>
      <c r="J125" s="37">
        <v>70</v>
      </c>
      <c r="K125" s="37" t="s">
        <v>114</v>
      </c>
      <c r="L125" s="37" t="s">
        <v>87</v>
      </c>
      <c r="M125" s="38" t="s">
        <v>85</v>
      </c>
      <c r="N125" s="38"/>
      <c r="O125" s="37">
        <v>180</v>
      </c>
      <c r="P125" s="355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91"/>
      <c r="R125" s="291"/>
      <c r="S125" s="291"/>
      <c r="T125" s="292"/>
      <c r="U125" s="39" t="s">
        <v>46</v>
      </c>
      <c r="V125" s="39" t="s">
        <v>46</v>
      </c>
      <c r="W125" s="40" t="s">
        <v>39</v>
      </c>
      <c r="X125" s="58">
        <v>14</v>
      </c>
      <c r="Y125" s="55">
        <f>IFERROR(IF(X125="","",X125),"")</f>
        <v>14</v>
      </c>
      <c r="Z125" s="41">
        <f>IFERROR(IF(X125="","",X125*0.01788),"")</f>
        <v>0.25031999999999999</v>
      </c>
      <c r="AA125" s="68" t="s">
        <v>46</v>
      </c>
      <c r="AB125" s="69" t="s">
        <v>46</v>
      </c>
      <c r="AC125" s="181" t="s">
        <v>224</v>
      </c>
      <c r="AG125" s="81"/>
      <c r="AJ125" s="87" t="s">
        <v>88</v>
      </c>
      <c r="AK125" s="87">
        <v>1</v>
      </c>
      <c r="BB125" s="182" t="s">
        <v>113</v>
      </c>
      <c r="BM125" s="81">
        <f>IFERROR(X125*I125,"0")</f>
        <v>46.810400000000001</v>
      </c>
      <c r="BN125" s="81">
        <f>IFERROR(Y125*I125,"0")</f>
        <v>46.810400000000001</v>
      </c>
      <c r="BO125" s="81">
        <f>IFERROR(X125/J125,"0")</f>
        <v>0.2</v>
      </c>
      <c r="BP125" s="81">
        <f>IFERROR(Y125/J125,"0")</f>
        <v>0.2</v>
      </c>
    </row>
    <row r="126" spans="1:68" x14ac:dyDescent="0.2">
      <c r="A126" s="296"/>
      <c r="B126" s="296"/>
      <c r="C126" s="296"/>
      <c r="D126" s="296"/>
      <c r="E126" s="296"/>
      <c r="F126" s="296"/>
      <c r="G126" s="296"/>
      <c r="H126" s="296"/>
      <c r="I126" s="296"/>
      <c r="J126" s="296"/>
      <c r="K126" s="296"/>
      <c r="L126" s="296"/>
      <c r="M126" s="296"/>
      <c r="N126" s="296"/>
      <c r="O126" s="297"/>
      <c r="P126" s="293" t="s">
        <v>40</v>
      </c>
      <c r="Q126" s="294"/>
      <c r="R126" s="294"/>
      <c r="S126" s="294"/>
      <c r="T126" s="294"/>
      <c r="U126" s="294"/>
      <c r="V126" s="295"/>
      <c r="W126" s="42" t="s">
        <v>39</v>
      </c>
      <c r="X126" s="43">
        <f>IFERROR(SUM(X125:X125),"0")</f>
        <v>14</v>
      </c>
      <c r="Y126" s="43">
        <f>IFERROR(SUM(Y125:Y125),"0")</f>
        <v>14</v>
      </c>
      <c r="Z126" s="43">
        <f>IFERROR(IF(Z125="",0,Z125),"0")</f>
        <v>0.25031999999999999</v>
      </c>
      <c r="AA126" s="67"/>
      <c r="AB126" s="67"/>
      <c r="AC126" s="67"/>
    </row>
    <row r="127" spans="1:68" x14ac:dyDescent="0.2">
      <c r="A127" s="296"/>
      <c r="B127" s="296"/>
      <c r="C127" s="296"/>
      <c r="D127" s="296"/>
      <c r="E127" s="296"/>
      <c r="F127" s="296"/>
      <c r="G127" s="296"/>
      <c r="H127" s="296"/>
      <c r="I127" s="296"/>
      <c r="J127" s="296"/>
      <c r="K127" s="296"/>
      <c r="L127" s="296"/>
      <c r="M127" s="296"/>
      <c r="N127" s="296"/>
      <c r="O127" s="297"/>
      <c r="P127" s="293" t="s">
        <v>40</v>
      </c>
      <c r="Q127" s="294"/>
      <c r="R127" s="294"/>
      <c r="S127" s="294"/>
      <c r="T127" s="294"/>
      <c r="U127" s="294"/>
      <c r="V127" s="295"/>
      <c r="W127" s="42" t="s">
        <v>0</v>
      </c>
      <c r="X127" s="43">
        <f>IFERROR(SUMPRODUCT(X125:X125*H125:H125),"0")</f>
        <v>36.96</v>
      </c>
      <c r="Y127" s="43">
        <f>IFERROR(SUMPRODUCT(Y125:Y125*H125:H125),"0")</f>
        <v>36.96</v>
      </c>
      <c r="Z127" s="42"/>
      <c r="AA127" s="67"/>
      <c r="AB127" s="67"/>
      <c r="AC127" s="67"/>
    </row>
    <row r="128" spans="1:68" ht="14.25" customHeight="1" x14ac:dyDescent="0.25">
      <c r="A128" s="307" t="s">
        <v>225</v>
      </c>
      <c r="B128" s="307"/>
      <c r="C128" s="307"/>
      <c r="D128" s="307"/>
      <c r="E128" s="307"/>
      <c r="F128" s="307"/>
      <c r="G128" s="307"/>
      <c r="H128" s="307"/>
      <c r="I128" s="307"/>
      <c r="J128" s="307"/>
      <c r="K128" s="307"/>
      <c r="L128" s="307"/>
      <c r="M128" s="307"/>
      <c r="N128" s="307"/>
      <c r="O128" s="307"/>
      <c r="P128" s="307"/>
      <c r="Q128" s="307"/>
      <c r="R128" s="307"/>
      <c r="S128" s="307"/>
      <c r="T128" s="307"/>
      <c r="U128" s="307"/>
      <c r="V128" s="307"/>
      <c r="W128" s="307"/>
      <c r="X128" s="307"/>
      <c r="Y128" s="307"/>
      <c r="Z128" s="307"/>
      <c r="AA128" s="66"/>
      <c r="AB128" s="66"/>
      <c r="AC128" s="83"/>
    </row>
    <row r="129" spans="1:68" ht="27" customHeight="1" x14ac:dyDescent="0.25">
      <c r="A129" s="63" t="s">
        <v>226</v>
      </c>
      <c r="B129" s="63" t="s">
        <v>227</v>
      </c>
      <c r="C129" s="36">
        <v>4301071094</v>
      </c>
      <c r="D129" s="289">
        <v>4620207491140</v>
      </c>
      <c r="E129" s="289"/>
      <c r="F129" s="62">
        <v>0.6</v>
      </c>
      <c r="G129" s="37">
        <v>10</v>
      </c>
      <c r="H129" s="62">
        <v>6</v>
      </c>
      <c r="I129" s="62">
        <v>6.28</v>
      </c>
      <c r="J129" s="37">
        <v>84</v>
      </c>
      <c r="K129" s="37" t="s">
        <v>86</v>
      </c>
      <c r="L129" s="37" t="s">
        <v>87</v>
      </c>
      <c r="M129" s="38" t="s">
        <v>85</v>
      </c>
      <c r="N129" s="38"/>
      <c r="O129" s="37">
        <v>180</v>
      </c>
      <c r="P129" s="353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91"/>
      <c r="R129" s="291"/>
      <c r="S129" s="291"/>
      <c r="T129" s="292"/>
      <c r="U129" s="39" t="s">
        <v>46</v>
      </c>
      <c r="V129" s="39" t="s">
        <v>46</v>
      </c>
      <c r="W129" s="40" t="s">
        <v>39</v>
      </c>
      <c r="X129" s="58">
        <v>0</v>
      </c>
      <c r="Y129" s="55">
        <f>IFERROR(IF(X129="","",X129),"")</f>
        <v>0</v>
      </c>
      <c r="Z129" s="41">
        <f>IFERROR(IF(X129="","",X129*0.0155),"")</f>
        <v>0</v>
      </c>
      <c r="AA129" s="68" t="s">
        <v>46</v>
      </c>
      <c r="AB129" s="69" t="s">
        <v>46</v>
      </c>
      <c r="AC129" s="183" t="s">
        <v>228</v>
      </c>
      <c r="AG129" s="81"/>
      <c r="AJ129" s="87" t="s">
        <v>88</v>
      </c>
      <c r="AK129" s="87">
        <v>1</v>
      </c>
      <c r="BB129" s="184" t="s">
        <v>113</v>
      </c>
      <c r="BM129" s="81">
        <f>IFERROR(X129*I129,"0")</f>
        <v>0</v>
      </c>
      <c r="BN129" s="81">
        <f>IFERROR(Y129*I129,"0")</f>
        <v>0</v>
      </c>
      <c r="BO129" s="81">
        <f>IFERROR(X129/J129,"0")</f>
        <v>0</v>
      </c>
      <c r="BP129" s="81">
        <f>IFERROR(Y129/J129,"0")</f>
        <v>0</v>
      </c>
    </row>
    <row r="130" spans="1:68" x14ac:dyDescent="0.2">
      <c r="A130" s="296"/>
      <c r="B130" s="296"/>
      <c r="C130" s="296"/>
      <c r="D130" s="296"/>
      <c r="E130" s="296"/>
      <c r="F130" s="296"/>
      <c r="G130" s="296"/>
      <c r="H130" s="296"/>
      <c r="I130" s="296"/>
      <c r="J130" s="296"/>
      <c r="K130" s="296"/>
      <c r="L130" s="296"/>
      <c r="M130" s="296"/>
      <c r="N130" s="296"/>
      <c r="O130" s="297"/>
      <c r="P130" s="293" t="s">
        <v>40</v>
      </c>
      <c r="Q130" s="294"/>
      <c r="R130" s="294"/>
      <c r="S130" s="294"/>
      <c r="T130" s="294"/>
      <c r="U130" s="294"/>
      <c r="V130" s="295"/>
      <c r="W130" s="42" t="s">
        <v>39</v>
      </c>
      <c r="X130" s="43">
        <f>IFERROR(SUM(X129:X129),"0")</f>
        <v>0</v>
      </c>
      <c r="Y130" s="43">
        <f>IFERROR(SUM(Y129:Y129),"0")</f>
        <v>0</v>
      </c>
      <c r="Z130" s="43">
        <f>IFERROR(IF(Z129="",0,Z129),"0")</f>
        <v>0</v>
      </c>
      <c r="AA130" s="67"/>
      <c r="AB130" s="67"/>
      <c r="AC130" s="67"/>
    </row>
    <row r="131" spans="1:68" x14ac:dyDescent="0.2">
      <c r="A131" s="296"/>
      <c r="B131" s="296"/>
      <c r="C131" s="296"/>
      <c r="D131" s="296"/>
      <c r="E131" s="296"/>
      <c r="F131" s="296"/>
      <c r="G131" s="296"/>
      <c r="H131" s="296"/>
      <c r="I131" s="296"/>
      <c r="J131" s="296"/>
      <c r="K131" s="296"/>
      <c r="L131" s="296"/>
      <c r="M131" s="296"/>
      <c r="N131" s="296"/>
      <c r="O131" s="297"/>
      <c r="P131" s="293" t="s">
        <v>40</v>
      </c>
      <c r="Q131" s="294"/>
      <c r="R131" s="294"/>
      <c r="S131" s="294"/>
      <c r="T131" s="294"/>
      <c r="U131" s="294"/>
      <c r="V131" s="295"/>
      <c r="W131" s="42" t="s">
        <v>0</v>
      </c>
      <c r="X131" s="43">
        <f>IFERROR(SUMPRODUCT(X129:X129*H129:H129),"0")</f>
        <v>0</v>
      </c>
      <c r="Y131" s="43">
        <f>IFERROR(SUMPRODUCT(Y129:Y129*H129:H129),"0")</f>
        <v>0</v>
      </c>
      <c r="Z131" s="42"/>
      <c r="AA131" s="67"/>
      <c r="AB131" s="67"/>
      <c r="AC131" s="67"/>
    </row>
    <row r="132" spans="1:68" ht="16.5" customHeight="1" x14ac:dyDescent="0.25">
      <c r="A132" s="317" t="s">
        <v>229</v>
      </c>
      <c r="B132" s="317"/>
      <c r="C132" s="317"/>
      <c r="D132" s="317"/>
      <c r="E132" s="317"/>
      <c r="F132" s="317"/>
      <c r="G132" s="317"/>
      <c r="H132" s="317"/>
      <c r="I132" s="317"/>
      <c r="J132" s="317"/>
      <c r="K132" s="317"/>
      <c r="L132" s="317"/>
      <c r="M132" s="317"/>
      <c r="N132" s="317"/>
      <c r="O132" s="317"/>
      <c r="P132" s="317"/>
      <c r="Q132" s="317"/>
      <c r="R132" s="317"/>
      <c r="S132" s="317"/>
      <c r="T132" s="317"/>
      <c r="U132" s="317"/>
      <c r="V132" s="317"/>
      <c r="W132" s="317"/>
      <c r="X132" s="317"/>
      <c r="Y132" s="317"/>
      <c r="Z132" s="317"/>
      <c r="AA132" s="65"/>
      <c r="AB132" s="65"/>
      <c r="AC132" s="82"/>
    </row>
    <row r="133" spans="1:68" ht="14.25" customHeight="1" x14ac:dyDescent="0.25">
      <c r="A133" s="307" t="s">
        <v>230</v>
      </c>
      <c r="B133" s="307"/>
      <c r="C133" s="307"/>
      <c r="D133" s="307"/>
      <c r="E133" s="307"/>
      <c r="F133" s="307"/>
      <c r="G133" s="307"/>
      <c r="H133" s="307"/>
      <c r="I133" s="307"/>
      <c r="J133" s="307"/>
      <c r="K133" s="307"/>
      <c r="L133" s="307"/>
      <c r="M133" s="307"/>
      <c r="N133" s="307"/>
      <c r="O133" s="307"/>
      <c r="P133" s="307"/>
      <c r="Q133" s="307"/>
      <c r="R133" s="307"/>
      <c r="S133" s="307"/>
      <c r="T133" s="307"/>
      <c r="U133" s="307"/>
      <c r="V133" s="307"/>
      <c r="W133" s="307"/>
      <c r="X133" s="307"/>
      <c r="Y133" s="307"/>
      <c r="Z133" s="307"/>
      <c r="AA133" s="66"/>
      <c r="AB133" s="66"/>
      <c r="AC133" s="83"/>
    </row>
    <row r="134" spans="1:68" ht="27" customHeight="1" x14ac:dyDescent="0.25">
      <c r="A134" s="63" t="s">
        <v>231</v>
      </c>
      <c r="B134" s="63" t="s">
        <v>232</v>
      </c>
      <c r="C134" s="36">
        <v>4301190117</v>
      </c>
      <c r="D134" s="289">
        <v>4620207491386</v>
      </c>
      <c r="E134" s="289"/>
      <c r="F134" s="62">
        <v>0.18</v>
      </c>
      <c r="G134" s="37">
        <v>6</v>
      </c>
      <c r="H134" s="62">
        <v>1.08</v>
      </c>
      <c r="I134" s="62">
        <v>1.3979999999999999</v>
      </c>
      <c r="J134" s="37">
        <v>140</v>
      </c>
      <c r="K134" s="37" t="s">
        <v>114</v>
      </c>
      <c r="L134" s="37" t="s">
        <v>87</v>
      </c>
      <c r="M134" s="38" t="s">
        <v>85</v>
      </c>
      <c r="N134" s="38"/>
      <c r="O134" s="37">
        <v>180</v>
      </c>
      <c r="P134" s="354" t="str">
        <f>HYPERLINK("https://abi.ru/products/Замороженные/Горячая штучка/Хрустипай мини/Изделия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4" s="291"/>
      <c r="R134" s="291"/>
      <c r="S134" s="291"/>
      <c r="T134" s="292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IFERROR(IF(X134="","",X134*0.00941),"")</f>
        <v>0</v>
      </c>
      <c r="AA134" s="68" t="s">
        <v>46</v>
      </c>
      <c r="AB134" s="69" t="s">
        <v>46</v>
      </c>
      <c r="AC134" s="185" t="s">
        <v>233</v>
      </c>
      <c r="AG134" s="81"/>
      <c r="AJ134" s="87" t="s">
        <v>88</v>
      </c>
      <c r="AK134" s="87">
        <v>1</v>
      </c>
      <c r="BB134" s="186" t="s">
        <v>113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ht="27" customHeight="1" x14ac:dyDescent="0.25">
      <c r="A135" s="63" t="s">
        <v>234</v>
      </c>
      <c r="B135" s="63" t="s">
        <v>235</v>
      </c>
      <c r="C135" s="36">
        <v>4301190115</v>
      </c>
      <c r="D135" s="289">
        <v>4620207491362</v>
      </c>
      <c r="E135" s="289"/>
      <c r="F135" s="62">
        <v>0.18</v>
      </c>
      <c r="G135" s="37">
        <v>6</v>
      </c>
      <c r="H135" s="62">
        <v>1.08</v>
      </c>
      <c r="I135" s="62">
        <v>1.3979999999999999</v>
      </c>
      <c r="J135" s="37">
        <v>140</v>
      </c>
      <c r="K135" s="37" t="s">
        <v>114</v>
      </c>
      <c r="L135" s="37" t="s">
        <v>87</v>
      </c>
      <c r="M135" s="38" t="s">
        <v>85</v>
      </c>
      <c r="N135" s="38"/>
      <c r="O135" s="37">
        <v>180</v>
      </c>
      <c r="P135" s="351" t="str">
        <f>HYPERLINK("https://abi.ru/products/Замороженные/Горячая штучка/Хрустипай мини/Изделия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5" s="291"/>
      <c r="R135" s="291"/>
      <c r="S135" s="291"/>
      <c r="T135" s="292"/>
      <c r="U135" s="39" t="s">
        <v>46</v>
      </c>
      <c r="V135" s="39" t="s">
        <v>46</v>
      </c>
      <c r="W135" s="40" t="s">
        <v>39</v>
      </c>
      <c r="X135" s="58">
        <v>0</v>
      </c>
      <c r="Y135" s="55">
        <f>IFERROR(IF(X135="","",X135),"")</f>
        <v>0</v>
      </c>
      <c r="Z135" s="41">
        <f>IFERROR(IF(X135="","",X135*0.00941),"")</f>
        <v>0</v>
      </c>
      <c r="AA135" s="68" t="s">
        <v>46</v>
      </c>
      <c r="AB135" s="69" t="s">
        <v>46</v>
      </c>
      <c r="AC135" s="187" t="s">
        <v>233</v>
      </c>
      <c r="AG135" s="81"/>
      <c r="AJ135" s="87" t="s">
        <v>88</v>
      </c>
      <c r="AK135" s="87">
        <v>1</v>
      </c>
      <c r="BB135" s="188" t="s">
        <v>113</v>
      </c>
      <c r="BM135" s="81">
        <f>IFERROR(X135*I135,"0")</f>
        <v>0</v>
      </c>
      <c r="BN135" s="81">
        <f>IFERROR(Y135*I135,"0")</f>
        <v>0</v>
      </c>
      <c r="BO135" s="81">
        <f>IFERROR(X135/J135,"0")</f>
        <v>0</v>
      </c>
      <c r="BP135" s="81">
        <f>IFERROR(Y135/J135,"0")</f>
        <v>0</v>
      </c>
    </row>
    <row r="136" spans="1:68" ht="27" customHeight="1" x14ac:dyDescent="0.25">
      <c r="A136" s="63" t="s">
        <v>236</v>
      </c>
      <c r="B136" s="63" t="s">
        <v>237</v>
      </c>
      <c r="C136" s="36">
        <v>4301190116</v>
      </c>
      <c r="D136" s="289">
        <v>4620207491379</v>
      </c>
      <c r="E136" s="289"/>
      <c r="F136" s="62">
        <v>0.18</v>
      </c>
      <c r="G136" s="37">
        <v>6</v>
      </c>
      <c r="H136" s="62">
        <v>1.08</v>
      </c>
      <c r="I136" s="62">
        <v>1.3979999999999999</v>
      </c>
      <c r="J136" s="37">
        <v>140</v>
      </c>
      <c r="K136" s="37" t="s">
        <v>114</v>
      </c>
      <c r="L136" s="37" t="s">
        <v>87</v>
      </c>
      <c r="M136" s="38" t="s">
        <v>85</v>
      </c>
      <c r="N136" s="38"/>
      <c r="O136" s="37">
        <v>180</v>
      </c>
      <c r="P136" s="352" t="str">
        <f>HYPERLINK("https://abi.ru/products/Замороженные/Горячая штучка/Хрустипай мини/Изделия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6" s="291"/>
      <c r="R136" s="291"/>
      <c r="S136" s="291"/>
      <c r="T136" s="292"/>
      <c r="U136" s="39" t="s">
        <v>46</v>
      </c>
      <c r="V136" s="39" t="s">
        <v>46</v>
      </c>
      <c r="W136" s="40" t="s">
        <v>39</v>
      </c>
      <c r="X136" s="58">
        <v>0</v>
      </c>
      <c r="Y136" s="55">
        <f>IFERROR(IF(X136="","",X136),"")</f>
        <v>0</v>
      </c>
      <c r="Z136" s="41">
        <f>IFERROR(IF(X136="","",X136*0.00941),"")</f>
        <v>0</v>
      </c>
      <c r="AA136" s="68" t="s">
        <v>46</v>
      </c>
      <c r="AB136" s="69" t="s">
        <v>46</v>
      </c>
      <c r="AC136" s="189" t="s">
        <v>233</v>
      </c>
      <c r="AG136" s="81"/>
      <c r="AJ136" s="87" t="s">
        <v>88</v>
      </c>
      <c r="AK136" s="87">
        <v>1</v>
      </c>
      <c r="BB136" s="190" t="s">
        <v>113</v>
      </c>
      <c r="BM136" s="81">
        <f>IFERROR(X136*I136,"0")</f>
        <v>0</v>
      </c>
      <c r="BN136" s="81">
        <f>IFERROR(Y136*I136,"0")</f>
        <v>0</v>
      </c>
      <c r="BO136" s="81">
        <f>IFERROR(X136/J136,"0")</f>
        <v>0</v>
      </c>
      <c r="BP136" s="81">
        <f>IFERROR(Y136/J136,"0")</f>
        <v>0</v>
      </c>
    </row>
    <row r="137" spans="1:68" x14ac:dyDescent="0.2">
      <c r="A137" s="296"/>
      <c r="B137" s="296"/>
      <c r="C137" s="296"/>
      <c r="D137" s="296"/>
      <c r="E137" s="296"/>
      <c r="F137" s="296"/>
      <c r="G137" s="296"/>
      <c r="H137" s="296"/>
      <c r="I137" s="296"/>
      <c r="J137" s="296"/>
      <c r="K137" s="296"/>
      <c r="L137" s="296"/>
      <c r="M137" s="296"/>
      <c r="N137" s="296"/>
      <c r="O137" s="297"/>
      <c r="P137" s="293" t="s">
        <v>40</v>
      </c>
      <c r="Q137" s="294"/>
      <c r="R137" s="294"/>
      <c r="S137" s="294"/>
      <c r="T137" s="294"/>
      <c r="U137" s="294"/>
      <c r="V137" s="295"/>
      <c r="W137" s="42" t="s">
        <v>39</v>
      </c>
      <c r="X137" s="43">
        <f>IFERROR(SUM(X134:X136),"0")</f>
        <v>0</v>
      </c>
      <c r="Y137" s="43">
        <f>IFERROR(SUM(Y134:Y136),"0")</f>
        <v>0</v>
      </c>
      <c r="Z137" s="43">
        <f>IFERROR(IF(Z134="",0,Z134),"0")+IFERROR(IF(Z135="",0,Z135),"0")+IFERROR(IF(Z136="",0,Z136),"0")</f>
        <v>0</v>
      </c>
      <c r="AA137" s="67"/>
      <c r="AB137" s="67"/>
      <c r="AC137" s="67"/>
    </row>
    <row r="138" spans="1:68" x14ac:dyDescent="0.2">
      <c r="A138" s="296"/>
      <c r="B138" s="296"/>
      <c r="C138" s="296"/>
      <c r="D138" s="296"/>
      <c r="E138" s="296"/>
      <c r="F138" s="296"/>
      <c r="G138" s="296"/>
      <c r="H138" s="296"/>
      <c r="I138" s="296"/>
      <c r="J138" s="296"/>
      <c r="K138" s="296"/>
      <c r="L138" s="296"/>
      <c r="M138" s="296"/>
      <c r="N138" s="296"/>
      <c r="O138" s="297"/>
      <c r="P138" s="293" t="s">
        <v>40</v>
      </c>
      <c r="Q138" s="294"/>
      <c r="R138" s="294"/>
      <c r="S138" s="294"/>
      <c r="T138" s="294"/>
      <c r="U138" s="294"/>
      <c r="V138" s="295"/>
      <c r="W138" s="42" t="s">
        <v>0</v>
      </c>
      <c r="X138" s="43">
        <f>IFERROR(SUMPRODUCT(X134:X136*H134:H136),"0")</f>
        <v>0</v>
      </c>
      <c r="Y138" s="43">
        <f>IFERROR(SUMPRODUCT(Y134:Y136*H134:H136),"0")</f>
        <v>0</v>
      </c>
      <c r="Z138" s="42"/>
      <c r="AA138" s="67"/>
      <c r="AB138" s="67"/>
      <c r="AC138" s="67"/>
    </row>
    <row r="139" spans="1:68" ht="16.5" customHeight="1" x14ac:dyDescent="0.25">
      <c r="A139" s="317" t="s">
        <v>238</v>
      </c>
      <c r="B139" s="317"/>
      <c r="C139" s="317"/>
      <c r="D139" s="317"/>
      <c r="E139" s="317"/>
      <c r="F139" s="317"/>
      <c r="G139" s="317"/>
      <c r="H139" s="317"/>
      <c r="I139" s="317"/>
      <c r="J139" s="317"/>
      <c r="K139" s="317"/>
      <c r="L139" s="317"/>
      <c r="M139" s="317"/>
      <c r="N139" s="317"/>
      <c r="O139" s="317"/>
      <c r="P139" s="317"/>
      <c r="Q139" s="317"/>
      <c r="R139" s="317"/>
      <c r="S139" s="317"/>
      <c r="T139" s="317"/>
      <c r="U139" s="317"/>
      <c r="V139" s="317"/>
      <c r="W139" s="317"/>
      <c r="X139" s="317"/>
      <c r="Y139" s="317"/>
      <c r="Z139" s="317"/>
      <c r="AA139" s="65"/>
      <c r="AB139" s="65"/>
      <c r="AC139" s="82"/>
    </row>
    <row r="140" spans="1:68" ht="14.25" customHeight="1" x14ac:dyDescent="0.25">
      <c r="A140" s="307" t="s">
        <v>153</v>
      </c>
      <c r="B140" s="307"/>
      <c r="C140" s="307"/>
      <c r="D140" s="307"/>
      <c r="E140" s="307"/>
      <c r="F140" s="307"/>
      <c r="G140" s="307"/>
      <c r="H140" s="307"/>
      <c r="I140" s="307"/>
      <c r="J140" s="307"/>
      <c r="K140" s="307"/>
      <c r="L140" s="307"/>
      <c r="M140" s="307"/>
      <c r="N140" s="307"/>
      <c r="O140" s="307"/>
      <c r="P140" s="307"/>
      <c r="Q140" s="307"/>
      <c r="R140" s="307"/>
      <c r="S140" s="307"/>
      <c r="T140" s="307"/>
      <c r="U140" s="307"/>
      <c r="V140" s="307"/>
      <c r="W140" s="307"/>
      <c r="X140" s="307"/>
      <c r="Y140" s="307"/>
      <c r="Z140" s="307"/>
      <c r="AA140" s="66"/>
      <c r="AB140" s="66"/>
      <c r="AC140" s="83"/>
    </row>
    <row r="141" spans="1:68" ht="27" customHeight="1" x14ac:dyDescent="0.25">
      <c r="A141" s="63" t="s">
        <v>239</v>
      </c>
      <c r="B141" s="63" t="s">
        <v>240</v>
      </c>
      <c r="C141" s="36">
        <v>4301135865</v>
      </c>
      <c r="D141" s="289">
        <v>4620207491485</v>
      </c>
      <c r="E141" s="289"/>
      <c r="F141" s="62">
        <v>0.23</v>
      </c>
      <c r="G141" s="37">
        <v>6</v>
      </c>
      <c r="H141" s="62">
        <v>1.38</v>
      </c>
      <c r="I141" s="62">
        <v>1.8</v>
      </c>
      <c r="J141" s="37">
        <v>140</v>
      </c>
      <c r="K141" s="37" t="s">
        <v>114</v>
      </c>
      <c r="L141" s="37" t="s">
        <v>87</v>
      </c>
      <c r="M141" s="38" t="s">
        <v>85</v>
      </c>
      <c r="N141" s="38"/>
      <c r="O141" s="37">
        <v>180</v>
      </c>
      <c r="P141" s="348" t="str">
        <f>HYPERLINK("https://abi.ru/products/Замороженные/Горячая штучка/Чебупицца/Снеки/P005180/","Снеки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41" s="291"/>
      <c r="R141" s="291"/>
      <c r="S141" s="291"/>
      <c r="T141" s="292"/>
      <c r="U141" s="39" t="s">
        <v>46</v>
      </c>
      <c r="V141" s="39" t="s">
        <v>46</v>
      </c>
      <c r="W141" s="40" t="s">
        <v>39</v>
      </c>
      <c r="X141" s="58">
        <v>0</v>
      </c>
      <c r="Y141" s="55">
        <f>IFERROR(IF(X141="","",X141),"")</f>
        <v>0</v>
      </c>
      <c r="Z141" s="41">
        <f>IFERROR(IF(X141="","",X141*0.00941),"")</f>
        <v>0</v>
      </c>
      <c r="AA141" s="68" t="s">
        <v>46</v>
      </c>
      <c r="AB141" s="69" t="s">
        <v>46</v>
      </c>
      <c r="AC141" s="191" t="s">
        <v>197</v>
      </c>
      <c r="AG141" s="81"/>
      <c r="AJ141" s="87" t="s">
        <v>88</v>
      </c>
      <c r="AK141" s="87">
        <v>1</v>
      </c>
      <c r="BB141" s="192" t="s">
        <v>113</v>
      </c>
      <c r="BM141" s="81">
        <f>IFERROR(X141*I141,"0")</f>
        <v>0</v>
      </c>
      <c r="BN141" s="81">
        <f>IFERROR(Y141*I141,"0")</f>
        <v>0</v>
      </c>
      <c r="BO141" s="81">
        <f>IFERROR(X141/J141,"0")</f>
        <v>0</v>
      </c>
      <c r="BP141" s="81">
        <f>IFERROR(Y141/J141,"0")</f>
        <v>0</v>
      </c>
    </row>
    <row r="142" spans="1:68" ht="27" customHeight="1" x14ac:dyDescent="0.25">
      <c r="A142" s="63" t="s">
        <v>241</v>
      </c>
      <c r="B142" s="63" t="s">
        <v>242</v>
      </c>
      <c r="C142" s="36">
        <v>4301135555</v>
      </c>
      <c r="D142" s="289">
        <v>4607111034014</v>
      </c>
      <c r="E142" s="289"/>
      <c r="F142" s="62">
        <v>0.25</v>
      </c>
      <c r="G142" s="37">
        <v>12</v>
      </c>
      <c r="H142" s="62">
        <v>3</v>
      </c>
      <c r="I142" s="62">
        <v>3.7035999999999998</v>
      </c>
      <c r="J142" s="37">
        <v>70</v>
      </c>
      <c r="K142" s="37" t="s">
        <v>114</v>
      </c>
      <c r="L142" s="37" t="s">
        <v>115</v>
      </c>
      <c r="M142" s="38" t="s">
        <v>85</v>
      </c>
      <c r="N142" s="38"/>
      <c r="O142" s="37">
        <v>180</v>
      </c>
      <c r="P142" s="349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2" s="291"/>
      <c r="R142" s="291"/>
      <c r="S142" s="291"/>
      <c r="T142" s="292"/>
      <c r="U142" s="39" t="s">
        <v>46</v>
      </c>
      <c r="V142" s="39" t="s">
        <v>46</v>
      </c>
      <c r="W142" s="40" t="s">
        <v>39</v>
      </c>
      <c r="X142" s="58">
        <v>70</v>
      </c>
      <c r="Y142" s="55">
        <f>IFERROR(IF(X142="","",X142),"")</f>
        <v>70</v>
      </c>
      <c r="Z142" s="41">
        <f>IFERROR(IF(X142="","",X142*0.01788),"")</f>
        <v>1.2516</v>
      </c>
      <c r="AA142" s="68" t="s">
        <v>46</v>
      </c>
      <c r="AB142" s="69" t="s">
        <v>46</v>
      </c>
      <c r="AC142" s="193" t="s">
        <v>243</v>
      </c>
      <c r="AG142" s="81"/>
      <c r="AJ142" s="87" t="s">
        <v>116</v>
      </c>
      <c r="AK142" s="87">
        <v>14</v>
      </c>
      <c r="BB142" s="194" t="s">
        <v>113</v>
      </c>
      <c r="BM142" s="81">
        <f>IFERROR(X142*I142,"0")</f>
        <v>259.25200000000001</v>
      </c>
      <c r="BN142" s="81">
        <f>IFERROR(Y142*I142,"0")</f>
        <v>259.25200000000001</v>
      </c>
      <c r="BO142" s="81">
        <f>IFERROR(X142/J142,"0")</f>
        <v>1</v>
      </c>
      <c r="BP142" s="81">
        <f>IFERROR(Y142/J142,"0")</f>
        <v>1</v>
      </c>
    </row>
    <row r="143" spans="1:68" ht="27" customHeight="1" x14ac:dyDescent="0.25">
      <c r="A143" s="63" t="s">
        <v>244</v>
      </c>
      <c r="B143" s="63" t="s">
        <v>245</v>
      </c>
      <c r="C143" s="36">
        <v>4301135532</v>
      </c>
      <c r="D143" s="289">
        <v>4607111033994</v>
      </c>
      <c r="E143" s="289"/>
      <c r="F143" s="62">
        <v>0.25</v>
      </c>
      <c r="G143" s="37">
        <v>12</v>
      </c>
      <c r="H143" s="62">
        <v>3</v>
      </c>
      <c r="I143" s="62">
        <v>3.7035999999999998</v>
      </c>
      <c r="J143" s="37">
        <v>70</v>
      </c>
      <c r="K143" s="37" t="s">
        <v>114</v>
      </c>
      <c r="L143" s="37" t="s">
        <v>115</v>
      </c>
      <c r="M143" s="38" t="s">
        <v>85</v>
      </c>
      <c r="N143" s="38"/>
      <c r="O143" s="37">
        <v>180</v>
      </c>
      <c r="P143" s="350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3" s="291"/>
      <c r="R143" s="291"/>
      <c r="S143" s="291"/>
      <c r="T143" s="292"/>
      <c r="U143" s="39" t="s">
        <v>46</v>
      </c>
      <c r="V143" s="39" t="s">
        <v>46</v>
      </c>
      <c r="W143" s="40" t="s">
        <v>39</v>
      </c>
      <c r="X143" s="58">
        <v>70</v>
      </c>
      <c r="Y143" s="55">
        <f>IFERROR(IF(X143="","",X143),"")</f>
        <v>70</v>
      </c>
      <c r="Z143" s="41">
        <f>IFERROR(IF(X143="","",X143*0.01788),"")</f>
        <v>1.2516</v>
      </c>
      <c r="AA143" s="68" t="s">
        <v>46</v>
      </c>
      <c r="AB143" s="69" t="s">
        <v>46</v>
      </c>
      <c r="AC143" s="195" t="s">
        <v>171</v>
      </c>
      <c r="AG143" s="81"/>
      <c r="AJ143" s="87" t="s">
        <v>116</v>
      </c>
      <c r="AK143" s="87">
        <v>14</v>
      </c>
      <c r="BB143" s="196" t="s">
        <v>113</v>
      </c>
      <c r="BM143" s="81">
        <f>IFERROR(X143*I143,"0")</f>
        <v>259.25200000000001</v>
      </c>
      <c r="BN143" s="81">
        <f>IFERROR(Y143*I143,"0")</f>
        <v>259.25200000000001</v>
      </c>
      <c r="BO143" s="81">
        <f>IFERROR(X143/J143,"0")</f>
        <v>1</v>
      </c>
      <c r="BP143" s="81">
        <f>IFERROR(Y143/J143,"0")</f>
        <v>1</v>
      </c>
    </row>
    <row r="144" spans="1:68" x14ac:dyDescent="0.2">
      <c r="A144" s="296"/>
      <c r="B144" s="296"/>
      <c r="C144" s="296"/>
      <c r="D144" s="296"/>
      <c r="E144" s="296"/>
      <c r="F144" s="296"/>
      <c r="G144" s="296"/>
      <c r="H144" s="296"/>
      <c r="I144" s="296"/>
      <c r="J144" s="296"/>
      <c r="K144" s="296"/>
      <c r="L144" s="296"/>
      <c r="M144" s="296"/>
      <c r="N144" s="296"/>
      <c r="O144" s="297"/>
      <c r="P144" s="293" t="s">
        <v>40</v>
      </c>
      <c r="Q144" s="294"/>
      <c r="R144" s="294"/>
      <c r="S144" s="294"/>
      <c r="T144" s="294"/>
      <c r="U144" s="294"/>
      <c r="V144" s="295"/>
      <c r="W144" s="42" t="s">
        <v>39</v>
      </c>
      <c r="X144" s="43">
        <f>IFERROR(SUM(X141:X143),"0")</f>
        <v>140</v>
      </c>
      <c r="Y144" s="43">
        <f>IFERROR(SUM(Y141:Y143),"0")</f>
        <v>140</v>
      </c>
      <c r="Z144" s="43">
        <f>IFERROR(IF(Z141="",0,Z141),"0")+IFERROR(IF(Z142="",0,Z142),"0")+IFERROR(IF(Z143="",0,Z143),"0")</f>
        <v>2.5032000000000001</v>
      </c>
      <c r="AA144" s="67"/>
      <c r="AB144" s="67"/>
      <c r="AC144" s="67"/>
    </row>
    <row r="145" spans="1:68" x14ac:dyDescent="0.2">
      <c r="A145" s="296"/>
      <c r="B145" s="296"/>
      <c r="C145" s="296"/>
      <c r="D145" s="296"/>
      <c r="E145" s="296"/>
      <c r="F145" s="296"/>
      <c r="G145" s="296"/>
      <c r="H145" s="296"/>
      <c r="I145" s="296"/>
      <c r="J145" s="296"/>
      <c r="K145" s="296"/>
      <c r="L145" s="296"/>
      <c r="M145" s="296"/>
      <c r="N145" s="296"/>
      <c r="O145" s="297"/>
      <c r="P145" s="293" t="s">
        <v>40</v>
      </c>
      <c r="Q145" s="294"/>
      <c r="R145" s="294"/>
      <c r="S145" s="294"/>
      <c r="T145" s="294"/>
      <c r="U145" s="294"/>
      <c r="V145" s="295"/>
      <c r="W145" s="42" t="s">
        <v>0</v>
      </c>
      <c r="X145" s="43">
        <f>IFERROR(SUMPRODUCT(X141:X143*H141:H143),"0")</f>
        <v>420</v>
      </c>
      <c r="Y145" s="43">
        <f>IFERROR(SUMPRODUCT(Y141:Y143*H141:H143),"0")</f>
        <v>420</v>
      </c>
      <c r="Z145" s="42"/>
      <c r="AA145" s="67"/>
      <c r="AB145" s="67"/>
      <c r="AC145" s="67"/>
    </row>
    <row r="146" spans="1:68" ht="16.5" customHeight="1" x14ac:dyDescent="0.25">
      <c r="A146" s="317" t="s">
        <v>246</v>
      </c>
      <c r="B146" s="317"/>
      <c r="C146" s="317"/>
      <c r="D146" s="317"/>
      <c r="E146" s="317"/>
      <c r="F146" s="317"/>
      <c r="G146" s="317"/>
      <c r="H146" s="317"/>
      <c r="I146" s="317"/>
      <c r="J146" s="317"/>
      <c r="K146" s="317"/>
      <c r="L146" s="317"/>
      <c r="M146" s="317"/>
      <c r="N146" s="317"/>
      <c r="O146" s="317"/>
      <c r="P146" s="317"/>
      <c r="Q146" s="317"/>
      <c r="R146" s="317"/>
      <c r="S146" s="317"/>
      <c r="T146" s="317"/>
      <c r="U146" s="317"/>
      <c r="V146" s="317"/>
      <c r="W146" s="317"/>
      <c r="X146" s="317"/>
      <c r="Y146" s="317"/>
      <c r="Z146" s="317"/>
      <c r="AA146" s="65"/>
      <c r="AB146" s="65"/>
      <c r="AC146" s="82"/>
    </row>
    <row r="147" spans="1:68" ht="14.25" customHeight="1" x14ac:dyDescent="0.25">
      <c r="A147" s="307" t="s">
        <v>153</v>
      </c>
      <c r="B147" s="307"/>
      <c r="C147" s="307"/>
      <c r="D147" s="307"/>
      <c r="E147" s="307"/>
      <c r="F147" s="307"/>
      <c r="G147" s="307"/>
      <c r="H147" s="307"/>
      <c r="I147" s="307"/>
      <c r="J147" s="307"/>
      <c r="K147" s="307"/>
      <c r="L147" s="307"/>
      <c r="M147" s="307"/>
      <c r="N147" s="307"/>
      <c r="O147" s="307"/>
      <c r="P147" s="307"/>
      <c r="Q147" s="307"/>
      <c r="R147" s="307"/>
      <c r="S147" s="307"/>
      <c r="T147" s="307"/>
      <c r="U147" s="307"/>
      <c r="V147" s="307"/>
      <c r="W147" s="307"/>
      <c r="X147" s="307"/>
      <c r="Y147" s="307"/>
      <c r="Z147" s="307"/>
      <c r="AA147" s="66"/>
      <c r="AB147" s="66"/>
      <c r="AC147" s="83"/>
    </row>
    <row r="148" spans="1:68" ht="27" customHeight="1" x14ac:dyDescent="0.25">
      <c r="A148" s="63" t="s">
        <v>247</v>
      </c>
      <c r="B148" s="63" t="s">
        <v>248</v>
      </c>
      <c r="C148" s="36">
        <v>4301135850</v>
      </c>
      <c r="D148" s="289">
        <v>4620207491492</v>
      </c>
      <c r="E148" s="289"/>
      <c r="F148" s="62">
        <v>0.23</v>
      </c>
      <c r="G148" s="37">
        <v>6</v>
      </c>
      <c r="H148" s="62">
        <v>1.38</v>
      </c>
      <c r="I148" s="62">
        <v>1.8</v>
      </c>
      <c r="J148" s="37">
        <v>140</v>
      </c>
      <c r="K148" s="37" t="s">
        <v>114</v>
      </c>
      <c r="L148" s="37" t="s">
        <v>87</v>
      </c>
      <c r="M148" s="38" t="s">
        <v>85</v>
      </c>
      <c r="N148" s="38"/>
      <c r="O148" s="37">
        <v>180</v>
      </c>
      <c r="P148" s="345" t="str">
        <f>HYPERLINK("https://abi.ru/products/Замороженные/Горячая штучка/Хотстеры/Снеки/P005182/","Снеки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48" s="291"/>
      <c r="R148" s="291"/>
      <c r="S148" s="291"/>
      <c r="T148" s="292"/>
      <c r="U148" s="39" t="s">
        <v>46</v>
      </c>
      <c r="V148" s="39" t="s">
        <v>46</v>
      </c>
      <c r="W148" s="40" t="s">
        <v>39</v>
      </c>
      <c r="X148" s="58">
        <v>0</v>
      </c>
      <c r="Y148" s="55">
        <f>IFERROR(IF(X148="","",X148),"")</f>
        <v>0</v>
      </c>
      <c r="Z148" s="41">
        <f>IFERROR(IF(X148="","",X148*0.00941),"")</f>
        <v>0</v>
      </c>
      <c r="AA148" s="68" t="s">
        <v>46</v>
      </c>
      <c r="AB148" s="69" t="s">
        <v>46</v>
      </c>
      <c r="AC148" s="197" t="s">
        <v>197</v>
      </c>
      <c r="AG148" s="81"/>
      <c r="AJ148" s="87" t="s">
        <v>88</v>
      </c>
      <c r="AK148" s="87">
        <v>1</v>
      </c>
      <c r="BB148" s="198" t="s">
        <v>113</v>
      </c>
      <c r="BM148" s="81">
        <f>IFERROR(X148*I148,"0")</f>
        <v>0</v>
      </c>
      <c r="BN148" s="81">
        <f>IFERROR(Y148*I148,"0")</f>
        <v>0</v>
      </c>
      <c r="BO148" s="81">
        <f>IFERROR(X148/J148,"0")</f>
        <v>0</v>
      </c>
      <c r="BP148" s="81">
        <f>IFERROR(Y148/J148,"0")</f>
        <v>0</v>
      </c>
    </row>
    <row r="149" spans="1:68" ht="27" customHeight="1" x14ac:dyDescent="0.25">
      <c r="A149" s="63" t="s">
        <v>249</v>
      </c>
      <c r="B149" s="63" t="s">
        <v>250</v>
      </c>
      <c r="C149" s="36">
        <v>4301135824</v>
      </c>
      <c r="D149" s="289">
        <v>4607111039095</v>
      </c>
      <c r="E149" s="289"/>
      <c r="F149" s="62">
        <v>0.25</v>
      </c>
      <c r="G149" s="37">
        <v>12</v>
      </c>
      <c r="H149" s="62">
        <v>3</v>
      </c>
      <c r="I149" s="62">
        <v>3.7480000000000002</v>
      </c>
      <c r="J149" s="37">
        <v>70</v>
      </c>
      <c r="K149" s="37" t="s">
        <v>114</v>
      </c>
      <c r="L149" s="37" t="s">
        <v>87</v>
      </c>
      <c r="M149" s="38" t="s">
        <v>85</v>
      </c>
      <c r="N149" s="38"/>
      <c r="O149" s="37">
        <v>180</v>
      </c>
      <c r="P149" s="346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9" s="291"/>
      <c r="R149" s="291"/>
      <c r="S149" s="291"/>
      <c r="T149" s="292"/>
      <c r="U149" s="39" t="s">
        <v>46</v>
      </c>
      <c r="V149" s="39" t="s">
        <v>46</v>
      </c>
      <c r="W149" s="40" t="s">
        <v>39</v>
      </c>
      <c r="X149" s="58">
        <v>0</v>
      </c>
      <c r="Y149" s="55">
        <f>IFERROR(IF(X149="","",X149),"")</f>
        <v>0</v>
      </c>
      <c r="Z149" s="41">
        <f>IFERROR(IF(X149="","",X149*0.01788),"")</f>
        <v>0</v>
      </c>
      <c r="AA149" s="68" t="s">
        <v>46</v>
      </c>
      <c r="AB149" s="69" t="s">
        <v>46</v>
      </c>
      <c r="AC149" s="199" t="s">
        <v>251</v>
      </c>
      <c r="AG149" s="81"/>
      <c r="AJ149" s="87" t="s">
        <v>88</v>
      </c>
      <c r="AK149" s="87">
        <v>1</v>
      </c>
      <c r="BB149" s="200" t="s">
        <v>113</v>
      </c>
      <c r="BM149" s="81">
        <f>IFERROR(X149*I149,"0")</f>
        <v>0</v>
      </c>
      <c r="BN149" s="81">
        <f>IFERROR(Y149*I149,"0")</f>
        <v>0</v>
      </c>
      <c r="BO149" s="81">
        <f>IFERROR(X149/J149,"0")</f>
        <v>0</v>
      </c>
      <c r="BP149" s="81">
        <f>IFERROR(Y149/J149,"0")</f>
        <v>0</v>
      </c>
    </row>
    <row r="150" spans="1:68" ht="16.5" customHeight="1" x14ac:dyDescent="0.25">
      <c r="A150" s="63" t="s">
        <v>252</v>
      </c>
      <c r="B150" s="63" t="s">
        <v>253</v>
      </c>
      <c r="C150" s="36">
        <v>4301135550</v>
      </c>
      <c r="D150" s="289">
        <v>4607111034199</v>
      </c>
      <c r="E150" s="289"/>
      <c r="F150" s="62">
        <v>0.25</v>
      </c>
      <c r="G150" s="37">
        <v>12</v>
      </c>
      <c r="H150" s="62">
        <v>3</v>
      </c>
      <c r="I150" s="62">
        <v>3.7035999999999998</v>
      </c>
      <c r="J150" s="37">
        <v>70</v>
      </c>
      <c r="K150" s="37" t="s">
        <v>114</v>
      </c>
      <c r="L150" s="37" t="s">
        <v>115</v>
      </c>
      <c r="M150" s="38" t="s">
        <v>85</v>
      </c>
      <c r="N150" s="38"/>
      <c r="O150" s="37">
        <v>180</v>
      </c>
      <c r="P150" s="347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0" s="291"/>
      <c r="R150" s="291"/>
      <c r="S150" s="291"/>
      <c r="T150" s="292"/>
      <c r="U150" s="39" t="s">
        <v>46</v>
      </c>
      <c r="V150" s="39" t="s">
        <v>46</v>
      </c>
      <c r="W150" s="40" t="s">
        <v>39</v>
      </c>
      <c r="X150" s="58">
        <v>28</v>
      </c>
      <c r="Y150" s="55">
        <f>IFERROR(IF(X150="","",X150),"")</f>
        <v>28</v>
      </c>
      <c r="Z150" s="41">
        <f>IFERROR(IF(X150="","",X150*0.01788),"")</f>
        <v>0.50063999999999997</v>
      </c>
      <c r="AA150" s="68" t="s">
        <v>46</v>
      </c>
      <c r="AB150" s="69" t="s">
        <v>46</v>
      </c>
      <c r="AC150" s="201" t="s">
        <v>254</v>
      </c>
      <c r="AG150" s="81"/>
      <c r="AJ150" s="87" t="s">
        <v>116</v>
      </c>
      <c r="AK150" s="87">
        <v>14</v>
      </c>
      <c r="BB150" s="202" t="s">
        <v>113</v>
      </c>
      <c r="BM150" s="81">
        <f>IFERROR(X150*I150,"0")</f>
        <v>103.70079999999999</v>
      </c>
      <c r="BN150" s="81">
        <f>IFERROR(Y150*I150,"0")</f>
        <v>103.70079999999999</v>
      </c>
      <c r="BO150" s="81">
        <f>IFERROR(X150/J150,"0")</f>
        <v>0.4</v>
      </c>
      <c r="BP150" s="81">
        <f>IFERROR(Y150/J150,"0")</f>
        <v>0.4</v>
      </c>
    </row>
    <row r="151" spans="1:68" x14ac:dyDescent="0.2">
      <c r="A151" s="296"/>
      <c r="B151" s="296"/>
      <c r="C151" s="296"/>
      <c r="D151" s="296"/>
      <c r="E151" s="296"/>
      <c r="F151" s="296"/>
      <c r="G151" s="296"/>
      <c r="H151" s="296"/>
      <c r="I151" s="296"/>
      <c r="J151" s="296"/>
      <c r="K151" s="296"/>
      <c r="L151" s="296"/>
      <c r="M151" s="296"/>
      <c r="N151" s="296"/>
      <c r="O151" s="297"/>
      <c r="P151" s="293" t="s">
        <v>40</v>
      </c>
      <c r="Q151" s="294"/>
      <c r="R151" s="294"/>
      <c r="S151" s="294"/>
      <c r="T151" s="294"/>
      <c r="U151" s="294"/>
      <c r="V151" s="295"/>
      <c r="W151" s="42" t="s">
        <v>39</v>
      </c>
      <c r="X151" s="43">
        <f>IFERROR(SUM(X148:X150),"0")</f>
        <v>28</v>
      </c>
      <c r="Y151" s="43">
        <f>IFERROR(SUM(Y148:Y150),"0")</f>
        <v>28</v>
      </c>
      <c r="Z151" s="43">
        <f>IFERROR(IF(Z148="",0,Z148),"0")+IFERROR(IF(Z149="",0,Z149),"0")+IFERROR(IF(Z150="",0,Z150),"0")</f>
        <v>0.50063999999999997</v>
      </c>
      <c r="AA151" s="67"/>
      <c r="AB151" s="67"/>
      <c r="AC151" s="67"/>
    </row>
    <row r="152" spans="1:68" x14ac:dyDescent="0.2">
      <c r="A152" s="296"/>
      <c r="B152" s="296"/>
      <c r="C152" s="296"/>
      <c r="D152" s="296"/>
      <c r="E152" s="296"/>
      <c r="F152" s="296"/>
      <c r="G152" s="296"/>
      <c r="H152" s="296"/>
      <c r="I152" s="296"/>
      <c r="J152" s="296"/>
      <c r="K152" s="296"/>
      <c r="L152" s="296"/>
      <c r="M152" s="296"/>
      <c r="N152" s="296"/>
      <c r="O152" s="297"/>
      <c r="P152" s="293" t="s">
        <v>40</v>
      </c>
      <c r="Q152" s="294"/>
      <c r="R152" s="294"/>
      <c r="S152" s="294"/>
      <c r="T152" s="294"/>
      <c r="U152" s="294"/>
      <c r="V152" s="295"/>
      <c r="W152" s="42" t="s">
        <v>0</v>
      </c>
      <c r="X152" s="43">
        <f>IFERROR(SUMPRODUCT(X148:X150*H148:H150),"0")</f>
        <v>84</v>
      </c>
      <c r="Y152" s="43">
        <f>IFERROR(SUMPRODUCT(Y148:Y150*H148:H150),"0")</f>
        <v>84</v>
      </c>
      <c r="Z152" s="42"/>
      <c r="AA152" s="67"/>
      <c r="AB152" s="67"/>
      <c r="AC152" s="67"/>
    </row>
    <row r="153" spans="1:68" ht="16.5" customHeight="1" x14ac:dyDescent="0.25">
      <c r="A153" s="317" t="s">
        <v>255</v>
      </c>
      <c r="B153" s="317"/>
      <c r="C153" s="317"/>
      <c r="D153" s="317"/>
      <c r="E153" s="317"/>
      <c r="F153" s="317"/>
      <c r="G153" s="317"/>
      <c r="H153" s="317"/>
      <c r="I153" s="317"/>
      <c r="J153" s="317"/>
      <c r="K153" s="317"/>
      <c r="L153" s="317"/>
      <c r="M153" s="317"/>
      <c r="N153" s="317"/>
      <c r="O153" s="317"/>
      <c r="P153" s="317"/>
      <c r="Q153" s="317"/>
      <c r="R153" s="317"/>
      <c r="S153" s="317"/>
      <c r="T153" s="317"/>
      <c r="U153" s="317"/>
      <c r="V153" s="317"/>
      <c r="W153" s="317"/>
      <c r="X153" s="317"/>
      <c r="Y153" s="317"/>
      <c r="Z153" s="317"/>
      <c r="AA153" s="65"/>
      <c r="AB153" s="65"/>
      <c r="AC153" s="82"/>
    </row>
    <row r="154" spans="1:68" ht="14.25" customHeight="1" x14ac:dyDescent="0.25">
      <c r="A154" s="307" t="s">
        <v>153</v>
      </c>
      <c r="B154" s="307"/>
      <c r="C154" s="307"/>
      <c r="D154" s="307"/>
      <c r="E154" s="307"/>
      <c r="F154" s="307"/>
      <c r="G154" s="307"/>
      <c r="H154" s="307"/>
      <c r="I154" s="307"/>
      <c r="J154" s="307"/>
      <c r="K154" s="307"/>
      <c r="L154" s="307"/>
      <c r="M154" s="307"/>
      <c r="N154" s="307"/>
      <c r="O154" s="307"/>
      <c r="P154" s="307"/>
      <c r="Q154" s="307"/>
      <c r="R154" s="307"/>
      <c r="S154" s="307"/>
      <c r="T154" s="307"/>
      <c r="U154" s="307"/>
      <c r="V154" s="307"/>
      <c r="W154" s="307"/>
      <c r="X154" s="307"/>
      <c r="Y154" s="307"/>
      <c r="Z154" s="307"/>
      <c r="AA154" s="66"/>
      <c r="AB154" s="66"/>
      <c r="AC154" s="83"/>
    </row>
    <row r="155" spans="1:68" ht="27" customHeight="1" x14ac:dyDescent="0.25">
      <c r="A155" s="63" t="s">
        <v>256</v>
      </c>
      <c r="B155" s="63" t="s">
        <v>257</v>
      </c>
      <c r="C155" s="36">
        <v>4301135753</v>
      </c>
      <c r="D155" s="289">
        <v>4620207490914</v>
      </c>
      <c r="E155" s="289"/>
      <c r="F155" s="62">
        <v>0.2</v>
      </c>
      <c r="G155" s="37">
        <v>12</v>
      </c>
      <c r="H155" s="62">
        <v>2.4</v>
      </c>
      <c r="I155" s="62">
        <v>2.68</v>
      </c>
      <c r="J155" s="37">
        <v>70</v>
      </c>
      <c r="K155" s="37" t="s">
        <v>114</v>
      </c>
      <c r="L155" s="37" t="s">
        <v>87</v>
      </c>
      <c r="M155" s="38" t="s">
        <v>85</v>
      </c>
      <c r="N155" s="38"/>
      <c r="O155" s="37">
        <v>180</v>
      </c>
      <c r="P155" s="343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5" s="291"/>
      <c r="R155" s="291"/>
      <c r="S155" s="291"/>
      <c r="T155" s="292"/>
      <c r="U155" s="39" t="s">
        <v>46</v>
      </c>
      <c r="V155" s="39" t="s">
        <v>46</v>
      </c>
      <c r="W155" s="40" t="s">
        <v>39</v>
      </c>
      <c r="X155" s="58">
        <v>28</v>
      </c>
      <c r="Y155" s="55">
        <f>IFERROR(IF(X155="","",X155),"")</f>
        <v>28</v>
      </c>
      <c r="Z155" s="41">
        <f>IFERROR(IF(X155="","",X155*0.01788),"")</f>
        <v>0.50063999999999997</v>
      </c>
      <c r="AA155" s="68" t="s">
        <v>46</v>
      </c>
      <c r="AB155" s="69" t="s">
        <v>46</v>
      </c>
      <c r="AC155" s="203" t="s">
        <v>243</v>
      </c>
      <c r="AG155" s="81"/>
      <c r="AJ155" s="87" t="s">
        <v>88</v>
      </c>
      <c r="AK155" s="87">
        <v>1</v>
      </c>
      <c r="BB155" s="204" t="s">
        <v>113</v>
      </c>
      <c r="BM155" s="81">
        <f>IFERROR(X155*I155,"0")</f>
        <v>75.040000000000006</v>
      </c>
      <c r="BN155" s="81">
        <f>IFERROR(Y155*I155,"0")</f>
        <v>75.040000000000006</v>
      </c>
      <c r="BO155" s="81">
        <f>IFERROR(X155/J155,"0")</f>
        <v>0.4</v>
      </c>
      <c r="BP155" s="81">
        <f>IFERROR(Y155/J155,"0")</f>
        <v>0.4</v>
      </c>
    </row>
    <row r="156" spans="1:68" ht="27" customHeight="1" x14ac:dyDescent="0.25">
      <c r="A156" s="63" t="s">
        <v>258</v>
      </c>
      <c r="B156" s="63" t="s">
        <v>259</v>
      </c>
      <c r="C156" s="36">
        <v>4301135778</v>
      </c>
      <c r="D156" s="289">
        <v>4620207490853</v>
      </c>
      <c r="E156" s="289"/>
      <c r="F156" s="62">
        <v>0.2</v>
      </c>
      <c r="G156" s="37">
        <v>12</v>
      </c>
      <c r="H156" s="62">
        <v>2.4</v>
      </c>
      <c r="I156" s="62">
        <v>2.68</v>
      </c>
      <c r="J156" s="37">
        <v>70</v>
      </c>
      <c r="K156" s="37" t="s">
        <v>114</v>
      </c>
      <c r="L156" s="37" t="s">
        <v>115</v>
      </c>
      <c r="M156" s="38" t="s">
        <v>85</v>
      </c>
      <c r="N156" s="38"/>
      <c r="O156" s="37">
        <v>180</v>
      </c>
      <c r="P156" s="344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6" s="291"/>
      <c r="R156" s="291"/>
      <c r="S156" s="291"/>
      <c r="T156" s="292"/>
      <c r="U156" s="39" t="s">
        <v>46</v>
      </c>
      <c r="V156" s="39" t="s">
        <v>46</v>
      </c>
      <c r="W156" s="40" t="s">
        <v>39</v>
      </c>
      <c r="X156" s="58">
        <v>28</v>
      </c>
      <c r="Y156" s="55">
        <f>IFERROR(IF(X156="","",X156),"")</f>
        <v>28</v>
      </c>
      <c r="Z156" s="41">
        <f>IFERROR(IF(X156="","",X156*0.01788),"")</f>
        <v>0.50063999999999997</v>
      </c>
      <c r="AA156" s="68" t="s">
        <v>46</v>
      </c>
      <c r="AB156" s="69" t="s">
        <v>46</v>
      </c>
      <c r="AC156" s="205" t="s">
        <v>243</v>
      </c>
      <c r="AG156" s="81"/>
      <c r="AJ156" s="87" t="s">
        <v>116</v>
      </c>
      <c r="AK156" s="87">
        <v>14</v>
      </c>
      <c r="BB156" s="206" t="s">
        <v>113</v>
      </c>
      <c r="BM156" s="81">
        <f>IFERROR(X156*I156,"0")</f>
        <v>75.040000000000006</v>
      </c>
      <c r="BN156" s="81">
        <f>IFERROR(Y156*I156,"0")</f>
        <v>75.040000000000006</v>
      </c>
      <c r="BO156" s="81">
        <f>IFERROR(X156/J156,"0")</f>
        <v>0.4</v>
      </c>
      <c r="BP156" s="81">
        <f>IFERROR(Y156/J156,"0")</f>
        <v>0.4</v>
      </c>
    </row>
    <row r="157" spans="1:68" x14ac:dyDescent="0.2">
      <c r="A157" s="296"/>
      <c r="B157" s="296"/>
      <c r="C157" s="296"/>
      <c r="D157" s="296"/>
      <c r="E157" s="296"/>
      <c r="F157" s="296"/>
      <c r="G157" s="296"/>
      <c r="H157" s="296"/>
      <c r="I157" s="296"/>
      <c r="J157" s="296"/>
      <c r="K157" s="296"/>
      <c r="L157" s="296"/>
      <c r="M157" s="296"/>
      <c r="N157" s="296"/>
      <c r="O157" s="297"/>
      <c r="P157" s="293" t="s">
        <v>40</v>
      </c>
      <c r="Q157" s="294"/>
      <c r="R157" s="294"/>
      <c r="S157" s="294"/>
      <c r="T157" s="294"/>
      <c r="U157" s="294"/>
      <c r="V157" s="295"/>
      <c r="W157" s="42" t="s">
        <v>39</v>
      </c>
      <c r="X157" s="43">
        <f>IFERROR(SUM(X155:X156),"0")</f>
        <v>56</v>
      </c>
      <c r="Y157" s="43">
        <f>IFERROR(SUM(Y155:Y156),"0")</f>
        <v>56</v>
      </c>
      <c r="Z157" s="43">
        <f>IFERROR(IF(Z155="",0,Z155),"0")+IFERROR(IF(Z156="",0,Z156),"0")</f>
        <v>1.0012799999999999</v>
      </c>
      <c r="AA157" s="67"/>
      <c r="AB157" s="67"/>
      <c r="AC157" s="67"/>
    </row>
    <row r="158" spans="1:68" x14ac:dyDescent="0.2">
      <c r="A158" s="296"/>
      <c r="B158" s="296"/>
      <c r="C158" s="296"/>
      <c r="D158" s="296"/>
      <c r="E158" s="296"/>
      <c r="F158" s="296"/>
      <c r="G158" s="296"/>
      <c r="H158" s="296"/>
      <c r="I158" s="296"/>
      <c r="J158" s="296"/>
      <c r="K158" s="296"/>
      <c r="L158" s="296"/>
      <c r="M158" s="296"/>
      <c r="N158" s="296"/>
      <c r="O158" s="297"/>
      <c r="P158" s="293" t="s">
        <v>40</v>
      </c>
      <c r="Q158" s="294"/>
      <c r="R158" s="294"/>
      <c r="S158" s="294"/>
      <c r="T158" s="294"/>
      <c r="U158" s="294"/>
      <c r="V158" s="295"/>
      <c r="W158" s="42" t="s">
        <v>0</v>
      </c>
      <c r="X158" s="43">
        <f>IFERROR(SUMPRODUCT(X155:X156*H155:H156),"0")</f>
        <v>134.4</v>
      </c>
      <c r="Y158" s="43">
        <f>IFERROR(SUMPRODUCT(Y155:Y156*H155:H156),"0")</f>
        <v>134.4</v>
      </c>
      <c r="Z158" s="42"/>
      <c r="AA158" s="67"/>
      <c r="AB158" s="67"/>
      <c r="AC158" s="67"/>
    </row>
    <row r="159" spans="1:68" ht="16.5" customHeight="1" x14ac:dyDescent="0.25">
      <c r="A159" s="317" t="s">
        <v>260</v>
      </c>
      <c r="B159" s="317"/>
      <c r="C159" s="317"/>
      <c r="D159" s="317"/>
      <c r="E159" s="317"/>
      <c r="F159" s="317"/>
      <c r="G159" s="317"/>
      <c r="H159" s="317"/>
      <c r="I159" s="317"/>
      <c r="J159" s="317"/>
      <c r="K159" s="317"/>
      <c r="L159" s="317"/>
      <c r="M159" s="317"/>
      <c r="N159" s="317"/>
      <c r="O159" s="317"/>
      <c r="P159" s="317"/>
      <c r="Q159" s="317"/>
      <c r="R159" s="317"/>
      <c r="S159" s="317"/>
      <c r="T159" s="317"/>
      <c r="U159" s="317"/>
      <c r="V159" s="317"/>
      <c r="W159" s="317"/>
      <c r="X159" s="317"/>
      <c r="Y159" s="317"/>
      <c r="Z159" s="317"/>
      <c r="AA159" s="65"/>
      <c r="AB159" s="65"/>
      <c r="AC159" s="82"/>
    </row>
    <row r="160" spans="1:68" ht="14.25" customHeight="1" x14ac:dyDescent="0.25">
      <c r="A160" s="307" t="s">
        <v>153</v>
      </c>
      <c r="B160" s="307"/>
      <c r="C160" s="307"/>
      <c r="D160" s="307"/>
      <c r="E160" s="307"/>
      <c r="F160" s="307"/>
      <c r="G160" s="307"/>
      <c r="H160" s="307"/>
      <c r="I160" s="307"/>
      <c r="J160" s="307"/>
      <c r="K160" s="307"/>
      <c r="L160" s="307"/>
      <c r="M160" s="307"/>
      <c r="N160" s="307"/>
      <c r="O160" s="307"/>
      <c r="P160" s="307"/>
      <c r="Q160" s="307"/>
      <c r="R160" s="307"/>
      <c r="S160" s="307"/>
      <c r="T160" s="307"/>
      <c r="U160" s="307"/>
      <c r="V160" s="307"/>
      <c r="W160" s="307"/>
      <c r="X160" s="307"/>
      <c r="Y160" s="307"/>
      <c r="Z160" s="307"/>
      <c r="AA160" s="66"/>
      <c r="AB160" s="66"/>
      <c r="AC160" s="83"/>
    </row>
    <row r="161" spans="1:68" ht="27" customHeight="1" x14ac:dyDescent="0.25">
      <c r="A161" s="63" t="s">
        <v>261</v>
      </c>
      <c r="B161" s="63" t="s">
        <v>262</v>
      </c>
      <c r="C161" s="36">
        <v>4301135570</v>
      </c>
      <c r="D161" s="289">
        <v>4607111035806</v>
      </c>
      <c r="E161" s="289"/>
      <c r="F161" s="62">
        <v>0.25</v>
      </c>
      <c r="G161" s="37">
        <v>12</v>
      </c>
      <c r="H161" s="62">
        <v>3</v>
      </c>
      <c r="I161" s="62">
        <v>3.7035999999999998</v>
      </c>
      <c r="J161" s="37">
        <v>70</v>
      </c>
      <c r="K161" s="37" t="s">
        <v>114</v>
      </c>
      <c r="L161" s="37" t="s">
        <v>115</v>
      </c>
      <c r="M161" s="38" t="s">
        <v>85</v>
      </c>
      <c r="N161" s="38"/>
      <c r="O161" s="37">
        <v>180</v>
      </c>
      <c r="P161" s="342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1" s="291"/>
      <c r="R161" s="291"/>
      <c r="S161" s="291"/>
      <c r="T161" s="292"/>
      <c r="U161" s="39" t="s">
        <v>46</v>
      </c>
      <c r="V161" s="39" t="s">
        <v>46</v>
      </c>
      <c r="W161" s="40" t="s">
        <v>39</v>
      </c>
      <c r="X161" s="58">
        <v>0</v>
      </c>
      <c r="Y161" s="55">
        <f>IFERROR(IF(X161="","",X161),"")</f>
        <v>0</v>
      </c>
      <c r="Z161" s="41">
        <f>IFERROR(IF(X161="","",X161*0.01788),"")</f>
        <v>0</v>
      </c>
      <c r="AA161" s="68" t="s">
        <v>46</v>
      </c>
      <c r="AB161" s="69" t="s">
        <v>46</v>
      </c>
      <c r="AC161" s="207" t="s">
        <v>263</v>
      </c>
      <c r="AG161" s="81"/>
      <c r="AJ161" s="87" t="s">
        <v>116</v>
      </c>
      <c r="AK161" s="87">
        <v>14</v>
      </c>
      <c r="BB161" s="208" t="s">
        <v>113</v>
      </c>
      <c r="BM161" s="81">
        <f>IFERROR(X161*I161,"0")</f>
        <v>0</v>
      </c>
      <c r="BN161" s="81">
        <f>IFERROR(Y161*I161,"0")</f>
        <v>0</v>
      </c>
      <c r="BO161" s="81">
        <f>IFERROR(X161/J161,"0")</f>
        <v>0</v>
      </c>
      <c r="BP161" s="81">
        <f>IFERROR(Y161/J161,"0")</f>
        <v>0</v>
      </c>
    </row>
    <row r="162" spans="1:68" x14ac:dyDescent="0.2">
      <c r="A162" s="296"/>
      <c r="B162" s="296"/>
      <c r="C162" s="296"/>
      <c r="D162" s="296"/>
      <c r="E162" s="296"/>
      <c r="F162" s="296"/>
      <c r="G162" s="296"/>
      <c r="H162" s="296"/>
      <c r="I162" s="296"/>
      <c r="J162" s="296"/>
      <c r="K162" s="296"/>
      <c r="L162" s="296"/>
      <c r="M162" s="296"/>
      <c r="N162" s="296"/>
      <c r="O162" s="297"/>
      <c r="P162" s="293" t="s">
        <v>40</v>
      </c>
      <c r="Q162" s="294"/>
      <c r="R162" s="294"/>
      <c r="S162" s="294"/>
      <c r="T162" s="294"/>
      <c r="U162" s="294"/>
      <c r="V162" s="295"/>
      <c r="W162" s="42" t="s">
        <v>39</v>
      </c>
      <c r="X162" s="43">
        <f>IFERROR(SUM(X161:X161),"0")</f>
        <v>0</v>
      </c>
      <c r="Y162" s="43">
        <f>IFERROR(SUM(Y161:Y161),"0")</f>
        <v>0</v>
      </c>
      <c r="Z162" s="43">
        <f>IFERROR(IF(Z161="",0,Z161),"0")</f>
        <v>0</v>
      </c>
      <c r="AA162" s="67"/>
      <c r="AB162" s="67"/>
      <c r="AC162" s="67"/>
    </row>
    <row r="163" spans="1:68" x14ac:dyDescent="0.2">
      <c r="A163" s="296"/>
      <c r="B163" s="296"/>
      <c r="C163" s="296"/>
      <c r="D163" s="296"/>
      <c r="E163" s="296"/>
      <c r="F163" s="296"/>
      <c r="G163" s="296"/>
      <c r="H163" s="296"/>
      <c r="I163" s="296"/>
      <c r="J163" s="296"/>
      <c r="K163" s="296"/>
      <c r="L163" s="296"/>
      <c r="M163" s="296"/>
      <c r="N163" s="296"/>
      <c r="O163" s="297"/>
      <c r="P163" s="293" t="s">
        <v>40</v>
      </c>
      <c r="Q163" s="294"/>
      <c r="R163" s="294"/>
      <c r="S163" s="294"/>
      <c r="T163" s="294"/>
      <c r="U163" s="294"/>
      <c r="V163" s="295"/>
      <c r="W163" s="42" t="s">
        <v>0</v>
      </c>
      <c r="X163" s="43">
        <f>IFERROR(SUMPRODUCT(X161:X161*H161:H161),"0")</f>
        <v>0</v>
      </c>
      <c r="Y163" s="43">
        <f>IFERROR(SUMPRODUCT(Y161:Y161*H161:H161),"0")</f>
        <v>0</v>
      </c>
      <c r="Z163" s="42"/>
      <c r="AA163" s="67"/>
      <c r="AB163" s="67"/>
      <c r="AC163" s="67"/>
    </row>
    <row r="164" spans="1:68" ht="16.5" customHeight="1" x14ac:dyDescent="0.25">
      <c r="A164" s="317" t="s">
        <v>264</v>
      </c>
      <c r="B164" s="317"/>
      <c r="C164" s="317"/>
      <c r="D164" s="317"/>
      <c r="E164" s="317"/>
      <c r="F164" s="317"/>
      <c r="G164" s="317"/>
      <c r="H164" s="317"/>
      <c r="I164" s="317"/>
      <c r="J164" s="317"/>
      <c r="K164" s="317"/>
      <c r="L164" s="317"/>
      <c r="M164" s="317"/>
      <c r="N164" s="317"/>
      <c r="O164" s="317"/>
      <c r="P164" s="317"/>
      <c r="Q164" s="317"/>
      <c r="R164" s="317"/>
      <c r="S164" s="317"/>
      <c r="T164" s="317"/>
      <c r="U164" s="317"/>
      <c r="V164" s="317"/>
      <c r="W164" s="317"/>
      <c r="X164" s="317"/>
      <c r="Y164" s="317"/>
      <c r="Z164" s="317"/>
      <c r="AA164" s="65"/>
      <c r="AB164" s="65"/>
      <c r="AC164" s="82"/>
    </row>
    <row r="165" spans="1:68" ht="14.25" customHeight="1" x14ac:dyDescent="0.25">
      <c r="A165" s="307" t="s">
        <v>153</v>
      </c>
      <c r="B165" s="307"/>
      <c r="C165" s="307"/>
      <c r="D165" s="307"/>
      <c r="E165" s="307"/>
      <c r="F165" s="307"/>
      <c r="G165" s="307"/>
      <c r="H165" s="307"/>
      <c r="I165" s="307"/>
      <c r="J165" s="307"/>
      <c r="K165" s="307"/>
      <c r="L165" s="307"/>
      <c r="M165" s="307"/>
      <c r="N165" s="307"/>
      <c r="O165" s="307"/>
      <c r="P165" s="307"/>
      <c r="Q165" s="307"/>
      <c r="R165" s="307"/>
      <c r="S165" s="307"/>
      <c r="T165" s="307"/>
      <c r="U165" s="307"/>
      <c r="V165" s="307"/>
      <c r="W165" s="307"/>
      <c r="X165" s="307"/>
      <c r="Y165" s="307"/>
      <c r="Z165" s="307"/>
      <c r="AA165" s="66"/>
      <c r="AB165" s="66"/>
      <c r="AC165" s="83"/>
    </row>
    <row r="166" spans="1:68" ht="16.5" customHeight="1" x14ac:dyDescent="0.25">
      <c r="A166" s="63" t="s">
        <v>265</v>
      </c>
      <c r="B166" s="63" t="s">
        <v>266</v>
      </c>
      <c r="C166" s="36">
        <v>4301135607</v>
      </c>
      <c r="D166" s="289">
        <v>4607111039613</v>
      </c>
      <c r="E166" s="289"/>
      <c r="F166" s="62">
        <v>0.09</v>
      </c>
      <c r="G166" s="37">
        <v>30</v>
      </c>
      <c r="H166" s="62">
        <v>2.7</v>
      </c>
      <c r="I166" s="62">
        <v>3.09</v>
      </c>
      <c r="J166" s="37">
        <v>126</v>
      </c>
      <c r="K166" s="37" t="s">
        <v>114</v>
      </c>
      <c r="L166" s="37" t="s">
        <v>115</v>
      </c>
      <c r="M166" s="38" t="s">
        <v>85</v>
      </c>
      <c r="N166" s="38"/>
      <c r="O166" s="37">
        <v>180</v>
      </c>
      <c r="P166" s="340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6" s="291"/>
      <c r="R166" s="291"/>
      <c r="S166" s="291"/>
      <c r="T166" s="292"/>
      <c r="U166" s="39" t="s">
        <v>46</v>
      </c>
      <c r="V166" s="39" t="s">
        <v>46</v>
      </c>
      <c r="W166" s="40" t="s">
        <v>39</v>
      </c>
      <c r="X166" s="58">
        <v>0</v>
      </c>
      <c r="Y166" s="55">
        <f>IFERROR(IF(X166="","",X166),"")</f>
        <v>0</v>
      </c>
      <c r="Z166" s="41">
        <f>IFERROR(IF(X166="","",X166*0.00936),"")</f>
        <v>0</v>
      </c>
      <c r="AA166" s="68" t="s">
        <v>46</v>
      </c>
      <c r="AB166" s="69" t="s">
        <v>46</v>
      </c>
      <c r="AC166" s="209" t="s">
        <v>251</v>
      </c>
      <c r="AG166" s="81"/>
      <c r="AJ166" s="87" t="s">
        <v>116</v>
      </c>
      <c r="AK166" s="87">
        <v>14</v>
      </c>
      <c r="BB166" s="210" t="s">
        <v>113</v>
      </c>
      <c r="BM166" s="81">
        <f>IFERROR(X166*I166,"0")</f>
        <v>0</v>
      </c>
      <c r="BN166" s="81">
        <f>IFERROR(Y166*I166,"0")</f>
        <v>0</v>
      </c>
      <c r="BO166" s="81">
        <f>IFERROR(X166/J166,"0")</f>
        <v>0</v>
      </c>
      <c r="BP166" s="81">
        <f>IFERROR(Y166/J166,"0")</f>
        <v>0</v>
      </c>
    </row>
    <row r="167" spans="1:68" x14ac:dyDescent="0.2">
      <c r="A167" s="296"/>
      <c r="B167" s="296"/>
      <c r="C167" s="296"/>
      <c r="D167" s="296"/>
      <c r="E167" s="296"/>
      <c r="F167" s="296"/>
      <c r="G167" s="296"/>
      <c r="H167" s="296"/>
      <c r="I167" s="296"/>
      <c r="J167" s="296"/>
      <c r="K167" s="296"/>
      <c r="L167" s="296"/>
      <c r="M167" s="296"/>
      <c r="N167" s="296"/>
      <c r="O167" s="297"/>
      <c r="P167" s="293" t="s">
        <v>40</v>
      </c>
      <c r="Q167" s="294"/>
      <c r="R167" s="294"/>
      <c r="S167" s="294"/>
      <c r="T167" s="294"/>
      <c r="U167" s="294"/>
      <c r="V167" s="295"/>
      <c r="W167" s="42" t="s">
        <v>39</v>
      </c>
      <c r="X167" s="43">
        <f>IFERROR(SUM(X166:X166),"0")</f>
        <v>0</v>
      </c>
      <c r="Y167" s="43">
        <f>IFERROR(SUM(Y166:Y166),"0")</f>
        <v>0</v>
      </c>
      <c r="Z167" s="43">
        <f>IFERROR(IF(Z166="",0,Z166),"0")</f>
        <v>0</v>
      </c>
      <c r="AA167" s="67"/>
      <c r="AB167" s="67"/>
      <c r="AC167" s="67"/>
    </row>
    <row r="168" spans="1:68" x14ac:dyDescent="0.2">
      <c r="A168" s="296"/>
      <c r="B168" s="296"/>
      <c r="C168" s="296"/>
      <c r="D168" s="296"/>
      <c r="E168" s="296"/>
      <c r="F168" s="296"/>
      <c r="G168" s="296"/>
      <c r="H168" s="296"/>
      <c r="I168" s="296"/>
      <c r="J168" s="296"/>
      <c r="K168" s="296"/>
      <c r="L168" s="296"/>
      <c r="M168" s="296"/>
      <c r="N168" s="296"/>
      <c r="O168" s="297"/>
      <c r="P168" s="293" t="s">
        <v>40</v>
      </c>
      <c r="Q168" s="294"/>
      <c r="R168" s="294"/>
      <c r="S168" s="294"/>
      <c r="T168" s="294"/>
      <c r="U168" s="294"/>
      <c r="V168" s="295"/>
      <c r="W168" s="42" t="s">
        <v>0</v>
      </c>
      <c r="X168" s="43">
        <f>IFERROR(SUMPRODUCT(X166:X166*H166:H166),"0")</f>
        <v>0</v>
      </c>
      <c r="Y168" s="43">
        <f>IFERROR(SUMPRODUCT(Y166:Y166*H166:H166),"0")</f>
        <v>0</v>
      </c>
      <c r="Z168" s="42"/>
      <c r="AA168" s="67"/>
      <c r="AB168" s="67"/>
      <c r="AC168" s="67"/>
    </row>
    <row r="169" spans="1:68" ht="16.5" customHeight="1" x14ac:dyDescent="0.25">
      <c r="A169" s="317" t="s">
        <v>267</v>
      </c>
      <c r="B169" s="317"/>
      <c r="C169" s="317"/>
      <c r="D169" s="317"/>
      <c r="E169" s="317"/>
      <c r="F169" s="317"/>
      <c r="G169" s="317"/>
      <c r="H169" s="317"/>
      <c r="I169" s="317"/>
      <c r="J169" s="317"/>
      <c r="K169" s="317"/>
      <c r="L169" s="317"/>
      <c r="M169" s="317"/>
      <c r="N169" s="317"/>
      <c r="O169" s="317"/>
      <c r="P169" s="317"/>
      <c r="Q169" s="317"/>
      <c r="R169" s="317"/>
      <c r="S169" s="317"/>
      <c r="T169" s="317"/>
      <c r="U169" s="317"/>
      <c r="V169" s="317"/>
      <c r="W169" s="317"/>
      <c r="X169" s="317"/>
      <c r="Y169" s="317"/>
      <c r="Z169" s="317"/>
      <c r="AA169" s="65"/>
      <c r="AB169" s="65"/>
      <c r="AC169" s="82"/>
    </row>
    <row r="170" spans="1:68" ht="14.25" customHeight="1" x14ac:dyDescent="0.25">
      <c r="A170" s="307" t="s">
        <v>153</v>
      </c>
      <c r="B170" s="307"/>
      <c r="C170" s="307"/>
      <c r="D170" s="307"/>
      <c r="E170" s="307"/>
      <c r="F170" s="307"/>
      <c r="G170" s="307"/>
      <c r="H170" s="307"/>
      <c r="I170" s="307"/>
      <c r="J170" s="307"/>
      <c r="K170" s="307"/>
      <c r="L170" s="307"/>
      <c r="M170" s="307"/>
      <c r="N170" s="307"/>
      <c r="O170" s="307"/>
      <c r="P170" s="307"/>
      <c r="Q170" s="307"/>
      <c r="R170" s="307"/>
      <c r="S170" s="307"/>
      <c r="T170" s="307"/>
      <c r="U170" s="307"/>
      <c r="V170" s="307"/>
      <c r="W170" s="307"/>
      <c r="X170" s="307"/>
      <c r="Y170" s="307"/>
      <c r="Z170" s="307"/>
      <c r="AA170" s="66"/>
      <c r="AB170" s="66"/>
      <c r="AC170" s="83"/>
    </row>
    <row r="171" spans="1:68" ht="27" customHeight="1" x14ac:dyDescent="0.25">
      <c r="A171" s="63" t="s">
        <v>268</v>
      </c>
      <c r="B171" s="63" t="s">
        <v>269</v>
      </c>
      <c r="C171" s="36">
        <v>4301135591</v>
      </c>
      <c r="D171" s="289">
        <v>4607111036568</v>
      </c>
      <c r="E171" s="289"/>
      <c r="F171" s="62">
        <v>0.28000000000000003</v>
      </c>
      <c r="G171" s="37">
        <v>6</v>
      </c>
      <c r="H171" s="62">
        <v>1.68</v>
      </c>
      <c r="I171" s="62">
        <v>2.1017999999999999</v>
      </c>
      <c r="J171" s="37">
        <v>140</v>
      </c>
      <c r="K171" s="37" t="s">
        <v>114</v>
      </c>
      <c r="L171" s="37" t="s">
        <v>115</v>
      </c>
      <c r="M171" s="38" t="s">
        <v>85</v>
      </c>
      <c r="N171" s="38"/>
      <c r="O171" s="37">
        <v>180</v>
      </c>
      <c r="P171" s="341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1" s="291"/>
      <c r="R171" s="291"/>
      <c r="S171" s="291"/>
      <c r="T171" s="292"/>
      <c r="U171" s="39" t="s">
        <v>46</v>
      </c>
      <c r="V171" s="39" t="s">
        <v>46</v>
      </c>
      <c r="W171" s="40" t="s">
        <v>39</v>
      </c>
      <c r="X171" s="58">
        <v>0</v>
      </c>
      <c r="Y171" s="55">
        <f>IFERROR(IF(X171="","",X171),"")</f>
        <v>0</v>
      </c>
      <c r="Z171" s="41">
        <f>IFERROR(IF(X171="","",X171*0.00941),"")</f>
        <v>0</v>
      </c>
      <c r="AA171" s="68" t="s">
        <v>46</v>
      </c>
      <c r="AB171" s="69" t="s">
        <v>46</v>
      </c>
      <c r="AC171" s="211" t="s">
        <v>270</v>
      </c>
      <c r="AG171" s="81"/>
      <c r="AJ171" s="87" t="s">
        <v>116</v>
      </c>
      <c r="AK171" s="87">
        <v>14</v>
      </c>
      <c r="BB171" s="212" t="s">
        <v>113</v>
      </c>
      <c r="BM171" s="81">
        <f>IFERROR(X171*I171,"0")</f>
        <v>0</v>
      </c>
      <c r="BN171" s="81">
        <f>IFERROR(Y171*I171,"0")</f>
        <v>0</v>
      </c>
      <c r="BO171" s="81">
        <f>IFERROR(X171/J171,"0")</f>
        <v>0</v>
      </c>
      <c r="BP171" s="81">
        <f>IFERROR(Y171/J171,"0")</f>
        <v>0</v>
      </c>
    </row>
    <row r="172" spans="1:68" x14ac:dyDescent="0.2">
      <c r="A172" s="296"/>
      <c r="B172" s="296"/>
      <c r="C172" s="296"/>
      <c r="D172" s="296"/>
      <c r="E172" s="296"/>
      <c r="F172" s="296"/>
      <c r="G172" s="296"/>
      <c r="H172" s="296"/>
      <c r="I172" s="296"/>
      <c r="J172" s="296"/>
      <c r="K172" s="296"/>
      <c r="L172" s="296"/>
      <c r="M172" s="296"/>
      <c r="N172" s="296"/>
      <c r="O172" s="297"/>
      <c r="P172" s="293" t="s">
        <v>40</v>
      </c>
      <c r="Q172" s="294"/>
      <c r="R172" s="294"/>
      <c r="S172" s="294"/>
      <c r="T172" s="294"/>
      <c r="U172" s="294"/>
      <c r="V172" s="295"/>
      <c r="W172" s="42" t="s">
        <v>39</v>
      </c>
      <c r="X172" s="43">
        <f>IFERROR(SUM(X171:X171),"0")</f>
        <v>0</v>
      </c>
      <c r="Y172" s="43">
        <f>IFERROR(SUM(Y171:Y171),"0")</f>
        <v>0</v>
      </c>
      <c r="Z172" s="43">
        <f>IFERROR(IF(Z171="",0,Z171),"0")</f>
        <v>0</v>
      </c>
      <c r="AA172" s="67"/>
      <c r="AB172" s="67"/>
      <c r="AC172" s="67"/>
    </row>
    <row r="173" spans="1:68" x14ac:dyDescent="0.2">
      <c r="A173" s="296"/>
      <c r="B173" s="296"/>
      <c r="C173" s="296"/>
      <c r="D173" s="296"/>
      <c r="E173" s="296"/>
      <c r="F173" s="296"/>
      <c r="G173" s="296"/>
      <c r="H173" s="296"/>
      <c r="I173" s="296"/>
      <c r="J173" s="296"/>
      <c r="K173" s="296"/>
      <c r="L173" s="296"/>
      <c r="M173" s="296"/>
      <c r="N173" s="296"/>
      <c r="O173" s="297"/>
      <c r="P173" s="293" t="s">
        <v>40</v>
      </c>
      <c r="Q173" s="294"/>
      <c r="R173" s="294"/>
      <c r="S173" s="294"/>
      <c r="T173" s="294"/>
      <c r="U173" s="294"/>
      <c r="V173" s="295"/>
      <c r="W173" s="42" t="s">
        <v>0</v>
      </c>
      <c r="X173" s="43">
        <f>IFERROR(SUMPRODUCT(X171:X171*H171:H171),"0")</f>
        <v>0</v>
      </c>
      <c r="Y173" s="43">
        <f>IFERROR(SUMPRODUCT(Y171:Y171*H171:H171),"0")</f>
        <v>0</v>
      </c>
      <c r="Z173" s="42"/>
      <c r="AA173" s="67"/>
      <c r="AB173" s="67"/>
      <c r="AC173" s="67"/>
    </row>
    <row r="174" spans="1:68" ht="27.75" customHeight="1" x14ac:dyDescent="0.2">
      <c r="A174" s="316" t="s">
        <v>271</v>
      </c>
      <c r="B174" s="316"/>
      <c r="C174" s="316"/>
      <c r="D174" s="316"/>
      <c r="E174" s="316"/>
      <c r="F174" s="316"/>
      <c r="G174" s="316"/>
      <c r="H174" s="316"/>
      <c r="I174" s="316"/>
      <c r="J174" s="316"/>
      <c r="K174" s="316"/>
      <c r="L174" s="316"/>
      <c r="M174" s="316"/>
      <c r="N174" s="316"/>
      <c r="O174" s="316"/>
      <c r="P174" s="316"/>
      <c r="Q174" s="316"/>
      <c r="R174" s="316"/>
      <c r="S174" s="316"/>
      <c r="T174" s="316"/>
      <c r="U174" s="316"/>
      <c r="V174" s="316"/>
      <c r="W174" s="316"/>
      <c r="X174" s="316"/>
      <c r="Y174" s="316"/>
      <c r="Z174" s="316"/>
      <c r="AA174" s="54"/>
      <c r="AB174" s="54"/>
      <c r="AC174" s="54"/>
    </row>
    <row r="175" spans="1:68" ht="16.5" customHeight="1" x14ac:dyDescent="0.25">
      <c r="A175" s="317" t="s">
        <v>272</v>
      </c>
      <c r="B175" s="317"/>
      <c r="C175" s="317"/>
      <c r="D175" s="317"/>
      <c r="E175" s="317"/>
      <c r="F175" s="317"/>
      <c r="G175" s="317"/>
      <c r="H175" s="317"/>
      <c r="I175" s="317"/>
      <c r="J175" s="317"/>
      <c r="K175" s="317"/>
      <c r="L175" s="317"/>
      <c r="M175" s="317"/>
      <c r="N175" s="317"/>
      <c r="O175" s="317"/>
      <c r="P175" s="317"/>
      <c r="Q175" s="317"/>
      <c r="R175" s="317"/>
      <c r="S175" s="317"/>
      <c r="T175" s="317"/>
      <c r="U175" s="317"/>
      <c r="V175" s="317"/>
      <c r="W175" s="317"/>
      <c r="X175" s="317"/>
      <c r="Y175" s="317"/>
      <c r="Z175" s="317"/>
      <c r="AA175" s="65"/>
      <c r="AB175" s="65"/>
      <c r="AC175" s="82"/>
    </row>
    <row r="176" spans="1:68" ht="14.25" customHeight="1" x14ac:dyDescent="0.25">
      <c r="A176" s="307" t="s">
        <v>81</v>
      </c>
      <c r="B176" s="307"/>
      <c r="C176" s="307"/>
      <c r="D176" s="307"/>
      <c r="E176" s="307"/>
      <c r="F176" s="307"/>
      <c r="G176" s="307"/>
      <c r="H176" s="307"/>
      <c r="I176" s="307"/>
      <c r="J176" s="307"/>
      <c r="K176" s="307"/>
      <c r="L176" s="307"/>
      <c r="M176" s="307"/>
      <c r="N176" s="307"/>
      <c r="O176" s="307"/>
      <c r="P176" s="307"/>
      <c r="Q176" s="307"/>
      <c r="R176" s="307"/>
      <c r="S176" s="307"/>
      <c r="T176" s="307"/>
      <c r="U176" s="307"/>
      <c r="V176" s="307"/>
      <c r="W176" s="307"/>
      <c r="X176" s="307"/>
      <c r="Y176" s="307"/>
      <c r="Z176" s="307"/>
      <c r="AA176" s="66"/>
      <c r="AB176" s="66"/>
      <c r="AC176" s="83"/>
    </row>
    <row r="177" spans="1:68" ht="16.5" customHeight="1" x14ac:dyDescent="0.25">
      <c r="A177" s="63" t="s">
        <v>273</v>
      </c>
      <c r="B177" s="63" t="s">
        <v>274</v>
      </c>
      <c r="C177" s="36">
        <v>4301071062</v>
      </c>
      <c r="D177" s="289">
        <v>4607111036384</v>
      </c>
      <c r="E177" s="289"/>
      <c r="F177" s="62">
        <v>5</v>
      </c>
      <c r="G177" s="37">
        <v>1</v>
      </c>
      <c r="H177" s="62">
        <v>5</v>
      </c>
      <c r="I177" s="62">
        <v>5.2106000000000003</v>
      </c>
      <c r="J177" s="37">
        <v>144</v>
      </c>
      <c r="K177" s="37" t="s">
        <v>86</v>
      </c>
      <c r="L177" s="37" t="s">
        <v>87</v>
      </c>
      <c r="M177" s="38" t="s">
        <v>85</v>
      </c>
      <c r="N177" s="38"/>
      <c r="O177" s="37">
        <v>180</v>
      </c>
      <c r="P177" s="33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7" s="291"/>
      <c r="R177" s="291"/>
      <c r="S177" s="291"/>
      <c r="T177" s="292"/>
      <c r="U177" s="39" t="s">
        <v>46</v>
      </c>
      <c r="V177" s="39" t="s">
        <v>46</v>
      </c>
      <c r="W177" s="40" t="s">
        <v>39</v>
      </c>
      <c r="X177" s="58">
        <v>0</v>
      </c>
      <c r="Y177" s="55">
        <f>IFERROR(IF(X177="","",X177),"")</f>
        <v>0</v>
      </c>
      <c r="Z177" s="41">
        <f>IFERROR(IF(X177="","",X177*0.00866),"")</f>
        <v>0</v>
      </c>
      <c r="AA177" s="68" t="s">
        <v>46</v>
      </c>
      <c r="AB177" s="69" t="s">
        <v>46</v>
      </c>
      <c r="AC177" s="213" t="s">
        <v>275</v>
      </c>
      <c r="AG177" s="81"/>
      <c r="AJ177" s="87" t="s">
        <v>88</v>
      </c>
      <c r="AK177" s="87">
        <v>1</v>
      </c>
      <c r="BB177" s="214" t="s">
        <v>70</v>
      </c>
      <c r="BM177" s="81">
        <f>IFERROR(X177*I177,"0")</f>
        <v>0</v>
      </c>
      <c r="BN177" s="81">
        <f>IFERROR(Y177*I177,"0")</f>
        <v>0</v>
      </c>
      <c r="BO177" s="81">
        <f>IFERROR(X177/J177,"0")</f>
        <v>0</v>
      </c>
      <c r="BP177" s="81">
        <f>IFERROR(Y177/J177,"0")</f>
        <v>0</v>
      </c>
    </row>
    <row r="178" spans="1:68" ht="27" customHeight="1" x14ac:dyDescent="0.25">
      <c r="A178" s="63" t="s">
        <v>276</v>
      </c>
      <c r="B178" s="63" t="s">
        <v>277</v>
      </c>
      <c r="C178" s="36">
        <v>4301071050</v>
      </c>
      <c r="D178" s="289">
        <v>4607111036216</v>
      </c>
      <c r="E178" s="289"/>
      <c r="F178" s="62">
        <v>5</v>
      </c>
      <c r="G178" s="37">
        <v>1</v>
      </c>
      <c r="H178" s="62">
        <v>5</v>
      </c>
      <c r="I178" s="62">
        <v>5.2131999999999996</v>
      </c>
      <c r="J178" s="37">
        <v>144</v>
      </c>
      <c r="K178" s="37" t="s">
        <v>86</v>
      </c>
      <c r="L178" s="37" t="s">
        <v>115</v>
      </c>
      <c r="M178" s="38" t="s">
        <v>85</v>
      </c>
      <c r="N178" s="38"/>
      <c r="O178" s="37">
        <v>180</v>
      </c>
      <c r="P178" s="33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8" s="291"/>
      <c r="R178" s="291"/>
      <c r="S178" s="291"/>
      <c r="T178" s="292"/>
      <c r="U178" s="39" t="s">
        <v>46</v>
      </c>
      <c r="V178" s="39" t="s">
        <v>46</v>
      </c>
      <c r="W178" s="40" t="s">
        <v>39</v>
      </c>
      <c r="X178" s="58">
        <v>0</v>
      </c>
      <c r="Y178" s="55">
        <f>IFERROR(IF(X178="","",X178),"")</f>
        <v>0</v>
      </c>
      <c r="Z178" s="41">
        <f>IFERROR(IF(X178="","",X178*0.00866),"")</f>
        <v>0</v>
      </c>
      <c r="AA178" s="68" t="s">
        <v>46</v>
      </c>
      <c r="AB178" s="69" t="s">
        <v>46</v>
      </c>
      <c r="AC178" s="215" t="s">
        <v>278</v>
      </c>
      <c r="AG178" s="81"/>
      <c r="AJ178" s="87" t="s">
        <v>116</v>
      </c>
      <c r="AK178" s="87">
        <v>12</v>
      </c>
      <c r="BB178" s="216" t="s">
        <v>70</v>
      </c>
      <c r="BM178" s="81">
        <f>IFERROR(X178*I178,"0")</f>
        <v>0</v>
      </c>
      <c r="BN178" s="81">
        <f>IFERROR(Y178*I178,"0")</f>
        <v>0</v>
      </c>
      <c r="BO178" s="81">
        <f>IFERROR(X178/J178,"0")</f>
        <v>0</v>
      </c>
      <c r="BP178" s="81">
        <f>IFERROR(Y178/J178,"0")</f>
        <v>0</v>
      </c>
    </row>
    <row r="179" spans="1:68" x14ac:dyDescent="0.2">
      <c r="A179" s="296"/>
      <c r="B179" s="296"/>
      <c r="C179" s="296"/>
      <c r="D179" s="296"/>
      <c r="E179" s="296"/>
      <c r="F179" s="296"/>
      <c r="G179" s="296"/>
      <c r="H179" s="296"/>
      <c r="I179" s="296"/>
      <c r="J179" s="296"/>
      <c r="K179" s="296"/>
      <c r="L179" s="296"/>
      <c r="M179" s="296"/>
      <c r="N179" s="296"/>
      <c r="O179" s="297"/>
      <c r="P179" s="293" t="s">
        <v>40</v>
      </c>
      <c r="Q179" s="294"/>
      <c r="R179" s="294"/>
      <c r="S179" s="294"/>
      <c r="T179" s="294"/>
      <c r="U179" s="294"/>
      <c r="V179" s="295"/>
      <c r="W179" s="42" t="s">
        <v>39</v>
      </c>
      <c r="X179" s="43">
        <f>IFERROR(SUM(X177:X178),"0")</f>
        <v>0</v>
      </c>
      <c r="Y179" s="43">
        <f>IFERROR(SUM(Y177:Y178),"0")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x14ac:dyDescent="0.2">
      <c r="A180" s="296"/>
      <c r="B180" s="296"/>
      <c r="C180" s="296"/>
      <c r="D180" s="296"/>
      <c r="E180" s="296"/>
      <c r="F180" s="296"/>
      <c r="G180" s="296"/>
      <c r="H180" s="296"/>
      <c r="I180" s="296"/>
      <c r="J180" s="296"/>
      <c r="K180" s="296"/>
      <c r="L180" s="296"/>
      <c r="M180" s="296"/>
      <c r="N180" s="296"/>
      <c r="O180" s="297"/>
      <c r="P180" s="293" t="s">
        <v>40</v>
      </c>
      <c r="Q180" s="294"/>
      <c r="R180" s="294"/>
      <c r="S180" s="294"/>
      <c r="T180" s="294"/>
      <c r="U180" s="294"/>
      <c r="V180" s="295"/>
      <c r="W180" s="42" t="s">
        <v>0</v>
      </c>
      <c r="X180" s="43">
        <f>IFERROR(SUMPRODUCT(X177:X178*H177:H178),"0")</f>
        <v>0</v>
      </c>
      <c r="Y180" s="43">
        <f>IFERROR(SUMPRODUCT(Y177:Y178*H177:H178),"0")</f>
        <v>0</v>
      </c>
      <c r="Z180" s="42"/>
      <c r="AA180" s="67"/>
      <c r="AB180" s="67"/>
      <c r="AC180" s="67"/>
    </row>
    <row r="181" spans="1:68" ht="14.25" customHeight="1" x14ac:dyDescent="0.25">
      <c r="A181" s="307" t="s">
        <v>279</v>
      </c>
      <c r="B181" s="307"/>
      <c r="C181" s="307"/>
      <c r="D181" s="307"/>
      <c r="E181" s="307"/>
      <c r="F181" s="307"/>
      <c r="G181" s="307"/>
      <c r="H181" s="307"/>
      <c r="I181" s="307"/>
      <c r="J181" s="307"/>
      <c r="K181" s="307"/>
      <c r="L181" s="307"/>
      <c r="M181" s="307"/>
      <c r="N181" s="307"/>
      <c r="O181" s="307"/>
      <c r="P181" s="307"/>
      <c r="Q181" s="307"/>
      <c r="R181" s="307"/>
      <c r="S181" s="307"/>
      <c r="T181" s="307"/>
      <c r="U181" s="307"/>
      <c r="V181" s="307"/>
      <c r="W181" s="307"/>
      <c r="X181" s="307"/>
      <c r="Y181" s="307"/>
      <c r="Z181" s="307"/>
      <c r="AA181" s="66"/>
      <c r="AB181" s="66"/>
      <c r="AC181" s="83"/>
    </row>
    <row r="182" spans="1:68" ht="27" customHeight="1" x14ac:dyDescent="0.25">
      <c r="A182" s="63" t="s">
        <v>280</v>
      </c>
      <c r="B182" s="63" t="s">
        <v>281</v>
      </c>
      <c r="C182" s="36">
        <v>4301080153</v>
      </c>
      <c r="D182" s="289">
        <v>4607111036827</v>
      </c>
      <c r="E182" s="289"/>
      <c r="F182" s="62">
        <v>1</v>
      </c>
      <c r="G182" s="37">
        <v>5</v>
      </c>
      <c r="H182" s="62">
        <v>5</v>
      </c>
      <c r="I182" s="62">
        <v>5.2</v>
      </c>
      <c r="J182" s="37">
        <v>144</v>
      </c>
      <c r="K182" s="37" t="s">
        <v>86</v>
      </c>
      <c r="L182" s="37" t="s">
        <v>87</v>
      </c>
      <c r="M182" s="38" t="s">
        <v>85</v>
      </c>
      <c r="N182" s="38"/>
      <c r="O182" s="37">
        <v>90</v>
      </c>
      <c r="P182" s="336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2" s="291"/>
      <c r="R182" s="291"/>
      <c r="S182" s="291"/>
      <c r="T182" s="292"/>
      <c r="U182" s="39" t="s">
        <v>46</v>
      </c>
      <c r="V182" s="39" t="s">
        <v>46</v>
      </c>
      <c r="W182" s="40" t="s">
        <v>39</v>
      </c>
      <c r="X182" s="58">
        <v>0</v>
      </c>
      <c r="Y182" s="55">
        <f>IFERROR(IF(X182="","",X182),"")</f>
        <v>0</v>
      </c>
      <c r="Z182" s="41">
        <f>IFERROR(IF(X182="","",X182*0.00866),"")</f>
        <v>0</v>
      </c>
      <c r="AA182" s="68" t="s">
        <v>46</v>
      </c>
      <c r="AB182" s="69" t="s">
        <v>46</v>
      </c>
      <c r="AC182" s="217" t="s">
        <v>282</v>
      </c>
      <c r="AG182" s="81"/>
      <c r="AJ182" s="87" t="s">
        <v>88</v>
      </c>
      <c r="AK182" s="87">
        <v>1</v>
      </c>
      <c r="BB182" s="218" t="s">
        <v>70</v>
      </c>
      <c r="BM182" s="81">
        <f>IFERROR(X182*I182,"0")</f>
        <v>0</v>
      </c>
      <c r="BN182" s="81">
        <f>IFERROR(Y182*I182,"0")</f>
        <v>0</v>
      </c>
      <c r="BO182" s="81">
        <f>IFERROR(X182/J182,"0")</f>
        <v>0</v>
      </c>
      <c r="BP182" s="81">
        <f>IFERROR(Y182/J182,"0")</f>
        <v>0</v>
      </c>
    </row>
    <row r="183" spans="1:68" ht="27" customHeight="1" x14ac:dyDescent="0.25">
      <c r="A183" s="63" t="s">
        <v>283</v>
      </c>
      <c r="B183" s="63" t="s">
        <v>284</v>
      </c>
      <c r="C183" s="36">
        <v>4301080154</v>
      </c>
      <c r="D183" s="289">
        <v>4607111036834</v>
      </c>
      <c r="E183" s="289"/>
      <c r="F183" s="62">
        <v>1</v>
      </c>
      <c r="G183" s="37">
        <v>5</v>
      </c>
      <c r="H183" s="62">
        <v>5</v>
      </c>
      <c r="I183" s="62">
        <v>5.2530000000000001</v>
      </c>
      <c r="J183" s="37">
        <v>144</v>
      </c>
      <c r="K183" s="37" t="s">
        <v>86</v>
      </c>
      <c r="L183" s="37" t="s">
        <v>87</v>
      </c>
      <c r="M183" s="38" t="s">
        <v>85</v>
      </c>
      <c r="N183" s="38"/>
      <c r="O183" s="37">
        <v>90</v>
      </c>
      <c r="P183" s="337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3" s="291"/>
      <c r="R183" s="291"/>
      <c r="S183" s="291"/>
      <c r="T183" s="292"/>
      <c r="U183" s="39" t="s">
        <v>46</v>
      </c>
      <c r="V183" s="39" t="s">
        <v>46</v>
      </c>
      <c r="W183" s="40" t="s">
        <v>39</v>
      </c>
      <c r="X183" s="58">
        <v>0</v>
      </c>
      <c r="Y183" s="55">
        <f>IFERROR(IF(X183="","",X183),"")</f>
        <v>0</v>
      </c>
      <c r="Z183" s="41">
        <f>IFERROR(IF(X183="","",X183*0.00866),"")</f>
        <v>0</v>
      </c>
      <c r="AA183" s="68" t="s">
        <v>46</v>
      </c>
      <c r="AB183" s="69" t="s">
        <v>46</v>
      </c>
      <c r="AC183" s="219" t="s">
        <v>282</v>
      </c>
      <c r="AG183" s="81"/>
      <c r="AJ183" s="87" t="s">
        <v>88</v>
      </c>
      <c r="AK183" s="87">
        <v>1</v>
      </c>
      <c r="BB183" s="220" t="s">
        <v>70</v>
      </c>
      <c r="BM183" s="81">
        <f>IFERROR(X183*I183,"0")</f>
        <v>0</v>
      </c>
      <c r="BN183" s="81">
        <f>IFERROR(Y183*I183,"0")</f>
        <v>0</v>
      </c>
      <c r="BO183" s="81">
        <f>IFERROR(X183/J183,"0")</f>
        <v>0</v>
      </c>
      <c r="BP183" s="81">
        <f>IFERROR(Y183/J183,"0")</f>
        <v>0</v>
      </c>
    </row>
    <row r="184" spans="1:68" x14ac:dyDescent="0.2">
      <c r="A184" s="296"/>
      <c r="B184" s="296"/>
      <c r="C184" s="296"/>
      <c r="D184" s="296"/>
      <c r="E184" s="296"/>
      <c r="F184" s="296"/>
      <c r="G184" s="296"/>
      <c r="H184" s="296"/>
      <c r="I184" s="296"/>
      <c r="J184" s="296"/>
      <c r="K184" s="296"/>
      <c r="L184" s="296"/>
      <c r="M184" s="296"/>
      <c r="N184" s="296"/>
      <c r="O184" s="297"/>
      <c r="P184" s="293" t="s">
        <v>40</v>
      </c>
      <c r="Q184" s="294"/>
      <c r="R184" s="294"/>
      <c r="S184" s="294"/>
      <c r="T184" s="294"/>
      <c r="U184" s="294"/>
      <c r="V184" s="295"/>
      <c r="W184" s="42" t="s">
        <v>39</v>
      </c>
      <c r="X184" s="43">
        <f>IFERROR(SUM(X182:X183),"0")</f>
        <v>0</v>
      </c>
      <c r="Y184" s="43">
        <f>IFERROR(SUM(Y182:Y183),"0")</f>
        <v>0</v>
      </c>
      <c r="Z184" s="43">
        <f>IFERROR(IF(Z182="",0,Z182),"0")+IFERROR(IF(Z183="",0,Z183),"0")</f>
        <v>0</v>
      </c>
      <c r="AA184" s="67"/>
      <c r="AB184" s="67"/>
      <c r="AC184" s="67"/>
    </row>
    <row r="185" spans="1:68" x14ac:dyDescent="0.2">
      <c r="A185" s="296"/>
      <c r="B185" s="296"/>
      <c r="C185" s="296"/>
      <c r="D185" s="296"/>
      <c r="E185" s="296"/>
      <c r="F185" s="296"/>
      <c r="G185" s="296"/>
      <c r="H185" s="296"/>
      <c r="I185" s="296"/>
      <c r="J185" s="296"/>
      <c r="K185" s="296"/>
      <c r="L185" s="296"/>
      <c r="M185" s="296"/>
      <c r="N185" s="296"/>
      <c r="O185" s="297"/>
      <c r="P185" s="293" t="s">
        <v>40</v>
      </c>
      <c r="Q185" s="294"/>
      <c r="R185" s="294"/>
      <c r="S185" s="294"/>
      <c r="T185" s="294"/>
      <c r="U185" s="294"/>
      <c r="V185" s="295"/>
      <c r="W185" s="42" t="s">
        <v>0</v>
      </c>
      <c r="X185" s="43">
        <f>IFERROR(SUMPRODUCT(X182:X183*H182:H183),"0")</f>
        <v>0</v>
      </c>
      <c r="Y185" s="43">
        <f>IFERROR(SUMPRODUCT(Y182:Y183*H182:H183),"0")</f>
        <v>0</v>
      </c>
      <c r="Z185" s="42"/>
      <c r="AA185" s="67"/>
      <c r="AB185" s="67"/>
      <c r="AC185" s="67"/>
    </row>
    <row r="186" spans="1:68" ht="27.75" customHeight="1" x14ac:dyDescent="0.2">
      <c r="A186" s="316" t="s">
        <v>285</v>
      </c>
      <c r="B186" s="316"/>
      <c r="C186" s="316"/>
      <c r="D186" s="316"/>
      <c r="E186" s="316"/>
      <c r="F186" s="316"/>
      <c r="G186" s="316"/>
      <c r="H186" s="316"/>
      <c r="I186" s="316"/>
      <c r="J186" s="316"/>
      <c r="K186" s="316"/>
      <c r="L186" s="316"/>
      <c r="M186" s="316"/>
      <c r="N186" s="316"/>
      <c r="O186" s="316"/>
      <c r="P186" s="316"/>
      <c r="Q186" s="316"/>
      <c r="R186" s="316"/>
      <c r="S186" s="316"/>
      <c r="T186" s="316"/>
      <c r="U186" s="316"/>
      <c r="V186" s="316"/>
      <c r="W186" s="316"/>
      <c r="X186" s="316"/>
      <c r="Y186" s="316"/>
      <c r="Z186" s="316"/>
      <c r="AA186" s="54"/>
      <c r="AB186" s="54"/>
      <c r="AC186" s="54"/>
    </row>
    <row r="187" spans="1:68" ht="16.5" customHeight="1" x14ac:dyDescent="0.25">
      <c r="A187" s="317" t="s">
        <v>286</v>
      </c>
      <c r="B187" s="317"/>
      <c r="C187" s="317"/>
      <c r="D187" s="317"/>
      <c r="E187" s="317"/>
      <c r="F187" s="317"/>
      <c r="G187" s="317"/>
      <c r="H187" s="317"/>
      <c r="I187" s="317"/>
      <c r="J187" s="317"/>
      <c r="K187" s="317"/>
      <c r="L187" s="317"/>
      <c r="M187" s="317"/>
      <c r="N187" s="317"/>
      <c r="O187" s="317"/>
      <c r="P187" s="317"/>
      <c r="Q187" s="317"/>
      <c r="R187" s="317"/>
      <c r="S187" s="317"/>
      <c r="T187" s="317"/>
      <c r="U187" s="317"/>
      <c r="V187" s="317"/>
      <c r="W187" s="317"/>
      <c r="X187" s="317"/>
      <c r="Y187" s="317"/>
      <c r="Z187" s="317"/>
      <c r="AA187" s="65"/>
      <c r="AB187" s="65"/>
      <c r="AC187" s="82"/>
    </row>
    <row r="188" spans="1:68" ht="14.25" customHeight="1" x14ac:dyDescent="0.25">
      <c r="A188" s="307" t="s">
        <v>109</v>
      </c>
      <c r="B188" s="307"/>
      <c r="C188" s="307"/>
      <c r="D188" s="307"/>
      <c r="E188" s="307"/>
      <c r="F188" s="307"/>
      <c r="G188" s="307"/>
      <c r="H188" s="307"/>
      <c r="I188" s="307"/>
      <c r="J188" s="307"/>
      <c r="K188" s="307"/>
      <c r="L188" s="307"/>
      <c r="M188" s="307"/>
      <c r="N188" s="307"/>
      <c r="O188" s="307"/>
      <c r="P188" s="307"/>
      <c r="Q188" s="307"/>
      <c r="R188" s="307"/>
      <c r="S188" s="307"/>
      <c r="T188" s="307"/>
      <c r="U188" s="307"/>
      <c r="V188" s="307"/>
      <c r="W188" s="307"/>
      <c r="X188" s="307"/>
      <c r="Y188" s="307"/>
      <c r="Z188" s="307"/>
      <c r="AA188" s="66"/>
      <c r="AB188" s="66"/>
      <c r="AC188" s="83"/>
    </row>
    <row r="189" spans="1:68" ht="16.5" customHeight="1" x14ac:dyDescent="0.25">
      <c r="A189" s="63" t="s">
        <v>287</v>
      </c>
      <c r="B189" s="63" t="s">
        <v>288</v>
      </c>
      <c r="C189" s="36">
        <v>4301132179</v>
      </c>
      <c r="D189" s="289">
        <v>4607111035691</v>
      </c>
      <c r="E189" s="289"/>
      <c r="F189" s="62">
        <v>0.25</v>
      </c>
      <c r="G189" s="37">
        <v>12</v>
      </c>
      <c r="H189" s="62">
        <v>3</v>
      </c>
      <c r="I189" s="62">
        <v>3.3879999999999999</v>
      </c>
      <c r="J189" s="37">
        <v>70</v>
      </c>
      <c r="K189" s="37" t="s">
        <v>114</v>
      </c>
      <c r="L189" s="37" t="s">
        <v>115</v>
      </c>
      <c r="M189" s="38" t="s">
        <v>85</v>
      </c>
      <c r="N189" s="38"/>
      <c r="O189" s="37">
        <v>365</v>
      </c>
      <c r="P189" s="33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9" s="291"/>
      <c r="R189" s="291"/>
      <c r="S189" s="291"/>
      <c r="T189" s="292"/>
      <c r="U189" s="39" t="s">
        <v>46</v>
      </c>
      <c r="V189" s="39" t="s">
        <v>46</v>
      </c>
      <c r="W189" s="40" t="s">
        <v>39</v>
      </c>
      <c r="X189" s="58">
        <v>70</v>
      </c>
      <c r="Y189" s="55">
        <f>IFERROR(IF(X189="","",X189),"")</f>
        <v>70</v>
      </c>
      <c r="Z189" s="41">
        <f>IFERROR(IF(X189="","",X189*0.01788),"")</f>
        <v>1.2516</v>
      </c>
      <c r="AA189" s="68" t="s">
        <v>46</v>
      </c>
      <c r="AB189" s="69" t="s">
        <v>46</v>
      </c>
      <c r="AC189" s="221" t="s">
        <v>289</v>
      </c>
      <c r="AG189" s="81"/>
      <c r="AJ189" s="87" t="s">
        <v>116</v>
      </c>
      <c r="AK189" s="87">
        <v>14</v>
      </c>
      <c r="BB189" s="222" t="s">
        <v>113</v>
      </c>
      <c r="BM189" s="81">
        <f>IFERROR(X189*I189,"0")</f>
        <v>237.16</v>
      </c>
      <c r="BN189" s="81">
        <f>IFERROR(Y189*I189,"0")</f>
        <v>237.16</v>
      </c>
      <c r="BO189" s="81">
        <f>IFERROR(X189/J189,"0")</f>
        <v>1</v>
      </c>
      <c r="BP189" s="81">
        <f>IFERROR(Y189/J189,"0")</f>
        <v>1</v>
      </c>
    </row>
    <row r="190" spans="1:68" ht="27" customHeight="1" x14ac:dyDescent="0.25">
      <c r="A190" s="63" t="s">
        <v>290</v>
      </c>
      <c r="B190" s="63" t="s">
        <v>291</v>
      </c>
      <c r="C190" s="36">
        <v>4301132182</v>
      </c>
      <c r="D190" s="289">
        <v>4607111035721</v>
      </c>
      <c r="E190" s="289"/>
      <c r="F190" s="62">
        <v>0.25</v>
      </c>
      <c r="G190" s="37">
        <v>12</v>
      </c>
      <c r="H190" s="62">
        <v>3</v>
      </c>
      <c r="I190" s="62">
        <v>3.3879999999999999</v>
      </c>
      <c r="J190" s="37">
        <v>70</v>
      </c>
      <c r="K190" s="37" t="s">
        <v>114</v>
      </c>
      <c r="L190" s="37" t="s">
        <v>115</v>
      </c>
      <c r="M190" s="38" t="s">
        <v>85</v>
      </c>
      <c r="N190" s="38"/>
      <c r="O190" s="37">
        <v>365</v>
      </c>
      <c r="P190" s="334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0" s="291"/>
      <c r="R190" s="291"/>
      <c r="S190" s="291"/>
      <c r="T190" s="292"/>
      <c r="U190" s="39" t="s">
        <v>46</v>
      </c>
      <c r="V190" s="39" t="s">
        <v>46</v>
      </c>
      <c r="W190" s="40" t="s">
        <v>39</v>
      </c>
      <c r="X190" s="58">
        <v>70</v>
      </c>
      <c r="Y190" s="55">
        <f>IFERROR(IF(X190="","",X190),"")</f>
        <v>70</v>
      </c>
      <c r="Z190" s="41">
        <f>IFERROR(IF(X190="","",X190*0.01788),"")</f>
        <v>1.2516</v>
      </c>
      <c r="AA190" s="68" t="s">
        <v>46</v>
      </c>
      <c r="AB190" s="69" t="s">
        <v>46</v>
      </c>
      <c r="AC190" s="223" t="s">
        <v>292</v>
      </c>
      <c r="AG190" s="81"/>
      <c r="AJ190" s="87" t="s">
        <v>116</v>
      </c>
      <c r="AK190" s="87">
        <v>14</v>
      </c>
      <c r="BB190" s="224" t="s">
        <v>113</v>
      </c>
      <c r="BM190" s="81">
        <f>IFERROR(X190*I190,"0")</f>
        <v>237.16</v>
      </c>
      <c r="BN190" s="81">
        <f>IFERROR(Y190*I190,"0")</f>
        <v>237.16</v>
      </c>
      <c r="BO190" s="81">
        <f>IFERROR(X190/J190,"0")</f>
        <v>1</v>
      </c>
      <c r="BP190" s="81">
        <f>IFERROR(Y190/J190,"0")</f>
        <v>1</v>
      </c>
    </row>
    <row r="191" spans="1:68" ht="27" customHeight="1" x14ac:dyDescent="0.25">
      <c r="A191" s="63" t="s">
        <v>293</v>
      </c>
      <c r="B191" s="63" t="s">
        <v>294</v>
      </c>
      <c r="C191" s="36">
        <v>4301132170</v>
      </c>
      <c r="D191" s="289">
        <v>4607111038487</v>
      </c>
      <c r="E191" s="289"/>
      <c r="F191" s="62">
        <v>0.25</v>
      </c>
      <c r="G191" s="37">
        <v>12</v>
      </c>
      <c r="H191" s="62">
        <v>3</v>
      </c>
      <c r="I191" s="62">
        <v>3.7360000000000002</v>
      </c>
      <c r="J191" s="37">
        <v>70</v>
      </c>
      <c r="K191" s="37" t="s">
        <v>114</v>
      </c>
      <c r="L191" s="37" t="s">
        <v>115</v>
      </c>
      <c r="M191" s="38" t="s">
        <v>85</v>
      </c>
      <c r="N191" s="38"/>
      <c r="O191" s="37">
        <v>180</v>
      </c>
      <c r="P191" s="335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1" s="291"/>
      <c r="R191" s="291"/>
      <c r="S191" s="291"/>
      <c r="T191" s="292"/>
      <c r="U191" s="39" t="s">
        <v>46</v>
      </c>
      <c r="V191" s="39" t="s">
        <v>46</v>
      </c>
      <c r="W191" s="40" t="s">
        <v>39</v>
      </c>
      <c r="X191" s="58">
        <v>42</v>
      </c>
      <c r="Y191" s="55">
        <f>IFERROR(IF(X191="","",X191),"")</f>
        <v>42</v>
      </c>
      <c r="Z191" s="41">
        <f>IFERROR(IF(X191="","",X191*0.01788),"")</f>
        <v>0.75095999999999996</v>
      </c>
      <c r="AA191" s="68" t="s">
        <v>46</v>
      </c>
      <c r="AB191" s="69" t="s">
        <v>46</v>
      </c>
      <c r="AC191" s="225" t="s">
        <v>295</v>
      </c>
      <c r="AG191" s="81"/>
      <c r="AJ191" s="87" t="s">
        <v>116</v>
      </c>
      <c r="AK191" s="87">
        <v>14</v>
      </c>
      <c r="BB191" s="226" t="s">
        <v>113</v>
      </c>
      <c r="BM191" s="81">
        <f>IFERROR(X191*I191,"0")</f>
        <v>156.91200000000001</v>
      </c>
      <c r="BN191" s="81">
        <f>IFERROR(Y191*I191,"0")</f>
        <v>156.91200000000001</v>
      </c>
      <c r="BO191" s="81">
        <f>IFERROR(X191/J191,"0")</f>
        <v>0.6</v>
      </c>
      <c r="BP191" s="81">
        <f>IFERROR(Y191/J191,"0")</f>
        <v>0.6</v>
      </c>
    </row>
    <row r="192" spans="1:68" ht="27" customHeight="1" x14ac:dyDescent="0.25">
      <c r="A192" s="63" t="s">
        <v>296</v>
      </c>
      <c r="B192" s="63" t="s">
        <v>297</v>
      </c>
      <c r="C192" s="36">
        <v>4301132243</v>
      </c>
      <c r="D192" s="289">
        <v>4620207491195</v>
      </c>
      <c r="E192" s="289"/>
      <c r="F192" s="62">
        <v>0.23</v>
      </c>
      <c r="G192" s="37">
        <v>12</v>
      </c>
      <c r="H192" s="62">
        <v>2.76</v>
      </c>
      <c r="I192" s="62">
        <v>3.1480000000000001</v>
      </c>
      <c r="J192" s="37">
        <v>70</v>
      </c>
      <c r="K192" s="37" t="s">
        <v>114</v>
      </c>
      <c r="L192" s="37" t="s">
        <v>87</v>
      </c>
      <c r="M192" s="38" t="s">
        <v>85</v>
      </c>
      <c r="N192" s="38"/>
      <c r="O192" s="37">
        <v>180</v>
      </c>
      <c r="P192" s="331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2" s="291"/>
      <c r="R192" s="291"/>
      <c r="S192" s="291"/>
      <c r="T192" s="292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IFERROR(IF(X192="","",X192*0.01788),"")</f>
        <v>0</v>
      </c>
      <c r="AA192" s="68" t="s">
        <v>46</v>
      </c>
      <c r="AB192" s="69" t="s">
        <v>46</v>
      </c>
      <c r="AC192" s="227" t="s">
        <v>298</v>
      </c>
      <c r="AG192" s="81"/>
      <c r="AJ192" s="87" t="s">
        <v>88</v>
      </c>
      <c r="AK192" s="87">
        <v>1</v>
      </c>
      <c r="BB192" s="228" t="s">
        <v>113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x14ac:dyDescent="0.2">
      <c r="A193" s="296"/>
      <c r="B193" s="296"/>
      <c r="C193" s="296"/>
      <c r="D193" s="296"/>
      <c r="E193" s="296"/>
      <c r="F193" s="296"/>
      <c r="G193" s="296"/>
      <c r="H193" s="296"/>
      <c r="I193" s="296"/>
      <c r="J193" s="296"/>
      <c r="K193" s="296"/>
      <c r="L193" s="296"/>
      <c r="M193" s="296"/>
      <c r="N193" s="296"/>
      <c r="O193" s="297"/>
      <c r="P193" s="293" t="s">
        <v>40</v>
      </c>
      <c r="Q193" s="294"/>
      <c r="R193" s="294"/>
      <c r="S193" s="294"/>
      <c r="T193" s="294"/>
      <c r="U193" s="294"/>
      <c r="V193" s="295"/>
      <c r="W193" s="42" t="s">
        <v>39</v>
      </c>
      <c r="X193" s="43">
        <f>IFERROR(SUM(X189:X192),"0")</f>
        <v>182</v>
      </c>
      <c r="Y193" s="43">
        <f>IFERROR(SUM(Y189:Y192),"0")</f>
        <v>182</v>
      </c>
      <c r="Z193" s="43">
        <f>IFERROR(IF(Z189="",0,Z189),"0")+IFERROR(IF(Z190="",0,Z190),"0")+IFERROR(IF(Z191="",0,Z191),"0")+IFERROR(IF(Z192="",0,Z192),"0")</f>
        <v>3.2541600000000002</v>
      </c>
      <c r="AA193" s="67"/>
      <c r="AB193" s="67"/>
      <c r="AC193" s="67"/>
    </row>
    <row r="194" spans="1:68" x14ac:dyDescent="0.2">
      <c r="A194" s="296"/>
      <c r="B194" s="296"/>
      <c r="C194" s="296"/>
      <c r="D194" s="296"/>
      <c r="E194" s="296"/>
      <c r="F194" s="296"/>
      <c r="G194" s="296"/>
      <c r="H194" s="296"/>
      <c r="I194" s="296"/>
      <c r="J194" s="296"/>
      <c r="K194" s="296"/>
      <c r="L194" s="296"/>
      <c r="M194" s="296"/>
      <c r="N194" s="296"/>
      <c r="O194" s="297"/>
      <c r="P194" s="293" t="s">
        <v>40</v>
      </c>
      <c r="Q194" s="294"/>
      <c r="R194" s="294"/>
      <c r="S194" s="294"/>
      <c r="T194" s="294"/>
      <c r="U194" s="294"/>
      <c r="V194" s="295"/>
      <c r="W194" s="42" t="s">
        <v>0</v>
      </c>
      <c r="X194" s="43">
        <f>IFERROR(SUMPRODUCT(X189:X192*H189:H192),"0")</f>
        <v>546</v>
      </c>
      <c r="Y194" s="43">
        <f>IFERROR(SUMPRODUCT(Y189:Y192*H189:H192),"0")</f>
        <v>546</v>
      </c>
      <c r="Z194" s="42"/>
      <c r="AA194" s="67"/>
      <c r="AB194" s="67"/>
      <c r="AC194" s="67"/>
    </row>
    <row r="195" spans="1:68" ht="27.75" customHeight="1" x14ac:dyDescent="0.2">
      <c r="A195" s="316" t="s">
        <v>299</v>
      </c>
      <c r="B195" s="316"/>
      <c r="C195" s="316"/>
      <c r="D195" s="316"/>
      <c r="E195" s="316"/>
      <c r="F195" s="316"/>
      <c r="G195" s="316"/>
      <c r="H195" s="316"/>
      <c r="I195" s="316"/>
      <c r="J195" s="316"/>
      <c r="K195" s="316"/>
      <c r="L195" s="316"/>
      <c r="M195" s="316"/>
      <c r="N195" s="316"/>
      <c r="O195" s="316"/>
      <c r="P195" s="316"/>
      <c r="Q195" s="316"/>
      <c r="R195" s="316"/>
      <c r="S195" s="316"/>
      <c r="T195" s="316"/>
      <c r="U195" s="316"/>
      <c r="V195" s="316"/>
      <c r="W195" s="316"/>
      <c r="X195" s="316"/>
      <c r="Y195" s="316"/>
      <c r="Z195" s="316"/>
      <c r="AA195" s="54"/>
      <c r="AB195" s="54"/>
      <c r="AC195" s="54"/>
    </row>
    <row r="196" spans="1:68" ht="16.5" customHeight="1" x14ac:dyDescent="0.25">
      <c r="A196" s="317" t="s">
        <v>300</v>
      </c>
      <c r="B196" s="317"/>
      <c r="C196" s="317"/>
      <c r="D196" s="317"/>
      <c r="E196" s="317"/>
      <c r="F196" s="317"/>
      <c r="G196" s="317"/>
      <c r="H196" s="317"/>
      <c r="I196" s="317"/>
      <c r="J196" s="317"/>
      <c r="K196" s="317"/>
      <c r="L196" s="317"/>
      <c r="M196" s="317"/>
      <c r="N196" s="317"/>
      <c r="O196" s="317"/>
      <c r="P196" s="317"/>
      <c r="Q196" s="317"/>
      <c r="R196" s="317"/>
      <c r="S196" s="317"/>
      <c r="T196" s="317"/>
      <c r="U196" s="317"/>
      <c r="V196" s="317"/>
      <c r="W196" s="317"/>
      <c r="X196" s="317"/>
      <c r="Y196" s="317"/>
      <c r="Z196" s="317"/>
      <c r="AA196" s="65"/>
      <c r="AB196" s="65"/>
      <c r="AC196" s="82"/>
    </row>
    <row r="197" spans="1:68" ht="14.25" customHeight="1" x14ac:dyDescent="0.25">
      <c r="A197" s="307" t="s">
        <v>109</v>
      </c>
      <c r="B197" s="307"/>
      <c r="C197" s="307"/>
      <c r="D197" s="307"/>
      <c r="E197" s="307"/>
      <c r="F197" s="307"/>
      <c r="G197" s="307"/>
      <c r="H197" s="307"/>
      <c r="I197" s="307"/>
      <c r="J197" s="307"/>
      <c r="K197" s="307"/>
      <c r="L197" s="307"/>
      <c r="M197" s="307"/>
      <c r="N197" s="307"/>
      <c r="O197" s="307"/>
      <c r="P197" s="307"/>
      <c r="Q197" s="307"/>
      <c r="R197" s="307"/>
      <c r="S197" s="307"/>
      <c r="T197" s="307"/>
      <c r="U197" s="307"/>
      <c r="V197" s="307"/>
      <c r="W197" s="307"/>
      <c r="X197" s="307"/>
      <c r="Y197" s="307"/>
      <c r="Z197" s="307"/>
      <c r="AA197" s="66"/>
      <c r="AB197" s="66"/>
      <c r="AC197" s="83"/>
    </row>
    <row r="198" spans="1:68" ht="27" customHeight="1" x14ac:dyDescent="0.25">
      <c r="A198" s="63" t="s">
        <v>301</v>
      </c>
      <c r="B198" s="63" t="s">
        <v>302</v>
      </c>
      <c r="C198" s="36">
        <v>4301132227</v>
      </c>
      <c r="D198" s="289">
        <v>4620207491133</v>
      </c>
      <c r="E198" s="289"/>
      <c r="F198" s="62">
        <v>0.23</v>
      </c>
      <c r="G198" s="37">
        <v>12</v>
      </c>
      <c r="H198" s="62">
        <v>2.76</v>
      </c>
      <c r="I198" s="62">
        <v>2.98</v>
      </c>
      <c r="J198" s="37">
        <v>70</v>
      </c>
      <c r="K198" s="37" t="s">
        <v>114</v>
      </c>
      <c r="L198" s="37" t="s">
        <v>115</v>
      </c>
      <c r="M198" s="38" t="s">
        <v>85</v>
      </c>
      <c r="N198" s="38"/>
      <c r="O198" s="37">
        <v>180</v>
      </c>
      <c r="P198" s="33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8" s="291"/>
      <c r="R198" s="291"/>
      <c r="S198" s="291"/>
      <c r="T198" s="292"/>
      <c r="U198" s="39" t="s">
        <v>46</v>
      </c>
      <c r="V198" s="39" t="s">
        <v>46</v>
      </c>
      <c r="W198" s="40" t="s">
        <v>39</v>
      </c>
      <c r="X198" s="58">
        <v>0</v>
      </c>
      <c r="Y198" s="55">
        <f>IFERROR(IF(X198="","",X198),"")</f>
        <v>0</v>
      </c>
      <c r="Z198" s="41">
        <f>IFERROR(IF(X198="","",X198*0.01788),"")</f>
        <v>0</v>
      </c>
      <c r="AA198" s="68" t="s">
        <v>46</v>
      </c>
      <c r="AB198" s="69" t="s">
        <v>46</v>
      </c>
      <c r="AC198" s="229" t="s">
        <v>303</v>
      </c>
      <c r="AG198" s="81"/>
      <c r="AJ198" s="87" t="s">
        <v>116</v>
      </c>
      <c r="AK198" s="87">
        <v>14</v>
      </c>
      <c r="BB198" s="230" t="s">
        <v>113</v>
      </c>
      <c r="BM198" s="81">
        <f>IFERROR(X198*I198,"0")</f>
        <v>0</v>
      </c>
      <c r="BN198" s="81">
        <f>IFERROR(Y198*I198,"0")</f>
        <v>0</v>
      </c>
      <c r="BO198" s="81">
        <f>IFERROR(X198/J198,"0")</f>
        <v>0</v>
      </c>
      <c r="BP198" s="81">
        <f>IFERROR(Y198/J198,"0")</f>
        <v>0</v>
      </c>
    </row>
    <row r="199" spans="1:68" x14ac:dyDescent="0.2">
      <c r="A199" s="296"/>
      <c r="B199" s="296"/>
      <c r="C199" s="296"/>
      <c r="D199" s="296"/>
      <c r="E199" s="296"/>
      <c r="F199" s="296"/>
      <c r="G199" s="296"/>
      <c r="H199" s="296"/>
      <c r="I199" s="296"/>
      <c r="J199" s="296"/>
      <c r="K199" s="296"/>
      <c r="L199" s="296"/>
      <c r="M199" s="296"/>
      <c r="N199" s="296"/>
      <c r="O199" s="297"/>
      <c r="P199" s="293" t="s">
        <v>40</v>
      </c>
      <c r="Q199" s="294"/>
      <c r="R199" s="294"/>
      <c r="S199" s="294"/>
      <c r="T199" s="294"/>
      <c r="U199" s="294"/>
      <c r="V199" s="295"/>
      <c r="W199" s="42" t="s">
        <v>39</v>
      </c>
      <c r="X199" s="43">
        <f>IFERROR(SUM(X198:X198),"0")</f>
        <v>0</v>
      </c>
      <c r="Y199" s="43">
        <f>IFERROR(SUM(Y198:Y198),"0")</f>
        <v>0</v>
      </c>
      <c r="Z199" s="43">
        <f>IFERROR(IF(Z198="",0,Z198),"0")</f>
        <v>0</v>
      </c>
      <c r="AA199" s="67"/>
      <c r="AB199" s="67"/>
      <c r="AC199" s="67"/>
    </row>
    <row r="200" spans="1:68" x14ac:dyDescent="0.2">
      <c r="A200" s="296"/>
      <c r="B200" s="296"/>
      <c r="C200" s="296"/>
      <c r="D200" s="296"/>
      <c r="E200" s="296"/>
      <c r="F200" s="296"/>
      <c r="G200" s="296"/>
      <c r="H200" s="296"/>
      <c r="I200" s="296"/>
      <c r="J200" s="296"/>
      <c r="K200" s="296"/>
      <c r="L200" s="296"/>
      <c r="M200" s="296"/>
      <c r="N200" s="296"/>
      <c r="O200" s="297"/>
      <c r="P200" s="293" t="s">
        <v>40</v>
      </c>
      <c r="Q200" s="294"/>
      <c r="R200" s="294"/>
      <c r="S200" s="294"/>
      <c r="T200" s="294"/>
      <c r="U200" s="294"/>
      <c r="V200" s="295"/>
      <c r="W200" s="42" t="s">
        <v>0</v>
      </c>
      <c r="X200" s="43">
        <f>IFERROR(SUMPRODUCT(X198:X198*H198:H198),"0")</f>
        <v>0</v>
      </c>
      <c r="Y200" s="43">
        <f>IFERROR(SUMPRODUCT(Y198:Y198*H198:H198),"0")</f>
        <v>0</v>
      </c>
      <c r="Z200" s="42"/>
      <c r="AA200" s="67"/>
      <c r="AB200" s="67"/>
      <c r="AC200" s="67"/>
    </row>
    <row r="201" spans="1:68" ht="14.25" customHeight="1" x14ac:dyDescent="0.25">
      <c r="A201" s="307" t="s">
        <v>153</v>
      </c>
      <c r="B201" s="307"/>
      <c r="C201" s="307"/>
      <c r="D201" s="307"/>
      <c r="E201" s="307"/>
      <c r="F201" s="307"/>
      <c r="G201" s="307"/>
      <c r="H201" s="307"/>
      <c r="I201" s="307"/>
      <c r="J201" s="307"/>
      <c r="K201" s="307"/>
      <c r="L201" s="307"/>
      <c r="M201" s="307"/>
      <c r="N201" s="307"/>
      <c r="O201" s="307"/>
      <c r="P201" s="307"/>
      <c r="Q201" s="307"/>
      <c r="R201" s="307"/>
      <c r="S201" s="307"/>
      <c r="T201" s="307"/>
      <c r="U201" s="307"/>
      <c r="V201" s="307"/>
      <c r="W201" s="307"/>
      <c r="X201" s="307"/>
      <c r="Y201" s="307"/>
      <c r="Z201" s="307"/>
      <c r="AA201" s="66"/>
      <c r="AB201" s="66"/>
      <c r="AC201" s="83"/>
    </row>
    <row r="202" spans="1:68" ht="27" customHeight="1" x14ac:dyDescent="0.25">
      <c r="A202" s="63" t="s">
        <v>304</v>
      </c>
      <c r="B202" s="63" t="s">
        <v>305</v>
      </c>
      <c r="C202" s="36">
        <v>4301135834</v>
      </c>
      <c r="D202" s="289">
        <v>4620207491188</v>
      </c>
      <c r="E202" s="289"/>
      <c r="F202" s="62">
        <v>0.2</v>
      </c>
      <c r="G202" s="37">
        <v>12</v>
      </c>
      <c r="H202" s="62">
        <v>2.4</v>
      </c>
      <c r="I202" s="62">
        <v>3.1036000000000001</v>
      </c>
      <c r="J202" s="37">
        <v>70</v>
      </c>
      <c r="K202" s="37" t="s">
        <v>114</v>
      </c>
      <c r="L202" s="37" t="s">
        <v>87</v>
      </c>
      <c r="M202" s="38" t="s">
        <v>85</v>
      </c>
      <c r="N202" s="38"/>
      <c r="O202" s="37">
        <v>180</v>
      </c>
      <c r="P202" s="328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2" s="291"/>
      <c r="R202" s="291"/>
      <c r="S202" s="291"/>
      <c r="T202" s="292"/>
      <c r="U202" s="39" t="s">
        <v>46</v>
      </c>
      <c r="V202" s="39" t="s">
        <v>46</v>
      </c>
      <c r="W202" s="40" t="s">
        <v>39</v>
      </c>
      <c r="X202" s="58">
        <v>0</v>
      </c>
      <c r="Y202" s="55">
        <f>IFERROR(IF(X202="","",X202),"")</f>
        <v>0</v>
      </c>
      <c r="Z202" s="41">
        <f>IFERROR(IF(X202="","",X202*0.01788),"")</f>
        <v>0</v>
      </c>
      <c r="AA202" s="68" t="s">
        <v>46</v>
      </c>
      <c r="AB202" s="69" t="s">
        <v>46</v>
      </c>
      <c r="AC202" s="231" t="s">
        <v>306</v>
      </c>
      <c r="AG202" s="81"/>
      <c r="AJ202" s="87" t="s">
        <v>88</v>
      </c>
      <c r="AK202" s="87">
        <v>1</v>
      </c>
      <c r="BB202" s="232" t="s">
        <v>113</v>
      </c>
      <c r="BM202" s="81">
        <f>IFERROR(X202*I202,"0")</f>
        <v>0</v>
      </c>
      <c r="BN202" s="81">
        <f>IFERROR(Y202*I202,"0")</f>
        <v>0</v>
      </c>
      <c r="BO202" s="81">
        <f>IFERROR(X202/J202,"0")</f>
        <v>0</v>
      </c>
      <c r="BP202" s="81">
        <f>IFERROR(Y202/J202,"0")</f>
        <v>0</v>
      </c>
    </row>
    <row r="203" spans="1:68" ht="27" customHeight="1" x14ac:dyDescent="0.25">
      <c r="A203" s="63" t="s">
        <v>307</v>
      </c>
      <c r="B203" s="63" t="s">
        <v>308</v>
      </c>
      <c r="C203" s="36">
        <v>4301135707</v>
      </c>
      <c r="D203" s="289">
        <v>4620207490198</v>
      </c>
      <c r="E203" s="289"/>
      <c r="F203" s="62">
        <v>0.2</v>
      </c>
      <c r="G203" s="37">
        <v>12</v>
      </c>
      <c r="H203" s="62">
        <v>2.4</v>
      </c>
      <c r="I203" s="62">
        <v>3.1036000000000001</v>
      </c>
      <c r="J203" s="37">
        <v>70</v>
      </c>
      <c r="K203" s="37" t="s">
        <v>114</v>
      </c>
      <c r="L203" s="37" t="s">
        <v>115</v>
      </c>
      <c r="M203" s="38" t="s">
        <v>85</v>
      </c>
      <c r="N203" s="38"/>
      <c r="O203" s="37">
        <v>180</v>
      </c>
      <c r="P203" s="329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3" s="291"/>
      <c r="R203" s="291"/>
      <c r="S203" s="291"/>
      <c r="T203" s="292"/>
      <c r="U203" s="39" t="s">
        <v>46</v>
      </c>
      <c r="V203" s="39" t="s">
        <v>46</v>
      </c>
      <c r="W203" s="40" t="s">
        <v>39</v>
      </c>
      <c r="X203" s="58">
        <v>0</v>
      </c>
      <c r="Y203" s="55">
        <f>IFERROR(IF(X203="","",X203),"")</f>
        <v>0</v>
      </c>
      <c r="Z203" s="41">
        <f>IFERROR(IF(X203="","",X203*0.01788),"")</f>
        <v>0</v>
      </c>
      <c r="AA203" s="68" t="s">
        <v>46</v>
      </c>
      <c r="AB203" s="69" t="s">
        <v>46</v>
      </c>
      <c r="AC203" s="233" t="s">
        <v>309</v>
      </c>
      <c r="AG203" s="81"/>
      <c r="AJ203" s="87" t="s">
        <v>116</v>
      </c>
      <c r="AK203" s="87">
        <v>14</v>
      </c>
      <c r="BB203" s="234" t="s">
        <v>113</v>
      </c>
      <c r="BM203" s="81">
        <f>IFERROR(X203*I203,"0")</f>
        <v>0</v>
      </c>
      <c r="BN203" s="81">
        <f>IFERROR(Y203*I203,"0")</f>
        <v>0</v>
      </c>
      <c r="BO203" s="81">
        <f>IFERROR(X203/J203,"0")</f>
        <v>0</v>
      </c>
      <c r="BP203" s="81">
        <f>IFERROR(Y203/J203,"0")</f>
        <v>0</v>
      </c>
    </row>
    <row r="204" spans="1:68" ht="27" customHeight="1" x14ac:dyDescent="0.25">
      <c r="A204" s="63" t="s">
        <v>310</v>
      </c>
      <c r="B204" s="63" t="s">
        <v>311</v>
      </c>
      <c r="C204" s="36">
        <v>4301135829</v>
      </c>
      <c r="D204" s="289">
        <v>4620207490235</v>
      </c>
      <c r="E204" s="289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114</v>
      </c>
      <c r="L204" s="37" t="s">
        <v>87</v>
      </c>
      <c r="M204" s="38" t="s">
        <v>85</v>
      </c>
      <c r="N204" s="38"/>
      <c r="O204" s="37">
        <v>180</v>
      </c>
      <c r="P204" s="330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4" s="291"/>
      <c r="R204" s="291"/>
      <c r="S204" s="291"/>
      <c r="T204" s="292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35" t="s">
        <v>312</v>
      </c>
      <c r="AG204" s="81"/>
      <c r="AJ204" s="87" t="s">
        <v>88</v>
      </c>
      <c r="AK204" s="87">
        <v>1</v>
      </c>
      <c r="BB204" s="236" t="s">
        <v>113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t="27" customHeight="1" x14ac:dyDescent="0.25">
      <c r="A205" s="63" t="s">
        <v>313</v>
      </c>
      <c r="B205" s="63" t="s">
        <v>314</v>
      </c>
      <c r="C205" s="36">
        <v>4301135697</v>
      </c>
      <c r="D205" s="289">
        <v>4620207490259</v>
      </c>
      <c r="E205" s="289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114</v>
      </c>
      <c r="L205" s="37" t="s">
        <v>115</v>
      </c>
      <c r="M205" s="38" t="s">
        <v>85</v>
      </c>
      <c r="N205" s="38"/>
      <c r="O205" s="37">
        <v>180</v>
      </c>
      <c r="P205" s="32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5" s="291"/>
      <c r="R205" s="291"/>
      <c r="S205" s="291"/>
      <c r="T205" s="292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37" t="s">
        <v>309</v>
      </c>
      <c r="AG205" s="81"/>
      <c r="AJ205" s="87" t="s">
        <v>116</v>
      </c>
      <c r="AK205" s="87">
        <v>14</v>
      </c>
      <c r="BB205" s="238" t="s">
        <v>113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x14ac:dyDescent="0.2">
      <c r="A206" s="296"/>
      <c r="B206" s="296"/>
      <c r="C206" s="296"/>
      <c r="D206" s="296"/>
      <c r="E206" s="296"/>
      <c r="F206" s="296"/>
      <c r="G206" s="296"/>
      <c r="H206" s="296"/>
      <c r="I206" s="296"/>
      <c r="J206" s="296"/>
      <c r="K206" s="296"/>
      <c r="L206" s="296"/>
      <c r="M206" s="296"/>
      <c r="N206" s="296"/>
      <c r="O206" s="297"/>
      <c r="P206" s="293" t="s">
        <v>40</v>
      </c>
      <c r="Q206" s="294"/>
      <c r="R206" s="294"/>
      <c r="S206" s="294"/>
      <c r="T206" s="294"/>
      <c r="U206" s="294"/>
      <c r="V206" s="295"/>
      <c r="W206" s="42" t="s">
        <v>39</v>
      </c>
      <c r="X206" s="43">
        <f>IFERROR(SUM(X202:X205),"0")</f>
        <v>0</v>
      </c>
      <c r="Y206" s="43">
        <f>IFERROR(SUM(Y202:Y205),"0")</f>
        <v>0</v>
      </c>
      <c r="Z206" s="43">
        <f>IFERROR(IF(Z202="",0,Z202),"0")+IFERROR(IF(Z203="",0,Z203),"0")+IFERROR(IF(Z204="",0,Z204),"0")+IFERROR(IF(Z205="",0,Z205),"0")</f>
        <v>0</v>
      </c>
      <c r="AA206" s="67"/>
      <c r="AB206" s="67"/>
      <c r="AC206" s="67"/>
    </row>
    <row r="207" spans="1:68" x14ac:dyDescent="0.2">
      <c r="A207" s="296"/>
      <c r="B207" s="296"/>
      <c r="C207" s="296"/>
      <c r="D207" s="296"/>
      <c r="E207" s="296"/>
      <c r="F207" s="296"/>
      <c r="G207" s="296"/>
      <c r="H207" s="296"/>
      <c r="I207" s="296"/>
      <c r="J207" s="296"/>
      <c r="K207" s="296"/>
      <c r="L207" s="296"/>
      <c r="M207" s="296"/>
      <c r="N207" s="296"/>
      <c r="O207" s="297"/>
      <c r="P207" s="293" t="s">
        <v>40</v>
      </c>
      <c r="Q207" s="294"/>
      <c r="R207" s="294"/>
      <c r="S207" s="294"/>
      <c r="T207" s="294"/>
      <c r="U207" s="294"/>
      <c r="V207" s="295"/>
      <c r="W207" s="42" t="s">
        <v>0</v>
      </c>
      <c r="X207" s="43">
        <f>IFERROR(SUMPRODUCT(X202:X205*H202:H205),"0")</f>
        <v>0</v>
      </c>
      <c r="Y207" s="43">
        <f>IFERROR(SUMPRODUCT(Y202:Y205*H202:H205),"0")</f>
        <v>0</v>
      </c>
      <c r="Z207" s="42"/>
      <c r="AA207" s="67"/>
      <c r="AB207" s="67"/>
      <c r="AC207" s="67"/>
    </row>
    <row r="208" spans="1:68" ht="16.5" customHeight="1" x14ac:dyDescent="0.25">
      <c r="A208" s="317" t="s">
        <v>315</v>
      </c>
      <c r="B208" s="317"/>
      <c r="C208" s="317"/>
      <c r="D208" s="317"/>
      <c r="E208" s="317"/>
      <c r="F208" s="317"/>
      <c r="G208" s="317"/>
      <c r="H208" s="317"/>
      <c r="I208" s="317"/>
      <c r="J208" s="317"/>
      <c r="K208" s="317"/>
      <c r="L208" s="317"/>
      <c r="M208" s="317"/>
      <c r="N208" s="317"/>
      <c r="O208" s="317"/>
      <c r="P208" s="317"/>
      <c r="Q208" s="317"/>
      <c r="R208" s="317"/>
      <c r="S208" s="317"/>
      <c r="T208" s="317"/>
      <c r="U208" s="317"/>
      <c r="V208" s="317"/>
      <c r="W208" s="317"/>
      <c r="X208" s="317"/>
      <c r="Y208" s="317"/>
      <c r="Z208" s="317"/>
      <c r="AA208" s="65"/>
      <c r="AB208" s="65"/>
      <c r="AC208" s="82"/>
    </row>
    <row r="209" spans="1:68" ht="14.25" customHeight="1" x14ac:dyDescent="0.25">
      <c r="A209" s="307" t="s">
        <v>81</v>
      </c>
      <c r="B209" s="307"/>
      <c r="C209" s="307"/>
      <c r="D209" s="307"/>
      <c r="E209" s="307"/>
      <c r="F209" s="307"/>
      <c r="G209" s="307"/>
      <c r="H209" s="307"/>
      <c r="I209" s="307"/>
      <c r="J209" s="307"/>
      <c r="K209" s="307"/>
      <c r="L209" s="307"/>
      <c r="M209" s="307"/>
      <c r="N209" s="307"/>
      <c r="O209" s="307"/>
      <c r="P209" s="307"/>
      <c r="Q209" s="307"/>
      <c r="R209" s="307"/>
      <c r="S209" s="307"/>
      <c r="T209" s="307"/>
      <c r="U209" s="307"/>
      <c r="V209" s="307"/>
      <c r="W209" s="307"/>
      <c r="X209" s="307"/>
      <c r="Y209" s="307"/>
      <c r="Z209" s="307"/>
      <c r="AA209" s="66"/>
      <c r="AB209" s="66"/>
      <c r="AC209" s="83"/>
    </row>
    <row r="210" spans="1:68" ht="27" customHeight="1" x14ac:dyDescent="0.25">
      <c r="A210" s="63" t="s">
        <v>316</v>
      </c>
      <c r="B210" s="63" t="s">
        <v>317</v>
      </c>
      <c r="C210" s="36">
        <v>4301071097</v>
      </c>
      <c r="D210" s="289">
        <v>4620207491096</v>
      </c>
      <c r="E210" s="289"/>
      <c r="F210" s="62">
        <v>1</v>
      </c>
      <c r="G210" s="37">
        <v>5</v>
      </c>
      <c r="H210" s="62">
        <v>5</v>
      </c>
      <c r="I210" s="62">
        <v>5.23</v>
      </c>
      <c r="J210" s="37">
        <v>84</v>
      </c>
      <c r="K210" s="37" t="s">
        <v>86</v>
      </c>
      <c r="L210" s="37" t="s">
        <v>115</v>
      </c>
      <c r="M210" s="38" t="s">
        <v>85</v>
      </c>
      <c r="N210" s="38"/>
      <c r="O210" s="37">
        <v>180</v>
      </c>
      <c r="P210" s="32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0" s="291"/>
      <c r="R210" s="291"/>
      <c r="S210" s="291"/>
      <c r="T210" s="292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IFERROR(IF(X210="","",X210*0.0155),"")</f>
        <v>0</v>
      </c>
      <c r="AA210" s="68" t="s">
        <v>46</v>
      </c>
      <c r="AB210" s="69" t="s">
        <v>46</v>
      </c>
      <c r="AC210" s="239" t="s">
        <v>318</v>
      </c>
      <c r="AG210" s="81"/>
      <c r="AJ210" s="87" t="s">
        <v>116</v>
      </c>
      <c r="AK210" s="87">
        <v>12</v>
      </c>
      <c r="BB210" s="240" t="s">
        <v>70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x14ac:dyDescent="0.2">
      <c r="A211" s="296"/>
      <c r="B211" s="296"/>
      <c r="C211" s="296"/>
      <c r="D211" s="296"/>
      <c r="E211" s="296"/>
      <c r="F211" s="296"/>
      <c r="G211" s="296"/>
      <c r="H211" s="296"/>
      <c r="I211" s="296"/>
      <c r="J211" s="296"/>
      <c r="K211" s="296"/>
      <c r="L211" s="296"/>
      <c r="M211" s="296"/>
      <c r="N211" s="296"/>
      <c r="O211" s="297"/>
      <c r="P211" s="293" t="s">
        <v>40</v>
      </c>
      <c r="Q211" s="294"/>
      <c r="R211" s="294"/>
      <c r="S211" s="294"/>
      <c r="T211" s="294"/>
      <c r="U211" s="294"/>
      <c r="V211" s="295"/>
      <c r="W211" s="42" t="s">
        <v>39</v>
      </c>
      <c r="X211" s="43">
        <f>IFERROR(SUM(X210:X210),"0")</f>
        <v>0</v>
      </c>
      <c r="Y211" s="43">
        <f>IFERROR(SUM(Y210:Y210),"0")</f>
        <v>0</v>
      </c>
      <c r="Z211" s="43">
        <f>IFERROR(IF(Z210="",0,Z210),"0")</f>
        <v>0</v>
      </c>
      <c r="AA211" s="67"/>
      <c r="AB211" s="67"/>
      <c r="AC211" s="67"/>
    </row>
    <row r="212" spans="1:68" x14ac:dyDescent="0.2">
      <c r="A212" s="296"/>
      <c r="B212" s="296"/>
      <c r="C212" s="296"/>
      <c r="D212" s="296"/>
      <c r="E212" s="296"/>
      <c r="F212" s="296"/>
      <c r="G212" s="296"/>
      <c r="H212" s="296"/>
      <c r="I212" s="296"/>
      <c r="J212" s="296"/>
      <c r="K212" s="296"/>
      <c r="L212" s="296"/>
      <c r="M212" s="296"/>
      <c r="N212" s="296"/>
      <c r="O212" s="297"/>
      <c r="P212" s="293" t="s">
        <v>40</v>
      </c>
      <c r="Q212" s="294"/>
      <c r="R212" s="294"/>
      <c r="S212" s="294"/>
      <c r="T212" s="294"/>
      <c r="U212" s="294"/>
      <c r="V212" s="295"/>
      <c r="W212" s="42" t="s">
        <v>0</v>
      </c>
      <c r="X212" s="43">
        <f>IFERROR(SUMPRODUCT(X210:X210*H210:H210),"0")</f>
        <v>0</v>
      </c>
      <c r="Y212" s="43">
        <f>IFERROR(SUMPRODUCT(Y210:Y210*H210:H210),"0")</f>
        <v>0</v>
      </c>
      <c r="Z212" s="42"/>
      <c r="AA212" s="67"/>
      <c r="AB212" s="67"/>
      <c r="AC212" s="67"/>
    </row>
    <row r="213" spans="1:68" ht="16.5" customHeight="1" x14ac:dyDescent="0.25">
      <c r="A213" s="317" t="s">
        <v>319</v>
      </c>
      <c r="B213" s="317"/>
      <c r="C213" s="317"/>
      <c r="D213" s="317"/>
      <c r="E213" s="317"/>
      <c r="F213" s="317"/>
      <c r="G213" s="317"/>
      <c r="H213" s="317"/>
      <c r="I213" s="317"/>
      <c r="J213" s="317"/>
      <c r="K213" s="317"/>
      <c r="L213" s="317"/>
      <c r="M213" s="317"/>
      <c r="N213" s="317"/>
      <c r="O213" s="317"/>
      <c r="P213" s="317"/>
      <c r="Q213" s="317"/>
      <c r="R213" s="317"/>
      <c r="S213" s="317"/>
      <c r="T213" s="317"/>
      <c r="U213" s="317"/>
      <c r="V213" s="317"/>
      <c r="W213" s="317"/>
      <c r="X213" s="317"/>
      <c r="Y213" s="317"/>
      <c r="Z213" s="317"/>
      <c r="AA213" s="65"/>
      <c r="AB213" s="65"/>
      <c r="AC213" s="82"/>
    </row>
    <row r="214" spans="1:68" ht="14.25" customHeight="1" x14ac:dyDescent="0.25">
      <c r="A214" s="307" t="s">
        <v>153</v>
      </c>
      <c r="B214" s="307"/>
      <c r="C214" s="307"/>
      <c r="D214" s="307"/>
      <c r="E214" s="307"/>
      <c r="F214" s="307"/>
      <c r="G214" s="307"/>
      <c r="H214" s="307"/>
      <c r="I214" s="307"/>
      <c r="J214" s="307"/>
      <c r="K214" s="307"/>
      <c r="L214" s="307"/>
      <c r="M214" s="307"/>
      <c r="N214" s="307"/>
      <c r="O214" s="307"/>
      <c r="P214" s="307"/>
      <c r="Q214" s="307"/>
      <c r="R214" s="307"/>
      <c r="S214" s="307"/>
      <c r="T214" s="307"/>
      <c r="U214" s="307"/>
      <c r="V214" s="307"/>
      <c r="W214" s="307"/>
      <c r="X214" s="307"/>
      <c r="Y214" s="307"/>
      <c r="Z214" s="307"/>
      <c r="AA214" s="66"/>
      <c r="AB214" s="66"/>
      <c r="AC214" s="83"/>
    </row>
    <row r="215" spans="1:68" ht="27" customHeight="1" x14ac:dyDescent="0.25">
      <c r="A215" s="63" t="s">
        <v>320</v>
      </c>
      <c r="B215" s="63" t="s">
        <v>321</v>
      </c>
      <c r="C215" s="36">
        <v>4301135691</v>
      </c>
      <c r="D215" s="289">
        <v>4620207490549</v>
      </c>
      <c r="E215" s="289"/>
      <c r="F215" s="62">
        <v>0.2</v>
      </c>
      <c r="G215" s="37">
        <v>12</v>
      </c>
      <c r="H215" s="62">
        <v>2.4</v>
      </c>
      <c r="I215" s="62">
        <v>3.1036000000000001</v>
      </c>
      <c r="J215" s="37">
        <v>70</v>
      </c>
      <c r="K215" s="37" t="s">
        <v>114</v>
      </c>
      <c r="L215" s="37" t="s">
        <v>87</v>
      </c>
      <c r="M215" s="38" t="s">
        <v>85</v>
      </c>
      <c r="N215" s="38"/>
      <c r="O215" s="37">
        <v>180</v>
      </c>
      <c r="P215" s="324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5" s="291"/>
      <c r="R215" s="291"/>
      <c r="S215" s="291"/>
      <c r="T215" s="292"/>
      <c r="U215" s="39" t="s">
        <v>46</v>
      </c>
      <c r="V215" s="39" t="s">
        <v>46</v>
      </c>
      <c r="W215" s="40" t="s">
        <v>39</v>
      </c>
      <c r="X215" s="58">
        <v>0</v>
      </c>
      <c r="Y215" s="55">
        <f>IFERROR(IF(X215="","",X215),"")</f>
        <v>0</v>
      </c>
      <c r="Z215" s="41">
        <f>IFERROR(IF(X215="","",X215*0.01788),"")</f>
        <v>0</v>
      </c>
      <c r="AA215" s="68" t="s">
        <v>46</v>
      </c>
      <c r="AB215" s="69" t="s">
        <v>46</v>
      </c>
      <c r="AC215" s="241" t="s">
        <v>322</v>
      </c>
      <c r="AG215" s="81"/>
      <c r="AJ215" s="87" t="s">
        <v>88</v>
      </c>
      <c r="AK215" s="87">
        <v>1</v>
      </c>
      <c r="BB215" s="242" t="s">
        <v>113</v>
      </c>
      <c r="BM215" s="81">
        <f>IFERROR(X215*I215,"0")</f>
        <v>0</v>
      </c>
      <c r="BN215" s="81">
        <f>IFERROR(Y215*I215,"0")</f>
        <v>0</v>
      </c>
      <c r="BO215" s="81">
        <f>IFERROR(X215/J215,"0")</f>
        <v>0</v>
      </c>
      <c r="BP215" s="81">
        <f>IFERROR(Y215/J215,"0")</f>
        <v>0</v>
      </c>
    </row>
    <row r="216" spans="1:68" ht="27" customHeight="1" x14ac:dyDescent="0.25">
      <c r="A216" s="63" t="s">
        <v>323</v>
      </c>
      <c r="B216" s="63" t="s">
        <v>324</v>
      </c>
      <c r="C216" s="36">
        <v>4301135694</v>
      </c>
      <c r="D216" s="289">
        <v>4620207490501</v>
      </c>
      <c r="E216" s="289"/>
      <c r="F216" s="62">
        <v>0.2</v>
      </c>
      <c r="G216" s="37">
        <v>12</v>
      </c>
      <c r="H216" s="62">
        <v>2.4</v>
      </c>
      <c r="I216" s="62">
        <v>3.1036000000000001</v>
      </c>
      <c r="J216" s="37">
        <v>70</v>
      </c>
      <c r="K216" s="37" t="s">
        <v>114</v>
      </c>
      <c r="L216" s="37" t="s">
        <v>87</v>
      </c>
      <c r="M216" s="38" t="s">
        <v>85</v>
      </c>
      <c r="N216" s="38"/>
      <c r="O216" s="37">
        <v>180</v>
      </c>
      <c r="P216" s="325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6" s="291"/>
      <c r="R216" s="291"/>
      <c r="S216" s="291"/>
      <c r="T216" s="292"/>
      <c r="U216" s="39" t="s">
        <v>46</v>
      </c>
      <c r="V216" s="39" t="s">
        <v>46</v>
      </c>
      <c r="W216" s="40" t="s">
        <v>39</v>
      </c>
      <c r="X216" s="58">
        <v>0</v>
      </c>
      <c r="Y216" s="55">
        <f>IFERROR(IF(X216="","",X216),"")</f>
        <v>0</v>
      </c>
      <c r="Z216" s="41">
        <f>IFERROR(IF(X216="","",X216*0.01788),"")</f>
        <v>0</v>
      </c>
      <c r="AA216" s="68" t="s">
        <v>46</v>
      </c>
      <c r="AB216" s="69" t="s">
        <v>46</v>
      </c>
      <c r="AC216" s="243" t="s">
        <v>322</v>
      </c>
      <c r="AG216" s="81"/>
      <c r="AJ216" s="87" t="s">
        <v>88</v>
      </c>
      <c r="AK216" s="87">
        <v>1</v>
      </c>
      <c r="BB216" s="244" t="s">
        <v>113</v>
      </c>
      <c r="BM216" s="81">
        <f>IFERROR(X216*I216,"0")</f>
        <v>0</v>
      </c>
      <c r="BN216" s="81">
        <f>IFERROR(Y216*I216,"0")</f>
        <v>0</v>
      </c>
      <c r="BO216" s="81">
        <f>IFERROR(X216/J216,"0")</f>
        <v>0</v>
      </c>
      <c r="BP216" s="81">
        <f>IFERROR(Y216/J216,"0")</f>
        <v>0</v>
      </c>
    </row>
    <row r="217" spans="1:68" x14ac:dyDescent="0.2">
      <c r="A217" s="296"/>
      <c r="B217" s="296"/>
      <c r="C217" s="296"/>
      <c r="D217" s="296"/>
      <c r="E217" s="296"/>
      <c r="F217" s="296"/>
      <c r="G217" s="296"/>
      <c r="H217" s="296"/>
      <c r="I217" s="296"/>
      <c r="J217" s="296"/>
      <c r="K217" s="296"/>
      <c r="L217" s="296"/>
      <c r="M217" s="296"/>
      <c r="N217" s="296"/>
      <c r="O217" s="297"/>
      <c r="P217" s="293" t="s">
        <v>40</v>
      </c>
      <c r="Q217" s="294"/>
      <c r="R217" s="294"/>
      <c r="S217" s="294"/>
      <c r="T217" s="294"/>
      <c r="U217" s="294"/>
      <c r="V217" s="295"/>
      <c r="W217" s="42" t="s">
        <v>39</v>
      </c>
      <c r="X217" s="43">
        <f>IFERROR(SUM(X215:X216),"0")</f>
        <v>0</v>
      </c>
      <c r="Y217" s="43">
        <f>IFERROR(SUM(Y215:Y216),"0")</f>
        <v>0</v>
      </c>
      <c r="Z217" s="43">
        <f>IFERROR(IF(Z215="",0,Z215),"0")+IFERROR(IF(Z216="",0,Z216),"0")</f>
        <v>0</v>
      </c>
      <c r="AA217" s="67"/>
      <c r="AB217" s="67"/>
      <c r="AC217" s="67"/>
    </row>
    <row r="218" spans="1:68" x14ac:dyDescent="0.2">
      <c r="A218" s="296"/>
      <c r="B218" s="296"/>
      <c r="C218" s="296"/>
      <c r="D218" s="296"/>
      <c r="E218" s="296"/>
      <c r="F218" s="296"/>
      <c r="G218" s="296"/>
      <c r="H218" s="296"/>
      <c r="I218" s="296"/>
      <c r="J218" s="296"/>
      <c r="K218" s="296"/>
      <c r="L218" s="296"/>
      <c r="M218" s="296"/>
      <c r="N218" s="296"/>
      <c r="O218" s="297"/>
      <c r="P218" s="293" t="s">
        <v>40</v>
      </c>
      <c r="Q218" s="294"/>
      <c r="R218" s="294"/>
      <c r="S218" s="294"/>
      <c r="T218" s="294"/>
      <c r="U218" s="294"/>
      <c r="V218" s="295"/>
      <c r="W218" s="42" t="s">
        <v>0</v>
      </c>
      <c r="X218" s="43">
        <f>IFERROR(SUMPRODUCT(X215:X216*H215:H216),"0")</f>
        <v>0</v>
      </c>
      <c r="Y218" s="43">
        <f>IFERROR(SUMPRODUCT(Y215:Y216*H215:H216),"0")</f>
        <v>0</v>
      </c>
      <c r="Z218" s="42"/>
      <c r="AA218" s="67"/>
      <c r="AB218" s="67"/>
      <c r="AC218" s="67"/>
    </row>
    <row r="219" spans="1:68" ht="27.75" customHeight="1" x14ac:dyDescent="0.2">
      <c r="A219" s="316" t="s">
        <v>325</v>
      </c>
      <c r="B219" s="316"/>
      <c r="C219" s="316"/>
      <c r="D219" s="316"/>
      <c r="E219" s="316"/>
      <c r="F219" s="316"/>
      <c r="G219" s="316"/>
      <c r="H219" s="316"/>
      <c r="I219" s="316"/>
      <c r="J219" s="316"/>
      <c r="K219" s="316"/>
      <c r="L219" s="316"/>
      <c r="M219" s="316"/>
      <c r="N219" s="316"/>
      <c r="O219" s="316"/>
      <c r="P219" s="316"/>
      <c r="Q219" s="316"/>
      <c r="R219" s="316"/>
      <c r="S219" s="316"/>
      <c r="T219" s="316"/>
      <c r="U219" s="316"/>
      <c r="V219" s="316"/>
      <c r="W219" s="316"/>
      <c r="X219" s="316"/>
      <c r="Y219" s="316"/>
      <c r="Z219" s="316"/>
      <c r="AA219" s="54"/>
      <c r="AB219" s="54"/>
      <c r="AC219" s="54"/>
    </row>
    <row r="220" spans="1:68" ht="16.5" customHeight="1" x14ac:dyDescent="0.25">
      <c r="A220" s="317" t="s">
        <v>326</v>
      </c>
      <c r="B220" s="317"/>
      <c r="C220" s="317"/>
      <c r="D220" s="317"/>
      <c r="E220" s="317"/>
      <c r="F220" s="317"/>
      <c r="G220" s="317"/>
      <c r="H220" s="317"/>
      <c r="I220" s="317"/>
      <c r="J220" s="317"/>
      <c r="K220" s="317"/>
      <c r="L220" s="317"/>
      <c r="M220" s="317"/>
      <c r="N220" s="317"/>
      <c r="O220" s="317"/>
      <c r="P220" s="317"/>
      <c r="Q220" s="317"/>
      <c r="R220" s="317"/>
      <c r="S220" s="317"/>
      <c r="T220" s="317"/>
      <c r="U220" s="317"/>
      <c r="V220" s="317"/>
      <c r="W220" s="317"/>
      <c r="X220" s="317"/>
      <c r="Y220" s="317"/>
      <c r="Z220" s="317"/>
      <c r="AA220" s="65"/>
      <c r="AB220" s="65"/>
      <c r="AC220" s="82"/>
    </row>
    <row r="221" spans="1:68" ht="14.25" customHeight="1" x14ac:dyDescent="0.25">
      <c r="A221" s="307" t="s">
        <v>81</v>
      </c>
      <c r="B221" s="307"/>
      <c r="C221" s="307"/>
      <c r="D221" s="307"/>
      <c r="E221" s="307"/>
      <c r="F221" s="307"/>
      <c r="G221" s="307"/>
      <c r="H221" s="307"/>
      <c r="I221" s="307"/>
      <c r="J221" s="307"/>
      <c r="K221" s="307"/>
      <c r="L221" s="307"/>
      <c r="M221" s="307"/>
      <c r="N221" s="307"/>
      <c r="O221" s="307"/>
      <c r="P221" s="307"/>
      <c r="Q221" s="307"/>
      <c r="R221" s="307"/>
      <c r="S221" s="307"/>
      <c r="T221" s="307"/>
      <c r="U221" s="307"/>
      <c r="V221" s="307"/>
      <c r="W221" s="307"/>
      <c r="X221" s="307"/>
      <c r="Y221" s="307"/>
      <c r="Z221" s="307"/>
      <c r="AA221" s="66"/>
      <c r="AB221" s="66"/>
      <c r="AC221" s="83"/>
    </row>
    <row r="222" spans="1:68" ht="27" customHeight="1" x14ac:dyDescent="0.25">
      <c r="A222" s="63" t="s">
        <v>327</v>
      </c>
      <c r="B222" s="63" t="s">
        <v>328</v>
      </c>
      <c r="C222" s="36">
        <v>4301071036</v>
      </c>
      <c r="D222" s="289">
        <v>4607111036162</v>
      </c>
      <c r="E222" s="289"/>
      <c r="F222" s="62">
        <v>0.8</v>
      </c>
      <c r="G222" s="37">
        <v>8</v>
      </c>
      <c r="H222" s="62">
        <v>6.4</v>
      </c>
      <c r="I222" s="62">
        <v>6.6811999999999996</v>
      </c>
      <c r="J222" s="37">
        <v>84</v>
      </c>
      <c r="K222" s="37" t="s">
        <v>86</v>
      </c>
      <c r="L222" s="37" t="s">
        <v>87</v>
      </c>
      <c r="M222" s="38" t="s">
        <v>85</v>
      </c>
      <c r="N222" s="38"/>
      <c r="O222" s="37">
        <v>90</v>
      </c>
      <c r="P222" s="323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2" s="291"/>
      <c r="R222" s="291"/>
      <c r="S222" s="291"/>
      <c r="T222" s="292"/>
      <c r="U222" s="39" t="s">
        <v>46</v>
      </c>
      <c r="V222" s="39" t="s">
        <v>46</v>
      </c>
      <c r="W222" s="40" t="s">
        <v>39</v>
      </c>
      <c r="X222" s="58">
        <v>0</v>
      </c>
      <c r="Y222" s="55">
        <f>IFERROR(IF(X222="","",X222),"")</f>
        <v>0</v>
      </c>
      <c r="Z222" s="41">
        <f>IFERROR(IF(X222="","",X222*0.0155),"")</f>
        <v>0</v>
      </c>
      <c r="AA222" s="68" t="s">
        <v>46</v>
      </c>
      <c r="AB222" s="69" t="s">
        <v>46</v>
      </c>
      <c r="AC222" s="245" t="s">
        <v>329</v>
      </c>
      <c r="AG222" s="81"/>
      <c r="AJ222" s="87" t="s">
        <v>88</v>
      </c>
      <c r="AK222" s="87">
        <v>1</v>
      </c>
      <c r="BB222" s="246" t="s">
        <v>70</v>
      </c>
      <c r="BM222" s="81">
        <f>IFERROR(X222*I222,"0")</f>
        <v>0</v>
      </c>
      <c r="BN222" s="81">
        <f>IFERROR(Y222*I222,"0")</f>
        <v>0</v>
      </c>
      <c r="BO222" s="81">
        <f>IFERROR(X222/J222,"0")</f>
        <v>0</v>
      </c>
      <c r="BP222" s="81">
        <f>IFERROR(Y222/J222,"0")</f>
        <v>0</v>
      </c>
    </row>
    <row r="223" spans="1:68" x14ac:dyDescent="0.2">
      <c r="A223" s="296"/>
      <c r="B223" s="296"/>
      <c r="C223" s="296"/>
      <c r="D223" s="296"/>
      <c r="E223" s="296"/>
      <c r="F223" s="296"/>
      <c r="G223" s="296"/>
      <c r="H223" s="296"/>
      <c r="I223" s="296"/>
      <c r="J223" s="296"/>
      <c r="K223" s="296"/>
      <c r="L223" s="296"/>
      <c r="M223" s="296"/>
      <c r="N223" s="296"/>
      <c r="O223" s="297"/>
      <c r="P223" s="293" t="s">
        <v>40</v>
      </c>
      <c r="Q223" s="294"/>
      <c r="R223" s="294"/>
      <c r="S223" s="294"/>
      <c r="T223" s="294"/>
      <c r="U223" s="294"/>
      <c r="V223" s="295"/>
      <c r="W223" s="42" t="s">
        <v>39</v>
      </c>
      <c r="X223" s="43">
        <f>IFERROR(SUM(X222:X222),"0")</f>
        <v>0</v>
      </c>
      <c r="Y223" s="43">
        <f>IFERROR(SUM(Y222:Y222),"0")</f>
        <v>0</v>
      </c>
      <c r="Z223" s="43">
        <f>IFERROR(IF(Z222="",0,Z222),"0")</f>
        <v>0</v>
      </c>
      <c r="AA223" s="67"/>
      <c r="AB223" s="67"/>
      <c r="AC223" s="67"/>
    </row>
    <row r="224" spans="1:68" x14ac:dyDescent="0.2">
      <c r="A224" s="296"/>
      <c r="B224" s="296"/>
      <c r="C224" s="296"/>
      <c r="D224" s="296"/>
      <c r="E224" s="296"/>
      <c r="F224" s="296"/>
      <c r="G224" s="296"/>
      <c r="H224" s="296"/>
      <c r="I224" s="296"/>
      <c r="J224" s="296"/>
      <c r="K224" s="296"/>
      <c r="L224" s="296"/>
      <c r="M224" s="296"/>
      <c r="N224" s="296"/>
      <c r="O224" s="297"/>
      <c r="P224" s="293" t="s">
        <v>40</v>
      </c>
      <c r="Q224" s="294"/>
      <c r="R224" s="294"/>
      <c r="S224" s="294"/>
      <c r="T224" s="294"/>
      <c r="U224" s="294"/>
      <c r="V224" s="295"/>
      <c r="W224" s="42" t="s">
        <v>0</v>
      </c>
      <c r="X224" s="43">
        <f>IFERROR(SUMPRODUCT(X222:X222*H222:H222),"0")</f>
        <v>0</v>
      </c>
      <c r="Y224" s="43">
        <f>IFERROR(SUMPRODUCT(Y222:Y222*H222:H222),"0")</f>
        <v>0</v>
      </c>
      <c r="Z224" s="42"/>
      <c r="AA224" s="67"/>
      <c r="AB224" s="67"/>
      <c r="AC224" s="67"/>
    </row>
    <row r="225" spans="1:68" ht="27.75" customHeight="1" x14ac:dyDescent="0.2">
      <c r="A225" s="316" t="s">
        <v>330</v>
      </c>
      <c r="B225" s="316"/>
      <c r="C225" s="316"/>
      <c r="D225" s="316"/>
      <c r="E225" s="316"/>
      <c r="F225" s="316"/>
      <c r="G225" s="316"/>
      <c r="H225" s="316"/>
      <c r="I225" s="316"/>
      <c r="J225" s="316"/>
      <c r="K225" s="316"/>
      <c r="L225" s="316"/>
      <c r="M225" s="316"/>
      <c r="N225" s="316"/>
      <c r="O225" s="316"/>
      <c r="P225" s="316"/>
      <c r="Q225" s="316"/>
      <c r="R225" s="316"/>
      <c r="S225" s="316"/>
      <c r="T225" s="316"/>
      <c r="U225" s="316"/>
      <c r="V225" s="316"/>
      <c r="W225" s="316"/>
      <c r="X225" s="316"/>
      <c r="Y225" s="316"/>
      <c r="Z225" s="316"/>
      <c r="AA225" s="54"/>
      <c r="AB225" s="54"/>
      <c r="AC225" s="54"/>
    </row>
    <row r="226" spans="1:68" ht="16.5" customHeight="1" x14ac:dyDescent="0.25">
      <c r="A226" s="317" t="s">
        <v>331</v>
      </c>
      <c r="B226" s="317"/>
      <c r="C226" s="317"/>
      <c r="D226" s="317"/>
      <c r="E226" s="317"/>
      <c r="F226" s="317"/>
      <c r="G226" s="317"/>
      <c r="H226" s="317"/>
      <c r="I226" s="317"/>
      <c r="J226" s="317"/>
      <c r="K226" s="317"/>
      <c r="L226" s="317"/>
      <c r="M226" s="317"/>
      <c r="N226" s="317"/>
      <c r="O226" s="317"/>
      <c r="P226" s="317"/>
      <c r="Q226" s="317"/>
      <c r="R226" s="317"/>
      <c r="S226" s="317"/>
      <c r="T226" s="317"/>
      <c r="U226" s="317"/>
      <c r="V226" s="317"/>
      <c r="W226" s="317"/>
      <c r="X226" s="317"/>
      <c r="Y226" s="317"/>
      <c r="Z226" s="317"/>
      <c r="AA226" s="65"/>
      <c r="AB226" s="65"/>
      <c r="AC226" s="82"/>
    </row>
    <row r="227" spans="1:68" ht="14.25" customHeight="1" x14ac:dyDescent="0.25">
      <c r="A227" s="307" t="s">
        <v>81</v>
      </c>
      <c r="B227" s="307"/>
      <c r="C227" s="307"/>
      <c r="D227" s="307"/>
      <c r="E227" s="307"/>
      <c r="F227" s="307"/>
      <c r="G227" s="307"/>
      <c r="H227" s="307"/>
      <c r="I227" s="307"/>
      <c r="J227" s="307"/>
      <c r="K227" s="307"/>
      <c r="L227" s="307"/>
      <c r="M227" s="307"/>
      <c r="N227" s="307"/>
      <c r="O227" s="307"/>
      <c r="P227" s="307"/>
      <c r="Q227" s="307"/>
      <c r="R227" s="307"/>
      <c r="S227" s="307"/>
      <c r="T227" s="307"/>
      <c r="U227" s="307"/>
      <c r="V227" s="307"/>
      <c r="W227" s="307"/>
      <c r="X227" s="307"/>
      <c r="Y227" s="307"/>
      <c r="Z227" s="307"/>
      <c r="AA227" s="66"/>
      <c r="AB227" s="66"/>
      <c r="AC227" s="83"/>
    </row>
    <row r="228" spans="1:68" ht="27" customHeight="1" x14ac:dyDescent="0.25">
      <c r="A228" s="63" t="s">
        <v>332</v>
      </c>
      <c r="B228" s="63" t="s">
        <v>333</v>
      </c>
      <c r="C228" s="36">
        <v>4301071029</v>
      </c>
      <c r="D228" s="289">
        <v>4607111035899</v>
      </c>
      <c r="E228" s="289"/>
      <c r="F228" s="62">
        <v>1</v>
      </c>
      <c r="G228" s="37">
        <v>5</v>
      </c>
      <c r="H228" s="62">
        <v>5</v>
      </c>
      <c r="I228" s="62">
        <v>5.2619999999999996</v>
      </c>
      <c r="J228" s="37">
        <v>84</v>
      </c>
      <c r="K228" s="37" t="s">
        <v>86</v>
      </c>
      <c r="L228" s="37" t="s">
        <v>115</v>
      </c>
      <c r="M228" s="38" t="s">
        <v>85</v>
      </c>
      <c r="N228" s="38"/>
      <c r="O228" s="37">
        <v>180</v>
      </c>
      <c r="P228" s="322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8" s="291"/>
      <c r="R228" s="291"/>
      <c r="S228" s="291"/>
      <c r="T228" s="292"/>
      <c r="U228" s="39" t="s">
        <v>46</v>
      </c>
      <c r="V228" s="39" t="s">
        <v>46</v>
      </c>
      <c r="W228" s="40" t="s">
        <v>39</v>
      </c>
      <c r="X228" s="58">
        <v>252</v>
      </c>
      <c r="Y228" s="55">
        <f>IFERROR(IF(X228="","",X228),"")</f>
        <v>252</v>
      </c>
      <c r="Z228" s="41">
        <f>IFERROR(IF(X228="","",X228*0.0155),"")</f>
        <v>3.9060000000000001</v>
      </c>
      <c r="AA228" s="68" t="s">
        <v>46</v>
      </c>
      <c r="AB228" s="69" t="s">
        <v>46</v>
      </c>
      <c r="AC228" s="247" t="s">
        <v>278</v>
      </c>
      <c r="AG228" s="81"/>
      <c r="AJ228" s="87" t="s">
        <v>116</v>
      </c>
      <c r="AK228" s="87">
        <v>12</v>
      </c>
      <c r="BB228" s="248" t="s">
        <v>70</v>
      </c>
      <c r="BM228" s="81">
        <f>IFERROR(X228*I228,"0")</f>
        <v>1326.0239999999999</v>
      </c>
      <c r="BN228" s="81">
        <f>IFERROR(Y228*I228,"0")</f>
        <v>1326.0239999999999</v>
      </c>
      <c r="BO228" s="81">
        <f>IFERROR(X228/J228,"0")</f>
        <v>3</v>
      </c>
      <c r="BP228" s="81">
        <f>IFERROR(Y228/J228,"0")</f>
        <v>3</v>
      </c>
    </row>
    <row r="229" spans="1:68" x14ac:dyDescent="0.2">
      <c r="A229" s="296"/>
      <c r="B229" s="296"/>
      <c r="C229" s="296"/>
      <c r="D229" s="296"/>
      <c r="E229" s="296"/>
      <c r="F229" s="296"/>
      <c r="G229" s="296"/>
      <c r="H229" s="296"/>
      <c r="I229" s="296"/>
      <c r="J229" s="296"/>
      <c r="K229" s="296"/>
      <c r="L229" s="296"/>
      <c r="M229" s="296"/>
      <c r="N229" s="296"/>
      <c r="O229" s="297"/>
      <c r="P229" s="293" t="s">
        <v>40</v>
      </c>
      <c r="Q229" s="294"/>
      <c r="R229" s="294"/>
      <c r="S229" s="294"/>
      <c r="T229" s="294"/>
      <c r="U229" s="294"/>
      <c r="V229" s="295"/>
      <c r="W229" s="42" t="s">
        <v>39</v>
      </c>
      <c r="X229" s="43">
        <f>IFERROR(SUM(X228:X228),"0")</f>
        <v>252</v>
      </c>
      <c r="Y229" s="43">
        <f>IFERROR(SUM(Y228:Y228),"0")</f>
        <v>252</v>
      </c>
      <c r="Z229" s="43">
        <f>IFERROR(IF(Z228="",0,Z228),"0")</f>
        <v>3.9060000000000001</v>
      </c>
      <c r="AA229" s="67"/>
      <c r="AB229" s="67"/>
      <c r="AC229" s="67"/>
    </row>
    <row r="230" spans="1:68" x14ac:dyDescent="0.2">
      <c r="A230" s="296"/>
      <c r="B230" s="296"/>
      <c r="C230" s="296"/>
      <c r="D230" s="296"/>
      <c r="E230" s="296"/>
      <c r="F230" s="296"/>
      <c r="G230" s="296"/>
      <c r="H230" s="296"/>
      <c r="I230" s="296"/>
      <c r="J230" s="296"/>
      <c r="K230" s="296"/>
      <c r="L230" s="296"/>
      <c r="M230" s="296"/>
      <c r="N230" s="296"/>
      <c r="O230" s="297"/>
      <c r="P230" s="293" t="s">
        <v>40</v>
      </c>
      <c r="Q230" s="294"/>
      <c r="R230" s="294"/>
      <c r="S230" s="294"/>
      <c r="T230" s="294"/>
      <c r="U230" s="294"/>
      <c r="V230" s="295"/>
      <c r="W230" s="42" t="s">
        <v>0</v>
      </c>
      <c r="X230" s="43">
        <f>IFERROR(SUMPRODUCT(X228:X228*H228:H228),"0")</f>
        <v>1260</v>
      </c>
      <c r="Y230" s="43">
        <f>IFERROR(SUMPRODUCT(Y228:Y228*H228:H228),"0")</f>
        <v>1260</v>
      </c>
      <c r="Z230" s="42"/>
      <c r="AA230" s="67"/>
      <c r="AB230" s="67"/>
      <c r="AC230" s="67"/>
    </row>
    <row r="231" spans="1:68" ht="27.75" customHeight="1" x14ac:dyDescent="0.2">
      <c r="A231" s="316" t="s">
        <v>334</v>
      </c>
      <c r="B231" s="316"/>
      <c r="C231" s="316"/>
      <c r="D231" s="316"/>
      <c r="E231" s="316"/>
      <c r="F231" s="316"/>
      <c r="G231" s="316"/>
      <c r="H231" s="316"/>
      <c r="I231" s="316"/>
      <c r="J231" s="316"/>
      <c r="K231" s="316"/>
      <c r="L231" s="316"/>
      <c r="M231" s="316"/>
      <c r="N231" s="316"/>
      <c r="O231" s="316"/>
      <c r="P231" s="316"/>
      <c r="Q231" s="316"/>
      <c r="R231" s="316"/>
      <c r="S231" s="316"/>
      <c r="T231" s="316"/>
      <c r="U231" s="316"/>
      <c r="V231" s="316"/>
      <c r="W231" s="316"/>
      <c r="X231" s="316"/>
      <c r="Y231" s="316"/>
      <c r="Z231" s="316"/>
      <c r="AA231" s="54"/>
      <c r="AB231" s="54"/>
      <c r="AC231" s="54"/>
    </row>
    <row r="232" spans="1:68" ht="16.5" customHeight="1" x14ac:dyDescent="0.25">
      <c r="A232" s="317" t="s">
        <v>335</v>
      </c>
      <c r="B232" s="317"/>
      <c r="C232" s="317"/>
      <c r="D232" s="317"/>
      <c r="E232" s="317"/>
      <c r="F232" s="317"/>
      <c r="G232" s="317"/>
      <c r="H232" s="317"/>
      <c r="I232" s="317"/>
      <c r="J232" s="317"/>
      <c r="K232" s="317"/>
      <c r="L232" s="317"/>
      <c r="M232" s="317"/>
      <c r="N232" s="317"/>
      <c r="O232" s="317"/>
      <c r="P232" s="317"/>
      <c r="Q232" s="317"/>
      <c r="R232" s="317"/>
      <c r="S232" s="317"/>
      <c r="T232" s="317"/>
      <c r="U232" s="317"/>
      <c r="V232" s="317"/>
      <c r="W232" s="317"/>
      <c r="X232" s="317"/>
      <c r="Y232" s="317"/>
      <c r="Z232" s="317"/>
      <c r="AA232" s="65"/>
      <c r="AB232" s="65"/>
      <c r="AC232" s="82"/>
    </row>
    <row r="233" spans="1:68" ht="14.25" customHeight="1" x14ac:dyDescent="0.25">
      <c r="A233" s="307" t="s">
        <v>336</v>
      </c>
      <c r="B233" s="307"/>
      <c r="C233" s="307"/>
      <c r="D233" s="307"/>
      <c r="E233" s="307"/>
      <c r="F233" s="307"/>
      <c r="G233" s="307"/>
      <c r="H233" s="307"/>
      <c r="I233" s="307"/>
      <c r="J233" s="307"/>
      <c r="K233" s="307"/>
      <c r="L233" s="307"/>
      <c r="M233" s="307"/>
      <c r="N233" s="307"/>
      <c r="O233" s="307"/>
      <c r="P233" s="307"/>
      <c r="Q233" s="307"/>
      <c r="R233" s="307"/>
      <c r="S233" s="307"/>
      <c r="T233" s="307"/>
      <c r="U233" s="307"/>
      <c r="V233" s="307"/>
      <c r="W233" s="307"/>
      <c r="X233" s="307"/>
      <c r="Y233" s="307"/>
      <c r="Z233" s="307"/>
      <c r="AA233" s="66"/>
      <c r="AB233" s="66"/>
      <c r="AC233" s="83"/>
    </row>
    <row r="234" spans="1:68" ht="27" customHeight="1" x14ac:dyDescent="0.25">
      <c r="A234" s="63" t="s">
        <v>337</v>
      </c>
      <c r="B234" s="63" t="s">
        <v>338</v>
      </c>
      <c r="C234" s="36">
        <v>4301133004</v>
      </c>
      <c r="D234" s="289">
        <v>4607111039774</v>
      </c>
      <c r="E234" s="289"/>
      <c r="F234" s="62">
        <v>0.25</v>
      </c>
      <c r="G234" s="37">
        <v>12</v>
      </c>
      <c r="H234" s="62">
        <v>3</v>
      </c>
      <c r="I234" s="62">
        <v>3.22</v>
      </c>
      <c r="J234" s="37">
        <v>70</v>
      </c>
      <c r="K234" s="37" t="s">
        <v>114</v>
      </c>
      <c r="L234" s="37" t="s">
        <v>87</v>
      </c>
      <c r="M234" s="38" t="s">
        <v>85</v>
      </c>
      <c r="N234" s="38"/>
      <c r="O234" s="37">
        <v>180</v>
      </c>
      <c r="P234" s="320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4" s="291"/>
      <c r="R234" s="291"/>
      <c r="S234" s="291"/>
      <c r="T234" s="292"/>
      <c r="U234" s="39" t="s">
        <v>46</v>
      </c>
      <c r="V234" s="39" t="s">
        <v>46</v>
      </c>
      <c r="W234" s="40" t="s">
        <v>39</v>
      </c>
      <c r="X234" s="58">
        <v>0</v>
      </c>
      <c r="Y234" s="55">
        <f>IFERROR(IF(X234="","",X234),"")</f>
        <v>0</v>
      </c>
      <c r="Z234" s="41">
        <f>IFERROR(IF(X234="","",X234*0.01788),"")</f>
        <v>0</v>
      </c>
      <c r="AA234" s="68" t="s">
        <v>46</v>
      </c>
      <c r="AB234" s="69" t="s">
        <v>46</v>
      </c>
      <c r="AC234" s="249" t="s">
        <v>339</v>
      </c>
      <c r="AG234" s="81"/>
      <c r="AJ234" s="87" t="s">
        <v>88</v>
      </c>
      <c r="AK234" s="87">
        <v>1</v>
      </c>
      <c r="BB234" s="250" t="s">
        <v>113</v>
      </c>
      <c r="BM234" s="81">
        <f>IFERROR(X234*I234,"0")</f>
        <v>0</v>
      </c>
      <c r="BN234" s="81">
        <f>IFERROR(Y234*I234,"0")</f>
        <v>0</v>
      </c>
      <c r="BO234" s="81">
        <f>IFERROR(X234/J234,"0")</f>
        <v>0</v>
      </c>
      <c r="BP234" s="81">
        <f>IFERROR(Y234/J234,"0")</f>
        <v>0</v>
      </c>
    </row>
    <row r="235" spans="1:68" x14ac:dyDescent="0.2">
      <c r="A235" s="296"/>
      <c r="B235" s="296"/>
      <c r="C235" s="296"/>
      <c r="D235" s="296"/>
      <c r="E235" s="296"/>
      <c r="F235" s="296"/>
      <c r="G235" s="296"/>
      <c r="H235" s="296"/>
      <c r="I235" s="296"/>
      <c r="J235" s="296"/>
      <c r="K235" s="296"/>
      <c r="L235" s="296"/>
      <c r="M235" s="296"/>
      <c r="N235" s="296"/>
      <c r="O235" s="297"/>
      <c r="P235" s="293" t="s">
        <v>40</v>
      </c>
      <c r="Q235" s="294"/>
      <c r="R235" s="294"/>
      <c r="S235" s="294"/>
      <c r="T235" s="294"/>
      <c r="U235" s="294"/>
      <c r="V235" s="295"/>
      <c r="W235" s="42" t="s">
        <v>39</v>
      </c>
      <c r="X235" s="43">
        <f>IFERROR(SUM(X234:X234),"0")</f>
        <v>0</v>
      </c>
      <c r="Y235" s="43">
        <f>IFERROR(SUM(Y234:Y234),"0")</f>
        <v>0</v>
      </c>
      <c r="Z235" s="43">
        <f>IFERROR(IF(Z234="",0,Z234),"0")</f>
        <v>0</v>
      </c>
      <c r="AA235" s="67"/>
      <c r="AB235" s="67"/>
      <c r="AC235" s="67"/>
    </row>
    <row r="236" spans="1:68" x14ac:dyDescent="0.2">
      <c r="A236" s="296"/>
      <c r="B236" s="296"/>
      <c r="C236" s="296"/>
      <c r="D236" s="296"/>
      <c r="E236" s="296"/>
      <c r="F236" s="296"/>
      <c r="G236" s="296"/>
      <c r="H236" s="296"/>
      <c r="I236" s="296"/>
      <c r="J236" s="296"/>
      <c r="K236" s="296"/>
      <c r="L236" s="296"/>
      <c r="M236" s="296"/>
      <c r="N236" s="296"/>
      <c r="O236" s="297"/>
      <c r="P236" s="293" t="s">
        <v>40</v>
      </c>
      <c r="Q236" s="294"/>
      <c r="R236" s="294"/>
      <c r="S236" s="294"/>
      <c r="T236" s="294"/>
      <c r="U236" s="294"/>
      <c r="V236" s="295"/>
      <c r="W236" s="42" t="s">
        <v>0</v>
      </c>
      <c r="X236" s="43">
        <f>IFERROR(SUMPRODUCT(X234:X234*H234:H234),"0")</f>
        <v>0</v>
      </c>
      <c r="Y236" s="43">
        <f>IFERROR(SUMPRODUCT(Y234:Y234*H234:H234),"0")</f>
        <v>0</v>
      </c>
      <c r="Z236" s="42"/>
      <c r="AA236" s="67"/>
      <c r="AB236" s="67"/>
      <c r="AC236" s="67"/>
    </row>
    <row r="237" spans="1:68" ht="14.25" customHeight="1" x14ac:dyDescent="0.25">
      <c r="A237" s="307" t="s">
        <v>153</v>
      </c>
      <c r="B237" s="307"/>
      <c r="C237" s="307"/>
      <c r="D237" s="307"/>
      <c r="E237" s="307"/>
      <c r="F237" s="307"/>
      <c r="G237" s="307"/>
      <c r="H237" s="307"/>
      <c r="I237" s="307"/>
      <c r="J237" s="307"/>
      <c r="K237" s="307"/>
      <c r="L237" s="307"/>
      <c r="M237" s="307"/>
      <c r="N237" s="307"/>
      <c r="O237" s="307"/>
      <c r="P237" s="307"/>
      <c r="Q237" s="307"/>
      <c r="R237" s="307"/>
      <c r="S237" s="307"/>
      <c r="T237" s="307"/>
      <c r="U237" s="307"/>
      <c r="V237" s="307"/>
      <c r="W237" s="307"/>
      <c r="X237" s="307"/>
      <c r="Y237" s="307"/>
      <c r="Z237" s="307"/>
      <c r="AA237" s="66"/>
      <c r="AB237" s="66"/>
      <c r="AC237" s="83"/>
    </row>
    <row r="238" spans="1:68" ht="37.5" customHeight="1" x14ac:dyDescent="0.25">
      <c r="A238" s="63" t="s">
        <v>340</v>
      </c>
      <c r="B238" s="63" t="s">
        <v>341</v>
      </c>
      <c r="C238" s="36">
        <v>4301135400</v>
      </c>
      <c r="D238" s="289">
        <v>4607111039361</v>
      </c>
      <c r="E238" s="289"/>
      <c r="F238" s="62">
        <v>0.25</v>
      </c>
      <c r="G238" s="37">
        <v>12</v>
      </c>
      <c r="H238" s="62">
        <v>3</v>
      </c>
      <c r="I238" s="62">
        <v>3.7035999999999998</v>
      </c>
      <c r="J238" s="37">
        <v>70</v>
      </c>
      <c r="K238" s="37" t="s">
        <v>114</v>
      </c>
      <c r="L238" s="37" t="s">
        <v>87</v>
      </c>
      <c r="M238" s="38" t="s">
        <v>85</v>
      </c>
      <c r="N238" s="38"/>
      <c r="O238" s="37">
        <v>180</v>
      </c>
      <c r="P238" s="32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8" s="291"/>
      <c r="R238" s="291"/>
      <c r="S238" s="291"/>
      <c r="T238" s="292"/>
      <c r="U238" s="39" t="s">
        <v>46</v>
      </c>
      <c r="V238" s="39" t="s">
        <v>46</v>
      </c>
      <c r="W238" s="40" t="s">
        <v>39</v>
      </c>
      <c r="X238" s="58">
        <v>0</v>
      </c>
      <c r="Y238" s="55">
        <f>IFERROR(IF(X238="","",X238),"")</f>
        <v>0</v>
      </c>
      <c r="Z238" s="41">
        <f>IFERROR(IF(X238="","",X238*0.01788),"")</f>
        <v>0</v>
      </c>
      <c r="AA238" s="68" t="s">
        <v>46</v>
      </c>
      <c r="AB238" s="69" t="s">
        <v>46</v>
      </c>
      <c r="AC238" s="251" t="s">
        <v>339</v>
      </c>
      <c r="AG238" s="81"/>
      <c r="AJ238" s="87" t="s">
        <v>88</v>
      </c>
      <c r="AK238" s="87">
        <v>1</v>
      </c>
      <c r="BB238" s="252" t="s">
        <v>113</v>
      </c>
      <c r="BM238" s="81">
        <f>IFERROR(X238*I238,"0")</f>
        <v>0</v>
      </c>
      <c r="BN238" s="81">
        <f>IFERROR(Y238*I238,"0")</f>
        <v>0</v>
      </c>
      <c r="BO238" s="81">
        <f>IFERROR(X238/J238,"0")</f>
        <v>0</v>
      </c>
      <c r="BP238" s="81">
        <f>IFERROR(Y238/J238,"0")</f>
        <v>0</v>
      </c>
    </row>
    <row r="239" spans="1:68" x14ac:dyDescent="0.2">
      <c r="A239" s="296"/>
      <c r="B239" s="296"/>
      <c r="C239" s="296"/>
      <c r="D239" s="296"/>
      <c r="E239" s="296"/>
      <c r="F239" s="296"/>
      <c r="G239" s="296"/>
      <c r="H239" s="296"/>
      <c r="I239" s="296"/>
      <c r="J239" s="296"/>
      <c r="K239" s="296"/>
      <c r="L239" s="296"/>
      <c r="M239" s="296"/>
      <c r="N239" s="296"/>
      <c r="O239" s="297"/>
      <c r="P239" s="293" t="s">
        <v>40</v>
      </c>
      <c r="Q239" s="294"/>
      <c r="R239" s="294"/>
      <c r="S239" s="294"/>
      <c r="T239" s="294"/>
      <c r="U239" s="294"/>
      <c r="V239" s="295"/>
      <c r="W239" s="42" t="s">
        <v>39</v>
      </c>
      <c r="X239" s="43">
        <f>IFERROR(SUM(X238:X238),"0")</f>
        <v>0</v>
      </c>
      <c r="Y239" s="43">
        <f>IFERROR(SUM(Y238:Y238),"0")</f>
        <v>0</v>
      </c>
      <c r="Z239" s="43">
        <f>IFERROR(IF(Z238="",0,Z238),"0")</f>
        <v>0</v>
      </c>
      <c r="AA239" s="67"/>
      <c r="AB239" s="67"/>
      <c r="AC239" s="67"/>
    </row>
    <row r="240" spans="1:68" x14ac:dyDescent="0.2">
      <c r="A240" s="296"/>
      <c r="B240" s="296"/>
      <c r="C240" s="296"/>
      <c r="D240" s="296"/>
      <c r="E240" s="296"/>
      <c r="F240" s="296"/>
      <c r="G240" s="296"/>
      <c r="H240" s="296"/>
      <c r="I240" s="296"/>
      <c r="J240" s="296"/>
      <c r="K240" s="296"/>
      <c r="L240" s="296"/>
      <c r="M240" s="296"/>
      <c r="N240" s="296"/>
      <c r="O240" s="297"/>
      <c r="P240" s="293" t="s">
        <v>40</v>
      </c>
      <c r="Q240" s="294"/>
      <c r="R240" s="294"/>
      <c r="S240" s="294"/>
      <c r="T240" s="294"/>
      <c r="U240" s="294"/>
      <c r="V240" s="295"/>
      <c r="W240" s="42" t="s">
        <v>0</v>
      </c>
      <c r="X240" s="43">
        <f>IFERROR(SUMPRODUCT(X238:X238*H238:H238),"0")</f>
        <v>0</v>
      </c>
      <c r="Y240" s="43">
        <f>IFERROR(SUMPRODUCT(Y238:Y238*H238:H238),"0")</f>
        <v>0</v>
      </c>
      <c r="Z240" s="42"/>
      <c r="AA240" s="67"/>
      <c r="AB240" s="67"/>
      <c r="AC240" s="67"/>
    </row>
    <row r="241" spans="1:68" ht="27.75" customHeight="1" x14ac:dyDescent="0.2">
      <c r="A241" s="316" t="s">
        <v>342</v>
      </c>
      <c r="B241" s="316"/>
      <c r="C241" s="316"/>
      <c r="D241" s="316"/>
      <c r="E241" s="316"/>
      <c r="F241" s="316"/>
      <c r="G241" s="316"/>
      <c r="H241" s="316"/>
      <c r="I241" s="316"/>
      <c r="J241" s="316"/>
      <c r="K241" s="316"/>
      <c r="L241" s="316"/>
      <c r="M241" s="316"/>
      <c r="N241" s="316"/>
      <c r="O241" s="316"/>
      <c r="P241" s="316"/>
      <c r="Q241" s="316"/>
      <c r="R241" s="316"/>
      <c r="S241" s="316"/>
      <c r="T241" s="316"/>
      <c r="U241" s="316"/>
      <c r="V241" s="316"/>
      <c r="W241" s="316"/>
      <c r="X241" s="316"/>
      <c r="Y241" s="316"/>
      <c r="Z241" s="316"/>
      <c r="AA241" s="54"/>
      <c r="AB241" s="54"/>
      <c r="AC241" s="54"/>
    </row>
    <row r="242" spans="1:68" ht="16.5" customHeight="1" x14ac:dyDescent="0.25">
      <c r="A242" s="317" t="s">
        <v>342</v>
      </c>
      <c r="B242" s="317"/>
      <c r="C242" s="317"/>
      <c r="D242" s="317"/>
      <c r="E242" s="317"/>
      <c r="F242" s="317"/>
      <c r="G242" s="317"/>
      <c r="H242" s="317"/>
      <c r="I242" s="317"/>
      <c r="J242" s="317"/>
      <c r="K242" s="317"/>
      <c r="L242" s="317"/>
      <c r="M242" s="317"/>
      <c r="N242" s="317"/>
      <c r="O242" s="317"/>
      <c r="P242" s="317"/>
      <c r="Q242" s="317"/>
      <c r="R242" s="317"/>
      <c r="S242" s="317"/>
      <c r="T242" s="317"/>
      <c r="U242" s="317"/>
      <c r="V242" s="317"/>
      <c r="W242" s="317"/>
      <c r="X242" s="317"/>
      <c r="Y242" s="317"/>
      <c r="Z242" s="317"/>
      <c r="AA242" s="65"/>
      <c r="AB242" s="65"/>
      <c r="AC242" s="82"/>
    </row>
    <row r="243" spans="1:68" ht="14.25" customHeight="1" x14ac:dyDescent="0.25">
      <c r="A243" s="307" t="s">
        <v>81</v>
      </c>
      <c r="B243" s="307"/>
      <c r="C243" s="307"/>
      <c r="D243" s="307"/>
      <c r="E243" s="307"/>
      <c r="F243" s="307"/>
      <c r="G243" s="307"/>
      <c r="H243" s="307"/>
      <c r="I243" s="307"/>
      <c r="J243" s="307"/>
      <c r="K243" s="307"/>
      <c r="L243" s="307"/>
      <c r="M243" s="307"/>
      <c r="N243" s="307"/>
      <c r="O243" s="307"/>
      <c r="P243" s="307"/>
      <c r="Q243" s="307"/>
      <c r="R243" s="307"/>
      <c r="S243" s="307"/>
      <c r="T243" s="307"/>
      <c r="U243" s="307"/>
      <c r="V243" s="307"/>
      <c r="W243" s="307"/>
      <c r="X243" s="307"/>
      <c r="Y243" s="307"/>
      <c r="Z243" s="307"/>
      <c r="AA243" s="66"/>
      <c r="AB243" s="66"/>
      <c r="AC243" s="83"/>
    </row>
    <row r="244" spans="1:68" ht="27" customHeight="1" x14ac:dyDescent="0.25">
      <c r="A244" s="63" t="s">
        <v>343</v>
      </c>
      <c r="B244" s="63" t="s">
        <v>344</v>
      </c>
      <c r="C244" s="36">
        <v>4301071014</v>
      </c>
      <c r="D244" s="289">
        <v>4640242181264</v>
      </c>
      <c r="E244" s="289"/>
      <c r="F244" s="62">
        <v>0.7</v>
      </c>
      <c r="G244" s="37">
        <v>10</v>
      </c>
      <c r="H244" s="62">
        <v>7</v>
      </c>
      <c r="I244" s="62">
        <v>7.28</v>
      </c>
      <c r="J244" s="37">
        <v>84</v>
      </c>
      <c r="K244" s="37" t="s">
        <v>86</v>
      </c>
      <c r="L244" s="37" t="s">
        <v>87</v>
      </c>
      <c r="M244" s="38" t="s">
        <v>85</v>
      </c>
      <c r="N244" s="38"/>
      <c r="O244" s="37">
        <v>180</v>
      </c>
      <c r="P244" s="318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4" s="291"/>
      <c r="R244" s="291"/>
      <c r="S244" s="291"/>
      <c r="T244" s="292"/>
      <c r="U244" s="39" t="s">
        <v>46</v>
      </c>
      <c r="V244" s="39" t="s">
        <v>46</v>
      </c>
      <c r="W244" s="40" t="s">
        <v>39</v>
      </c>
      <c r="X244" s="58">
        <v>0</v>
      </c>
      <c r="Y244" s="55">
        <f>IFERROR(IF(X244="","",X244),"")</f>
        <v>0</v>
      </c>
      <c r="Z244" s="41">
        <f>IFERROR(IF(X244="","",X244*0.0155),"")</f>
        <v>0</v>
      </c>
      <c r="AA244" s="68" t="s">
        <v>46</v>
      </c>
      <c r="AB244" s="69" t="s">
        <v>46</v>
      </c>
      <c r="AC244" s="253" t="s">
        <v>345</v>
      </c>
      <c r="AG244" s="81"/>
      <c r="AJ244" s="87" t="s">
        <v>88</v>
      </c>
      <c r="AK244" s="87">
        <v>1</v>
      </c>
      <c r="BB244" s="254" t="s">
        <v>70</v>
      </c>
      <c r="BM244" s="81">
        <f>IFERROR(X244*I244,"0")</f>
        <v>0</v>
      </c>
      <c r="BN244" s="81">
        <f>IFERROR(Y244*I244,"0")</f>
        <v>0</v>
      </c>
      <c r="BO244" s="81">
        <f>IFERROR(X244/J244,"0")</f>
        <v>0</v>
      </c>
      <c r="BP244" s="81">
        <f>IFERROR(Y244/J244,"0")</f>
        <v>0</v>
      </c>
    </row>
    <row r="245" spans="1:68" ht="27" customHeight="1" x14ac:dyDescent="0.25">
      <c r="A245" s="63" t="s">
        <v>346</v>
      </c>
      <c r="B245" s="63" t="s">
        <v>347</v>
      </c>
      <c r="C245" s="36">
        <v>4301071021</v>
      </c>
      <c r="D245" s="289">
        <v>4640242181325</v>
      </c>
      <c r="E245" s="289"/>
      <c r="F245" s="62">
        <v>0.7</v>
      </c>
      <c r="G245" s="37">
        <v>10</v>
      </c>
      <c r="H245" s="62">
        <v>7</v>
      </c>
      <c r="I245" s="62">
        <v>7.28</v>
      </c>
      <c r="J245" s="37">
        <v>84</v>
      </c>
      <c r="K245" s="37" t="s">
        <v>86</v>
      </c>
      <c r="L245" s="37" t="s">
        <v>115</v>
      </c>
      <c r="M245" s="38" t="s">
        <v>85</v>
      </c>
      <c r="N245" s="38"/>
      <c r="O245" s="37">
        <v>180</v>
      </c>
      <c r="P245" s="319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5" s="291"/>
      <c r="R245" s="291"/>
      <c r="S245" s="291"/>
      <c r="T245" s="292"/>
      <c r="U245" s="39" t="s">
        <v>46</v>
      </c>
      <c r="V245" s="39" t="s">
        <v>46</v>
      </c>
      <c r="W245" s="40" t="s">
        <v>39</v>
      </c>
      <c r="X245" s="58">
        <v>0</v>
      </c>
      <c r="Y245" s="55">
        <f>IFERROR(IF(X245="","",X245),"")</f>
        <v>0</v>
      </c>
      <c r="Z245" s="41">
        <f>IFERROR(IF(X245="","",X245*0.0155),"")</f>
        <v>0</v>
      </c>
      <c r="AA245" s="68" t="s">
        <v>46</v>
      </c>
      <c r="AB245" s="69" t="s">
        <v>46</v>
      </c>
      <c r="AC245" s="255" t="s">
        <v>345</v>
      </c>
      <c r="AG245" s="81"/>
      <c r="AJ245" s="87" t="s">
        <v>116</v>
      </c>
      <c r="AK245" s="87">
        <v>12</v>
      </c>
      <c r="BB245" s="256" t="s">
        <v>70</v>
      </c>
      <c r="BM245" s="81">
        <f>IFERROR(X245*I245,"0")</f>
        <v>0</v>
      </c>
      <c r="BN245" s="81">
        <f>IFERROR(Y245*I245,"0")</f>
        <v>0</v>
      </c>
      <c r="BO245" s="81">
        <f>IFERROR(X245/J245,"0")</f>
        <v>0</v>
      </c>
      <c r="BP245" s="81">
        <f>IFERROR(Y245/J245,"0")</f>
        <v>0</v>
      </c>
    </row>
    <row r="246" spans="1:68" x14ac:dyDescent="0.2">
      <c r="A246" s="296"/>
      <c r="B246" s="296"/>
      <c r="C246" s="296"/>
      <c r="D246" s="296"/>
      <c r="E246" s="296"/>
      <c r="F246" s="296"/>
      <c r="G246" s="296"/>
      <c r="H246" s="296"/>
      <c r="I246" s="296"/>
      <c r="J246" s="296"/>
      <c r="K246" s="296"/>
      <c r="L246" s="296"/>
      <c r="M246" s="296"/>
      <c r="N246" s="296"/>
      <c r="O246" s="297"/>
      <c r="P246" s="293" t="s">
        <v>40</v>
      </c>
      <c r="Q246" s="294"/>
      <c r="R246" s="294"/>
      <c r="S246" s="294"/>
      <c r="T246" s="294"/>
      <c r="U246" s="294"/>
      <c r="V246" s="295"/>
      <c r="W246" s="42" t="s">
        <v>39</v>
      </c>
      <c r="X246" s="43">
        <f>IFERROR(SUM(X244:X245),"0")</f>
        <v>0</v>
      </c>
      <c r="Y246" s="43">
        <f>IFERROR(SUM(Y244:Y245),"0")</f>
        <v>0</v>
      </c>
      <c r="Z246" s="43">
        <f>IFERROR(IF(Z244="",0,Z244),"0")+IFERROR(IF(Z245="",0,Z245),"0")</f>
        <v>0</v>
      </c>
      <c r="AA246" s="67"/>
      <c r="AB246" s="67"/>
      <c r="AC246" s="67"/>
    </row>
    <row r="247" spans="1:68" x14ac:dyDescent="0.2">
      <c r="A247" s="296"/>
      <c r="B247" s="296"/>
      <c r="C247" s="296"/>
      <c r="D247" s="296"/>
      <c r="E247" s="296"/>
      <c r="F247" s="296"/>
      <c r="G247" s="296"/>
      <c r="H247" s="296"/>
      <c r="I247" s="296"/>
      <c r="J247" s="296"/>
      <c r="K247" s="296"/>
      <c r="L247" s="296"/>
      <c r="M247" s="296"/>
      <c r="N247" s="296"/>
      <c r="O247" s="297"/>
      <c r="P247" s="293" t="s">
        <v>40</v>
      </c>
      <c r="Q247" s="294"/>
      <c r="R247" s="294"/>
      <c r="S247" s="294"/>
      <c r="T247" s="294"/>
      <c r="U247" s="294"/>
      <c r="V247" s="295"/>
      <c r="W247" s="42" t="s">
        <v>0</v>
      </c>
      <c r="X247" s="43">
        <f>IFERROR(SUMPRODUCT(X244:X245*H244:H245),"0")</f>
        <v>0</v>
      </c>
      <c r="Y247" s="43">
        <f>IFERROR(SUMPRODUCT(Y244:Y245*H244:H245),"0")</f>
        <v>0</v>
      </c>
      <c r="Z247" s="42"/>
      <c r="AA247" s="67"/>
      <c r="AB247" s="67"/>
      <c r="AC247" s="67"/>
    </row>
    <row r="248" spans="1:68" ht="14.25" customHeight="1" x14ac:dyDescent="0.25">
      <c r="A248" s="307" t="s">
        <v>109</v>
      </c>
      <c r="B248" s="307"/>
      <c r="C248" s="307"/>
      <c r="D248" s="307"/>
      <c r="E248" s="307"/>
      <c r="F248" s="307"/>
      <c r="G248" s="307"/>
      <c r="H248" s="307"/>
      <c r="I248" s="307"/>
      <c r="J248" s="307"/>
      <c r="K248" s="307"/>
      <c r="L248" s="307"/>
      <c r="M248" s="307"/>
      <c r="N248" s="307"/>
      <c r="O248" s="307"/>
      <c r="P248" s="307"/>
      <c r="Q248" s="307"/>
      <c r="R248" s="307"/>
      <c r="S248" s="307"/>
      <c r="T248" s="307"/>
      <c r="U248" s="307"/>
      <c r="V248" s="307"/>
      <c r="W248" s="307"/>
      <c r="X248" s="307"/>
      <c r="Y248" s="307"/>
      <c r="Z248" s="307"/>
      <c r="AA248" s="66"/>
      <c r="AB248" s="66"/>
      <c r="AC248" s="83"/>
    </row>
    <row r="249" spans="1:68" ht="27" customHeight="1" x14ac:dyDescent="0.25">
      <c r="A249" s="63" t="s">
        <v>348</v>
      </c>
      <c r="B249" s="63" t="s">
        <v>349</v>
      </c>
      <c r="C249" s="36">
        <v>4301132080</v>
      </c>
      <c r="D249" s="289">
        <v>4640242180397</v>
      </c>
      <c r="E249" s="289"/>
      <c r="F249" s="62">
        <v>1</v>
      </c>
      <c r="G249" s="37">
        <v>6</v>
      </c>
      <c r="H249" s="62">
        <v>6</v>
      </c>
      <c r="I249" s="62">
        <v>6.26</v>
      </c>
      <c r="J249" s="37">
        <v>84</v>
      </c>
      <c r="K249" s="37" t="s">
        <v>86</v>
      </c>
      <c r="L249" s="37" t="s">
        <v>115</v>
      </c>
      <c r="M249" s="38" t="s">
        <v>85</v>
      </c>
      <c r="N249" s="38"/>
      <c r="O249" s="37">
        <v>180</v>
      </c>
      <c r="P249" s="315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9" s="291"/>
      <c r="R249" s="291"/>
      <c r="S249" s="291"/>
      <c r="T249" s="292"/>
      <c r="U249" s="39" t="s">
        <v>46</v>
      </c>
      <c r="V249" s="39" t="s">
        <v>46</v>
      </c>
      <c r="W249" s="40" t="s">
        <v>39</v>
      </c>
      <c r="X249" s="58">
        <v>0</v>
      </c>
      <c r="Y249" s="55">
        <f>IFERROR(IF(X249="","",X249),"")</f>
        <v>0</v>
      </c>
      <c r="Z249" s="41">
        <f>IFERROR(IF(X249="","",X249*0.0155),"")</f>
        <v>0</v>
      </c>
      <c r="AA249" s="68" t="s">
        <v>46</v>
      </c>
      <c r="AB249" s="69" t="s">
        <v>46</v>
      </c>
      <c r="AC249" s="257" t="s">
        <v>350</v>
      </c>
      <c r="AG249" s="81"/>
      <c r="AJ249" s="87" t="s">
        <v>116</v>
      </c>
      <c r="AK249" s="87">
        <v>12</v>
      </c>
      <c r="BB249" s="258" t="s">
        <v>113</v>
      </c>
      <c r="BM249" s="81">
        <f>IFERROR(X249*I249,"0")</f>
        <v>0</v>
      </c>
      <c r="BN249" s="81">
        <f>IFERROR(Y249*I249,"0")</f>
        <v>0</v>
      </c>
      <c r="BO249" s="81">
        <f>IFERROR(X249/J249,"0")</f>
        <v>0</v>
      </c>
      <c r="BP249" s="81">
        <f>IFERROR(Y249/J249,"0")</f>
        <v>0</v>
      </c>
    </row>
    <row r="250" spans="1:68" x14ac:dyDescent="0.2">
      <c r="A250" s="296"/>
      <c r="B250" s="296"/>
      <c r="C250" s="296"/>
      <c r="D250" s="296"/>
      <c r="E250" s="296"/>
      <c r="F250" s="296"/>
      <c r="G250" s="296"/>
      <c r="H250" s="296"/>
      <c r="I250" s="296"/>
      <c r="J250" s="296"/>
      <c r="K250" s="296"/>
      <c r="L250" s="296"/>
      <c r="M250" s="296"/>
      <c r="N250" s="296"/>
      <c r="O250" s="297"/>
      <c r="P250" s="293" t="s">
        <v>40</v>
      </c>
      <c r="Q250" s="294"/>
      <c r="R250" s="294"/>
      <c r="S250" s="294"/>
      <c r="T250" s="294"/>
      <c r="U250" s="294"/>
      <c r="V250" s="295"/>
      <c r="W250" s="42" t="s">
        <v>39</v>
      </c>
      <c r="X250" s="43">
        <f>IFERROR(SUM(X249:X249),"0")</f>
        <v>0</v>
      </c>
      <c r="Y250" s="43">
        <f>IFERROR(SUM(Y249:Y249),"0")</f>
        <v>0</v>
      </c>
      <c r="Z250" s="43">
        <f>IFERROR(IF(Z249="",0,Z249),"0")</f>
        <v>0</v>
      </c>
      <c r="AA250" s="67"/>
      <c r="AB250" s="67"/>
      <c r="AC250" s="67"/>
    </row>
    <row r="251" spans="1:68" x14ac:dyDescent="0.2">
      <c r="A251" s="296"/>
      <c r="B251" s="296"/>
      <c r="C251" s="296"/>
      <c r="D251" s="296"/>
      <c r="E251" s="296"/>
      <c r="F251" s="296"/>
      <c r="G251" s="296"/>
      <c r="H251" s="296"/>
      <c r="I251" s="296"/>
      <c r="J251" s="296"/>
      <c r="K251" s="296"/>
      <c r="L251" s="296"/>
      <c r="M251" s="296"/>
      <c r="N251" s="296"/>
      <c r="O251" s="297"/>
      <c r="P251" s="293" t="s">
        <v>40</v>
      </c>
      <c r="Q251" s="294"/>
      <c r="R251" s="294"/>
      <c r="S251" s="294"/>
      <c r="T251" s="294"/>
      <c r="U251" s="294"/>
      <c r="V251" s="295"/>
      <c r="W251" s="42" t="s">
        <v>0</v>
      </c>
      <c r="X251" s="43">
        <f>IFERROR(SUMPRODUCT(X249:X249*H249:H249),"0")</f>
        <v>0</v>
      </c>
      <c r="Y251" s="43">
        <f>IFERROR(SUMPRODUCT(Y249:Y249*H249:H249),"0")</f>
        <v>0</v>
      </c>
      <c r="Z251" s="42"/>
      <c r="AA251" s="67"/>
      <c r="AB251" s="67"/>
      <c r="AC251" s="67"/>
    </row>
    <row r="252" spans="1:68" ht="14.25" customHeight="1" x14ac:dyDescent="0.25">
      <c r="A252" s="307" t="s">
        <v>147</v>
      </c>
      <c r="B252" s="307"/>
      <c r="C252" s="307"/>
      <c r="D252" s="307"/>
      <c r="E252" s="307"/>
      <c r="F252" s="307"/>
      <c r="G252" s="307"/>
      <c r="H252" s="307"/>
      <c r="I252" s="307"/>
      <c r="J252" s="307"/>
      <c r="K252" s="307"/>
      <c r="L252" s="307"/>
      <c r="M252" s="307"/>
      <c r="N252" s="307"/>
      <c r="O252" s="307"/>
      <c r="P252" s="307"/>
      <c r="Q252" s="307"/>
      <c r="R252" s="307"/>
      <c r="S252" s="307"/>
      <c r="T252" s="307"/>
      <c r="U252" s="307"/>
      <c r="V252" s="307"/>
      <c r="W252" s="307"/>
      <c r="X252" s="307"/>
      <c r="Y252" s="307"/>
      <c r="Z252" s="307"/>
      <c r="AA252" s="66"/>
      <c r="AB252" s="66"/>
      <c r="AC252" s="83"/>
    </row>
    <row r="253" spans="1:68" ht="27" customHeight="1" x14ac:dyDescent="0.25">
      <c r="A253" s="63" t="s">
        <v>351</v>
      </c>
      <c r="B253" s="63" t="s">
        <v>352</v>
      </c>
      <c r="C253" s="36">
        <v>4301136051</v>
      </c>
      <c r="D253" s="289">
        <v>4640242180304</v>
      </c>
      <c r="E253" s="289"/>
      <c r="F253" s="62">
        <v>2.7</v>
      </c>
      <c r="G253" s="37">
        <v>1</v>
      </c>
      <c r="H253" s="62">
        <v>2.7</v>
      </c>
      <c r="I253" s="62">
        <v>2.8906000000000001</v>
      </c>
      <c r="J253" s="37">
        <v>126</v>
      </c>
      <c r="K253" s="37" t="s">
        <v>114</v>
      </c>
      <c r="L253" s="37" t="s">
        <v>115</v>
      </c>
      <c r="M253" s="38" t="s">
        <v>85</v>
      </c>
      <c r="N253" s="38"/>
      <c r="O253" s="37">
        <v>180</v>
      </c>
      <c r="P253" s="312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3" s="291"/>
      <c r="R253" s="291"/>
      <c r="S253" s="291"/>
      <c r="T253" s="292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IFERROR(IF(X253="","",X253*0.00936),"")</f>
        <v>0</v>
      </c>
      <c r="AA253" s="68" t="s">
        <v>46</v>
      </c>
      <c r="AB253" s="69" t="s">
        <v>46</v>
      </c>
      <c r="AC253" s="259" t="s">
        <v>353</v>
      </c>
      <c r="AG253" s="81"/>
      <c r="AJ253" s="87" t="s">
        <v>116</v>
      </c>
      <c r="AK253" s="87">
        <v>14</v>
      </c>
      <c r="BB253" s="260" t="s">
        <v>113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ht="27" customHeight="1" x14ac:dyDescent="0.25">
      <c r="A254" s="63" t="s">
        <v>354</v>
      </c>
      <c r="B254" s="63" t="s">
        <v>355</v>
      </c>
      <c r="C254" s="36">
        <v>4301136053</v>
      </c>
      <c r="D254" s="289">
        <v>4640242180236</v>
      </c>
      <c r="E254" s="289"/>
      <c r="F254" s="62">
        <v>5</v>
      </c>
      <c r="G254" s="37">
        <v>1</v>
      </c>
      <c r="H254" s="62">
        <v>5</v>
      </c>
      <c r="I254" s="62">
        <v>5.2350000000000003</v>
      </c>
      <c r="J254" s="37">
        <v>84</v>
      </c>
      <c r="K254" s="37" t="s">
        <v>86</v>
      </c>
      <c r="L254" s="37" t="s">
        <v>115</v>
      </c>
      <c r="M254" s="38" t="s">
        <v>85</v>
      </c>
      <c r="N254" s="38"/>
      <c r="O254" s="37">
        <v>180</v>
      </c>
      <c r="P254" s="313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4" s="291"/>
      <c r="R254" s="291"/>
      <c r="S254" s="291"/>
      <c r="T254" s="292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61" t="s">
        <v>353</v>
      </c>
      <c r="AG254" s="81"/>
      <c r="AJ254" s="87" t="s">
        <v>116</v>
      </c>
      <c r="AK254" s="87">
        <v>12</v>
      </c>
      <c r="BB254" s="262" t="s">
        <v>113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ht="27" customHeight="1" x14ac:dyDescent="0.25">
      <c r="A255" s="63" t="s">
        <v>356</v>
      </c>
      <c r="B255" s="63" t="s">
        <v>357</v>
      </c>
      <c r="C255" s="36">
        <v>4301136052</v>
      </c>
      <c r="D255" s="289">
        <v>4640242180410</v>
      </c>
      <c r="E255" s="289"/>
      <c r="F255" s="62">
        <v>2.2400000000000002</v>
      </c>
      <c r="G255" s="37">
        <v>1</v>
      </c>
      <c r="H255" s="62">
        <v>2.2400000000000002</v>
      </c>
      <c r="I255" s="62">
        <v>2.4319999999999999</v>
      </c>
      <c r="J255" s="37">
        <v>126</v>
      </c>
      <c r="K255" s="37" t="s">
        <v>114</v>
      </c>
      <c r="L255" s="37" t="s">
        <v>87</v>
      </c>
      <c r="M255" s="38" t="s">
        <v>85</v>
      </c>
      <c r="N255" s="38"/>
      <c r="O255" s="37">
        <v>180</v>
      </c>
      <c r="P255" s="314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5" s="291"/>
      <c r="R255" s="291"/>
      <c r="S255" s="291"/>
      <c r="T255" s="292"/>
      <c r="U255" s="39" t="s">
        <v>46</v>
      </c>
      <c r="V255" s="39" t="s">
        <v>46</v>
      </c>
      <c r="W255" s="40" t="s">
        <v>39</v>
      </c>
      <c r="X255" s="58">
        <v>0</v>
      </c>
      <c r="Y255" s="55">
        <f>IFERROR(IF(X255="","",X255),"")</f>
        <v>0</v>
      </c>
      <c r="Z255" s="41">
        <f>IFERROR(IF(X255="","",X255*0.00936),"")</f>
        <v>0</v>
      </c>
      <c r="AA255" s="68" t="s">
        <v>46</v>
      </c>
      <c r="AB255" s="69" t="s">
        <v>46</v>
      </c>
      <c r="AC255" s="263" t="s">
        <v>353</v>
      </c>
      <c r="AG255" s="81"/>
      <c r="AJ255" s="87" t="s">
        <v>88</v>
      </c>
      <c r="AK255" s="87">
        <v>1</v>
      </c>
      <c r="BB255" s="264" t="s">
        <v>113</v>
      </c>
      <c r="BM255" s="81">
        <f>IFERROR(X255*I255,"0")</f>
        <v>0</v>
      </c>
      <c r="BN255" s="81">
        <f>IFERROR(Y255*I255,"0")</f>
        <v>0</v>
      </c>
      <c r="BO255" s="81">
        <f>IFERROR(X255/J255,"0")</f>
        <v>0</v>
      </c>
      <c r="BP255" s="81">
        <f>IFERROR(Y255/J255,"0")</f>
        <v>0</v>
      </c>
    </row>
    <row r="256" spans="1:68" x14ac:dyDescent="0.2">
      <c r="A256" s="296"/>
      <c r="B256" s="296"/>
      <c r="C256" s="296"/>
      <c r="D256" s="296"/>
      <c r="E256" s="296"/>
      <c r="F256" s="296"/>
      <c r="G256" s="296"/>
      <c r="H256" s="296"/>
      <c r="I256" s="296"/>
      <c r="J256" s="296"/>
      <c r="K256" s="296"/>
      <c r="L256" s="296"/>
      <c r="M256" s="296"/>
      <c r="N256" s="296"/>
      <c r="O256" s="297"/>
      <c r="P256" s="293" t="s">
        <v>40</v>
      </c>
      <c r="Q256" s="294"/>
      <c r="R256" s="294"/>
      <c r="S256" s="294"/>
      <c r="T256" s="294"/>
      <c r="U256" s="294"/>
      <c r="V256" s="295"/>
      <c r="W256" s="42" t="s">
        <v>39</v>
      </c>
      <c r="X256" s="43">
        <f>IFERROR(SUM(X253:X255),"0")</f>
        <v>0</v>
      </c>
      <c r="Y256" s="43">
        <f>IFERROR(SUM(Y253:Y255),"0")</f>
        <v>0</v>
      </c>
      <c r="Z256" s="43">
        <f>IFERROR(IF(Z253="",0,Z253),"0")+IFERROR(IF(Z254="",0,Z254),"0")+IFERROR(IF(Z255="",0,Z255),"0")</f>
        <v>0</v>
      </c>
      <c r="AA256" s="67"/>
      <c r="AB256" s="67"/>
      <c r="AC256" s="67"/>
    </row>
    <row r="257" spans="1:68" x14ac:dyDescent="0.2">
      <c r="A257" s="296"/>
      <c r="B257" s="296"/>
      <c r="C257" s="296"/>
      <c r="D257" s="296"/>
      <c r="E257" s="296"/>
      <c r="F257" s="296"/>
      <c r="G257" s="296"/>
      <c r="H257" s="296"/>
      <c r="I257" s="296"/>
      <c r="J257" s="296"/>
      <c r="K257" s="296"/>
      <c r="L257" s="296"/>
      <c r="M257" s="296"/>
      <c r="N257" s="296"/>
      <c r="O257" s="297"/>
      <c r="P257" s="293" t="s">
        <v>40</v>
      </c>
      <c r="Q257" s="294"/>
      <c r="R257" s="294"/>
      <c r="S257" s="294"/>
      <c r="T257" s="294"/>
      <c r="U257" s="294"/>
      <c r="V257" s="295"/>
      <c r="W257" s="42" t="s">
        <v>0</v>
      </c>
      <c r="X257" s="43">
        <f>IFERROR(SUMPRODUCT(X253:X255*H253:H255),"0")</f>
        <v>0</v>
      </c>
      <c r="Y257" s="43">
        <f>IFERROR(SUMPRODUCT(Y253:Y255*H253:H255),"0")</f>
        <v>0</v>
      </c>
      <c r="Z257" s="42"/>
      <c r="AA257" s="67"/>
      <c r="AB257" s="67"/>
      <c r="AC257" s="67"/>
    </row>
    <row r="258" spans="1:68" ht="14.25" customHeight="1" x14ac:dyDescent="0.25">
      <c r="A258" s="307" t="s">
        <v>153</v>
      </c>
      <c r="B258" s="307"/>
      <c r="C258" s="307"/>
      <c r="D258" s="307"/>
      <c r="E258" s="307"/>
      <c r="F258" s="307"/>
      <c r="G258" s="307"/>
      <c r="H258" s="307"/>
      <c r="I258" s="307"/>
      <c r="J258" s="307"/>
      <c r="K258" s="307"/>
      <c r="L258" s="307"/>
      <c r="M258" s="307"/>
      <c r="N258" s="307"/>
      <c r="O258" s="307"/>
      <c r="P258" s="307"/>
      <c r="Q258" s="307"/>
      <c r="R258" s="307"/>
      <c r="S258" s="307"/>
      <c r="T258" s="307"/>
      <c r="U258" s="307"/>
      <c r="V258" s="307"/>
      <c r="W258" s="307"/>
      <c r="X258" s="307"/>
      <c r="Y258" s="307"/>
      <c r="Z258" s="307"/>
      <c r="AA258" s="66"/>
      <c r="AB258" s="66"/>
      <c r="AC258" s="83"/>
    </row>
    <row r="259" spans="1:68" ht="37.5" customHeight="1" x14ac:dyDescent="0.25">
      <c r="A259" s="63" t="s">
        <v>358</v>
      </c>
      <c r="B259" s="63" t="s">
        <v>359</v>
      </c>
      <c r="C259" s="36">
        <v>4301135504</v>
      </c>
      <c r="D259" s="289">
        <v>4640242181554</v>
      </c>
      <c r="E259" s="289"/>
      <c r="F259" s="62">
        <v>3</v>
      </c>
      <c r="G259" s="37">
        <v>1</v>
      </c>
      <c r="H259" s="62">
        <v>3</v>
      </c>
      <c r="I259" s="62">
        <v>3.1920000000000002</v>
      </c>
      <c r="J259" s="37">
        <v>126</v>
      </c>
      <c r="K259" s="37" t="s">
        <v>114</v>
      </c>
      <c r="L259" s="37" t="s">
        <v>115</v>
      </c>
      <c r="M259" s="38" t="s">
        <v>85</v>
      </c>
      <c r="N259" s="38"/>
      <c r="O259" s="37">
        <v>180</v>
      </c>
      <c r="P259" s="308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9" s="291"/>
      <c r="R259" s="291"/>
      <c r="S259" s="291"/>
      <c r="T259" s="292"/>
      <c r="U259" s="39" t="s">
        <v>46</v>
      </c>
      <c r="V259" s="39" t="s">
        <v>46</v>
      </c>
      <c r="W259" s="40" t="s">
        <v>39</v>
      </c>
      <c r="X259" s="58">
        <v>0</v>
      </c>
      <c r="Y259" s="55">
        <f t="shared" ref="Y259:Y268" si="18">IFERROR(IF(X259="","",X259),"")</f>
        <v>0</v>
      </c>
      <c r="Z259" s="41">
        <f>IFERROR(IF(X259="","",X259*0.00936),"")</f>
        <v>0</v>
      </c>
      <c r="AA259" s="68" t="s">
        <v>46</v>
      </c>
      <c r="AB259" s="69" t="s">
        <v>46</v>
      </c>
      <c r="AC259" s="265" t="s">
        <v>360</v>
      </c>
      <c r="AG259" s="81"/>
      <c r="AJ259" s="87" t="s">
        <v>116</v>
      </c>
      <c r="AK259" s="87">
        <v>14</v>
      </c>
      <c r="BB259" s="266" t="s">
        <v>113</v>
      </c>
      <c r="BM259" s="81">
        <f t="shared" ref="BM259:BM268" si="19">IFERROR(X259*I259,"0")</f>
        <v>0</v>
      </c>
      <c r="BN259" s="81">
        <f t="shared" ref="BN259:BN268" si="20">IFERROR(Y259*I259,"0")</f>
        <v>0</v>
      </c>
      <c r="BO259" s="81">
        <f t="shared" ref="BO259:BO268" si="21">IFERROR(X259/J259,"0")</f>
        <v>0</v>
      </c>
      <c r="BP259" s="81">
        <f t="shared" ref="BP259:BP268" si="22">IFERROR(Y259/J259,"0")</f>
        <v>0</v>
      </c>
    </row>
    <row r="260" spans="1:68" ht="27" customHeight="1" x14ac:dyDescent="0.25">
      <c r="A260" s="63" t="s">
        <v>361</v>
      </c>
      <c r="B260" s="63" t="s">
        <v>362</v>
      </c>
      <c r="C260" s="36">
        <v>4301135873</v>
      </c>
      <c r="D260" s="289">
        <v>4640242182087</v>
      </c>
      <c r="E260" s="289"/>
      <c r="F260" s="62">
        <v>5</v>
      </c>
      <c r="G260" s="37">
        <v>1</v>
      </c>
      <c r="H260" s="62">
        <v>5</v>
      </c>
      <c r="I260" s="62">
        <v>5.23</v>
      </c>
      <c r="J260" s="37">
        <v>84</v>
      </c>
      <c r="K260" s="37" t="s">
        <v>86</v>
      </c>
      <c r="L260" s="37" t="s">
        <v>87</v>
      </c>
      <c r="M260" s="38" t="s">
        <v>85</v>
      </c>
      <c r="N260" s="38"/>
      <c r="O260" s="37">
        <v>180</v>
      </c>
      <c r="P260" s="309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60" s="291"/>
      <c r="R260" s="291"/>
      <c r="S260" s="291"/>
      <c r="T260" s="292"/>
      <c r="U260" s="39" t="s">
        <v>46</v>
      </c>
      <c r="V260" s="39" t="s">
        <v>46</v>
      </c>
      <c r="W260" s="40" t="s">
        <v>39</v>
      </c>
      <c r="X260" s="58">
        <v>0</v>
      </c>
      <c r="Y260" s="55">
        <f t="shared" si="18"/>
        <v>0</v>
      </c>
      <c r="Z260" s="41">
        <f>IFERROR(IF(X260="","",X260*0.0155),"")</f>
        <v>0</v>
      </c>
      <c r="AA260" s="68" t="s">
        <v>46</v>
      </c>
      <c r="AB260" s="69" t="s">
        <v>46</v>
      </c>
      <c r="AC260" s="267" t="s">
        <v>363</v>
      </c>
      <c r="AG260" s="81"/>
      <c r="AJ260" s="87" t="s">
        <v>88</v>
      </c>
      <c r="AK260" s="87">
        <v>1</v>
      </c>
      <c r="BB260" s="268" t="s">
        <v>113</v>
      </c>
      <c r="BM260" s="81">
        <f t="shared" si="19"/>
        <v>0</v>
      </c>
      <c r="BN260" s="81">
        <f t="shared" si="20"/>
        <v>0</v>
      </c>
      <c r="BO260" s="81">
        <f t="shared" si="21"/>
        <v>0</v>
      </c>
      <c r="BP260" s="81">
        <f t="shared" si="22"/>
        <v>0</v>
      </c>
    </row>
    <row r="261" spans="1:68" ht="27" customHeight="1" x14ac:dyDescent="0.25">
      <c r="A261" s="63" t="s">
        <v>364</v>
      </c>
      <c r="B261" s="63" t="s">
        <v>365</v>
      </c>
      <c r="C261" s="36">
        <v>4301135374</v>
      </c>
      <c r="D261" s="289">
        <v>4640242181424</v>
      </c>
      <c r="E261" s="289"/>
      <c r="F261" s="62">
        <v>5.5</v>
      </c>
      <c r="G261" s="37">
        <v>1</v>
      </c>
      <c r="H261" s="62">
        <v>5.5</v>
      </c>
      <c r="I261" s="62">
        <v>5.7350000000000003</v>
      </c>
      <c r="J261" s="37">
        <v>84</v>
      </c>
      <c r="K261" s="37" t="s">
        <v>86</v>
      </c>
      <c r="L261" s="37" t="s">
        <v>115</v>
      </c>
      <c r="M261" s="38" t="s">
        <v>85</v>
      </c>
      <c r="N261" s="38"/>
      <c r="O261" s="37">
        <v>180</v>
      </c>
      <c r="P261" s="31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1" s="291"/>
      <c r="R261" s="291"/>
      <c r="S261" s="291"/>
      <c r="T261" s="292"/>
      <c r="U261" s="39" t="s">
        <v>46</v>
      </c>
      <c r="V261" s="39" t="s">
        <v>46</v>
      </c>
      <c r="W261" s="40" t="s">
        <v>39</v>
      </c>
      <c r="X261" s="58">
        <v>0</v>
      </c>
      <c r="Y261" s="55">
        <f t="shared" si="18"/>
        <v>0</v>
      </c>
      <c r="Z261" s="41">
        <f>IFERROR(IF(X261="","",X261*0.0155),"")</f>
        <v>0</v>
      </c>
      <c r="AA261" s="68" t="s">
        <v>46</v>
      </c>
      <c r="AB261" s="69" t="s">
        <v>46</v>
      </c>
      <c r="AC261" s="269" t="s">
        <v>360</v>
      </c>
      <c r="AG261" s="81"/>
      <c r="AJ261" s="87" t="s">
        <v>116</v>
      </c>
      <c r="AK261" s="87">
        <v>12</v>
      </c>
      <c r="BB261" s="270" t="s">
        <v>113</v>
      </c>
      <c r="BM261" s="81">
        <f t="shared" si="19"/>
        <v>0</v>
      </c>
      <c r="BN261" s="81">
        <f t="shared" si="20"/>
        <v>0</v>
      </c>
      <c r="BO261" s="81">
        <f t="shared" si="21"/>
        <v>0</v>
      </c>
      <c r="BP261" s="81">
        <f t="shared" si="22"/>
        <v>0</v>
      </c>
    </row>
    <row r="262" spans="1:68" ht="27" customHeight="1" x14ac:dyDescent="0.25">
      <c r="A262" s="63" t="s">
        <v>366</v>
      </c>
      <c r="B262" s="63" t="s">
        <v>367</v>
      </c>
      <c r="C262" s="36">
        <v>4301135405</v>
      </c>
      <c r="D262" s="289">
        <v>4640242181523</v>
      </c>
      <c r="E262" s="289"/>
      <c r="F262" s="62">
        <v>3</v>
      </c>
      <c r="G262" s="37">
        <v>1</v>
      </c>
      <c r="H262" s="62">
        <v>3</v>
      </c>
      <c r="I262" s="62">
        <v>3.1920000000000002</v>
      </c>
      <c r="J262" s="37">
        <v>126</v>
      </c>
      <c r="K262" s="37" t="s">
        <v>114</v>
      </c>
      <c r="L262" s="37" t="s">
        <v>115</v>
      </c>
      <c r="M262" s="38" t="s">
        <v>85</v>
      </c>
      <c r="N262" s="38"/>
      <c r="O262" s="37">
        <v>180</v>
      </c>
      <c r="P262" s="311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2" s="291"/>
      <c r="R262" s="291"/>
      <c r="S262" s="291"/>
      <c r="T262" s="292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si="18"/>
        <v>0</v>
      </c>
      <c r="Z262" s="41">
        <f t="shared" ref="Z262:Z267" si="23">IFERROR(IF(X262="","",X262*0.00936),"")</f>
        <v>0</v>
      </c>
      <c r="AA262" s="68" t="s">
        <v>46</v>
      </c>
      <c r="AB262" s="69" t="s">
        <v>46</v>
      </c>
      <c r="AC262" s="271" t="s">
        <v>363</v>
      </c>
      <c r="AG262" s="81"/>
      <c r="AJ262" s="87" t="s">
        <v>116</v>
      </c>
      <c r="AK262" s="87">
        <v>14</v>
      </c>
      <c r="BB262" s="272" t="s">
        <v>113</v>
      </c>
      <c r="BM262" s="81">
        <f t="shared" si="19"/>
        <v>0</v>
      </c>
      <c r="BN262" s="81">
        <f t="shared" si="20"/>
        <v>0</v>
      </c>
      <c r="BO262" s="81">
        <f t="shared" si="21"/>
        <v>0</v>
      </c>
      <c r="BP262" s="81">
        <f t="shared" si="22"/>
        <v>0</v>
      </c>
    </row>
    <row r="263" spans="1:68" ht="27" customHeight="1" x14ac:dyDescent="0.25">
      <c r="A263" s="63" t="s">
        <v>368</v>
      </c>
      <c r="B263" s="63" t="s">
        <v>369</v>
      </c>
      <c r="C263" s="36">
        <v>4301135375</v>
      </c>
      <c r="D263" s="289">
        <v>4640242181486</v>
      </c>
      <c r="E263" s="289"/>
      <c r="F263" s="62">
        <v>3.7</v>
      </c>
      <c r="G263" s="37">
        <v>1</v>
      </c>
      <c r="H263" s="62">
        <v>3.7</v>
      </c>
      <c r="I263" s="62">
        <v>3.8919999999999999</v>
      </c>
      <c r="J263" s="37">
        <v>126</v>
      </c>
      <c r="K263" s="37" t="s">
        <v>114</v>
      </c>
      <c r="L263" s="37" t="s">
        <v>115</v>
      </c>
      <c r="M263" s="38" t="s">
        <v>85</v>
      </c>
      <c r="N263" s="38"/>
      <c r="O263" s="37">
        <v>180</v>
      </c>
      <c r="P263" s="30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3" s="291"/>
      <c r="R263" s="291"/>
      <c r="S263" s="291"/>
      <c r="T263" s="292"/>
      <c r="U263" s="39" t="s">
        <v>46</v>
      </c>
      <c r="V263" s="39" t="s">
        <v>46</v>
      </c>
      <c r="W263" s="40" t="s">
        <v>39</v>
      </c>
      <c r="X263" s="58">
        <v>0</v>
      </c>
      <c r="Y263" s="55">
        <f t="shared" si="18"/>
        <v>0</v>
      </c>
      <c r="Z263" s="41">
        <f t="shared" si="23"/>
        <v>0</v>
      </c>
      <c r="AA263" s="68" t="s">
        <v>46</v>
      </c>
      <c r="AB263" s="69" t="s">
        <v>46</v>
      </c>
      <c r="AC263" s="273" t="s">
        <v>360</v>
      </c>
      <c r="AG263" s="81"/>
      <c r="AJ263" s="87" t="s">
        <v>116</v>
      </c>
      <c r="AK263" s="87">
        <v>14</v>
      </c>
      <c r="BB263" s="274" t="s">
        <v>113</v>
      </c>
      <c r="BM263" s="81">
        <f t="shared" si="19"/>
        <v>0</v>
      </c>
      <c r="BN263" s="81">
        <f t="shared" si="20"/>
        <v>0</v>
      </c>
      <c r="BO263" s="81">
        <f t="shared" si="21"/>
        <v>0</v>
      </c>
      <c r="BP263" s="81">
        <f t="shared" si="22"/>
        <v>0</v>
      </c>
    </row>
    <row r="264" spans="1:68" ht="37.5" customHeight="1" x14ac:dyDescent="0.25">
      <c r="A264" s="63" t="s">
        <v>370</v>
      </c>
      <c r="B264" s="63" t="s">
        <v>371</v>
      </c>
      <c r="C264" s="36">
        <v>4301135402</v>
      </c>
      <c r="D264" s="289">
        <v>4640242181493</v>
      </c>
      <c r="E264" s="289"/>
      <c r="F264" s="62">
        <v>3.7</v>
      </c>
      <c r="G264" s="37">
        <v>1</v>
      </c>
      <c r="H264" s="62">
        <v>3.7</v>
      </c>
      <c r="I264" s="62">
        <v>3.8919999999999999</v>
      </c>
      <c r="J264" s="37">
        <v>126</v>
      </c>
      <c r="K264" s="37" t="s">
        <v>114</v>
      </c>
      <c r="L264" s="37" t="s">
        <v>115</v>
      </c>
      <c r="M264" s="38" t="s">
        <v>85</v>
      </c>
      <c r="N264" s="38"/>
      <c r="O264" s="37">
        <v>180</v>
      </c>
      <c r="P264" s="303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4" s="291"/>
      <c r="R264" s="291"/>
      <c r="S264" s="291"/>
      <c r="T264" s="292"/>
      <c r="U264" s="39" t="s">
        <v>46</v>
      </c>
      <c r="V264" s="39" t="s">
        <v>46</v>
      </c>
      <c r="W264" s="40" t="s">
        <v>39</v>
      </c>
      <c r="X264" s="58">
        <v>0</v>
      </c>
      <c r="Y264" s="55">
        <f t="shared" si="18"/>
        <v>0</v>
      </c>
      <c r="Z264" s="41">
        <f t="shared" si="23"/>
        <v>0</v>
      </c>
      <c r="AA264" s="68" t="s">
        <v>46</v>
      </c>
      <c r="AB264" s="69" t="s">
        <v>46</v>
      </c>
      <c r="AC264" s="275" t="s">
        <v>360</v>
      </c>
      <c r="AG264" s="81"/>
      <c r="AJ264" s="87" t="s">
        <v>116</v>
      </c>
      <c r="AK264" s="87">
        <v>14</v>
      </c>
      <c r="BB264" s="276" t="s">
        <v>113</v>
      </c>
      <c r="BM264" s="81">
        <f t="shared" si="19"/>
        <v>0</v>
      </c>
      <c r="BN264" s="81">
        <f t="shared" si="20"/>
        <v>0</v>
      </c>
      <c r="BO264" s="81">
        <f t="shared" si="21"/>
        <v>0</v>
      </c>
      <c r="BP264" s="81">
        <f t="shared" si="22"/>
        <v>0</v>
      </c>
    </row>
    <row r="265" spans="1:68" ht="37.5" customHeight="1" x14ac:dyDescent="0.25">
      <c r="A265" s="63" t="s">
        <v>372</v>
      </c>
      <c r="B265" s="63" t="s">
        <v>373</v>
      </c>
      <c r="C265" s="36">
        <v>4301135403</v>
      </c>
      <c r="D265" s="289">
        <v>4640242181509</v>
      </c>
      <c r="E265" s="289"/>
      <c r="F265" s="62">
        <v>3.7</v>
      </c>
      <c r="G265" s="37">
        <v>1</v>
      </c>
      <c r="H265" s="62">
        <v>3.7</v>
      </c>
      <c r="I265" s="62">
        <v>3.8919999999999999</v>
      </c>
      <c r="J265" s="37">
        <v>126</v>
      </c>
      <c r="K265" s="37" t="s">
        <v>114</v>
      </c>
      <c r="L265" s="37" t="s">
        <v>87</v>
      </c>
      <c r="M265" s="38" t="s">
        <v>85</v>
      </c>
      <c r="N265" s="38"/>
      <c r="O265" s="37">
        <v>180</v>
      </c>
      <c r="P265" s="304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5" s="291"/>
      <c r="R265" s="291"/>
      <c r="S265" s="291"/>
      <c r="T265" s="292"/>
      <c r="U265" s="39" t="s">
        <v>46</v>
      </c>
      <c r="V265" s="39" t="s">
        <v>46</v>
      </c>
      <c r="W265" s="40" t="s">
        <v>39</v>
      </c>
      <c r="X265" s="58">
        <v>0</v>
      </c>
      <c r="Y265" s="55">
        <f t="shared" si="18"/>
        <v>0</v>
      </c>
      <c r="Z265" s="41">
        <f t="shared" si="23"/>
        <v>0</v>
      </c>
      <c r="AA265" s="68" t="s">
        <v>46</v>
      </c>
      <c r="AB265" s="69" t="s">
        <v>46</v>
      </c>
      <c r="AC265" s="277" t="s">
        <v>360</v>
      </c>
      <c r="AG265" s="81"/>
      <c r="AJ265" s="87" t="s">
        <v>88</v>
      </c>
      <c r="AK265" s="87">
        <v>1</v>
      </c>
      <c r="BB265" s="278" t="s">
        <v>113</v>
      </c>
      <c r="BM265" s="81">
        <f t="shared" si="19"/>
        <v>0</v>
      </c>
      <c r="BN265" s="81">
        <f t="shared" si="20"/>
        <v>0</v>
      </c>
      <c r="BO265" s="81">
        <f t="shared" si="21"/>
        <v>0</v>
      </c>
      <c r="BP265" s="81">
        <f t="shared" si="22"/>
        <v>0</v>
      </c>
    </row>
    <row r="266" spans="1:68" ht="27" customHeight="1" x14ac:dyDescent="0.25">
      <c r="A266" s="63" t="s">
        <v>374</v>
      </c>
      <c r="B266" s="63" t="s">
        <v>375</v>
      </c>
      <c r="C266" s="36">
        <v>4301135304</v>
      </c>
      <c r="D266" s="289">
        <v>4640242181240</v>
      </c>
      <c r="E266" s="289"/>
      <c r="F266" s="62">
        <v>0.3</v>
      </c>
      <c r="G266" s="37">
        <v>9</v>
      </c>
      <c r="H266" s="62">
        <v>2.7</v>
      </c>
      <c r="I266" s="62">
        <v>2.88</v>
      </c>
      <c r="J266" s="37">
        <v>126</v>
      </c>
      <c r="K266" s="37" t="s">
        <v>114</v>
      </c>
      <c r="L266" s="37" t="s">
        <v>115</v>
      </c>
      <c r="M266" s="38" t="s">
        <v>85</v>
      </c>
      <c r="N266" s="38"/>
      <c r="O266" s="37">
        <v>180</v>
      </c>
      <c r="P266" s="305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6" s="291"/>
      <c r="R266" s="291"/>
      <c r="S266" s="291"/>
      <c r="T266" s="292"/>
      <c r="U266" s="39" t="s">
        <v>46</v>
      </c>
      <c r="V266" s="39" t="s">
        <v>46</v>
      </c>
      <c r="W266" s="40" t="s">
        <v>39</v>
      </c>
      <c r="X266" s="58">
        <v>0</v>
      </c>
      <c r="Y266" s="55">
        <f t="shared" si="18"/>
        <v>0</v>
      </c>
      <c r="Z266" s="41">
        <f t="shared" si="23"/>
        <v>0</v>
      </c>
      <c r="AA266" s="68" t="s">
        <v>46</v>
      </c>
      <c r="AB266" s="69" t="s">
        <v>46</v>
      </c>
      <c r="AC266" s="279" t="s">
        <v>360</v>
      </c>
      <c r="AG266" s="81"/>
      <c r="AJ266" s="87" t="s">
        <v>116</v>
      </c>
      <c r="AK266" s="87">
        <v>14</v>
      </c>
      <c r="BB266" s="280" t="s">
        <v>113</v>
      </c>
      <c r="BM266" s="81">
        <f t="shared" si="19"/>
        <v>0</v>
      </c>
      <c r="BN266" s="81">
        <f t="shared" si="20"/>
        <v>0</v>
      </c>
      <c r="BO266" s="81">
        <f t="shared" si="21"/>
        <v>0</v>
      </c>
      <c r="BP266" s="81">
        <f t="shared" si="22"/>
        <v>0</v>
      </c>
    </row>
    <row r="267" spans="1:68" ht="27" customHeight="1" x14ac:dyDescent="0.25">
      <c r="A267" s="63" t="s">
        <v>376</v>
      </c>
      <c r="B267" s="63" t="s">
        <v>377</v>
      </c>
      <c r="C267" s="36">
        <v>4301135610</v>
      </c>
      <c r="D267" s="289">
        <v>4640242181318</v>
      </c>
      <c r="E267" s="289"/>
      <c r="F267" s="62">
        <v>0.3</v>
      </c>
      <c r="G267" s="37">
        <v>9</v>
      </c>
      <c r="H267" s="62">
        <v>2.7</v>
      </c>
      <c r="I267" s="62">
        <v>2.988</v>
      </c>
      <c r="J267" s="37">
        <v>126</v>
      </c>
      <c r="K267" s="37" t="s">
        <v>114</v>
      </c>
      <c r="L267" s="37" t="s">
        <v>115</v>
      </c>
      <c r="M267" s="38" t="s">
        <v>85</v>
      </c>
      <c r="N267" s="38"/>
      <c r="O267" s="37">
        <v>180</v>
      </c>
      <c r="P267" s="306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7" s="291"/>
      <c r="R267" s="291"/>
      <c r="S267" s="291"/>
      <c r="T267" s="292"/>
      <c r="U267" s="39" t="s">
        <v>46</v>
      </c>
      <c r="V267" s="39" t="s">
        <v>46</v>
      </c>
      <c r="W267" s="40" t="s">
        <v>39</v>
      </c>
      <c r="X267" s="58">
        <v>0</v>
      </c>
      <c r="Y267" s="55">
        <f t="shared" si="18"/>
        <v>0</v>
      </c>
      <c r="Z267" s="41">
        <f t="shared" si="23"/>
        <v>0</v>
      </c>
      <c r="AA267" s="68" t="s">
        <v>46</v>
      </c>
      <c r="AB267" s="69" t="s">
        <v>46</v>
      </c>
      <c r="AC267" s="281" t="s">
        <v>363</v>
      </c>
      <c r="AG267" s="81"/>
      <c r="AJ267" s="87" t="s">
        <v>116</v>
      </c>
      <c r="AK267" s="87">
        <v>14</v>
      </c>
      <c r="BB267" s="282" t="s">
        <v>113</v>
      </c>
      <c r="BM267" s="81">
        <f t="shared" si="19"/>
        <v>0</v>
      </c>
      <c r="BN267" s="81">
        <f t="shared" si="20"/>
        <v>0</v>
      </c>
      <c r="BO267" s="81">
        <f t="shared" si="21"/>
        <v>0</v>
      </c>
      <c r="BP267" s="81">
        <f t="shared" si="22"/>
        <v>0</v>
      </c>
    </row>
    <row r="268" spans="1:68" ht="27" customHeight="1" x14ac:dyDescent="0.25">
      <c r="A268" s="63" t="s">
        <v>378</v>
      </c>
      <c r="B268" s="63" t="s">
        <v>379</v>
      </c>
      <c r="C268" s="36">
        <v>4301135306</v>
      </c>
      <c r="D268" s="289">
        <v>4640242181387</v>
      </c>
      <c r="E268" s="289"/>
      <c r="F268" s="62">
        <v>0.3</v>
      </c>
      <c r="G268" s="37">
        <v>9</v>
      </c>
      <c r="H268" s="62">
        <v>2.7</v>
      </c>
      <c r="I268" s="62">
        <v>2.8450000000000002</v>
      </c>
      <c r="J268" s="37">
        <v>234</v>
      </c>
      <c r="K268" s="37" t="s">
        <v>165</v>
      </c>
      <c r="L268" s="37" t="s">
        <v>115</v>
      </c>
      <c r="M268" s="38" t="s">
        <v>85</v>
      </c>
      <c r="N268" s="38"/>
      <c r="O268" s="37">
        <v>180</v>
      </c>
      <c r="P268" s="290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8" s="291"/>
      <c r="R268" s="291"/>
      <c r="S268" s="291"/>
      <c r="T268" s="292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si="18"/>
        <v>0</v>
      </c>
      <c r="Z268" s="41">
        <f>IFERROR(IF(X268="","",X268*0.00502),"")</f>
        <v>0</v>
      </c>
      <c r="AA268" s="68" t="s">
        <v>46</v>
      </c>
      <c r="AB268" s="69" t="s">
        <v>46</v>
      </c>
      <c r="AC268" s="283" t="s">
        <v>360</v>
      </c>
      <c r="AG268" s="81"/>
      <c r="AJ268" s="87" t="s">
        <v>116</v>
      </c>
      <c r="AK268" s="87">
        <v>18</v>
      </c>
      <c r="BB268" s="284" t="s">
        <v>113</v>
      </c>
      <c r="BM268" s="81">
        <f t="shared" si="19"/>
        <v>0</v>
      </c>
      <c r="BN268" s="81">
        <f t="shared" si="20"/>
        <v>0</v>
      </c>
      <c r="BO268" s="81">
        <f t="shared" si="21"/>
        <v>0</v>
      </c>
      <c r="BP268" s="81">
        <f t="shared" si="22"/>
        <v>0</v>
      </c>
    </row>
    <row r="269" spans="1:68" x14ac:dyDescent="0.2">
      <c r="A269" s="296"/>
      <c r="B269" s="296"/>
      <c r="C269" s="296"/>
      <c r="D269" s="296"/>
      <c r="E269" s="296"/>
      <c r="F269" s="296"/>
      <c r="G269" s="296"/>
      <c r="H269" s="296"/>
      <c r="I269" s="296"/>
      <c r="J269" s="296"/>
      <c r="K269" s="296"/>
      <c r="L269" s="296"/>
      <c r="M269" s="296"/>
      <c r="N269" s="296"/>
      <c r="O269" s="297"/>
      <c r="P269" s="293" t="s">
        <v>40</v>
      </c>
      <c r="Q269" s="294"/>
      <c r="R269" s="294"/>
      <c r="S269" s="294"/>
      <c r="T269" s="294"/>
      <c r="U269" s="294"/>
      <c r="V269" s="295"/>
      <c r="W269" s="42" t="s">
        <v>39</v>
      </c>
      <c r="X269" s="43">
        <f>IFERROR(SUM(X259:X268),"0")</f>
        <v>0</v>
      </c>
      <c r="Y269" s="43">
        <f>IFERROR(SUM(Y259:Y268),"0")</f>
        <v>0</v>
      </c>
      <c r="Z269" s="43">
        <f>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+IFERROR(IF(Z268="",0,Z268),"0")</f>
        <v>0</v>
      </c>
      <c r="AA269" s="67"/>
      <c r="AB269" s="67"/>
      <c r="AC269" s="67"/>
    </row>
    <row r="270" spans="1:68" x14ac:dyDescent="0.2">
      <c r="A270" s="296"/>
      <c r="B270" s="296"/>
      <c r="C270" s="296"/>
      <c r="D270" s="296"/>
      <c r="E270" s="296"/>
      <c r="F270" s="296"/>
      <c r="G270" s="296"/>
      <c r="H270" s="296"/>
      <c r="I270" s="296"/>
      <c r="J270" s="296"/>
      <c r="K270" s="296"/>
      <c r="L270" s="296"/>
      <c r="M270" s="296"/>
      <c r="N270" s="296"/>
      <c r="O270" s="297"/>
      <c r="P270" s="293" t="s">
        <v>40</v>
      </c>
      <c r="Q270" s="294"/>
      <c r="R270" s="294"/>
      <c r="S270" s="294"/>
      <c r="T270" s="294"/>
      <c r="U270" s="294"/>
      <c r="V270" s="295"/>
      <c r="W270" s="42" t="s">
        <v>0</v>
      </c>
      <c r="X270" s="43">
        <f>IFERROR(SUMPRODUCT(X259:X268*H259:H268),"0")</f>
        <v>0</v>
      </c>
      <c r="Y270" s="43">
        <f>IFERROR(SUMPRODUCT(Y259:Y268*H259:H268),"0")</f>
        <v>0</v>
      </c>
      <c r="Z270" s="42"/>
      <c r="AA270" s="67"/>
      <c r="AB270" s="67"/>
      <c r="AC270" s="67"/>
    </row>
    <row r="271" spans="1:68" ht="15" customHeight="1" x14ac:dyDescent="0.2">
      <c r="A271" s="296"/>
      <c r="B271" s="296"/>
      <c r="C271" s="296"/>
      <c r="D271" s="296"/>
      <c r="E271" s="296"/>
      <c r="F271" s="296"/>
      <c r="G271" s="296"/>
      <c r="H271" s="296"/>
      <c r="I271" s="296"/>
      <c r="J271" s="296"/>
      <c r="K271" s="296"/>
      <c r="L271" s="296"/>
      <c r="M271" s="296"/>
      <c r="N271" s="296"/>
      <c r="O271" s="301"/>
      <c r="P271" s="298" t="s">
        <v>33</v>
      </c>
      <c r="Q271" s="299"/>
      <c r="R271" s="299"/>
      <c r="S271" s="299"/>
      <c r="T271" s="299"/>
      <c r="U271" s="299"/>
      <c r="V271" s="300"/>
      <c r="W271" s="42" t="s">
        <v>0</v>
      </c>
      <c r="X271" s="43">
        <f>IFERROR(X30+X36+X43+X50+X58+X63+X67+X72+X78+X84+X89+X95+X106+X112+X123+X127+X131+X138+X145+X152+X158+X163+X168+X173+X180+X185+X194+X200+X207+X212+X218+X224+X230+X236+X240+X247+X251+X257+X270,"0")</f>
        <v>4942.92</v>
      </c>
      <c r="Y271" s="43">
        <f>IFERROR(Y30+Y36+Y43+Y50+Y58+Y63+Y67+Y72+Y78+Y84+Y89+Y95+Y106+Y112+Y123+Y127+Y131+Y138+Y145+Y152+Y158+Y163+Y168+Y173+Y180+Y185+Y194+Y200+Y207+Y212+Y218+Y224+Y230+Y236+Y240+Y247+Y251+Y257+Y270,"0")</f>
        <v>4942.92</v>
      </c>
      <c r="Z271" s="42"/>
      <c r="AA271" s="67"/>
      <c r="AB271" s="67"/>
      <c r="AC271" s="67"/>
    </row>
    <row r="272" spans="1:68" x14ac:dyDescent="0.2">
      <c r="A272" s="296"/>
      <c r="B272" s="296"/>
      <c r="C272" s="296"/>
      <c r="D272" s="296"/>
      <c r="E272" s="296"/>
      <c r="F272" s="296"/>
      <c r="G272" s="296"/>
      <c r="H272" s="296"/>
      <c r="I272" s="296"/>
      <c r="J272" s="296"/>
      <c r="K272" s="296"/>
      <c r="L272" s="296"/>
      <c r="M272" s="296"/>
      <c r="N272" s="296"/>
      <c r="O272" s="301"/>
      <c r="P272" s="298" t="s">
        <v>34</v>
      </c>
      <c r="Q272" s="299"/>
      <c r="R272" s="299"/>
      <c r="S272" s="299"/>
      <c r="T272" s="299"/>
      <c r="U272" s="299"/>
      <c r="V272" s="300"/>
      <c r="W272" s="42" t="s">
        <v>0</v>
      </c>
      <c r="X272" s="43">
        <f>IFERROR(SUM(BM22:BM268),"0")</f>
        <v>5516.1283999999996</v>
      </c>
      <c r="Y272" s="43">
        <f>IFERROR(SUM(BN22:BN268),"0")</f>
        <v>5516.1283999999996</v>
      </c>
      <c r="Z272" s="42"/>
      <c r="AA272" s="67"/>
      <c r="AB272" s="67"/>
      <c r="AC272" s="67"/>
    </row>
    <row r="273" spans="1:32" x14ac:dyDescent="0.2">
      <c r="A273" s="296"/>
      <c r="B273" s="296"/>
      <c r="C273" s="296"/>
      <c r="D273" s="296"/>
      <c r="E273" s="296"/>
      <c r="F273" s="296"/>
      <c r="G273" s="296"/>
      <c r="H273" s="296"/>
      <c r="I273" s="296"/>
      <c r="J273" s="296"/>
      <c r="K273" s="296"/>
      <c r="L273" s="296"/>
      <c r="M273" s="296"/>
      <c r="N273" s="296"/>
      <c r="O273" s="301"/>
      <c r="P273" s="298" t="s">
        <v>35</v>
      </c>
      <c r="Q273" s="299"/>
      <c r="R273" s="299"/>
      <c r="S273" s="299"/>
      <c r="T273" s="299"/>
      <c r="U273" s="299"/>
      <c r="V273" s="300"/>
      <c r="W273" s="42" t="s">
        <v>20</v>
      </c>
      <c r="X273" s="44">
        <f>ROUNDUP(SUM(BO22:BO268),0)</f>
        <v>16</v>
      </c>
      <c r="Y273" s="44">
        <f>ROUNDUP(SUM(BP22:BP268),0)</f>
        <v>16</v>
      </c>
      <c r="Z273" s="42"/>
      <c r="AA273" s="67"/>
      <c r="AB273" s="67"/>
      <c r="AC273" s="67"/>
    </row>
    <row r="274" spans="1:32" x14ac:dyDescent="0.2">
      <c r="A274" s="296"/>
      <c r="B274" s="296"/>
      <c r="C274" s="296"/>
      <c r="D274" s="296"/>
      <c r="E274" s="296"/>
      <c r="F274" s="296"/>
      <c r="G274" s="296"/>
      <c r="H274" s="296"/>
      <c r="I274" s="296"/>
      <c r="J274" s="296"/>
      <c r="K274" s="296"/>
      <c r="L274" s="296"/>
      <c r="M274" s="296"/>
      <c r="N274" s="296"/>
      <c r="O274" s="301"/>
      <c r="P274" s="298" t="s">
        <v>36</v>
      </c>
      <c r="Q274" s="299"/>
      <c r="R274" s="299"/>
      <c r="S274" s="299"/>
      <c r="T274" s="299"/>
      <c r="U274" s="299"/>
      <c r="V274" s="300"/>
      <c r="W274" s="42" t="s">
        <v>0</v>
      </c>
      <c r="X274" s="43">
        <f>GrossWeightTotal+PalletQtyTotal*25</f>
        <v>5916.1283999999996</v>
      </c>
      <c r="Y274" s="43">
        <f>GrossWeightTotalR+PalletQtyTotalR*25</f>
        <v>5916.1283999999996</v>
      </c>
      <c r="Z274" s="42"/>
      <c r="AA274" s="67"/>
      <c r="AB274" s="67"/>
      <c r="AC274" s="67"/>
    </row>
    <row r="275" spans="1:32" x14ac:dyDescent="0.2">
      <c r="A275" s="296"/>
      <c r="B275" s="296"/>
      <c r="C275" s="296"/>
      <c r="D275" s="296"/>
      <c r="E275" s="296"/>
      <c r="F275" s="296"/>
      <c r="G275" s="296"/>
      <c r="H275" s="296"/>
      <c r="I275" s="296"/>
      <c r="J275" s="296"/>
      <c r="K275" s="296"/>
      <c r="L275" s="296"/>
      <c r="M275" s="296"/>
      <c r="N275" s="296"/>
      <c r="O275" s="301"/>
      <c r="P275" s="298" t="s">
        <v>37</v>
      </c>
      <c r="Q275" s="299"/>
      <c r="R275" s="299"/>
      <c r="S275" s="299"/>
      <c r="T275" s="299"/>
      <c r="U275" s="299"/>
      <c r="V275" s="300"/>
      <c r="W275" s="42" t="s">
        <v>20</v>
      </c>
      <c r="X275" s="43">
        <f>IFERROR(X29+X35+X42+X49+X57+X62+X66+X71+X77+X83+X88+X94+X105+X111+X122+X126+X130+X137+X144+X151+X157+X162+X167+X172+X179+X184+X193+X199+X206+X211+X217+X223+X229+X235+X239+X246+X250+X256+X269,"0")</f>
        <v>1314</v>
      </c>
      <c r="Y275" s="43">
        <f>IFERROR(Y29+Y35+Y42+Y49+Y57+Y62+Y66+Y71+Y77+Y83+Y88+Y94+Y105+Y111+Y122+Y126+Y130+Y137+Y144+Y151+Y157+Y162+Y167+Y172+Y179+Y184+Y193+Y199+Y206+Y211+Y217+Y223+Y229+Y235+Y239+Y246+Y250+Y256+Y269,"0")</f>
        <v>1314</v>
      </c>
      <c r="Z275" s="42"/>
      <c r="AA275" s="67"/>
      <c r="AB275" s="67"/>
      <c r="AC275" s="67"/>
    </row>
    <row r="276" spans="1:32" ht="14.25" x14ac:dyDescent="0.2">
      <c r="A276" s="296"/>
      <c r="B276" s="296"/>
      <c r="C276" s="296"/>
      <c r="D276" s="296"/>
      <c r="E276" s="296"/>
      <c r="F276" s="296"/>
      <c r="G276" s="296"/>
      <c r="H276" s="296"/>
      <c r="I276" s="296"/>
      <c r="J276" s="296"/>
      <c r="K276" s="296"/>
      <c r="L276" s="296"/>
      <c r="M276" s="296"/>
      <c r="N276" s="296"/>
      <c r="O276" s="301"/>
      <c r="P276" s="298" t="s">
        <v>38</v>
      </c>
      <c r="Q276" s="299"/>
      <c r="R276" s="299"/>
      <c r="S276" s="299"/>
      <c r="T276" s="299"/>
      <c r="U276" s="299"/>
      <c r="V276" s="300"/>
      <c r="W276" s="45" t="s">
        <v>52</v>
      </c>
      <c r="X276" s="42"/>
      <c r="Y276" s="42"/>
      <c r="Z276" s="42">
        <f>IFERROR(Z29+Z35+Z42+Z49+Z57+Z62+Z66+Z71+Z77+Z83+Z88+Z94+Z105+Z111+Z122+Z126+Z130+Z137+Z144+Z151+Z157+Z162+Z167+Z172+Z179+Z184+Z193+Z199+Z206+Z211+Z217+Z223+Z229+Z235+Z239+Z246+Z250+Z256+Z269,"0")</f>
        <v>20.2073</v>
      </c>
      <c r="AA276" s="67"/>
      <c r="AB276" s="67"/>
      <c r="AC276" s="67"/>
    </row>
    <row r="277" spans="1:32" ht="13.5" thickBot="1" x14ac:dyDescent="0.25"/>
    <row r="278" spans="1:32" ht="27" thickTop="1" thickBot="1" x14ac:dyDescent="0.25">
      <c r="A278" s="46" t="s">
        <v>9</v>
      </c>
      <c r="B278" s="285" t="s">
        <v>80</v>
      </c>
      <c r="C278" s="285" t="s">
        <v>80</v>
      </c>
      <c r="D278" s="285" t="s">
        <v>45</v>
      </c>
      <c r="E278" s="285" t="s">
        <v>45</v>
      </c>
      <c r="F278" s="285" t="s">
        <v>45</v>
      </c>
      <c r="G278" s="285" t="s">
        <v>45</v>
      </c>
      <c r="H278" s="285" t="s">
        <v>45</v>
      </c>
      <c r="I278" s="285" t="s">
        <v>45</v>
      </c>
      <c r="J278" s="285" t="s">
        <v>45</v>
      </c>
      <c r="K278" s="285" t="s">
        <v>45</v>
      </c>
      <c r="L278" s="285" t="s">
        <v>45</v>
      </c>
      <c r="M278" s="285" t="s">
        <v>45</v>
      </c>
      <c r="N278" s="286"/>
      <c r="O278" s="285" t="s">
        <v>45</v>
      </c>
      <c r="P278" s="285" t="s">
        <v>45</v>
      </c>
      <c r="Q278" s="285" t="s">
        <v>45</v>
      </c>
      <c r="R278" s="285" t="s">
        <v>45</v>
      </c>
      <c r="S278" s="285" t="s">
        <v>45</v>
      </c>
      <c r="T278" s="285" t="s">
        <v>45</v>
      </c>
      <c r="U278" s="285" t="s">
        <v>45</v>
      </c>
      <c r="V278" s="88" t="s">
        <v>271</v>
      </c>
      <c r="W278" s="88" t="s">
        <v>285</v>
      </c>
      <c r="X278" s="285" t="s">
        <v>299</v>
      </c>
      <c r="Y278" s="285" t="s">
        <v>299</v>
      </c>
      <c r="Z278" s="285" t="s">
        <v>299</v>
      </c>
      <c r="AA278" s="88" t="s">
        <v>325</v>
      </c>
      <c r="AB278" s="88" t="s">
        <v>330</v>
      </c>
      <c r="AC278" s="88" t="s">
        <v>334</v>
      </c>
      <c r="AD278" s="88" t="s">
        <v>342</v>
      </c>
      <c r="AF278" s="1"/>
    </row>
    <row r="279" spans="1:32" ht="14.25" customHeight="1" thickTop="1" x14ac:dyDescent="0.2">
      <c r="A279" s="287" t="s">
        <v>10</v>
      </c>
      <c r="B279" s="285" t="s">
        <v>80</v>
      </c>
      <c r="C279" s="285" t="s">
        <v>102</v>
      </c>
      <c r="D279" s="285" t="s">
        <v>108</v>
      </c>
      <c r="E279" s="285" t="s">
        <v>119</v>
      </c>
      <c r="F279" s="285" t="s">
        <v>129</v>
      </c>
      <c r="G279" s="285" t="s">
        <v>140</v>
      </c>
      <c r="H279" s="285" t="s">
        <v>161</v>
      </c>
      <c r="I279" s="285" t="s">
        <v>168</v>
      </c>
      <c r="J279" s="285" t="s">
        <v>172</v>
      </c>
      <c r="K279" s="285" t="s">
        <v>180</v>
      </c>
      <c r="L279" s="285" t="s">
        <v>198</v>
      </c>
      <c r="M279" s="285" t="s">
        <v>204</v>
      </c>
      <c r="N279" s="1"/>
      <c r="O279" s="285" t="s">
        <v>229</v>
      </c>
      <c r="P279" s="285" t="s">
        <v>238</v>
      </c>
      <c r="Q279" s="285" t="s">
        <v>246</v>
      </c>
      <c r="R279" s="285" t="s">
        <v>255</v>
      </c>
      <c r="S279" s="285" t="s">
        <v>260</v>
      </c>
      <c r="T279" s="285" t="s">
        <v>264</v>
      </c>
      <c r="U279" s="285" t="s">
        <v>267</v>
      </c>
      <c r="V279" s="285" t="s">
        <v>272</v>
      </c>
      <c r="W279" s="285" t="s">
        <v>286</v>
      </c>
      <c r="X279" s="285" t="s">
        <v>300</v>
      </c>
      <c r="Y279" s="285" t="s">
        <v>315</v>
      </c>
      <c r="Z279" s="285" t="s">
        <v>319</v>
      </c>
      <c r="AA279" s="285" t="s">
        <v>326</v>
      </c>
      <c r="AB279" s="285" t="s">
        <v>331</v>
      </c>
      <c r="AC279" s="285" t="s">
        <v>335</v>
      </c>
      <c r="AD279" s="285" t="s">
        <v>342</v>
      </c>
      <c r="AF279" s="1"/>
    </row>
    <row r="280" spans="1:32" ht="13.5" thickBot="1" x14ac:dyDescent="0.25">
      <c r="A280" s="288"/>
      <c r="B280" s="285"/>
      <c r="C280" s="285"/>
      <c r="D280" s="285"/>
      <c r="E280" s="285"/>
      <c r="F280" s="285"/>
      <c r="G280" s="285"/>
      <c r="H280" s="285"/>
      <c r="I280" s="285"/>
      <c r="J280" s="285"/>
      <c r="K280" s="285"/>
      <c r="L280" s="285"/>
      <c r="M280" s="285"/>
      <c r="N280" s="1"/>
      <c r="O280" s="285"/>
      <c r="P280" s="285"/>
      <c r="Q280" s="285"/>
      <c r="R280" s="285"/>
      <c r="S280" s="285"/>
      <c r="T280" s="285"/>
      <c r="U280" s="285"/>
      <c r="V280" s="285"/>
      <c r="W280" s="285"/>
      <c r="X280" s="285"/>
      <c r="Y280" s="285"/>
      <c r="Z280" s="285"/>
      <c r="AA280" s="285"/>
      <c r="AB280" s="285"/>
      <c r="AC280" s="285"/>
      <c r="AD280" s="285"/>
      <c r="AF280" s="1"/>
    </row>
    <row r="281" spans="1:32" ht="18" thickTop="1" thickBot="1" x14ac:dyDescent="0.25">
      <c r="A281" s="46" t="s">
        <v>13</v>
      </c>
      <c r="B281" s="52">
        <f>IFERROR(X22*H22,"0")+IFERROR(X23*H23,"0")+IFERROR(X24*H24,"0")+IFERROR(X25*H25,"0")+IFERROR(X26*H26,"0")+IFERROR(X27*H27,"0")+IFERROR(X28*H28,"0")</f>
        <v>0</v>
      </c>
      <c r="C281" s="52">
        <f>IFERROR(X33*H33,"0")+IFERROR(X34*H34,"0")</f>
        <v>0</v>
      </c>
      <c r="D281" s="52">
        <f>IFERROR(X40*H40,"0")+IFERROR(X41*H41,"0")</f>
        <v>63</v>
      </c>
      <c r="E281" s="52">
        <f>IFERROR(X46*H46,"0")+IFERROR(X47*H47,"0")+IFERROR(X48*H48,"0")</f>
        <v>0</v>
      </c>
      <c r="F281" s="52">
        <f>IFERROR(X53*H53,"0")+IFERROR(X54*H54,"0")+IFERROR(X55*H55,"0")+IFERROR(X56*H56,"0")</f>
        <v>672</v>
      </c>
      <c r="G281" s="52">
        <f>IFERROR(X61*H61,"0")+IFERROR(X65*H65,"0")+IFERROR(X69*H69,"0")+IFERROR(X70*H70,"0")+IFERROR(X74*H74,"0")+IFERROR(X75*H75,"0")+IFERROR(X76*H76,"0")</f>
        <v>134.4</v>
      </c>
      <c r="H281" s="52">
        <f>IFERROR(X81*H81,"0")+IFERROR(X82*H82,"0")</f>
        <v>194.4</v>
      </c>
      <c r="I281" s="52">
        <f>IFERROR(X87*H87,"0")</f>
        <v>0</v>
      </c>
      <c r="J281" s="52">
        <f>IFERROR(X92*H92,"0")+IFERROR(X93*H93,"0")</f>
        <v>252</v>
      </c>
      <c r="K281" s="52">
        <f>IFERROR(X98*H98,"0")+IFERROR(X99*H99,"0")+IFERROR(X100*H100,"0")+IFERROR(X101*H101,"0")+IFERROR(X102*H102,"0")+IFERROR(X103*H103,"0")+IFERROR(X104*H104,"0")</f>
        <v>322.56</v>
      </c>
      <c r="L281" s="52">
        <f>IFERROR(X109*H109,"0")+IFERROR(X110*H110,"0")</f>
        <v>151.20000000000002</v>
      </c>
      <c r="M281" s="52">
        <f>IFERROR(X115*H115,"0")+IFERROR(X116*H116,"0")+IFERROR(X117*H117,"0")+IFERROR(X118*H118,"0")+IFERROR(X119*H119,"0")+IFERROR(X120*H120,"0")+IFERROR(X121*H121,"0")+IFERROR(X125*H125,"0")+IFERROR(X129*H129,"0")</f>
        <v>708.96</v>
      </c>
      <c r="N281" s="1"/>
      <c r="O281" s="52">
        <f>IFERROR(X134*H134,"0")+IFERROR(X135*H135,"0")+IFERROR(X136*H136,"0")</f>
        <v>0</v>
      </c>
      <c r="P281" s="52">
        <f>IFERROR(X141*H141,"0")+IFERROR(X142*H142,"0")+IFERROR(X143*H143,"0")</f>
        <v>420</v>
      </c>
      <c r="Q281" s="52">
        <f>IFERROR(X148*H148,"0")+IFERROR(X149*H149,"0")+IFERROR(X150*H150,"0")</f>
        <v>84</v>
      </c>
      <c r="R281" s="52">
        <f>IFERROR(X155*H155,"0")+IFERROR(X156*H156,"0")</f>
        <v>134.4</v>
      </c>
      <c r="S281" s="52">
        <f>IFERROR(X161*H161,"0")</f>
        <v>0</v>
      </c>
      <c r="T281" s="52">
        <f>IFERROR(X166*H166,"0")</f>
        <v>0</v>
      </c>
      <c r="U281" s="52">
        <f>IFERROR(X171*H171,"0")</f>
        <v>0</v>
      </c>
      <c r="V281" s="52">
        <f>IFERROR(X177*H177,"0")+IFERROR(X178*H178,"0")+IFERROR(X182*H182,"0")+IFERROR(X183*H183,"0")</f>
        <v>0</v>
      </c>
      <c r="W281" s="52">
        <f>IFERROR(X189*H189,"0")+IFERROR(X190*H190,"0")+IFERROR(X191*H191,"0")+IFERROR(X192*H192,"0")</f>
        <v>546</v>
      </c>
      <c r="X281" s="52">
        <f>IFERROR(X198*H198,"0")+IFERROR(X202*H202,"0")+IFERROR(X203*H203,"0")+IFERROR(X204*H204,"0")+IFERROR(X205*H205,"0")</f>
        <v>0</v>
      </c>
      <c r="Y281" s="52">
        <f>IFERROR(X210*H210,"0")</f>
        <v>0</v>
      </c>
      <c r="Z281" s="52">
        <f>IFERROR(X215*H215,"0")+IFERROR(X216*H216,"0")</f>
        <v>0</v>
      </c>
      <c r="AA281" s="52">
        <f>IFERROR(X222*H222,"0")</f>
        <v>0</v>
      </c>
      <c r="AB281" s="52">
        <f>IFERROR(X228*H228,"0")</f>
        <v>1260</v>
      </c>
      <c r="AC281" s="52">
        <f>IFERROR(X234*H234,"0")+IFERROR(X238*H238,"0")</f>
        <v>0</v>
      </c>
      <c r="AD281" s="52">
        <f>IFERROR(X244*H244,"0")+IFERROR(X245*H245,"0")+IFERROR(X249*H249,"0")+IFERROR(X253*H253,"0")+IFERROR(X254*H254,"0")+IFERROR(X255*H255,"0")+IFERROR(X259*H259,"0")+IFERROR(X260*H260,"0")+IFERROR(X261*H261,"0")+IFERROR(X262*H262,"0")+IFERROR(X263*H263,"0")+IFERROR(X264*H264,"0")+IFERROR(X265*H265,"0")+IFERROR(X266*H266,"0")+IFERROR(X267*H267,"0")+IFERROR(X268*H268,"0")</f>
        <v>0</v>
      </c>
      <c r="AF281" s="1"/>
    </row>
    <row r="282" spans="1:32" ht="13.5" thickTop="1" x14ac:dyDescent="0.2">
      <c r="C282" s="1"/>
    </row>
    <row r="283" spans="1:32" ht="19.5" customHeight="1" x14ac:dyDescent="0.2">
      <c r="A283" s="70" t="s">
        <v>62</v>
      </c>
      <c r="B283" s="70" t="s">
        <v>63</v>
      </c>
      <c r="C283" s="70" t="s">
        <v>65</v>
      </c>
    </row>
    <row r="284" spans="1:32" x14ac:dyDescent="0.2">
      <c r="A284" s="71">
        <f>SUMPRODUCT(--(BB:BB="ЗПФ"),--(W:W="кор"),H:H,Y:Y)+SUMPRODUCT(--(BB:BB="ЗПФ"),--(W:W="кг"),Y:Y)</f>
        <v>2798.4</v>
      </c>
      <c r="B284" s="72">
        <f>SUMPRODUCT(--(BB:BB="ПГП"),--(W:W="кор"),H:H,Y:Y)+SUMPRODUCT(--(BB:BB="ПГП"),--(W:W="кг"),Y:Y)</f>
        <v>2144.5200000000004</v>
      </c>
      <c r="C284" s="72">
        <f>SUMPRODUCT(--(BB:BB="КИЗ"),--(W:W="кор"),H:H,Y:Y)+SUMPRODUCT(--(BB:BB="КИЗ"),--(W:W="кг"),Y:Y)</f>
        <v>0</v>
      </c>
    </row>
  </sheetData>
  <sheetProtection algorithmName="SHA-512" hashValue="nKaPTxXPNcEPYQ4dplqVt+wY+Jxb+cFrx+qn60to2ddPUvBgQJK/K5ximkUkLeE+/lNRi9RDCRb5zKyKUV8RTw==" saltValue="wVQ3HNZgnit9YuNwpiAXW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94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P29:V29"/>
    <mergeCell ref="A29:O30"/>
    <mergeCell ref="P30:V30"/>
    <mergeCell ref="A31:Z31"/>
    <mergeCell ref="A32:Z32"/>
    <mergeCell ref="D33:E33"/>
    <mergeCell ref="P33:T33"/>
    <mergeCell ref="D34:E34"/>
    <mergeCell ref="P34:T34"/>
    <mergeCell ref="P35:V35"/>
    <mergeCell ref="A35:O36"/>
    <mergeCell ref="P36:V36"/>
    <mergeCell ref="A37:Z37"/>
    <mergeCell ref="A38:Z38"/>
    <mergeCell ref="A39:Z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D46:E46"/>
    <mergeCell ref="P46:T46"/>
    <mergeCell ref="D47:E47"/>
    <mergeCell ref="P47:T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64:Z64"/>
    <mergeCell ref="D65:E65"/>
    <mergeCell ref="P65:T65"/>
    <mergeCell ref="P66:V66"/>
    <mergeCell ref="A66:O67"/>
    <mergeCell ref="P67:V67"/>
    <mergeCell ref="A68:Z68"/>
    <mergeCell ref="D69:E69"/>
    <mergeCell ref="P69:T69"/>
    <mergeCell ref="D70:E70"/>
    <mergeCell ref="P70:T70"/>
    <mergeCell ref="P71:V71"/>
    <mergeCell ref="A71:O72"/>
    <mergeCell ref="P72:V72"/>
    <mergeCell ref="A73:Z73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79:Z79"/>
    <mergeCell ref="A80:Z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P88:V88"/>
    <mergeCell ref="A88:O89"/>
    <mergeCell ref="P89:V89"/>
    <mergeCell ref="A90:Z90"/>
    <mergeCell ref="A91:Z91"/>
    <mergeCell ref="D92:E92"/>
    <mergeCell ref="P92:T92"/>
    <mergeCell ref="D93:E93"/>
    <mergeCell ref="P93:T93"/>
    <mergeCell ref="P94:V94"/>
    <mergeCell ref="A94:O95"/>
    <mergeCell ref="P95:V95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A108:Z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D121:E121"/>
    <mergeCell ref="P121:T121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A140:Z140"/>
    <mergeCell ref="D141:E141"/>
    <mergeCell ref="P141:T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P151:V151"/>
    <mergeCell ref="A151:O152"/>
    <mergeCell ref="P152:V152"/>
    <mergeCell ref="A153:Z153"/>
    <mergeCell ref="A154:Z154"/>
    <mergeCell ref="D155:E155"/>
    <mergeCell ref="P155:T155"/>
    <mergeCell ref="D156:E156"/>
    <mergeCell ref="P156:T156"/>
    <mergeCell ref="P157:V157"/>
    <mergeCell ref="A157:O158"/>
    <mergeCell ref="P158:V158"/>
    <mergeCell ref="A159:Z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P172:V172"/>
    <mergeCell ref="A172:O173"/>
    <mergeCell ref="P173:V173"/>
    <mergeCell ref="A174:Z174"/>
    <mergeCell ref="A175:Z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A187:Z187"/>
    <mergeCell ref="A188:Z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A213:Z213"/>
    <mergeCell ref="A214:Z214"/>
    <mergeCell ref="D215:E215"/>
    <mergeCell ref="P215:T215"/>
    <mergeCell ref="D216:E216"/>
    <mergeCell ref="P216:T216"/>
    <mergeCell ref="P217:V217"/>
    <mergeCell ref="A217:O218"/>
    <mergeCell ref="P218:V218"/>
    <mergeCell ref="A219:Z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A226:Z226"/>
    <mergeCell ref="A227:Z227"/>
    <mergeCell ref="D228:E228"/>
    <mergeCell ref="P228:T228"/>
    <mergeCell ref="P229:V229"/>
    <mergeCell ref="A229:O230"/>
    <mergeCell ref="P230:V230"/>
    <mergeCell ref="A231:Z231"/>
    <mergeCell ref="A232:Z232"/>
    <mergeCell ref="A233:Z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P239:V239"/>
    <mergeCell ref="A239:O240"/>
    <mergeCell ref="P240:V240"/>
    <mergeCell ref="A241:Z241"/>
    <mergeCell ref="A242:Z242"/>
    <mergeCell ref="A243:Z243"/>
    <mergeCell ref="D244:E244"/>
    <mergeCell ref="P244:T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P269:V269"/>
    <mergeCell ref="A269:O270"/>
    <mergeCell ref="P270:V270"/>
    <mergeCell ref="P271:V271"/>
    <mergeCell ref="A271:O276"/>
    <mergeCell ref="P272:V272"/>
    <mergeCell ref="P273:V273"/>
    <mergeCell ref="P274:V274"/>
    <mergeCell ref="P275:V275"/>
    <mergeCell ref="P276:V276"/>
    <mergeCell ref="A279:A280"/>
    <mergeCell ref="B279:B280"/>
    <mergeCell ref="C279:C280"/>
    <mergeCell ref="D279:D280"/>
    <mergeCell ref="E279:E280"/>
    <mergeCell ref="F279:F280"/>
    <mergeCell ref="G279:G280"/>
    <mergeCell ref="H279:H280"/>
    <mergeCell ref="I279:I280"/>
    <mergeCell ref="W279:W280"/>
    <mergeCell ref="X279:X280"/>
    <mergeCell ref="Y279:Y280"/>
    <mergeCell ref="Z279:Z280"/>
    <mergeCell ref="AA279:AA280"/>
    <mergeCell ref="AB279:AB280"/>
    <mergeCell ref="AC279:AC280"/>
    <mergeCell ref="AD279:AD280"/>
    <mergeCell ref="B278:C278"/>
    <mergeCell ref="D278:U278"/>
    <mergeCell ref="X278:Z278"/>
    <mergeCell ref="J279:J280"/>
    <mergeCell ref="K279:K280"/>
    <mergeCell ref="L279:L280"/>
    <mergeCell ref="M279:M280"/>
    <mergeCell ref="O279:O280"/>
    <mergeCell ref="P279:P280"/>
    <mergeCell ref="Q279:Q280"/>
    <mergeCell ref="R279:R280"/>
    <mergeCell ref="S279:S280"/>
    <mergeCell ref="T279:T280"/>
    <mergeCell ref="U279:U280"/>
    <mergeCell ref="V279:V280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5 X260 X255 X244 X238 X234 X222 X215:X216 X204 X202 X192 X182:X183 X177 X155 X148:X149 X141 X134:X136 X129 X125 X119 X116 X103:X104 X81 X74:X76 X69:X70 X65 X61 X33:X34 X22:X28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6:X268 X261:X264 X259 X253:X254 X249 X245 X228 X210 X205 X203 X198 X189:X191 X178 X171 X166 X161 X156 X150 X142:X143 X120:X121 X117:X118 X115 X109:X110 X98:X102 X92:X93 X87 X82 X53:X56 X46:X48 X40:X41" xr:uid="{00000000-0002-0000-0000-000012000000}">
      <formula1>IF(AK40&gt;0,OR(X40=0,AND(IF(X40-AK40&gt;=0,TRUE,FALSE),X40&gt;0,IF(X40/K40=ROUND(X40/K40,0),TRUE,FALSE))),FALSE)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380</v>
      </c>
      <c r="H1" s="9"/>
    </row>
    <row r="3" spans="2:8" x14ac:dyDescent="0.2">
      <c r="B3" s="53" t="s">
        <v>381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382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78</v>
      </c>
      <c r="C6" s="53" t="s">
        <v>383</v>
      </c>
      <c r="D6" s="53" t="s">
        <v>384</v>
      </c>
      <c r="E6" s="53" t="s">
        <v>46</v>
      </c>
    </row>
    <row r="8" spans="2:8" x14ac:dyDescent="0.2">
      <c r="B8" s="53" t="s">
        <v>79</v>
      </c>
      <c r="C8" s="53" t="s">
        <v>383</v>
      </c>
      <c r="D8" s="53" t="s">
        <v>46</v>
      </c>
      <c r="E8" s="53" t="s">
        <v>46</v>
      </c>
    </row>
    <row r="10" spans="2:8" x14ac:dyDescent="0.2">
      <c r="B10" s="53" t="s">
        <v>385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386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387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388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389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390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391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392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395</v>
      </c>
      <c r="C20" s="53" t="s">
        <v>46</v>
      </c>
      <c r="D20" s="53" t="s">
        <v>46</v>
      </c>
      <c r="E20" s="53" t="s">
        <v>46</v>
      </c>
    </row>
  </sheetData>
  <sheetProtection algorithmName="SHA-512" hashValue="TV2FCeXpi01v32Cb1+kLLnEg5R9l5ygAvJzXaR5rUsq+5dqbX6oYml/8kn5Fn8UVAkT0bYQGGiAWeV0WSSMptw==" saltValue="bGTem3ITFC9e90Et/k/KW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schemas.microsoft.com/office/2006/documentManagement/types"/>
    <ds:schemaRef ds:uri="bb0b2827-4eb3-461f-8866-28597c48f473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434</vt:i4>
      </vt:variant>
    </vt:vector>
  </HeadingPairs>
  <TitlesOfParts>
    <vt:vector size="43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2026-06-26T10:25:16Z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