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70F2E4D5-6575-4109-BE28-5735BFEC36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11" i="1"/>
  <c r="R12" i="1"/>
  <c r="R13" i="1"/>
  <c r="R14" i="1"/>
  <c r="R15" i="1"/>
  <c r="R16" i="1"/>
  <c r="R17" i="1"/>
  <c r="R18" i="1"/>
  <c r="R19" i="1"/>
  <c r="R20" i="1"/>
  <c r="R22" i="1"/>
  <c r="R23" i="1"/>
  <c r="R24" i="1"/>
  <c r="R25" i="1"/>
  <c r="R26" i="1"/>
  <c r="R27" i="1"/>
  <c r="R30" i="1"/>
  <c r="R32" i="1"/>
  <c r="R33" i="1"/>
  <c r="R34" i="1"/>
  <c r="R35" i="1"/>
  <c r="R36" i="1"/>
  <c r="R37" i="1"/>
  <c r="R38" i="1"/>
  <c r="R45" i="1"/>
  <c r="R46" i="1"/>
  <c r="R47" i="1"/>
  <c r="R48" i="1"/>
  <c r="R49" i="1"/>
  <c r="R50" i="1"/>
  <c r="R53" i="1"/>
  <c r="R57" i="1"/>
  <c r="R58" i="1"/>
  <c r="R61" i="1"/>
  <c r="R64" i="1"/>
  <c r="R65" i="1"/>
  <c r="R67" i="1"/>
  <c r="R11" i="1"/>
  <c r="M67" i="1" l="1"/>
  <c r="P11" i="1"/>
  <c r="U11" i="1" s="1"/>
  <c r="V12" i="1" l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Z20" i="1"/>
  <c r="Z21" i="1"/>
  <c r="Z25" i="1"/>
  <c r="Z27" i="1"/>
  <c r="Z28" i="1"/>
  <c r="Z29" i="1"/>
  <c r="Z31" i="1"/>
  <c r="Z33" i="1"/>
  <c r="Z43" i="1"/>
  <c r="Z45" i="1"/>
  <c r="Z46" i="1"/>
  <c r="Z48" i="1"/>
  <c r="Z54" i="1"/>
  <c r="Z57" i="1"/>
  <c r="Z58" i="1"/>
  <c r="Z60" i="1"/>
  <c r="Z61" i="1"/>
  <c r="Z68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8" i="1"/>
  <c r="C69" i="1"/>
  <c r="C70" i="1"/>
  <c r="C71" i="1"/>
  <c r="C72" i="1"/>
  <c r="H12" i="1"/>
  <c r="H13" i="1"/>
  <c r="AA13" i="1" s="1"/>
  <c r="H14" i="1"/>
  <c r="H15" i="1"/>
  <c r="H16" i="1"/>
  <c r="H17" i="1"/>
  <c r="AA17" i="1" s="1"/>
  <c r="H18" i="1"/>
  <c r="H19" i="1"/>
  <c r="AA19" i="1" s="1"/>
  <c r="H20" i="1"/>
  <c r="AA20" i="1" s="1"/>
  <c r="H21" i="1"/>
  <c r="AA21" i="1" s="1"/>
  <c r="H22" i="1"/>
  <c r="H23" i="1"/>
  <c r="H24" i="1"/>
  <c r="AA24" i="1" s="1"/>
  <c r="H25" i="1"/>
  <c r="AA25" i="1" s="1"/>
  <c r="H26" i="1"/>
  <c r="AA26" i="1" s="1"/>
  <c r="H27" i="1"/>
  <c r="H28" i="1"/>
  <c r="AA28" i="1" s="1"/>
  <c r="H29" i="1"/>
  <c r="H30" i="1"/>
  <c r="AA30" i="1" s="1"/>
  <c r="H31" i="1"/>
  <c r="H32" i="1"/>
  <c r="AA32" i="1" s="1"/>
  <c r="H33" i="1"/>
  <c r="H34" i="1"/>
  <c r="H35" i="1"/>
  <c r="H36" i="1"/>
  <c r="AA36" i="1" s="1"/>
  <c r="H37" i="1"/>
  <c r="AA37" i="1" s="1"/>
  <c r="H38" i="1"/>
  <c r="H39" i="1"/>
  <c r="H40" i="1"/>
  <c r="AA40" i="1" s="1"/>
  <c r="H41" i="1"/>
  <c r="AA41" i="1" s="1"/>
  <c r="H42" i="1"/>
  <c r="AA42" i="1" s="1"/>
  <c r="H43" i="1"/>
  <c r="AA43" i="1" s="1"/>
  <c r="H44" i="1"/>
  <c r="AA44" i="1" s="1"/>
  <c r="H45" i="1"/>
  <c r="AA45" i="1" s="1"/>
  <c r="H46" i="1"/>
  <c r="H47" i="1"/>
  <c r="H48" i="1"/>
  <c r="H49" i="1"/>
  <c r="AA49" i="1" s="1"/>
  <c r="H50" i="1"/>
  <c r="AA50" i="1" s="1"/>
  <c r="H51" i="1"/>
  <c r="AA51" i="1" s="1"/>
  <c r="H52" i="1"/>
  <c r="H53" i="1"/>
  <c r="H54" i="1"/>
  <c r="H55" i="1"/>
  <c r="H56" i="1"/>
  <c r="AA56" i="1" s="1"/>
  <c r="H57" i="1"/>
  <c r="AA57" i="1" s="1"/>
  <c r="H58" i="1"/>
  <c r="H59" i="1"/>
  <c r="H60" i="1"/>
  <c r="H61" i="1"/>
  <c r="AA61" i="1" s="1"/>
  <c r="H62" i="1"/>
  <c r="AA62" i="1" s="1"/>
  <c r="H63" i="1"/>
  <c r="H64" i="1"/>
  <c r="H65" i="1"/>
  <c r="AA65" i="1" s="1"/>
  <c r="H66" i="1"/>
  <c r="H67" i="1"/>
  <c r="AA67" i="1" s="1"/>
  <c r="H68" i="1"/>
  <c r="AA68" i="1" s="1"/>
  <c r="H69" i="1"/>
  <c r="AA69" i="1" s="1"/>
  <c r="H70" i="1"/>
  <c r="AA70" i="1" s="1"/>
  <c r="H71" i="1"/>
  <c r="H72" i="1"/>
  <c r="H73" i="1"/>
  <c r="I15" i="1"/>
  <c r="I21" i="1"/>
  <c r="I22" i="1"/>
  <c r="I23" i="1"/>
  <c r="I24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1" i="1"/>
  <c r="I63" i="1"/>
  <c r="I64" i="1"/>
  <c r="I68" i="1"/>
  <c r="I69" i="1"/>
  <c r="J17" i="1"/>
  <c r="J27" i="1"/>
  <c r="J28" i="1"/>
  <c r="J30" i="1"/>
  <c r="J33" i="1"/>
  <c r="J34" i="1"/>
  <c r="J35" i="1"/>
  <c r="J36" i="1"/>
  <c r="J37" i="1"/>
  <c r="J38" i="1"/>
  <c r="J40" i="1"/>
  <c r="J41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1" i="1"/>
  <c r="J62" i="1"/>
  <c r="J63" i="1"/>
  <c r="J68" i="1"/>
  <c r="J69" i="1"/>
  <c r="J71" i="1"/>
  <c r="J72" i="1"/>
  <c r="J73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P12" i="1"/>
  <c r="P13" i="1"/>
  <c r="U13" i="1" s="1"/>
  <c r="P14" i="1"/>
  <c r="P15" i="1"/>
  <c r="P16" i="1"/>
  <c r="P17" i="1"/>
  <c r="P18" i="1"/>
  <c r="P19" i="1"/>
  <c r="U19" i="1" s="1"/>
  <c r="P20" i="1"/>
  <c r="U20" i="1" s="1"/>
  <c r="P21" i="1"/>
  <c r="U21" i="1" s="1"/>
  <c r="P22" i="1"/>
  <c r="P23" i="1"/>
  <c r="P24" i="1"/>
  <c r="U24" i="1" s="1"/>
  <c r="P25" i="1"/>
  <c r="U25" i="1" s="1"/>
  <c r="P26" i="1"/>
  <c r="U26" i="1" s="1"/>
  <c r="P27" i="1"/>
  <c r="P28" i="1"/>
  <c r="U28" i="1" s="1"/>
  <c r="P29" i="1"/>
  <c r="P30" i="1"/>
  <c r="U30" i="1" s="1"/>
  <c r="P31" i="1"/>
  <c r="P32" i="1"/>
  <c r="U32" i="1" s="1"/>
  <c r="P33" i="1"/>
  <c r="P34" i="1"/>
  <c r="P35" i="1"/>
  <c r="P36" i="1"/>
  <c r="U36" i="1" s="1"/>
  <c r="P37" i="1"/>
  <c r="U37" i="1" s="1"/>
  <c r="P38" i="1"/>
  <c r="P39" i="1"/>
  <c r="P40" i="1"/>
  <c r="U40" i="1" s="1"/>
  <c r="P41" i="1"/>
  <c r="U41" i="1" s="1"/>
  <c r="P42" i="1"/>
  <c r="U42" i="1" s="1"/>
  <c r="P43" i="1"/>
  <c r="U43" i="1" s="1"/>
  <c r="P44" i="1"/>
  <c r="U44" i="1" s="1"/>
  <c r="P45" i="1"/>
  <c r="P46" i="1"/>
  <c r="P47" i="1"/>
  <c r="P48" i="1"/>
  <c r="P49" i="1"/>
  <c r="U49" i="1" s="1"/>
  <c r="P50" i="1"/>
  <c r="U50" i="1" s="1"/>
  <c r="P51" i="1"/>
  <c r="U51" i="1" s="1"/>
  <c r="P52" i="1"/>
  <c r="P53" i="1"/>
  <c r="P54" i="1"/>
  <c r="P55" i="1"/>
  <c r="P56" i="1"/>
  <c r="U56" i="1" s="1"/>
  <c r="P57" i="1"/>
  <c r="U57" i="1" s="1"/>
  <c r="P58" i="1"/>
  <c r="P59" i="1"/>
  <c r="P60" i="1"/>
  <c r="P61" i="1"/>
  <c r="U61" i="1" s="1"/>
  <c r="P62" i="1"/>
  <c r="U62" i="1" s="1"/>
  <c r="P63" i="1"/>
  <c r="P64" i="1"/>
  <c r="P65" i="1"/>
  <c r="U65" i="1" s="1"/>
  <c r="P66" i="1"/>
  <c r="P67" i="1"/>
  <c r="U67" i="1" s="1"/>
  <c r="P68" i="1"/>
  <c r="U68" i="1" s="1"/>
  <c r="P69" i="1"/>
  <c r="U69" i="1" s="1"/>
  <c r="P70" i="1"/>
  <c r="U70" i="1" s="1"/>
  <c r="P71" i="1"/>
  <c r="P72" i="1"/>
  <c r="P73" i="1"/>
  <c r="N11" i="1"/>
  <c r="T11" i="1" s="1"/>
  <c r="O11" i="1"/>
  <c r="AD73" i="1" l="1"/>
  <c r="AC69" i="1"/>
  <c r="AC65" i="1"/>
  <c r="AG65" i="1" s="1"/>
  <c r="AC61" i="1"/>
  <c r="AC57" i="1"/>
  <c r="AG57" i="1" s="1"/>
  <c r="AC49" i="1"/>
  <c r="AC45" i="1"/>
  <c r="AD45" i="1" s="1"/>
  <c r="AC41" i="1"/>
  <c r="AC37" i="1"/>
  <c r="AG37" i="1" s="1"/>
  <c r="AC25" i="1"/>
  <c r="AD25" i="1" s="1"/>
  <c r="AC21" i="1"/>
  <c r="AC17" i="1"/>
  <c r="AG17" i="1" s="1"/>
  <c r="AC13" i="1"/>
  <c r="AD13" i="1" s="1"/>
  <c r="T36" i="1"/>
  <c r="AG69" i="1"/>
  <c r="AD37" i="1"/>
  <c r="AG25" i="1"/>
  <c r="U72" i="1"/>
  <c r="U64" i="1"/>
  <c r="U52" i="1"/>
  <c r="AA52" i="1"/>
  <c r="U16" i="1"/>
  <c r="AA12" i="1"/>
  <c r="U12" i="1"/>
  <c r="T32" i="1"/>
  <c r="AG61" i="1"/>
  <c r="AD61" i="1"/>
  <c r="AG49" i="1"/>
  <c r="AD49" i="1"/>
  <c r="U71" i="1"/>
  <c r="U63" i="1"/>
  <c r="AC59" i="1"/>
  <c r="U59" i="1"/>
  <c r="U55" i="1"/>
  <c r="AC47" i="1"/>
  <c r="U47" i="1"/>
  <c r="U39" i="1"/>
  <c r="AC35" i="1"/>
  <c r="U35" i="1"/>
  <c r="U31" i="1"/>
  <c r="U27" i="1"/>
  <c r="U23" i="1"/>
  <c r="U15" i="1"/>
  <c r="T51" i="1"/>
  <c r="T43" i="1"/>
  <c r="T19" i="1"/>
  <c r="AD72" i="1"/>
  <c r="AC68" i="1"/>
  <c r="AC64" i="1"/>
  <c r="AC56" i="1"/>
  <c r="AC44" i="1"/>
  <c r="AC40" i="1"/>
  <c r="AC36" i="1"/>
  <c r="AC32" i="1"/>
  <c r="AC28" i="1"/>
  <c r="AC24" i="1"/>
  <c r="AC20" i="1"/>
  <c r="AC16" i="1"/>
  <c r="T56" i="1"/>
  <c r="T40" i="1"/>
  <c r="T24" i="1"/>
  <c r="AG41" i="1"/>
  <c r="AD41" i="1"/>
  <c r="AG21" i="1"/>
  <c r="AD21" i="1"/>
  <c r="U66" i="1"/>
  <c r="U58" i="1"/>
  <c r="U54" i="1"/>
  <c r="U46" i="1"/>
  <c r="U38" i="1"/>
  <c r="U34" i="1"/>
  <c r="U22" i="1"/>
  <c r="U18" i="1"/>
  <c r="U14" i="1"/>
  <c r="T62" i="1"/>
  <c r="T50" i="1"/>
  <c r="T42" i="1"/>
  <c r="T30" i="1"/>
  <c r="T26" i="1"/>
  <c r="AD71" i="1"/>
  <c r="AD67" i="1"/>
  <c r="AC63" i="1"/>
  <c r="AC55" i="1"/>
  <c r="AC51" i="1"/>
  <c r="AC43" i="1"/>
  <c r="AC39" i="1"/>
  <c r="AC31" i="1"/>
  <c r="AC23" i="1"/>
  <c r="AC19" i="1"/>
  <c r="AC15" i="1"/>
  <c r="U48" i="1"/>
  <c r="T44" i="1"/>
  <c r="T28" i="1"/>
  <c r="T20" i="1"/>
  <c r="U73" i="1"/>
  <c r="U53" i="1"/>
  <c r="U33" i="1"/>
  <c r="AC33" i="1"/>
  <c r="U29" i="1"/>
  <c r="T65" i="1"/>
  <c r="T61" i="1"/>
  <c r="T57" i="1"/>
  <c r="T49" i="1"/>
  <c r="T41" i="1"/>
  <c r="T37" i="1"/>
  <c r="T25" i="1"/>
  <c r="T21" i="1"/>
  <c r="T13" i="1"/>
  <c r="AD70" i="1"/>
  <c r="AC66" i="1"/>
  <c r="AC62" i="1"/>
  <c r="AC58" i="1"/>
  <c r="AC54" i="1"/>
  <c r="AC50" i="1"/>
  <c r="AC46" i="1"/>
  <c r="AC42" i="1"/>
  <c r="AC38" i="1"/>
  <c r="AC34" i="1"/>
  <c r="AC30" i="1"/>
  <c r="AC26" i="1"/>
  <c r="AC22" i="1"/>
  <c r="AC18" i="1"/>
  <c r="AD69" i="1"/>
  <c r="U60" i="1"/>
  <c r="T45" i="1"/>
  <c r="U45" i="1"/>
  <c r="U17" i="1"/>
  <c r="T17" i="1"/>
  <c r="L11" i="1"/>
  <c r="M11" i="1" s="1"/>
  <c r="AD65" i="1" l="1"/>
  <c r="AG45" i="1"/>
  <c r="AD17" i="1"/>
  <c r="AD57" i="1"/>
  <c r="AG13" i="1"/>
  <c r="AC52" i="1"/>
  <c r="AG52" i="1" s="1"/>
  <c r="AD34" i="1"/>
  <c r="AG34" i="1"/>
  <c r="AG31" i="1"/>
  <c r="AD31" i="1"/>
  <c r="AG33" i="1"/>
  <c r="AD33" i="1"/>
  <c r="T15" i="1"/>
  <c r="AA15" i="1"/>
  <c r="T72" i="1"/>
  <c r="AA72" i="1"/>
  <c r="AG38" i="1"/>
  <c r="AD38" i="1"/>
  <c r="AD54" i="1"/>
  <c r="AG54" i="1"/>
  <c r="T33" i="1"/>
  <c r="AA33" i="1"/>
  <c r="T73" i="1"/>
  <c r="AA73" i="1"/>
  <c r="AD19" i="1"/>
  <c r="AG19" i="1"/>
  <c r="AD35" i="1"/>
  <c r="AG35" i="1"/>
  <c r="AG51" i="1"/>
  <c r="AD51" i="1"/>
  <c r="T22" i="1"/>
  <c r="AA22" i="1"/>
  <c r="T38" i="1"/>
  <c r="AA38" i="1"/>
  <c r="T54" i="1"/>
  <c r="AA54" i="1"/>
  <c r="AD24" i="1"/>
  <c r="AG24" i="1"/>
  <c r="AG40" i="1"/>
  <c r="AD40" i="1"/>
  <c r="AG56" i="1"/>
  <c r="AD56" i="1"/>
  <c r="T35" i="1"/>
  <c r="AA35" i="1"/>
  <c r="T47" i="1"/>
  <c r="AA47" i="1"/>
  <c r="T59" i="1"/>
  <c r="AA59" i="1"/>
  <c r="T71" i="1"/>
  <c r="AA71" i="1"/>
  <c r="T12" i="1"/>
  <c r="AG50" i="1"/>
  <c r="AD50" i="1"/>
  <c r="T29" i="1"/>
  <c r="AA29" i="1"/>
  <c r="AD15" i="1"/>
  <c r="AG15" i="1"/>
  <c r="AD47" i="1"/>
  <c r="AG47" i="1"/>
  <c r="T14" i="1"/>
  <c r="AA14" i="1"/>
  <c r="T66" i="1"/>
  <c r="AA66" i="1"/>
  <c r="AG36" i="1"/>
  <c r="AD36" i="1"/>
  <c r="T27" i="1"/>
  <c r="AA27" i="1"/>
  <c r="AC29" i="1"/>
  <c r="AG22" i="1"/>
  <c r="AD22" i="1"/>
  <c r="AG26" i="1"/>
  <c r="AD26" i="1"/>
  <c r="AG42" i="1"/>
  <c r="AD42" i="1"/>
  <c r="AG58" i="1"/>
  <c r="AD58" i="1"/>
  <c r="T48" i="1"/>
  <c r="AA48" i="1"/>
  <c r="AG23" i="1"/>
  <c r="AD23" i="1"/>
  <c r="AG39" i="1"/>
  <c r="AD39" i="1"/>
  <c r="AG55" i="1"/>
  <c r="AD55" i="1"/>
  <c r="AC12" i="1"/>
  <c r="AD28" i="1"/>
  <c r="AG28" i="1"/>
  <c r="AG44" i="1"/>
  <c r="AD44" i="1"/>
  <c r="AG64" i="1"/>
  <c r="AD64" i="1"/>
  <c r="T23" i="1"/>
  <c r="AA23" i="1"/>
  <c r="T39" i="1"/>
  <c r="AA39" i="1"/>
  <c r="T16" i="1"/>
  <c r="AA16" i="1"/>
  <c r="T64" i="1"/>
  <c r="AA64" i="1"/>
  <c r="AD18" i="1"/>
  <c r="AG18" i="1"/>
  <c r="AG66" i="1"/>
  <c r="AD66" i="1"/>
  <c r="AG63" i="1"/>
  <c r="AD63" i="1"/>
  <c r="AG20" i="1"/>
  <c r="AD20" i="1"/>
  <c r="AC14" i="1"/>
  <c r="AD30" i="1"/>
  <c r="AG30" i="1"/>
  <c r="AG46" i="1"/>
  <c r="AD46" i="1"/>
  <c r="AG62" i="1"/>
  <c r="AD62" i="1"/>
  <c r="T53" i="1"/>
  <c r="AA53" i="1"/>
  <c r="AC27" i="1"/>
  <c r="AG43" i="1"/>
  <c r="AD43" i="1"/>
  <c r="AD59" i="1"/>
  <c r="AG59" i="1"/>
  <c r="T18" i="1"/>
  <c r="AA18" i="1"/>
  <c r="T34" i="1"/>
  <c r="AA34" i="1"/>
  <c r="T46" i="1"/>
  <c r="AA46" i="1"/>
  <c r="T58" i="1"/>
  <c r="AA58" i="1"/>
  <c r="AC53" i="1"/>
  <c r="AD16" i="1"/>
  <c r="AG16" i="1"/>
  <c r="AD32" i="1"/>
  <c r="AG32" i="1"/>
  <c r="AC48" i="1"/>
  <c r="AG68" i="1"/>
  <c r="AD68" i="1"/>
  <c r="T31" i="1"/>
  <c r="AA31" i="1"/>
  <c r="T55" i="1"/>
  <c r="AA55" i="1"/>
  <c r="T63" i="1"/>
  <c r="AA63" i="1"/>
  <c r="T52" i="1"/>
  <c r="T60" i="1"/>
  <c r="AC60" i="1"/>
  <c r="AA60" i="1"/>
  <c r="AF11" i="1"/>
  <c r="AE11" i="1"/>
  <c r="AB11" i="1"/>
  <c r="Y11" i="1"/>
  <c r="X11" i="1"/>
  <c r="W11" i="1"/>
  <c r="V11" i="1"/>
  <c r="H11" i="1"/>
  <c r="AA11" i="1" s="1"/>
  <c r="C11" i="1"/>
  <c r="D10" i="1"/>
  <c r="E10" i="1"/>
  <c r="F10" i="1"/>
  <c r="G10" i="1"/>
  <c r="R10" i="1"/>
  <c r="Q10" i="1"/>
  <c r="O10" i="1"/>
  <c r="N10" i="1"/>
  <c r="M10" i="1"/>
  <c r="L10" i="1"/>
  <c r="AD52" i="1" l="1"/>
  <c r="AD14" i="1"/>
  <c r="AG14" i="1"/>
  <c r="AD29" i="1"/>
  <c r="AG29" i="1"/>
  <c r="AA10" i="1"/>
  <c r="AG48" i="1"/>
  <c r="AD48" i="1"/>
  <c r="AC11" i="1"/>
  <c r="AC10" i="1"/>
  <c r="AD53" i="1"/>
  <c r="AG53" i="1"/>
  <c r="AD27" i="1"/>
  <c r="AG27" i="1"/>
  <c r="AG12" i="1"/>
  <c r="AD12" i="1"/>
  <c r="AD60" i="1"/>
  <c r="AG60" i="1"/>
  <c r="X10" i="1"/>
  <c r="Y10" i="1"/>
  <c r="V10" i="1"/>
  <c r="W10" i="1"/>
  <c r="P10" i="1"/>
  <c r="AG11" i="1" l="1"/>
  <c r="AG10" i="1" s="1"/>
  <c r="AD11" i="1"/>
  <c r="AD10" i="1" s="1"/>
</calcChain>
</file>

<file path=xl/sharedStrings.xml><?xml version="1.0" encoding="utf-8"?>
<sst xmlns="http://schemas.openxmlformats.org/spreadsheetml/2006/main" count="174" uniqueCount="109">
  <si>
    <t>Ведомость по товарам на складах</t>
  </si>
  <si>
    <t>Параметры:</t>
  </si>
  <si>
    <t>Период: 11.06.2026 - 18.06.2026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</si>
  <si>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</si>
  <si>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</si>
  <si>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</si>
  <si>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</si>
  <si>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</si>
  <si>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</si>
  <si>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</si>
  <si>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</si>
  <si>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</si>
  <si>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</si>
  <si>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</si>
  <si>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</si>
  <si>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</si>
  <si>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</si>
  <si>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</si>
  <si>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</si>
  <si>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</si>
  <si>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</si>
  <si>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</si>
  <si>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</si>
  <si>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</si>
  <si>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</si>
  <si>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</si>
  <si>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</si>
  <si>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</si>
  <si>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</si>
  <si>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</si>
  <si>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</si>
  <si>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</si>
  <si>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</si>
  <si>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</si>
  <si>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</si>
  <si>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</si>
  <si>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</si>
  <si>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</si>
  <si>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</si>
  <si>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</si>
  <si>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</si>
  <si>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</si>
  <si>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</si>
  <si>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</si>
  <si>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</si>
  <si>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</si>
  <si>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</si>
  <si>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</si>
  <si>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</si>
  <si>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</si>
  <si>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</si>
  <si>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</si>
  <si>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</si>
  <si>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</si>
  <si>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</si>
  <si>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</si>
  <si>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</si>
  <si>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</si>
  <si>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</si>
  <si>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</si>
  <si>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</si>
  <si>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</si>
  <si>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</si>
  <si>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</si>
  <si>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</si>
  <si>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</si>
  <si>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</si>
  <si>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</si>
  <si>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</si>
  <si>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</si>
  <si>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</si>
  <si>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</si>
  <si>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</si>
  <si>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</si>
  <si>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</si>
  <si>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</si>
  <si>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</si>
  <si>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</si>
  <si>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</si>
  <si>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</si>
  <si>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</si>
  <si>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</si>
  <si>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ср нов</t>
  </si>
  <si>
    <t>расчет (потребность)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</si>
  <si>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</si>
  <si>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</si>
  <si>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</si>
  <si>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</si>
  <si>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</si>
  <si>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</si>
  <si>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</si>
  <si>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</si>
  <si>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</si>
  <si>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</si>
  <si>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</si>
  <si>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</si>
  <si>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</si>
  <si>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08,06,</t>
  </si>
  <si>
    <t>11,06,</t>
  </si>
  <si>
    <t>21,05,</t>
  </si>
  <si>
    <t>28,05,</t>
  </si>
  <si>
    <t>04,06,</t>
  </si>
  <si>
    <t>18,06,</t>
  </si>
  <si>
    <t>15,06,</t>
  </si>
  <si>
    <t>22,06,</t>
  </si>
  <si>
    <t>Наггетсы хрустящие п/ф ВЕС ПОКОМ</t>
  </si>
  <si>
    <t>Пирожки с мясом 3,7кг ВЕС ТМ Зареченские  ПОКОМ</t>
  </si>
  <si>
    <t>Хрустипай апельсин имбирь ТМ Горячая штучка 0,18 кг  ПОКОМ</t>
  </si>
  <si>
    <t>Мини-чебуреки с мясом ТМ Зареченские ТС Зареченские продукты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</si>
</sst>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color rgb="FFFF0000"/>
      <name val="Arial"/>
      <family val="2"/>
      <charset val="204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5" fontId="5" fillId="3" borderId="0" xfId="1" applyNumberFormat="1" applyFont="1" applyFill="1"/>
    <xf numFmtId="165" fontId="4" fillId="3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5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2" fillId="2" borderId="0" xfId="0" applyFont="1" applyFill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0" fontId="7" fillId="2" borderId="4" xfId="0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164" fontId="6" fillId="0" borderId="0" xfId="0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1.06.2026%20&#1055;&#1086;&#1082;&#1086;&#1084;%20&#1047;&#1055;&#1060;%20&#1041;&#1077;&#1088;&#1076;&#1103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18.06.2026%20&#1055;&#1086;&#1082;&#1086;&#1084;%20&#1047;&#1055;&#1060;%20&#1041;&#1077;&#1088;&#1076;&#1103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50;&#1086;&#1087;&#1080;&#1103;%20&#1044;&#1074;.%2018.06.2026%20&#1055;&#1086;&#1082;&#1086;&#1084;%20&#1047;&#1055;&#1060;%20&#1041;&#1077;&#1088;&#1076;&#1103;&#1085;&#1089;&#1082;&#1041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04.06.2026 - 11.06.2026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ср нов</v>
          </cell>
          <cell r="Q8" t="str">
            <v>расчет (потребность)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  <cell r="AA8" t="str">
            <v>вес</v>
          </cell>
          <cell r="AB8" t="str">
            <v>крат кор</v>
          </cell>
          <cell r="AC8" t="str">
            <v>заказ кор.</v>
          </cell>
          <cell r="AD8" t="str">
            <v>ВЕС</v>
          </cell>
          <cell r="AE8" t="str">
            <v>ряд</v>
          </cell>
          <cell r="AF8" t="str">
            <v>паллет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O9" t="str">
            <v>08,06,</v>
          </cell>
          <cell r="P9" t="str">
            <v>11,06,</v>
          </cell>
          <cell r="Q9" t="str">
            <v>15,06,</v>
          </cell>
          <cell r="V9" t="str">
            <v>14,05,</v>
          </cell>
          <cell r="W9" t="str">
            <v>21,05,</v>
          </cell>
          <cell r="X9" t="str">
            <v>28,05,</v>
          </cell>
          <cell r="Y9" t="str">
            <v>04,06,</v>
          </cell>
        </row>
        <row r="10">
          <cell r="D10">
            <v>16206.100000000002</v>
          </cell>
          <cell r="E10">
            <v>11323.830000000002</v>
          </cell>
          <cell r="F10">
            <v>10637.83</v>
          </cell>
          <cell r="G10">
            <v>10964.8</v>
          </cell>
          <cell r="L10">
            <v>11419.9</v>
          </cell>
          <cell r="M10">
            <v>-782.06999999999994</v>
          </cell>
          <cell r="N10">
            <v>10001.200000000001</v>
          </cell>
          <cell r="O10">
            <v>14320</v>
          </cell>
          <cell r="P10">
            <v>2127.5659999999993</v>
          </cell>
          <cell r="Q10">
            <v>15049.6</v>
          </cell>
          <cell r="R10">
            <v>11819</v>
          </cell>
          <cell r="V10">
            <v>2546.7800000000002</v>
          </cell>
          <cell r="W10">
            <v>2657.3199999999997</v>
          </cell>
          <cell r="X10">
            <v>2196.4199999999996</v>
          </cell>
          <cell r="Y10">
            <v>2342.6799999999998</v>
          </cell>
          <cell r="AA10">
            <v>7988.6</v>
          </cell>
          <cell r="AC10">
            <v>1576</v>
          </cell>
          <cell r="AD10">
            <v>7098.920000000001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 t="str">
            <v>P005065</v>
          </cell>
          <cell r="D11">
            <v>160</v>
          </cell>
          <cell r="E11">
            <v>2</v>
          </cell>
          <cell r="F11">
            <v>38</v>
          </cell>
          <cell r="G11">
            <v>124</v>
          </cell>
          <cell r="H11">
            <v>0.22</v>
          </cell>
          <cell r="I11">
            <v>0</v>
          </cell>
          <cell r="L11">
            <v>36</v>
          </cell>
          <cell r="M11">
            <v>2</v>
          </cell>
          <cell r="N11">
            <v>0</v>
          </cell>
          <cell r="O11">
            <v>0</v>
          </cell>
          <cell r="P11">
            <v>7.6</v>
          </cell>
          <cell r="Q11">
            <v>50</v>
          </cell>
          <cell r="R11">
            <v>50</v>
          </cell>
          <cell r="S11">
            <v>0</v>
          </cell>
          <cell r="T11">
            <v>22.894736842105264</v>
          </cell>
          <cell r="U11">
            <v>16.315789473684212</v>
          </cell>
          <cell r="V11">
            <v>7</v>
          </cell>
          <cell r="W11">
            <v>6.2</v>
          </cell>
          <cell r="X11">
            <v>11.2</v>
          </cell>
          <cell r="Y11">
            <v>7.6</v>
          </cell>
          <cell r="Z11">
            <v>0</v>
          </cell>
          <cell r="AA11">
            <v>11</v>
          </cell>
          <cell r="AB11">
            <v>12</v>
          </cell>
          <cell r="AC11">
            <v>0</v>
          </cell>
          <cell r="AD11">
            <v>0</v>
          </cell>
          <cell r="AE11">
            <v>14</v>
          </cell>
          <cell r="AF11">
            <v>70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 t="str">
            <v>P004598</v>
          </cell>
          <cell r="D12">
            <v>661</v>
          </cell>
          <cell r="E12">
            <v>20</v>
          </cell>
          <cell r="F12">
            <v>153</v>
          </cell>
          <cell r="G12">
            <v>529</v>
          </cell>
          <cell r="H12">
            <v>0.3</v>
          </cell>
          <cell r="I12">
            <v>0</v>
          </cell>
          <cell r="L12">
            <v>151</v>
          </cell>
          <cell r="M12">
            <v>2</v>
          </cell>
          <cell r="N12">
            <v>0</v>
          </cell>
          <cell r="O12">
            <v>0</v>
          </cell>
          <cell r="P12">
            <v>30.6</v>
          </cell>
          <cell r="S12">
            <v>0</v>
          </cell>
          <cell r="T12">
            <v>17.287581699346404</v>
          </cell>
          <cell r="U12">
            <v>17.287581699346404</v>
          </cell>
          <cell r="V12">
            <v>20.8</v>
          </cell>
          <cell r="W12">
            <v>27.4</v>
          </cell>
          <cell r="X12">
            <v>27</v>
          </cell>
          <cell r="Y12">
            <v>22.2</v>
          </cell>
          <cell r="Z12">
            <v>0</v>
          </cell>
          <cell r="AA12">
            <v>0</v>
          </cell>
          <cell r="AB12">
            <v>12</v>
          </cell>
          <cell r="AC12">
            <v>0</v>
          </cell>
          <cell r="AD12">
            <v>0</v>
          </cell>
          <cell r="AE12">
            <v>14</v>
          </cell>
          <cell r="AF12">
            <v>70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 t="str">
            <v>P004597</v>
          </cell>
          <cell r="D13">
            <v>47</v>
          </cell>
          <cell r="E13">
            <v>48</v>
          </cell>
          <cell r="F13">
            <v>24</v>
          </cell>
          <cell r="H13">
            <v>0.28000000000000003</v>
          </cell>
          <cell r="I13">
            <v>0</v>
          </cell>
          <cell r="L13">
            <v>141</v>
          </cell>
          <cell r="M13">
            <v>-117</v>
          </cell>
          <cell r="N13">
            <v>0</v>
          </cell>
          <cell r="O13">
            <v>560</v>
          </cell>
          <cell r="P13">
            <v>4.8</v>
          </cell>
          <cell r="Q13">
            <v>200</v>
          </cell>
          <cell r="R13">
            <v>200</v>
          </cell>
          <cell r="S13">
            <v>0</v>
          </cell>
          <cell r="T13">
            <v>158.33333333333334</v>
          </cell>
          <cell r="U13">
            <v>0</v>
          </cell>
          <cell r="V13">
            <v>51.6</v>
          </cell>
          <cell r="W13">
            <v>89.2</v>
          </cell>
          <cell r="X13">
            <v>53</v>
          </cell>
          <cell r="Y13">
            <v>46.2</v>
          </cell>
          <cell r="Z13">
            <v>0</v>
          </cell>
          <cell r="AA13">
            <v>56.000000000000007</v>
          </cell>
          <cell r="AB13">
            <v>6</v>
          </cell>
          <cell r="AC13">
            <v>28</v>
          </cell>
          <cell r="AD13">
            <v>47.040000000000006</v>
          </cell>
          <cell r="AE13">
            <v>14</v>
          </cell>
          <cell r="AF13">
            <v>140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 t="str">
            <v>P004969</v>
          </cell>
          <cell r="D14">
            <v>154</v>
          </cell>
          <cell r="E14">
            <v>386</v>
          </cell>
          <cell r="F14">
            <v>343</v>
          </cell>
          <cell r="G14">
            <v>169</v>
          </cell>
          <cell r="H14">
            <v>0.24</v>
          </cell>
          <cell r="I14">
            <v>0</v>
          </cell>
          <cell r="L14">
            <v>320</v>
          </cell>
          <cell r="M14">
            <v>23</v>
          </cell>
          <cell r="N14">
            <v>0</v>
          </cell>
          <cell r="O14">
            <v>240</v>
          </cell>
          <cell r="P14">
            <v>68.599999999999994</v>
          </cell>
          <cell r="Q14">
            <v>650</v>
          </cell>
          <cell r="R14">
            <v>650</v>
          </cell>
          <cell r="S14">
            <v>0</v>
          </cell>
          <cell r="T14">
            <v>15.43731778425656</v>
          </cell>
          <cell r="U14">
            <v>2.4635568513119535</v>
          </cell>
          <cell r="V14">
            <v>66</v>
          </cell>
          <cell r="W14">
            <v>76.2</v>
          </cell>
          <cell r="X14">
            <v>68</v>
          </cell>
          <cell r="Y14">
            <v>57</v>
          </cell>
          <cell r="Z14">
            <v>0</v>
          </cell>
          <cell r="AA14">
            <v>156</v>
          </cell>
          <cell r="AB14">
            <v>12</v>
          </cell>
          <cell r="AC14">
            <v>56</v>
          </cell>
          <cell r="AD14">
            <v>161.28</v>
          </cell>
          <cell r="AE14">
            <v>14</v>
          </cell>
          <cell r="AF14">
            <v>70</v>
          </cell>
        </row>
        <row r="15">
          <cell r="A15" t="str">
            <v>Готовые чебупели с ветчиной и сыром Горячая штучка 0,3кг зам  ПОКОМ</v>
          </cell>
          <cell r="B15" t="str">
            <v>шт</v>
          </cell>
          <cell r="C15">
            <v>0</v>
          </cell>
          <cell r="D15">
            <v>-1</v>
          </cell>
          <cell r="E15">
            <v>1</v>
          </cell>
          <cell r="F15">
            <v>0</v>
          </cell>
          <cell r="H15">
            <v>0.3</v>
          </cell>
          <cell r="I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S15">
            <v>0</v>
          </cell>
          <cell r="T15" t="e">
            <v>#DIV/0!</v>
          </cell>
          <cell r="U15" t="e">
            <v>#DIV/0!</v>
          </cell>
          <cell r="V15">
            <v>0</v>
          </cell>
          <cell r="W15">
            <v>0.2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14</v>
          </cell>
          <cell r="AF15">
            <v>0</v>
          </cell>
        </row>
        <row r="16">
          <cell r="A16" t="str">
            <v>Готовые чебупели с ветчиной и сыром ТМ Горячая штучка флоу-пак 0,24 кг.  ПОКОМ</v>
          </cell>
          <cell r="B16" t="str">
            <v>шт</v>
          </cell>
          <cell r="C16" t="str">
            <v>P004971</v>
          </cell>
          <cell r="D16">
            <v>550</v>
          </cell>
          <cell r="E16">
            <v>46</v>
          </cell>
          <cell r="F16">
            <v>339</v>
          </cell>
          <cell r="G16">
            <v>188</v>
          </cell>
          <cell r="H16">
            <v>0.24</v>
          </cell>
          <cell r="I16" t="str">
            <v>сроки</v>
          </cell>
          <cell r="L16">
            <v>341</v>
          </cell>
          <cell r="M16">
            <v>-2</v>
          </cell>
          <cell r="N16">
            <v>2184</v>
          </cell>
          <cell r="O16">
            <v>560</v>
          </cell>
          <cell r="P16">
            <v>67.8</v>
          </cell>
          <cell r="Q16">
            <v>500</v>
          </cell>
          <cell r="R16">
            <v>551</v>
          </cell>
          <cell r="S16">
            <v>0</v>
          </cell>
          <cell r="T16">
            <v>18.407079646017699</v>
          </cell>
          <cell r="U16">
            <v>2.7728613569321534</v>
          </cell>
          <cell r="V16">
            <v>80.8</v>
          </cell>
          <cell r="W16">
            <v>75.2</v>
          </cell>
          <cell r="X16">
            <v>50.4</v>
          </cell>
          <cell r="Y16">
            <v>77.599999999999994</v>
          </cell>
          <cell r="Z16">
            <v>0</v>
          </cell>
          <cell r="AA16">
            <v>120</v>
          </cell>
          <cell r="AB16">
            <v>12</v>
          </cell>
          <cell r="AC16">
            <v>42</v>
          </cell>
          <cell r="AD16">
            <v>120.96</v>
          </cell>
          <cell r="AE16">
            <v>14</v>
          </cell>
          <cell r="AF16">
            <v>70</v>
          </cell>
        </row>
        <row r="17">
          <cell r="A17" t="str">
            <v>Готовые чебупели с мясом ТМ Горячая штучка 0,24 кг  ПОКОМ</v>
          </cell>
          <cell r="B17" t="str">
            <v>шт</v>
          </cell>
          <cell r="C17" t="str">
            <v>P004974</v>
          </cell>
          <cell r="D17">
            <v>-158</v>
          </cell>
          <cell r="E17">
            <v>542</v>
          </cell>
          <cell r="F17">
            <v>193</v>
          </cell>
          <cell r="G17">
            <v>150</v>
          </cell>
          <cell r="H17">
            <v>0.24</v>
          </cell>
          <cell r="I17">
            <v>0</v>
          </cell>
          <cell r="L17">
            <v>208</v>
          </cell>
          <cell r="M17">
            <v>-15</v>
          </cell>
          <cell r="N17">
            <v>0</v>
          </cell>
          <cell r="O17">
            <v>150</v>
          </cell>
          <cell r="P17">
            <v>38.6</v>
          </cell>
          <cell r="Q17">
            <v>290</v>
          </cell>
          <cell r="R17">
            <v>290</v>
          </cell>
          <cell r="S17">
            <v>0</v>
          </cell>
          <cell r="T17">
            <v>15.284974093264248</v>
          </cell>
          <cell r="U17">
            <v>3.8860103626943006</v>
          </cell>
          <cell r="V17">
            <v>34.4</v>
          </cell>
          <cell r="W17">
            <v>42</v>
          </cell>
          <cell r="X17">
            <v>47.6</v>
          </cell>
          <cell r="Y17">
            <v>20.8</v>
          </cell>
          <cell r="Z17">
            <v>0</v>
          </cell>
          <cell r="AA17">
            <v>69.599999999999994</v>
          </cell>
          <cell r="AB17">
            <v>12</v>
          </cell>
          <cell r="AC17">
            <v>28</v>
          </cell>
          <cell r="AD17">
            <v>80.64</v>
          </cell>
          <cell r="AE17">
            <v>14</v>
          </cell>
          <cell r="AF17">
            <v>70</v>
          </cell>
        </row>
        <row r="18">
          <cell r="A18" t="str">
            <v>Готовые чебупели сочные с мясом ТМ Горячая штучка флоу-пак 0,24 кг  ПОКОМ</v>
          </cell>
          <cell r="B18" t="str">
            <v>шт</v>
          </cell>
          <cell r="C18" t="str">
            <v>P004966</v>
          </cell>
          <cell r="D18">
            <v>461</v>
          </cell>
          <cell r="E18">
            <v>184</v>
          </cell>
          <cell r="F18">
            <v>266</v>
          </cell>
          <cell r="G18">
            <v>62</v>
          </cell>
          <cell r="H18">
            <v>0.24</v>
          </cell>
          <cell r="I18">
            <v>0</v>
          </cell>
          <cell r="J18" t="str">
            <v>метка</v>
          </cell>
          <cell r="L18">
            <v>263</v>
          </cell>
          <cell r="M18">
            <v>3</v>
          </cell>
          <cell r="N18">
            <v>336</v>
          </cell>
          <cell r="O18">
            <v>560</v>
          </cell>
          <cell r="P18">
            <v>53.2</v>
          </cell>
          <cell r="Q18">
            <v>500</v>
          </cell>
          <cell r="R18">
            <v>551</v>
          </cell>
          <cell r="S18">
            <v>0</v>
          </cell>
          <cell r="T18">
            <v>21.090225563909772</v>
          </cell>
          <cell r="U18">
            <v>1.1654135338345863</v>
          </cell>
          <cell r="V18">
            <v>74</v>
          </cell>
          <cell r="W18">
            <v>78</v>
          </cell>
          <cell r="X18">
            <v>50.4</v>
          </cell>
          <cell r="Y18">
            <v>82.6</v>
          </cell>
          <cell r="Z18">
            <v>0</v>
          </cell>
          <cell r="AA18">
            <v>120</v>
          </cell>
          <cell r="AB18">
            <v>12</v>
          </cell>
          <cell r="AC18">
            <v>42</v>
          </cell>
          <cell r="AD18">
            <v>120.96</v>
          </cell>
          <cell r="AE18">
            <v>14</v>
          </cell>
          <cell r="AF18">
            <v>70</v>
          </cell>
        </row>
        <row r="19">
          <cell r="A19" t="str">
            <v>Готовые чебупели сочные с мясом ТМ Горячая штучка флоу-пак 0,48 кг XXL  Поком</v>
          </cell>
          <cell r="B19" t="str">
            <v>шт</v>
          </cell>
          <cell r="C19" t="str">
            <v>P004595</v>
          </cell>
          <cell r="D19">
            <v>-6</v>
          </cell>
          <cell r="E19">
            <v>6</v>
          </cell>
          <cell r="F19">
            <v>0</v>
          </cell>
          <cell r="H19">
            <v>0.48</v>
          </cell>
          <cell r="I19">
            <v>0</v>
          </cell>
          <cell r="L19">
            <v>24</v>
          </cell>
          <cell r="M19">
            <v>-24</v>
          </cell>
          <cell r="N19">
            <v>0</v>
          </cell>
          <cell r="O19">
            <v>120</v>
          </cell>
          <cell r="P19">
            <v>0</v>
          </cell>
          <cell r="S19">
            <v>0</v>
          </cell>
          <cell r="T19" t="e">
            <v>#DIV/0!</v>
          </cell>
          <cell r="U19" t="e">
            <v>#DIV/0!</v>
          </cell>
          <cell r="V19">
            <v>11.2</v>
          </cell>
          <cell r="W19">
            <v>23.2</v>
          </cell>
          <cell r="X19">
            <v>16.399999999999999</v>
          </cell>
          <cell r="Y19">
            <v>10</v>
          </cell>
          <cell r="Z19">
            <v>0</v>
          </cell>
          <cell r="AA19">
            <v>0</v>
          </cell>
          <cell r="AB19">
            <v>8</v>
          </cell>
          <cell r="AC19">
            <v>0</v>
          </cell>
          <cell r="AD19">
            <v>0</v>
          </cell>
          <cell r="AE19">
            <v>14</v>
          </cell>
          <cell r="AF19">
            <v>70</v>
          </cell>
        </row>
        <row r="20">
          <cell r="A20" t="str">
            <v>Готовые чебуреки с мясом ТМ Горячая штучка 0,09 кг флоу-пак ПОКОМ</v>
          </cell>
          <cell r="B20" t="str">
            <v>шт</v>
          </cell>
          <cell r="C20" t="str">
            <v>P004138</v>
          </cell>
          <cell r="D20">
            <v>2</v>
          </cell>
          <cell r="F20">
            <v>0</v>
          </cell>
          <cell r="G20">
            <v>2</v>
          </cell>
          <cell r="H20">
            <v>0.09</v>
          </cell>
          <cell r="I20">
            <v>0</v>
          </cell>
          <cell r="L20">
            <v>95</v>
          </cell>
          <cell r="M20">
            <v>-95</v>
          </cell>
          <cell r="N20">
            <v>336</v>
          </cell>
          <cell r="O20">
            <v>0</v>
          </cell>
          <cell r="P20">
            <v>0</v>
          </cell>
          <cell r="Q20">
            <v>100</v>
          </cell>
          <cell r="R20">
            <v>115</v>
          </cell>
          <cell r="S20">
            <v>0</v>
          </cell>
          <cell r="T20" t="e">
            <v>#DIV/0!</v>
          </cell>
          <cell r="U20" t="e">
            <v>#DIV/0!</v>
          </cell>
          <cell r="V20">
            <v>29.6</v>
          </cell>
          <cell r="W20">
            <v>42.2</v>
          </cell>
          <cell r="X20">
            <v>0</v>
          </cell>
          <cell r="Y20">
            <v>0</v>
          </cell>
          <cell r="Z20">
            <v>0</v>
          </cell>
          <cell r="AA20">
            <v>9</v>
          </cell>
          <cell r="AB20">
            <v>24</v>
          </cell>
          <cell r="AC20">
            <v>0</v>
          </cell>
          <cell r="AD20">
            <v>0</v>
          </cell>
          <cell r="AE20">
            <v>14</v>
          </cell>
          <cell r="AF20">
            <v>126</v>
          </cell>
        </row>
        <row r="21">
          <cell r="A21" t="str">
            <v>Готовые чебуреки со свининой и говядиной ТМ Горячая штучка ТС Базовый ассортимент 0,36 кг  ПОКОМ</v>
          </cell>
          <cell r="B21" t="str">
            <v>шт</v>
          </cell>
          <cell r="C21" t="str">
            <v>P004583</v>
          </cell>
          <cell r="D21">
            <v>309</v>
          </cell>
          <cell r="E21">
            <v>52</v>
          </cell>
          <cell r="F21">
            <v>180</v>
          </cell>
          <cell r="G21">
            <v>110</v>
          </cell>
          <cell r="H21">
            <v>0.36</v>
          </cell>
          <cell r="I21">
            <v>0</v>
          </cell>
          <cell r="L21">
            <v>178</v>
          </cell>
          <cell r="M21">
            <v>2</v>
          </cell>
          <cell r="N21">
            <v>0</v>
          </cell>
          <cell r="O21">
            <v>160</v>
          </cell>
          <cell r="P21">
            <v>36</v>
          </cell>
          <cell r="Q21">
            <v>300</v>
          </cell>
          <cell r="S21">
            <v>0</v>
          </cell>
          <cell r="T21">
            <v>15.833333333333334</v>
          </cell>
          <cell r="U21">
            <v>3.0555555555555554</v>
          </cell>
          <cell r="V21">
            <v>25.8</v>
          </cell>
          <cell r="W21">
            <v>30.8</v>
          </cell>
          <cell r="X21">
            <v>27.2</v>
          </cell>
          <cell r="Y21">
            <v>33.4</v>
          </cell>
          <cell r="Z21" t="str">
            <v>сети</v>
          </cell>
          <cell r="AA21">
            <v>108</v>
          </cell>
          <cell r="AB21">
            <v>10</v>
          </cell>
          <cell r="AC21">
            <v>28</v>
          </cell>
          <cell r="AD21">
            <v>100.8</v>
          </cell>
          <cell r="AE21">
            <v>14</v>
          </cell>
          <cell r="AF21">
            <v>70</v>
          </cell>
        </row>
        <row r="22">
          <cell r="A22" t="str">
            <v>ЖАР-ладушки с клубникой и вишней ТМ Стародворье 0,2 кг.  Поком</v>
          </cell>
          <cell r="B22" t="str">
            <v>шт</v>
          </cell>
          <cell r="C22" t="str">
            <v>P005095</v>
          </cell>
          <cell r="D22">
            <v>58</v>
          </cell>
          <cell r="F22">
            <v>0</v>
          </cell>
          <cell r="G22">
            <v>56</v>
          </cell>
          <cell r="H22">
            <v>0.2</v>
          </cell>
          <cell r="I22">
            <v>180</v>
          </cell>
          <cell r="L22">
            <v>13</v>
          </cell>
          <cell r="M22">
            <v>-13</v>
          </cell>
          <cell r="N22">
            <v>0</v>
          </cell>
          <cell r="O22">
            <v>0</v>
          </cell>
          <cell r="P22">
            <v>0</v>
          </cell>
          <cell r="S22">
            <v>0</v>
          </cell>
          <cell r="T22" t="e">
            <v>#DIV/0!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str">
            <v>нужно увеличить продажи!!! / перемещение из Мелитополя (19,09 списано; 26,09 поставлено!)</v>
          </cell>
          <cell r="AA22">
            <v>0</v>
          </cell>
          <cell r="AB22">
            <v>12</v>
          </cell>
          <cell r="AC22">
            <v>0</v>
          </cell>
          <cell r="AD22">
            <v>0</v>
          </cell>
          <cell r="AE22">
            <v>14</v>
          </cell>
          <cell r="AF22">
            <v>70</v>
          </cell>
        </row>
        <row r="23">
          <cell r="A23" t="str">
            <v>Жареные вареники с картофелем и беконом ТМ Стародворье 0,2 кг  ПОКОМ</v>
          </cell>
          <cell r="B23" t="str">
            <v>шт</v>
          </cell>
          <cell r="C23" t="str">
            <v>P005129</v>
          </cell>
          <cell r="D23">
            <v>-24</v>
          </cell>
          <cell r="E23">
            <v>192</v>
          </cell>
          <cell r="F23">
            <v>46</v>
          </cell>
          <cell r="G23">
            <v>122</v>
          </cell>
          <cell r="H23">
            <v>0.2</v>
          </cell>
          <cell r="I23">
            <v>180</v>
          </cell>
          <cell r="L23">
            <v>46</v>
          </cell>
          <cell r="M23">
            <v>0</v>
          </cell>
          <cell r="N23">
            <v>0</v>
          </cell>
          <cell r="O23">
            <v>0</v>
          </cell>
          <cell r="P23">
            <v>9.1999999999999993</v>
          </cell>
          <cell r="Q23">
            <v>40</v>
          </cell>
          <cell r="R23">
            <v>40</v>
          </cell>
          <cell r="S23">
            <v>0</v>
          </cell>
          <cell r="T23">
            <v>17.608695652173914</v>
          </cell>
          <cell r="U23">
            <v>13.260869565217392</v>
          </cell>
          <cell r="V23">
            <v>5.8</v>
          </cell>
          <cell r="W23">
            <v>12.8</v>
          </cell>
          <cell r="X23">
            <v>9</v>
          </cell>
          <cell r="Y23">
            <v>4.2</v>
          </cell>
          <cell r="Z23">
            <v>0</v>
          </cell>
          <cell r="AA23">
            <v>8</v>
          </cell>
          <cell r="AB23">
            <v>12</v>
          </cell>
          <cell r="AC23">
            <v>0</v>
          </cell>
          <cell r="AD23">
            <v>0</v>
          </cell>
          <cell r="AE23">
            <v>14</v>
          </cell>
          <cell r="AF23">
            <v>70</v>
          </cell>
        </row>
        <row r="24">
          <cell r="A24" t="str">
            <v>Круггетсы с сырным соусом ТМ Горячая штучка ТС Круггетсы флоу-пак 0,2 кг  ПОКОМ</v>
          </cell>
          <cell r="B24" t="str">
            <v>шт</v>
          </cell>
          <cell r="C24" t="str">
            <v>P004956</v>
          </cell>
          <cell r="D24">
            <v>501</v>
          </cell>
          <cell r="E24">
            <v>120</v>
          </cell>
          <cell r="F24">
            <v>267</v>
          </cell>
          <cell r="G24">
            <v>229</v>
          </cell>
          <cell r="H24">
            <v>0.2</v>
          </cell>
          <cell r="I24">
            <v>180</v>
          </cell>
          <cell r="L24">
            <v>277</v>
          </cell>
          <cell r="M24">
            <v>-10</v>
          </cell>
          <cell r="N24">
            <v>0</v>
          </cell>
          <cell r="O24">
            <v>50</v>
          </cell>
          <cell r="P24">
            <v>53.4</v>
          </cell>
          <cell r="Q24">
            <v>440</v>
          </cell>
          <cell r="S24">
            <v>0</v>
          </cell>
          <cell r="T24">
            <v>13.464419475655431</v>
          </cell>
          <cell r="U24">
            <v>4.2883895131086147</v>
          </cell>
          <cell r="V24">
            <v>40.4</v>
          </cell>
          <cell r="W24">
            <v>47.2</v>
          </cell>
          <cell r="X24">
            <v>34.200000000000003</v>
          </cell>
          <cell r="Y24">
            <v>39.4</v>
          </cell>
          <cell r="Z24">
            <v>0</v>
          </cell>
          <cell r="AA24">
            <v>88</v>
          </cell>
          <cell r="AB24">
            <v>12</v>
          </cell>
          <cell r="AC24">
            <v>42</v>
          </cell>
          <cell r="AD24">
            <v>100.80000000000001</v>
          </cell>
          <cell r="AE24">
            <v>14</v>
          </cell>
          <cell r="AF24">
            <v>70</v>
          </cell>
        </row>
        <row r="25">
          <cell r="A25" t="str">
            <v>Круггетсы сочные ТМ Горячая штучка ТС Круггетсы флоу-пак  0,2 кг.  ПОКОМ</v>
          </cell>
          <cell r="B25" t="str">
            <v>шт</v>
          </cell>
          <cell r="C25" t="str">
            <v>P004953</v>
          </cell>
          <cell r="D25">
            <v>1</v>
          </cell>
          <cell r="E25">
            <v>177</v>
          </cell>
          <cell r="F25">
            <v>105</v>
          </cell>
          <cell r="G25">
            <v>51</v>
          </cell>
          <cell r="H25">
            <v>0.2</v>
          </cell>
          <cell r="I25">
            <v>180</v>
          </cell>
          <cell r="L25">
            <v>117</v>
          </cell>
          <cell r="M25">
            <v>-12</v>
          </cell>
          <cell r="N25">
            <v>0</v>
          </cell>
          <cell r="O25">
            <v>0</v>
          </cell>
          <cell r="P25">
            <v>21</v>
          </cell>
          <cell r="Q25">
            <v>350</v>
          </cell>
          <cell r="R25">
            <v>350</v>
          </cell>
          <cell r="S25">
            <v>0</v>
          </cell>
          <cell r="T25">
            <v>19.095238095238095</v>
          </cell>
          <cell r="U25">
            <v>2.4285714285714284</v>
          </cell>
          <cell r="V25">
            <v>26.6</v>
          </cell>
          <cell r="W25">
            <v>25.2</v>
          </cell>
          <cell r="X25">
            <v>19.8</v>
          </cell>
          <cell r="Y25">
            <v>11.4</v>
          </cell>
          <cell r="Z25">
            <v>0</v>
          </cell>
          <cell r="AA25">
            <v>70</v>
          </cell>
          <cell r="AB25">
            <v>12</v>
          </cell>
          <cell r="AC25">
            <v>28</v>
          </cell>
          <cell r="AD25">
            <v>67.2</v>
          </cell>
          <cell r="AE25">
            <v>14</v>
          </cell>
          <cell r="AF25">
            <v>70</v>
          </cell>
        </row>
        <row r="26">
          <cell r="A26" t="str">
            <v>Мини-сосиски в тесте 5кг ВЕС ТМ Зареченские  ПОКОМ</v>
          </cell>
          <cell r="B26" t="str">
            <v>кг</v>
          </cell>
          <cell r="C26" t="str">
            <v>P005235</v>
          </cell>
          <cell r="D26">
            <v>150</v>
          </cell>
          <cell r="E26">
            <v>10</v>
          </cell>
          <cell r="F26">
            <v>100</v>
          </cell>
          <cell r="G26">
            <v>55</v>
          </cell>
          <cell r="H26">
            <v>1</v>
          </cell>
          <cell r="I26">
            <v>180</v>
          </cell>
          <cell r="L26">
            <v>95</v>
          </cell>
          <cell r="M26">
            <v>5</v>
          </cell>
          <cell r="N26">
            <v>180</v>
          </cell>
          <cell r="O26">
            <v>120</v>
          </cell>
          <cell r="P26">
            <v>20</v>
          </cell>
          <cell r="Q26">
            <v>100</v>
          </cell>
          <cell r="S26">
            <v>0</v>
          </cell>
          <cell r="T26">
            <v>13.75</v>
          </cell>
          <cell r="U26">
            <v>2.75</v>
          </cell>
          <cell r="V26">
            <v>26</v>
          </cell>
          <cell r="W26">
            <v>15</v>
          </cell>
          <cell r="X26">
            <v>18</v>
          </cell>
          <cell r="Y26">
            <v>20</v>
          </cell>
          <cell r="Z26" t="str">
            <v>остатки?</v>
          </cell>
          <cell r="AA26">
            <v>100</v>
          </cell>
          <cell r="AB26">
            <v>5</v>
          </cell>
          <cell r="AC26">
            <v>0</v>
          </cell>
          <cell r="AD26">
            <v>0</v>
          </cell>
          <cell r="AE26">
            <v>0</v>
          </cell>
          <cell r="AF26">
            <v>84</v>
          </cell>
        </row>
        <row r="27">
          <cell r="A27" t="str">
            <v>Мини-шарики с курочкой и сыром ТМ Зареченские ВЕС ПОКОМ</v>
          </cell>
          <cell r="B27" t="str">
            <v>кг</v>
          </cell>
          <cell r="C27" t="str">
            <v>P004394</v>
          </cell>
          <cell r="D27">
            <v>149.69999999999999</v>
          </cell>
          <cell r="E27">
            <v>15.6</v>
          </cell>
          <cell r="F27">
            <v>63</v>
          </cell>
          <cell r="G27">
            <v>84</v>
          </cell>
          <cell r="H27">
            <v>1</v>
          </cell>
          <cell r="I27">
            <v>180</v>
          </cell>
          <cell r="L27">
            <v>69.5</v>
          </cell>
          <cell r="M27">
            <v>-6.5</v>
          </cell>
          <cell r="N27">
            <v>0</v>
          </cell>
          <cell r="O27">
            <v>0</v>
          </cell>
          <cell r="P27">
            <v>12.6</v>
          </cell>
          <cell r="Q27">
            <v>135</v>
          </cell>
          <cell r="R27">
            <v>135</v>
          </cell>
          <cell r="S27">
            <v>0</v>
          </cell>
          <cell r="T27">
            <v>17.380952380952383</v>
          </cell>
          <cell r="U27">
            <v>6.666666666666667</v>
          </cell>
          <cell r="V27">
            <v>8.52</v>
          </cell>
          <cell r="W27">
            <v>12.6</v>
          </cell>
          <cell r="X27">
            <v>10.74</v>
          </cell>
          <cell r="Y27">
            <v>11.4</v>
          </cell>
          <cell r="Z27">
            <v>0</v>
          </cell>
          <cell r="AA27">
            <v>135</v>
          </cell>
          <cell r="AB27">
            <v>3</v>
          </cell>
          <cell r="AC27">
            <v>42</v>
          </cell>
          <cell r="AD27">
            <v>126</v>
          </cell>
          <cell r="AE27">
            <v>14</v>
          </cell>
          <cell r="AF27">
            <v>126</v>
          </cell>
        </row>
        <row r="28">
          <cell r="A28" t="str">
            <v>Наггетсы из печи 0,25кг ТМ Вязанка замор.  ПОКОМ</v>
          </cell>
          <cell r="B28" t="str">
            <v>шт</v>
          </cell>
          <cell r="C28" t="str">
            <v>P004497</v>
          </cell>
          <cell r="D28">
            <v>1020</v>
          </cell>
          <cell r="E28">
            <v>160</v>
          </cell>
          <cell r="F28">
            <v>301</v>
          </cell>
          <cell r="G28">
            <v>717</v>
          </cell>
          <cell r="H28">
            <v>0.25</v>
          </cell>
          <cell r="I28">
            <v>180</v>
          </cell>
          <cell r="J28" t="str">
            <v>матрица</v>
          </cell>
          <cell r="L28">
            <v>297</v>
          </cell>
          <cell r="M28">
            <v>4</v>
          </cell>
          <cell r="N28">
            <v>0</v>
          </cell>
          <cell r="O28">
            <v>100</v>
          </cell>
          <cell r="P28">
            <v>60.2</v>
          </cell>
          <cell r="S28">
            <v>0</v>
          </cell>
          <cell r="T28">
            <v>13.571428571428571</v>
          </cell>
          <cell r="U28">
            <v>11.910299003322258</v>
          </cell>
          <cell r="V28">
            <v>108.6</v>
          </cell>
          <cell r="W28">
            <v>47.8</v>
          </cell>
          <cell r="X28">
            <v>40.799999999999997</v>
          </cell>
          <cell r="Y28">
            <v>80</v>
          </cell>
          <cell r="Z28" t="str">
            <v>сети</v>
          </cell>
          <cell r="AA28">
            <v>0</v>
          </cell>
          <cell r="AB28">
            <v>12</v>
          </cell>
          <cell r="AC28">
            <v>0</v>
          </cell>
          <cell r="AD28">
            <v>0</v>
          </cell>
          <cell r="AE28">
            <v>14</v>
          </cell>
          <cell r="AF28">
            <v>70</v>
          </cell>
        </row>
        <row r="29">
          <cell r="A29" t="str">
            <v>Наггетсы Нагетосы Сочная курочка со сметаной и зеленью ТМ Горячая штучка флоу-пак 0,25 кг  Поком</v>
          </cell>
          <cell r="B29" t="str">
            <v>шт</v>
          </cell>
          <cell r="C29" t="str">
            <v>P004600</v>
          </cell>
          <cell r="D29">
            <v>-1</v>
          </cell>
          <cell r="E29">
            <v>181</v>
          </cell>
          <cell r="F29">
            <v>96</v>
          </cell>
          <cell r="G29">
            <v>72</v>
          </cell>
          <cell r="H29">
            <v>0.25</v>
          </cell>
          <cell r="I29">
            <v>180</v>
          </cell>
          <cell r="J29" t="str">
            <v>матрица</v>
          </cell>
          <cell r="L29">
            <v>102</v>
          </cell>
          <cell r="M29">
            <v>-6</v>
          </cell>
          <cell r="N29">
            <v>0</v>
          </cell>
          <cell r="O29">
            <v>40</v>
          </cell>
          <cell r="P29">
            <v>19.2</v>
          </cell>
          <cell r="Q29">
            <v>250</v>
          </cell>
          <cell r="R29">
            <v>250</v>
          </cell>
          <cell r="S29">
            <v>0</v>
          </cell>
          <cell r="T29">
            <v>18.854166666666668</v>
          </cell>
          <cell r="U29">
            <v>3.75</v>
          </cell>
          <cell r="V29">
            <v>10.4</v>
          </cell>
          <cell r="W29">
            <v>33.4</v>
          </cell>
          <cell r="X29">
            <v>20.8</v>
          </cell>
          <cell r="Y29">
            <v>13.6</v>
          </cell>
          <cell r="Z29" t="str">
            <v>сети</v>
          </cell>
          <cell r="AA29">
            <v>62.5</v>
          </cell>
          <cell r="AB29">
            <v>6</v>
          </cell>
          <cell r="AC29">
            <v>42</v>
          </cell>
          <cell r="AD29">
            <v>63</v>
          </cell>
          <cell r="AE29">
            <v>14</v>
          </cell>
          <cell r="AF29">
            <v>140</v>
          </cell>
        </row>
        <row r="30">
          <cell r="A30" t="str">
            <v>Наггетсы Нагетосы Сочная курочка ТМ Горячая штучка 0,25 кг зам  ПОКОМ</v>
          </cell>
          <cell r="B30" t="str">
            <v>шт</v>
          </cell>
          <cell r="C30" t="str">
            <v>P004602</v>
          </cell>
          <cell r="D30">
            <v>1420</v>
          </cell>
          <cell r="E30">
            <v>93</v>
          </cell>
          <cell r="F30">
            <v>348</v>
          </cell>
          <cell r="G30">
            <v>915</v>
          </cell>
          <cell r="H30">
            <v>0.25</v>
          </cell>
          <cell r="I30">
            <v>180</v>
          </cell>
          <cell r="L30">
            <v>347</v>
          </cell>
          <cell r="M30">
            <v>1</v>
          </cell>
          <cell r="N30">
            <v>168</v>
          </cell>
          <cell r="O30">
            <v>0</v>
          </cell>
          <cell r="P30">
            <v>69.599999999999994</v>
          </cell>
          <cell r="S30">
            <v>0</v>
          </cell>
          <cell r="T30">
            <v>13.146551724137932</v>
          </cell>
          <cell r="U30">
            <v>13.146551724137932</v>
          </cell>
          <cell r="V30">
            <v>86.2</v>
          </cell>
          <cell r="W30">
            <v>72.8</v>
          </cell>
          <cell r="X30">
            <v>69.8</v>
          </cell>
          <cell r="Y30">
            <v>60.6</v>
          </cell>
          <cell r="Z30" t="str">
            <v>сети</v>
          </cell>
          <cell r="AA30">
            <v>0</v>
          </cell>
          <cell r="AB30">
            <v>6</v>
          </cell>
          <cell r="AC30">
            <v>0</v>
          </cell>
          <cell r="AD30">
            <v>0</v>
          </cell>
          <cell r="AE30">
            <v>14</v>
          </cell>
          <cell r="AF30">
            <v>140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 t="str">
            <v>P004496</v>
          </cell>
          <cell r="D31">
            <v>345</v>
          </cell>
          <cell r="E31">
            <v>55</v>
          </cell>
          <cell r="F31">
            <v>242</v>
          </cell>
          <cell r="G31">
            <v>107</v>
          </cell>
          <cell r="H31">
            <v>0.25</v>
          </cell>
          <cell r="J31" t="str">
            <v>матрица</v>
          </cell>
          <cell r="L31">
            <v>241</v>
          </cell>
          <cell r="M31">
            <v>1</v>
          </cell>
          <cell r="N31">
            <v>0</v>
          </cell>
          <cell r="O31">
            <v>320</v>
          </cell>
          <cell r="P31">
            <v>48.4</v>
          </cell>
          <cell r="Q31">
            <v>450</v>
          </cell>
          <cell r="R31">
            <v>450</v>
          </cell>
          <cell r="S31">
            <v>0</v>
          </cell>
          <cell r="T31">
            <v>18.119834710743802</v>
          </cell>
          <cell r="U31">
            <v>2.2107438016528924</v>
          </cell>
          <cell r="V31">
            <v>51</v>
          </cell>
          <cell r="W31">
            <v>62</v>
          </cell>
          <cell r="X31">
            <v>42.6</v>
          </cell>
          <cell r="Y31">
            <v>47.4</v>
          </cell>
          <cell r="Z31">
            <v>0</v>
          </cell>
          <cell r="AA31">
            <v>112.5</v>
          </cell>
          <cell r="AB31">
            <v>12</v>
          </cell>
          <cell r="AC31">
            <v>42</v>
          </cell>
          <cell r="AD31">
            <v>126</v>
          </cell>
          <cell r="AE31">
            <v>14</v>
          </cell>
          <cell r="AF31">
            <v>70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 t="str">
            <v>P004535</v>
          </cell>
          <cell r="D32">
            <v>988</v>
          </cell>
          <cell r="E32">
            <v>206</v>
          </cell>
          <cell r="F32">
            <v>172</v>
          </cell>
          <cell r="G32">
            <v>634</v>
          </cell>
          <cell r="H32">
            <v>0.25</v>
          </cell>
          <cell r="I32">
            <v>180</v>
          </cell>
          <cell r="L32">
            <v>170</v>
          </cell>
          <cell r="M32">
            <v>2</v>
          </cell>
          <cell r="N32">
            <v>168</v>
          </cell>
          <cell r="O32">
            <v>0</v>
          </cell>
          <cell r="P32">
            <v>34.4</v>
          </cell>
          <cell r="S32">
            <v>0</v>
          </cell>
          <cell r="T32">
            <v>18.430232558139537</v>
          </cell>
          <cell r="U32">
            <v>18.430232558139537</v>
          </cell>
          <cell r="V32">
            <v>38.4</v>
          </cell>
          <cell r="W32">
            <v>44.8</v>
          </cell>
          <cell r="X32">
            <v>31.4</v>
          </cell>
          <cell r="Y32">
            <v>49.4</v>
          </cell>
          <cell r="Z32" t="str">
            <v>сети</v>
          </cell>
          <cell r="AA32">
            <v>0</v>
          </cell>
          <cell r="AB32">
            <v>12</v>
          </cell>
          <cell r="AC32">
            <v>0</v>
          </cell>
          <cell r="AD32">
            <v>0</v>
          </cell>
          <cell r="AE32">
            <v>14</v>
          </cell>
          <cell r="AF32">
            <v>70</v>
          </cell>
        </row>
        <row r="33">
          <cell r="A33" t="str">
            <v>Наггетсы хрустящие п/ф ВЕС ПОКОМ</v>
          </cell>
          <cell r="B33" t="str">
            <v>кг</v>
          </cell>
          <cell r="C33">
            <v>0</v>
          </cell>
          <cell r="D33">
            <v>-474</v>
          </cell>
          <cell r="E33">
            <v>474</v>
          </cell>
          <cell r="F33">
            <v>0</v>
          </cell>
          <cell r="H33">
            <v>1</v>
          </cell>
          <cell r="L33">
            <v>0</v>
          </cell>
          <cell r="M33">
            <v>0</v>
          </cell>
          <cell r="N33">
            <v>0</v>
          </cell>
          <cell r="O33">
            <v>480</v>
          </cell>
          <cell r="P33">
            <v>0</v>
          </cell>
          <cell r="Q33">
            <v>640</v>
          </cell>
          <cell r="R33">
            <v>640</v>
          </cell>
          <cell r="S33">
            <v>0</v>
          </cell>
          <cell r="T33" t="e">
            <v>#DIV/0!</v>
          </cell>
          <cell r="U33" t="e">
            <v>#DIV/0!</v>
          </cell>
          <cell r="V33">
            <v>0</v>
          </cell>
          <cell r="W33">
            <v>1.2</v>
          </cell>
          <cell r="X33">
            <v>0</v>
          </cell>
          <cell r="Y33">
            <v>0</v>
          </cell>
          <cell r="Z33">
            <v>0</v>
          </cell>
          <cell r="AA33">
            <v>640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 t="str">
            <v>Наггетсы Хрустящие ТМ Зареченские ТС Зареченские продукты. Поком</v>
          </cell>
          <cell r="B34" t="str">
            <v>кг</v>
          </cell>
          <cell r="C34" t="str">
            <v>P003486</v>
          </cell>
          <cell r="D34">
            <v>469</v>
          </cell>
          <cell r="E34">
            <v>77</v>
          </cell>
          <cell r="F34">
            <v>0</v>
          </cell>
          <cell r="H34">
            <v>1</v>
          </cell>
          <cell r="I34">
            <v>180</v>
          </cell>
          <cell r="J34" t="str">
            <v>матрица</v>
          </cell>
          <cell r="L34">
            <v>88</v>
          </cell>
          <cell r="M34">
            <v>-88</v>
          </cell>
          <cell r="N34">
            <v>0</v>
          </cell>
          <cell r="O34">
            <v>0</v>
          </cell>
          <cell r="P34">
            <v>0</v>
          </cell>
          <cell r="S34">
            <v>0</v>
          </cell>
          <cell r="T34" t="e">
            <v>#DIV/0!</v>
          </cell>
          <cell r="U34" t="e">
            <v>#DIV/0!</v>
          </cell>
          <cell r="V34">
            <v>37.200000000000003</v>
          </cell>
          <cell r="W34">
            <v>13.2</v>
          </cell>
          <cell r="X34">
            <v>29.8</v>
          </cell>
          <cell r="Y34">
            <v>21.6</v>
          </cell>
          <cell r="Z34">
            <v>0</v>
          </cell>
          <cell r="AA34">
            <v>0</v>
          </cell>
          <cell r="AB34">
            <v>6</v>
          </cell>
          <cell r="AC34">
            <v>0</v>
          </cell>
          <cell r="AD34">
            <v>0</v>
          </cell>
          <cell r="AE34">
            <v>12</v>
          </cell>
          <cell r="AF34">
            <v>84</v>
          </cell>
        </row>
        <row r="35">
          <cell r="A35" t="str">
            <v>Наггетсы Хрустящие ТМ Стародворье с сочной курочкой 0,23 кг  ПОКОМ</v>
          </cell>
          <cell r="B35" t="str">
            <v>шт</v>
          </cell>
          <cell r="C35" t="str">
            <v>P005043</v>
          </cell>
          <cell r="D35">
            <v>53</v>
          </cell>
          <cell r="E35">
            <v>36</v>
          </cell>
          <cell r="F35">
            <v>38</v>
          </cell>
          <cell r="H35">
            <v>0.23</v>
          </cell>
          <cell r="L35">
            <v>71</v>
          </cell>
          <cell r="M35">
            <v>-33</v>
          </cell>
          <cell r="N35">
            <v>0</v>
          </cell>
          <cell r="O35">
            <v>240</v>
          </cell>
          <cell r="P35">
            <v>7.6</v>
          </cell>
          <cell r="S35">
            <v>0</v>
          </cell>
          <cell r="T35">
            <v>31.578947368421055</v>
          </cell>
          <cell r="U35">
            <v>0</v>
          </cell>
          <cell r="V35">
            <v>16.8</v>
          </cell>
          <cell r="W35">
            <v>17.8</v>
          </cell>
          <cell r="X35">
            <v>12.6</v>
          </cell>
          <cell r="Y35">
            <v>20.2</v>
          </cell>
          <cell r="Z35">
            <v>0</v>
          </cell>
          <cell r="AA35">
            <v>0</v>
          </cell>
          <cell r="AB35">
            <v>12</v>
          </cell>
          <cell r="AC35">
            <v>0</v>
          </cell>
          <cell r="AD35">
            <v>0</v>
          </cell>
          <cell r="AE35">
            <v>14</v>
          </cell>
          <cell r="AF35">
            <v>70</v>
          </cell>
        </row>
        <row r="36">
          <cell r="A36" t="str">
            <v>Пекерсы с индейкой в сливочном соусе ТМ Горячая штучка 0,25 кг зам  ПОКОМ</v>
          </cell>
          <cell r="B36" t="str">
            <v>шт</v>
          </cell>
          <cell r="C36" t="str">
            <v>P004594</v>
          </cell>
          <cell r="D36">
            <v>156</v>
          </cell>
          <cell r="E36">
            <v>61</v>
          </cell>
          <cell r="F36">
            <v>52</v>
          </cell>
          <cell r="G36">
            <v>106</v>
          </cell>
          <cell r="H36">
            <v>0.25</v>
          </cell>
          <cell r="I36">
            <v>180</v>
          </cell>
          <cell r="J36" t="str">
            <v>матрица</v>
          </cell>
          <cell r="L36">
            <v>53</v>
          </cell>
          <cell r="M36">
            <v>-1</v>
          </cell>
          <cell r="N36">
            <v>0</v>
          </cell>
          <cell r="O36">
            <v>0</v>
          </cell>
          <cell r="P36">
            <v>10.4</v>
          </cell>
          <cell r="Q36">
            <v>39.599999999999994</v>
          </cell>
          <cell r="S36">
            <v>0</v>
          </cell>
          <cell r="T36">
            <v>13.999999999999998</v>
          </cell>
          <cell r="U36">
            <v>10.192307692307692</v>
          </cell>
          <cell r="V36">
            <v>25.4</v>
          </cell>
          <cell r="W36">
            <v>13.6</v>
          </cell>
          <cell r="X36">
            <v>11.2</v>
          </cell>
          <cell r="Y36">
            <v>10.8</v>
          </cell>
          <cell r="Z36" t="str">
            <v>сети</v>
          </cell>
          <cell r="AA36">
            <v>9.8999999999999986</v>
          </cell>
          <cell r="AB36">
            <v>12</v>
          </cell>
          <cell r="AC36">
            <v>0</v>
          </cell>
          <cell r="AD36">
            <v>0</v>
          </cell>
          <cell r="AE36">
            <v>14</v>
          </cell>
          <cell r="AF36">
            <v>70</v>
          </cell>
        </row>
        <row r="37">
          <cell r="A37" t="str">
            <v>Пельмени Grandmeni с говядиной и свининой ТМ Горячаяштучка флоу-па классическая форма 0,7 кг.  Поком</v>
          </cell>
          <cell r="B37" t="str">
            <v>шт</v>
          </cell>
          <cell r="C37" t="str">
            <v>P004889</v>
          </cell>
          <cell r="D37">
            <v>2</v>
          </cell>
          <cell r="E37">
            <v>208</v>
          </cell>
          <cell r="F37">
            <v>95</v>
          </cell>
          <cell r="G37">
            <v>99</v>
          </cell>
          <cell r="H37">
            <v>0.7</v>
          </cell>
          <cell r="I37">
            <v>180</v>
          </cell>
          <cell r="J37" t="str">
            <v>матрица</v>
          </cell>
          <cell r="L37">
            <v>95</v>
          </cell>
          <cell r="M37">
            <v>0</v>
          </cell>
          <cell r="N37">
            <v>96</v>
          </cell>
          <cell r="O37">
            <v>0</v>
          </cell>
          <cell r="P37">
            <v>19</v>
          </cell>
          <cell r="Q37">
            <v>200</v>
          </cell>
          <cell r="R37">
            <v>200</v>
          </cell>
          <cell r="S37">
            <v>0</v>
          </cell>
          <cell r="T37">
            <v>15.736842105263158</v>
          </cell>
          <cell r="U37">
            <v>5.2105263157894735</v>
          </cell>
          <cell r="V37">
            <v>11.8</v>
          </cell>
          <cell r="W37">
            <v>19.600000000000001</v>
          </cell>
          <cell r="X37">
            <v>14</v>
          </cell>
          <cell r="Y37">
            <v>5.6</v>
          </cell>
          <cell r="Z37">
            <v>0</v>
          </cell>
          <cell r="AA37">
            <v>140</v>
          </cell>
          <cell r="AB37">
            <v>8</v>
          </cell>
          <cell r="AC37">
            <v>24</v>
          </cell>
          <cell r="AD37">
            <v>134.39999999999998</v>
          </cell>
          <cell r="AE37">
            <v>12</v>
          </cell>
          <cell r="AF37">
            <v>84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 t="str">
            <v>P004887</v>
          </cell>
          <cell r="D38">
            <v>105</v>
          </cell>
          <cell r="E38">
            <v>17</v>
          </cell>
          <cell r="F38">
            <v>58</v>
          </cell>
          <cell r="G38">
            <v>42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58</v>
          </cell>
          <cell r="M38">
            <v>0</v>
          </cell>
          <cell r="N38">
            <v>0</v>
          </cell>
          <cell r="O38">
            <v>50</v>
          </cell>
          <cell r="P38">
            <v>11.6</v>
          </cell>
          <cell r="Q38">
            <v>100</v>
          </cell>
          <cell r="R38">
            <v>100</v>
          </cell>
          <cell r="S38">
            <v>0</v>
          </cell>
          <cell r="T38">
            <v>16.551724137931036</v>
          </cell>
          <cell r="U38">
            <v>3.6206896551724137</v>
          </cell>
          <cell r="V38">
            <v>14.2</v>
          </cell>
          <cell r="W38">
            <v>18.600000000000001</v>
          </cell>
          <cell r="X38">
            <v>15.4</v>
          </cell>
          <cell r="Y38">
            <v>14</v>
          </cell>
          <cell r="Z38">
            <v>0</v>
          </cell>
          <cell r="AA38">
            <v>70</v>
          </cell>
          <cell r="AB38">
            <v>8</v>
          </cell>
          <cell r="AC38">
            <v>12</v>
          </cell>
          <cell r="AD38">
            <v>67.199999999999989</v>
          </cell>
          <cell r="AE38">
            <v>12</v>
          </cell>
          <cell r="AF38">
            <v>84</v>
          </cell>
        </row>
        <row r="39">
          <cell r="A39" t="str">
            <v>Пельмени Grandmeni со сливочным маслом  ТМ Горячая штучка флоу-пак сфера 0,7 кг.  Поком</v>
          </cell>
          <cell r="B39" t="str">
            <v>шт</v>
          </cell>
          <cell r="C39" t="str">
            <v>P004888</v>
          </cell>
          <cell r="D39">
            <v>107</v>
          </cell>
          <cell r="E39">
            <v>7</v>
          </cell>
          <cell r="F39">
            <v>76</v>
          </cell>
          <cell r="G39">
            <v>30</v>
          </cell>
          <cell r="H39">
            <v>0.7</v>
          </cell>
          <cell r="I39">
            <v>365</v>
          </cell>
          <cell r="J39" t="str">
            <v>матрица</v>
          </cell>
          <cell r="L39">
            <v>76</v>
          </cell>
          <cell r="M39">
            <v>0</v>
          </cell>
          <cell r="N39">
            <v>0</v>
          </cell>
          <cell r="O39">
            <v>160</v>
          </cell>
          <cell r="P39">
            <v>15.2</v>
          </cell>
          <cell r="Q39">
            <v>120</v>
          </cell>
          <cell r="R39">
            <v>120</v>
          </cell>
          <cell r="S39">
            <v>0</v>
          </cell>
          <cell r="T39">
            <v>20.394736842105264</v>
          </cell>
          <cell r="U39">
            <v>1.9736842105263159</v>
          </cell>
          <cell r="V39">
            <v>17</v>
          </cell>
          <cell r="W39">
            <v>17.600000000000001</v>
          </cell>
          <cell r="X39">
            <v>18.600000000000001</v>
          </cell>
          <cell r="Y39">
            <v>22.4</v>
          </cell>
          <cell r="Z39">
            <v>0</v>
          </cell>
          <cell r="AA39">
            <v>84</v>
          </cell>
          <cell r="AB39">
            <v>8</v>
          </cell>
          <cell r="AC39">
            <v>12</v>
          </cell>
          <cell r="AD39">
            <v>67.199999999999989</v>
          </cell>
          <cell r="AE39">
            <v>12</v>
          </cell>
          <cell r="AF39">
            <v>84</v>
          </cell>
        </row>
        <row r="40">
          <cell r="A40" t="str">
            <v>Пельмени Бигбули #МЕГАВКУСИЩЕ с сочной грудинкой  ТМ Горячая штучка  флоу-пак сфера 0,7 кг.  Поком</v>
          </cell>
          <cell r="B40" t="str">
            <v>шт</v>
          </cell>
          <cell r="C40" t="str">
            <v>P004440</v>
          </cell>
          <cell r="D40">
            <v>11</v>
          </cell>
          <cell r="E40">
            <v>428</v>
          </cell>
          <cell r="F40">
            <v>119</v>
          </cell>
          <cell r="G40">
            <v>-5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175</v>
          </cell>
          <cell r="M40">
            <v>-56</v>
          </cell>
          <cell r="N40">
            <v>0</v>
          </cell>
          <cell r="O40">
            <v>300</v>
          </cell>
          <cell r="P40">
            <v>23.8</v>
          </cell>
          <cell r="Q40">
            <v>600</v>
          </cell>
          <cell r="R40">
            <v>600</v>
          </cell>
          <cell r="S40">
            <v>0</v>
          </cell>
          <cell r="T40">
            <v>37.605042016806721</v>
          </cell>
          <cell r="U40">
            <v>-0.21008403361344538</v>
          </cell>
          <cell r="V40">
            <v>43.2</v>
          </cell>
          <cell r="W40">
            <v>35.6</v>
          </cell>
          <cell r="X40">
            <v>29.8</v>
          </cell>
          <cell r="Y40">
            <v>34.6</v>
          </cell>
          <cell r="Z40">
            <v>0</v>
          </cell>
          <cell r="AA40">
            <v>420</v>
          </cell>
          <cell r="AB40">
            <v>10</v>
          </cell>
          <cell r="AC40">
            <v>60</v>
          </cell>
          <cell r="AD40">
            <v>420</v>
          </cell>
          <cell r="AE40">
            <v>12</v>
          </cell>
          <cell r="AF40">
            <v>84</v>
          </cell>
        </row>
        <row r="41">
          <cell r="A41" t="str">
            <v>Пельмени Бигбули с мясом ТМ Горячая штучка БУЛЬМЕНИ ТС Бигбули ГШ  флоу-пак сфера 0,7.   Поком</v>
          </cell>
          <cell r="B41" t="str">
            <v>шт</v>
          </cell>
          <cell r="C41" t="str">
            <v>P004442</v>
          </cell>
          <cell r="D41">
            <v>70</v>
          </cell>
          <cell r="E41">
            <v>252</v>
          </cell>
          <cell r="F41">
            <v>119</v>
          </cell>
          <cell r="G41">
            <v>111</v>
          </cell>
          <cell r="H41">
            <v>0.7</v>
          </cell>
          <cell r="I41">
            <v>180</v>
          </cell>
          <cell r="J41" t="str">
            <v>матрица</v>
          </cell>
          <cell r="L41">
            <v>120</v>
          </cell>
          <cell r="M41">
            <v>-1</v>
          </cell>
          <cell r="N41">
            <v>240</v>
          </cell>
          <cell r="O41">
            <v>40</v>
          </cell>
          <cell r="P41">
            <v>23.8</v>
          </cell>
          <cell r="Q41">
            <v>160</v>
          </cell>
          <cell r="S41">
            <v>0</v>
          </cell>
          <cell r="T41">
            <v>13.067226890756302</v>
          </cell>
          <cell r="U41">
            <v>4.6638655462184868</v>
          </cell>
          <cell r="V41">
            <v>19.600000000000001</v>
          </cell>
          <cell r="W41">
            <v>31.2</v>
          </cell>
          <cell r="X41">
            <v>31.4</v>
          </cell>
          <cell r="Y41">
            <v>24.6</v>
          </cell>
          <cell r="Z41">
            <v>0</v>
          </cell>
          <cell r="AA41">
            <v>112</v>
          </cell>
          <cell r="AB41">
            <v>10</v>
          </cell>
          <cell r="AC41">
            <v>12</v>
          </cell>
          <cell r="AD41">
            <v>84</v>
          </cell>
          <cell r="AE41">
            <v>12</v>
          </cell>
          <cell r="AF41">
            <v>84</v>
          </cell>
        </row>
        <row r="42">
          <cell r="A42" t="str">
            <v>Пельмени Бигбули со сливочным маслом  ТС Бигбули ГШ#МЕГАМАСЛИЩЕ флоу-пак сфера 0,7.  Поком</v>
          </cell>
          <cell r="B42" t="str">
            <v>шт</v>
          </cell>
          <cell r="C42" t="str">
            <v>P004203</v>
          </cell>
          <cell r="D42">
            <v>523</v>
          </cell>
          <cell r="E42">
            <v>243</v>
          </cell>
          <cell r="F42">
            <v>225</v>
          </cell>
          <cell r="G42">
            <v>439</v>
          </cell>
          <cell r="H42">
            <v>0.7</v>
          </cell>
          <cell r="I42">
            <v>365</v>
          </cell>
          <cell r="L42">
            <v>243</v>
          </cell>
          <cell r="M42">
            <v>-18</v>
          </cell>
          <cell r="N42">
            <v>0</v>
          </cell>
          <cell r="O42">
            <v>0</v>
          </cell>
          <cell r="P42">
            <v>45</v>
          </cell>
          <cell r="Q42">
            <v>160</v>
          </cell>
          <cell r="S42">
            <v>0</v>
          </cell>
          <cell r="T42">
            <v>13.311111111111112</v>
          </cell>
          <cell r="U42">
            <v>9.7555555555555564</v>
          </cell>
          <cell r="V42">
            <v>46.6</v>
          </cell>
          <cell r="W42">
            <v>50</v>
          </cell>
          <cell r="X42">
            <v>59.6</v>
          </cell>
          <cell r="Y42">
            <v>42.2</v>
          </cell>
          <cell r="Z42">
            <v>0</v>
          </cell>
          <cell r="AA42">
            <v>112</v>
          </cell>
          <cell r="AB42">
            <v>10</v>
          </cell>
          <cell r="AC42">
            <v>12</v>
          </cell>
          <cell r="AD42">
            <v>84</v>
          </cell>
          <cell r="AE42">
            <v>12</v>
          </cell>
          <cell r="AF42">
            <v>84</v>
          </cell>
        </row>
        <row r="43">
          <cell r="A43" t="str">
            <v>Пельмени Бульмени мини с мясом и оливковым маслом  ТС Бульмени ГШ флоу-пак сфера 0,7кг  Поком</v>
          </cell>
          <cell r="B43" t="str">
            <v>шт</v>
          </cell>
          <cell r="C43" t="str">
            <v>P004819</v>
          </cell>
          <cell r="D43">
            <v>124</v>
          </cell>
          <cell r="E43">
            <v>68</v>
          </cell>
          <cell r="F43">
            <v>94</v>
          </cell>
          <cell r="G43">
            <v>36</v>
          </cell>
          <cell r="H43">
            <v>0.7</v>
          </cell>
          <cell r="I43">
            <v>180</v>
          </cell>
          <cell r="J43" t="str">
            <v>матрица</v>
          </cell>
          <cell r="L43">
            <v>93</v>
          </cell>
          <cell r="M43">
            <v>1</v>
          </cell>
          <cell r="N43">
            <v>0</v>
          </cell>
          <cell r="O43">
            <v>260</v>
          </cell>
          <cell r="P43">
            <v>18.8</v>
          </cell>
          <cell r="Q43">
            <v>250</v>
          </cell>
          <cell r="R43">
            <v>250</v>
          </cell>
          <cell r="S43">
            <v>0</v>
          </cell>
          <cell r="T43">
            <v>29.042553191489361</v>
          </cell>
          <cell r="U43">
            <v>1.9148936170212765</v>
          </cell>
          <cell r="V43">
            <v>17.600000000000001</v>
          </cell>
          <cell r="W43">
            <v>12.4</v>
          </cell>
          <cell r="X43">
            <v>12</v>
          </cell>
          <cell r="Y43">
            <v>27.4</v>
          </cell>
          <cell r="Z43">
            <v>0</v>
          </cell>
          <cell r="AA43">
            <v>175</v>
          </cell>
          <cell r="AB43">
            <v>10</v>
          </cell>
          <cell r="AC43">
            <v>24</v>
          </cell>
          <cell r="AD43">
            <v>168</v>
          </cell>
          <cell r="AE43">
            <v>12</v>
          </cell>
          <cell r="AF43">
            <v>84</v>
          </cell>
        </row>
        <row r="44">
          <cell r="A44" t="str">
            <v>Пельмени Бульмени с говядиной и свининой Наваристые Горячая штучка ВЕС  ПОКОМ</v>
          </cell>
          <cell r="B44" t="str">
            <v>кг</v>
          </cell>
          <cell r="C44" t="str">
            <v>P003697</v>
          </cell>
          <cell r="D44">
            <v>120</v>
          </cell>
          <cell r="E44">
            <v>560</v>
          </cell>
          <cell r="F44">
            <v>385</v>
          </cell>
          <cell r="G44">
            <v>155</v>
          </cell>
          <cell r="H44">
            <v>1</v>
          </cell>
          <cell r="I44">
            <v>180</v>
          </cell>
          <cell r="J44" t="str">
            <v>матрица</v>
          </cell>
          <cell r="L44">
            <v>395</v>
          </cell>
          <cell r="M44">
            <v>-10</v>
          </cell>
          <cell r="N44">
            <v>0</v>
          </cell>
          <cell r="O44">
            <v>720</v>
          </cell>
          <cell r="P44">
            <v>77</v>
          </cell>
          <cell r="Q44">
            <v>300</v>
          </cell>
          <cell r="R44">
            <v>300</v>
          </cell>
          <cell r="S44">
            <v>0</v>
          </cell>
          <cell r="T44">
            <v>15.25974025974026</v>
          </cell>
          <cell r="U44">
            <v>2.0129870129870131</v>
          </cell>
          <cell r="V44">
            <v>76</v>
          </cell>
          <cell r="W44">
            <v>73</v>
          </cell>
          <cell r="X44">
            <v>77</v>
          </cell>
          <cell r="Y44">
            <v>89</v>
          </cell>
          <cell r="Z44">
            <v>0</v>
          </cell>
          <cell r="AA44">
            <v>300</v>
          </cell>
          <cell r="AB44">
            <v>5</v>
          </cell>
          <cell r="AC44">
            <v>60</v>
          </cell>
          <cell r="AD44">
            <v>300</v>
          </cell>
          <cell r="AE44">
            <v>12</v>
          </cell>
          <cell r="AF44">
            <v>144</v>
          </cell>
        </row>
        <row r="45">
          <cell r="A45" t="str">
            <v>Пельмени Бульмени с говядиной и свининой ТМ Горячая штучка  флоу-пак сфера 0,4 кг  Поком</v>
          </cell>
          <cell r="B45" t="str">
            <v>шт</v>
          </cell>
          <cell r="C45" t="str">
            <v>P004474</v>
          </cell>
          <cell r="E45">
            <v>17</v>
          </cell>
          <cell r="F45">
            <v>0</v>
          </cell>
          <cell r="H45">
            <v>0.4</v>
          </cell>
          <cell r="I45">
            <v>180</v>
          </cell>
          <cell r="L45">
            <v>200</v>
          </cell>
          <cell r="M45">
            <v>-200</v>
          </cell>
          <cell r="N45">
            <v>768</v>
          </cell>
          <cell r="O45">
            <v>900</v>
          </cell>
          <cell r="P45">
            <v>0</v>
          </cell>
          <cell r="Q45">
            <v>560</v>
          </cell>
          <cell r="R45">
            <v>562</v>
          </cell>
          <cell r="S45">
            <v>0</v>
          </cell>
          <cell r="T45" t="e">
            <v>#DIV/0!</v>
          </cell>
          <cell r="U45" t="e">
            <v>#DIV/0!</v>
          </cell>
          <cell r="V45">
            <v>22.8</v>
          </cell>
          <cell r="W45">
            <v>52.8</v>
          </cell>
          <cell r="X45">
            <v>19.600000000000001</v>
          </cell>
          <cell r="Y45">
            <v>63.8</v>
          </cell>
          <cell r="Z45">
            <v>0</v>
          </cell>
          <cell r="AA45">
            <v>224</v>
          </cell>
          <cell r="AB45">
            <v>16</v>
          </cell>
          <cell r="AC45">
            <v>36</v>
          </cell>
          <cell r="AD45">
            <v>230.4</v>
          </cell>
          <cell r="AE45">
            <v>12</v>
          </cell>
          <cell r="AF45">
            <v>84</v>
          </cell>
        </row>
        <row r="46">
          <cell r="A46" t="str">
            <v>Пельмени Бульмени с говядиной и свининой ТМ Горячая штучка БУЛЬМЕНИ  флоу-пак сфера 0,7 кг.  Поком</v>
          </cell>
          <cell r="B46" t="str">
            <v>шт</v>
          </cell>
          <cell r="C46" t="str">
            <v>P004345</v>
          </cell>
          <cell r="D46">
            <v>465</v>
          </cell>
          <cell r="E46">
            <v>496</v>
          </cell>
          <cell r="F46">
            <v>449</v>
          </cell>
          <cell r="G46">
            <v>27</v>
          </cell>
          <cell r="H46">
            <v>0.7</v>
          </cell>
          <cell r="I46">
            <v>180</v>
          </cell>
          <cell r="L46">
            <v>464</v>
          </cell>
          <cell r="M46">
            <v>-15</v>
          </cell>
          <cell r="N46">
            <v>120</v>
          </cell>
          <cell r="O46">
            <v>1300</v>
          </cell>
          <cell r="P46">
            <v>89.8</v>
          </cell>
          <cell r="Q46">
            <v>900</v>
          </cell>
          <cell r="R46">
            <v>1000</v>
          </cell>
          <cell r="S46">
            <v>0</v>
          </cell>
          <cell r="T46">
            <v>24.799554565701559</v>
          </cell>
          <cell r="U46">
            <v>0.30066815144766146</v>
          </cell>
          <cell r="V46">
            <v>103.2</v>
          </cell>
          <cell r="W46">
            <v>110.8</v>
          </cell>
          <cell r="X46">
            <v>82.8</v>
          </cell>
          <cell r="Y46">
            <v>129.6</v>
          </cell>
          <cell r="Z46" t="str">
            <v>Мера</v>
          </cell>
          <cell r="AA46">
            <v>630</v>
          </cell>
          <cell r="AB46">
            <v>10</v>
          </cell>
          <cell r="AC46">
            <v>96</v>
          </cell>
          <cell r="AD46">
            <v>672</v>
          </cell>
          <cell r="AE46">
            <v>12</v>
          </cell>
          <cell r="AF46">
            <v>84</v>
          </cell>
        </row>
        <row r="47">
          <cell r="A47" t="str">
            <v>Пельмени Бульмени со сливочным маслом ТМ Горячая штучка  флоу-пак сфера 0,4 кг .  Поком</v>
          </cell>
          <cell r="B47" t="str">
            <v>шт</v>
          </cell>
          <cell r="C47" t="str">
            <v>P004444</v>
          </cell>
          <cell r="D47">
            <v>231</v>
          </cell>
          <cell r="E47">
            <v>562</v>
          </cell>
          <cell r="F47">
            <v>258</v>
          </cell>
          <cell r="G47">
            <v>168</v>
          </cell>
          <cell r="H47">
            <v>0.4</v>
          </cell>
          <cell r="I47">
            <v>180</v>
          </cell>
          <cell r="J47" t="str">
            <v>матрица</v>
          </cell>
          <cell r="L47">
            <v>259</v>
          </cell>
          <cell r="M47">
            <v>-1</v>
          </cell>
          <cell r="N47">
            <v>0</v>
          </cell>
          <cell r="O47">
            <v>700</v>
          </cell>
          <cell r="P47">
            <v>51.6</v>
          </cell>
          <cell r="Q47">
            <v>600</v>
          </cell>
          <cell r="R47">
            <v>662</v>
          </cell>
          <cell r="S47">
            <v>0</v>
          </cell>
          <cell r="T47">
            <v>28.449612403100776</v>
          </cell>
          <cell r="U47">
            <v>3.2558139534883721</v>
          </cell>
          <cell r="V47">
            <v>44.2</v>
          </cell>
          <cell r="W47">
            <v>50.4</v>
          </cell>
          <cell r="X47">
            <v>52.6</v>
          </cell>
          <cell r="Y47">
            <v>75.599999999999994</v>
          </cell>
          <cell r="Z47">
            <v>0</v>
          </cell>
          <cell r="AA47">
            <v>240</v>
          </cell>
          <cell r="AB47">
            <v>16</v>
          </cell>
          <cell r="AC47">
            <v>36</v>
          </cell>
          <cell r="AD47">
            <v>230.4</v>
          </cell>
          <cell r="AE47">
            <v>12</v>
          </cell>
          <cell r="AF47">
            <v>84</v>
          </cell>
        </row>
        <row r="48">
          <cell r="A48" t="str">
            <v>Пельмени Бульмени со сливочным маслом ТМ Горячая штучка флоу-пак сфера 0,7 кг .  Поком</v>
          </cell>
          <cell r="B48" t="str">
            <v>шт</v>
          </cell>
          <cell r="C48" t="str">
            <v>P004346</v>
          </cell>
          <cell r="D48">
            <v>1058</v>
          </cell>
          <cell r="E48">
            <v>520</v>
          </cell>
          <cell r="F48">
            <v>882</v>
          </cell>
          <cell r="G48">
            <v>429</v>
          </cell>
          <cell r="H48">
            <v>0.7</v>
          </cell>
          <cell r="I48">
            <v>180</v>
          </cell>
          <cell r="J48" t="str">
            <v>матрица</v>
          </cell>
          <cell r="L48">
            <v>841</v>
          </cell>
          <cell r="M48">
            <v>41</v>
          </cell>
          <cell r="N48">
            <v>0</v>
          </cell>
          <cell r="O48">
            <v>1450</v>
          </cell>
          <cell r="P48">
            <v>176.4</v>
          </cell>
          <cell r="Q48">
            <v>700</v>
          </cell>
          <cell r="R48">
            <v>700</v>
          </cell>
          <cell r="S48">
            <v>0</v>
          </cell>
          <cell r="T48">
            <v>14.620181405895691</v>
          </cell>
          <cell r="U48">
            <v>2.4319727891156462</v>
          </cell>
          <cell r="V48">
            <v>185.2</v>
          </cell>
          <cell r="W48">
            <v>167</v>
          </cell>
          <cell r="X48">
            <v>129.19999999999999</v>
          </cell>
          <cell r="Y48">
            <v>190.8</v>
          </cell>
          <cell r="Z48" t="str">
            <v>сети</v>
          </cell>
          <cell r="AA48">
            <v>489.99999999999994</v>
          </cell>
          <cell r="AB48">
            <v>10</v>
          </cell>
          <cell r="AC48">
            <v>72</v>
          </cell>
          <cell r="AD48">
            <v>503.99999999999994</v>
          </cell>
          <cell r="AE48">
            <v>12</v>
          </cell>
          <cell r="AF48">
            <v>84</v>
          </cell>
        </row>
        <row r="49">
          <cell r="A49" t="str">
            <v>Пельмени Домашние со сливочным маслом ТМ Зареченские  продукты флоу-пак сфера 0,7 кг.  Поком</v>
          </cell>
          <cell r="B49" t="str">
            <v>шт</v>
          </cell>
          <cell r="C49" t="str">
            <v>P004060</v>
          </cell>
          <cell r="D49">
            <v>-1</v>
          </cell>
          <cell r="E49">
            <v>339</v>
          </cell>
          <cell r="F49">
            <v>248</v>
          </cell>
          <cell r="H49">
            <v>0.7</v>
          </cell>
          <cell r="I49">
            <v>180</v>
          </cell>
          <cell r="J49" t="str">
            <v>матрица</v>
          </cell>
          <cell r="L49">
            <v>255</v>
          </cell>
          <cell r="M49">
            <v>-7</v>
          </cell>
          <cell r="N49">
            <v>120</v>
          </cell>
          <cell r="O49">
            <v>300</v>
          </cell>
          <cell r="P49">
            <v>49.6</v>
          </cell>
          <cell r="Q49">
            <v>500</v>
          </cell>
          <cell r="R49">
            <v>500</v>
          </cell>
          <cell r="S49">
            <v>0</v>
          </cell>
          <cell r="T49">
            <v>16.129032258064516</v>
          </cell>
          <cell r="U49">
            <v>0</v>
          </cell>
          <cell r="V49">
            <v>68</v>
          </cell>
          <cell r="W49">
            <v>108.8</v>
          </cell>
          <cell r="X49">
            <v>67.8</v>
          </cell>
          <cell r="Y49">
            <v>37.799999999999997</v>
          </cell>
          <cell r="Z49" t="str">
            <v>остатки?</v>
          </cell>
          <cell r="AA49">
            <v>350</v>
          </cell>
          <cell r="AB49">
            <v>10</v>
          </cell>
          <cell r="AC49">
            <v>48</v>
          </cell>
          <cell r="AD49">
            <v>336</v>
          </cell>
          <cell r="AE49">
            <v>12</v>
          </cell>
          <cell r="AF49">
            <v>84</v>
          </cell>
        </row>
        <row r="50">
          <cell r="A50" t="str">
            <v>Пельмени Мясные с говядиной ТМ Стародворье сфера флоу-пак 1 кг  ПОКОМ</v>
          </cell>
          <cell r="B50" t="str">
            <v>шт</v>
          </cell>
          <cell r="C50" t="str">
            <v>P005048</v>
          </cell>
          <cell r="D50">
            <v>292</v>
          </cell>
          <cell r="E50">
            <v>10</v>
          </cell>
          <cell r="F50">
            <v>156</v>
          </cell>
          <cell r="G50">
            <v>134</v>
          </cell>
          <cell r="H50">
            <v>1</v>
          </cell>
          <cell r="I50">
            <v>180</v>
          </cell>
          <cell r="J50" t="str">
            <v>матрица</v>
          </cell>
          <cell r="L50">
            <v>146</v>
          </cell>
          <cell r="M50">
            <v>10</v>
          </cell>
          <cell r="N50">
            <v>0</v>
          </cell>
          <cell r="O50">
            <v>250</v>
          </cell>
          <cell r="P50">
            <v>31.2</v>
          </cell>
          <cell r="Q50">
            <v>100</v>
          </cell>
          <cell r="R50">
            <v>100</v>
          </cell>
          <cell r="S50">
            <v>0</v>
          </cell>
          <cell r="T50">
            <v>15.512820512820513</v>
          </cell>
          <cell r="U50">
            <v>4.2948717948717947</v>
          </cell>
          <cell r="V50">
            <v>35.4</v>
          </cell>
          <cell r="W50">
            <v>42</v>
          </cell>
          <cell r="X50">
            <v>30.8</v>
          </cell>
          <cell r="Y50">
            <v>38.799999999999997</v>
          </cell>
          <cell r="Z50">
            <v>0</v>
          </cell>
          <cell r="AA50">
            <v>100</v>
          </cell>
          <cell r="AB50">
            <v>5</v>
          </cell>
          <cell r="AC50">
            <v>24</v>
          </cell>
          <cell r="AD50">
            <v>120</v>
          </cell>
          <cell r="AE50">
            <v>12</v>
          </cell>
          <cell r="AF50">
            <v>84</v>
          </cell>
        </row>
        <row r="51">
          <cell r="A51" t="str">
            <v>Пельмени Отборные из свинины и говядины 0,9 кг ТМ Стародворье ТС Медвежье ушко  ПОКОМ</v>
          </cell>
          <cell r="B51" t="str">
            <v>шт</v>
          </cell>
          <cell r="C51" t="str">
            <v>P005107</v>
          </cell>
          <cell r="D51">
            <v>218</v>
          </cell>
          <cell r="E51">
            <v>17</v>
          </cell>
          <cell r="F51">
            <v>113</v>
          </cell>
          <cell r="G51">
            <v>113</v>
          </cell>
          <cell r="H51">
            <v>0.9</v>
          </cell>
          <cell r="I51">
            <v>180</v>
          </cell>
          <cell r="J51" t="str">
            <v>матрица</v>
          </cell>
          <cell r="L51">
            <v>113</v>
          </cell>
          <cell r="M51">
            <v>0</v>
          </cell>
          <cell r="N51">
            <v>0</v>
          </cell>
          <cell r="O51">
            <v>50</v>
          </cell>
          <cell r="P51">
            <v>22.6</v>
          </cell>
          <cell r="Q51">
            <v>140</v>
          </cell>
          <cell r="S51">
            <v>0</v>
          </cell>
          <cell r="T51">
            <v>13.407079646017698</v>
          </cell>
          <cell r="U51">
            <v>5</v>
          </cell>
          <cell r="V51">
            <v>19.2</v>
          </cell>
          <cell r="W51">
            <v>12.2</v>
          </cell>
          <cell r="X51">
            <v>23</v>
          </cell>
          <cell r="Y51">
            <v>19</v>
          </cell>
          <cell r="Z51" t="str">
            <v>сети</v>
          </cell>
          <cell r="AA51">
            <v>126</v>
          </cell>
          <cell r="AB51">
            <v>8</v>
          </cell>
          <cell r="AC51">
            <v>12</v>
          </cell>
          <cell r="AD51">
            <v>86.4</v>
          </cell>
          <cell r="AE51">
            <v>12</v>
          </cell>
          <cell r="AF51">
            <v>84</v>
          </cell>
        </row>
        <row r="52">
          <cell r="A52" t="str">
            <v>Пельмени Отборные с говядиной 0,9 кг НОВА ТМ Стародворье ТС Медвежье ушко  ПОКОМ</v>
          </cell>
          <cell r="B52" t="str">
            <v>шт</v>
          </cell>
          <cell r="C52" t="str">
            <v>P005103</v>
          </cell>
          <cell r="D52">
            <v>104</v>
          </cell>
          <cell r="E52">
            <v>11</v>
          </cell>
          <cell r="F52">
            <v>29</v>
          </cell>
          <cell r="G52">
            <v>68</v>
          </cell>
          <cell r="H52">
            <v>0.9</v>
          </cell>
          <cell r="I52">
            <v>180</v>
          </cell>
          <cell r="J52" t="str">
            <v>матрица</v>
          </cell>
          <cell r="L52">
            <v>29</v>
          </cell>
          <cell r="M52">
            <v>0</v>
          </cell>
          <cell r="N52">
            <v>0</v>
          </cell>
          <cell r="O52">
            <v>120</v>
          </cell>
          <cell r="P52">
            <v>5.8</v>
          </cell>
          <cell r="S52">
            <v>0</v>
          </cell>
          <cell r="T52">
            <v>32.413793103448278</v>
          </cell>
          <cell r="U52">
            <v>11.724137931034484</v>
          </cell>
          <cell r="V52">
            <v>19</v>
          </cell>
          <cell r="W52">
            <v>11.8</v>
          </cell>
          <cell r="X52">
            <v>12</v>
          </cell>
          <cell r="Y52">
            <v>16</v>
          </cell>
          <cell r="Z52">
            <v>0</v>
          </cell>
          <cell r="AA52">
            <v>0</v>
          </cell>
          <cell r="AB52">
            <v>8</v>
          </cell>
          <cell r="AC52">
            <v>0</v>
          </cell>
          <cell r="AD52">
            <v>0</v>
          </cell>
          <cell r="AE52">
            <v>12</v>
          </cell>
          <cell r="AF52">
            <v>84</v>
          </cell>
        </row>
        <row r="53">
          <cell r="A53" t="str">
            <v>Пельмени С говядиной и свининой, ВЕС, ТМ Славница сфера пуговки  ПОКОМ</v>
          </cell>
          <cell r="B53" t="str">
            <v>кг</v>
          </cell>
          <cell r="C53" t="str">
            <v>P004472</v>
          </cell>
          <cell r="E53">
            <v>1230</v>
          </cell>
          <cell r="F53">
            <v>750</v>
          </cell>
          <cell r="G53">
            <v>275</v>
          </cell>
          <cell r="H53">
            <v>1</v>
          </cell>
          <cell r="I53">
            <v>180</v>
          </cell>
          <cell r="J53" t="str">
            <v>матрица</v>
          </cell>
          <cell r="L53">
            <v>755</v>
          </cell>
          <cell r="M53">
            <v>-5</v>
          </cell>
          <cell r="N53">
            <v>0</v>
          </cell>
          <cell r="O53">
            <v>0</v>
          </cell>
          <cell r="P53">
            <v>150</v>
          </cell>
          <cell r="Q53">
            <v>1400</v>
          </cell>
          <cell r="S53">
            <v>0</v>
          </cell>
          <cell r="T53">
            <v>11.166666666666666</v>
          </cell>
          <cell r="U53">
            <v>1.8333333333333333</v>
          </cell>
          <cell r="V53">
            <v>110</v>
          </cell>
          <cell r="W53">
            <v>116</v>
          </cell>
          <cell r="X53">
            <v>99</v>
          </cell>
          <cell r="Y53">
            <v>9</v>
          </cell>
          <cell r="Z53">
            <v>0</v>
          </cell>
          <cell r="AA53">
            <v>1400</v>
          </cell>
          <cell r="AB53">
            <v>5</v>
          </cell>
          <cell r="AC53">
            <v>276</v>
          </cell>
          <cell r="AD53">
            <v>1380</v>
          </cell>
          <cell r="AE53">
            <v>12</v>
          </cell>
          <cell r="AF53">
            <v>144</v>
          </cell>
        </row>
        <row r="54">
          <cell r="A54" t="str">
            <v>Пельмени Со свининой и говядиной ТМ Особый рецепт Любимая ложка 1,0 кг  ПОКОМ</v>
          </cell>
          <cell r="B54" t="str">
            <v>шт</v>
          </cell>
          <cell r="C54" t="str">
            <v>P004081</v>
          </cell>
          <cell r="D54">
            <v>828</v>
          </cell>
          <cell r="E54">
            <v>147</v>
          </cell>
          <cell r="F54">
            <v>206</v>
          </cell>
          <cell r="G54">
            <v>619</v>
          </cell>
          <cell r="H54">
            <v>1</v>
          </cell>
          <cell r="I54">
            <v>180</v>
          </cell>
          <cell r="J54" t="str">
            <v>матрица</v>
          </cell>
          <cell r="L54">
            <v>206</v>
          </cell>
          <cell r="M54">
            <v>0</v>
          </cell>
          <cell r="N54">
            <v>0</v>
          </cell>
          <cell r="O54">
            <v>0</v>
          </cell>
          <cell r="P54">
            <v>41.2</v>
          </cell>
          <cell r="S54">
            <v>0</v>
          </cell>
          <cell r="T54">
            <v>15.024271844660193</v>
          </cell>
          <cell r="U54">
            <v>15.024271844660193</v>
          </cell>
          <cell r="V54">
            <v>35.6</v>
          </cell>
          <cell r="W54">
            <v>26.6</v>
          </cell>
          <cell r="X54">
            <v>35.4</v>
          </cell>
          <cell r="Y54">
            <v>33.200000000000003</v>
          </cell>
          <cell r="Z54">
            <v>0</v>
          </cell>
          <cell r="AA54">
            <v>0</v>
          </cell>
          <cell r="AB54">
            <v>5</v>
          </cell>
          <cell r="AC54">
            <v>0</v>
          </cell>
          <cell r="AD54">
            <v>0</v>
          </cell>
          <cell r="AE54">
            <v>12</v>
          </cell>
          <cell r="AF54">
            <v>84</v>
          </cell>
        </row>
        <row r="55">
          <cell r="A55" t="str">
            <v>Пирожки с мясом 3,7кг ВЕС ТМ Зареченские  ПОКОМ</v>
          </cell>
          <cell r="B55" t="str">
            <v>кг</v>
          </cell>
          <cell r="C55" t="str">
            <v>P004359</v>
          </cell>
          <cell r="D55">
            <v>-27.2</v>
          </cell>
          <cell r="E55">
            <v>27.2</v>
          </cell>
          <cell r="F55">
            <v>0</v>
          </cell>
          <cell r="H55">
            <v>1</v>
          </cell>
          <cell r="I55">
            <v>180</v>
          </cell>
          <cell r="J55" t="str">
            <v>матрица</v>
          </cell>
          <cell r="L55">
            <v>7.4</v>
          </cell>
          <cell r="M55">
            <v>-7.4</v>
          </cell>
          <cell r="N55">
            <v>466.2</v>
          </cell>
          <cell r="O55">
            <v>20</v>
          </cell>
          <cell r="P55">
            <v>0</v>
          </cell>
          <cell r="Q55">
            <v>50</v>
          </cell>
          <cell r="R55">
            <v>50</v>
          </cell>
          <cell r="S55">
            <v>0</v>
          </cell>
          <cell r="T55" t="e">
            <v>#DIV/0!</v>
          </cell>
          <cell r="U55" t="e">
            <v>#DIV/0!</v>
          </cell>
          <cell r="V55">
            <v>2.2199999999999998</v>
          </cell>
          <cell r="W55">
            <v>2.2199999999999998</v>
          </cell>
          <cell r="X55">
            <v>5.2</v>
          </cell>
          <cell r="Y55">
            <v>1.48</v>
          </cell>
          <cell r="Z55" t="str">
            <v>остатки?</v>
          </cell>
          <cell r="AA55">
            <v>50</v>
          </cell>
          <cell r="AB55">
            <v>3.7</v>
          </cell>
          <cell r="AC55">
            <v>14</v>
          </cell>
          <cell r="AD55">
            <v>51.800000000000004</v>
          </cell>
          <cell r="AE55">
            <v>14</v>
          </cell>
          <cell r="AF55">
            <v>126</v>
          </cell>
        </row>
        <row r="56">
          <cell r="A56" t="str">
            <v>Хотстеры Васаби-чили ТМ Горячая штучка ТС Хотстеры 0,23кг жареные ПОКОМ</v>
          </cell>
          <cell r="B56" t="str">
            <v>шт</v>
          </cell>
          <cell r="C56" t="str">
            <v>P005182</v>
          </cell>
          <cell r="D56">
            <v>490</v>
          </cell>
          <cell r="E56">
            <v>22</v>
          </cell>
          <cell r="F56">
            <v>105</v>
          </cell>
          <cell r="G56">
            <v>383</v>
          </cell>
          <cell r="H56">
            <v>0.23</v>
          </cell>
          <cell r="I56">
            <v>180</v>
          </cell>
          <cell r="J56" t="str">
            <v>матрица</v>
          </cell>
          <cell r="L56">
            <v>107</v>
          </cell>
          <cell r="M56">
            <v>-2</v>
          </cell>
          <cell r="N56">
            <v>168</v>
          </cell>
          <cell r="O56">
            <v>0</v>
          </cell>
          <cell r="P56">
            <v>21</v>
          </cell>
          <cell r="S56">
            <v>0</v>
          </cell>
          <cell r="T56">
            <v>18.238095238095237</v>
          </cell>
          <cell r="U56">
            <v>18.238095238095237</v>
          </cell>
          <cell r="V56">
            <v>18</v>
          </cell>
          <cell r="W56">
            <v>16.399999999999999</v>
          </cell>
          <cell r="X56">
            <v>15.2</v>
          </cell>
          <cell r="Y56">
            <v>21.4</v>
          </cell>
          <cell r="Z56">
            <v>0</v>
          </cell>
          <cell r="AA56">
            <v>0</v>
          </cell>
          <cell r="AB56">
            <v>6</v>
          </cell>
          <cell r="AC56">
            <v>0</v>
          </cell>
          <cell r="AD56">
            <v>0</v>
          </cell>
          <cell r="AE56">
            <v>14</v>
          </cell>
          <cell r="AF56">
            <v>140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 t="str">
            <v>P005058</v>
          </cell>
          <cell r="D57">
            <v>-31</v>
          </cell>
          <cell r="E57">
            <v>393</v>
          </cell>
          <cell r="F57">
            <v>117</v>
          </cell>
          <cell r="G57">
            <v>219</v>
          </cell>
          <cell r="H57">
            <v>0.25</v>
          </cell>
          <cell r="I57">
            <v>180</v>
          </cell>
          <cell r="J57" t="str">
            <v>матрица</v>
          </cell>
          <cell r="L57">
            <v>121</v>
          </cell>
          <cell r="M57">
            <v>-4</v>
          </cell>
          <cell r="N57">
            <v>0</v>
          </cell>
          <cell r="O57">
            <v>0</v>
          </cell>
          <cell r="P57">
            <v>23.4</v>
          </cell>
          <cell r="Q57">
            <v>350</v>
          </cell>
          <cell r="R57">
            <v>350</v>
          </cell>
          <cell r="S57">
            <v>0</v>
          </cell>
          <cell r="T57">
            <v>24.316239316239319</v>
          </cell>
          <cell r="U57">
            <v>9.3589743589743595</v>
          </cell>
          <cell r="V57">
            <v>29.4</v>
          </cell>
          <cell r="W57">
            <v>39.799999999999997</v>
          </cell>
          <cell r="X57">
            <v>31.4</v>
          </cell>
          <cell r="Y57">
            <v>10.199999999999999</v>
          </cell>
          <cell r="Z57">
            <v>0</v>
          </cell>
          <cell r="AA57">
            <v>87.5</v>
          </cell>
          <cell r="AB57">
            <v>12</v>
          </cell>
          <cell r="AC57">
            <v>28</v>
          </cell>
          <cell r="AD57">
            <v>84</v>
          </cell>
          <cell r="AE57">
            <v>14</v>
          </cell>
          <cell r="AF57">
            <v>70</v>
          </cell>
        </row>
        <row r="58">
          <cell r="A58" t="str">
            <v>Хотстеры ТМ Горячая штучка ТС Хотстеры 0,25 кг зам  ПОКОМ</v>
          </cell>
          <cell r="B58" t="str">
            <v>шт</v>
          </cell>
          <cell r="C58" t="str">
            <v>P004489</v>
          </cell>
          <cell r="D58">
            <v>600</v>
          </cell>
          <cell r="E58">
            <v>157</v>
          </cell>
          <cell r="F58">
            <v>310</v>
          </cell>
          <cell r="G58">
            <v>308</v>
          </cell>
          <cell r="H58">
            <v>0.25</v>
          </cell>
          <cell r="I58">
            <v>180</v>
          </cell>
          <cell r="J58" t="str">
            <v>матрица</v>
          </cell>
          <cell r="L58">
            <v>316</v>
          </cell>
          <cell r="M58">
            <v>-6</v>
          </cell>
          <cell r="N58">
            <v>0</v>
          </cell>
          <cell r="O58">
            <v>520</v>
          </cell>
          <cell r="P58">
            <v>62</v>
          </cell>
          <cell r="Q58">
            <v>250</v>
          </cell>
          <cell r="R58">
            <v>250</v>
          </cell>
          <cell r="S58">
            <v>0</v>
          </cell>
          <cell r="T58">
            <v>17.387096774193548</v>
          </cell>
          <cell r="U58">
            <v>4.967741935483871</v>
          </cell>
          <cell r="V58">
            <v>82.8</v>
          </cell>
          <cell r="W58">
            <v>85.6</v>
          </cell>
          <cell r="X58">
            <v>65.400000000000006</v>
          </cell>
          <cell r="Y58">
            <v>79.8</v>
          </cell>
          <cell r="Z58" t="str">
            <v>сети</v>
          </cell>
          <cell r="AA58">
            <v>62.5</v>
          </cell>
          <cell r="AB58">
            <v>12</v>
          </cell>
          <cell r="AC58">
            <v>14</v>
          </cell>
          <cell r="AD58">
            <v>42</v>
          </cell>
          <cell r="AE58">
            <v>14</v>
          </cell>
          <cell r="AF58">
            <v>70</v>
          </cell>
        </row>
        <row r="59">
          <cell r="A59" t="str">
            <v>Хрустипай апельсин имбирь ТМ Горячая штучка 0,18 кг  ПОКОМ</v>
          </cell>
          <cell r="B59" t="str">
            <v>шт</v>
          </cell>
          <cell r="C59" t="str">
            <v>P005201</v>
          </cell>
          <cell r="E59">
            <v>5</v>
          </cell>
          <cell r="F59">
            <v>0</v>
          </cell>
          <cell r="H59">
            <v>0.18</v>
          </cell>
          <cell r="I59">
            <v>180</v>
          </cell>
          <cell r="J59" t="str">
            <v>матрица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75</v>
          </cell>
          <cell r="R59">
            <v>75</v>
          </cell>
          <cell r="S59">
            <v>0</v>
          </cell>
          <cell r="T59" t="e">
            <v>#DIV/0!</v>
          </cell>
          <cell r="U59" t="e">
            <v>#DIV/0!</v>
          </cell>
          <cell r="V59">
            <v>7.4</v>
          </cell>
          <cell r="W59">
            <v>7.8</v>
          </cell>
          <cell r="X59">
            <v>2.6</v>
          </cell>
          <cell r="Y59">
            <v>1.4</v>
          </cell>
          <cell r="Z59">
            <v>0</v>
          </cell>
          <cell r="AA59">
            <v>13.5</v>
          </cell>
          <cell r="AB59">
            <v>6</v>
          </cell>
          <cell r="AC59">
            <v>14</v>
          </cell>
          <cell r="AD59">
            <v>15.12</v>
          </cell>
          <cell r="AE59">
            <v>14</v>
          </cell>
          <cell r="AF59">
            <v>140</v>
          </cell>
        </row>
        <row r="60">
          <cell r="A60" t="str">
            <v>Хрустипай манго маракуйя ТМ Горячая штучка 0,18 кг  ПОКОМ</v>
          </cell>
          <cell r="B60" t="str">
            <v>шт</v>
          </cell>
          <cell r="C60" t="str">
            <v>P005199</v>
          </cell>
          <cell r="D60">
            <v>86</v>
          </cell>
          <cell r="E60">
            <v>8</v>
          </cell>
          <cell r="F60">
            <v>9</v>
          </cell>
          <cell r="G60">
            <v>79</v>
          </cell>
          <cell r="H60">
            <v>0.18</v>
          </cell>
          <cell r="I60">
            <v>180</v>
          </cell>
          <cell r="J60" t="str">
            <v>матрица</v>
          </cell>
          <cell r="L60">
            <v>7</v>
          </cell>
          <cell r="M60">
            <v>2</v>
          </cell>
          <cell r="N60">
            <v>84</v>
          </cell>
          <cell r="O60">
            <v>0</v>
          </cell>
          <cell r="P60">
            <v>1.8</v>
          </cell>
          <cell r="S60">
            <v>0</v>
          </cell>
          <cell r="T60">
            <v>43.888888888888886</v>
          </cell>
          <cell r="U60">
            <v>43.888888888888886</v>
          </cell>
          <cell r="V60">
            <v>10.6</v>
          </cell>
          <cell r="W60">
            <v>17.399999999999999</v>
          </cell>
          <cell r="X60">
            <v>6</v>
          </cell>
          <cell r="Y60">
            <v>2.4</v>
          </cell>
          <cell r="Z60">
            <v>0</v>
          </cell>
          <cell r="AA60">
            <v>0</v>
          </cell>
          <cell r="AB60">
            <v>6</v>
          </cell>
          <cell r="AC60">
            <v>0</v>
          </cell>
          <cell r="AD60">
            <v>0</v>
          </cell>
          <cell r="AE60">
            <v>14</v>
          </cell>
          <cell r="AF60">
            <v>140</v>
          </cell>
        </row>
        <row r="61">
          <cell r="A61" t="str">
            <v>Хрустипай манго чили ТМ Горячая штучка 0,18кг с начинкой ПОКОМ</v>
          </cell>
          <cell r="B61" t="str">
            <v>шт</v>
          </cell>
          <cell r="C61" t="str">
            <v>P005200</v>
          </cell>
          <cell r="D61">
            <v>80</v>
          </cell>
          <cell r="E61">
            <v>3</v>
          </cell>
          <cell r="F61">
            <v>1</v>
          </cell>
          <cell r="G61">
            <v>81</v>
          </cell>
          <cell r="H61">
            <v>0.18</v>
          </cell>
          <cell r="I61">
            <v>0</v>
          </cell>
          <cell r="J61" t="str">
            <v>матрица</v>
          </cell>
          <cell r="L61">
            <v>2</v>
          </cell>
          <cell r="M61">
            <v>-1</v>
          </cell>
          <cell r="N61">
            <v>0</v>
          </cell>
          <cell r="O61">
            <v>0</v>
          </cell>
          <cell r="P61">
            <v>0.2</v>
          </cell>
          <cell r="S61">
            <v>0</v>
          </cell>
          <cell r="T61">
            <v>405</v>
          </cell>
          <cell r="U61">
            <v>405</v>
          </cell>
          <cell r="V61">
            <v>10.4</v>
          </cell>
          <cell r="W61">
            <v>4.5999999999999996</v>
          </cell>
          <cell r="X61">
            <v>3.8</v>
          </cell>
          <cell r="Y61">
            <v>0.8</v>
          </cell>
          <cell r="Z61">
            <v>0</v>
          </cell>
          <cell r="AA61">
            <v>0</v>
          </cell>
          <cell r="AB61">
            <v>6</v>
          </cell>
          <cell r="AC61">
            <v>0</v>
          </cell>
          <cell r="AD61">
            <v>0</v>
          </cell>
          <cell r="AE61">
            <v>14</v>
          </cell>
          <cell r="AF61">
            <v>140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 t="str">
            <v>P004589</v>
          </cell>
          <cell r="D62">
            <v>324</v>
          </cell>
          <cell r="E62">
            <v>508</v>
          </cell>
          <cell r="F62">
            <v>371</v>
          </cell>
          <cell r="G62">
            <v>295</v>
          </cell>
          <cell r="H62">
            <v>0.3</v>
          </cell>
          <cell r="I62">
            <v>180</v>
          </cell>
          <cell r="J62" t="str">
            <v>матрица</v>
          </cell>
          <cell r="L62">
            <v>383</v>
          </cell>
          <cell r="M62">
            <v>-12</v>
          </cell>
          <cell r="N62">
            <v>336</v>
          </cell>
          <cell r="O62">
            <v>600</v>
          </cell>
          <cell r="P62">
            <v>74.2</v>
          </cell>
          <cell r="Q62">
            <v>400</v>
          </cell>
          <cell r="R62">
            <v>400</v>
          </cell>
          <cell r="S62">
            <v>0</v>
          </cell>
          <cell r="T62">
            <v>17.452830188679243</v>
          </cell>
          <cell r="U62">
            <v>3.9757412398921832</v>
          </cell>
          <cell r="V62">
            <v>66</v>
          </cell>
          <cell r="W62">
            <v>82</v>
          </cell>
          <cell r="X62">
            <v>82.8</v>
          </cell>
          <cell r="Y62">
            <v>95</v>
          </cell>
          <cell r="Z62" t="str">
            <v>сети</v>
          </cell>
          <cell r="AA62">
            <v>120</v>
          </cell>
          <cell r="AB62">
            <v>12</v>
          </cell>
          <cell r="AC62">
            <v>28</v>
          </cell>
          <cell r="AD62">
            <v>100.8</v>
          </cell>
          <cell r="AE62">
            <v>14</v>
          </cell>
          <cell r="AF62">
            <v>70</v>
          </cell>
        </row>
        <row r="63">
          <cell r="A63" t="str">
            <v>Хрустящие крылышки ТМ Горячая штучка 0,3 кг зам  ПОКОМ</v>
          </cell>
          <cell r="B63" t="str">
            <v>шт</v>
          </cell>
          <cell r="C63" t="str">
            <v>P004588</v>
          </cell>
          <cell r="D63">
            <v>591</v>
          </cell>
          <cell r="E63">
            <v>236</v>
          </cell>
          <cell r="F63">
            <v>313</v>
          </cell>
          <cell r="G63">
            <v>297</v>
          </cell>
          <cell r="H63">
            <v>0.3</v>
          </cell>
          <cell r="I63">
            <v>180</v>
          </cell>
          <cell r="J63" t="str">
            <v>матрица</v>
          </cell>
          <cell r="L63">
            <v>328</v>
          </cell>
          <cell r="M63">
            <v>-15</v>
          </cell>
          <cell r="N63">
            <v>0</v>
          </cell>
          <cell r="O63">
            <v>500</v>
          </cell>
          <cell r="P63">
            <v>62.6</v>
          </cell>
          <cell r="Q63">
            <v>400</v>
          </cell>
          <cell r="R63">
            <v>400</v>
          </cell>
          <cell r="S63">
            <v>0</v>
          </cell>
          <cell r="T63">
            <v>19.121405750798722</v>
          </cell>
          <cell r="U63">
            <v>4.7444089456869012</v>
          </cell>
          <cell r="V63">
            <v>91.6</v>
          </cell>
          <cell r="W63">
            <v>76.2</v>
          </cell>
          <cell r="X63">
            <v>73.599999999999994</v>
          </cell>
          <cell r="Y63">
            <v>81</v>
          </cell>
          <cell r="Z63" t="str">
            <v>сети</v>
          </cell>
          <cell r="AA63">
            <v>120</v>
          </cell>
          <cell r="AB63">
            <v>12</v>
          </cell>
          <cell r="AC63">
            <v>28</v>
          </cell>
          <cell r="AD63">
            <v>100.8</v>
          </cell>
          <cell r="AE63">
            <v>14</v>
          </cell>
          <cell r="AF63">
            <v>70</v>
          </cell>
        </row>
        <row r="64">
          <cell r="A64" t="str">
            <v>Чебупели Курочка гриль Базовый ассортимент Фикс.вес 0,3 Пакет Горячая штучка  Поком</v>
          </cell>
          <cell r="B64" t="str">
            <v>шт</v>
          </cell>
          <cell r="C64" t="str">
            <v>P004113</v>
          </cell>
          <cell r="D64">
            <v>55</v>
          </cell>
          <cell r="E64">
            <v>15</v>
          </cell>
          <cell r="F64">
            <v>60</v>
          </cell>
          <cell r="G64">
            <v>-1</v>
          </cell>
          <cell r="H64">
            <v>0.3</v>
          </cell>
          <cell r="I64">
            <v>180</v>
          </cell>
          <cell r="J64" t="str">
            <v>матрица</v>
          </cell>
          <cell r="L64">
            <v>90</v>
          </cell>
          <cell r="M64">
            <v>-30</v>
          </cell>
          <cell r="N64">
            <v>0</v>
          </cell>
          <cell r="O64">
            <v>260</v>
          </cell>
          <cell r="P64">
            <v>12</v>
          </cell>
          <cell r="S64">
            <v>0</v>
          </cell>
          <cell r="T64">
            <v>21.583333333333332</v>
          </cell>
          <cell r="U64">
            <v>-8.3333333333333329E-2</v>
          </cell>
          <cell r="V64">
            <v>14.4</v>
          </cell>
          <cell r="W64">
            <v>13.6</v>
          </cell>
          <cell r="X64">
            <v>6.8</v>
          </cell>
          <cell r="Y64">
            <v>22.6</v>
          </cell>
          <cell r="Z64">
            <v>0</v>
          </cell>
          <cell r="AA64">
            <v>0</v>
          </cell>
          <cell r="AB64">
            <v>14</v>
          </cell>
          <cell r="AC64">
            <v>0</v>
          </cell>
          <cell r="AD64">
            <v>0</v>
          </cell>
          <cell r="AE64">
            <v>14</v>
          </cell>
          <cell r="AF64">
            <v>70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 t="str">
            <v>P004484</v>
          </cell>
          <cell r="D65">
            <v>1636</v>
          </cell>
          <cell r="E65">
            <v>137</v>
          </cell>
          <cell r="F65">
            <v>569</v>
          </cell>
          <cell r="G65">
            <v>1204</v>
          </cell>
          <cell r="H65">
            <v>0.25</v>
          </cell>
          <cell r="L65">
            <v>584</v>
          </cell>
          <cell r="M65">
            <v>-15</v>
          </cell>
          <cell r="N65">
            <v>0</v>
          </cell>
          <cell r="O65">
            <v>0</v>
          </cell>
          <cell r="P65">
            <v>113.8</v>
          </cell>
          <cell r="Q65">
            <v>300</v>
          </cell>
          <cell r="S65">
            <v>0</v>
          </cell>
          <cell r="T65">
            <v>13.216168717047452</v>
          </cell>
          <cell r="U65">
            <v>10.579964850615115</v>
          </cell>
          <cell r="V65">
            <v>92.6</v>
          </cell>
          <cell r="W65">
            <v>117.6</v>
          </cell>
          <cell r="X65">
            <v>111.6</v>
          </cell>
          <cell r="Y65">
            <v>115.8</v>
          </cell>
          <cell r="Z65" t="str">
            <v>сети</v>
          </cell>
          <cell r="AA65">
            <v>75</v>
          </cell>
          <cell r="AB65">
            <v>12</v>
          </cell>
          <cell r="AC65">
            <v>28</v>
          </cell>
          <cell r="AD65">
            <v>84</v>
          </cell>
          <cell r="AE65">
            <v>14</v>
          </cell>
          <cell r="AF65">
            <v>70</v>
          </cell>
        </row>
        <row r="66">
          <cell r="A66" t="str">
            <v>Чебупицца Пепперони ТМ Горячая штучка ТС Чебупицца 0.25кг зам  ПОКОМ</v>
          </cell>
          <cell r="B66" t="str">
            <v>шт</v>
          </cell>
          <cell r="C66" t="str">
            <v>P004486</v>
          </cell>
          <cell r="D66">
            <v>372</v>
          </cell>
          <cell r="E66">
            <v>446</v>
          </cell>
          <cell r="F66">
            <v>400</v>
          </cell>
          <cell r="H66">
            <v>0.25</v>
          </cell>
          <cell r="I66">
            <v>180</v>
          </cell>
          <cell r="J66" t="str">
            <v>Новинка</v>
          </cell>
          <cell r="L66">
            <v>465</v>
          </cell>
          <cell r="M66">
            <v>-65</v>
          </cell>
          <cell r="N66">
            <v>2520</v>
          </cell>
          <cell r="O66">
            <v>1150</v>
          </cell>
          <cell r="P66">
            <v>80</v>
          </cell>
          <cell r="Q66">
            <v>800</v>
          </cell>
          <cell r="R66">
            <v>800</v>
          </cell>
          <cell r="S66">
            <v>0</v>
          </cell>
          <cell r="T66">
            <v>24.375</v>
          </cell>
          <cell r="U66">
            <v>0</v>
          </cell>
          <cell r="V66">
            <v>134</v>
          </cell>
          <cell r="W66">
            <v>110.4</v>
          </cell>
          <cell r="X66">
            <v>105.2</v>
          </cell>
          <cell r="Y66">
            <v>108</v>
          </cell>
          <cell r="Z66" t="str">
            <v>сети</v>
          </cell>
          <cell r="AA66">
            <v>200</v>
          </cell>
          <cell r="AB66">
            <v>12</v>
          </cell>
          <cell r="AC66">
            <v>70</v>
          </cell>
          <cell r="AD66">
            <v>210</v>
          </cell>
          <cell r="AE66">
            <v>14</v>
          </cell>
          <cell r="AF66">
            <v>70</v>
          </cell>
        </row>
        <row r="67">
          <cell r="A67" t="str">
            <v>Чебупицца со вкусом 4 сыра 0,2кг ТМ Горячая штучка ТС Foodgital  ПОКОМ</v>
          </cell>
          <cell r="B67" t="str">
            <v>шт</v>
          </cell>
          <cell r="C67" t="str">
            <v>P004818</v>
          </cell>
          <cell r="D67">
            <v>-8</v>
          </cell>
          <cell r="E67">
            <v>28</v>
          </cell>
          <cell r="F67">
            <v>8</v>
          </cell>
          <cell r="H67">
            <v>0.2</v>
          </cell>
          <cell r="I67">
            <v>0</v>
          </cell>
          <cell r="J67" t="str">
            <v>матрица</v>
          </cell>
          <cell r="L67">
            <v>11</v>
          </cell>
          <cell r="M67">
            <v>-3</v>
          </cell>
          <cell r="N67">
            <v>0</v>
          </cell>
          <cell r="O67">
            <v>280</v>
          </cell>
          <cell r="P67">
            <v>1.6</v>
          </cell>
          <cell r="Q67">
            <v>120</v>
          </cell>
          <cell r="R67">
            <v>128</v>
          </cell>
          <cell r="S67">
            <v>0</v>
          </cell>
          <cell r="T67">
            <v>250</v>
          </cell>
          <cell r="U67">
            <v>0</v>
          </cell>
          <cell r="V67">
            <v>23.2</v>
          </cell>
          <cell r="W67">
            <v>27.8</v>
          </cell>
          <cell r="X67">
            <v>20</v>
          </cell>
          <cell r="Y67">
            <v>19.600000000000001</v>
          </cell>
          <cell r="Z67">
            <v>0</v>
          </cell>
          <cell r="AA67">
            <v>24</v>
          </cell>
          <cell r="AB67">
            <v>6</v>
          </cell>
          <cell r="AC67">
            <v>14</v>
          </cell>
          <cell r="AD67">
            <v>16.8</v>
          </cell>
          <cell r="AE67">
            <v>14</v>
          </cell>
          <cell r="AF67">
            <v>140</v>
          </cell>
        </row>
        <row r="68">
          <cell r="A68" t="str">
            <v>Чебупицца со вкусом Том ям ТМ Горячая штучка ТС Чебупицца 0,23кг жареные ПОКОМ</v>
          </cell>
          <cell r="B68" t="str">
            <v>шт</v>
          </cell>
          <cell r="C68" t="str">
            <v>P005180</v>
          </cell>
          <cell r="D68">
            <v>734</v>
          </cell>
          <cell r="E68">
            <v>43</v>
          </cell>
          <cell r="F68">
            <v>228</v>
          </cell>
          <cell r="G68">
            <v>519</v>
          </cell>
          <cell r="H68">
            <v>0.23</v>
          </cell>
          <cell r="I68">
            <v>180</v>
          </cell>
          <cell r="J68" t="str">
            <v>матрица</v>
          </cell>
          <cell r="L68">
            <v>236</v>
          </cell>
          <cell r="M68">
            <v>-8</v>
          </cell>
          <cell r="N68">
            <v>336</v>
          </cell>
          <cell r="O68">
            <v>0</v>
          </cell>
          <cell r="P68">
            <v>45.6</v>
          </cell>
          <cell r="Q68">
            <v>120</v>
          </cell>
          <cell r="S68">
            <v>0</v>
          </cell>
          <cell r="T68">
            <v>14.013157894736842</v>
          </cell>
          <cell r="U68">
            <v>11.381578947368421</v>
          </cell>
          <cell r="V68">
            <v>33.4</v>
          </cell>
          <cell r="W68">
            <v>23.6</v>
          </cell>
          <cell r="X68">
            <v>30.2</v>
          </cell>
          <cell r="Y68">
            <v>46.4</v>
          </cell>
          <cell r="Z68">
            <v>0</v>
          </cell>
          <cell r="AA68">
            <v>27.6</v>
          </cell>
          <cell r="AB68">
            <v>6</v>
          </cell>
          <cell r="AC68">
            <v>14</v>
          </cell>
          <cell r="AD68">
            <v>19.32</v>
          </cell>
          <cell r="AE68">
            <v>14</v>
          </cell>
          <cell r="AF68">
            <v>140</v>
          </cell>
        </row>
        <row r="69">
          <cell r="A69" t="str">
            <v>Чебуреки Мясные вес 2,7 кг ТМ Зареченские ТС Зареченские продукты   Поком</v>
          </cell>
          <cell r="B69" t="str">
            <v>кг</v>
          </cell>
          <cell r="C69" t="str">
            <v>P003478</v>
          </cell>
          <cell r="D69">
            <v>3.1</v>
          </cell>
          <cell r="E69">
            <v>86.03</v>
          </cell>
          <cell r="F69">
            <v>37.83</v>
          </cell>
          <cell r="G69">
            <v>37.799999999999997</v>
          </cell>
          <cell r="H69">
            <v>1</v>
          </cell>
          <cell r="I69">
            <v>180</v>
          </cell>
          <cell r="L69">
            <v>43</v>
          </cell>
          <cell r="M69">
            <v>-5.1700000000000017</v>
          </cell>
          <cell r="N69">
            <v>415</v>
          </cell>
          <cell r="O69">
            <v>0</v>
          </cell>
          <cell r="P69">
            <v>7.5659999999999998</v>
          </cell>
          <cell r="Q69">
            <v>60</v>
          </cell>
          <cell r="S69">
            <v>0</v>
          </cell>
          <cell r="T69">
            <v>12.926249008723236</v>
          </cell>
          <cell r="U69">
            <v>4.9960348929421095</v>
          </cell>
          <cell r="V69">
            <v>9.18</v>
          </cell>
          <cell r="W69">
            <v>8.64</v>
          </cell>
          <cell r="X69">
            <v>10.8</v>
          </cell>
          <cell r="Y69">
            <v>2.16</v>
          </cell>
          <cell r="Z69">
            <v>0</v>
          </cell>
          <cell r="AA69">
            <v>60</v>
          </cell>
          <cell r="AB69">
            <v>2.7</v>
          </cell>
          <cell r="AC69">
            <v>28</v>
          </cell>
          <cell r="AD69">
            <v>75.600000000000009</v>
          </cell>
          <cell r="AE69">
            <v>14</v>
          </cell>
          <cell r="AF69">
            <v>126</v>
          </cell>
        </row>
        <row r="70">
          <cell r="A70" t="str">
            <v>Чебуреки сочные ТМ Зареченские ТС Зареченские продукты.  Поком</v>
          </cell>
          <cell r="B70" t="str">
            <v>кг</v>
          </cell>
          <cell r="C70" t="str">
            <v>P003476</v>
          </cell>
          <cell r="D70">
            <v>232.3</v>
          </cell>
          <cell r="E70">
            <v>440</v>
          </cell>
          <cell r="F70">
            <v>405</v>
          </cell>
          <cell r="G70">
            <v>115</v>
          </cell>
          <cell r="H70">
            <v>1</v>
          </cell>
          <cell r="L70">
            <v>378</v>
          </cell>
          <cell r="M70">
            <v>27</v>
          </cell>
          <cell r="N70">
            <v>960</v>
          </cell>
          <cell r="O70">
            <v>640</v>
          </cell>
          <cell r="P70">
            <v>81</v>
          </cell>
          <cell r="Q70">
            <v>300</v>
          </cell>
          <cell r="S70">
            <v>0</v>
          </cell>
          <cell r="T70">
            <v>13.024691358024691</v>
          </cell>
          <cell r="U70">
            <v>1.4197530864197532</v>
          </cell>
          <cell r="V70">
            <v>66.539999999999992</v>
          </cell>
          <cell r="W70">
            <v>66</v>
          </cell>
          <cell r="X70">
            <v>81</v>
          </cell>
          <cell r="Y70">
            <v>89.539999999999992</v>
          </cell>
          <cell r="Z70">
            <v>0</v>
          </cell>
          <cell r="AA70">
            <v>300</v>
          </cell>
          <cell r="AB70">
            <v>5</v>
          </cell>
          <cell r="AC70">
            <v>60</v>
          </cell>
          <cell r="AD70">
            <v>300</v>
          </cell>
          <cell r="AE70">
            <v>12</v>
          </cell>
          <cell r="AF70">
            <v>84</v>
          </cell>
        </row>
        <row r="71">
          <cell r="A71" t="str">
            <v>Чебуреки сочные, ВЕС, куриные жарен. зам  ПОКОМ</v>
          </cell>
          <cell r="B71" t="str">
            <v>кг</v>
          </cell>
          <cell r="C71" t="str">
            <v>P003476</v>
          </cell>
          <cell r="D71">
            <v>-10</v>
          </cell>
          <cell r="E71">
            <v>10</v>
          </cell>
          <cell r="F71">
            <v>0</v>
          </cell>
          <cell r="H71">
            <v>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S71">
            <v>0</v>
          </cell>
          <cell r="T71" t="e">
            <v>#DIV/0!</v>
          </cell>
          <cell r="U71" t="e">
            <v>#DIV/0!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5</v>
          </cell>
          <cell r="AC71">
            <v>0</v>
          </cell>
          <cell r="AD71">
            <v>0</v>
          </cell>
          <cell r="AE71">
            <v>12</v>
          </cell>
          <cell r="AF71">
            <v>84</v>
          </cell>
        </row>
        <row r="72">
          <cell r="A72" t="str">
            <v>БОНУС_Готовые чебупели сочные с мясом ТМ Горячая штучка флоу-пак 0,24 кг  ПОКОМ</v>
          </cell>
          <cell r="B72" t="str">
            <v>шт</v>
          </cell>
          <cell r="C72" t="str">
            <v>P004969</v>
          </cell>
          <cell r="D72">
            <v>-116</v>
          </cell>
          <cell r="E72">
            <v>125</v>
          </cell>
          <cell r="F72">
            <v>30</v>
          </cell>
          <cell r="G72">
            <v>-21</v>
          </cell>
          <cell r="H72">
            <v>0.24</v>
          </cell>
          <cell r="J72" t="str">
            <v>матрица</v>
          </cell>
          <cell r="L72">
            <v>30</v>
          </cell>
          <cell r="M72">
            <v>0</v>
          </cell>
          <cell r="N72">
            <v>0</v>
          </cell>
          <cell r="O72">
            <v>0</v>
          </cell>
          <cell r="P72">
            <v>6</v>
          </cell>
          <cell r="S72">
            <v>0</v>
          </cell>
          <cell r="T72">
            <v>-3.5</v>
          </cell>
          <cell r="U72">
            <v>-3.5</v>
          </cell>
          <cell r="V72">
            <v>32.799999999999997</v>
          </cell>
          <cell r="W72">
            <v>37.6</v>
          </cell>
          <cell r="X72">
            <v>9.6</v>
          </cell>
          <cell r="Y72">
            <v>10.199999999999999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 t="str">
            <v>БОНУС_Пельмени Бульмени со сливочным маслом ТМ Горячая штучка флоу-пак сфера 0,7 кг .  Поком</v>
          </cell>
          <cell r="B73" t="str">
            <v>шт</v>
          </cell>
          <cell r="C73" t="str">
            <v>P004346</v>
          </cell>
          <cell r="D73">
            <v>-70</v>
          </cell>
          <cell r="E73">
            <v>344</v>
          </cell>
          <cell r="F73">
            <v>45</v>
          </cell>
          <cell r="G73">
            <v>228</v>
          </cell>
          <cell r="H73">
            <v>0.7</v>
          </cell>
          <cell r="J73" t="str">
            <v>матрица</v>
          </cell>
          <cell r="L73">
            <v>44</v>
          </cell>
          <cell r="M73">
            <v>1</v>
          </cell>
          <cell r="N73">
            <v>0</v>
          </cell>
          <cell r="O73">
            <v>0</v>
          </cell>
          <cell r="P73">
            <v>9</v>
          </cell>
          <cell r="S73">
            <v>0</v>
          </cell>
          <cell r="T73">
            <v>25.333333333333332</v>
          </cell>
          <cell r="U73">
            <v>25.333333333333332</v>
          </cell>
          <cell r="V73">
            <v>22.8</v>
          </cell>
          <cell r="W73">
            <v>36.6</v>
          </cell>
          <cell r="X73">
            <v>17</v>
          </cell>
          <cell r="Y73">
            <v>10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 t="str">
            <v>БОНУС_Пирожки с мясом 3,7кг ВЕС ТМ Зареченские  ПОКОМ</v>
          </cell>
          <cell r="B74" t="str">
            <v>кг</v>
          </cell>
          <cell r="C74" t="str">
            <v>P004359</v>
          </cell>
          <cell r="D74">
            <v>27.2</v>
          </cell>
          <cell r="F74">
            <v>0</v>
          </cell>
          <cell r="H74">
            <v>1</v>
          </cell>
          <cell r="J74" t="str">
            <v>матрица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S74">
            <v>0</v>
          </cell>
          <cell r="T74" t="e">
            <v>#DIV/0!</v>
          </cell>
          <cell r="U74" t="e">
            <v>#DIV/0!</v>
          </cell>
          <cell r="V74">
            <v>20.72</v>
          </cell>
          <cell r="W74">
            <v>6.6599999999999993</v>
          </cell>
          <cell r="X74">
            <v>1.48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БОНУС_Чебупицца курочка по-итальянски Горячая штучка 0,25 кг зам  ПОКОМ</v>
          </cell>
          <cell r="B75" t="str">
            <v>шт</v>
          </cell>
          <cell r="C75">
            <v>0</v>
          </cell>
          <cell r="D75">
            <v>-10</v>
          </cell>
          <cell r="E75">
            <v>14</v>
          </cell>
          <cell r="F75">
            <v>1</v>
          </cell>
          <cell r="G75">
            <v>-1</v>
          </cell>
          <cell r="H75">
            <v>0.25</v>
          </cell>
          <cell r="J75" t="str">
            <v>матрица</v>
          </cell>
          <cell r="L75">
            <v>1</v>
          </cell>
          <cell r="M75">
            <v>0</v>
          </cell>
          <cell r="N75">
            <v>0</v>
          </cell>
          <cell r="O75">
            <v>0</v>
          </cell>
          <cell r="P75">
            <v>0.2</v>
          </cell>
          <cell r="S75">
            <v>0</v>
          </cell>
          <cell r="T75">
            <v>-5</v>
          </cell>
          <cell r="U75">
            <v>-5</v>
          </cell>
          <cell r="V75">
            <v>7.6</v>
          </cell>
          <cell r="W75">
            <v>10.4</v>
          </cell>
          <cell r="X75">
            <v>2.6</v>
          </cell>
          <cell r="Y75">
            <v>0.8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Мини-чебуреки с мясом ТМ Зареченские ТС Зареченские продукты ПОКОМ</v>
          </cell>
          <cell r="B76" t="str">
            <v>кг</v>
          </cell>
          <cell r="C76" t="str">
            <v>P004358</v>
          </cell>
          <cell r="F76">
            <v>0</v>
          </cell>
          <cell r="H76">
            <v>1</v>
          </cell>
          <cell r="L76">
            <v>0</v>
          </cell>
          <cell r="M76">
            <v>0</v>
          </cell>
          <cell r="N76">
            <v>0</v>
          </cell>
          <cell r="O76">
            <v>50</v>
          </cell>
          <cell r="P76">
            <v>0</v>
          </cell>
          <cell r="S76">
            <v>0</v>
          </cell>
          <cell r="T76" t="e">
            <v>#DIV/0!</v>
          </cell>
          <cell r="U76" t="e">
            <v>#DIV/0!</v>
          </cell>
          <cell r="V76">
            <v>0</v>
          </cell>
          <cell r="W76">
            <v>0</v>
          </cell>
          <cell r="X76">
            <v>2.2000000000000002</v>
          </cell>
          <cell r="Y76">
            <v>3.3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12.06.2026 - 18.06.2026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Заморозка</v>
          </cell>
          <cell r="B7">
            <v>12827.2</v>
          </cell>
        </row>
        <row r="8">
          <cell r="A8" t="str">
            <v>ПОКОМ Логистический Партнер</v>
          </cell>
          <cell r="B8">
            <v>12827.2</v>
          </cell>
        </row>
        <row r="9">
          <cell r="A9" t="str">
            <v>Заморозка Зареченские Логистический партнер (кг)</v>
          </cell>
          <cell r="B9">
            <v>521.20000000000005</v>
          </cell>
        </row>
        <row r="10">
          <cell r="A10" t="str">
            <v>Мини-сосиски в тесте 5кг ВЕС ТМ Зареченские  ПОКОМ</v>
          </cell>
          <cell r="B10">
            <v>80</v>
          </cell>
        </row>
        <row r="11">
          <cell r="A11" t="str">
            <v>Мини-шарики с курочкой и сыром ТМ Зареченские ВЕС ПОКОМ</v>
          </cell>
          <cell r="B11">
            <v>39</v>
          </cell>
        </row>
        <row r="12">
          <cell r="A12" t="str">
            <v>Наггетсы Хрустящие ТМ Зареченские ТС Зареченские продукты. Поком</v>
          </cell>
          <cell r="B12">
            <v>38</v>
          </cell>
        </row>
        <row r="13">
          <cell r="A13" t="str">
            <v>Пирожки с мясом 3,7кг ВЕС ТМ Зареченские  ПОКОМ</v>
          </cell>
          <cell r="B13">
            <v>18.7</v>
          </cell>
        </row>
        <row r="14">
          <cell r="A14" t="str">
            <v>Чебуреки Мясные вес 2,7 кг ТМ Зареченские ТС Зареченские продукты   Поком</v>
          </cell>
          <cell r="B14">
            <v>32.4</v>
          </cell>
        </row>
        <row r="15">
          <cell r="A15" t="str">
            <v>Чебуреки сочные ТМ Зареченские ТС Зареченские продукты.  Поком</v>
          </cell>
          <cell r="B15">
            <v>313.10000000000002</v>
          </cell>
        </row>
        <row r="16">
          <cell r="A16" t="str">
            <v>Пельмени Домашние со сливочным маслом ТМ Зареченские  продукты флоу-пак сфера 0,7 кг.  Поком</v>
          </cell>
          <cell r="B16">
            <v>313</v>
          </cell>
        </row>
        <row r="17">
          <cell r="A17" t="str">
            <v>БОНУС_Готовые чебупели сочные с мясом ТМ Горячая штучка флоу-пак 0,24 кг  ПОКОМ</v>
          </cell>
          <cell r="B17">
            <v>83</v>
          </cell>
        </row>
        <row r="18">
          <cell r="A18" t="str">
            <v>БОНУС_Пельмени Бульмени со сливочным маслом ТМ Горячая штучка флоу-пак сфера 0,7 кг .  Поком</v>
          </cell>
          <cell r="B18">
            <v>79</v>
          </cell>
        </row>
        <row r="19">
          <cell r="A19" t="str">
            <v>БОНУС_Чебупицца курочка по-итальянски Горячая штучка 0,25 кг зам  ПОКОМ</v>
          </cell>
          <cell r="B19">
            <v>43</v>
          </cell>
        </row>
        <row r="20">
          <cell r="A20" t="str">
            <v>Бульмени хрустящие с мясом ТМ Горячая штучка ТС Бульмени ГШ сфера 0,22 кг  Поком</v>
          </cell>
          <cell r="B20">
            <v>38</v>
          </cell>
        </row>
        <row r="21">
          <cell r="A21" t="str">
            <v>Готовые бельмеши сочные с мясом ТМ Горячая штучка 0,3кг зам  ПОКОМ</v>
          </cell>
          <cell r="B21">
            <v>149</v>
          </cell>
        </row>
        <row r="22">
          <cell r="A22" t="str">
            <v>Готовые чебуманы с говядиной ТМ горячая штучка 0,28 кг.  Поком</v>
          </cell>
          <cell r="B22">
            <v>264</v>
          </cell>
        </row>
        <row r="23">
          <cell r="A23" t="str">
            <v>Готовые чебупели острые с мясом ТМ Горячая штучка флоу-пак 0,24 кг  Поком</v>
          </cell>
          <cell r="B23">
            <v>350</v>
          </cell>
        </row>
        <row r="24">
          <cell r="A24" t="str">
            <v>Готовые чебупели с ветчиной и сыром ТМ Горячая штучка флоу-пак 0,24 кг.  ПОКОМ</v>
          </cell>
          <cell r="B24">
            <v>473</v>
          </cell>
        </row>
        <row r="25">
          <cell r="A25" t="str">
            <v>Готовые чебупели с мясом ТМ Горячая штучка 0,24 кг  ПОКОМ</v>
          </cell>
          <cell r="B25">
            <v>247</v>
          </cell>
        </row>
        <row r="26">
          <cell r="A26" t="str">
            <v>Готовые чебупели сочные с мясом ТМ Горячая штучка флоу-пак 0,24 кг  ПОКОМ</v>
          </cell>
          <cell r="B26">
            <v>204</v>
          </cell>
        </row>
        <row r="27">
          <cell r="A27" t="str">
            <v>Готовые чебупели сочные с мясом ТМ Горячая штучка флоу-пак 0,48 кг XXL  Поком</v>
          </cell>
          <cell r="B27">
            <v>109</v>
          </cell>
        </row>
        <row r="28">
          <cell r="A28" t="str">
            <v>Готовые чебуреки с мясом ТМ Горячая штучка 0,09 кг флоу-пак ПОКОМ</v>
          </cell>
          <cell r="B28">
            <v>10</v>
          </cell>
        </row>
        <row r="29">
          <cell r="A29" t="str">
            <v>Готовые чебуреки со свининой и говядиной ТМ Горячая штучка ТС Базовый ассортимент 0,36 кг  ПОКОМ</v>
          </cell>
          <cell r="B29">
            <v>120</v>
          </cell>
        </row>
        <row r="30">
          <cell r="A30" t="str">
            <v>ЖАР-ладушки с клубникой и вишней ТМ Стародворье 0,2 кг.  Поком</v>
          </cell>
          <cell r="B30">
            <v>24</v>
          </cell>
        </row>
        <row r="31">
          <cell r="A31" t="str">
            <v>Жареные вареники с картофелем и беконом ТМ Стародворье 0,2 кг  ПОКОМ</v>
          </cell>
          <cell r="B31">
            <v>114</v>
          </cell>
        </row>
        <row r="32">
          <cell r="A32" t="str">
            <v>Круггетсы с сырным соусом ТМ Горячая штучка ТС Круггетсы флоу-пак 0,2 кг  ПОКОМ</v>
          </cell>
          <cell r="B32">
            <v>243</v>
          </cell>
        </row>
        <row r="33">
          <cell r="A33" t="str">
            <v>Круггетсы сочные ТМ Горячая штучка ТС Круггетсы флоу-пак  0,2 кг.  ПОКОМ</v>
          </cell>
          <cell r="B33">
            <v>144</v>
          </cell>
        </row>
        <row r="34">
          <cell r="A34" t="str">
            <v>Мини-чебуреки с мясом ТМ Зареченские ТС Зареченские продукты ПОКОМ</v>
          </cell>
          <cell r="B34">
            <v>8</v>
          </cell>
        </row>
        <row r="35">
          <cell r="A35" t="str">
            <v>Наггетсы из печи 0,25кг ТМ Вязанка замор.  ПОКОМ</v>
          </cell>
          <cell r="B35">
            <v>433</v>
          </cell>
        </row>
        <row r="36">
          <cell r="A36" t="str">
            <v>Наггетсы Нагетосы Сочная курочка со сметаной и зеленью ТМ Горячая штучка флоу-пак 0,25 кг  Поком</v>
          </cell>
          <cell r="B36">
            <v>94</v>
          </cell>
        </row>
        <row r="37">
          <cell r="A37" t="str">
            <v>Наггетсы Нагетосы Сочная курочка ТМ Горячая штучка 0,25 кг зам  ПОКОМ</v>
          </cell>
          <cell r="B37">
            <v>408</v>
          </cell>
        </row>
        <row r="38">
          <cell r="A38" t="str">
            <v>Наггетсы с индейкой 0,25кг ТМ Вязанка ТС Из печи Сливушки ПОКОМ</v>
          </cell>
          <cell r="B38">
            <v>212</v>
          </cell>
        </row>
        <row r="39">
          <cell r="A39" t="str">
            <v>Наггетсы с куриным филе и сыром ТМ Вязанка ТС Из печи Сливушки 0,25 кг.  Поком</v>
          </cell>
          <cell r="B39">
            <v>265</v>
          </cell>
        </row>
        <row r="40">
          <cell r="A40" t="str">
            <v>Наггетсы Хрустящие ТМ Стародворье с сочной курочкой 0,23 кг  ПОКОМ</v>
          </cell>
          <cell r="B40">
            <v>63</v>
          </cell>
        </row>
        <row r="41">
          <cell r="A41" t="str">
            <v>Пекерсы с индейкой в сливочном соусе ТМ Горячая штучка 0,25 кг зам  ПОКОМ</v>
          </cell>
          <cell r="B41">
            <v>88</v>
          </cell>
        </row>
        <row r="42">
          <cell r="A42" t="str">
            <v>Пельмени Grandmeni с говядиной и свининой ТМ Горячаяштучка флоу-па классическая форма 0,7 кг.  Поком</v>
          </cell>
          <cell r="B42">
            <v>97</v>
          </cell>
        </row>
        <row r="43">
          <cell r="A43" t="str">
            <v>Пельмени Grandmeni с говядиной ТМ Горячаяштучка флоу-пак сфера 0,7 кг.  Поком</v>
          </cell>
          <cell r="B43">
            <v>85</v>
          </cell>
        </row>
        <row r="44">
          <cell r="A44" t="str">
            <v>Пельмени Grandmeni со сливочным маслом  ТМ Горячая штучка флоу-пак сфера 0,7 кг.  Поком</v>
          </cell>
          <cell r="B44">
            <v>97</v>
          </cell>
        </row>
        <row r="45">
          <cell r="A45" t="str">
            <v>Пельмени Бигбули #МЕГАВКУСИЩЕ с сочной грудинкой  ТМ Горячая штучка  флоу-пак сфера 0,7 кг.  Поком</v>
          </cell>
          <cell r="B45">
            <v>203</v>
          </cell>
        </row>
        <row r="46">
          <cell r="A46" t="str">
            <v>Пельмени Бигбули с мясом ТМ Горячая штучка БУЛЬМЕНИ ТС Бигбули ГШ  флоу-пак сфера 0,7.   Поком</v>
          </cell>
          <cell r="B46">
            <v>126</v>
          </cell>
        </row>
        <row r="47">
          <cell r="A47" t="str">
            <v>Пельмени Бигбули со сливочным маслом  ТС Бигбули ГШ#МЕГАМАСЛИЩЕ флоу-пак сфера 0,7.  Поком</v>
          </cell>
          <cell r="B47">
            <v>329</v>
          </cell>
        </row>
        <row r="48">
          <cell r="A48" t="str">
            <v>Пельмени Бульмени мини с мясом и оливковым маслом  ТС Бульмени ГШ флоу-пак сфера 0,7кг  Поком</v>
          </cell>
          <cell r="B48">
            <v>77</v>
          </cell>
        </row>
        <row r="49">
          <cell r="A49" t="str">
            <v>Пельмени Бульмени с говядиной и свининой Наваристые Горячая штучка ВЕС  ПОКОМ</v>
          </cell>
          <cell r="B49">
            <v>350</v>
          </cell>
        </row>
        <row r="50">
          <cell r="A50" t="str">
            <v>Пельмени Бульмени с говядиной и свининой ТМ Горячая штучка  флоу-пак сфера 0,4 кг  Поком</v>
          </cell>
          <cell r="B50">
            <v>257</v>
          </cell>
        </row>
        <row r="51">
          <cell r="A51" t="str">
            <v>Пельмени Бульмени с говядиной и свининой ТМ Горячая штучка БУЛЬМЕНИ  флоу-пак сфера 0,7 кг.  Поком</v>
          </cell>
          <cell r="B51">
            <v>430</v>
          </cell>
        </row>
        <row r="52">
          <cell r="A52" t="str">
            <v>Пельмени Бульмени со сливочным маслом ТМ Горячая штучка  флоу-пак сфера 0,4 кг .  Поком</v>
          </cell>
          <cell r="B52">
            <v>269</v>
          </cell>
        </row>
        <row r="53">
          <cell r="A53" t="str">
            <v>Пельмени Бульмени со сливочным маслом ТМ Горячая штучка флоу-пак сфера 0,7 кг .  Поком</v>
          </cell>
          <cell r="B53">
            <v>769</v>
          </cell>
        </row>
        <row r="54">
          <cell r="A54" t="str">
            <v>Пельмени Мясные с говядиной ТМ Стародворье сфера флоу-пак 1 кг  ПОКОМ</v>
          </cell>
          <cell r="B54">
            <v>350</v>
          </cell>
        </row>
        <row r="55">
          <cell r="A55" t="str">
            <v>Пельмени Отборные из свинины и говядины 0,9 кг ТМ Стародворье ТС Медвежье ушко  ПОКОМ</v>
          </cell>
          <cell r="B55">
            <v>106</v>
          </cell>
        </row>
        <row r="56">
          <cell r="A56" t="str">
            <v>Пельмени Отборные с говядиной 0,9 кг НОВА ТМ Стародворье ТС Медвежье ушко  ПОКОМ</v>
          </cell>
          <cell r="B56">
            <v>68</v>
          </cell>
        </row>
        <row r="57">
          <cell r="A57" t="str">
            <v>Пельмени С говядиной и свининой, ВЕС, ТМ Славница сфера пуговки  ПОКОМ</v>
          </cell>
          <cell r="B57">
            <v>436</v>
          </cell>
        </row>
        <row r="58">
          <cell r="A58" t="str">
            <v>Пельмени Со свининой и говядиной ТМ Особый рецепт Любимая ложка 1,0 кг  ПОКОМ</v>
          </cell>
          <cell r="B58">
            <v>157</v>
          </cell>
        </row>
        <row r="59">
          <cell r="A59" t="str">
            <v>Снеки Чебуманы с говядиной Чебуманы Фикс.вес 0,4 пакет Горячая штучка  Поком</v>
          </cell>
          <cell r="B59">
            <v>1</v>
          </cell>
        </row>
        <row r="60">
          <cell r="A60" t="str">
            <v>Хотстеры Васаби-чили ТМ Горячая штучка ТС Хотстеры 0,23кг жареные ПОКОМ</v>
          </cell>
          <cell r="B60">
            <v>147</v>
          </cell>
        </row>
        <row r="61">
          <cell r="A61" t="str">
            <v>Хотстеры с сыром ТМ Горячая штучка ТС Хотстеры 0,25кг.  Поком</v>
          </cell>
          <cell r="B61">
            <v>196</v>
          </cell>
        </row>
        <row r="62">
          <cell r="A62" t="str">
            <v>Хотстеры ТМ Горячая штучка ТС Хотстеры 0,25 кг зам  ПОКОМ</v>
          </cell>
          <cell r="B62">
            <v>492</v>
          </cell>
        </row>
        <row r="63">
          <cell r="A63" t="str">
            <v>Хрустипай апельсин имбирь ТМ Горячая штучка 0,18 кг  ПОКОМ</v>
          </cell>
          <cell r="B63">
            <v>8</v>
          </cell>
        </row>
        <row r="64">
          <cell r="A64" t="str">
            <v>Хрустипай манго маракуйя ТМ Горячая штучка 0,18 кг  ПОКОМ</v>
          </cell>
          <cell r="B64">
            <v>26</v>
          </cell>
        </row>
        <row r="65">
          <cell r="A65" t="str">
            <v>Хрустипай манго чили ТМ Горячая штучка 0,18кг с начинкой ПОКОМ</v>
          </cell>
          <cell r="B65">
            <v>4</v>
          </cell>
        </row>
        <row r="66">
          <cell r="A66" t="str">
            <v>Хрустящие крылышки острые к пиву ТМ Горячая штучка 0,3кг зам  ПОКОМ</v>
          </cell>
          <cell r="B66">
            <v>457</v>
          </cell>
        </row>
        <row r="67">
          <cell r="A67" t="str">
            <v>Хрустящие крылышки ТМ Горячая штучка 0,3 кг зам  ПОКОМ</v>
          </cell>
          <cell r="B67">
            <v>525</v>
          </cell>
        </row>
        <row r="68">
          <cell r="A68" t="str">
            <v>Чебупели Курочка гриль Базовый ассортимент Фикс.вес 0,3 Пакет Горячая штучка  Поком</v>
          </cell>
          <cell r="B68">
            <v>124</v>
          </cell>
        </row>
        <row r="69">
          <cell r="A69" t="str">
            <v>Чебупицца курочка по-итальянски Горячая штучка 0,25 кг зам  ПОКОМ</v>
          </cell>
          <cell r="B69">
            <v>668</v>
          </cell>
        </row>
        <row r="70">
          <cell r="A70" t="str">
            <v>Чебупицца Пепперони ТМ Горячая штучка ТС Чебупицца 0.25кг зам  ПОКОМ</v>
          </cell>
          <cell r="B70">
            <v>446</v>
          </cell>
        </row>
        <row r="71">
          <cell r="A71" t="str">
            <v>Чебупицца со вкусом 4 сыра 0,2кг ТМ Горячая штучка ТС Foodgital  ПОКОМ</v>
          </cell>
          <cell r="B71">
            <v>88</v>
          </cell>
        </row>
        <row r="72">
          <cell r="A72" t="str">
            <v>Чебупицца со вкусом Том ям ТМ Горячая штучка ТС Чебупицца 0,23кг жареные ПОКОМ</v>
          </cell>
          <cell r="B72">
            <v>335</v>
          </cell>
        </row>
        <row r="73">
          <cell r="A73" t="str">
            <v>Чебуреки сочные, ВЕС, куриные жарен. зам  ПОКОМ</v>
          </cell>
          <cell r="B73">
            <v>5</v>
          </cell>
        </row>
        <row r="74">
          <cell r="B74">
            <v>12827.2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ср нов</v>
          </cell>
          <cell r="Q8" t="str">
            <v>расчет (потребность)</v>
          </cell>
          <cell r="R8" t="str">
            <v>заказ филиала</v>
          </cell>
          <cell r="S8" t="str">
            <v>Комментарии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08,06,</v>
          </cell>
          <cell r="O9" t="str">
            <v>15,06,</v>
          </cell>
          <cell r="P9" t="str">
            <v>18,06,</v>
          </cell>
          <cell r="Q9" t="str">
            <v>22,06,</v>
          </cell>
        </row>
        <row r="10">
          <cell r="D10">
            <v>10702.8</v>
          </cell>
          <cell r="E10">
            <v>13847</v>
          </cell>
          <cell r="F10">
            <v>12060.1</v>
          </cell>
          <cell r="G10">
            <v>12516.699999999999</v>
          </cell>
          <cell r="L10">
            <v>12788.2</v>
          </cell>
          <cell r="M10">
            <v>-728.10000000000014</v>
          </cell>
          <cell r="N10">
            <v>14320</v>
          </cell>
          <cell r="O10">
            <v>15049.6</v>
          </cell>
          <cell r="P10">
            <v>2412.0199999999995</v>
          </cell>
          <cell r="Q10">
            <v>7211.52</v>
          </cell>
          <cell r="R10">
            <v>11460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 t="str">
            <v>P005065</v>
          </cell>
          <cell r="D11">
            <v>124</v>
          </cell>
          <cell r="F11">
            <v>38</v>
          </cell>
          <cell r="G11">
            <v>86</v>
          </cell>
          <cell r="H11">
            <v>0.22</v>
          </cell>
          <cell r="L11">
            <v>38</v>
          </cell>
          <cell r="M11">
            <v>0</v>
          </cell>
          <cell r="N11">
            <v>0</v>
          </cell>
          <cell r="O11">
            <v>50</v>
          </cell>
          <cell r="P11">
            <v>7.6</v>
          </cell>
          <cell r="R11">
            <v>100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 t="str">
            <v>P004598</v>
          </cell>
          <cell r="D12">
            <v>529</v>
          </cell>
          <cell r="F12">
            <v>149</v>
          </cell>
          <cell r="G12">
            <v>380</v>
          </cell>
          <cell r="H12">
            <v>0.3</v>
          </cell>
          <cell r="L12">
            <v>149</v>
          </cell>
          <cell r="M12">
            <v>0</v>
          </cell>
          <cell r="N12">
            <v>0</v>
          </cell>
          <cell r="O12">
            <v>0</v>
          </cell>
          <cell r="P12">
            <v>29.8</v>
          </cell>
          <cell r="Q12">
            <v>37.199999999999989</v>
          </cell>
          <cell r="R12">
            <v>100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 t="str">
            <v>P004597</v>
          </cell>
          <cell r="E13">
            <v>588</v>
          </cell>
          <cell r="F13">
            <v>252</v>
          </cell>
          <cell r="G13">
            <v>336</v>
          </cell>
          <cell r="H13">
            <v>0.28000000000000003</v>
          </cell>
          <cell r="L13">
            <v>264</v>
          </cell>
          <cell r="M13">
            <v>-12</v>
          </cell>
          <cell r="N13">
            <v>560</v>
          </cell>
          <cell r="O13">
            <v>200</v>
          </cell>
          <cell r="P13">
            <v>50.4</v>
          </cell>
          <cell r="R13">
            <v>100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 t="str">
            <v>P004969</v>
          </cell>
          <cell r="D14">
            <v>190</v>
          </cell>
          <cell r="E14">
            <v>168</v>
          </cell>
          <cell r="F14">
            <v>350</v>
          </cell>
          <cell r="G14">
            <v>8</v>
          </cell>
          <cell r="H14">
            <v>0.24</v>
          </cell>
          <cell r="L14">
            <v>350</v>
          </cell>
          <cell r="M14">
            <v>0</v>
          </cell>
          <cell r="N14">
            <v>240</v>
          </cell>
          <cell r="O14">
            <v>650</v>
          </cell>
          <cell r="P14">
            <v>70</v>
          </cell>
          <cell r="Q14">
            <v>82</v>
          </cell>
          <cell r="R14">
            <v>650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 t="str">
            <v>P004971</v>
          </cell>
          <cell r="D15">
            <v>188</v>
          </cell>
          <cell r="E15">
            <v>504</v>
          </cell>
          <cell r="F15">
            <v>473</v>
          </cell>
          <cell r="G15">
            <v>219</v>
          </cell>
          <cell r="H15">
            <v>0.24</v>
          </cell>
          <cell r="I15" t="str">
            <v>сроки</v>
          </cell>
          <cell r="L15">
            <v>473</v>
          </cell>
          <cell r="M15">
            <v>0</v>
          </cell>
          <cell r="N15">
            <v>560</v>
          </cell>
          <cell r="O15">
            <v>500</v>
          </cell>
          <cell r="P15">
            <v>94.6</v>
          </cell>
          <cell r="Q15">
            <v>45.399999999999864</v>
          </cell>
          <cell r="R15">
            <v>200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 t="str">
            <v>P004974</v>
          </cell>
          <cell r="D16">
            <v>150</v>
          </cell>
          <cell r="E16">
            <v>168</v>
          </cell>
          <cell r="F16">
            <v>239</v>
          </cell>
          <cell r="G16">
            <v>71</v>
          </cell>
          <cell r="H16">
            <v>0.24</v>
          </cell>
          <cell r="L16">
            <v>247</v>
          </cell>
          <cell r="M16">
            <v>-8</v>
          </cell>
          <cell r="N16">
            <v>150</v>
          </cell>
          <cell r="O16">
            <v>290</v>
          </cell>
          <cell r="P16">
            <v>47.8</v>
          </cell>
          <cell r="Q16">
            <v>158.19999999999993</v>
          </cell>
          <cell r="R16">
            <v>350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 t="str">
            <v>P004966</v>
          </cell>
          <cell r="D17">
            <v>12</v>
          </cell>
          <cell r="E17">
            <v>508</v>
          </cell>
          <cell r="F17">
            <v>233</v>
          </cell>
          <cell r="G17">
            <v>308</v>
          </cell>
          <cell r="H17">
            <v>0.24</v>
          </cell>
          <cell r="J17" t="str">
            <v>метка</v>
          </cell>
          <cell r="L17">
            <v>204</v>
          </cell>
          <cell r="M17">
            <v>29</v>
          </cell>
          <cell r="N17">
            <v>560</v>
          </cell>
          <cell r="O17">
            <v>500</v>
          </cell>
          <cell r="P17">
            <v>46.6</v>
          </cell>
          <cell r="R17">
            <v>300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 t="str">
            <v>P004595</v>
          </cell>
          <cell r="E18">
            <v>112</v>
          </cell>
          <cell r="F18">
            <v>101</v>
          </cell>
          <cell r="G18">
            <v>3</v>
          </cell>
          <cell r="H18">
            <v>0.48</v>
          </cell>
          <cell r="L18">
            <v>109</v>
          </cell>
          <cell r="M18">
            <v>-8</v>
          </cell>
          <cell r="N18">
            <v>120</v>
          </cell>
          <cell r="O18">
            <v>0</v>
          </cell>
          <cell r="P18">
            <v>20.2</v>
          </cell>
          <cell r="Q18">
            <v>159.80000000000001</v>
          </cell>
          <cell r="R18">
            <v>300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 t="str">
            <v>P004138</v>
          </cell>
          <cell r="D19">
            <v>2</v>
          </cell>
          <cell r="F19">
            <v>0</v>
          </cell>
          <cell r="G19">
            <v>2</v>
          </cell>
          <cell r="H19">
            <v>0.09</v>
          </cell>
          <cell r="L19">
            <v>10</v>
          </cell>
          <cell r="M19">
            <v>-10</v>
          </cell>
          <cell r="N19">
            <v>0</v>
          </cell>
          <cell r="O19">
            <v>100</v>
          </cell>
          <cell r="P19">
            <v>0</v>
          </cell>
          <cell r="R19">
            <v>150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 t="str">
            <v>P004583</v>
          </cell>
          <cell r="D20">
            <v>110</v>
          </cell>
          <cell r="E20">
            <v>140</v>
          </cell>
          <cell r="F20">
            <v>120</v>
          </cell>
          <cell r="G20">
            <v>130</v>
          </cell>
          <cell r="H20">
            <v>0.36</v>
          </cell>
          <cell r="L20">
            <v>120</v>
          </cell>
          <cell r="M20">
            <v>0</v>
          </cell>
          <cell r="N20">
            <v>160</v>
          </cell>
          <cell r="O20">
            <v>300</v>
          </cell>
          <cell r="P20">
            <v>24</v>
          </cell>
          <cell r="R20">
            <v>100</v>
          </cell>
        </row>
        <row r="21">
          <cell r="A21" t="str">
            <v>ЖАР-ладушки с клубникой и вишней ТМ Стародворье 0,2 кг.  Поком</v>
          </cell>
          <cell r="B21" t="str">
            <v>шт</v>
          </cell>
          <cell r="C21" t="str">
            <v>P005095</v>
          </cell>
          <cell r="D21">
            <v>56</v>
          </cell>
          <cell r="F21">
            <v>0</v>
          </cell>
          <cell r="G21">
            <v>56</v>
          </cell>
          <cell r="H21">
            <v>0.2</v>
          </cell>
          <cell r="I21">
            <v>180</v>
          </cell>
          <cell r="L21">
            <v>24</v>
          </cell>
          <cell r="M21">
            <v>-24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Жареные вареники с картофелем и беконом ТМ Стародворье 0,2 кг  ПОКОМ</v>
          </cell>
          <cell r="B22" t="str">
            <v>шт</v>
          </cell>
          <cell r="C22" t="str">
            <v>P005129</v>
          </cell>
          <cell r="D22">
            <v>122</v>
          </cell>
          <cell r="F22">
            <v>114</v>
          </cell>
          <cell r="G22">
            <v>8</v>
          </cell>
          <cell r="H22">
            <v>0.2</v>
          </cell>
          <cell r="I22">
            <v>180</v>
          </cell>
          <cell r="L22">
            <v>114</v>
          </cell>
          <cell r="M22">
            <v>0</v>
          </cell>
          <cell r="N22">
            <v>0</v>
          </cell>
          <cell r="O22">
            <v>40</v>
          </cell>
          <cell r="P22">
            <v>22.8</v>
          </cell>
          <cell r="Q22">
            <v>271.2</v>
          </cell>
          <cell r="R22">
            <v>300</v>
          </cell>
        </row>
        <row r="23">
          <cell r="A23" t="str">
            <v>Круггетсы с сырным соусом ТМ Горячая штучка ТС Круггетсы флоу-пак 0,2 кг  ПОКОМ</v>
          </cell>
          <cell r="B23" t="str">
            <v>шт</v>
          </cell>
          <cell r="C23" t="str">
            <v>P004956</v>
          </cell>
          <cell r="D23">
            <v>229</v>
          </cell>
          <cell r="E23">
            <v>10</v>
          </cell>
          <cell r="F23">
            <v>240</v>
          </cell>
          <cell r="G23">
            <v>-1</v>
          </cell>
          <cell r="H23">
            <v>0.2</v>
          </cell>
          <cell r="I23">
            <v>180</v>
          </cell>
          <cell r="L23">
            <v>243</v>
          </cell>
          <cell r="M23">
            <v>-3</v>
          </cell>
          <cell r="N23">
            <v>50</v>
          </cell>
          <cell r="O23">
            <v>440</v>
          </cell>
          <cell r="P23">
            <v>48</v>
          </cell>
          <cell r="Q23">
            <v>183</v>
          </cell>
          <cell r="R23">
            <v>350</v>
          </cell>
        </row>
        <row r="24">
          <cell r="A24" t="str">
            <v>Круггетсы сочные ТМ Горячая штучка ТС Круггетсы флоу-пак  0,2 кг.  ПОКОМ</v>
          </cell>
          <cell r="B24" t="str">
            <v>шт</v>
          </cell>
          <cell r="C24" t="str">
            <v>P004953</v>
          </cell>
          <cell r="D24">
            <v>51</v>
          </cell>
          <cell r="E24">
            <v>10</v>
          </cell>
          <cell r="F24">
            <v>58</v>
          </cell>
          <cell r="G24">
            <v>3</v>
          </cell>
          <cell r="H24">
            <v>0.2</v>
          </cell>
          <cell r="I24">
            <v>180</v>
          </cell>
          <cell r="L24">
            <v>144</v>
          </cell>
          <cell r="M24">
            <v>-86</v>
          </cell>
          <cell r="N24">
            <v>0</v>
          </cell>
          <cell r="O24">
            <v>350</v>
          </cell>
          <cell r="P24">
            <v>11.6</v>
          </cell>
          <cell r="R24">
            <v>300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 t="str">
            <v>P005235</v>
          </cell>
          <cell r="D25">
            <v>55</v>
          </cell>
          <cell r="F25">
            <v>50</v>
          </cell>
          <cell r="G25">
            <v>5</v>
          </cell>
          <cell r="H25">
            <v>1</v>
          </cell>
          <cell r="I25">
            <v>180</v>
          </cell>
          <cell r="L25">
            <v>80</v>
          </cell>
          <cell r="M25">
            <v>-30</v>
          </cell>
          <cell r="N25">
            <v>120</v>
          </cell>
          <cell r="O25">
            <v>100</v>
          </cell>
          <cell r="P25">
            <v>10</v>
          </cell>
          <cell r="R25">
            <v>200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 t="str">
            <v>P004394</v>
          </cell>
          <cell r="D26">
            <v>84</v>
          </cell>
          <cell r="E26">
            <v>12</v>
          </cell>
          <cell r="F26">
            <v>36</v>
          </cell>
          <cell r="G26">
            <v>57</v>
          </cell>
          <cell r="H26">
            <v>1</v>
          </cell>
          <cell r="I26">
            <v>180</v>
          </cell>
          <cell r="L26">
            <v>39</v>
          </cell>
          <cell r="M26">
            <v>-3</v>
          </cell>
          <cell r="N26">
            <v>0</v>
          </cell>
          <cell r="O26">
            <v>135</v>
          </cell>
          <cell r="P26">
            <v>7.2</v>
          </cell>
          <cell r="R26">
            <v>200</v>
          </cell>
        </row>
        <row r="27">
          <cell r="A27" t="str">
            <v>Наггетсы из печи 0,25кг ТМ Вязанка замор.  ПОКОМ</v>
          </cell>
          <cell r="B27" t="str">
            <v>шт</v>
          </cell>
          <cell r="C27" t="str">
            <v>P004497</v>
          </cell>
          <cell r="D27">
            <v>717</v>
          </cell>
          <cell r="E27">
            <v>171</v>
          </cell>
          <cell r="F27">
            <v>431</v>
          </cell>
          <cell r="G27">
            <v>455</v>
          </cell>
          <cell r="H27">
            <v>0.25</v>
          </cell>
          <cell r="I27">
            <v>180</v>
          </cell>
          <cell r="J27" t="str">
            <v>матрица</v>
          </cell>
          <cell r="L27">
            <v>433</v>
          </cell>
          <cell r="M27">
            <v>-2</v>
          </cell>
          <cell r="N27">
            <v>100</v>
          </cell>
          <cell r="O27">
            <v>0</v>
          </cell>
          <cell r="P27">
            <v>86.2</v>
          </cell>
          <cell r="Q27">
            <v>651.79999999999995</v>
          </cell>
          <cell r="R27">
            <v>700</v>
          </cell>
        </row>
        <row r="28">
          <cell r="A28" t="str">
            <v>Наггетсы Нагетосы Сочная курочка со сметаной и зеленью ТМ Горячая штучка флоу-пак 0,25 кг  Поком</v>
          </cell>
          <cell r="B28" t="str">
            <v>шт</v>
          </cell>
          <cell r="C28" t="str">
            <v>P004600</v>
          </cell>
          <cell r="D28">
            <v>72</v>
          </cell>
          <cell r="F28">
            <v>72</v>
          </cell>
          <cell r="H28">
            <v>0.25</v>
          </cell>
          <cell r="I28">
            <v>180</v>
          </cell>
          <cell r="J28" t="str">
            <v>матрица</v>
          </cell>
          <cell r="L28">
            <v>94</v>
          </cell>
          <cell r="M28">
            <v>-22</v>
          </cell>
          <cell r="N28">
            <v>40</v>
          </cell>
          <cell r="O28">
            <v>250</v>
          </cell>
          <cell r="P28">
            <v>14.4</v>
          </cell>
        </row>
        <row r="29">
          <cell r="A29" t="str">
            <v>Наггетсы Нагетосы Сочная курочка ТМ Горячая штучка 0,25 кг зам  ПОКОМ</v>
          </cell>
          <cell r="B29" t="str">
            <v>шт</v>
          </cell>
          <cell r="C29" t="str">
            <v>P004602</v>
          </cell>
          <cell r="D29">
            <v>915</v>
          </cell>
          <cell r="E29">
            <v>2</v>
          </cell>
          <cell r="F29">
            <v>406</v>
          </cell>
          <cell r="G29">
            <v>509</v>
          </cell>
          <cell r="H29">
            <v>0.25</v>
          </cell>
          <cell r="I29">
            <v>180</v>
          </cell>
          <cell r="L29">
            <v>408</v>
          </cell>
          <cell r="M29">
            <v>-2</v>
          </cell>
          <cell r="N29">
            <v>0</v>
          </cell>
          <cell r="O29">
            <v>0</v>
          </cell>
          <cell r="P29">
            <v>81.2</v>
          </cell>
          <cell r="Q29">
            <v>627.79999999999995</v>
          </cell>
        </row>
        <row r="30">
          <cell r="A30" t="str">
            <v>Наггетсы с индейкой 0,25кг ТМ Вязанка ТС Из печи Сливушки ПОКОМ</v>
          </cell>
          <cell r="B30" t="str">
            <v>шт</v>
          </cell>
          <cell r="C30" t="str">
            <v>P004496</v>
          </cell>
          <cell r="D30">
            <v>107</v>
          </cell>
          <cell r="E30">
            <v>337</v>
          </cell>
          <cell r="F30">
            <v>192</v>
          </cell>
          <cell r="G30">
            <v>252</v>
          </cell>
          <cell r="H30">
            <v>0.25</v>
          </cell>
          <cell r="I30">
            <v>0</v>
          </cell>
          <cell r="J30" t="str">
            <v>матрица</v>
          </cell>
          <cell r="L30">
            <v>212</v>
          </cell>
          <cell r="M30">
            <v>-20</v>
          </cell>
          <cell r="N30">
            <v>320</v>
          </cell>
          <cell r="O30">
            <v>450</v>
          </cell>
          <cell r="P30">
            <v>38.4</v>
          </cell>
          <cell r="R30">
            <v>500</v>
          </cell>
        </row>
        <row r="31">
          <cell r="A31" t="str">
            <v>Наггетсы с куриным филе и сыром ТМ Вязанка ТС Из печи Сливушки 0,25 кг.  Поком</v>
          </cell>
          <cell r="B31" t="str">
            <v>шт</v>
          </cell>
          <cell r="C31" t="str">
            <v>P004535</v>
          </cell>
          <cell r="D31">
            <v>634</v>
          </cell>
          <cell r="E31">
            <v>2</v>
          </cell>
          <cell r="F31">
            <v>263</v>
          </cell>
          <cell r="G31">
            <v>371</v>
          </cell>
          <cell r="H31">
            <v>0.25</v>
          </cell>
          <cell r="I31">
            <v>180</v>
          </cell>
          <cell r="L31">
            <v>265</v>
          </cell>
          <cell r="M31">
            <v>-2</v>
          </cell>
          <cell r="N31">
            <v>0</v>
          </cell>
          <cell r="O31">
            <v>0</v>
          </cell>
          <cell r="P31">
            <v>52.6</v>
          </cell>
          <cell r="Q31">
            <v>365.4</v>
          </cell>
        </row>
        <row r="32">
          <cell r="A32" t="str">
            <v>Наггетсы Хрустящие ТМ Стародворье с сочной курочкой 0,23 кг  ПОКОМ</v>
          </cell>
          <cell r="B32" t="str">
            <v>шт</v>
          </cell>
          <cell r="C32" t="str">
            <v>P005043</v>
          </cell>
          <cell r="E32">
            <v>168</v>
          </cell>
          <cell r="F32">
            <v>63</v>
          </cell>
          <cell r="G32">
            <v>105</v>
          </cell>
          <cell r="H32">
            <v>0.23</v>
          </cell>
          <cell r="L32">
            <v>63</v>
          </cell>
          <cell r="M32">
            <v>0</v>
          </cell>
          <cell r="N32">
            <v>240</v>
          </cell>
          <cell r="O32">
            <v>0</v>
          </cell>
          <cell r="P32">
            <v>12.6</v>
          </cell>
          <cell r="R32">
            <v>200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 t="str">
            <v>P004594</v>
          </cell>
          <cell r="D33">
            <v>106</v>
          </cell>
          <cell r="F33">
            <v>88</v>
          </cell>
          <cell r="G33">
            <v>18</v>
          </cell>
          <cell r="H33">
            <v>0.25</v>
          </cell>
          <cell r="I33">
            <v>180</v>
          </cell>
          <cell r="J33" t="str">
            <v>матрица</v>
          </cell>
          <cell r="L33">
            <v>88</v>
          </cell>
          <cell r="M33">
            <v>0</v>
          </cell>
          <cell r="N33">
            <v>0</v>
          </cell>
          <cell r="O33">
            <v>39.599999999999994</v>
          </cell>
          <cell r="P33">
            <v>17.600000000000001</v>
          </cell>
          <cell r="Q33">
            <v>188.80000000000004</v>
          </cell>
          <cell r="R33">
            <v>300</v>
          </cell>
        </row>
        <row r="34">
          <cell r="A34" t="str">
            <v>Пельмени Grandmeni с говядиной и свининой ТМ Горячаяштучка флоу-па классическая форма 0,7 кг.  Поком</v>
          </cell>
          <cell r="B34" t="str">
            <v>шт</v>
          </cell>
          <cell r="C34" t="str">
            <v>P004889</v>
          </cell>
          <cell r="D34">
            <v>99</v>
          </cell>
          <cell r="E34">
            <v>5</v>
          </cell>
          <cell r="F34">
            <v>92</v>
          </cell>
          <cell r="G34">
            <v>7</v>
          </cell>
          <cell r="H34">
            <v>0.7</v>
          </cell>
          <cell r="I34">
            <v>180</v>
          </cell>
          <cell r="J34" t="str">
            <v>матрица</v>
          </cell>
          <cell r="L34">
            <v>97</v>
          </cell>
          <cell r="M34">
            <v>-5</v>
          </cell>
          <cell r="N34">
            <v>0</v>
          </cell>
          <cell r="O34">
            <v>200</v>
          </cell>
          <cell r="P34">
            <v>18.399999999999999</v>
          </cell>
          <cell r="Q34">
            <v>50.599999999999966</v>
          </cell>
          <cell r="R34">
            <v>200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 t="str">
            <v>P004887</v>
          </cell>
          <cell r="D35">
            <v>42</v>
          </cell>
          <cell r="E35">
            <v>101</v>
          </cell>
          <cell r="F35">
            <v>83</v>
          </cell>
          <cell r="G35">
            <v>55</v>
          </cell>
          <cell r="H35">
            <v>0.7</v>
          </cell>
          <cell r="I35">
            <v>180</v>
          </cell>
          <cell r="J35" t="str">
            <v>матрица</v>
          </cell>
          <cell r="L35">
            <v>85</v>
          </cell>
          <cell r="M35">
            <v>-2</v>
          </cell>
          <cell r="N35">
            <v>50</v>
          </cell>
          <cell r="O35">
            <v>100</v>
          </cell>
          <cell r="P35">
            <v>16.600000000000001</v>
          </cell>
          <cell r="Q35">
            <v>27.400000000000034</v>
          </cell>
          <cell r="R35">
            <v>200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 t="str">
            <v>P004888</v>
          </cell>
          <cell r="D36">
            <v>30</v>
          </cell>
          <cell r="E36">
            <v>192</v>
          </cell>
          <cell r="F36">
            <v>92</v>
          </cell>
          <cell r="G36">
            <v>130</v>
          </cell>
          <cell r="H36">
            <v>0.7</v>
          </cell>
          <cell r="I36">
            <v>365</v>
          </cell>
          <cell r="J36" t="str">
            <v>матрица</v>
          </cell>
          <cell r="L36">
            <v>97</v>
          </cell>
          <cell r="M36">
            <v>-5</v>
          </cell>
          <cell r="N36">
            <v>160</v>
          </cell>
          <cell r="O36">
            <v>120</v>
          </cell>
          <cell r="P36">
            <v>18.399999999999999</v>
          </cell>
          <cell r="R36">
            <v>100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 t="str">
            <v>P004440</v>
          </cell>
          <cell r="D37">
            <v>-5</v>
          </cell>
          <cell r="E37">
            <v>375</v>
          </cell>
          <cell r="F37">
            <v>135</v>
          </cell>
          <cell r="G37">
            <v>221</v>
          </cell>
          <cell r="H37">
            <v>0.7</v>
          </cell>
          <cell r="I37">
            <v>180</v>
          </cell>
          <cell r="J37" t="str">
            <v>матрица</v>
          </cell>
          <cell r="L37">
            <v>203</v>
          </cell>
          <cell r="M37">
            <v>-68</v>
          </cell>
          <cell r="N37">
            <v>300</v>
          </cell>
          <cell r="O37">
            <v>600</v>
          </cell>
          <cell r="P37">
            <v>27</v>
          </cell>
          <cell r="R37">
            <v>100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 t="str">
            <v>P004442</v>
          </cell>
          <cell r="D38">
            <v>111</v>
          </cell>
          <cell r="F38">
            <v>120</v>
          </cell>
          <cell r="G38">
            <v>-17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126</v>
          </cell>
          <cell r="M38">
            <v>-6</v>
          </cell>
          <cell r="N38">
            <v>40</v>
          </cell>
          <cell r="O38">
            <v>160</v>
          </cell>
          <cell r="P38">
            <v>24</v>
          </cell>
          <cell r="Q38">
            <v>153</v>
          </cell>
          <cell r="R38">
            <v>350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 t="str">
            <v>P004203</v>
          </cell>
          <cell r="D39">
            <v>439</v>
          </cell>
          <cell r="E39">
            <v>9</v>
          </cell>
          <cell r="F39">
            <v>324</v>
          </cell>
          <cell r="G39">
            <v>119</v>
          </cell>
          <cell r="H39">
            <v>0.7</v>
          </cell>
          <cell r="I39">
            <v>365</v>
          </cell>
          <cell r="L39">
            <v>329</v>
          </cell>
          <cell r="M39">
            <v>-5</v>
          </cell>
          <cell r="N39">
            <v>0</v>
          </cell>
          <cell r="O39">
            <v>160</v>
          </cell>
          <cell r="P39">
            <v>64.8</v>
          </cell>
          <cell r="Q39">
            <v>628.19999999999993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 t="str">
            <v>P004819</v>
          </cell>
          <cell r="D40">
            <v>36</v>
          </cell>
          <cell r="E40">
            <v>240</v>
          </cell>
          <cell r="F40">
            <v>77</v>
          </cell>
          <cell r="G40">
            <v>199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77</v>
          </cell>
          <cell r="M40">
            <v>0</v>
          </cell>
          <cell r="N40">
            <v>260</v>
          </cell>
          <cell r="O40">
            <v>250</v>
          </cell>
          <cell r="P40">
            <v>15.4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 t="str">
            <v>P003697</v>
          </cell>
          <cell r="D41">
            <v>155</v>
          </cell>
          <cell r="E41">
            <v>725</v>
          </cell>
          <cell r="F41">
            <v>310</v>
          </cell>
          <cell r="G41">
            <v>565</v>
          </cell>
          <cell r="H41">
            <v>1</v>
          </cell>
          <cell r="I41">
            <v>180</v>
          </cell>
          <cell r="J41" t="str">
            <v>матрица</v>
          </cell>
          <cell r="L41">
            <v>350</v>
          </cell>
          <cell r="M41">
            <v>-40</v>
          </cell>
          <cell r="N41">
            <v>720</v>
          </cell>
          <cell r="O41">
            <v>300</v>
          </cell>
          <cell r="P41">
            <v>62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 t="str">
            <v>P004474</v>
          </cell>
          <cell r="E42">
            <v>960</v>
          </cell>
          <cell r="F42">
            <v>205</v>
          </cell>
          <cell r="G42">
            <v>751</v>
          </cell>
          <cell r="H42">
            <v>0.4</v>
          </cell>
          <cell r="I42">
            <v>180</v>
          </cell>
          <cell r="L42">
            <v>257</v>
          </cell>
          <cell r="M42">
            <v>-52</v>
          </cell>
          <cell r="N42">
            <v>900</v>
          </cell>
          <cell r="O42">
            <v>560</v>
          </cell>
          <cell r="P42">
            <v>41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 t="str">
            <v>P004345</v>
          </cell>
          <cell r="D43">
            <v>27</v>
          </cell>
          <cell r="E43">
            <v>1331</v>
          </cell>
          <cell r="F43">
            <v>395</v>
          </cell>
          <cell r="G43">
            <v>958</v>
          </cell>
          <cell r="H43">
            <v>0.7</v>
          </cell>
          <cell r="I43">
            <v>180</v>
          </cell>
          <cell r="L43">
            <v>430</v>
          </cell>
          <cell r="M43">
            <v>-35</v>
          </cell>
          <cell r="N43">
            <v>1300</v>
          </cell>
          <cell r="O43">
            <v>900</v>
          </cell>
          <cell r="P43">
            <v>79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 t="str">
            <v>P004444</v>
          </cell>
          <cell r="D44">
            <v>168</v>
          </cell>
          <cell r="E44">
            <v>776</v>
          </cell>
          <cell r="F44">
            <v>269</v>
          </cell>
          <cell r="G44">
            <v>675</v>
          </cell>
          <cell r="H44">
            <v>0.4</v>
          </cell>
          <cell r="I44">
            <v>180</v>
          </cell>
          <cell r="J44" t="str">
            <v>матрица</v>
          </cell>
          <cell r="L44">
            <v>269</v>
          </cell>
          <cell r="M44">
            <v>0</v>
          </cell>
          <cell r="N44">
            <v>700</v>
          </cell>
          <cell r="O44">
            <v>600</v>
          </cell>
          <cell r="P44">
            <v>53.8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 t="str">
            <v>P004346</v>
          </cell>
          <cell r="D45">
            <v>201</v>
          </cell>
          <cell r="E45">
            <v>1440</v>
          </cell>
          <cell r="F45">
            <v>809</v>
          </cell>
          <cell r="G45">
            <v>863</v>
          </cell>
          <cell r="H45">
            <v>0.7</v>
          </cell>
          <cell r="I45">
            <v>180</v>
          </cell>
          <cell r="J45" t="str">
            <v>матрица</v>
          </cell>
          <cell r="L45">
            <v>769</v>
          </cell>
          <cell r="M45">
            <v>40</v>
          </cell>
          <cell r="N45">
            <v>1450</v>
          </cell>
          <cell r="O45">
            <v>700</v>
          </cell>
          <cell r="P45">
            <v>161.80000000000001</v>
          </cell>
          <cell r="R45">
            <v>700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 t="str">
            <v>P004060</v>
          </cell>
          <cell r="E46">
            <v>360</v>
          </cell>
          <cell r="F46">
            <v>313</v>
          </cell>
          <cell r="G46">
            <v>47</v>
          </cell>
          <cell r="H46">
            <v>0.7</v>
          </cell>
          <cell r="I46">
            <v>180</v>
          </cell>
          <cell r="J46" t="str">
            <v>матрица</v>
          </cell>
          <cell r="L46">
            <v>313</v>
          </cell>
          <cell r="M46">
            <v>0</v>
          </cell>
          <cell r="N46">
            <v>300</v>
          </cell>
          <cell r="O46">
            <v>500</v>
          </cell>
          <cell r="P46">
            <v>62.6</v>
          </cell>
          <cell r="Q46">
            <v>29.399999999999977</v>
          </cell>
          <cell r="R46">
            <v>380</v>
          </cell>
        </row>
        <row r="47">
          <cell r="A47" t="str">
            <v>Пельмени Мясные с говядиной ТМ Стародворье сфера флоу-пак 1 кг  ПОКОМ</v>
          </cell>
          <cell r="B47" t="str">
            <v>шт</v>
          </cell>
          <cell r="C47" t="str">
            <v>P005048</v>
          </cell>
          <cell r="D47">
            <v>134</v>
          </cell>
          <cell r="E47">
            <v>243</v>
          </cell>
          <cell r="F47">
            <v>326</v>
          </cell>
          <cell r="G47">
            <v>53</v>
          </cell>
          <cell r="H47">
            <v>1</v>
          </cell>
          <cell r="I47">
            <v>180</v>
          </cell>
          <cell r="J47" t="str">
            <v>матрица</v>
          </cell>
          <cell r="L47">
            <v>350</v>
          </cell>
          <cell r="M47">
            <v>-24</v>
          </cell>
          <cell r="N47">
            <v>250</v>
          </cell>
          <cell r="O47">
            <v>100</v>
          </cell>
          <cell r="P47">
            <v>65.2</v>
          </cell>
          <cell r="Q47">
            <v>509.80000000000007</v>
          </cell>
          <cell r="R47">
            <v>600</v>
          </cell>
        </row>
        <row r="48">
          <cell r="A48" t="str">
            <v>Пельмени Отборные из свинины и говядины 0,9 кг ТМ Стародворье ТС Медвежье ушко  ПОКОМ</v>
          </cell>
          <cell r="B48" t="str">
            <v>шт</v>
          </cell>
          <cell r="C48" t="str">
            <v>P005107</v>
          </cell>
          <cell r="D48">
            <v>113</v>
          </cell>
          <cell r="E48">
            <v>96</v>
          </cell>
          <cell r="F48">
            <v>106</v>
          </cell>
          <cell r="G48">
            <v>103</v>
          </cell>
          <cell r="H48">
            <v>0.9</v>
          </cell>
          <cell r="I48">
            <v>180</v>
          </cell>
          <cell r="J48" t="str">
            <v>матрица</v>
          </cell>
          <cell r="L48">
            <v>106</v>
          </cell>
          <cell r="M48">
            <v>0</v>
          </cell>
          <cell r="N48">
            <v>50</v>
          </cell>
          <cell r="O48">
            <v>140</v>
          </cell>
          <cell r="P48">
            <v>21.2</v>
          </cell>
          <cell r="Q48">
            <v>3.8000000000000114</v>
          </cell>
          <cell r="R48">
            <v>300</v>
          </cell>
        </row>
        <row r="49">
          <cell r="A49" t="str">
            <v>Пельмени Отборные с говядиной 0,9 кг НОВА ТМ Стародворье ТС Медвежье ушко  ПОКОМ</v>
          </cell>
          <cell r="B49" t="str">
            <v>шт</v>
          </cell>
          <cell r="C49" t="str">
            <v>P005103</v>
          </cell>
          <cell r="D49">
            <v>68</v>
          </cell>
          <cell r="E49">
            <v>96</v>
          </cell>
          <cell r="F49">
            <v>68</v>
          </cell>
          <cell r="G49">
            <v>96</v>
          </cell>
          <cell r="H49">
            <v>0.9</v>
          </cell>
          <cell r="I49">
            <v>180</v>
          </cell>
          <cell r="J49" t="str">
            <v>матрица</v>
          </cell>
          <cell r="L49">
            <v>68</v>
          </cell>
          <cell r="M49">
            <v>0</v>
          </cell>
          <cell r="N49">
            <v>120</v>
          </cell>
          <cell r="O49">
            <v>0</v>
          </cell>
          <cell r="P49">
            <v>13.6</v>
          </cell>
          <cell r="R49">
            <v>300</v>
          </cell>
        </row>
        <row r="50">
          <cell r="A50" t="str">
            <v>Пельмени С говядиной и свининой, ВЕС, ТМ Славница сфера пуговки  ПОКОМ</v>
          </cell>
          <cell r="B50" t="str">
            <v>кг</v>
          </cell>
          <cell r="C50" t="str">
            <v>P004472</v>
          </cell>
          <cell r="D50">
            <v>275</v>
          </cell>
          <cell r="F50">
            <v>265</v>
          </cell>
          <cell r="G50">
            <v>10</v>
          </cell>
          <cell r="H50">
            <v>1</v>
          </cell>
          <cell r="I50">
            <v>180</v>
          </cell>
          <cell r="J50" t="str">
            <v>матрица</v>
          </cell>
          <cell r="L50">
            <v>436</v>
          </cell>
          <cell r="M50">
            <v>-171</v>
          </cell>
          <cell r="N50">
            <v>0</v>
          </cell>
          <cell r="O50">
            <v>1400</v>
          </cell>
          <cell r="P50">
            <v>53</v>
          </cell>
          <cell r="R50">
            <v>1000</v>
          </cell>
        </row>
        <row r="51">
          <cell r="A51" t="str">
            <v>Пельмени Со свининой и говядиной ТМ Особый рецепт Любимая ложка 1,0 кг  ПОКОМ</v>
          </cell>
          <cell r="B51" t="str">
            <v>шт</v>
          </cell>
          <cell r="C51" t="str">
            <v>P004081</v>
          </cell>
          <cell r="D51">
            <v>619</v>
          </cell>
          <cell r="F51">
            <v>157</v>
          </cell>
          <cell r="G51">
            <v>462</v>
          </cell>
          <cell r="H51">
            <v>1</v>
          </cell>
          <cell r="I51">
            <v>180</v>
          </cell>
          <cell r="J51" t="str">
            <v>матрица</v>
          </cell>
          <cell r="L51">
            <v>157</v>
          </cell>
          <cell r="M51">
            <v>0</v>
          </cell>
          <cell r="N51">
            <v>0</v>
          </cell>
          <cell r="O51">
            <v>0</v>
          </cell>
          <cell r="P51">
            <v>31.4</v>
          </cell>
        </row>
        <row r="52">
          <cell r="A52" t="str">
            <v>Хотстеры Васаби-чили ТМ Горячая штучка ТС Хотстеры 0,23кг жареные ПОКОМ</v>
          </cell>
          <cell r="B52" t="str">
            <v>шт</v>
          </cell>
          <cell r="C52" t="str">
            <v>P005182</v>
          </cell>
          <cell r="D52">
            <v>383</v>
          </cell>
          <cell r="E52">
            <v>3</v>
          </cell>
          <cell r="F52">
            <v>144</v>
          </cell>
          <cell r="G52">
            <v>239</v>
          </cell>
          <cell r="H52">
            <v>0.23</v>
          </cell>
          <cell r="I52">
            <v>180</v>
          </cell>
          <cell r="J52" t="str">
            <v>матрица</v>
          </cell>
          <cell r="L52">
            <v>147</v>
          </cell>
          <cell r="M52">
            <v>-3</v>
          </cell>
          <cell r="N52">
            <v>0</v>
          </cell>
          <cell r="O52">
            <v>0</v>
          </cell>
          <cell r="P52">
            <v>28.8</v>
          </cell>
          <cell r="Q52">
            <v>164.2</v>
          </cell>
        </row>
        <row r="53">
          <cell r="A53" t="str">
            <v>Хотстеры с сыром ТМ Горячая штучка ТС Хотстеры 0,25кг.  Поком</v>
          </cell>
          <cell r="B53" t="str">
            <v>шт</v>
          </cell>
          <cell r="C53" t="str">
            <v>P005058</v>
          </cell>
          <cell r="D53">
            <v>219</v>
          </cell>
          <cell r="E53">
            <v>4</v>
          </cell>
          <cell r="F53">
            <v>192</v>
          </cell>
          <cell r="G53">
            <v>27</v>
          </cell>
          <cell r="H53">
            <v>0.25</v>
          </cell>
          <cell r="I53">
            <v>180</v>
          </cell>
          <cell r="J53" t="str">
            <v>матрица</v>
          </cell>
          <cell r="L53">
            <v>196</v>
          </cell>
          <cell r="M53">
            <v>-4</v>
          </cell>
          <cell r="N53">
            <v>0</v>
          </cell>
          <cell r="O53">
            <v>350</v>
          </cell>
          <cell r="P53">
            <v>38.4</v>
          </cell>
          <cell r="Q53">
            <v>160.60000000000002</v>
          </cell>
          <cell r="R53">
            <v>400</v>
          </cell>
        </row>
        <row r="54">
          <cell r="A54" t="str">
            <v>Хотстеры ТМ Горячая штучка ТС Хотстеры 0,25 кг зам  ПОКОМ</v>
          </cell>
          <cell r="B54" t="str">
            <v>шт</v>
          </cell>
          <cell r="C54" t="str">
            <v>P004489</v>
          </cell>
          <cell r="D54">
            <v>308</v>
          </cell>
          <cell r="E54">
            <v>511</v>
          </cell>
          <cell r="F54">
            <v>485</v>
          </cell>
          <cell r="G54">
            <v>327</v>
          </cell>
          <cell r="H54">
            <v>0.25</v>
          </cell>
          <cell r="I54">
            <v>180</v>
          </cell>
          <cell r="J54" t="str">
            <v>матрица</v>
          </cell>
          <cell r="L54">
            <v>492</v>
          </cell>
          <cell r="M54">
            <v>-7</v>
          </cell>
          <cell r="N54">
            <v>520</v>
          </cell>
          <cell r="O54">
            <v>250</v>
          </cell>
          <cell r="P54">
            <v>97</v>
          </cell>
          <cell r="Q54">
            <v>261</v>
          </cell>
        </row>
        <row r="55">
          <cell r="A55" t="str">
            <v>Хрустипай манго маракуйя ТМ Горячая штучка 0,18 кг  ПОКОМ</v>
          </cell>
          <cell r="B55" t="str">
            <v>шт</v>
          </cell>
          <cell r="C55" t="str">
            <v>P005199</v>
          </cell>
          <cell r="D55">
            <v>79</v>
          </cell>
          <cell r="F55">
            <v>26</v>
          </cell>
          <cell r="G55">
            <v>53</v>
          </cell>
          <cell r="H55">
            <v>0.18</v>
          </cell>
          <cell r="I55">
            <v>180</v>
          </cell>
          <cell r="J55" t="str">
            <v>матрица</v>
          </cell>
          <cell r="L55">
            <v>26</v>
          </cell>
          <cell r="M55">
            <v>0</v>
          </cell>
          <cell r="N55">
            <v>0</v>
          </cell>
          <cell r="O55">
            <v>0</v>
          </cell>
          <cell r="P55">
            <v>5.2</v>
          </cell>
          <cell r="Q55">
            <v>19.799999999999997</v>
          </cell>
        </row>
        <row r="56">
          <cell r="A56" t="str">
            <v>Хрустипай манго чили ТМ Горячая штучка 0,18кг с начинкой ПОКОМ</v>
          </cell>
          <cell r="B56" t="str">
            <v>шт</v>
          </cell>
          <cell r="C56" t="str">
            <v>P005200</v>
          </cell>
          <cell r="D56">
            <v>81</v>
          </cell>
          <cell r="F56">
            <v>4</v>
          </cell>
          <cell r="G56">
            <v>77</v>
          </cell>
          <cell r="H56">
            <v>0.18</v>
          </cell>
          <cell r="I56">
            <v>0</v>
          </cell>
          <cell r="J56" t="str">
            <v>матрица</v>
          </cell>
          <cell r="L56">
            <v>4</v>
          </cell>
          <cell r="M56">
            <v>0</v>
          </cell>
          <cell r="N56">
            <v>0</v>
          </cell>
          <cell r="O56">
            <v>0</v>
          </cell>
          <cell r="P56">
            <v>0.8</v>
          </cell>
        </row>
        <row r="57">
          <cell r="A57" t="str">
            <v>Хрустящие крылышки острые к пиву ТМ Горячая штучка 0,3кг зам  ПОКОМ</v>
          </cell>
          <cell r="B57" t="str">
            <v>шт</v>
          </cell>
          <cell r="C57" t="str">
            <v>P004589</v>
          </cell>
          <cell r="D57">
            <v>295</v>
          </cell>
          <cell r="E57">
            <v>678</v>
          </cell>
          <cell r="F57">
            <v>451</v>
          </cell>
          <cell r="G57">
            <v>516</v>
          </cell>
          <cell r="H57">
            <v>0.3</v>
          </cell>
          <cell r="I57">
            <v>180</v>
          </cell>
          <cell r="J57" t="str">
            <v>матрица</v>
          </cell>
          <cell r="L57">
            <v>457</v>
          </cell>
          <cell r="M57">
            <v>-6</v>
          </cell>
          <cell r="N57">
            <v>600</v>
          </cell>
          <cell r="O57">
            <v>400</v>
          </cell>
          <cell r="P57">
            <v>90.2</v>
          </cell>
          <cell r="R57">
            <v>250</v>
          </cell>
        </row>
        <row r="58">
          <cell r="A58" t="str">
            <v>Хрустящие крылышки ТМ Горячая штучка 0,3 кг зам  ПОКОМ</v>
          </cell>
          <cell r="B58" t="str">
            <v>шт</v>
          </cell>
          <cell r="C58" t="str">
            <v>P004588</v>
          </cell>
          <cell r="D58">
            <v>297</v>
          </cell>
          <cell r="E58">
            <v>510</v>
          </cell>
          <cell r="F58">
            <v>519</v>
          </cell>
          <cell r="G58">
            <v>282</v>
          </cell>
          <cell r="H58">
            <v>0.3</v>
          </cell>
          <cell r="I58">
            <v>180</v>
          </cell>
          <cell r="J58" t="str">
            <v>матрица</v>
          </cell>
          <cell r="L58">
            <v>525</v>
          </cell>
          <cell r="M58">
            <v>-6</v>
          </cell>
          <cell r="N58">
            <v>500</v>
          </cell>
          <cell r="O58">
            <v>400</v>
          </cell>
          <cell r="P58">
            <v>103.8</v>
          </cell>
          <cell r="Q58">
            <v>271.20000000000005</v>
          </cell>
          <cell r="R58">
            <v>300</v>
          </cell>
        </row>
        <row r="59">
          <cell r="A59" t="str">
            <v>Чебупели Курочка гриль Базовый ассортимент Фикс.вес 0,3 Пакет Горячая штучка  Поком</v>
          </cell>
          <cell r="B59" t="str">
            <v>шт</v>
          </cell>
          <cell r="C59" t="str">
            <v>P004113</v>
          </cell>
          <cell r="D59">
            <v>-1</v>
          </cell>
          <cell r="E59">
            <v>196</v>
          </cell>
          <cell r="F59">
            <v>124</v>
          </cell>
          <cell r="G59">
            <v>71</v>
          </cell>
          <cell r="H59">
            <v>0.3</v>
          </cell>
          <cell r="I59">
            <v>180</v>
          </cell>
          <cell r="J59" t="str">
            <v>матрица</v>
          </cell>
          <cell r="L59">
            <v>124</v>
          </cell>
          <cell r="M59">
            <v>0</v>
          </cell>
          <cell r="N59">
            <v>260</v>
          </cell>
          <cell r="O59">
            <v>0</v>
          </cell>
          <cell r="P59">
            <v>24.8</v>
          </cell>
          <cell r="Q59">
            <v>16.199999999999989</v>
          </cell>
        </row>
        <row r="60">
          <cell r="A60" t="str">
            <v>Чебупицца курочка по-итальянски Горячая штучка 0,25 кг зам  ПОКОМ</v>
          </cell>
          <cell r="B60" t="str">
            <v>шт</v>
          </cell>
          <cell r="C60" t="str">
            <v>P004484</v>
          </cell>
          <cell r="D60">
            <v>1105</v>
          </cell>
          <cell r="E60">
            <v>4</v>
          </cell>
          <cell r="F60">
            <v>701</v>
          </cell>
          <cell r="G60">
            <v>498</v>
          </cell>
          <cell r="H60">
            <v>0.25</v>
          </cell>
          <cell r="L60">
            <v>668</v>
          </cell>
          <cell r="M60">
            <v>33</v>
          </cell>
          <cell r="N60">
            <v>0</v>
          </cell>
          <cell r="O60">
            <v>300</v>
          </cell>
          <cell r="P60">
            <v>140.19999999999999</v>
          </cell>
          <cell r="Q60">
            <v>1164.7999999999997</v>
          </cell>
        </row>
        <row r="61">
          <cell r="A61" t="str">
            <v>Чебупицца Пепперони ТМ Горячая штучка ТС Чебупицца 0.25кг зам  ПОКОМ</v>
          </cell>
          <cell r="B61" t="str">
            <v>шт</v>
          </cell>
          <cell r="C61" t="str">
            <v>P004486</v>
          </cell>
          <cell r="E61">
            <v>1176</v>
          </cell>
          <cell r="F61">
            <v>397</v>
          </cell>
          <cell r="G61">
            <v>774</v>
          </cell>
          <cell r="H61">
            <v>0.25</v>
          </cell>
          <cell r="I61">
            <v>180</v>
          </cell>
          <cell r="J61" t="str">
            <v>Новинка</v>
          </cell>
          <cell r="L61">
            <v>446</v>
          </cell>
          <cell r="M61">
            <v>-49</v>
          </cell>
          <cell r="N61">
            <v>1150</v>
          </cell>
          <cell r="O61">
            <v>800</v>
          </cell>
          <cell r="P61">
            <v>79.400000000000006</v>
          </cell>
          <cell r="R61">
            <v>380</v>
          </cell>
        </row>
        <row r="62">
          <cell r="A62" t="str">
            <v>Чебупицца со вкусом 4 сыра 0,2кг ТМ Горячая штучка ТС Foodgital  ПОКОМ</v>
          </cell>
          <cell r="B62" t="str">
            <v>шт</v>
          </cell>
          <cell r="C62" t="str">
            <v>P004818</v>
          </cell>
          <cell r="E62">
            <v>252</v>
          </cell>
          <cell r="F62">
            <v>86</v>
          </cell>
          <cell r="G62">
            <v>166</v>
          </cell>
          <cell r="H62">
            <v>0.2</v>
          </cell>
          <cell r="J62" t="str">
            <v>матрица</v>
          </cell>
          <cell r="L62">
            <v>88</v>
          </cell>
          <cell r="M62">
            <v>-2</v>
          </cell>
          <cell r="N62">
            <v>280</v>
          </cell>
          <cell r="O62">
            <v>120</v>
          </cell>
          <cell r="P62">
            <v>17.2</v>
          </cell>
        </row>
        <row r="63">
          <cell r="A63" t="str">
            <v>Чебупицца со вкусом Том ям ТМ Горячая штучка ТС Чебупицца 0,23кг жареные ПОКОМ</v>
          </cell>
          <cell r="B63" t="str">
            <v>шт</v>
          </cell>
          <cell r="C63" t="str">
            <v>P005180</v>
          </cell>
          <cell r="D63">
            <v>519</v>
          </cell>
          <cell r="E63">
            <v>4</v>
          </cell>
          <cell r="F63">
            <v>331</v>
          </cell>
          <cell r="G63">
            <v>188</v>
          </cell>
          <cell r="H63">
            <v>0.23</v>
          </cell>
          <cell r="I63">
            <v>180</v>
          </cell>
          <cell r="J63" t="str">
            <v>матрица</v>
          </cell>
          <cell r="L63">
            <v>335</v>
          </cell>
          <cell r="M63">
            <v>-4</v>
          </cell>
          <cell r="N63">
            <v>0</v>
          </cell>
          <cell r="O63">
            <v>120</v>
          </cell>
          <cell r="P63">
            <v>66.2</v>
          </cell>
          <cell r="Q63">
            <v>618.80000000000007</v>
          </cell>
        </row>
        <row r="64">
          <cell r="A64" t="str">
            <v>Чебуреки Мясные вес 2,7 кг ТМ Зареченские ТС Зареченские продукты   Поком</v>
          </cell>
          <cell r="B64" t="str">
            <v>кг</v>
          </cell>
          <cell r="C64" t="str">
            <v>P003478</v>
          </cell>
          <cell r="D64">
            <v>37.799999999999997</v>
          </cell>
          <cell r="F64">
            <v>32.4</v>
          </cell>
          <cell r="G64">
            <v>5.4</v>
          </cell>
          <cell r="H64">
            <v>1</v>
          </cell>
          <cell r="I64">
            <v>180</v>
          </cell>
          <cell r="L64">
            <v>32.4</v>
          </cell>
          <cell r="M64">
            <v>0</v>
          </cell>
          <cell r="N64">
            <v>0</v>
          </cell>
          <cell r="O64">
            <v>60</v>
          </cell>
          <cell r="P64">
            <v>6.4799999999999995</v>
          </cell>
          <cell r="Q64">
            <v>25.319999999999993</v>
          </cell>
          <cell r="R64">
            <v>150</v>
          </cell>
        </row>
        <row r="65">
          <cell r="A65" t="str">
            <v>Чебуреки сочные ТМ Зареченские ТС Зареченские продукты.  Поком</v>
          </cell>
          <cell r="B65" t="str">
            <v>кг</v>
          </cell>
          <cell r="C65" t="str">
            <v>P003476</v>
          </cell>
          <cell r="D65">
            <v>115</v>
          </cell>
          <cell r="E65">
            <v>660</v>
          </cell>
          <cell r="F65">
            <v>287.7</v>
          </cell>
          <cell r="G65">
            <v>487.3</v>
          </cell>
          <cell r="H65">
            <v>1</v>
          </cell>
          <cell r="L65">
            <v>313.10000000000002</v>
          </cell>
          <cell r="M65">
            <v>-25.400000000000034</v>
          </cell>
          <cell r="N65">
            <v>640</v>
          </cell>
          <cell r="O65">
            <v>300</v>
          </cell>
          <cell r="P65">
            <v>57.54</v>
          </cell>
          <cell r="R65">
            <v>150</v>
          </cell>
        </row>
        <row r="66">
          <cell r="A66" t="str">
            <v>Чебуреки сочные, ВЕС, куриные жарен. зам  ПОКОМ</v>
          </cell>
          <cell r="B66" t="str">
            <v>кг</v>
          </cell>
          <cell r="C66" t="str">
            <v>P003476</v>
          </cell>
          <cell r="F66">
            <v>5</v>
          </cell>
          <cell r="G66">
            <v>-5</v>
          </cell>
          <cell r="H66">
            <v>1</v>
          </cell>
          <cell r="L66">
            <v>5</v>
          </cell>
          <cell r="M66">
            <v>0</v>
          </cell>
          <cell r="N66">
            <v>0</v>
          </cell>
          <cell r="O66">
            <v>0</v>
          </cell>
          <cell r="P66">
            <v>1</v>
          </cell>
          <cell r="Q66">
            <v>19</v>
          </cell>
        </row>
        <row r="67">
          <cell r="A67" t="str">
            <v>Наггетсы хрустящие п/ф ВЕС ПОКОМ</v>
          </cell>
          <cell r="B67" t="str">
            <v>кг</v>
          </cell>
          <cell r="F67">
            <v>0</v>
          </cell>
          <cell r="H67">
            <v>1</v>
          </cell>
          <cell r="L67">
            <v>0</v>
          </cell>
          <cell r="M67">
            <v>0</v>
          </cell>
          <cell r="N67">
            <v>480</v>
          </cell>
          <cell r="O67">
            <v>640</v>
          </cell>
          <cell r="P67">
            <v>0</v>
          </cell>
          <cell r="R67">
            <v>200</v>
          </cell>
        </row>
        <row r="68">
          <cell r="A68" t="str">
            <v>Пирожки с мясом 3,7кг ВЕС ТМ Зареченские  ПОКОМ</v>
          </cell>
          <cell r="B68" t="str">
            <v>кг</v>
          </cell>
          <cell r="C68" t="str">
            <v>P004359</v>
          </cell>
          <cell r="F68">
            <v>0</v>
          </cell>
          <cell r="H68">
            <v>1</v>
          </cell>
          <cell r="I68">
            <v>180</v>
          </cell>
          <cell r="J68" t="str">
            <v>матрица</v>
          </cell>
          <cell r="L68">
            <v>18.7</v>
          </cell>
          <cell r="M68">
            <v>-18.7</v>
          </cell>
          <cell r="N68">
            <v>20</v>
          </cell>
          <cell r="O68">
            <v>50</v>
          </cell>
          <cell r="P68">
            <v>0</v>
          </cell>
        </row>
        <row r="69">
          <cell r="A69" t="str">
            <v>Хрустипай апельсин имбирь ТМ Горячая штучка 0,18 кг  ПОКОМ</v>
          </cell>
          <cell r="B69" t="str">
            <v>шт</v>
          </cell>
          <cell r="C69" t="str">
            <v>P005201</v>
          </cell>
          <cell r="F69">
            <v>0</v>
          </cell>
          <cell r="H69">
            <v>0.18</v>
          </cell>
          <cell r="I69">
            <v>180</v>
          </cell>
          <cell r="J69" t="str">
            <v>матрица</v>
          </cell>
          <cell r="L69">
            <v>8</v>
          </cell>
          <cell r="M69">
            <v>-8</v>
          </cell>
          <cell r="N69">
            <v>0</v>
          </cell>
          <cell r="O69">
            <v>75</v>
          </cell>
          <cell r="P69">
            <v>0</v>
          </cell>
        </row>
        <row r="70">
          <cell r="A70" t="str">
            <v>Мини-чебуреки с мясом ТМ Зареченские ТС Зареченские продукты ПОКОМ</v>
          </cell>
          <cell r="B70" t="str">
            <v>кг</v>
          </cell>
          <cell r="C70" t="str">
            <v>P004358</v>
          </cell>
          <cell r="F70">
            <v>0</v>
          </cell>
          <cell r="H70">
            <v>1</v>
          </cell>
          <cell r="L70">
            <v>8</v>
          </cell>
          <cell r="M70">
            <v>-8</v>
          </cell>
          <cell r="N70">
            <v>50</v>
          </cell>
          <cell r="O70">
            <v>0</v>
          </cell>
          <cell r="P70">
            <v>0</v>
          </cell>
        </row>
        <row r="71">
          <cell r="A71" t="str">
            <v>БОНУС_Готовые чебупели сочные с мясом ТМ Горячая штучка флоу-пак 0,24 кг  ПОКОМ</v>
          </cell>
          <cell r="B71" t="str">
            <v>шт</v>
          </cell>
          <cell r="C71" t="str">
            <v>P004969</v>
          </cell>
          <cell r="D71">
            <v>29</v>
          </cell>
          <cell r="F71">
            <v>56</v>
          </cell>
          <cell r="G71">
            <v>-32</v>
          </cell>
          <cell r="H71">
            <v>0.24</v>
          </cell>
          <cell r="J71" t="str">
            <v>матрица</v>
          </cell>
          <cell r="L71">
            <v>83</v>
          </cell>
          <cell r="M71">
            <v>-27</v>
          </cell>
          <cell r="N71">
            <v>0</v>
          </cell>
          <cell r="O71">
            <v>0</v>
          </cell>
          <cell r="P71">
            <v>11.2</v>
          </cell>
          <cell r="Q71">
            <v>188.79999999999998</v>
          </cell>
        </row>
        <row r="72">
          <cell r="A72" t="str">
            <v>БОНУС_Пельмени Бульмени со сливочным маслом ТМ Горячая штучка флоу-пак сфера 0,7 кг .  Поком</v>
          </cell>
          <cell r="B72" t="str">
            <v>шт</v>
          </cell>
          <cell r="C72" t="str">
            <v>P004346</v>
          </cell>
          <cell r="D72">
            <v>172</v>
          </cell>
          <cell r="F72">
            <v>63</v>
          </cell>
          <cell r="G72">
            <v>108</v>
          </cell>
          <cell r="H72">
            <v>0.7</v>
          </cell>
          <cell r="J72" t="str">
            <v>матрица</v>
          </cell>
          <cell r="L72">
            <v>79</v>
          </cell>
          <cell r="M72">
            <v>-16</v>
          </cell>
          <cell r="N72">
            <v>0</v>
          </cell>
          <cell r="O72">
            <v>0</v>
          </cell>
          <cell r="P72">
            <v>12.6</v>
          </cell>
          <cell r="Q72">
            <v>68.400000000000006</v>
          </cell>
        </row>
        <row r="73">
          <cell r="A73" t="str">
            <v>БОНУС_Чебупицца курочка по-итальянски Горячая штучка 0,25 кг зам  ПОКОМ</v>
          </cell>
          <cell r="B73" t="str">
            <v>шт</v>
          </cell>
          <cell r="D73">
            <v>99</v>
          </cell>
          <cell r="F73">
            <v>42</v>
          </cell>
          <cell r="G73">
            <v>57</v>
          </cell>
          <cell r="H73">
            <v>0.25</v>
          </cell>
          <cell r="J73" t="str">
            <v>матрица</v>
          </cell>
          <cell r="L73">
            <v>43</v>
          </cell>
          <cell r="M73">
            <v>-1</v>
          </cell>
          <cell r="N73">
            <v>0</v>
          </cell>
          <cell r="O73">
            <v>0</v>
          </cell>
          <cell r="P73">
            <v>8.4</v>
          </cell>
          <cell r="Q73">
            <v>60.600000000000009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3"/>
  <sheetViews>
    <sheetView tabSelected="1" workbookViewId="0">
      <pane xSplit="3" ySplit="10" topLeftCell="D46" activePane="bottomRight" state="frozen"/>
      <selection pane="topRight" activeCell="D1" sqref="D1"/>
      <selection pane="bottomLeft" activeCell="A11" sqref="A11"/>
      <selection pane="bottomRight" activeCell="AE11" sqref="AE11:AF73"/>
    </sheetView>
  </sheetViews>
  <sheetFormatPr defaultColWidth="20.1640625" defaultRowHeight="11.45" customHeight="1" outlineLevelRow="1" x14ac:dyDescent="0.2"/>
  <cols>
    <col min="1" max="1" width="63.6640625" style="1" customWidth="1"/>
    <col min="2" max="2" width="4.1640625" style="1" customWidth="1"/>
    <col min="3" max="3" width="8.83203125" style="1" customWidth="1"/>
    <col min="4" max="4" width="8.33203125" style="1" customWidth="1"/>
    <col min="5" max="5" width="8.5" style="1" customWidth="1"/>
    <col min="6" max="6" width="8.83203125" style="1" customWidth="1"/>
    <col min="7" max="7" width="9.6640625" style="1" customWidth="1"/>
    <col min="8" max="8" width="6.33203125" bestFit="1" customWidth="1"/>
    <col min="9" max="9" width="5.83203125" customWidth="1"/>
    <col min="10" max="10" width="2.6640625" customWidth="1"/>
    <col min="11" max="11" width="2" customWidth="1"/>
    <col min="12" max="12" width="8.1640625" customWidth="1"/>
    <col min="13" max="13" width="6.6640625" customWidth="1"/>
    <col min="14" max="14" width="8.6640625" customWidth="1"/>
    <col min="15" max="15" width="9.33203125" customWidth="1"/>
    <col min="16" max="16" width="8.5" bestFit="1" customWidth="1"/>
    <col min="17" max="17" width="9.1640625" customWidth="1"/>
    <col min="18" max="18" width="8.33203125" customWidth="1"/>
    <col min="19" max="19" width="6.5" customWidth="1"/>
    <col min="20" max="21" width="7.5" customWidth="1"/>
    <col min="22" max="25" width="7.83203125" bestFit="1" customWidth="1"/>
    <col min="26" max="26" width="7.1640625" customWidth="1"/>
    <col min="27" max="27" width="7.5" customWidth="1"/>
    <col min="28" max="28" width="7.83203125" customWidth="1"/>
    <col min="29" max="29" width="8.33203125" customWidth="1"/>
    <col min="30" max="30" width="9" bestFit="1" customWidth="1"/>
    <col min="31" max="31" width="5.5" bestFit="1" customWidth="1"/>
    <col min="32" max="32" width="6.5" customWidth="1"/>
    <col min="33" max="33" width="7.1640625" customWidth="1"/>
    <col min="34" max="34" width="1.6640625" customWidth="1"/>
    <col min="35" max="54" width="4.83203125" customWidth="1"/>
  </cols>
  <sheetData>
    <row r="1" spans="1:33" s="1" customFormat="1" ht="10.15" customHeight="1" x14ac:dyDescent="0.2"/>
    <row r="2" spans="1:33" ht="25.15" customHeight="1" x14ac:dyDescent="0.2">
      <c r="A2" s="2" t="s">
        <v>0</v>
      </c>
    </row>
    <row r="3" spans="1:33" s="1" customFormat="1" ht="10.15" customHeight="1" x14ac:dyDescent="0.2"/>
    <row r="4" spans="1:33" ht="13.15" customHeight="1" outlineLevel="1" x14ac:dyDescent="0.2">
      <c r="A4" s="3" t="s">
        <v>1</v>
      </c>
      <c r="B4" s="3" t="s">
        <v>2</v>
      </c>
      <c r="C4" s="3"/>
      <c r="D4" s="3"/>
    </row>
    <row r="5" spans="1:33" ht="13.15" customHeight="1" outlineLevel="1" x14ac:dyDescent="0.2">
      <c r="B5" s="3" t="s">
        <v>3</v>
      </c>
      <c r="C5" s="3"/>
      <c r="D5" s="3"/>
    </row>
    <row r="6" spans="1:33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3" s="1" customFormat="1" ht="10.15" customHeight="1" x14ac:dyDescent="0.2"/>
    <row r="8" spans="1:33" ht="13.15" customHeight="1" x14ac:dyDescent="0.25">
      <c r="A8" s="5" t="s">
        <v>6</v>
      </c>
      <c r="B8" s="5" t="s">
        <v>7</v>
      </c>
      <c r="C8" s="5"/>
      <c r="D8" s="4" t="s">
        <v>8</v>
      </c>
      <c r="E8" s="4"/>
      <c r="F8" s="4"/>
      <c r="G8" s="4"/>
      <c r="H8" s="11" t="s">
        <v>74</v>
      </c>
      <c r="I8" s="12" t="s">
        <v>75</v>
      </c>
      <c r="J8" s="12" t="s">
        <v>76</v>
      </c>
      <c r="K8" s="12" t="s">
        <v>77</v>
      </c>
      <c r="L8" s="12" t="s">
        <v>78</v>
      </c>
      <c r="M8" s="12" t="s">
        <v>79</v>
      </c>
      <c r="N8" s="12" t="s">
        <v>80</v>
      </c>
      <c r="O8" s="12" t="s">
        <v>81</v>
      </c>
      <c r="P8" s="12" t="s">
        <v>82</v>
      </c>
      <c r="Q8" s="13" t="s">
        <v>83</v>
      </c>
      <c r="R8" s="14" t="s">
        <v>84</v>
      </c>
      <c r="S8" s="14" t="s">
        <v>85</v>
      </c>
      <c r="T8" s="12" t="s">
        <v>86</v>
      </c>
      <c r="U8" s="12" t="s">
        <v>87</v>
      </c>
      <c r="V8" s="12" t="s">
        <v>88</v>
      </c>
      <c r="W8" s="12" t="s">
        <v>88</v>
      </c>
      <c r="X8" s="12" t="s">
        <v>88</v>
      </c>
      <c r="Y8" s="12" t="s">
        <v>88</v>
      </c>
      <c r="Z8" s="12" t="s">
        <v>89</v>
      </c>
      <c r="AA8" s="12" t="s">
        <v>90</v>
      </c>
      <c r="AB8" s="11" t="s">
        <v>91</v>
      </c>
      <c r="AC8" s="15" t="s">
        <v>92</v>
      </c>
      <c r="AD8" s="12" t="s">
        <v>93</v>
      </c>
      <c r="AE8" s="12" t="s">
        <v>94</v>
      </c>
      <c r="AF8" s="12" t="s">
        <v>95</v>
      </c>
      <c r="AG8" s="16" t="s">
        <v>96</v>
      </c>
    </row>
    <row r="9" spans="1:33" ht="12.6" customHeight="1" x14ac:dyDescent="0.2">
      <c r="A9" s="6"/>
      <c r="B9" s="7"/>
      <c r="C9" s="7"/>
      <c r="D9" s="4" t="s">
        <v>9</v>
      </c>
      <c r="E9" s="4" t="s">
        <v>10</v>
      </c>
      <c r="F9" s="4" t="s">
        <v>11</v>
      </c>
      <c r="G9" s="4" t="s">
        <v>12</v>
      </c>
      <c r="H9" s="17"/>
      <c r="I9" s="17"/>
      <c r="J9" s="17"/>
      <c r="K9" s="17"/>
      <c r="L9" s="17"/>
      <c r="M9" s="17"/>
      <c r="N9" s="24" t="s">
        <v>97</v>
      </c>
      <c r="O9" s="17" t="s">
        <v>103</v>
      </c>
      <c r="P9" s="17" t="s">
        <v>102</v>
      </c>
      <c r="Q9" s="17" t="s">
        <v>104</v>
      </c>
      <c r="R9" s="17"/>
      <c r="S9" s="17"/>
      <c r="T9" s="17"/>
      <c r="U9" s="17"/>
      <c r="V9" s="17" t="s">
        <v>99</v>
      </c>
      <c r="W9" s="17" t="s">
        <v>100</v>
      </c>
      <c r="X9" s="17" t="s">
        <v>101</v>
      </c>
      <c r="Y9" s="17" t="s">
        <v>98</v>
      </c>
      <c r="Z9" s="17"/>
      <c r="AA9" s="17"/>
      <c r="AB9" s="17"/>
      <c r="AC9" s="17"/>
      <c r="AD9" s="17"/>
      <c r="AE9" s="17"/>
      <c r="AF9" s="17"/>
      <c r="AG9" s="17" t="s">
        <v>104</v>
      </c>
    </row>
    <row r="10" spans="1:33" ht="12.6" customHeight="1" x14ac:dyDescent="0.2">
      <c r="A10" s="6"/>
      <c r="B10" s="7"/>
      <c r="C10" s="22"/>
      <c r="D10" s="18">
        <f>SUM(D11:D463)</f>
        <v>10702.8</v>
      </c>
      <c r="E10" s="18">
        <f>SUM(E11:E463)</f>
        <v>13847</v>
      </c>
      <c r="F10" s="18">
        <f>SUM(F11:F463)</f>
        <v>12060.1</v>
      </c>
      <c r="G10" s="18">
        <f>SUM(G11:G463)</f>
        <v>12516.699999999999</v>
      </c>
      <c r="H10" s="17"/>
      <c r="I10" s="17"/>
      <c r="J10" s="17"/>
      <c r="K10" s="17"/>
      <c r="L10" s="18">
        <f t="shared" ref="L10:R10" si="0">SUM(L11:L463)</f>
        <v>12788.2</v>
      </c>
      <c r="M10" s="18">
        <f t="shared" si="0"/>
        <v>-728.10000000000014</v>
      </c>
      <c r="N10" s="18">
        <f t="shared" si="0"/>
        <v>14320</v>
      </c>
      <c r="O10" s="18">
        <f t="shared" si="0"/>
        <v>15049.6</v>
      </c>
      <c r="P10" s="18">
        <f t="shared" si="0"/>
        <v>2412.0199999999995</v>
      </c>
      <c r="Q10" s="18">
        <f t="shared" si="0"/>
        <v>16930</v>
      </c>
      <c r="R10" s="18">
        <f t="shared" si="0"/>
        <v>11460</v>
      </c>
      <c r="S10" s="17"/>
      <c r="T10" s="17"/>
      <c r="U10" s="17"/>
      <c r="V10" s="18">
        <f>SUM(V11:V463)</f>
        <v>2637.2599999999993</v>
      </c>
      <c r="W10" s="18">
        <f>SUM(W11:W463)</f>
        <v>2165.139999999999</v>
      </c>
      <c r="X10" s="18">
        <f>SUM(X11:X463)</f>
        <v>2321.08</v>
      </c>
      <c r="Y10" s="18">
        <f>SUM(Y11:Y463)</f>
        <v>2127.5659999999993</v>
      </c>
      <c r="Z10" s="17"/>
      <c r="AA10" s="18">
        <f>SUM(AA11:AA463)</f>
        <v>7790.5</v>
      </c>
      <c r="AB10" s="17"/>
      <c r="AC10" s="19">
        <f>SUM(AC11:AC463)</f>
        <v>1880</v>
      </c>
      <c r="AD10" s="18">
        <f>SUM(AD11:AD463)</f>
        <v>7261.68</v>
      </c>
      <c r="AE10" s="17"/>
      <c r="AF10" s="17"/>
      <c r="AG10" s="19">
        <f>SUM(AG11:AG463)</f>
        <v>21.202380952380945</v>
      </c>
    </row>
    <row r="11" spans="1:33" ht="22.15" customHeight="1" x14ac:dyDescent="0.2">
      <c r="A11" s="8" t="s">
        <v>18</v>
      </c>
      <c r="B11" s="8" t="s">
        <v>14</v>
      </c>
      <c r="C11" s="8" t="str">
        <f>VLOOKUP(A:A,[1]TDSheet!$A:$C,3,0)</f>
        <v>P005065</v>
      </c>
      <c r="D11" s="9">
        <v>124</v>
      </c>
      <c r="E11" s="9"/>
      <c r="F11" s="20">
        <v>38</v>
      </c>
      <c r="G11" s="9">
        <v>86</v>
      </c>
      <c r="H11">
        <f>VLOOKUP(A:A,[1]TDSheet!$A:$H,8,0)</f>
        <v>0.22</v>
      </c>
      <c r="L11" s="20">
        <f>VLOOKUP(A:A,[2]TDSheet!$A:$B,2,0)</f>
        <v>38</v>
      </c>
      <c r="M11" s="20">
        <f>F11-L11</f>
        <v>0</v>
      </c>
      <c r="N11" s="20">
        <f>VLOOKUP(A:A,[1]TDSheet!$A:$O,15,0)</f>
        <v>0</v>
      </c>
      <c r="O11" s="20">
        <f>VLOOKUP(A:A,[1]TDSheet!$A:$Q,17,0)</f>
        <v>50</v>
      </c>
      <c r="P11" s="20">
        <f>F11/5</f>
        <v>7.6</v>
      </c>
      <c r="Q11" s="21">
        <v>120</v>
      </c>
      <c r="R11" s="21">
        <f>VLOOKUP(A:A,[3]TDSheet!$A:$R,18,0)</f>
        <v>100</v>
      </c>
      <c r="S11" s="20">
        <f>VLOOKUP(A:A,[3]TDSheet!$A:$S,19,0)</f>
        <v>0</v>
      </c>
      <c r="T11" s="20">
        <f>(G11+N11+O11+Q11)/P11</f>
        <v>33.684210526315788</v>
      </c>
      <c r="U11" s="20">
        <f>G11/P11</f>
        <v>11.315789473684211</v>
      </c>
      <c r="V11" s="20">
        <f>VLOOKUP(A:A,[1]TDSheet!$A:$W,23,0)</f>
        <v>6.2</v>
      </c>
      <c r="W11" s="20">
        <f>VLOOKUP(A:A,[1]TDSheet!$A:$X,24,0)</f>
        <v>11.2</v>
      </c>
      <c r="X11" s="20">
        <f>VLOOKUP(A:A,[1]TDSheet!$A:$Y,25,0)</f>
        <v>7.6</v>
      </c>
      <c r="Y11" s="20">
        <f>VLOOKUP(A:A,[1]TDSheet!$A:$P,16,0)</f>
        <v>7.6</v>
      </c>
      <c r="Z11" s="20"/>
      <c r="AA11" s="20">
        <f>Q11*H11</f>
        <v>26.4</v>
      </c>
      <c r="AB11" s="20">
        <f>VLOOKUP(A:A,[1]TDSheet!$A:$AB,28,0)</f>
        <v>12</v>
      </c>
      <c r="AC11" s="20">
        <f>MROUND(Q11,AB11*AE11)/AB11</f>
        <v>14</v>
      </c>
      <c r="AD11" s="20">
        <f>AC11*AB11*H11</f>
        <v>36.96</v>
      </c>
      <c r="AE11" s="20">
        <f>VLOOKUP(A:A,[1]TDSheet!$A:$AE,31,0)</f>
        <v>14</v>
      </c>
      <c r="AF11" s="20">
        <f>VLOOKUP(A:A,[1]TDSheet!$A:$AF,32,0)</f>
        <v>70</v>
      </c>
      <c r="AG11" s="20">
        <f>AC11/AF11</f>
        <v>0.2</v>
      </c>
    </row>
    <row r="12" spans="1:33" ht="10.9" customHeight="1" x14ac:dyDescent="0.2">
      <c r="A12" s="8" t="s">
        <v>19</v>
      </c>
      <c r="B12" s="8" t="s">
        <v>14</v>
      </c>
      <c r="C12" s="8" t="str">
        <f>VLOOKUP(A:A,[1]TDSheet!$A:$C,3,0)</f>
        <v>P004598</v>
      </c>
      <c r="D12" s="9">
        <v>529</v>
      </c>
      <c r="E12" s="9"/>
      <c r="F12" s="20">
        <v>149</v>
      </c>
      <c r="G12" s="9">
        <v>380</v>
      </c>
      <c r="H12">
        <f>VLOOKUP(A:A,[1]TDSheet!$A:$H,8,0)</f>
        <v>0.3</v>
      </c>
      <c r="L12" s="20">
        <f>VLOOKUP(A:A,[2]TDSheet!$A:$B,2,0)</f>
        <v>149</v>
      </c>
      <c r="M12" s="20">
        <f t="shared" ref="M12:M73" si="1">F12-L12</f>
        <v>0</v>
      </c>
      <c r="N12" s="20">
        <f>VLOOKUP(A:A,[1]TDSheet!$A:$O,15,0)</f>
        <v>0</v>
      </c>
      <c r="O12" s="20">
        <f>VLOOKUP(A:A,[1]TDSheet!$A:$Q,17,0)</f>
        <v>0</v>
      </c>
      <c r="P12" s="20">
        <f t="shared" ref="P12:P73" si="2">F12/5</f>
        <v>29.8</v>
      </c>
      <c r="Q12" s="21">
        <v>120</v>
      </c>
      <c r="R12" s="21">
        <f>VLOOKUP(A:A,[3]TDSheet!$A:$R,18,0)</f>
        <v>100</v>
      </c>
      <c r="S12" s="20">
        <f>VLOOKUP(A:A,[3]TDSheet!$A:$S,19,0)</f>
        <v>0</v>
      </c>
      <c r="T12" s="20">
        <f t="shared" ref="T12:T73" si="3">(G12+N12+O12+Q12)/P12</f>
        <v>16.778523489932887</v>
      </c>
      <c r="U12" s="20">
        <f t="shared" ref="U12:U73" si="4">G12/P12</f>
        <v>12.751677852348992</v>
      </c>
      <c r="V12" s="20">
        <f>VLOOKUP(A:A,[1]TDSheet!$A:$W,23,0)</f>
        <v>27.4</v>
      </c>
      <c r="W12" s="20">
        <f>VLOOKUP(A:A,[1]TDSheet!$A:$X,24,0)</f>
        <v>27</v>
      </c>
      <c r="X12" s="20">
        <f>VLOOKUP(A:A,[1]TDSheet!$A:$Y,25,0)</f>
        <v>22.2</v>
      </c>
      <c r="Y12" s="20">
        <f>VLOOKUP(A:A,[1]TDSheet!$A:$P,16,0)</f>
        <v>30.6</v>
      </c>
      <c r="Z12" s="20"/>
      <c r="AA12" s="20">
        <f t="shared" ref="AA12:AA73" si="5">Q12*H12</f>
        <v>36</v>
      </c>
      <c r="AB12" s="20">
        <f>VLOOKUP(A:A,[1]TDSheet!$A:$AB,28,0)</f>
        <v>12</v>
      </c>
      <c r="AC12" s="20">
        <f t="shared" ref="AC12:AC69" si="6">MROUND(Q12,AB12*AE12)/AB12</f>
        <v>14</v>
      </c>
      <c r="AD12" s="20">
        <f t="shared" ref="AD12:AD73" si="7">AC12*AB12*H12</f>
        <v>50.4</v>
      </c>
      <c r="AE12" s="20">
        <f>VLOOKUP(A:A,[1]TDSheet!$A:$AE,31,0)</f>
        <v>14</v>
      </c>
      <c r="AF12" s="20">
        <f>VLOOKUP(A:A,[1]TDSheet!$A:$AF,32,0)</f>
        <v>70</v>
      </c>
      <c r="AG12" s="20">
        <f t="shared" ref="AG12:AG69" si="8">AC12/AF12</f>
        <v>0.2</v>
      </c>
    </row>
    <row r="13" spans="1:33" ht="10.9" customHeight="1" x14ac:dyDescent="0.2">
      <c r="A13" s="25" t="s">
        <v>20</v>
      </c>
      <c r="B13" s="8" t="s">
        <v>14</v>
      </c>
      <c r="C13" s="8" t="str">
        <f>VLOOKUP(A:A,[1]TDSheet!$A:$C,3,0)</f>
        <v>P004597</v>
      </c>
      <c r="D13" s="10"/>
      <c r="E13" s="9">
        <v>588</v>
      </c>
      <c r="F13" s="20">
        <v>252</v>
      </c>
      <c r="G13" s="9">
        <v>336</v>
      </c>
      <c r="H13">
        <f>VLOOKUP(A:A,[1]TDSheet!$A:$H,8,0)</f>
        <v>0.28000000000000003</v>
      </c>
      <c r="L13" s="20">
        <f>VLOOKUP(A:A,[2]TDSheet!$A:$B,2,0)</f>
        <v>264</v>
      </c>
      <c r="M13" s="20">
        <f t="shared" si="1"/>
        <v>-12</v>
      </c>
      <c r="N13" s="20">
        <f>VLOOKUP(A:A,[1]TDSheet!$A:$O,15,0)</f>
        <v>560</v>
      </c>
      <c r="O13" s="20">
        <f>VLOOKUP(A:A,[1]TDSheet!$A:$Q,17,0)</f>
        <v>200</v>
      </c>
      <c r="P13" s="20">
        <f t="shared" si="2"/>
        <v>50.4</v>
      </c>
      <c r="Q13" s="21">
        <v>120</v>
      </c>
      <c r="R13" s="21">
        <f>VLOOKUP(A:A,[3]TDSheet!$A:$R,18,0)</f>
        <v>100</v>
      </c>
      <c r="S13" s="20">
        <f>VLOOKUP(A:A,[3]TDSheet!$A:$S,19,0)</f>
        <v>0</v>
      </c>
      <c r="T13" s="20">
        <f t="shared" si="3"/>
        <v>24.126984126984127</v>
      </c>
      <c r="U13" s="20">
        <f t="shared" si="4"/>
        <v>6.666666666666667</v>
      </c>
      <c r="V13" s="20">
        <f>VLOOKUP(A:A,[1]TDSheet!$A:$W,23,0)</f>
        <v>89.2</v>
      </c>
      <c r="W13" s="20">
        <f>VLOOKUP(A:A,[1]TDSheet!$A:$X,24,0)</f>
        <v>53</v>
      </c>
      <c r="X13" s="20">
        <f>VLOOKUP(A:A,[1]TDSheet!$A:$Y,25,0)</f>
        <v>46.2</v>
      </c>
      <c r="Y13" s="20">
        <f>VLOOKUP(A:A,[1]TDSheet!$A:$P,16,0)</f>
        <v>4.8</v>
      </c>
      <c r="Z13" s="20"/>
      <c r="AA13" s="20">
        <f t="shared" si="5"/>
        <v>33.6</v>
      </c>
      <c r="AB13" s="20">
        <f>VLOOKUP(A:A,[1]TDSheet!$A:$AB,28,0)</f>
        <v>6</v>
      </c>
      <c r="AC13" s="20">
        <f t="shared" si="6"/>
        <v>14</v>
      </c>
      <c r="AD13" s="20">
        <f t="shared" si="7"/>
        <v>23.520000000000003</v>
      </c>
      <c r="AE13" s="20">
        <f>VLOOKUP(A:A,[1]TDSheet!$A:$AE,31,0)</f>
        <v>14</v>
      </c>
      <c r="AF13" s="20">
        <f>VLOOKUP(A:A,[1]TDSheet!$A:$AF,32,0)</f>
        <v>140</v>
      </c>
      <c r="AG13" s="20">
        <f t="shared" si="8"/>
        <v>0.1</v>
      </c>
    </row>
    <row r="14" spans="1:33" ht="10.9" customHeight="1" x14ac:dyDescent="0.2">
      <c r="A14" s="8" t="s">
        <v>21</v>
      </c>
      <c r="B14" s="8" t="s">
        <v>14</v>
      </c>
      <c r="C14" s="8" t="str">
        <f>VLOOKUP(A:A,[1]TDSheet!$A:$C,3,0)</f>
        <v>P004969</v>
      </c>
      <c r="D14" s="9">
        <v>190</v>
      </c>
      <c r="E14" s="9">
        <v>168</v>
      </c>
      <c r="F14" s="20">
        <v>350</v>
      </c>
      <c r="G14" s="9">
        <v>8</v>
      </c>
      <c r="H14">
        <f>VLOOKUP(A:A,[1]TDSheet!$A:$H,8,0)</f>
        <v>0.24</v>
      </c>
      <c r="L14" s="20">
        <f>VLOOKUP(A:A,[2]TDSheet!$A:$B,2,0)</f>
        <v>350</v>
      </c>
      <c r="M14" s="20">
        <f t="shared" si="1"/>
        <v>0</v>
      </c>
      <c r="N14" s="20">
        <f>VLOOKUP(A:A,[1]TDSheet!$A:$O,15,0)</f>
        <v>240</v>
      </c>
      <c r="O14" s="20">
        <f>VLOOKUP(A:A,[1]TDSheet!$A:$Q,17,0)</f>
        <v>650</v>
      </c>
      <c r="P14" s="20">
        <f t="shared" si="2"/>
        <v>70</v>
      </c>
      <c r="Q14" s="21">
        <v>650</v>
      </c>
      <c r="R14" s="21">
        <f>VLOOKUP(A:A,[3]TDSheet!$A:$R,18,0)</f>
        <v>650</v>
      </c>
      <c r="S14" s="20">
        <f>VLOOKUP(A:A,[3]TDSheet!$A:$S,19,0)</f>
        <v>0</v>
      </c>
      <c r="T14" s="20">
        <f t="shared" si="3"/>
        <v>22.114285714285714</v>
      </c>
      <c r="U14" s="20">
        <f t="shared" si="4"/>
        <v>0.11428571428571428</v>
      </c>
      <c r="V14" s="20">
        <f>VLOOKUP(A:A,[1]TDSheet!$A:$W,23,0)</f>
        <v>76.2</v>
      </c>
      <c r="W14" s="20">
        <f>VLOOKUP(A:A,[1]TDSheet!$A:$X,24,0)</f>
        <v>68</v>
      </c>
      <c r="X14" s="20">
        <f>VLOOKUP(A:A,[1]TDSheet!$A:$Y,25,0)</f>
        <v>57</v>
      </c>
      <c r="Y14" s="20">
        <f>VLOOKUP(A:A,[1]TDSheet!$A:$P,16,0)</f>
        <v>68.599999999999994</v>
      </c>
      <c r="Z14" s="20"/>
      <c r="AA14" s="20">
        <f t="shared" si="5"/>
        <v>156</v>
      </c>
      <c r="AB14" s="20">
        <f>VLOOKUP(A:A,[1]TDSheet!$A:$AB,28,0)</f>
        <v>12</v>
      </c>
      <c r="AC14" s="20">
        <f t="shared" si="6"/>
        <v>56</v>
      </c>
      <c r="AD14" s="20">
        <f t="shared" si="7"/>
        <v>161.28</v>
      </c>
      <c r="AE14" s="20">
        <f>VLOOKUP(A:A,[1]TDSheet!$A:$AE,31,0)</f>
        <v>14</v>
      </c>
      <c r="AF14" s="20">
        <f>VLOOKUP(A:A,[1]TDSheet!$A:$AF,32,0)</f>
        <v>70</v>
      </c>
      <c r="AG14" s="20">
        <f t="shared" si="8"/>
        <v>0.8</v>
      </c>
    </row>
    <row r="15" spans="1:33" ht="10.9" customHeight="1" x14ac:dyDescent="0.2">
      <c r="A15" s="8" t="s">
        <v>22</v>
      </c>
      <c r="B15" s="8" t="s">
        <v>14</v>
      </c>
      <c r="C15" s="8" t="str">
        <f>VLOOKUP(A:A,[1]TDSheet!$A:$C,3,0)</f>
        <v>P004971</v>
      </c>
      <c r="D15" s="9">
        <v>188</v>
      </c>
      <c r="E15" s="9">
        <v>504</v>
      </c>
      <c r="F15" s="20">
        <v>473</v>
      </c>
      <c r="G15" s="9">
        <v>219</v>
      </c>
      <c r="H15">
        <f>VLOOKUP(A:A,[1]TDSheet!$A:$H,8,0)</f>
        <v>0.24</v>
      </c>
      <c r="I15" t="str">
        <f>VLOOKUP(A:A,[1]TDSheet!$A:$I,9,0)</f>
        <v>сроки</v>
      </c>
      <c r="L15" s="20">
        <f>VLOOKUP(A:A,[2]TDSheet!$A:$B,2,0)</f>
        <v>473</v>
      </c>
      <c r="M15" s="20">
        <f t="shared" si="1"/>
        <v>0</v>
      </c>
      <c r="N15" s="20">
        <f>VLOOKUP(A:A,[1]TDSheet!$A:$O,15,0)</f>
        <v>560</v>
      </c>
      <c r="O15" s="20">
        <f>VLOOKUP(A:A,[1]TDSheet!$A:$Q,17,0)</f>
        <v>500</v>
      </c>
      <c r="P15" s="20">
        <f t="shared" si="2"/>
        <v>94.6</v>
      </c>
      <c r="Q15" s="21">
        <v>200</v>
      </c>
      <c r="R15" s="21">
        <f>VLOOKUP(A:A,[3]TDSheet!$A:$R,18,0)</f>
        <v>200</v>
      </c>
      <c r="S15" s="20">
        <f>VLOOKUP(A:A,[3]TDSheet!$A:$S,19,0)</f>
        <v>0</v>
      </c>
      <c r="T15" s="20">
        <f t="shared" si="3"/>
        <v>15.634249471458775</v>
      </c>
      <c r="U15" s="20">
        <f t="shared" si="4"/>
        <v>2.3150105708245245</v>
      </c>
      <c r="V15" s="20">
        <f>VLOOKUP(A:A,[1]TDSheet!$A:$W,23,0)</f>
        <v>75.2</v>
      </c>
      <c r="W15" s="20">
        <f>VLOOKUP(A:A,[1]TDSheet!$A:$X,24,0)</f>
        <v>50.4</v>
      </c>
      <c r="X15" s="20">
        <f>VLOOKUP(A:A,[1]TDSheet!$A:$Y,25,0)</f>
        <v>77.599999999999994</v>
      </c>
      <c r="Y15" s="20">
        <f>VLOOKUP(A:A,[1]TDSheet!$A:$P,16,0)</f>
        <v>67.8</v>
      </c>
      <c r="Z15" s="20"/>
      <c r="AA15" s="20">
        <f t="shared" si="5"/>
        <v>48</v>
      </c>
      <c r="AB15" s="20">
        <f>VLOOKUP(A:A,[1]TDSheet!$A:$AB,28,0)</f>
        <v>12</v>
      </c>
      <c r="AC15" s="20">
        <f t="shared" si="6"/>
        <v>14</v>
      </c>
      <c r="AD15" s="20">
        <f t="shared" si="7"/>
        <v>40.32</v>
      </c>
      <c r="AE15" s="20">
        <f>VLOOKUP(A:A,[1]TDSheet!$A:$AE,31,0)</f>
        <v>14</v>
      </c>
      <c r="AF15" s="20">
        <f>VLOOKUP(A:A,[1]TDSheet!$A:$AF,32,0)</f>
        <v>70</v>
      </c>
      <c r="AG15" s="20">
        <f t="shared" si="8"/>
        <v>0.2</v>
      </c>
    </row>
    <row r="16" spans="1:33" ht="10.9" customHeight="1" x14ac:dyDescent="0.2">
      <c r="A16" s="8" t="s">
        <v>23</v>
      </c>
      <c r="B16" s="8" t="s">
        <v>14</v>
      </c>
      <c r="C16" s="8" t="str">
        <f>VLOOKUP(A:A,[1]TDSheet!$A:$C,3,0)</f>
        <v>P004974</v>
      </c>
      <c r="D16" s="9">
        <v>150</v>
      </c>
      <c r="E16" s="9">
        <v>168</v>
      </c>
      <c r="F16" s="20">
        <v>239</v>
      </c>
      <c r="G16" s="9">
        <v>71</v>
      </c>
      <c r="H16">
        <f>VLOOKUP(A:A,[1]TDSheet!$A:$H,8,0)</f>
        <v>0.24</v>
      </c>
      <c r="L16" s="20">
        <f>VLOOKUP(A:A,[2]TDSheet!$A:$B,2,0)</f>
        <v>247</v>
      </c>
      <c r="M16" s="20">
        <f t="shared" si="1"/>
        <v>-8</v>
      </c>
      <c r="N16" s="20">
        <f>VLOOKUP(A:A,[1]TDSheet!$A:$O,15,0)</f>
        <v>150</v>
      </c>
      <c r="O16" s="20">
        <f>VLOOKUP(A:A,[1]TDSheet!$A:$Q,17,0)</f>
        <v>290</v>
      </c>
      <c r="P16" s="20">
        <f t="shared" si="2"/>
        <v>47.8</v>
      </c>
      <c r="Q16" s="21">
        <v>350</v>
      </c>
      <c r="R16" s="21">
        <f>VLOOKUP(A:A,[3]TDSheet!$A:$R,18,0)</f>
        <v>350</v>
      </c>
      <c r="S16" s="20">
        <f>VLOOKUP(A:A,[3]TDSheet!$A:$S,19,0)</f>
        <v>0</v>
      </c>
      <c r="T16" s="20">
        <f t="shared" si="3"/>
        <v>18.01255230125523</v>
      </c>
      <c r="U16" s="20">
        <f t="shared" si="4"/>
        <v>1.485355648535565</v>
      </c>
      <c r="V16" s="20">
        <f>VLOOKUP(A:A,[1]TDSheet!$A:$W,23,0)</f>
        <v>42</v>
      </c>
      <c r="W16" s="20">
        <f>VLOOKUP(A:A,[1]TDSheet!$A:$X,24,0)</f>
        <v>47.6</v>
      </c>
      <c r="X16" s="20">
        <f>VLOOKUP(A:A,[1]TDSheet!$A:$Y,25,0)</f>
        <v>20.8</v>
      </c>
      <c r="Y16" s="20">
        <f>VLOOKUP(A:A,[1]TDSheet!$A:$P,16,0)</f>
        <v>38.6</v>
      </c>
      <c r="Z16" s="20"/>
      <c r="AA16" s="20">
        <f t="shared" si="5"/>
        <v>84</v>
      </c>
      <c r="AB16" s="20">
        <f>VLOOKUP(A:A,[1]TDSheet!$A:$AB,28,0)</f>
        <v>12</v>
      </c>
      <c r="AC16" s="20">
        <f t="shared" si="6"/>
        <v>28</v>
      </c>
      <c r="AD16" s="20">
        <f t="shared" si="7"/>
        <v>80.64</v>
      </c>
      <c r="AE16" s="20">
        <f>VLOOKUP(A:A,[1]TDSheet!$A:$AE,31,0)</f>
        <v>14</v>
      </c>
      <c r="AF16" s="20">
        <f>VLOOKUP(A:A,[1]TDSheet!$A:$AF,32,0)</f>
        <v>70</v>
      </c>
      <c r="AG16" s="20">
        <f t="shared" si="8"/>
        <v>0.4</v>
      </c>
    </row>
    <row r="17" spans="1:33" ht="10.9" customHeight="1" x14ac:dyDescent="0.2">
      <c r="A17" s="25" t="s">
        <v>24</v>
      </c>
      <c r="B17" s="8" t="s">
        <v>14</v>
      </c>
      <c r="C17" s="8" t="str">
        <f>VLOOKUP(A:A,[1]TDSheet!$A:$C,3,0)</f>
        <v>P004966</v>
      </c>
      <c r="D17" s="9">
        <v>12</v>
      </c>
      <c r="E17" s="9">
        <v>508</v>
      </c>
      <c r="F17" s="26">
        <v>233</v>
      </c>
      <c r="G17" s="23">
        <v>308</v>
      </c>
      <c r="H17">
        <f>VLOOKUP(A:A,[1]TDSheet!$A:$H,8,0)</f>
        <v>0.24</v>
      </c>
      <c r="J17" t="str">
        <f>VLOOKUP(A:A,[1]TDSheet!$A:$J,10,0)</f>
        <v>метка</v>
      </c>
      <c r="L17" s="20">
        <f>VLOOKUP(A:A,[2]TDSheet!$A:$B,2,0)</f>
        <v>204</v>
      </c>
      <c r="M17" s="20">
        <f t="shared" si="1"/>
        <v>29</v>
      </c>
      <c r="N17" s="20">
        <f>VLOOKUP(A:A,[1]TDSheet!$A:$O,15,0)</f>
        <v>560</v>
      </c>
      <c r="O17" s="20">
        <f>VLOOKUP(A:A,[1]TDSheet!$A:$Q,17,0)</f>
        <v>500</v>
      </c>
      <c r="P17" s="20">
        <f t="shared" si="2"/>
        <v>46.6</v>
      </c>
      <c r="Q17" s="21">
        <v>300</v>
      </c>
      <c r="R17" s="21">
        <f>VLOOKUP(A:A,[3]TDSheet!$A:$R,18,0)</f>
        <v>300</v>
      </c>
      <c r="S17" s="20">
        <f>VLOOKUP(A:A,[3]TDSheet!$A:$S,19,0)</f>
        <v>0</v>
      </c>
      <c r="T17" s="20">
        <f t="shared" si="3"/>
        <v>35.793991416309012</v>
      </c>
      <c r="U17" s="20">
        <f t="shared" si="4"/>
        <v>6.6094420600858363</v>
      </c>
      <c r="V17" s="20">
        <f>VLOOKUP(A:A,[1]TDSheet!$A:$W,23,0)</f>
        <v>78</v>
      </c>
      <c r="W17" s="20">
        <f>VLOOKUP(A:A,[1]TDSheet!$A:$X,24,0)</f>
        <v>50.4</v>
      </c>
      <c r="X17" s="20">
        <f>VLOOKUP(A:A,[1]TDSheet!$A:$Y,25,0)</f>
        <v>82.6</v>
      </c>
      <c r="Y17" s="20">
        <f>VLOOKUP(A:A,[1]TDSheet!$A:$P,16,0)</f>
        <v>53.2</v>
      </c>
      <c r="Z17" s="20"/>
      <c r="AA17" s="20">
        <f t="shared" si="5"/>
        <v>72</v>
      </c>
      <c r="AB17" s="20">
        <f>VLOOKUP(A:A,[1]TDSheet!$A:$AB,28,0)</f>
        <v>12</v>
      </c>
      <c r="AC17" s="20">
        <f t="shared" si="6"/>
        <v>28</v>
      </c>
      <c r="AD17" s="20">
        <f t="shared" si="7"/>
        <v>80.64</v>
      </c>
      <c r="AE17" s="20">
        <f>VLOOKUP(A:A,[1]TDSheet!$A:$AE,31,0)</f>
        <v>14</v>
      </c>
      <c r="AF17" s="20">
        <f>VLOOKUP(A:A,[1]TDSheet!$A:$AF,32,0)</f>
        <v>70</v>
      </c>
      <c r="AG17" s="20">
        <f t="shared" si="8"/>
        <v>0.4</v>
      </c>
    </row>
    <row r="18" spans="1:33" ht="10.9" customHeight="1" x14ac:dyDescent="0.2">
      <c r="A18" s="8" t="s">
        <v>25</v>
      </c>
      <c r="B18" s="8" t="s">
        <v>14</v>
      </c>
      <c r="C18" s="8" t="str">
        <f>VLOOKUP(A:A,[1]TDSheet!$A:$C,3,0)</f>
        <v>P004595</v>
      </c>
      <c r="D18" s="10"/>
      <c r="E18" s="9">
        <v>112</v>
      </c>
      <c r="F18" s="20">
        <v>101</v>
      </c>
      <c r="G18" s="9">
        <v>3</v>
      </c>
      <c r="H18">
        <f>VLOOKUP(A:A,[1]TDSheet!$A:$H,8,0)</f>
        <v>0.48</v>
      </c>
      <c r="L18" s="20">
        <f>VLOOKUP(A:A,[2]TDSheet!$A:$B,2,0)</f>
        <v>109</v>
      </c>
      <c r="M18" s="20">
        <f t="shared" si="1"/>
        <v>-8</v>
      </c>
      <c r="N18" s="20">
        <f>VLOOKUP(A:A,[1]TDSheet!$A:$O,15,0)</f>
        <v>120</v>
      </c>
      <c r="O18" s="20">
        <f>VLOOKUP(A:A,[1]TDSheet!$A:$Q,17,0)</f>
        <v>0</v>
      </c>
      <c r="P18" s="20">
        <f t="shared" si="2"/>
        <v>20.2</v>
      </c>
      <c r="Q18" s="21">
        <v>300</v>
      </c>
      <c r="R18" s="21">
        <f>VLOOKUP(A:A,[3]TDSheet!$A:$R,18,0)</f>
        <v>300</v>
      </c>
      <c r="S18" s="20">
        <f>VLOOKUP(A:A,[3]TDSheet!$A:$S,19,0)</f>
        <v>0</v>
      </c>
      <c r="T18" s="20">
        <f t="shared" si="3"/>
        <v>20.940594059405942</v>
      </c>
      <c r="U18" s="20">
        <f t="shared" si="4"/>
        <v>0.14851485148514851</v>
      </c>
      <c r="V18" s="20">
        <f>VLOOKUP(A:A,[1]TDSheet!$A:$W,23,0)</f>
        <v>23.2</v>
      </c>
      <c r="W18" s="20">
        <f>VLOOKUP(A:A,[1]TDSheet!$A:$X,24,0)</f>
        <v>16.399999999999999</v>
      </c>
      <c r="X18" s="20">
        <f>VLOOKUP(A:A,[1]TDSheet!$A:$Y,25,0)</f>
        <v>10</v>
      </c>
      <c r="Y18" s="20">
        <f>VLOOKUP(A:A,[1]TDSheet!$A:$P,16,0)</f>
        <v>0</v>
      </c>
      <c r="Z18" s="20"/>
      <c r="AA18" s="20">
        <f t="shared" si="5"/>
        <v>144</v>
      </c>
      <c r="AB18" s="20">
        <f>VLOOKUP(A:A,[1]TDSheet!$A:$AB,28,0)</f>
        <v>8</v>
      </c>
      <c r="AC18" s="20">
        <f t="shared" si="6"/>
        <v>42</v>
      </c>
      <c r="AD18" s="20">
        <f t="shared" si="7"/>
        <v>161.28</v>
      </c>
      <c r="AE18" s="20">
        <f>VLOOKUP(A:A,[1]TDSheet!$A:$AE,31,0)</f>
        <v>14</v>
      </c>
      <c r="AF18" s="20">
        <f>VLOOKUP(A:A,[1]TDSheet!$A:$AF,32,0)</f>
        <v>70</v>
      </c>
      <c r="AG18" s="20">
        <f t="shared" si="8"/>
        <v>0.6</v>
      </c>
    </row>
    <row r="19" spans="1:33" ht="10.9" customHeight="1" x14ac:dyDescent="0.2">
      <c r="A19" s="8" t="s">
        <v>26</v>
      </c>
      <c r="B19" s="8" t="s">
        <v>14</v>
      </c>
      <c r="C19" s="8" t="str">
        <f>VLOOKUP(A:A,[1]TDSheet!$A:$C,3,0)</f>
        <v>P004138</v>
      </c>
      <c r="D19" s="9">
        <v>2</v>
      </c>
      <c r="E19" s="9"/>
      <c r="F19" s="20">
        <v>0</v>
      </c>
      <c r="G19" s="9">
        <v>2</v>
      </c>
      <c r="H19">
        <f>VLOOKUP(A:A,[1]TDSheet!$A:$H,8,0)</f>
        <v>0.09</v>
      </c>
      <c r="L19" s="20">
        <f>VLOOKUP(A:A,[2]TDSheet!$A:$B,2,0)</f>
        <v>10</v>
      </c>
      <c r="M19" s="20">
        <f t="shared" si="1"/>
        <v>-10</v>
      </c>
      <c r="N19" s="20">
        <f>VLOOKUP(A:A,[1]TDSheet!$A:$O,15,0)</f>
        <v>0</v>
      </c>
      <c r="O19" s="20">
        <f>VLOOKUP(A:A,[1]TDSheet!$A:$Q,17,0)</f>
        <v>100</v>
      </c>
      <c r="P19" s="20">
        <f t="shared" si="2"/>
        <v>0</v>
      </c>
      <c r="Q19" s="21">
        <v>150</v>
      </c>
      <c r="R19" s="21">
        <f>VLOOKUP(A:A,[3]TDSheet!$A:$R,18,0)</f>
        <v>150</v>
      </c>
      <c r="S19" s="20">
        <f>VLOOKUP(A:A,[3]TDSheet!$A:$S,19,0)</f>
        <v>0</v>
      </c>
      <c r="T19" s="20" t="e">
        <f t="shared" si="3"/>
        <v>#DIV/0!</v>
      </c>
      <c r="U19" s="20" t="e">
        <f t="shared" si="4"/>
        <v>#DIV/0!</v>
      </c>
      <c r="V19" s="20">
        <f>VLOOKUP(A:A,[1]TDSheet!$A:$W,23,0)</f>
        <v>42.2</v>
      </c>
      <c r="W19" s="20">
        <f>VLOOKUP(A:A,[1]TDSheet!$A:$X,24,0)</f>
        <v>0</v>
      </c>
      <c r="X19" s="20">
        <f>VLOOKUP(A:A,[1]TDSheet!$A:$Y,25,0)</f>
        <v>0</v>
      </c>
      <c r="Y19" s="20">
        <f>VLOOKUP(A:A,[1]TDSheet!$A:$P,16,0)</f>
        <v>0</v>
      </c>
      <c r="Z19" s="20"/>
      <c r="AA19" s="20">
        <f t="shared" si="5"/>
        <v>13.5</v>
      </c>
      <c r="AB19" s="20">
        <f>VLOOKUP(A:A,[1]TDSheet!$A:$AB,28,0)</f>
        <v>24</v>
      </c>
      <c r="AC19" s="20">
        <f t="shared" si="6"/>
        <v>0</v>
      </c>
      <c r="AD19" s="20">
        <f t="shared" si="7"/>
        <v>0</v>
      </c>
      <c r="AE19" s="20">
        <f>VLOOKUP(A:A,[1]TDSheet!$A:$AE,31,0)</f>
        <v>14</v>
      </c>
      <c r="AF19" s="20">
        <f>VLOOKUP(A:A,[1]TDSheet!$A:$AF,32,0)</f>
        <v>126</v>
      </c>
      <c r="AG19" s="20">
        <f t="shared" si="8"/>
        <v>0</v>
      </c>
    </row>
    <row r="20" spans="1:33" ht="22.15" customHeight="1" x14ac:dyDescent="0.2">
      <c r="A20" s="25" t="s">
        <v>27</v>
      </c>
      <c r="B20" s="8" t="s">
        <v>14</v>
      </c>
      <c r="C20" s="8" t="str">
        <f>VLOOKUP(A:A,[1]TDSheet!$A:$C,3,0)</f>
        <v>P004583</v>
      </c>
      <c r="D20" s="9">
        <v>110</v>
      </c>
      <c r="E20" s="9">
        <v>140</v>
      </c>
      <c r="F20" s="20">
        <v>120</v>
      </c>
      <c r="G20" s="9">
        <v>130</v>
      </c>
      <c r="H20">
        <f>VLOOKUP(A:A,[1]TDSheet!$A:$H,8,0)</f>
        <v>0.36</v>
      </c>
      <c r="L20" s="20">
        <f>VLOOKUP(A:A,[2]TDSheet!$A:$B,2,0)</f>
        <v>120</v>
      </c>
      <c r="M20" s="20">
        <f t="shared" si="1"/>
        <v>0</v>
      </c>
      <c r="N20" s="20">
        <f>VLOOKUP(A:A,[1]TDSheet!$A:$O,15,0)</f>
        <v>160</v>
      </c>
      <c r="O20" s="20">
        <f>VLOOKUP(A:A,[1]TDSheet!$A:$Q,17,0)</f>
        <v>300</v>
      </c>
      <c r="P20" s="20">
        <f t="shared" si="2"/>
        <v>24</v>
      </c>
      <c r="Q20" s="21">
        <v>100</v>
      </c>
      <c r="R20" s="21">
        <f>VLOOKUP(A:A,[3]TDSheet!$A:$R,18,0)</f>
        <v>100</v>
      </c>
      <c r="S20" s="20">
        <f>VLOOKUP(A:A,[3]TDSheet!$A:$S,19,0)</f>
        <v>0</v>
      </c>
      <c r="T20" s="20">
        <f t="shared" si="3"/>
        <v>28.75</v>
      </c>
      <c r="U20" s="20">
        <f t="shared" si="4"/>
        <v>5.416666666666667</v>
      </c>
      <c r="V20" s="20">
        <f>VLOOKUP(A:A,[1]TDSheet!$A:$W,23,0)</f>
        <v>30.8</v>
      </c>
      <c r="W20" s="20">
        <f>VLOOKUP(A:A,[1]TDSheet!$A:$X,24,0)</f>
        <v>27.2</v>
      </c>
      <c r="X20" s="20">
        <f>VLOOKUP(A:A,[1]TDSheet!$A:$Y,25,0)</f>
        <v>33.4</v>
      </c>
      <c r="Y20" s="20">
        <f>VLOOKUP(A:A,[1]TDSheet!$A:$P,16,0)</f>
        <v>36</v>
      </c>
      <c r="Z20" s="20" t="str">
        <f>VLOOKUP(A:A,[1]TDSheet!$A:$Z,26,0)</f>
        <v>сети</v>
      </c>
      <c r="AA20" s="20">
        <f t="shared" si="5"/>
        <v>36</v>
      </c>
      <c r="AB20" s="20">
        <f>VLOOKUP(A:A,[1]TDSheet!$A:$AB,28,0)</f>
        <v>10</v>
      </c>
      <c r="AC20" s="20">
        <f t="shared" si="6"/>
        <v>14</v>
      </c>
      <c r="AD20" s="20">
        <f t="shared" si="7"/>
        <v>50.4</v>
      </c>
      <c r="AE20" s="20">
        <f>VLOOKUP(A:A,[1]TDSheet!$A:$AE,31,0)</f>
        <v>14</v>
      </c>
      <c r="AF20" s="20">
        <f>VLOOKUP(A:A,[1]TDSheet!$A:$AF,32,0)</f>
        <v>70</v>
      </c>
      <c r="AG20" s="20">
        <f t="shared" si="8"/>
        <v>0.2</v>
      </c>
    </row>
    <row r="21" spans="1:33" ht="10.9" customHeight="1" x14ac:dyDescent="0.2">
      <c r="A21" s="25" t="s">
        <v>28</v>
      </c>
      <c r="B21" s="8" t="s">
        <v>14</v>
      </c>
      <c r="C21" s="8" t="str">
        <f>VLOOKUP(A:A,[1]TDSheet!$A:$C,3,0)</f>
        <v>P005095</v>
      </c>
      <c r="D21" s="9">
        <v>56</v>
      </c>
      <c r="E21" s="9"/>
      <c r="F21" s="20">
        <v>0</v>
      </c>
      <c r="G21" s="9">
        <v>56</v>
      </c>
      <c r="H21">
        <f>VLOOKUP(A:A,[1]TDSheet!$A:$H,8,0)</f>
        <v>0.2</v>
      </c>
      <c r="I21">
        <f>VLOOKUP(A:A,[1]TDSheet!$A:$I,9,0)</f>
        <v>180</v>
      </c>
      <c r="L21" s="20">
        <f>VLOOKUP(A:A,[2]TDSheet!$A:$B,2,0)</f>
        <v>24</v>
      </c>
      <c r="M21" s="20">
        <f t="shared" si="1"/>
        <v>-24</v>
      </c>
      <c r="N21" s="20">
        <f>VLOOKUP(A:A,[1]TDSheet!$A:$O,15,0)</f>
        <v>0</v>
      </c>
      <c r="O21" s="20">
        <f>VLOOKUP(A:A,[1]TDSheet!$A:$Q,17,0)</f>
        <v>0</v>
      </c>
      <c r="P21" s="20">
        <f t="shared" si="2"/>
        <v>0</v>
      </c>
      <c r="Q21" s="21"/>
      <c r="R21" s="21"/>
      <c r="S21" s="20">
        <f>VLOOKUP(A:A,[3]TDSheet!$A:$S,19,0)</f>
        <v>0</v>
      </c>
      <c r="T21" s="20" t="e">
        <f t="shared" si="3"/>
        <v>#DIV/0!</v>
      </c>
      <c r="U21" s="20" t="e">
        <f t="shared" si="4"/>
        <v>#DIV/0!</v>
      </c>
      <c r="V21" s="20">
        <f>VLOOKUP(A:A,[1]TDSheet!$A:$W,23,0)</f>
        <v>0</v>
      </c>
      <c r="W21" s="20">
        <f>VLOOKUP(A:A,[1]TDSheet!$A:$X,24,0)</f>
        <v>0</v>
      </c>
      <c r="X21" s="20">
        <f>VLOOKUP(A:A,[1]TDSheet!$A:$Y,25,0)</f>
        <v>0</v>
      </c>
      <c r="Y21" s="20">
        <f>VLOOKUP(A:A,[1]TDSheet!$A:$P,16,0)</f>
        <v>0</v>
      </c>
      <c r="Z21" s="20" t="str">
        <f>VLOOKUP(A:A,[1]TDSheet!$A:$Z,26,0)</f>
        <v>нужно увеличить продажи!!! / перемещение из Мелитополя (19,09 списано; 26,09 поставлено!)</v>
      </c>
      <c r="AA21" s="20">
        <f t="shared" si="5"/>
        <v>0</v>
      </c>
      <c r="AB21" s="20">
        <f>VLOOKUP(A:A,[1]TDSheet!$A:$AB,28,0)</f>
        <v>12</v>
      </c>
      <c r="AC21" s="20">
        <f t="shared" si="6"/>
        <v>0</v>
      </c>
      <c r="AD21" s="20">
        <f t="shared" si="7"/>
        <v>0</v>
      </c>
      <c r="AE21" s="20">
        <f>VLOOKUP(A:A,[1]TDSheet!$A:$AE,31,0)</f>
        <v>14</v>
      </c>
      <c r="AF21" s="20">
        <f>VLOOKUP(A:A,[1]TDSheet!$A:$AF,32,0)</f>
        <v>70</v>
      </c>
      <c r="AG21" s="20">
        <f t="shared" si="8"/>
        <v>0</v>
      </c>
    </row>
    <row r="22" spans="1:33" ht="10.9" customHeight="1" x14ac:dyDescent="0.2">
      <c r="A22" s="8" t="s">
        <v>29</v>
      </c>
      <c r="B22" s="8" t="s">
        <v>14</v>
      </c>
      <c r="C22" s="8" t="str">
        <f>VLOOKUP(A:A,[1]TDSheet!$A:$C,3,0)</f>
        <v>P005129</v>
      </c>
      <c r="D22" s="9">
        <v>122</v>
      </c>
      <c r="E22" s="9"/>
      <c r="F22" s="20">
        <v>114</v>
      </c>
      <c r="G22" s="9">
        <v>8</v>
      </c>
      <c r="H22">
        <f>VLOOKUP(A:A,[1]TDSheet!$A:$H,8,0)</f>
        <v>0.2</v>
      </c>
      <c r="I22">
        <f>VLOOKUP(A:A,[1]TDSheet!$A:$I,9,0)</f>
        <v>180</v>
      </c>
      <c r="L22" s="20">
        <f>VLOOKUP(A:A,[2]TDSheet!$A:$B,2,0)</f>
        <v>114</v>
      </c>
      <c r="M22" s="20">
        <f t="shared" si="1"/>
        <v>0</v>
      </c>
      <c r="N22" s="20">
        <f>VLOOKUP(A:A,[1]TDSheet!$A:$O,15,0)</f>
        <v>0</v>
      </c>
      <c r="O22" s="20">
        <f>VLOOKUP(A:A,[1]TDSheet!$A:$Q,17,0)</f>
        <v>40</v>
      </c>
      <c r="P22" s="20">
        <f t="shared" si="2"/>
        <v>22.8</v>
      </c>
      <c r="Q22" s="21">
        <v>400</v>
      </c>
      <c r="R22" s="21">
        <f>VLOOKUP(A:A,[3]TDSheet!$A:$R,18,0)</f>
        <v>300</v>
      </c>
      <c r="S22" s="20">
        <f>VLOOKUP(A:A,[3]TDSheet!$A:$S,19,0)</f>
        <v>0</v>
      </c>
      <c r="T22" s="20">
        <f t="shared" si="3"/>
        <v>19.649122807017545</v>
      </c>
      <c r="U22" s="20">
        <f t="shared" si="4"/>
        <v>0.35087719298245612</v>
      </c>
      <c r="V22" s="20">
        <f>VLOOKUP(A:A,[1]TDSheet!$A:$W,23,0)</f>
        <v>12.8</v>
      </c>
      <c r="W22" s="20">
        <f>VLOOKUP(A:A,[1]TDSheet!$A:$X,24,0)</f>
        <v>9</v>
      </c>
      <c r="X22" s="20">
        <f>VLOOKUP(A:A,[1]TDSheet!$A:$Y,25,0)</f>
        <v>4.2</v>
      </c>
      <c r="Y22" s="20">
        <f>VLOOKUP(A:A,[1]TDSheet!$A:$P,16,0)</f>
        <v>9.1999999999999993</v>
      </c>
      <c r="Z22" s="20"/>
      <c r="AA22" s="20">
        <f t="shared" si="5"/>
        <v>80</v>
      </c>
      <c r="AB22" s="20">
        <f>VLOOKUP(A:A,[1]TDSheet!$A:$AB,28,0)</f>
        <v>12</v>
      </c>
      <c r="AC22" s="20">
        <f t="shared" si="6"/>
        <v>28</v>
      </c>
      <c r="AD22" s="20">
        <f t="shared" si="7"/>
        <v>67.2</v>
      </c>
      <c r="AE22" s="20">
        <f>VLOOKUP(A:A,[1]TDSheet!$A:$AE,31,0)</f>
        <v>14</v>
      </c>
      <c r="AF22" s="20">
        <f>VLOOKUP(A:A,[1]TDSheet!$A:$AF,32,0)</f>
        <v>70</v>
      </c>
      <c r="AG22" s="20">
        <f t="shared" si="8"/>
        <v>0.4</v>
      </c>
    </row>
    <row r="23" spans="1:33" ht="22.15" customHeight="1" x14ac:dyDescent="0.2">
      <c r="A23" s="8" t="s">
        <v>30</v>
      </c>
      <c r="B23" s="8" t="s">
        <v>14</v>
      </c>
      <c r="C23" s="8" t="str">
        <f>VLOOKUP(A:A,[1]TDSheet!$A:$C,3,0)</f>
        <v>P004956</v>
      </c>
      <c r="D23" s="9">
        <v>229</v>
      </c>
      <c r="E23" s="9">
        <v>10</v>
      </c>
      <c r="F23" s="20">
        <v>240</v>
      </c>
      <c r="G23" s="9">
        <v>-1</v>
      </c>
      <c r="H23">
        <f>VLOOKUP(A:A,[1]TDSheet!$A:$H,8,0)</f>
        <v>0.2</v>
      </c>
      <c r="I23">
        <f>VLOOKUP(A:A,[1]TDSheet!$A:$I,9,0)</f>
        <v>180</v>
      </c>
      <c r="L23" s="20">
        <f>VLOOKUP(A:A,[2]TDSheet!$A:$B,2,0)</f>
        <v>243</v>
      </c>
      <c r="M23" s="20">
        <f t="shared" si="1"/>
        <v>-3</v>
      </c>
      <c r="N23" s="20">
        <f>VLOOKUP(A:A,[1]TDSheet!$A:$O,15,0)</f>
        <v>50</v>
      </c>
      <c r="O23" s="20">
        <f>VLOOKUP(A:A,[1]TDSheet!$A:$Q,17,0)</f>
        <v>440</v>
      </c>
      <c r="P23" s="20">
        <f t="shared" si="2"/>
        <v>48</v>
      </c>
      <c r="Q23" s="21">
        <v>400</v>
      </c>
      <c r="R23" s="21">
        <f>VLOOKUP(A:A,[3]TDSheet!$A:$R,18,0)</f>
        <v>350</v>
      </c>
      <c r="S23" s="20">
        <f>VLOOKUP(A:A,[3]TDSheet!$A:$S,19,0)</f>
        <v>0</v>
      </c>
      <c r="T23" s="20">
        <f t="shared" si="3"/>
        <v>18.520833333333332</v>
      </c>
      <c r="U23" s="20">
        <f t="shared" si="4"/>
        <v>-2.0833333333333332E-2</v>
      </c>
      <c r="V23" s="20">
        <f>VLOOKUP(A:A,[1]TDSheet!$A:$W,23,0)</f>
        <v>47.2</v>
      </c>
      <c r="W23" s="20">
        <f>VLOOKUP(A:A,[1]TDSheet!$A:$X,24,0)</f>
        <v>34.200000000000003</v>
      </c>
      <c r="X23" s="20">
        <f>VLOOKUP(A:A,[1]TDSheet!$A:$Y,25,0)</f>
        <v>39.4</v>
      </c>
      <c r="Y23" s="20">
        <f>VLOOKUP(A:A,[1]TDSheet!$A:$P,16,0)</f>
        <v>53.4</v>
      </c>
      <c r="Z23" s="20"/>
      <c r="AA23" s="20">
        <f t="shared" si="5"/>
        <v>80</v>
      </c>
      <c r="AB23" s="20">
        <f>VLOOKUP(A:A,[1]TDSheet!$A:$AB,28,0)</f>
        <v>12</v>
      </c>
      <c r="AC23" s="20">
        <f t="shared" si="6"/>
        <v>28</v>
      </c>
      <c r="AD23" s="20">
        <f t="shared" si="7"/>
        <v>67.2</v>
      </c>
      <c r="AE23" s="20">
        <f>VLOOKUP(A:A,[1]TDSheet!$A:$AE,31,0)</f>
        <v>14</v>
      </c>
      <c r="AF23" s="20">
        <f>VLOOKUP(A:A,[1]TDSheet!$A:$AF,32,0)</f>
        <v>70</v>
      </c>
      <c r="AG23" s="20">
        <f t="shared" si="8"/>
        <v>0.4</v>
      </c>
    </row>
    <row r="24" spans="1:33" ht="10.9" customHeight="1" x14ac:dyDescent="0.2">
      <c r="A24" s="25" t="s">
        <v>31</v>
      </c>
      <c r="B24" s="8" t="s">
        <v>14</v>
      </c>
      <c r="C24" s="8" t="str">
        <f>VLOOKUP(A:A,[1]TDSheet!$A:$C,3,0)</f>
        <v>P004953</v>
      </c>
      <c r="D24" s="9">
        <v>51</v>
      </c>
      <c r="E24" s="9">
        <v>10</v>
      </c>
      <c r="F24" s="20">
        <v>58</v>
      </c>
      <c r="G24" s="9">
        <v>3</v>
      </c>
      <c r="H24">
        <f>VLOOKUP(A:A,[1]TDSheet!$A:$H,8,0)</f>
        <v>0.2</v>
      </c>
      <c r="I24">
        <f>VLOOKUP(A:A,[1]TDSheet!$A:$I,9,0)</f>
        <v>180</v>
      </c>
      <c r="L24" s="20">
        <f>VLOOKUP(A:A,[2]TDSheet!$A:$B,2,0)</f>
        <v>144</v>
      </c>
      <c r="M24" s="20">
        <f t="shared" si="1"/>
        <v>-86</v>
      </c>
      <c r="N24" s="20">
        <f>VLOOKUP(A:A,[1]TDSheet!$A:$O,15,0)</f>
        <v>0</v>
      </c>
      <c r="O24" s="20">
        <f>VLOOKUP(A:A,[1]TDSheet!$A:$Q,17,0)</f>
        <v>350</v>
      </c>
      <c r="P24" s="20">
        <f t="shared" si="2"/>
        <v>11.6</v>
      </c>
      <c r="Q24" s="21">
        <v>300</v>
      </c>
      <c r="R24" s="21">
        <f>VLOOKUP(A:A,[3]TDSheet!$A:$R,18,0)</f>
        <v>300</v>
      </c>
      <c r="S24" s="20">
        <f>VLOOKUP(A:A,[3]TDSheet!$A:$S,19,0)</f>
        <v>0</v>
      </c>
      <c r="T24" s="20">
        <f t="shared" si="3"/>
        <v>56.293103448275865</v>
      </c>
      <c r="U24" s="20">
        <f t="shared" si="4"/>
        <v>0.25862068965517243</v>
      </c>
      <c r="V24" s="20">
        <f>VLOOKUP(A:A,[1]TDSheet!$A:$W,23,0)</f>
        <v>25.2</v>
      </c>
      <c r="W24" s="20">
        <f>VLOOKUP(A:A,[1]TDSheet!$A:$X,24,0)</f>
        <v>19.8</v>
      </c>
      <c r="X24" s="20">
        <f>VLOOKUP(A:A,[1]TDSheet!$A:$Y,25,0)</f>
        <v>11.4</v>
      </c>
      <c r="Y24" s="20">
        <f>VLOOKUP(A:A,[1]TDSheet!$A:$P,16,0)</f>
        <v>21</v>
      </c>
      <c r="Z24" s="20"/>
      <c r="AA24" s="20">
        <f t="shared" si="5"/>
        <v>60</v>
      </c>
      <c r="AB24" s="20">
        <f>VLOOKUP(A:A,[1]TDSheet!$A:$AB,28,0)</f>
        <v>12</v>
      </c>
      <c r="AC24" s="20">
        <f t="shared" si="6"/>
        <v>28</v>
      </c>
      <c r="AD24" s="20">
        <f t="shared" si="7"/>
        <v>67.2</v>
      </c>
      <c r="AE24" s="20">
        <f>VLOOKUP(A:A,[1]TDSheet!$A:$AE,31,0)</f>
        <v>14</v>
      </c>
      <c r="AF24" s="20">
        <f>VLOOKUP(A:A,[1]TDSheet!$A:$AF,32,0)</f>
        <v>70</v>
      </c>
      <c r="AG24" s="20">
        <f t="shared" si="8"/>
        <v>0.4</v>
      </c>
    </row>
    <row r="25" spans="1:33" ht="10.9" customHeight="1" x14ac:dyDescent="0.2">
      <c r="A25" s="25" t="s">
        <v>32</v>
      </c>
      <c r="B25" s="8" t="s">
        <v>13</v>
      </c>
      <c r="C25" s="8" t="str">
        <f>VLOOKUP(A:A,[1]TDSheet!$A:$C,3,0)</f>
        <v>P005235</v>
      </c>
      <c r="D25" s="9">
        <v>55</v>
      </c>
      <c r="E25" s="9"/>
      <c r="F25" s="20">
        <v>50</v>
      </c>
      <c r="G25" s="9">
        <v>5</v>
      </c>
      <c r="H25">
        <f>VLOOKUP(A:A,[1]TDSheet!$A:$H,8,0)</f>
        <v>1</v>
      </c>
      <c r="I25">
        <f>VLOOKUP(A:A,[1]TDSheet!$A:$I,9,0)</f>
        <v>180</v>
      </c>
      <c r="L25" s="20">
        <f>VLOOKUP(A:A,[2]TDSheet!$A:$B,2,0)</f>
        <v>80</v>
      </c>
      <c r="M25" s="20">
        <f t="shared" si="1"/>
        <v>-30</v>
      </c>
      <c r="N25" s="20">
        <f>VLOOKUP(A:A,[1]TDSheet!$A:$O,15,0)</f>
        <v>120</v>
      </c>
      <c r="O25" s="20">
        <f>VLOOKUP(A:A,[1]TDSheet!$A:$Q,17,0)</f>
        <v>100</v>
      </c>
      <c r="P25" s="20">
        <f t="shared" si="2"/>
        <v>10</v>
      </c>
      <c r="Q25" s="21">
        <v>200</v>
      </c>
      <c r="R25" s="21">
        <f>VLOOKUP(A:A,[3]TDSheet!$A:$R,18,0)</f>
        <v>200</v>
      </c>
      <c r="S25" s="20">
        <f>VLOOKUP(A:A,[3]TDSheet!$A:$S,19,0)</f>
        <v>0</v>
      </c>
      <c r="T25" s="20">
        <f t="shared" si="3"/>
        <v>42.5</v>
      </c>
      <c r="U25" s="20">
        <f t="shared" si="4"/>
        <v>0.5</v>
      </c>
      <c r="V25" s="20">
        <f>VLOOKUP(A:A,[1]TDSheet!$A:$W,23,0)</f>
        <v>15</v>
      </c>
      <c r="W25" s="20">
        <f>VLOOKUP(A:A,[1]TDSheet!$A:$X,24,0)</f>
        <v>18</v>
      </c>
      <c r="X25" s="20">
        <f>VLOOKUP(A:A,[1]TDSheet!$A:$Y,25,0)</f>
        <v>20</v>
      </c>
      <c r="Y25" s="20">
        <f>VLOOKUP(A:A,[1]TDSheet!$A:$P,16,0)</f>
        <v>20</v>
      </c>
      <c r="Z25" s="20" t="str">
        <f>VLOOKUP(A:A,[1]TDSheet!$A:$Z,26,0)</f>
        <v>остатки?</v>
      </c>
      <c r="AA25" s="20">
        <f t="shared" si="5"/>
        <v>200</v>
      </c>
      <c r="AB25" s="20">
        <f>VLOOKUP(A:A,[1]TDSheet!$A:$AB,28,0)</f>
        <v>5</v>
      </c>
      <c r="AC25" s="20">
        <f t="shared" si="6"/>
        <v>0</v>
      </c>
      <c r="AD25" s="20">
        <f t="shared" si="7"/>
        <v>0</v>
      </c>
      <c r="AE25" s="20">
        <f>VLOOKUP(A:A,[1]TDSheet!$A:$AE,31,0)</f>
        <v>0</v>
      </c>
      <c r="AF25" s="20">
        <f>VLOOKUP(A:A,[1]TDSheet!$A:$AF,32,0)</f>
        <v>84</v>
      </c>
      <c r="AG25" s="20">
        <f t="shared" si="8"/>
        <v>0</v>
      </c>
    </row>
    <row r="26" spans="1:33" ht="10.9" customHeight="1" x14ac:dyDescent="0.2">
      <c r="A26" s="25" t="s">
        <v>33</v>
      </c>
      <c r="B26" s="8" t="s">
        <v>13</v>
      </c>
      <c r="C26" s="8" t="str">
        <f>VLOOKUP(A:A,[1]TDSheet!$A:$C,3,0)</f>
        <v>P004394</v>
      </c>
      <c r="D26" s="9">
        <v>84</v>
      </c>
      <c r="E26" s="9">
        <v>12</v>
      </c>
      <c r="F26" s="20">
        <v>36</v>
      </c>
      <c r="G26" s="9">
        <v>57</v>
      </c>
      <c r="H26">
        <f>VLOOKUP(A:A,[1]TDSheet!$A:$H,8,0)</f>
        <v>1</v>
      </c>
      <c r="I26">
        <f>VLOOKUP(A:A,[1]TDSheet!$A:$I,9,0)</f>
        <v>180</v>
      </c>
      <c r="L26" s="20">
        <f>VLOOKUP(A:A,[2]TDSheet!$A:$B,2,0)</f>
        <v>39</v>
      </c>
      <c r="M26" s="20">
        <f t="shared" si="1"/>
        <v>-3</v>
      </c>
      <c r="N26" s="20">
        <f>VLOOKUP(A:A,[1]TDSheet!$A:$O,15,0)</f>
        <v>0</v>
      </c>
      <c r="O26" s="20">
        <f>VLOOKUP(A:A,[1]TDSheet!$A:$Q,17,0)</f>
        <v>135</v>
      </c>
      <c r="P26" s="20">
        <f t="shared" si="2"/>
        <v>7.2</v>
      </c>
      <c r="Q26" s="21">
        <v>200</v>
      </c>
      <c r="R26" s="21">
        <f>VLOOKUP(A:A,[3]TDSheet!$A:$R,18,0)</f>
        <v>200</v>
      </c>
      <c r="S26" s="20">
        <f>VLOOKUP(A:A,[3]TDSheet!$A:$S,19,0)</f>
        <v>0</v>
      </c>
      <c r="T26" s="20">
        <f t="shared" si="3"/>
        <v>54.444444444444443</v>
      </c>
      <c r="U26" s="20">
        <f t="shared" si="4"/>
        <v>7.9166666666666661</v>
      </c>
      <c r="V26" s="20">
        <f>VLOOKUP(A:A,[1]TDSheet!$A:$W,23,0)</f>
        <v>12.6</v>
      </c>
      <c r="W26" s="20">
        <f>VLOOKUP(A:A,[1]TDSheet!$A:$X,24,0)</f>
        <v>10.74</v>
      </c>
      <c r="X26" s="20">
        <f>VLOOKUP(A:A,[1]TDSheet!$A:$Y,25,0)</f>
        <v>11.4</v>
      </c>
      <c r="Y26" s="20">
        <f>VLOOKUP(A:A,[1]TDSheet!$A:$P,16,0)</f>
        <v>12.6</v>
      </c>
      <c r="Z26" s="20"/>
      <c r="AA26" s="20">
        <f t="shared" si="5"/>
        <v>200</v>
      </c>
      <c r="AB26" s="20">
        <f>VLOOKUP(A:A,[1]TDSheet!$A:$AB,28,0)</f>
        <v>3</v>
      </c>
      <c r="AC26" s="20">
        <f t="shared" si="6"/>
        <v>70</v>
      </c>
      <c r="AD26" s="20">
        <f t="shared" si="7"/>
        <v>210</v>
      </c>
      <c r="AE26" s="20">
        <f>VLOOKUP(A:A,[1]TDSheet!$A:$AE,31,0)</f>
        <v>14</v>
      </c>
      <c r="AF26" s="20">
        <f>VLOOKUP(A:A,[1]TDSheet!$A:$AF,32,0)</f>
        <v>126</v>
      </c>
      <c r="AG26" s="20">
        <f t="shared" si="8"/>
        <v>0.55555555555555558</v>
      </c>
    </row>
    <row r="27" spans="1:33" ht="10.9" customHeight="1" x14ac:dyDescent="0.2">
      <c r="A27" s="8" t="s">
        <v>34</v>
      </c>
      <c r="B27" s="8" t="s">
        <v>14</v>
      </c>
      <c r="C27" s="8" t="str">
        <f>VLOOKUP(A:A,[1]TDSheet!$A:$C,3,0)</f>
        <v>P004497</v>
      </c>
      <c r="D27" s="9">
        <v>717</v>
      </c>
      <c r="E27" s="9">
        <v>171</v>
      </c>
      <c r="F27" s="20">
        <v>431</v>
      </c>
      <c r="G27" s="9">
        <v>455</v>
      </c>
      <c r="H27">
        <f>VLOOKUP(A:A,[1]TDSheet!$A:$H,8,0)</f>
        <v>0.25</v>
      </c>
      <c r="I27">
        <f>VLOOKUP(A:A,[1]TDSheet!$A:$I,9,0)</f>
        <v>180</v>
      </c>
      <c r="J27" t="str">
        <f>VLOOKUP(A:A,[1]TDSheet!$A:$J,10,0)</f>
        <v>матрица</v>
      </c>
      <c r="L27" s="20">
        <f>VLOOKUP(A:A,[2]TDSheet!$A:$B,2,0)</f>
        <v>433</v>
      </c>
      <c r="M27" s="20">
        <f t="shared" si="1"/>
        <v>-2</v>
      </c>
      <c r="N27" s="20">
        <f>VLOOKUP(A:A,[1]TDSheet!$A:$O,15,0)</f>
        <v>100</v>
      </c>
      <c r="O27" s="20">
        <f>VLOOKUP(A:A,[1]TDSheet!$A:$Q,17,0)</f>
        <v>0</v>
      </c>
      <c r="P27" s="20">
        <f t="shared" si="2"/>
        <v>86.2</v>
      </c>
      <c r="Q27" s="21">
        <v>800</v>
      </c>
      <c r="R27" s="21">
        <f>VLOOKUP(A:A,[3]TDSheet!$A:$R,18,0)</f>
        <v>700</v>
      </c>
      <c r="S27" s="20">
        <f>VLOOKUP(A:A,[3]TDSheet!$A:$S,19,0)</f>
        <v>0</v>
      </c>
      <c r="T27" s="20">
        <f t="shared" si="3"/>
        <v>15.719257540603248</v>
      </c>
      <c r="U27" s="20">
        <f t="shared" si="4"/>
        <v>5.278422273781902</v>
      </c>
      <c r="V27" s="20">
        <f>VLOOKUP(A:A,[1]TDSheet!$A:$W,23,0)</f>
        <v>47.8</v>
      </c>
      <c r="W27" s="20">
        <f>VLOOKUP(A:A,[1]TDSheet!$A:$X,24,0)</f>
        <v>40.799999999999997</v>
      </c>
      <c r="X27" s="20">
        <f>VLOOKUP(A:A,[1]TDSheet!$A:$Y,25,0)</f>
        <v>80</v>
      </c>
      <c r="Y27" s="20">
        <f>VLOOKUP(A:A,[1]TDSheet!$A:$P,16,0)</f>
        <v>60.2</v>
      </c>
      <c r="Z27" s="20" t="str">
        <f>VLOOKUP(A:A,[1]TDSheet!$A:$Z,26,0)</f>
        <v>сети</v>
      </c>
      <c r="AA27" s="20">
        <f t="shared" si="5"/>
        <v>200</v>
      </c>
      <c r="AB27" s="20">
        <f>VLOOKUP(A:A,[1]TDSheet!$A:$AB,28,0)</f>
        <v>12</v>
      </c>
      <c r="AC27" s="20">
        <f t="shared" si="6"/>
        <v>70</v>
      </c>
      <c r="AD27" s="20">
        <f t="shared" si="7"/>
        <v>210</v>
      </c>
      <c r="AE27" s="20">
        <f>VLOOKUP(A:A,[1]TDSheet!$A:$AE,31,0)</f>
        <v>14</v>
      </c>
      <c r="AF27" s="20">
        <f>VLOOKUP(A:A,[1]TDSheet!$A:$AF,32,0)</f>
        <v>70</v>
      </c>
      <c r="AG27" s="20">
        <f t="shared" si="8"/>
        <v>1</v>
      </c>
    </row>
    <row r="28" spans="1:33" ht="22.15" customHeight="1" x14ac:dyDescent="0.2">
      <c r="A28" s="25" t="s">
        <v>35</v>
      </c>
      <c r="B28" s="8" t="s">
        <v>14</v>
      </c>
      <c r="C28" s="8" t="str">
        <f>VLOOKUP(A:A,[1]TDSheet!$A:$C,3,0)</f>
        <v>P004600</v>
      </c>
      <c r="D28" s="9">
        <v>72</v>
      </c>
      <c r="E28" s="9"/>
      <c r="F28" s="20">
        <v>72</v>
      </c>
      <c r="G28" s="9"/>
      <c r="H28">
        <f>VLOOKUP(A:A,[1]TDSheet!$A:$H,8,0)</f>
        <v>0.25</v>
      </c>
      <c r="I28">
        <f>VLOOKUP(A:A,[1]TDSheet!$A:$I,9,0)</f>
        <v>180</v>
      </c>
      <c r="J28" t="str">
        <f>VLOOKUP(A:A,[1]TDSheet!$A:$J,10,0)</f>
        <v>матрица</v>
      </c>
      <c r="L28" s="20">
        <f>VLOOKUP(A:A,[2]TDSheet!$A:$B,2,0)</f>
        <v>94</v>
      </c>
      <c r="M28" s="20">
        <f t="shared" si="1"/>
        <v>-22</v>
      </c>
      <c r="N28" s="20">
        <f>VLOOKUP(A:A,[1]TDSheet!$A:$O,15,0)</f>
        <v>40</v>
      </c>
      <c r="O28" s="20">
        <f>VLOOKUP(A:A,[1]TDSheet!$A:$Q,17,0)</f>
        <v>250</v>
      </c>
      <c r="P28" s="20">
        <f t="shared" si="2"/>
        <v>14.4</v>
      </c>
      <c r="Q28" s="21"/>
      <c r="R28" s="21"/>
      <c r="S28" s="20">
        <f>VLOOKUP(A:A,[3]TDSheet!$A:$S,19,0)</f>
        <v>0</v>
      </c>
      <c r="T28" s="20">
        <f t="shared" si="3"/>
        <v>20.138888888888889</v>
      </c>
      <c r="U28" s="20">
        <f t="shared" si="4"/>
        <v>0</v>
      </c>
      <c r="V28" s="20">
        <f>VLOOKUP(A:A,[1]TDSheet!$A:$W,23,0)</f>
        <v>33.4</v>
      </c>
      <c r="W28" s="20">
        <f>VLOOKUP(A:A,[1]TDSheet!$A:$X,24,0)</f>
        <v>20.8</v>
      </c>
      <c r="X28" s="20">
        <f>VLOOKUP(A:A,[1]TDSheet!$A:$Y,25,0)</f>
        <v>13.6</v>
      </c>
      <c r="Y28" s="20">
        <f>VLOOKUP(A:A,[1]TDSheet!$A:$P,16,0)</f>
        <v>19.2</v>
      </c>
      <c r="Z28" s="20" t="str">
        <f>VLOOKUP(A:A,[1]TDSheet!$A:$Z,26,0)</f>
        <v>сети</v>
      </c>
      <c r="AA28" s="20">
        <f t="shared" si="5"/>
        <v>0</v>
      </c>
      <c r="AB28" s="20">
        <f>VLOOKUP(A:A,[1]TDSheet!$A:$AB,28,0)</f>
        <v>6</v>
      </c>
      <c r="AC28" s="20">
        <f t="shared" si="6"/>
        <v>0</v>
      </c>
      <c r="AD28" s="20">
        <f t="shared" si="7"/>
        <v>0</v>
      </c>
      <c r="AE28" s="20">
        <f>VLOOKUP(A:A,[1]TDSheet!$A:$AE,31,0)</f>
        <v>14</v>
      </c>
      <c r="AF28" s="20">
        <f>VLOOKUP(A:A,[1]TDSheet!$A:$AF,32,0)</f>
        <v>140</v>
      </c>
      <c r="AG28" s="20">
        <f t="shared" si="8"/>
        <v>0</v>
      </c>
    </row>
    <row r="29" spans="1:33" ht="10.9" customHeight="1" x14ac:dyDescent="0.2">
      <c r="A29" s="8" t="s">
        <v>36</v>
      </c>
      <c r="B29" s="8" t="s">
        <v>14</v>
      </c>
      <c r="C29" s="8" t="str">
        <f>VLOOKUP(A:A,[1]TDSheet!$A:$C,3,0)</f>
        <v>P004602</v>
      </c>
      <c r="D29" s="9">
        <v>915</v>
      </c>
      <c r="E29" s="9">
        <v>2</v>
      </c>
      <c r="F29" s="20">
        <v>406</v>
      </c>
      <c r="G29" s="9">
        <v>509</v>
      </c>
      <c r="H29">
        <f>VLOOKUP(A:A,[1]TDSheet!$A:$H,8,0)</f>
        <v>0.25</v>
      </c>
      <c r="I29">
        <f>VLOOKUP(A:A,[1]TDSheet!$A:$I,9,0)</f>
        <v>180</v>
      </c>
      <c r="L29" s="20">
        <f>VLOOKUP(A:A,[2]TDSheet!$A:$B,2,0)</f>
        <v>408</v>
      </c>
      <c r="M29" s="20">
        <f t="shared" si="1"/>
        <v>-2</v>
      </c>
      <c r="N29" s="20">
        <f>VLOOKUP(A:A,[1]TDSheet!$A:$O,15,0)</f>
        <v>0</v>
      </c>
      <c r="O29" s="20">
        <f>VLOOKUP(A:A,[1]TDSheet!$A:$Q,17,0)</f>
        <v>0</v>
      </c>
      <c r="P29" s="20">
        <f t="shared" si="2"/>
        <v>81.2</v>
      </c>
      <c r="Q29" s="21">
        <v>800</v>
      </c>
      <c r="R29" s="21"/>
      <c r="S29" s="20">
        <f>VLOOKUP(A:A,[3]TDSheet!$A:$S,19,0)</f>
        <v>0</v>
      </c>
      <c r="T29" s="20">
        <f t="shared" si="3"/>
        <v>16.120689655172413</v>
      </c>
      <c r="U29" s="20">
        <f t="shared" si="4"/>
        <v>6.2684729064039404</v>
      </c>
      <c r="V29" s="20">
        <f>VLOOKUP(A:A,[1]TDSheet!$A:$W,23,0)</f>
        <v>72.8</v>
      </c>
      <c r="W29" s="20">
        <f>VLOOKUP(A:A,[1]TDSheet!$A:$X,24,0)</f>
        <v>69.8</v>
      </c>
      <c r="X29" s="20">
        <f>VLOOKUP(A:A,[1]TDSheet!$A:$Y,25,0)</f>
        <v>60.6</v>
      </c>
      <c r="Y29" s="20">
        <f>VLOOKUP(A:A,[1]TDSheet!$A:$P,16,0)</f>
        <v>69.599999999999994</v>
      </c>
      <c r="Z29" s="20" t="str">
        <f>VLOOKUP(A:A,[1]TDSheet!$A:$Z,26,0)</f>
        <v>сети</v>
      </c>
      <c r="AA29" s="20">
        <f t="shared" si="5"/>
        <v>200</v>
      </c>
      <c r="AB29" s="20">
        <f>VLOOKUP(A:A,[1]TDSheet!$A:$AB,28,0)</f>
        <v>6</v>
      </c>
      <c r="AC29" s="20">
        <f t="shared" si="6"/>
        <v>140</v>
      </c>
      <c r="AD29" s="20">
        <f t="shared" si="7"/>
        <v>210</v>
      </c>
      <c r="AE29" s="20">
        <f>VLOOKUP(A:A,[1]TDSheet!$A:$AE,31,0)</f>
        <v>14</v>
      </c>
      <c r="AF29" s="20">
        <f>VLOOKUP(A:A,[1]TDSheet!$A:$AF,32,0)</f>
        <v>140</v>
      </c>
      <c r="AG29" s="20">
        <f t="shared" si="8"/>
        <v>1</v>
      </c>
    </row>
    <row r="30" spans="1:33" ht="10.9" customHeight="1" x14ac:dyDescent="0.2">
      <c r="A30" s="25" t="s">
        <v>37</v>
      </c>
      <c r="B30" s="8" t="s">
        <v>14</v>
      </c>
      <c r="C30" s="8" t="str">
        <f>VLOOKUP(A:A,[1]TDSheet!$A:$C,3,0)</f>
        <v>P004496</v>
      </c>
      <c r="D30" s="9">
        <v>107</v>
      </c>
      <c r="E30" s="9">
        <v>337</v>
      </c>
      <c r="F30" s="20">
        <v>192</v>
      </c>
      <c r="G30" s="9">
        <v>252</v>
      </c>
      <c r="H30">
        <f>VLOOKUP(A:A,[1]TDSheet!$A:$H,8,0)</f>
        <v>0.25</v>
      </c>
      <c r="I30">
        <f>VLOOKUP(A:A,[1]TDSheet!$A:$I,9,0)</f>
        <v>0</v>
      </c>
      <c r="J30" t="str">
        <f>VLOOKUP(A:A,[1]TDSheet!$A:$J,10,0)</f>
        <v>матрица</v>
      </c>
      <c r="L30" s="20">
        <f>VLOOKUP(A:A,[2]TDSheet!$A:$B,2,0)</f>
        <v>212</v>
      </c>
      <c r="M30" s="20">
        <f t="shared" si="1"/>
        <v>-20</v>
      </c>
      <c r="N30" s="20">
        <f>VLOOKUP(A:A,[1]TDSheet!$A:$O,15,0)</f>
        <v>320</v>
      </c>
      <c r="O30" s="20">
        <f>VLOOKUP(A:A,[1]TDSheet!$A:$Q,17,0)</f>
        <v>450</v>
      </c>
      <c r="P30" s="20">
        <f t="shared" si="2"/>
        <v>38.4</v>
      </c>
      <c r="Q30" s="21">
        <v>500</v>
      </c>
      <c r="R30" s="21">
        <f>VLOOKUP(A:A,[3]TDSheet!$A:$R,18,0)</f>
        <v>500</v>
      </c>
      <c r="S30" s="20">
        <f>VLOOKUP(A:A,[3]TDSheet!$A:$S,19,0)</f>
        <v>0</v>
      </c>
      <c r="T30" s="20">
        <f t="shared" si="3"/>
        <v>39.635416666666671</v>
      </c>
      <c r="U30" s="20">
        <f t="shared" si="4"/>
        <v>6.5625</v>
      </c>
      <c r="V30" s="20">
        <f>VLOOKUP(A:A,[1]TDSheet!$A:$W,23,0)</f>
        <v>62</v>
      </c>
      <c r="W30" s="20">
        <f>VLOOKUP(A:A,[1]TDSheet!$A:$X,24,0)</f>
        <v>42.6</v>
      </c>
      <c r="X30" s="20">
        <f>VLOOKUP(A:A,[1]TDSheet!$A:$Y,25,0)</f>
        <v>47.4</v>
      </c>
      <c r="Y30" s="20">
        <f>VLOOKUP(A:A,[1]TDSheet!$A:$P,16,0)</f>
        <v>48.4</v>
      </c>
      <c r="Z30" s="20"/>
      <c r="AA30" s="20">
        <f t="shared" si="5"/>
        <v>125</v>
      </c>
      <c r="AB30" s="20">
        <f>VLOOKUP(A:A,[1]TDSheet!$A:$AB,28,0)</f>
        <v>12</v>
      </c>
      <c r="AC30" s="20">
        <f t="shared" si="6"/>
        <v>42</v>
      </c>
      <c r="AD30" s="20">
        <f t="shared" si="7"/>
        <v>126</v>
      </c>
      <c r="AE30" s="20">
        <f>VLOOKUP(A:A,[1]TDSheet!$A:$AE,31,0)</f>
        <v>14</v>
      </c>
      <c r="AF30" s="20">
        <f>VLOOKUP(A:A,[1]TDSheet!$A:$AF,32,0)</f>
        <v>70</v>
      </c>
      <c r="AG30" s="20">
        <f t="shared" si="8"/>
        <v>0.6</v>
      </c>
    </row>
    <row r="31" spans="1:33" ht="10.9" customHeight="1" x14ac:dyDescent="0.2">
      <c r="A31" s="8" t="s">
        <v>38</v>
      </c>
      <c r="B31" s="8" t="s">
        <v>14</v>
      </c>
      <c r="C31" s="8" t="str">
        <f>VLOOKUP(A:A,[1]TDSheet!$A:$C,3,0)</f>
        <v>P004535</v>
      </c>
      <c r="D31" s="9">
        <v>634</v>
      </c>
      <c r="E31" s="9">
        <v>2</v>
      </c>
      <c r="F31" s="20">
        <v>263</v>
      </c>
      <c r="G31" s="9">
        <v>371</v>
      </c>
      <c r="H31">
        <f>VLOOKUP(A:A,[1]TDSheet!$A:$H,8,0)</f>
        <v>0.25</v>
      </c>
      <c r="I31">
        <f>VLOOKUP(A:A,[1]TDSheet!$A:$I,9,0)</f>
        <v>180</v>
      </c>
      <c r="L31" s="20">
        <f>VLOOKUP(A:A,[2]TDSheet!$A:$B,2,0)</f>
        <v>265</v>
      </c>
      <c r="M31" s="20">
        <f t="shared" si="1"/>
        <v>-2</v>
      </c>
      <c r="N31" s="20">
        <f>VLOOKUP(A:A,[1]TDSheet!$A:$O,15,0)</f>
        <v>0</v>
      </c>
      <c r="O31" s="20">
        <f>VLOOKUP(A:A,[1]TDSheet!$A:$Q,17,0)</f>
        <v>0</v>
      </c>
      <c r="P31" s="20">
        <f t="shared" si="2"/>
        <v>52.6</v>
      </c>
      <c r="Q31" s="21">
        <v>400</v>
      </c>
      <c r="R31" s="21"/>
      <c r="S31" s="20">
        <f>VLOOKUP(A:A,[3]TDSheet!$A:$S,19,0)</f>
        <v>0</v>
      </c>
      <c r="T31" s="20">
        <f t="shared" si="3"/>
        <v>14.657794676806084</v>
      </c>
      <c r="U31" s="20">
        <f t="shared" si="4"/>
        <v>7.0532319391634983</v>
      </c>
      <c r="V31" s="20">
        <f>VLOOKUP(A:A,[1]TDSheet!$A:$W,23,0)</f>
        <v>44.8</v>
      </c>
      <c r="W31" s="20">
        <f>VLOOKUP(A:A,[1]TDSheet!$A:$X,24,0)</f>
        <v>31.4</v>
      </c>
      <c r="X31" s="20">
        <f>VLOOKUP(A:A,[1]TDSheet!$A:$Y,25,0)</f>
        <v>49.4</v>
      </c>
      <c r="Y31" s="20">
        <f>VLOOKUP(A:A,[1]TDSheet!$A:$P,16,0)</f>
        <v>34.4</v>
      </c>
      <c r="Z31" s="20" t="str">
        <f>VLOOKUP(A:A,[1]TDSheet!$A:$Z,26,0)</f>
        <v>сети</v>
      </c>
      <c r="AA31" s="20">
        <f t="shared" si="5"/>
        <v>100</v>
      </c>
      <c r="AB31" s="20">
        <f>VLOOKUP(A:A,[1]TDSheet!$A:$AB,28,0)</f>
        <v>12</v>
      </c>
      <c r="AC31" s="20">
        <f t="shared" si="6"/>
        <v>28</v>
      </c>
      <c r="AD31" s="20">
        <f t="shared" si="7"/>
        <v>84</v>
      </c>
      <c r="AE31" s="20">
        <f>VLOOKUP(A:A,[1]TDSheet!$A:$AE,31,0)</f>
        <v>14</v>
      </c>
      <c r="AF31" s="20">
        <f>VLOOKUP(A:A,[1]TDSheet!$A:$AF,32,0)</f>
        <v>70</v>
      </c>
      <c r="AG31" s="20">
        <f t="shared" si="8"/>
        <v>0.4</v>
      </c>
    </row>
    <row r="32" spans="1:33" ht="10.9" customHeight="1" x14ac:dyDescent="0.2">
      <c r="A32" s="25" t="s">
        <v>39</v>
      </c>
      <c r="B32" s="8" t="s">
        <v>14</v>
      </c>
      <c r="C32" s="8" t="str">
        <f>VLOOKUP(A:A,[1]TDSheet!$A:$C,3,0)</f>
        <v>P005043</v>
      </c>
      <c r="D32" s="10"/>
      <c r="E32" s="9">
        <v>168</v>
      </c>
      <c r="F32" s="20">
        <v>63</v>
      </c>
      <c r="G32" s="9">
        <v>105</v>
      </c>
      <c r="H32">
        <f>VLOOKUP(A:A,[1]TDSheet!$A:$H,8,0)</f>
        <v>0.23</v>
      </c>
      <c r="L32" s="20">
        <f>VLOOKUP(A:A,[2]TDSheet!$A:$B,2,0)</f>
        <v>63</v>
      </c>
      <c r="M32" s="20">
        <f t="shared" si="1"/>
        <v>0</v>
      </c>
      <c r="N32" s="20">
        <f>VLOOKUP(A:A,[1]TDSheet!$A:$O,15,0)</f>
        <v>240</v>
      </c>
      <c r="O32" s="20">
        <f>VLOOKUP(A:A,[1]TDSheet!$A:$Q,17,0)</f>
        <v>0</v>
      </c>
      <c r="P32" s="20">
        <f t="shared" si="2"/>
        <v>12.6</v>
      </c>
      <c r="Q32" s="21">
        <v>200</v>
      </c>
      <c r="R32" s="21">
        <f>VLOOKUP(A:A,[3]TDSheet!$A:$R,18,0)</f>
        <v>200</v>
      </c>
      <c r="S32" s="20">
        <f>VLOOKUP(A:A,[3]TDSheet!$A:$S,19,0)</f>
        <v>0</v>
      </c>
      <c r="T32" s="20">
        <f t="shared" si="3"/>
        <v>43.253968253968253</v>
      </c>
      <c r="U32" s="20">
        <f t="shared" si="4"/>
        <v>8.3333333333333339</v>
      </c>
      <c r="V32" s="20">
        <f>VLOOKUP(A:A,[1]TDSheet!$A:$W,23,0)</f>
        <v>17.8</v>
      </c>
      <c r="W32" s="20">
        <f>VLOOKUP(A:A,[1]TDSheet!$A:$X,24,0)</f>
        <v>12.6</v>
      </c>
      <c r="X32" s="20">
        <f>VLOOKUP(A:A,[1]TDSheet!$A:$Y,25,0)</f>
        <v>20.2</v>
      </c>
      <c r="Y32" s="20">
        <f>VLOOKUP(A:A,[1]TDSheet!$A:$P,16,0)</f>
        <v>7.6</v>
      </c>
      <c r="Z32" s="20"/>
      <c r="AA32" s="20">
        <f t="shared" si="5"/>
        <v>46</v>
      </c>
      <c r="AB32" s="20">
        <f>VLOOKUP(A:A,[1]TDSheet!$A:$AB,28,0)</f>
        <v>12</v>
      </c>
      <c r="AC32" s="20">
        <f t="shared" si="6"/>
        <v>14</v>
      </c>
      <c r="AD32" s="20">
        <f t="shared" si="7"/>
        <v>38.64</v>
      </c>
      <c r="AE32" s="20">
        <f>VLOOKUP(A:A,[1]TDSheet!$A:$AE,31,0)</f>
        <v>14</v>
      </c>
      <c r="AF32" s="20">
        <f>VLOOKUP(A:A,[1]TDSheet!$A:$AF,32,0)</f>
        <v>70</v>
      </c>
      <c r="AG32" s="20">
        <f t="shared" si="8"/>
        <v>0.2</v>
      </c>
    </row>
    <row r="33" spans="1:33" ht="10.9" customHeight="1" x14ac:dyDescent="0.2">
      <c r="A33" s="8" t="s">
        <v>40</v>
      </c>
      <c r="B33" s="8" t="s">
        <v>14</v>
      </c>
      <c r="C33" s="8" t="str">
        <f>VLOOKUP(A:A,[1]TDSheet!$A:$C,3,0)</f>
        <v>P004594</v>
      </c>
      <c r="D33" s="9">
        <v>106</v>
      </c>
      <c r="E33" s="9"/>
      <c r="F33" s="20">
        <v>88</v>
      </c>
      <c r="G33" s="9">
        <v>18</v>
      </c>
      <c r="H33">
        <f>VLOOKUP(A:A,[1]TDSheet!$A:$H,8,0)</f>
        <v>0.25</v>
      </c>
      <c r="I33">
        <f>VLOOKUP(A:A,[1]TDSheet!$A:$I,9,0)</f>
        <v>180</v>
      </c>
      <c r="J33" t="str">
        <f>VLOOKUP(A:A,[1]TDSheet!$A:$J,10,0)</f>
        <v>матрица</v>
      </c>
      <c r="L33" s="20">
        <f>VLOOKUP(A:A,[2]TDSheet!$A:$B,2,0)</f>
        <v>88</v>
      </c>
      <c r="M33" s="20">
        <f t="shared" si="1"/>
        <v>0</v>
      </c>
      <c r="N33" s="20">
        <f>VLOOKUP(A:A,[1]TDSheet!$A:$O,15,0)</f>
        <v>0</v>
      </c>
      <c r="O33" s="20">
        <f>VLOOKUP(A:A,[1]TDSheet!$A:$Q,17,0)</f>
        <v>39.599999999999994</v>
      </c>
      <c r="P33" s="20">
        <f t="shared" si="2"/>
        <v>17.600000000000001</v>
      </c>
      <c r="Q33" s="21">
        <v>300</v>
      </c>
      <c r="R33" s="21">
        <f>VLOOKUP(A:A,[3]TDSheet!$A:$R,18,0)</f>
        <v>300</v>
      </c>
      <c r="S33" s="20">
        <f>VLOOKUP(A:A,[3]TDSheet!$A:$S,19,0)</f>
        <v>0</v>
      </c>
      <c r="T33" s="20">
        <f t="shared" si="3"/>
        <v>20.318181818181817</v>
      </c>
      <c r="U33" s="20">
        <f t="shared" si="4"/>
        <v>1.0227272727272727</v>
      </c>
      <c r="V33" s="20">
        <f>VLOOKUP(A:A,[1]TDSheet!$A:$W,23,0)</f>
        <v>13.6</v>
      </c>
      <c r="W33" s="20">
        <f>VLOOKUP(A:A,[1]TDSheet!$A:$X,24,0)</f>
        <v>11.2</v>
      </c>
      <c r="X33" s="20">
        <f>VLOOKUP(A:A,[1]TDSheet!$A:$Y,25,0)</f>
        <v>10.8</v>
      </c>
      <c r="Y33" s="20">
        <f>VLOOKUP(A:A,[1]TDSheet!$A:$P,16,0)</f>
        <v>10.4</v>
      </c>
      <c r="Z33" s="20" t="str">
        <f>VLOOKUP(A:A,[1]TDSheet!$A:$Z,26,0)</f>
        <v>сети</v>
      </c>
      <c r="AA33" s="20">
        <f t="shared" si="5"/>
        <v>75</v>
      </c>
      <c r="AB33" s="20">
        <f>VLOOKUP(A:A,[1]TDSheet!$A:$AB,28,0)</f>
        <v>12</v>
      </c>
      <c r="AC33" s="20">
        <f t="shared" si="6"/>
        <v>28</v>
      </c>
      <c r="AD33" s="20">
        <f t="shared" si="7"/>
        <v>84</v>
      </c>
      <c r="AE33" s="20">
        <f>VLOOKUP(A:A,[1]TDSheet!$A:$AE,31,0)</f>
        <v>14</v>
      </c>
      <c r="AF33" s="20">
        <f>VLOOKUP(A:A,[1]TDSheet!$A:$AF,32,0)</f>
        <v>70</v>
      </c>
      <c r="AG33" s="20">
        <f t="shared" si="8"/>
        <v>0.4</v>
      </c>
    </row>
    <row r="34" spans="1:33" ht="22.15" customHeight="1" x14ac:dyDescent="0.2">
      <c r="A34" s="8" t="s">
        <v>41</v>
      </c>
      <c r="B34" s="8" t="s">
        <v>14</v>
      </c>
      <c r="C34" s="8" t="str">
        <f>VLOOKUP(A:A,[1]TDSheet!$A:$C,3,0)</f>
        <v>P004889</v>
      </c>
      <c r="D34" s="9">
        <v>99</v>
      </c>
      <c r="E34" s="9">
        <v>5</v>
      </c>
      <c r="F34" s="20">
        <v>92</v>
      </c>
      <c r="G34" s="9">
        <v>7</v>
      </c>
      <c r="H34">
        <f>VLOOKUP(A:A,[1]TDSheet!$A:$H,8,0)</f>
        <v>0.7</v>
      </c>
      <c r="I34">
        <f>VLOOKUP(A:A,[1]TDSheet!$A:$I,9,0)</f>
        <v>180</v>
      </c>
      <c r="J34" t="str">
        <f>VLOOKUP(A:A,[1]TDSheet!$A:$J,10,0)</f>
        <v>матрица</v>
      </c>
      <c r="L34" s="20">
        <f>VLOOKUP(A:A,[2]TDSheet!$A:$B,2,0)</f>
        <v>97</v>
      </c>
      <c r="M34" s="20">
        <f t="shared" si="1"/>
        <v>-5</v>
      </c>
      <c r="N34" s="20">
        <f>VLOOKUP(A:A,[1]TDSheet!$A:$O,15,0)</f>
        <v>0</v>
      </c>
      <c r="O34" s="20">
        <f>VLOOKUP(A:A,[1]TDSheet!$A:$Q,17,0)</f>
        <v>200</v>
      </c>
      <c r="P34" s="20">
        <f t="shared" si="2"/>
        <v>18.399999999999999</v>
      </c>
      <c r="Q34" s="21">
        <v>200</v>
      </c>
      <c r="R34" s="21">
        <f>VLOOKUP(A:A,[3]TDSheet!$A:$R,18,0)</f>
        <v>200</v>
      </c>
      <c r="S34" s="20">
        <f>VLOOKUP(A:A,[3]TDSheet!$A:$S,19,0)</f>
        <v>0</v>
      </c>
      <c r="T34" s="20">
        <f t="shared" si="3"/>
        <v>22.119565217391305</v>
      </c>
      <c r="U34" s="20">
        <f t="shared" si="4"/>
        <v>0.38043478260869568</v>
      </c>
      <c r="V34" s="20">
        <f>VLOOKUP(A:A,[1]TDSheet!$A:$W,23,0)</f>
        <v>19.600000000000001</v>
      </c>
      <c r="W34" s="20">
        <f>VLOOKUP(A:A,[1]TDSheet!$A:$X,24,0)</f>
        <v>14</v>
      </c>
      <c r="X34" s="20">
        <f>VLOOKUP(A:A,[1]TDSheet!$A:$Y,25,0)</f>
        <v>5.6</v>
      </c>
      <c r="Y34" s="20">
        <f>VLOOKUP(A:A,[1]TDSheet!$A:$P,16,0)</f>
        <v>19</v>
      </c>
      <c r="Z34" s="20"/>
      <c r="AA34" s="20">
        <f t="shared" si="5"/>
        <v>140</v>
      </c>
      <c r="AB34" s="20">
        <f>VLOOKUP(A:A,[1]TDSheet!$A:$AB,28,0)</f>
        <v>8</v>
      </c>
      <c r="AC34" s="20">
        <f t="shared" si="6"/>
        <v>24</v>
      </c>
      <c r="AD34" s="20">
        <f t="shared" si="7"/>
        <v>134.39999999999998</v>
      </c>
      <c r="AE34" s="20">
        <f>VLOOKUP(A:A,[1]TDSheet!$A:$AE,31,0)</f>
        <v>12</v>
      </c>
      <c r="AF34" s="20">
        <f>VLOOKUP(A:A,[1]TDSheet!$A:$AF,32,0)</f>
        <v>84</v>
      </c>
      <c r="AG34" s="20">
        <f t="shared" si="8"/>
        <v>0.2857142857142857</v>
      </c>
    </row>
    <row r="35" spans="1:33" ht="10.9" customHeight="1" x14ac:dyDescent="0.2">
      <c r="A35" s="8" t="s">
        <v>42</v>
      </c>
      <c r="B35" s="8" t="s">
        <v>14</v>
      </c>
      <c r="C35" s="8" t="str">
        <f>VLOOKUP(A:A,[1]TDSheet!$A:$C,3,0)</f>
        <v>P004887</v>
      </c>
      <c r="D35" s="9">
        <v>42</v>
      </c>
      <c r="E35" s="9">
        <v>101</v>
      </c>
      <c r="F35" s="20">
        <v>83</v>
      </c>
      <c r="G35" s="9">
        <v>55</v>
      </c>
      <c r="H35">
        <f>VLOOKUP(A:A,[1]TDSheet!$A:$H,8,0)</f>
        <v>0.7</v>
      </c>
      <c r="I35">
        <f>VLOOKUP(A:A,[1]TDSheet!$A:$I,9,0)</f>
        <v>180</v>
      </c>
      <c r="J35" t="str">
        <f>VLOOKUP(A:A,[1]TDSheet!$A:$J,10,0)</f>
        <v>матрица</v>
      </c>
      <c r="L35" s="20">
        <f>VLOOKUP(A:A,[2]TDSheet!$A:$B,2,0)</f>
        <v>85</v>
      </c>
      <c r="M35" s="20">
        <f t="shared" si="1"/>
        <v>-2</v>
      </c>
      <c r="N35" s="20">
        <f>VLOOKUP(A:A,[1]TDSheet!$A:$O,15,0)</f>
        <v>50</v>
      </c>
      <c r="O35" s="20">
        <f>VLOOKUP(A:A,[1]TDSheet!$A:$Q,17,0)</f>
        <v>100</v>
      </c>
      <c r="P35" s="20">
        <f t="shared" si="2"/>
        <v>16.600000000000001</v>
      </c>
      <c r="Q35" s="21">
        <v>200</v>
      </c>
      <c r="R35" s="21">
        <f>VLOOKUP(A:A,[3]TDSheet!$A:$R,18,0)</f>
        <v>200</v>
      </c>
      <c r="S35" s="20">
        <f>VLOOKUP(A:A,[3]TDSheet!$A:$S,19,0)</f>
        <v>0</v>
      </c>
      <c r="T35" s="20">
        <f t="shared" si="3"/>
        <v>24.397590361445783</v>
      </c>
      <c r="U35" s="20">
        <f t="shared" si="4"/>
        <v>3.3132530120481927</v>
      </c>
      <c r="V35" s="20">
        <f>VLOOKUP(A:A,[1]TDSheet!$A:$W,23,0)</f>
        <v>18.600000000000001</v>
      </c>
      <c r="W35" s="20">
        <f>VLOOKUP(A:A,[1]TDSheet!$A:$X,24,0)</f>
        <v>15.4</v>
      </c>
      <c r="X35" s="20">
        <f>VLOOKUP(A:A,[1]TDSheet!$A:$Y,25,0)</f>
        <v>14</v>
      </c>
      <c r="Y35" s="20">
        <f>VLOOKUP(A:A,[1]TDSheet!$A:$P,16,0)</f>
        <v>11.6</v>
      </c>
      <c r="Z35" s="20"/>
      <c r="AA35" s="20">
        <f t="shared" si="5"/>
        <v>140</v>
      </c>
      <c r="AB35" s="20">
        <f>VLOOKUP(A:A,[1]TDSheet!$A:$AB,28,0)</f>
        <v>8</v>
      </c>
      <c r="AC35" s="20">
        <f t="shared" si="6"/>
        <v>24</v>
      </c>
      <c r="AD35" s="20">
        <f t="shared" si="7"/>
        <v>134.39999999999998</v>
      </c>
      <c r="AE35" s="20">
        <f>VLOOKUP(A:A,[1]TDSheet!$A:$AE,31,0)</f>
        <v>12</v>
      </c>
      <c r="AF35" s="20">
        <f>VLOOKUP(A:A,[1]TDSheet!$A:$AF,32,0)</f>
        <v>84</v>
      </c>
      <c r="AG35" s="20">
        <f t="shared" si="8"/>
        <v>0.2857142857142857</v>
      </c>
    </row>
    <row r="36" spans="1:33" ht="22.15" customHeight="1" x14ac:dyDescent="0.2">
      <c r="A36" s="25" t="s">
        <v>43</v>
      </c>
      <c r="B36" s="8" t="s">
        <v>14</v>
      </c>
      <c r="C36" s="8" t="str">
        <f>VLOOKUP(A:A,[1]TDSheet!$A:$C,3,0)</f>
        <v>P004888</v>
      </c>
      <c r="D36" s="9">
        <v>30</v>
      </c>
      <c r="E36" s="9">
        <v>192</v>
      </c>
      <c r="F36" s="20">
        <v>92</v>
      </c>
      <c r="G36" s="9">
        <v>130</v>
      </c>
      <c r="H36">
        <f>VLOOKUP(A:A,[1]TDSheet!$A:$H,8,0)</f>
        <v>0.7</v>
      </c>
      <c r="I36">
        <f>VLOOKUP(A:A,[1]TDSheet!$A:$I,9,0)</f>
        <v>365</v>
      </c>
      <c r="J36" t="str">
        <f>VLOOKUP(A:A,[1]TDSheet!$A:$J,10,0)</f>
        <v>матрица</v>
      </c>
      <c r="L36" s="20">
        <f>VLOOKUP(A:A,[2]TDSheet!$A:$B,2,0)</f>
        <v>97</v>
      </c>
      <c r="M36" s="20">
        <f t="shared" si="1"/>
        <v>-5</v>
      </c>
      <c r="N36" s="20">
        <f>VLOOKUP(A:A,[1]TDSheet!$A:$O,15,0)</f>
        <v>160</v>
      </c>
      <c r="O36" s="20">
        <f>VLOOKUP(A:A,[1]TDSheet!$A:$Q,17,0)</f>
        <v>120</v>
      </c>
      <c r="P36" s="20">
        <f t="shared" si="2"/>
        <v>18.399999999999999</v>
      </c>
      <c r="Q36" s="21">
        <v>100</v>
      </c>
      <c r="R36" s="21">
        <f>VLOOKUP(A:A,[3]TDSheet!$A:$R,18,0)</f>
        <v>100</v>
      </c>
      <c r="S36" s="20">
        <f>VLOOKUP(A:A,[3]TDSheet!$A:$S,19,0)</f>
        <v>0</v>
      </c>
      <c r="T36" s="20">
        <f t="shared" si="3"/>
        <v>27.717391304347828</v>
      </c>
      <c r="U36" s="20">
        <f t="shared" si="4"/>
        <v>7.0652173913043486</v>
      </c>
      <c r="V36" s="20">
        <f>VLOOKUP(A:A,[1]TDSheet!$A:$W,23,0)</f>
        <v>17.600000000000001</v>
      </c>
      <c r="W36" s="20">
        <f>VLOOKUP(A:A,[1]TDSheet!$A:$X,24,0)</f>
        <v>18.600000000000001</v>
      </c>
      <c r="X36" s="20">
        <f>VLOOKUP(A:A,[1]TDSheet!$A:$Y,25,0)</f>
        <v>22.4</v>
      </c>
      <c r="Y36" s="20">
        <f>VLOOKUP(A:A,[1]TDSheet!$A:$P,16,0)</f>
        <v>15.2</v>
      </c>
      <c r="Z36" s="20"/>
      <c r="AA36" s="20">
        <f t="shared" si="5"/>
        <v>70</v>
      </c>
      <c r="AB36" s="20">
        <f>VLOOKUP(A:A,[1]TDSheet!$A:$AB,28,0)</f>
        <v>8</v>
      </c>
      <c r="AC36" s="20">
        <f t="shared" si="6"/>
        <v>12</v>
      </c>
      <c r="AD36" s="20">
        <f t="shared" si="7"/>
        <v>67.199999999999989</v>
      </c>
      <c r="AE36" s="20">
        <f>VLOOKUP(A:A,[1]TDSheet!$A:$AE,31,0)</f>
        <v>12</v>
      </c>
      <c r="AF36" s="20">
        <f>VLOOKUP(A:A,[1]TDSheet!$A:$AF,32,0)</f>
        <v>84</v>
      </c>
      <c r="AG36" s="20">
        <f t="shared" si="8"/>
        <v>0.14285714285714285</v>
      </c>
    </row>
    <row r="37" spans="1:33" ht="22.15" customHeight="1" x14ac:dyDescent="0.2">
      <c r="A37" s="25" t="s">
        <v>44</v>
      </c>
      <c r="B37" s="8" t="s">
        <v>14</v>
      </c>
      <c r="C37" s="8" t="str">
        <f>VLOOKUP(A:A,[1]TDSheet!$A:$C,3,0)</f>
        <v>P004440</v>
      </c>
      <c r="D37" s="9">
        <v>-5</v>
      </c>
      <c r="E37" s="9">
        <v>375</v>
      </c>
      <c r="F37" s="20">
        <v>135</v>
      </c>
      <c r="G37" s="9">
        <v>221</v>
      </c>
      <c r="H37">
        <f>VLOOKUP(A:A,[1]TDSheet!$A:$H,8,0)</f>
        <v>0.7</v>
      </c>
      <c r="I37">
        <f>VLOOKUP(A:A,[1]TDSheet!$A:$I,9,0)</f>
        <v>180</v>
      </c>
      <c r="J37" t="str">
        <f>VLOOKUP(A:A,[1]TDSheet!$A:$J,10,0)</f>
        <v>матрица</v>
      </c>
      <c r="L37" s="20">
        <f>VLOOKUP(A:A,[2]TDSheet!$A:$B,2,0)</f>
        <v>203</v>
      </c>
      <c r="M37" s="20">
        <f t="shared" si="1"/>
        <v>-68</v>
      </c>
      <c r="N37" s="20">
        <f>VLOOKUP(A:A,[1]TDSheet!$A:$O,15,0)</f>
        <v>300</v>
      </c>
      <c r="O37" s="20">
        <f>VLOOKUP(A:A,[1]TDSheet!$A:$Q,17,0)</f>
        <v>600</v>
      </c>
      <c r="P37" s="20">
        <f t="shared" si="2"/>
        <v>27</v>
      </c>
      <c r="Q37" s="21">
        <v>100</v>
      </c>
      <c r="R37" s="21">
        <f>VLOOKUP(A:A,[3]TDSheet!$A:$R,18,0)</f>
        <v>100</v>
      </c>
      <c r="S37" s="20">
        <f>VLOOKUP(A:A,[3]TDSheet!$A:$S,19,0)</f>
        <v>0</v>
      </c>
      <c r="T37" s="20">
        <f t="shared" si="3"/>
        <v>45.222222222222221</v>
      </c>
      <c r="U37" s="20">
        <f t="shared" si="4"/>
        <v>8.1851851851851851</v>
      </c>
      <c r="V37" s="20">
        <f>VLOOKUP(A:A,[1]TDSheet!$A:$W,23,0)</f>
        <v>35.6</v>
      </c>
      <c r="W37" s="20">
        <f>VLOOKUP(A:A,[1]TDSheet!$A:$X,24,0)</f>
        <v>29.8</v>
      </c>
      <c r="X37" s="20">
        <f>VLOOKUP(A:A,[1]TDSheet!$A:$Y,25,0)</f>
        <v>34.6</v>
      </c>
      <c r="Y37" s="20">
        <f>VLOOKUP(A:A,[1]TDSheet!$A:$P,16,0)</f>
        <v>23.8</v>
      </c>
      <c r="Z37" s="20"/>
      <c r="AA37" s="20">
        <f t="shared" si="5"/>
        <v>70</v>
      </c>
      <c r="AB37" s="20">
        <f>VLOOKUP(A:A,[1]TDSheet!$A:$AB,28,0)</f>
        <v>10</v>
      </c>
      <c r="AC37" s="20">
        <f t="shared" si="6"/>
        <v>12</v>
      </c>
      <c r="AD37" s="20">
        <f t="shared" si="7"/>
        <v>84</v>
      </c>
      <c r="AE37" s="20">
        <f>VLOOKUP(A:A,[1]TDSheet!$A:$AE,31,0)</f>
        <v>12</v>
      </c>
      <c r="AF37" s="20">
        <f>VLOOKUP(A:A,[1]TDSheet!$A:$AF,32,0)</f>
        <v>84</v>
      </c>
      <c r="AG37" s="20">
        <f t="shared" si="8"/>
        <v>0.14285714285714285</v>
      </c>
    </row>
    <row r="38" spans="1:33" ht="22.15" customHeight="1" x14ac:dyDescent="0.2">
      <c r="A38" s="8" t="s">
        <v>45</v>
      </c>
      <c r="B38" s="8" t="s">
        <v>14</v>
      </c>
      <c r="C38" s="8" t="str">
        <f>VLOOKUP(A:A,[1]TDSheet!$A:$C,3,0)</f>
        <v>P004442</v>
      </c>
      <c r="D38" s="9">
        <v>111</v>
      </c>
      <c r="E38" s="9"/>
      <c r="F38" s="20">
        <v>120</v>
      </c>
      <c r="G38" s="9">
        <v>-17</v>
      </c>
      <c r="H38">
        <f>VLOOKUP(A:A,[1]TDSheet!$A:$H,8,0)</f>
        <v>0.7</v>
      </c>
      <c r="I38">
        <f>VLOOKUP(A:A,[1]TDSheet!$A:$I,9,0)</f>
        <v>180</v>
      </c>
      <c r="J38" t="str">
        <f>VLOOKUP(A:A,[1]TDSheet!$A:$J,10,0)</f>
        <v>матрица</v>
      </c>
      <c r="L38" s="20">
        <f>VLOOKUP(A:A,[2]TDSheet!$A:$B,2,0)</f>
        <v>126</v>
      </c>
      <c r="M38" s="20">
        <f t="shared" si="1"/>
        <v>-6</v>
      </c>
      <c r="N38" s="20">
        <f>VLOOKUP(A:A,[1]TDSheet!$A:$O,15,0)</f>
        <v>40</v>
      </c>
      <c r="O38" s="20">
        <f>VLOOKUP(A:A,[1]TDSheet!$A:$Q,17,0)</f>
        <v>160</v>
      </c>
      <c r="P38" s="20">
        <f t="shared" si="2"/>
        <v>24</v>
      </c>
      <c r="Q38" s="21">
        <v>350</v>
      </c>
      <c r="R38" s="21">
        <f>VLOOKUP(A:A,[3]TDSheet!$A:$R,18,0)</f>
        <v>350</v>
      </c>
      <c r="S38" s="20">
        <f>VLOOKUP(A:A,[3]TDSheet!$A:$S,19,0)</f>
        <v>0</v>
      </c>
      <c r="T38" s="20">
        <f t="shared" si="3"/>
        <v>22.208333333333332</v>
      </c>
      <c r="U38" s="20">
        <f t="shared" si="4"/>
        <v>-0.70833333333333337</v>
      </c>
      <c r="V38" s="20">
        <f>VLOOKUP(A:A,[1]TDSheet!$A:$W,23,0)</f>
        <v>31.2</v>
      </c>
      <c r="W38" s="20">
        <f>VLOOKUP(A:A,[1]TDSheet!$A:$X,24,0)</f>
        <v>31.4</v>
      </c>
      <c r="X38" s="20">
        <f>VLOOKUP(A:A,[1]TDSheet!$A:$Y,25,0)</f>
        <v>24.6</v>
      </c>
      <c r="Y38" s="20">
        <f>VLOOKUP(A:A,[1]TDSheet!$A:$P,16,0)</f>
        <v>23.8</v>
      </c>
      <c r="Z38" s="20"/>
      <c r="AA38" s="20">
        <f t="shared" si="5"/>
        <v>244.99999999999997</v>
      </c>
      <c r="AB38" s="20">
        <f>VLOOKUP(A:A,[1]TDSheet!$A:$AB,28,0)</f>
        <v>10</v>
      </c>
      <c r="AC38" s="20">
        <f t="shared" si="6"/>
        <v>36</v>
      </c>
      <c r="AD38" s="20">
        <f t="shared" si="7"/>
        <v>251.99999999999997</v>
      </c>
      <c r="AE38" s="20">
        <f>VLOOKUP(A:A,[1]TDSheet!$A:$AE,31,0)</f>
        <v>12</v>
      </c>
      <c r="AF38" s="20">
        <f>VLOOKUP(A:A,[1]TDSheet!$A:$AF,32,0)</f>
        <v>84</v>
      </c>
      <c r="AG38" s="20">
        <f t="shared" si="8"/>
        <v>0.42857142857142855</v>
      </c>
    </row>
    <row r="39" spans="1:33" ht="22.15" customHeight="1" x14ac:dyDescent="0.2">
      <c r="A39" s="8" t="s">
        <v>46</v>
      </c>
      <c r="B39" s="8" t="s">
        <v>14</v>
      </c>
      <c r="C39" s="8" t="str">
        <f>VLOOKUP(A:A,[1]TDSheet!$A:$C,3,0)</f>
        <v>P004203</v>
      </c>
      <c r="D39" s="9">
        <v>439</v>
      </c>
      <c r="E39" s="9">
        <v>9</v>
      </c>
      <c r="F39" s="20">
        <v>324</v>
      </c>
      <c r="G39" s="9">
        <v>119</v>
      </c>
      <c r="H39">
        <f>VLOOKUP(A:A,[1]TDSheet!$A:$H,8,0)</f>
        <v>0.7</v>
      </c>
      <c r="I39">
        <f>VLOOKUP(A:A,[1]TDSheet!$A:$I,9,0)</f>
        <v>365</v>
      </c>
      <c r="L39" s="20">
        <f>VLOOKUP(A:A,[2]TDSheet!$A:$B,2,0)</f>
        <v>329</v>
      </c>
      <c r="M39" s="20">
        <f t="shared" si="1"/>
        <v>-5</v>
      </c>
      <c r="N39" s="20">
        <f>VLOOKUP(A:A,[1]TDSheet!$A:$O,15,0)</f>
        <v>0</v>
      </c>
      <c r="O39" s="20">
        <f>VLOOKUP(A:A,[1]TDSheet!$A:$Q,17,0)</f>
        <v>160</v>
      </c>
      <c r="P39" s="20">
        <f t="shared" si="2"/>
        <v>64.8</v>
      </c>
      <c r="Q39" s="21">
        <v>650</v>
      </c>
      <c r="R39" s="21"/>
      <c r="S39" s="20">
        <f>VLOOKUP(A:A,[3]TDSheet!$A:$S,19,0)</f>
        <v>0</v>
      </c>
      <c r="T39" s="20">
        <f t="shared" si="3"/>
        <v>14.336419753086421</v>
      </c>
      <c r="U39" s="20">
        <f t="shared" si="4"/>
        <v>1.8364197530864199</v>
      </c>
      <c r="V39" s="20">
        <f>VLOOKUP(A:A,[1]TDSheet!$A:$W,23,0)</f>
        <v>50</v>
      </c>
      <c r="W39" s="20">
        <f>VLOOKUP(A:A,[1]TDSheet!$A:$X,24,0)</f>
        <v>59.6</v>
      </c>
      <c r="X39" s="20">
        <f>VLOOKUP(A:A,[1]TDSheet!$A:$Y,25,0)</f>
        <v>42.2</v>
      </c>
      <c r="Y39" s="20">
        <f>VLOOKUP(A:A,[1]TDSheet!$A:$P,16,0)</f>
        <v>45</v>
      </c>
      <c r="Z39" s="20"/>
      <c r="AA39" s="20">
        <f t="shared" si="5"/>
        <v>454.99999999999994</v>
      </c>
      <c r="AB39" s="20">
        <f>VLOOKUP(A:A,[1]TDSheet!$A:$AB,28,0)</f>
        <v>10</v>
      </c>
      <c r="AC39" s="20">
        <f t="shared" si="6"/>
        <v>60</v>
      </c>
      <c r="AD39" s="20">
        <f t="shared" si="7"/>
        <v>420</v>
      </c>
      <c r="AE39" s="20">
        <f>VLOOKUP(A:A,[1]TDSheet!$A:$AE,31,0)</f>
        <v>12</v>
      </c>
      <c r="AF39" s="20">
        <f>VLOOKUP(A:A,[1]TDSheet!$A:$AF,32,0)</f>
        <v>84</v>
      </c>
      <c r="AG39" s="20">
        <f t="shared" si="8"/>
        <v>0.7142857142857143</v>
      </c>
    </row>
    <row r="40" spans="1:33" ht="22.15" customHeight="1" x14ac:dyDescent="0.2">
      <c r="A40" s="25" t="s">
        <v>47</v>
      </c>
      <c r="B40" s="8" t="s">
        <v>14</v>
      </c>
      <c r="C40" s="8" t="str">
        <f>VLOOKUP(A:A,[1]TDSheet!$A:$C,3,0)</f>
        <v>P004819</v>
      </c>
      <c r="D40" s="9">
        <v>36</v>
      </c>
      <c r="E40" s="9">
        <v>240</v>
      </c>
      <c r="F40" s="20">
        <v>77</v>
      </c>
      <c r="G40" s="9">
        <v>199</v>
      </c>
      <c r="H40">
        <f>VLOOKUP(A:A,[1]TDSheet!$A:$H,8,0)</f>
        <v>0.7</v>
      </c>
      <c r="I40">
        <f>VLOOKUP(A:A,[1]TDSheet!$A:$I,9,0)</f>
        <v>180</v>
      </c>
      <c r="J40" t="str">
        <f>VLOOKUP(A:A,[1]TDSheet!$A:$J,10,0)</f>
        <v>матрица</v>
      </c>
      <c r="L40" s="20">
        <f>VLOOKUP(A:A,[2]TDSheet!$A:$B,2,0)</f>
        <v>77</v>
      </c>
      <c r="M40" s="20">
        <f t="shared" si="1"/>
        <v>0</v>
      </c>
      <c r="N40" s="20">
        <f>VLOOKUP(A:A,[1]TDSheet!$A:$O,15,0)</f>
        <v>260</v>
      </c>
      <c r="O40" s="20">
        <f>VLOOKUP(A:A,[1]TDSheet!$A:$Q,17,0)</f>
        <v>250</v>
      </c>
      <c r="P40" s="20">
        <f t="shared" si="2"/>
        <v>15.4</v>
      </c>
      <c r="Q40" s="21"/>
      <c r="R40" s="21"/>
      <c r="S40" s="20">
        <f>VLOOKUP(A:A,[3]TDSheet!$A:$S,19,0)</f>
        <v>0</v>
      </c>
      <c r="T40" s="20">
        <f t="shared" si="3"/>
        <v>46.038961038961041</v>
      </c>
      <c r="U40" s="20">
        <f t="shared" si="4"/>
        <v>12.922077922077921</v>
      </c>
      <c r="V40" s="20">
        <f>VLOOKUP(A:A,[1]TDSheet!$A:$W,23,0)</f>
        <v>12.4</v>
      </c>
      <c r="W40" s="20">
        <f>VLOOKUP(A:A,[1]TDSheet!$A:$X,24,0)</f>
        <v>12</v>
      </c>
      <c r="X40" s="20">
        <f>VLOOKUP(A:A,[1]TDSheet!$A:$Y,25,0)</f>
        <v>27.4</v>
      </c>
      <c r="Y40" s="20">
        <f>VLOOKUP(A:A,[1]TDSheet!$A:$P,16,0)</f>
        <v>18.8</v>
      </c>
      <c r="Z40" s="20"/>
      <c r="AA40" s="20">
        <f t="shared" si="5"/>
        <v>0</v>
      </c>
      <c r="AB40" s="20">
        <f>VLOOKUP(A:A,[1]TDSheet!$A:$AB,28,0)</f>
        <v>10</v>
      </c>
      <c r="AC40" s="20">
        <f t="shared" si="6"/>
        <v>0</v>
      </c>
      <c r="AD40" s="20">
        <f t="shared" si="7"/>
        <v>0</v>
      </c>
      <c r="AE40" s="20">
        <f>VLOOKUP(A:A,[1]TDSheet!$A:$AE,31,0)</f>
        <v>12</v>
      </c>
      <c r="AF40" s="20">
        <f>VLOOKUP(A:A,[1]TDSheet!$A:$AF,32,0)</f>
        <v>84</v>
      </c>
      <c r="AG40" s="20">
        <f t="shared" si="8"/>
        <v>0</v>
      </c>
    </row>
    <row r="41" spans="1:33" ht="22.15" customHeight="1" x14ac:dyDescent="0.2">
      <c r="A41" s="25" t="s">
        <v>48</v>
      </c>
      <c r="B41" s="8" t="s">
        <v>13</v>
      </c>
      <c r="C41" s="8" t="str">
        <f>VLOOKUP(A:A,[1]TDSheet!$A:$C,3,0)</f>
        <v>P003697</v>
      </c>
      <c r="D41" s="9">
        <v>155</v>
      </c>
      <c r="E41" s="9">
        <v>725</v>
      </c>
      <c r="F41" s="20">
        <v>310</v>
      </c>
      <c r="G41" s="9">
        <v>565</v>
      </c>
      <c r="H41">
        <f>VLOOKUP(A:A,[1]TDSheet!$A:$H,8,0)</f>
        <v>1</v>
      </c>
      <c r="I41">
        <f>VLOOKUP(A:A,[1]TDSheet!$A:$I,9,0)</f>
        <v>180</v>
      </c>
      <c r="J41" t="str">
        <f>VLOOKUP(A:A,[1]TDSheet!$A:$J,10,0)</f>
        <v>матрица</v>
      </c>
      <c r="L41" s="20">
        <f>VLOOKUP(A:A,[2]TDSheet!$A:$B,2,0)</f>
        <v>350</v>
      </c>
      <c r="M41" s="20">
        <f t="shared" si="1"/>
        <v>-40</v>
      </c>
      <c r="N41" s="20">
        <f>VLOOKUP(A:A,[1]TDSheet!$A:$O,15,0)</f>
        <v>720</v>
      </c>
      <c r="O41" s="20">
        <f>VLOOKUP(A:A,[1]TDSheet!$A:$Q,17,0)</f>
        <v>300</v>
      </c>
      <c r="P41" s="20">
        <f t="shared" si="2"/>
        <v>62</v>
      </c>
      <c r="Q41" s="21"/>
      <c r="R41" s="21"/>
      <c r="S41" s="20">
        <f>VLOOKUP(A:A,[3]TDSheet!$A:$S,19,0)</f>
        <v>0</v>
      </c>
      <c r="T41" s="20">
        <f t="shared" si="3"/>
        <v>25.56451612903226</v>
      </c>
      <c r="U41" s="20">
        <f t="shared" si="4"/>
        <v>9.112903225806452</v>
      </c>
      <c r="V41" s="20">
        <f>VLOOKUP(A:A,[1]TDSheet!$A:$W,23,0)</f>
        <v>73</v>
      </c>
      <c r="W41" s="20">
        <f>VLOOKUP(A:A,[1]TDSheet!$A:$X,24,0)</f>
        <v>77</v>
      </c>
      <c r="X41" s="20">
        <f>VLOOKUP(A:A,[1]TDSheet!$A:$Y,25,0)</f>
        <v>89</v>
      </c>
      <c r="Y41" s="20">
        <f>VLOOKUP(A:A,[1]TDSheet!$A:$P,16,0)</f>
        <v>77</v>
      </c>
      <c r="Z41" s="20"/>
      <c r="AA41" s="20">
        <f t="shared" si="5"/>
        <v>0</v>
      </c>
      <c r="AB41" s="20">
        <f>VLOOKUP(A:A,[1]TDSheet!$A:$AB,28,0)</f>
        <v>5</v>
      </c>
      <c r="AC41" s="20">
        <f t="shared" si="6"/>
        <v>0</v>
      </c>
      <c r="AD41" s="20">
        <f t="shared" si="7"/>
        <v>0</v>
      </c>
      <c r="AE41" s="20">
        <f>VLOOKUP(A:A,[1]TDSheet!$A:$AE,31,0)</f>
        <v>12</v>
      </c>
      <c r="AF41" s="20">
        <f>VLOOKUP(A:A,[1]TDSheet!$A:$AF,32,0)</f>
        <v>144</v>
      </c>
      <c r="AG41" s="20">
        <f t="shared" si="8"/>
        <v>0</v>
      </c>
    </row>
    <row r="42" spans="1:33" ht="22.15" customHeight="1" x14ac:dyDescent="0.2">
      <c r="A42" s="25" t="s">
        <v>49</v>
      </c>
      <c r="B42" s="8" t="s">
        <v>14</v>
      </c>
      <c r="C42" s="8" t="str">
        <f>VLOOKUP(A:A,[1]TDSheet!$A:$C,3,0)</f>
        <v>P004474</v>
      </c>
      <c r="D42" s="10"/>
      <c r="E42" s="9">
        <v>960</v>
      </c>
      <c r="F42" s="20">
        <v>205</v>
      </c>
      <c r="G42" s="9">
        <v>751</v>
      </c>
      <c r="H42">
        <f>VLOOKUP(A:A,[1]TDSheet!$A:$H,8,0)</f>
        <v>0.4</v>
      </c>
      <c r="I42">
        <f>VLOOKUP(A:A,[1]TDSheet!$A:$I,9,0)</f>
        <v>180</v>
      </c>
      <c r="L42" s="20">
        <f>VLOOKUP(A:A,[2]TDSheet!$A:$B,2,0)</f>
        <v>257</v>
      </c>
      <c r="M42" s="20">
        <f t="shared" si="1"/>
        <v>-52</v>
      </c>
      <c r="N42" s="20">
        <f>VLOOKUP(A:A,[1]TDSheet!$A:$O,15,0)</f>
        <v>900</v>
      </c>
      <c r="O42" s="20">
        <f>VLOOKUP(A:A,[1]TDSheet!$A:$Q,17,0)</f>
        <v>560</v>
      </c>
      <c r="P42" s="20">
        <f t="shared" si="2"/>
        <v>41</v>
      </c>
      <c r="Q42" s="21"/>
      <c r="R42" s="21"/>
      <c r="S42" s="20">
        <f>VLOOKUP(A:A,[3]TDSheet!$A:$S,19,0)</f>
        <v>0</v>
      </c>
      <c r="T42" s="20">
        <f t="shared" si="3"/>
        <v>53.926829268292686</v>
      </c>
      <c r="U42" s="20">
        <f t="shared" si="4"/>
        <v>18.317073170731707</v>
      </c>
      <c r="V42" s="20">
        <f>VLOOKUP(A:A,[1]TDSheet!$A:$W,23,0)</f>
        <v>52.8</v>
      </c>
      <c r="W42" s="20">
        <f>VLOOKUP(A:A,[1]TDSheet!$A:$X,24,0)</f>
        <v>19.600000000000001</v>
      </c>
      <c r="X42" s="20">
        <f>VLOOKUP(A:A,[1]TDSheet!$A:$Y,25,0)</f>
        <v>63.8</v>
      </c>
      <c r="Y42" s="20">
        <f>VLOOKUP(A:A,[1]TDSheet!$A:$P,16,0)</f>
        <v>0</v>
      </c>
      <c r="Z42" s="20"/>
      <c r="AA42" s="20">
        <f t="shared" si="5"/>
        <v>0</v>
      </c>
      <c r="AB42" s="20">
        <f>VLOOKUP(A:A,[1]TDSheet!$A:$AB,28,0)</f>
        <v>16</v>
      </c>
      <c r="AC42" s="20">
        <f t="shared" si="6"/>
        <v>0</v>
      </c>
      <c r="AD42" s="20">
        <f t="shared" si="7"/>
        <v>0</v>
      </c>
      <c r="AE42" s="20">
        <f>VLOOKUP(A:A,[1]TDSheet!$A:$AE,31,0)</f>
        <v>12</v>
      </c>
      <c r="AF42" s="20">
        <f>VLOOKUP(A:A,[1]TDSheet!$A:$AF,32,0)</f>
        <v>84</v>
      </c>
      <c r="AG42" s="20">
        <f t="shared" si="8"/>
        <v>0</v>
      </c>
    </row>
    <row r="43" spans="1:33" ht="22.15" customHeight="1" x14ac:dyDescent="0.2">
      <c r="A43" s="25" t="s">
        <v>50</v>
      </c>
      <c r="B43" s="8" t="s">
        <v>14</v>
      </c>
      <c r="C43" s="8" t="str">
        <f>VLOOKUP(A:A,[1]TDSheet!$A:$C,3,0)</f>
        <v>P004345</v>
      </c>
      <c r="D43" s="9">
        <v>27</v>
      </c>
      <c r="E43" s="9">
        <v>1331</v>
      </c>
      <c r="F43" s="20">
        <v>395</v>
      </c>
      <c r="G43" s="9">
        <v>958</v>
      </c>
      <c r="H43">
        <f>VLOOKUP(A:A,[1]TDSheet!$A:$H,8,0)</f>
        <v>0.7</v>
      </c>
      <c r="I43">
        <f>VLOOKUP(A:A,[1]TDSheet!$A:$I,9,0)</f>
        <v>180</v>
      </c>
      <c r="L43" s="20">
        <f>VLOOKUP(A:A,[2]TDSheet!$A:$B,2,0)</f>
        <v>430</v>
      </c>
      <c r="M43" s="20">
        <f t="shared" si="1"/>
        <v>-35</v>
      </c>
      <c r="N43" s="20">
        <f>VLOOKUP(A:A,[1]TDSheet!$A:$O,15,0)</f>
        <v>1300</v>
      </c>
      <c r="O43" s="20">
        <f>VLOOKUP(A:A,[1]TDSheet!$A:$Q,17,0)</f>
        <v>900</v>
      </c>
      <c r="P43" s="20">
        <f t="shared" si="2"/>
        <v>79</v>
      </c>
      <c r="Q43" s="21"/>
      <c r="R43" s="21"/>
      <c r="S43" s="20">
        <f>VLOOKUP(A:A,[3]TDSheet!$A:$S,19,0)</f>
        <v>0</v>
      </c>
      <c r="T43" s="20">
        <f t="shared" si="3"/>
        <v>39.974683544303801</v>
      </c>
      <c r="U43" s="20">
        <f t="shared" si="4"/>
        <v>12.126582278481013</v>
      </c>
      <c r="V43" s="20">
        <f>VLOOKUP(A:A,[1]TDSheet!$A:$W,23,0)</f>
        <v>110.8</v>
      </c>
      <c r="W43" s="20">
        <f>VLOOKUP(A:A,[1]TDSheet!$A:$X,24,0)</f>
        <v>82.8</v>
      </c>
      <c r="X43" s="20">
        <f>VLOOKUP(A:A,[1]TDSheet!$A:$Y,25,0)</f>
        <v>129.6</v>
      </c>
      <c r="Y43" s="20">
        <f>VLOOKUP(A:A,[1]TDSheet!$A:$P,16,0)</f>
        <v>89.8</v>
      </c>
      <c r="Z43" s="20" t="str">
        <f>VLOOKUP(A:A,[1]TDSheet!$A:$Z,26,0)</f>
        <v>Мера</v>
      </c>
      <c r="AA43" s="20">
        <f t="shared" si="5"/>
        <v>0</v>
      </c>
      <c r="AB43" s="20">
        <f>VLOOKUP(A:A,[1]TDSheet!$A:$AB,28,0)</f>
        <v>10</v>
      </c>
      <c r="AC43" s="20">
        <f t="shared" si="6"/>
        <v>0</v>
      </c>
      <c r="AD43" s="20">
        <f t="shared" si="7"/>
        <v>0</v>
      </c>
      <c r="AE43" s="20">
        <f>VLOOKUP(A:A,[1]TDSheet!$A:$AE,31,0)</f>
        <v>12</v>
      </c>
      <c r="AF43" s="20">
        <f>VLOOKUP(A:A,[1]TDSheet!$A:$AF,32,0)</f>
        <v>84</v>
      </c>
      <c r="AG43" s="20">
        <f t="shared" si="8"/>
        <v>0</v>
      </c>
    </row>
    <row r="44" spans="1:33" ht="22.15" customHeight="1" x14ac:dyDescent="0.2">
      <c r="A44" s="25" t="s">
        <v>51</v>
      </c>
      <c r="B44" s="8" t="s">
        <v>14</v>
      </c>
      <c r="C44" s="8" t="str">
        <f>VLOOKUP(A:A,[1]TDSheet!$A:$C,3,0)</f>
        <v>P004444</v>
      </c>
      <c r="D44" s="9">
        <v>168</v>
      </c>
      <c r="E44" s="9">
        <v>776</v>
      </c>
      <c r="F44" s="20">
        <v>269</v>
      </c>
      <c r="G44" s="9">
        <v>675</v>
      </c>
      <c r="H44">
        <f>VLOOKUP(A:A,[1]TDSheet!$A:$H,8,0)</f>
        <v>0.4</v>
      </c>
      <c r="I44">
        <f>VLOOKUP(A:A,[1]TDSheet!$A:$I,9,0)</f>
        <v>180</v>
      </c>
      <c r="J44" t="str">
        <f>VLOOKUP(A:A,[1]TDSheet!$A:$J,10,0)</f>
        <v>матрица</v>
      </c>
      <c r="L44" s="20">
        <f>VLOOKUP(A:A,[2]TDSheet!$A:$B,2,0)</f>
        <v>269</v>
      </c>
      <c r="M44" s="20">
        <f t="shared" si="1"/>
        <v>0</v>
      </c>
      <c r="N44" s="20">
        <f>VLOOKUP(A:A,[1]TDSheet!$A:$O,15,0)</f>
        <v>700</v>
      </c>
      <c r="O44" s="20">
        <f>VLOOKUP(A:A,[1]TDSheet!$A:$Q,17,0)</f>
        <v>600</v>
      </c>
      <c r="P44" s="20">
        <f t="shared" si="2"/>
        <v>53.8</v>
      </c>
      <c r="Q44" s="21"/>
      <c r="R44" s="21"/>
      <c r="S44" s="20">
        <f>VLOOKUP(A:A,[3]TDSheet!$A:$S,19,0)</f>
        <v>0</v>
      </c>
      <c r="T44" s="20">
        <f t="shared" si="3"/>
        <v>36.710037174721194</v>
      </c>
      <c r="U44" s="20">
        <f t="shared" si="4"/>
        <v>12.54646840148699</v>
      </c>
      <c r="V44" s="20">
        <f>VLOOKUP(A:A,[1]TDSheet!$A:$W,23,0)</f>
        <v>50.4</v>
      </c>
      <c r="W44" s="20">
        <f>VLOOKUP(A:A,[1]TDSheet!$A:$X,24,0)</f>
        <v>52.6</v>
      </c>
      <c r="X44" s="20">
        <f>VLOOKUP(A:A,[1]TDSheet!$A:$Y,25,0)</f>
        <v>75.599999999999994</v>
      </c>
      <c r="Y44" s="20">
        <f>VLOOKUP(A:A,[1]TDSheet!$A:$P,16,0)</f>
        <v>51.6</v>
      </c>
      <c r="Z44" s="20"/>
      <c r="AA44" s="20">
        <f t="shared" si="5"/>
        <v>0</v>
      </c>
      <c r="AB44" s="20">
        <f>VLOOKUP(A:A,[1]TDSheet!$A:$AB,28,0)</f>
        <v>16</v>
      </c>
      <c r="AC44" s="20">
        <f t="shared" si="6"/>
        <v>0</v>
      </c>
      <c r="AD44" s="20">
        <f t="shared" si="7"/>
        <v>0</v>
      </c>
      <c r="AE44" s="20">
        <f>VLOOKUP(A:A,[1]TDSheet!$A:$AE,31,0)</f>
        <v>12</v>
      </c>
      <c r="AF44" s="20">
        <f>VLOOKUP(A:A,[1]TDSheet!$A:$AF,32,0)</f>
        <v>84</v>
      </c>
      <c r="AG44" s="20">
        <f t="shared" si="8"/>
        <v>0</v>
      </c>
    </row>
    <row r="45" spans="1:33" ht="22.15" customHeight="1" x14ac:dyDescent="0.2">
      <c r="A45" s="25" t="s">
        <v>52</v>
      </c>
      <c r="B45" s="8" t="s">
        <v>14</v>
      </c>
      <c r="C45" s="8" t="str">
        <f>VLOOKUP(A:A,[1]TDSheet!$A:$C,3,0)</f>
        <v>P004346</v>
      </c>
      <c r="D45" s="9">
        <v>201</v>
      </c>
      <c r="E45" s="9">
        <v>1440</v>
      </c>
      <c r="F45" s="26">
        <v>809</v>
      </c>
      <c r="G45" s="23">
        <v>863</v>
      </c>
      <c r="H45">
        <f>VLOOKUP(A:A,[1]TDSheet!$A:$H,8,0)</f>
        <v>0.7</v>
      </c>
      <c r="I45">
        <f>VLOOKUP(A:A,[1]TDSheet!$A:$I,9,0)</f>
        <v>180</v>
      </c>
      <c r="J45" t="str">
        <f>VLOOKUP(A:A,[1]TDSheet!$A:$J,10,0)</f>
        <v>матрица</v>
      </c>
      <c r="L45" s="20">
        <f>VLOOKUP(A:A,[2]TDSheet!$A:$B,2,0)</f>
        <v>769</v>
      </c>
      <c r="M45" s="20">
        <f t="shared" si="1"/>
        <v>40</v>
      </c>
      <c r="N45" s="20">
        <f>VLOOKUP(A:A,[1]TDSheet!$A:$O,15,0)</f>
        <v>1450</v>
      </c>
      <c r="O45" s="20">
        <f>VLOOKUP(A:A,[1]TDSheet!$A:$Q,17,0)</f>
        <v>700</v>
      </c>
      <c r="P45" s="20">
        <f t="shared" si="2"/>
        <v>161.80000000000001</v>
      </c>
      <c r="Q45" s="21">
        <v>700</v>
      </c>
      <c r="R45" s="21">
        <f>VLOOKUP(A:A,[3]TDSheet!$A:$R,18,0)</f>
        <v>700</v>
      </c>
      <c r="S45" s="20">
        <f>VLOOKUP(A:A,[3]TDSheet!$A:$S,19,0)</f>
        <v>0</v>
      </c>
      <c r="T45" s="20">
        <f t="shared" si="3"/>
        <v>22.948084054388133</v>
      </c>
      <c r="U45" s="20">
        <f t="shared" si="4"/>
        <v>5.3337453646477124</v>
      </c>
      <c r="V45" s="20">
        <f>VLOOKUP(A:A,[1]TDSheet!$A:$W,23,0)</f>
        <v>167</v>
      </c>
      <c r="W45" s="20">
        <f>VLOOKUP(A:A,[1]TDSheet!$A:$X,24,0)</f>
        <v>129.19999999999999</v>
      </c>
      <c r="X45" s="20">
        <f>VLOOKUP(A:A,[1]TDSheet!$A:$Y,25,0)</f>
        <v>190.8</v>
      </c>
      <c r="Y45" s="20">
        <f>VLOOKUP(A:A,[1]TDSheet!$A:$P,16,0)</f>
        <v>176.4</v>
      </c>
      <c r="Z45" s="20" t="str">
        <f>VLOOKUP(A:A,[1]TDSheet!$A:$Z,26,0)</f>
        <v>сети</v>
      </c>
      <c r="AA45" s="20">
        <f t="shared" si="5"/>
        <v>489.99999999999994</v>
      </c>
      <c r="AB45" s="20">
        <f>VLOOKUP(A:A,[1]TDSheet!$A:$AB,28,0)</f>
        <v>10</v>
      </c>
      <c r="AC45" s="20">
        <f t="shared" si="6"/>
        <v>72</v>
      </c>
      <c r="AD45" s="20">
        <f t="shared" si="7"/>
        <v>503.99999999999994</v>
      </c>
      <c r="AE45" s="20">
        <f>VLOOKUP(A:A,[1]TDSheet!$A:$AE,31,0)</f>
        <v>12</v>
      </c>
      <c r="AF45" s="20">
        <f>VLOOKUP(A:A,[1]TDSheet!$A:$AF,32,0)</f>
        <v>84</v>
      </c>
      <c r="AG45" s="20">
        <f t="shared" si="8"/>
        <v>0.8571428571428571</v>
      </c>
    </row>
    <row r="46" spans="1:33" ht="22.15" customHeight="1" x14ac:dyDescent="0.2">
      <c r="A46" s="8" t="s">
        <v>53</v>
      </c>
      <c r="B46" s="8" t="s">
        <v>14</v>
      </c>
      <c r="C46" s="8" t="str">
        <f>VLOOKUP(A:A,[1]TDSheet!$A:$C,3,0)</f>
        <v>P004060</v>
      </c>
      <c r="D46" s="10"/>
      <c r="E46" s="9">
        <v>360</v>
      </c>
      <c r="F46" s="20">
        <v>313</v>
      </c>
      <c r="G46" s="9">
        <v>47</v>
      </c>
      <c r="H46">
        <f>VLOOKUP(A:A,[1]TDSheet!$A:$H,8,0)</f>
        <v>0.7</v>
      </c>
      <c r="I46">
        <f>VLOOKUP(A:A,[1]TDSheet!$A:$I,9,0)</f>
        <v>180</v>
      </c>
      <c r="J46" t="str">
        <f>VLOOKUP(A:A,[1]TDSheet!$A:$J,10,0)</f>
        <v>матрица</v>
      </c>
      <c r="L46" s="20">
        <f>VLOOKUP(A:A,[2]TDSheet!$A:$B,2,0)</f>
        <v>313</v>
      </c>
      <c r="M46" s="20">
        <f t="shared" si="1"/>
        <v>0</v>
      </c>
      <c r="N46" s="20">
        <f>VLOOKUP(A:A,[1]TDSheet!$A:$O,15,0)</f>
        <v>300</v>
      </c>
      <c r="O46" s="20">
        <f>VLOOKUP(A:A,[1]TDSheet!$A:$Q,17,0)</f>
        <v>500</v>
      </c>
      <c r="P46" s="20">
        <f t="shared" si="2"/>
        <v>62.6</v>
      </c>
      <c r="Q46" s="21">
        <v>300</v>
      </c>
      <c r="R46" s="21">
        <f>VLOOKUP(A:A,[3]TDSheet!$A:$R,18,0)</f>
        <v>380</v>
      </c>
      <c r="S46" s="20">
        <f>VLOOKUP(A:A,[3]TDSheet!$A:$S,19,0)</f>
        <v>0</v>
      </c>
      <c r="T46" s="20">
        <f t="shared" si="3"/>
        <v>18.322683706070286</v>
      </c>
      <c r="U46" s="20">
        <f t="shared" si="4"/>
        <v>0.75079872204472842</v>
      </c>
      <c r="V46" s="20">
        <f>VLOOKUP(A:A,[1]TDSheet!$A:$W,23,0)</f>
        <v>108.8</v>
      </c>
      <c r="W46" s="20">
        <f>VLOOKUP(A:A,[1]TDSheet!$A:$X,24,0)</f>
        <v>67.8</v>
      </c>
      <c r="X46" s="20">
        <f>VLOOKUP(A:A,[1]TDSheet!$A:$Y,25,0)</f>
        <v>37.799999999999997</v>
      </c>
      <c r="Y46" s="20">
        <f>VLOOKUP(A:A,[1]TDSheet!$A:$P,16,0)</f>
        <v>49.6</v>
      </c>
      <c r="Z46" s="20" t="str">
        <f>VLOOKUP(A:A,[1]TDSheet!$A:$Z,26,0)</f>
        <v>остатки?</v>
      </c>
      <c r="AA46" s="20">
        <f t="shared" si="5"/>
        <v>210</v>
      </c>
      <c r="AB46" s="20">
        <f>VLOOKUP(A:A,[1]TDSheet!$A:$AB,28,0)</f>
        <v>10</v>
      </c>
      <c r="AC46" s="20">
        <f t="shared" si="6"/>
        <v>36</v>
      </c>
      <c r="AD46" s="20">
        <f t="shared" si="7"/>
        <v>251.99999999999997</v>
      </c>
      <c r="AE46" s="20">
        <f>VLOOKUP(A:A,[1]TDSheet!$A:$AE,31,0)</f>
        <v>12</v>
      </c>
      <c r="AF46" s="20">
        <f>VLOOKUP(A:A,[1]TDSheet!$A:$AF,32,0)</f>
        <v>84</v>
      </c>
      <c r="AG46" s="20">
        <f t="shared" si="8"/>
        <v>0.42857142857142855</v>
      </c>
    </row>
    <row r="47" spans="1:33" ht="10.9" customHeight="1" x14ac:dyDescent="0.2">
      <c r="A47" s="8" t="s">
        <v>54</v>
      </c>
      <c r="B47" s="8" t="s">
        <v>14</v>
      </c>
      <c r="C47" s="8" t="str">
        <f>VLOOKUP(A:A,[1]TDSheet!$A:$C,3,0)</f>
        <v>P005048</v>
      </c>
      <c r="D47" s="9">
        <v>134</v>
      </c>
      <c r="E47" s="9">
        <v>243</v>
      </c>
      <c r="F47" s="20">
        <v>326</v>
      </c>
      <c r="G47" s="9">
        <v>53</v>
      </c>
      <c r="H47">
        <f>VLOOKUP(A:A,[1]TDSheet!$A:$H,8,0)</f>
        <v>1</v>
      </c>
      <c r="I47">
        <f>VLOOKUP(A:A,[1]TDSheet!$A:$I,9,0)</f>
        <v>180</v>
      </c>
      <c r="J47" t="str">
        <f>VLOOKUP(A:A,[1]TDSheet!$A:$J,10,0)</f>
        <v>матрица</v>
      </c>
      <c r="L47" s="20">
        <f>VLOOKUP(A:A,[2]TDSheet!$A:$B,2,0)</f>
        <v>350</v>
      </c>
      <c r="M47" s="20">
        <f t="shared" si="1"/>
        <v>-24</v>
      </c>
      <c r="N47" s="20">
        <f>VLOOKUP(A:A,[1]TDSheet!$A:$O,15,0)</f>
        <v>250</v>
      </c>
      <c r="O47" s="20">
        <f>VLOOKUP(A:A,[1]TDSheet!$A:$Q,17,0)</f>
        <v>100</v>
      </c>
      <c r="P47" s="20">
        <f t="shared" si="2"/>
        <v>65.2</v>
      </c>
      <c r="Q47" s="21">
        <v>700</v>
      </c>
      <c r="R47" s="21">
        <f>VLOOKUP(A:A,[3]TDSheet!$A:$R,18,0)</f>
        <v>600</v>
      </c>
      <c r="S47" s="20">
        <f>VLOOKUP(A:A,[3]TDSheet!$A:$S,19,0)</f>
        <v>0</v>
      </c>
      <c r="T47" s="20">
        <f t="shared" si="3"/>
        <v>16.917177914110429</v>
      </c>
      <c r="U47" s="20">
        <f t="shared" si="4"/>
        <v>0.81288343558282206</v>
      </c>
      <c r="V47" s="20">
        <f>VLOOKUP(A:A,[1]TDSheet!$A:$W,23,0)</f>
        <v>42</v>
      </c>
      <c r="W47" s="20">
        <f>VLOOKUP(A:A,[1]TDSheet!$A:$X,24,0)</f>
        <v>30.8</v>
      </c>
      <c r="X47" s="20">
        <f>VLOOKUP(A:A,[1]TDSheet!$A:$Y,25,0)</f>
        <v>38.799999999999997</v>
      </c>
      <c r="Y47" s="20">
        <f>VLOOKUP(A:A,[1]TDSheet!$A:$P,16,0)</f>
        <v>31.2</v>
      </c>
      <c r="Z47" s="20"/>
      <c r="AA47" s="20">
        <f t="shared" si="5"/>
        <v>700</v>
      </c>
      <c r="AB47" s="20">
        <f>VLOOKUP(A:A,[1]TDSheet!$A:$AB,28,0)</f>
        <v>5</v>
      </c>
      <c r="AC47" s="20">
        <f t="shared" si="6"/>
        <v>144</v>
      </c>
      <c r="AD47" s="20">
        <f t="shared" si="7"/>
        <v>720</v>
      </c>
      <c r="AE47" s="20">
        <f>VLOOKUP(A:A,[1]TDSheet!$A:$AE,31,0)</f>
        <v>12</v>
      </c>
      <c r="AF47" s="20">
        <f>VLOOKUP(A:A,[1]TDSheet!$A:$AF,32,0)</f>
        <v>84</v>
      </c>
      <c r="AG47" s="20">
        <f t="shared" si="8"/>
        <v>1.7142857142857142</v>
      </c>
    </row>
    <row r="48" spans="1:33" ht="22.15" customHeight="1" x14ac:dyDescent="0.2">
      <c r="A48" s="8" t="s">
        <v>55</v>
      </c>
      <c r="B48" s="8" t="s">
        <v>14</v>
      </c>
      <c r="C48" s="8" t="str">
        <f>VLOOKUP(A:A,[1]TDSheet!$A:$C,3,0)</f>
        <v>P005107</v>
      </c>
      <c r="D48" s="9">
        <v>113</v>
      </c>
      <c r="E48" s="9">
        <v>96</v>
      </c>
      <c r="F48" s="20">
        <v>106</v>
      </c>
      <c r="G48" s="9">
        <v>103</v>
      </c>
      <c r="H48">
        <f>VLOOKUP(A:A,[1]TDSheet!$A:$H,8,0)</f>
        <v>0.9</v>
      </c>
      <c r="I48">
        <f>VLOOKUP(A:A,[1]TDSheet!$A:$I,9,0)</f>
        <v>180</v>
      </c>
      <c r="J48" t="str">
        <f>VLOOKUP(A:A,[1]TDSheet!$A:$J,10,0)</f>
        <v>матрица</v>
      </c>
      <c r="L48" s="20">
        <f>VLOOKUP(A:A,[2]TDSheet!$A:$B,2,0)</f>
        <v>106</v>
      </c>
      <c r="M48" s="20">
        <f t="shared" si="1"/>
        <v>0</v>
      </c>
      <c r="N48" s="20">
        <f>VLOOKUP(A:A,[1]TDSheet!$A:$O,15,0)</f>
        <v>50</v>
      </c>
      <c r="O48" s="20">
        <f>VLOOKUP(A:A,[1]TDSheet!$A:$Q,17,0)</f>
        <v>140</v>
      </c>
      <c r="P48" s="20">
        <f t="shared" si="2"/>
        <v>21.2</v>
      </c>
      <c r="Q48" s="21">
        <v>300</v>
      </c>
      <c r="R48" s="21">
        <f>VLOOKUP(A:A,[3]TDSheet!$A:$R,18,0)</f>
        <v>300</v>
      </c>
      <c r="S48" s="20">
        <f>VLOOKUP(A:A,[3]TDSheet!$A:$S,19,0)</f>
        <v>0</v>
      </c>
      <c r="T48" s="20">
        <f t="shared" si="3"/>
        <v>27.971698113207548</v>
      </c>
      <c r="U48" s="20">
        <f t="shared" si="4"/>
        <v>4.8584905660377364</v>
      </c>
      <c r="V48" s="20">
        <f>VLOOKUP(A:A,[1]TDSheet!$A:$W,23,0)</f>
        <v>12.2</v>
      </c>
      <c r="W48" s="20">
        <f>VLOOKUP(A:A,[1]TDSheet!$A:$X,24,0)</f>
        <v>23</v>
      </c>
      <c r="X48" s="20">
        <f>VLOOKUP(A:A,[1]TDSheet!$A:$Y,25,0)</f>
        <v>19</v>
      </c>
      <c r="Y48" s="20">
        <f>VLOOKUP(A:A,[1]TDSheet!$A:$P,16,0)</f>
        <v>22.6</v>
      </c>
      <c r="Z48" s="20" t="str">
        <f>VLOOKUP(A:A,[1]TDSheet!$A:$Z,26,0)</f>
        <v>сети</v>
      </c>
      <c r="AA48" s="20">
        <f t="shared" si="5"/>
        <v>270</v>
      </c>
      <c r="AB48" s="20">
        <f>VLOOKUP(A:A,[1]TDSheet!$A:$AB,28,0)</f>
        <v>8</v>
      </c>
      <c r="AC48" s="20">
        <f t="shared" si="6"/>
        <v>36</v>
      </c>
      <c r="AD48" s="20">
        <f t="shared" si="7"/>
        <v>259.2</v>
      </c>
      <c r="AE48" s="20">
        <f>VLOOKUP(A:A,[1]TDSheet!$A:$AE,31,0)</f>
        <v>12</v>
      </c>
      <c r="AF48" s="20">
        <f>VLOOKUP(A:A,[1]TDSheet!$A:$AF,32,0)</f>
        <v>84</v>
      </c>
      <c r="AG48" s="20">
        <f t="shared" si="8"/>
        <v>0.42857142857142855</v>
      </c>
    </row>
    <row r="49" spans="1:33" ht="22.15" customHeight="1" x14ac:dyDescent="0.2">
      <c r="A49" s="8" t="s">
        <v>56</v>
      </c>
      <c r="B49" s="8" t="s">
        <v>14</v>
      </c>
      <c r="C49" s="8" t="str">
        <f>VLOOKUP(A:A,[1]TDSheet!$A:$C,3,0)</f>
        <v>P005103</v>
      </c>
      <c r="D49" s="9">
        <v>68</v>
      </c>
      <c r="E49" s="9">
        <v>96</v>
      </c>
      <c r="F49" s="20">
        <v>68</v>
      </c>
      <c r="G49" s="9">
        <v>96</v>
      </c>
      <c r="H49">
        <f>VLOOKUP(A:A,[1]TDSheet!$A:$H,8,0)</f>
        <v>0.9</v>
      </c>
      <c r="I49">
        <f>VLOOKUP(A:A,[1]TDSheet!$A:$I,9,0)</f>
        <v>180</v>
      </c>
      <c r="J49" t="str">
        <f>VLOOKUP(A:A,[1]TDSheet!$A:$J,10,0)</f>
        <v>матрица</v>
      </c>
      <c r="L49" s="20">
        <f>VLOOKUP(A:A,[2]TDSheet!$A:$B,2,0)</f>
        <v>68</v>
      </c>
      <c r="M49" s="20">
        <f t="shared" si="1"/>
        <v>0</v>
      </c>
      <c r="N49" s="20">
        <f>VLOOKUP(A:A,[1]TDSheet!$A:$O,15,0)</f>
        <v>120</v>
      </c>
      <c r="O49" s="20">
        <f>VLOOKUP(A:A,[1]TDSheet!$A:$Q,17,0)</f>
        <v>0</v>
      </c>
      <c r="P49" s="20">
        <f t="shared" si="2"/>
        <v>13.6</v>
      </c>
      <c r="Q49" s="21">
        <v>300</v>
      </c>
      <c r="R49" s="21">
        <f>VLOOKUP(A:A,[3]TDSheet!$A:$R,18,0)</f>
        <v>300</v>
      </c>
      <c r="S49" s="20">
        <f>VLOOKUP(A:A,[3]TDSheet!$A:$S,19,0)</f>
        <v>0</v>
      </c>
      <c r="T49" s="20">
        <f t="shared" si="3"/>
        <v>37.941176470588239</v>
      </c>
      <c r="U49" s="20">
        <f t="shared" si="4"/>
        <v>7.0588235294117645</v>
      </c>
      <c r="V49" s="20">
        <f>VLOOKUP(A:A,[1]TDSheet!$A:$W,23,0)</f>
        <v>11.8</v>
      </c>
      <c r="W49" s="20">
        <f>VLOOKUP(A:A,[1]TDSheet!$A:$X,24,0)</f>
        <v>12</v>
      </c>
      <c r="X49" s="20">
        <f>VLOOKUP(A:A,[1]TDSheet!$A:$Y,25,0)</f>
        <v>16</v>
      </c>
      <c r="Y49" s="20">
        <f>VLOOKUP(A:A,[1]TDSheet!$A:$P,16,0)</f>
        <v>5.8</v>
      </c>
      <c r="Z49" s="20"/>
      <c r="AA49" s="20">
        <f t="shared" si="5"/>
        <v>270</v>
      </c>
      <c r="AB49" s="20">
        <f>VLOOKUP(A:A,[1]TDSheet!$A:$AB,28,0)</f>
        <v>8</v>
      </c>
      <c r="AC49" s="20">
        <f t="shared" si="6"/>
        <v>36</v>
      </c>
      <c r="AD49" s="20">
        <f t="shared" si="7"/>
        <v>259.2</v>
      </c>
      <c r="AE49" s="20">
        <f>VLOOKUP(A:A,[1]TDSheet!$A:$AE,31,0)</f>
        <v>12</v>
      </c>
      <c r="AF49" s="20">
        <f>VLOOKUP(A:A,[1]TDSheet!$A:$AF,32,0)</f>
        <v>84</v>
      </c>
      <c r="AG49" s="20">
        <f t="shared" si="8"/>
        <v>0.42857142857142855</v>
      </c>
    </row>
    <row r="50" spans="1:33" ht="10.9" customHeight="1" x14ac:dyDescent="0.2">
      <c r="A50" s="25" t="s">
        <v>57</v>
      </c>
      <c r="B50" s="8" t="s">
        <v>13</v>
      </c>
      <c r="C50" s="8" t="str">
        <f>VLOOKUP(A:A,[1]TDSheet!$A:$C,3,0)</f>
        <v>P004472</v>
      </c>
      <c r="D50" s="9">
        <v>275</v>
      </c>
      <c r="E50" s="9"/>
      <c r="F50" s="20">
        <v>265</v>
      </c>
      <c r="G50" s="9">
        <v>10</v>
      </c>
      <c r="H50">
        <f>VLOOKUP(A:A,[1]TDSheet!$A:$H,8,0)</f>
        <v>1</v>
      </c>
      <c r="I50">
        <f>VLOOKUP(A:A,[1]TDSheet!$A:$I,9,0)</f>
        <v>180</v>
      </c>
      <c r="J50" t="str">
        <f>VLOOKUP(A:A,[1]TDSheet!$A:$J,10,0)</f>
        <v>матрица</v>
      </c>
      <c r="L50" s="20">
        <f>VLOOKUP(A:A,[2]TDSheet!$A:$B,2,0)</f>
        <v>436</v>
      </c>
      <c r="M50" s="20">
        <f t="shared" si="1"/>
        <v>-171</v>
      </c>
      <c r="N50" s="20">
        <f>VLOOKUP(A:A,[1]TDSheet!$A:$O,15,0)</f>
        <v>0</v>
      </c>
      <c r="O50" s="20">
        <f>VLOOKUP(A:A,[1]TDSheet!$A:$Q,17,0)</f>
        <v>1400</v>
      </c>
      <c r="P50" s="20">
        <f t="shared" si="2"/>
        <v>53</v>
      </c>
      <c r="Q50" s="21">
        <v>1000</v>
      </c>
      <c r="R50" s="21">
        <f>VLOOKUP(A:A,[3]TDSheet!$A:$R,18,0)</f>
        <v>1000</v>
      </c>
      <c r="S50" s="20">
        <f>VLOOKUP(A:A,[3]TDSheet!$A:$S,19,0)</f>
        <v>0</v>
      </c>
      <c r="T50" s="20">
        <f t="shared" si="3"/>
        <v>45.471698113207545</v>
      </c>
      <c r="U50" s="20">
        <f t="shared" si="4"/>
        <v>0.18867924528301888</v>
      </c>
      <c r="V50" s="20">
        <f>VLOOKUP(A:A,[1]TDSheet!$A:$W,23,0)</f>
        <v>116</v>
      </c>
      <c r="W50" s="20">
        <f>VLOOKUP(A:A,[1]TDSheet!$A:$X,24,0)</f>
        <v>99</v>
      </c>
      <c r="X50" s="20">
        <f>VLOOKUP(A:A,[1]TDSheet!$A:$Y,25,0)</f>
        <v>9</v>
      </c>
      <c r="Y50" s="20">
        <f>VLOOKUP(A:A,[1]TDSheet!$A:$P,16,0)</f>
        <v>150</v>
      </c>
      <c r="Z50" s="20"/>
      <c r="AA50" s="20">
        <f t="shared" si="5"/>
        <v>1000</v>
      </c>
      <c r="AB50" s="20">
        <f>VLOOKUP(A:A,[1]TDSheet!$A:$AB,28,0)</f>
        <v>5</v>
      </c>
      <c r="AC50" s="20">
        <f t="shared" si="6"/>
        <v>204</v>
      </c>
      <c r="AD50" s="20">
        <f t="shared" si="7"/>
        <v>1020</v>
      </c>
      <c r="AE50" s="20">
        <f>VLOOKUP(A:A,[1]TDSheet!$A:$AE,31,0)</f>
        <v>12</v>
      </c>
      <c r="AF50" s="20">
        <f>VLOOKUP(A:A,[1]TDSheet!$A:$AF,32,0)</f>
        <v>144</v>
      </c>
      <c r="AG50" s="20">
        <f t="shared" si="8"/>
        <v>1.4166666666666667</v>
      </c>
    </row>
    <row r="51" spans="1:33" ht="10.9" customHeight="1" x14ac:dyDescent="0.2">
      <c r="A51" s="8" t="s">
        <v>58</v>
      </c>
      <c r="B51" s="8" t="s">
        <v>14</v>
      </c>
      <c r="C51" s="8" t="str">
        <f>VLOOKUP(A:A,[1]TDSheet!$A:$C,3,0)</f>
        <v>P004081</v>
      </c>
      <c r="D51" s="9">
        <v>619</v>
      </c>
      <c r="E51" s="9"/>
      <c r="F51" s="20">
        <v>157</v>
      </c>
      <c r="G51" s="9">
        <v>462</v>
      </c>
      <c r="H51">
        <f>VLOOKUP(A:A,[1]TDSheet!$A:$H,8,0)</f>
        <v>1</v>
      </c>
      <c r="I51">
        <f>VLOOKUP(A:A,[1]TDSheet!$A:$I,9,0)</f>
        <v>180</v>
      </c>
      <c r="J51" t="str">
        <f>VLOOKUP(A:A,[1]TDSheet!$A:$J,10,0)</f>
        <v>матрица</v>
      </c>
      <c r="L51" s="20">
        <f>VLOOKUP(A:A,[2]TDSheet!$A:$B,2,0)</f>
        <v>157</v>
      </c>
      <c r="M51" s="20">
        <f t="shared" si="1"/>
        <v>0</v>
      </c>
      <c r="N51" s="20">
        <f>VLOOKUP(A:A,[1]TDSheet!$A:$O,15,0)</f>
        <v>0</v>
      </c>
      <c r="O51" s="20">
        <f>VLOOKUP(A:A,[1]TDSheet!$A:$Q,17,0)</f>
        <v>0</v>
      </c>
      <c r="P51" s="20">
        <f t="shared" si="2"/>
        <v>31.4</v>
      </c>
      <c r="Q51" s="21"/>
      <c r="R51" s="21"/>
      <c r="S51" s="20">
        <f>VLOOKUP(A:A,[3]TDSheet!$A:$S,19,0)</f>
        <v>0</v>
      </c>
      <c r="T51" s="20">
        <f t="shared" si="3"/>
        <v>14.713375796178344</v>
      </c>
      <c r="U51" s="20">
        <f t="shared" si="4"/>
        <v>14.713375796178344</v>
      </c>
      <c r="V51" s="20">
        <f>VLOOKUP(A:A,[1]TDSheet!$A:$W,23,0)</f>
        <v>26.6</v>
      </c>
      <c r="W51" s="20">
        <f>VLOOKUP(A:A,[1]TDSheet!$A:$X,24,0)</f>
        <v>35.4</v>
      </c>
      <c r="X51" s="20">
        <f>VLOOKUP(A:A,[1]TDSheet!$A:$Y,25,0)</f>
        <v>33.200000000000003</v>
      </c>
      <c r="Y51" s="20">
        <f>VLOOKUP(A:A,[1]TDSheet!$A:$P,16,0)</f>
        <v>41.2</v>
      </c>
      <c r="Z51" s="20"/>
      <c r="AA51" s="20">
        <f t="shared" si="5"/>
        <v>0</v>
      </c>
      <c r="AB51" s="20">
        <f>VLOOKUP(A:A,[1]TDSheet!$A:$AB,28,0)</f>
        <v>5</v>
      </c>
      <c r="AC51" s="20">
        <f t="shared" si="6"/>
        <v>0</v>
      </c>
      <c r="AD51" s="20">
        <f t="shared" si="7"/>
        <v>0</v>
      </c>
      <c r="AE51" s="20">
        <f>VLOOKUP(A:A,[1]TDSheet!$A:$AE,31,0)</f>
        <v>12</v>
      </c>
      <c r="AF51" s="20">
        <f>VLOOKUP(A:A,[1]TDSheet!$A:$AF,32,0)</f>
        <v>84</v>
      </c>
      <c r="AG51" s="20">
        <f t="shared" si="8"/>
        <v>0</v>
      </c>
    </row>
    <row r="52" spans="1:33" ht="10.9" customHeight="1" x14ac:dyDescent="0.2">
      <c r="A52" s="8" t="s">
        <v>59</v>
      </c>
      <c r="B52" s="8" t="s">
        <v>14</v>
      </c>
      <c r="C52" s="8" t="str">
        <f>VLOOKUP(A:A,[1]TDSheet!$A:$C,3,0)</f>
        <v>P005182</v>
      </c>
      <c r="D52" s="9">
        <v>383</v>
      </c>
      <c r="E52" s="9">
        <v>3</v>
      </c>
      <c r="F52" s="20">
        <v>144</v>
      </c>
      <c r="G52" s="9">
        <v>239</v>
      </c>
      <c r="H52">
        <f>VLOOKUP(A:A,[1]TDSheet!$A:$H,8,0)</f>
        <v>0.23</v>
      </c>
      <c r="I52">
        <f>VLOOKUP(A:A,[1]TDSheet!$A:$I,9,0)</f>
        <v>180</v>
      </c>
      <c r="J52" t="str">
        <f>VLOOKUP(A:A,[1]TDSheet!$A:$J,10,0)</f>
        <v>матрица</v>
      </c>
      <c r="L52" s="20">
        <f>VLOOKUP(A:A,[2]TDSheet!$A:$B,2,0)</f>
        <v>147</v>
      </c>
      <c r="M52" s="20">
        <f t="shared" si="1"/>
        <v>-3</v>
      </c>
      <c r="N52" s="20">
        <f>VLOOKUP(A:A,[1]TDSheet!$A:$O,15,0)</f>
        <v>0</v>
      </c>
      <c r="O52" s="20">
        <f>VLOOKUP(A:A,[1]TDSheet!$A:$Q,17,0)</f>
        <v>0</v>
      </c>
      <c r="P52" s="20">
        <f t="shared" si="2"/>
        <v>28.8</v>
      </c>
      <c r="Q52" s="21">
        <v>200</v>
      </c>
      <c r="R52" s="21"/>
      <c r="S52" s="20">
        <f>VLOOKUP(A:A,[3]TDSheet!$A:$S,19,0)</f>
        <v>0</v>
      </c>
      <c r="T52" s="20">
        <f t="shared" si="3"/>
        <v>15.243055555555555</v>
      </c>
      <c r="U52" s="20">
        <f t="shared" si="4"/>
        <v>8.2986111111111107</v>
      </c>
      <c r="V52" s="20">
        <f>VLOOKUP(A:A,[1]TDSheet!$A:$W,23,0)</f>
        <v>16.399999999999999</v>
      </c>
      <c r="W52" s="20">
        <f>VLOOKUP(A:A,[1]TDSheet!$A:$X,24,0)</f>
        <v>15.2</v>
      </c>
      <c r="X52" s="20">
        <f>VLOOKUP(A:A,[1]TDSheet!$A:$Y,25,0)</f>
        <v>21.4</v>
      </c>
      <c r="Y52" s="20">
        <f>VLOOKUP(A:A,[1]TDSheet!$A:$P,16,0)</f>
        <v>21</v>
      </c>
      <c r="Z52" s="20"/>
      <c r="AA52" s="20">
        <f t="shared" si="5"/>
        <v>46</v>
      </c>
      <c r="AB52" s="20">
        <f>VLOOKUP(A:A,[1]TDSheet!$A:$AB,28,0)</f>
        <v>6</v>
      </c>
      <c r="AC52" s="20">
        <f t="shared" si="6"/>
        <v>28</v>
      </c>
      <c r="AD52" s="20">
        <f t="shared" si="7"/>
        <v>38.64</v>
      </c>
      <c r="AE52" s="20">
        <f>VLOOKUP(A:A,[1]TDSheet!$A:$AE,31,0)</f>
        <v>14</v>
      </c>
      <c r="AF52" s="20">
        <f>VLOOKUP(A:A,[1]TDSheet!$A:$AF,32,0)</f>
        <v>140</v>
      </c>
      <c r="AG52" s="20">
        <f t="shared" si="8"/>
        <v>0.2</v>
      </c>
    </row>
    <row r="53" spans="1:33" ht="10.9" customHeight="1" x14ac:dyDescent="0.2">
      <c r="A53" s="8" t="s">
        <v>60</v>
      </c>
      <c r="B53" s="8" t="s">
        <v>14</v>
      </c>
      <c r="C53" s="8" t="str">
        <f>VLOOKUP(A:A,[1]TDSheet!$A:$C,3,0)</f>
        <v>P005058</v>
      </c>
      <c r="D53" s="9">
        <v>219</v>
      </c>
      <c r="E53" s="9">
        <v>4</v>
      </c>
      <c r="F53" s="20">
        <v>192</v>
      </c>
      <c r="G53" s="9">
        <v>27</v>
      </c>
      <c r="H53">
        <f>VLOOKUP(A:A,[1]TDSheet!$A:$H,8,0)</f>
        <v>0.25</v>
      </c>
      <c r="I53">
        <f>VLOOKUP(A:A,[1]TDSheet!$A:$I,9,0)</f>
        <v>180</v>
      </c>
      <c r="J53" t="str">
        <f>VLOOKUP(A:A,[1]TDSheet!$A:$J,10,0)</f>
        <v>матрица</v>
      </c>
      <c r="L53" s="20">
        <f>VLOOKUP(A:A,[2]TDSheet!$A:$B,2,0)</f>
        <v>196</v>
      </c>
      <c r="M53" s="20">
        <f t="shared" si="1"/>
        <v>-4</v>
      </c>
      <c r="N53" s="20">
        <f>VLOOKUP(A:A,[1]TDSheet!$A:$O,15,0)</f>
        <v>0</v>
      </c>
      <c r="O53" s="20">
        <f>VLOOKUP(A:A,[1]TDSheet!$A:$Q,17,0)</f>
        <v>350</v>
      </c>
      <c r="P53" s="20">
        <f t="shared" si="2"/>
        <v>38.4</v>
      </c>
      <c r="Q53" s="21">
        <v>400</v>
      </c>
      <c r="R53" s="21">
        <f>VLOOKUP(A:A,[3]TDSheet!$A:$R,18,0)</f>
        <v>400</v>
      </c>
      <c r="S53" s="20">
        <f>VLOOKUP(A:A,[3]TDSheet!$A:$S,19,0)</f>
        <v>0</v>
      </c>
      <c r="T53" s="20">
        <f t="shared" si="3"/>
        <v>20.234375</v>
      </c>
      <c r="U53" s="20">
        <f t="shared" si="4"/>
        <v>0.703125</v>
      </c>
      <c r="V53" s="20">
        <f>VLOOKUP(A:A,[1]TDSheet!$A:$W,23,0)</f>
        <v>39.799999999999997</v>
      </c>
      <c r="W53" s="20">
        <f>VLOOKUP(A:A,[1]TDSheet!$A:$X,24,0)</f>
        <v>31.4</v>
      </c>
      <c r="X53" s="20">
        <f>VLOOKUP(A:A,[1]TDSheet!$A:$Y,25,0)</f>
        <v>10.199999999999999</v>
      </c>
      <c r="Y53" s="20">
        <f>VLOOKUP(A:A,[1]TDSheet!$A:$P,16,0)</f>
        <v>23.4</v>
      </c>
      <c r="Z53" s="20"/>
      <c r="AA53" s="20">
        <f t="shared" si="5"/>
        <v>100</v>
      </c>
      <c r="AB53" s="20">
        <f>VLOOKUP(A:A,[1]TDSheet!$A:$AB,28,0)</f>
        <v>12</v>
      </c>
      <c r="AC53" s="20">
        <f t="shared" si="6"/>
        <v>28</v>
      </c>
      <c r="AD53" s="20">
        <f t="shared" si="7"/>
        <v>84</v>
      </c>
      <c r="AE53" s="20">
        <f>VLOOKUP(A:A,[1]TDSheet!$A:$AE,31,0)</f>
        <v>14</v>
      </c>
      <c r="AF53" s="20">
        <f>VLOOKUP(A:A,[1]TDSheet!$A:$AF,32,0)</f>
        <v>70</v>
      </c>
      <c r="AG53" s="20">
        <f t="shared" si="8"/>
        <v>0.4</v>
      </c>
    </row>
    <row r="54" spans="1:33" ht="10.9" customHeight="1" x14ac:dyDescent="0.2">
      <c r="A54" s="8" t="s">
        <v>61</v>
      </c>
      <c r="B54" s="8" t="s">
        <v>14</v>
      </c>
      <c r="C54" s="8" t="str">
        <f>VLOOKUP(A:A,[1]TDSheet!$A:$C,3,0)</f>
        <v>P004489</v>
      </c>
      <c r="D54" s="9">
        <v>308</v>
      </c>
      <c r="E54" s="9">
        <v>511</v>
      </c>
      <c r="F54" s="20">
        <v>485</v>
      </c>
      <c r="G54" s="9">
        <v>327</v>
      </c>
      <c r="H54">
        <f>VLOOKUP(A:A,[1]TDSheet!$A:$H,8,0)</f>
        <v>0.25</v>
      </c>
      <c r="I54">
        <f>VLOOKUP(A:A,[1]TDSheet!$A:$I,9,0)</f>
        <v>180</v>
      </c>
      <c r="J54" t="str">
        <f>VLOOKUP(A:A,[1]TDSheet!$A:$J,10,0)</f>
        <v>матрица</v>
      </c>
      <c r="L54" s="20">
        <f>VLOOKUP(A:A,[2]TDSheet!$A:$B,2,0)</f>
        <v>492</v>
      </c>
      <c r="M54" s="20">
        <f t="shared" si="1"/>
        <v>-7</v>
      </c>
      <c r="N54" s="20">
        <f>VLOOKUP(A:A,[1]TDSheet!$A:$O,15,0)</f>
        <v>520</v>
      </c>
      <c r="O54" s="20">
        <f>VLOOKUP(A:A,[1]TDSheet!$A:$Q,17,0)</f>
        <v>250</v>
      </c>
      <c r="P54" s="20">
        <f t="shared" si="2"/>
        <v>97</v>
      </c>
      <c r="Q54" s="21">
        <v>360</v>
      </c>
      <c r="R54" s="21"/>
      <c r="S54" s="20">
        <f>VLOOKUP(A:A,[3]TDSheet!$A:$S,19,0)</f>
        <v>0</v>
      </c>
      <c r="T54" s="20">
        <f t="shared" si="3"/>
        <v>15.020618556701031</v>
      </c>
      <c r="U54" s="20">
        <f t="shared" si="4"/>
        <v>3.3711340206185567</v>
      </c>
      <c r="V54" s="20">
        <f>VLOOKUP(A:A,[1]TDSheet!$A:$W,23,0)</f>
        <v>85.6</v>
      </c>
      <c r="W54" s="20">
        <f>VLOOKUP(A:A,[1]TDSheet!$A:$X,24,0)</f>
        <v>65.400000000000006</v>
      </c>
      <c r="X54" s="20">
        <f>VLOOKUP(A:A,[1]TDSheet!$A:$Y,25,0)</f>
        <v>79.8</v>
      </c>
      <c r="Y54" s="20">
        <f>VLOOKUP(A:A,[1]TDSheet!$A:$P,16,0)</f>
        <v>62</v>
      </c>
      <c r="Z54" s="20" t="str">
        <f>VLOOKUP(A:A,[1]TDSheet!$A:$Z,26,0)</f>
        <v>сети</v>
      </c>
      <c r="AA54" s="20">
        <f t="shared" si="5"/>
        <v>90</v>
      </c>
      <c r="AB54" s="20">
        <f>VLOOKUP(A:A,[1]TDSheet!$A:$AB,28,0)</f>
        <v>12</v>
      </c>
      <c r="AC54" s="20">
        <f t="shared" si="6"/>
        <v>28</v>
      </c>
      <c r="AD54" s="20">
        <f t="shared" si="7"/>
        <v>84</v>
      </c>
      <c r="AE54" s="20">
        <f>VLOOKUP(A:A,[1]TDSheet!$A:$AE,31,0)</f>
        <v>14</v>
      </c>
      <c r="AF54" s="20">
        <f>VLOOKUP(A:A,[1]TDSheet!$A:$AF,32,0)</f>
        <v>70</v>
      </c>
      <c r="AG54" s="20">
        <f t="shared" si="8"/>
        <v>0.4</v>
      </c>
    </row>
    <row r="55" spans="1:33" ht="10.9" customHeight="1" x14ac:dyDescent="0.2">
      <c r="A55" s="8" t="s">
        <v>62</v>
      </c>
      <c r="B55" s="8" t="s">
        <v>14</v>
      </c>
      <c r="C55" s="8" t="str">
        <f>VLOOKUP(A:A,[1]TDSheet!$A:$C,3,0)</f>
        <v>P005199</v>
      </c>
      <c r="D55" s="9">
        <v>79</v>
      </c>
      <c r="E55" s="9"/>
      <c r="F55" s="20">
        <v>26</v>
      </c>
      <c r="G55" s="9">
        <v>53</v>
      </c>
      <c r="H55">
        <f>VLOOKUP(A:A,[1]TDSheet!$A:$H,8,0)</f>
        <v>0.18</v>
      </c>
      <c r="I55">
        <f>VLOOKUP(A:A,[1]TDSheet!$A:$I,9,0)</f>
        <v>180</v>
      </c>
      <c r="J55" t="str">
        <f>VLOOKUP(A:A,[1]TDSheet!$A:$J,10,0)</f>
        <v>матрица</v>
      </c>
      <c r="L55" s="20">
        <f>VLOOKUP(A:A,[2]TDSheet!$A:$B,2,0)</f>
        <v>26</v>
      </c>
      <c r="M55" s="20">
        <f t="shared" si="1"/>
        <v>0</v>
      </c>
      <c r="N55" s="20">
        <f>VLOOKUP(A:A,[1]TDSheet!$A:$O,15,0)</f>
        <v>0</v>
      </c>
      <c r="O55" s="20">
        <f>VLOOKUP(A:A,[1]TDSheet!$A:$Q,17,0)</f>
        <v>0</v>
      </c>
      <c r="P55" s="20">
        <f t="shared" si="2"/>
        <v>5.2</v>
      </c>
      <c r="Q55" s="21">
        <v>30</v>
      </c>
      <c r="R55" s="21"/>
      <c r="S55" s="20">
        <f>VLOOKUP(A:A,[3]TDSheet!$A:$S,19,0)</f>
        <v>0</v>
      </c>
      <c r="T55" s="20">
        <f t="shared" si="3"/>
        <v>15.961538461538462</v>
      </c>
      <c r="U55" s="20">
        <f t="shared" si="4"/>
        <v>10.192307692307692</v>
      </c>
      <c r="V55" s="20">
        <f>VLOOKUP(A:A,[1]TDSheet!$A:$W,23,0)</f>
        <v>17.399999999999999</v>
      </c>
      <c r="W55" s="20">
        <f>VLOOKUP(A:A,[1]TDSheet!$A:$X,24,0)</f>
        <v>6</v>
      </c>
      <c r="X55" s="20">
        <f>VLOOKUP(A:A,[1]TDSheet!$A:$Y,25,0)</f>
        <v>2.4</v>
      </c>
      <c r="Y55" s="20">
        <f>VLOOKUP(A:A,[1]TDSheet!$A:$P,16,0)</f>
        <v>1.8</v>
      </c>
      <c r="Z55" s="20"/>
      <c r="AA55" s="20">
        <f t="shared" si="5"/>
        <v>5.3999999999999995</v>
      </c>
      <c r="AB55" s="20">
        <f>VLOOKUP(A:A,[1]TDSheet!$A:$AB,28,0)</f>
        <v>6</v>
      </c>
      <c r="AC55" s="20">
        <f t="shared" si="6"/>
        <v>0</v>
      </c>
      <c r="AD55" s="20">
        <f t="shared" si="7"/>
        <v>0</v>
      </c>
      <c r="AE55" s="20">
        <f>VLOOKUP(A:A,[1]TDSheet!$A:$AE,31,0)</f>
        <v>14</v>
      </c>
      <c r="AF55" s="20">
        <f>VLOOKUP(A:A,[1]TDSheet!$A:$AF,32,0)</f>
        <v>140</v>
      </c>
      <c r="AG55" s="20">
        <f t="shared" si="8"/>
        <v>0</v>
      </c>
    </row>
    <row r="56" spans="1:33" ht="10.9" customHeight="1" x14ac:dyDescent="0.2">
      <c r="A56" s="25" t="s">
        <v>63</v>
      </c>
      <c r="B56" s="8" t="s">
        <v>14</v>
      </c>
      <c r="C56" s="8" t="str">
        <f>VLOOKUP(A:A,[1]TDSheet!$A:$C,3,0)</f>
        <v>P005200</v>
      </c>
      <c r="D56" s="9">
        <v>81</v>
      </c>
      <c r="E56" s="9"/>
      <c r="F56" s="20">
        <v>4</v>
      </c>
      <c r="G56" s="9">
        <v>77</v>
      </c>
      <c r="H56">
        <f>VLOOKUP(A:A,[1]TDSheet!$A:$H,8,0)</f>
        <v>0.18</v>
      </c>
      <c r="I56">
        <f>VLOOKUP(A:A,[1]TDSheet!$A:$I,9,0)</f>
        <v>0</v>
      </c>
      <c r="J56" t="str">
        <f>VLOOKUP(A:A,[1]TDSheet!$A:$J,10,0)</f>
        <v>матрица</v>
      </c>
      <c r="L56" s="20">
        <f>VLOOKUP(A:A,[2]TDSheet!$A:$B,2,0)</f>
        <v>4</v>
      </c>
      <c r="M56" s="20">
        <f t="shared" si="1"/>
        <v>0</v>
      </c>
      <c r="N56" s="20">
        <f>VLOOKUP(A:A,[1]TDSheet!$A:$O,15,0)</f>
        <v>0</v>
      </c>
      <c r="O56" s="20">
        <f>VLOOKUP(A:A,[1]TDSheet!$A:$Q,17,0)</f>
        <v>0</v>
      </c>
      <c r="P56" s="20">
        <f t="shared" si="2"/>
        <v>0.8</v>
      </c>
      <c r="Q56" s="21"/>
      <c r="R56" s="21"/>
      <c r="S56" s="20">
        <f>VLOOKUP(A:A,[3]TDSheet!$A:$S,19,0)</f>
        <v>0</v>
      </c>
      <c r="T56" s="20">
        <f t="shared" si="3"/>
        <v>96.25</v>
      </c>
      <c r="U56" s="20">
        <f t="shared" si="4"/>
        <v>96.25</v>
      </c>
      <c r="V56" s="20">
        <f>VLOOKUP(A:A,[1]TDSheet!$A:$W,23,0)</f>
        <v>4.5999999999999996</v>
      </c>
      <c r="W56" s="20">
        <f>VLOOKUP(A:A,[1]TDSheet!$A:$X,24,0)</f>
        <v>3.8</v>
      </c>
      <c r="X56" s="20">
        <f>VLOOKUP(A:A,[1]TDSheet!$A:$Y,25,0)</f>
        <v>0.8</v>
      </c>
      <c r="Y56" s="20">
        <f>VLOOKUP(A:A,[1]TDSheet!$A:$P,16,0)</f>
        <v>0.2</v>
      </c>
      <c r="Z56" s="20"/>
      <c r="AA56" s="20">
        <f t="shared" si="5"/>
        <v>0</v>
      </c>
      <c r="AB56" s="20">
        <f>VLOOKUP(A:A,[1]TDSheet!$A:$AB,28,0)</f>
        <v>6</v>
      </c>
      <c r="AC56" s="20">
        <f t="shared" si="6"/>
        <v>0</v>
      </c>
      <c r="AD56" s="20">
        <f t="shared" si="7"/>
        <v>0</v>
      </c>
      <c r="AE56" s="20">
        <f>VLOOKUP(A:A,[1]TDSheet!$A:$AE,31,0)</f>
        <v>14</v>
      </c>
      <c r="AF56" s="20">
        <f>VLOOKUP(A:A,[1]TDSheet!$A:$AF,32,0)</f>
        <v>140</v>
      </c>
      <c r="AG56" s="20">
        <f t="shared" si="8"/>
        <v>0</v>
      </c>
    </row>
    <row r="57" spans="1:33" ht="10.9" customHeight="1" x14ac:dyDescent="0.2">
      <c r="A57" s="8" t="s">
        <v>64</v>
      </c>
      <c r="B57" s="8" t="s">
        <v>14</v>
      </c>
      <c r="C57" s="8" t="str">
        <f>VLOOKUP(A:A,[1]TDSheet!$A:$C,3,0)</f>
        <v>P004589</v>
      </c>
      <c r="D57" s="9">
        <v>295</v>
      </c>
      <c r="E57" s="9">
        <v>678</v>
      </c>
      <c r="F57" s="20">
        <v>451</v>
      </c>
      <c r="G57" s="9">
        <v>516</v>
      </c>
      <c r="H57">
        <f>VLOOKUP(A:A,[1]TDSheet!$A:$H,8,0)</f>
        <v>0.3</v>
      </c>
      <c r="I57">
        <f>VLOOKUP(A:A,[1]TDSheet!$A:$I,9,0)</f>
        <v>180</v>
      </c>
      <c r="J57" t="str">
        <f>VLOOKUP(A:A,[1]TDSheet!$A:$J,10,0)</f>
        <v>матрица</v>
      </c>
      <c r="L57" s="20">
        <f>VLOOKUP(A:A,[2]TDSheet!$A:$B,2,0)</f>
        <v>457</v>
      </c>
      <c r="M57" s="20">
        <f t="shared" si="1"/>
        <v>-6</v>
      </c>
      <c r="N57" s="20">
        <f>VLOOKUP(A:A,[1]TDSheet!$A:$O,15,0)</f>
        <v>600</v>
      </c>
      <c r="O57" s="20">
        <f>VLOOKUP(A:A,[1]TDSheet!$A:$Q,17,0)</f>
        <v>400</v>
      </c>
      <c r="P57" s="20">
        <f t="shared" si="2"/>
        <v>90.2</v>
      </c>
      <c r="Q57" s="21">
        <v>250</v>
      </c>
      <c r="R57" s="21">
        <f>VLOOKUP(A:A,[3]TDSheet!$A:$R,18,0)</f>
        <v>250</v>
      </c>
      <c r="S57" s="20">
        <f>VLOOKUP(A:A,[3]TDSheet!$A:$S,19,0)</f>
        <v>0</v>
      </c>
      <c r="T57" s="20">
        <f t="shared" si="3"/>
        <v>19.578713968957871</v>
      </c>
      <c r="U57" s="20">
        <f t="shared" si="4"/>
        <v>5.7206208425720622</v>
      </c>
      <c r="V57" s="20">
        <f>VLOOKUP(A:A,[1]TDSheet!$A:$W,23,0)</f>
        <v>82</v>
      </c>
      <c r="W57" s="20">
        <f>VLOOKUP(A:A,[1]TDSheet!$A:$X,24,0)</f>
        <v>82.8</v>
      </c>
      <c r="X57" s="20">
        <f>VLOOKUP(A:A,[1]TDSheet!$A:$Y,25,0)</f>
        <v>95</v>
      </c>
      <c r="Y57" s="20">
        <f>VLOOKUP(A:A,[1]TDSheet!$A:$P,16,0)</f>
        <v>74.2</v>
      </c>
      <c r="Z57" s="20" t="str">
        <f>VLOOKUP(A:A,[1]TDSheet!$A:$Z,26,0)</f>
        <v>сети</v>
      </c>
      <c r="AA57" s="20">
        <f t="shared" si="5"/>
        <v>75</v>
      </c>
      <c r="AB57" s="20">
        <f>VLOOKUP(A:A,[1]TDSheet!$A:$AB,28,0)</f>
        <v>12</v>
      </c>
      <c r="AC57" s="20">
        <f t="shared" si="6"/>
        <v>14</v>
      </c>
      <c r="AD57" s="20">
        <f t="shared" si="7"/>
        <v>50.4</v>
      </c>
      <c r="AE57" s="20">
        <f>VLOOKUP(A:A,[1]TDSheet!$A:$AE,31,0)</f>
        <v>14</v>
      </c>
      <c r="AF57" s="20">
        <f>VLOOKUP(A:A,[1]TDSheet!$A:$AF,32,0)</f>
        <v>70</v>
      </c>
      <c r="AG57" s="20">
        <f t="shared" si="8"/>
        <v>0.2</v>
      </c>
    </row>
    <row r="58" spans="1:33" ht="10.9" customHeight="1" x14ac:dyDescent="0.2">
      <c r="A58" s="8" t="s">
        <v>65</v>
      </c>
      <c r="B58" s="8" t="s">
        <v>14</v>
      </c>
      <c r="C58" s="8" t="str">
        <f>VLOOKUP(A:A,[1]TDSheet!$A:$C,3,0)</f>
        <v>P004588</v>
      </c>
      <c r="D58" s="9">
        <v>297</v>
      </c>
      <c r="E58" s="9">
        <v>510</v>
      </c>
      <c r="F58" s="20">
        <v>519</v>
      </c>
      <c r="G58" s="9">
        <v>282</v>
      </c>
      <c r="H58">
        <f>VLOOKUP(A:A,[1]TDSheet!$A:$H,8,0)</f>
        <v>0.3</v>
      </c>
      <c r="I58">
        <f>VLOOKUP(A:A,[1]TDSheet!$A:$I,9,0)</f>
        <v>180</v>
      </c>
      <c r="J58" t="str">
        <f>VLOOKUP(A:A,[1]TDSheet!$A:$J,10,0)</f>
        <v>матрица</v>
      </c>
      <c r="L58" s="20">
        <f>VLOOKUP(A:A,[2]TDSheet!$A:$B,2,0)</f>
        <v>525</v>
      </c>
      <c r="M58" s="20">
        <f t="shared" si="1"/>
        <v>-6</v>
      </c>
      <c r="N58" s="20">
        <f>VLOOKUP(A:A,[1]TDSheet!$A:$O,15,0)</f>
        <v>500</v>
      </c>
      <c r="O58" s="20">
        <f>VLOOKUP(A:A,[1]TDSheet!$A:$Q,17,0)</f>
        <v>400</v>
      </c>
      <c r="P58" s="20">
        <f t="shared" si="2"/>
        <v>103.8</v>
      </c>
      <c r="Q58" s="21">
        <v>400</v>
      </c>
      <c r="R58" s="21">
        <f>VLOOKUP(A:A,[3]TDSheet!$A:$R,18,0)</f>
        <v>300</v>
      </c>
      <c r="S58" s="20">
        <f>VLOOKUP(A:A,[3]TDSheet!$A:$S,19,0)</f>
        <v>0</v>
      </c>
      <c r="T58" s="20">
        <f t="shared" si="3"/>
        <v>15.240847784200385</v>
      </c>
      <c r="U58" s="20">
        <f t="shared" si="4"/>
        <v>2.7167630057803467</v>
      </c>
      <c r="V58" s="20">
        <f>VLOOKUP(A:A,[1]TDSheet!$A:$W,23,0)</f>
        <v>76.2</v>
      </c>
      <c r="W58" s="20">
        <f>VLOOKUP(A:A,[1]TDSheet!$A:$X,24,0)</f>
        <v>73.599999999999994</v>
      </c>
      <c r="X58" s="20">
        <f>VLOOKUP(A:A,[1]TDSheet!$A:$Y,25,0)</f>
        <v>81</v>
      </c>
      <c r="Y58" s="20">
        <f>VLOOKUP(A:A,[1]TDSheet!$A:$P,16,0)</f>
        <v>62.6</v>
      </c>
      <c r="Z58" s="20" t="str">
        <f>VLOOKUP(A:A,[1]TDSheet!$A:$Z,26,0)</f>
        <v>сети</v>
      </c>
      <c r="AA58" s="20">
        <f t="shared" si="5"/>
        <v>120</v>
      </c>
      <c r="AB58" s="20">
        <f>VLOOKUP(A:A,[1]TDSheet!$A:$AB,28,0)</f>
        <v>12</v>
      </c>
      <c r="AC58" s="20">
        <f t="shared" si="6"/>
        <v>28</v>
      </c>
      <c r="AD58" s="20">
        <f t="shared" si="7"/>
        <v>100.8</v>
      </c>
      <c r="AE58" s="20">
        <f>VLOOKUP(A:A,[1]TDSheet!$A:$AE,31,0)</f>
        <v>14</v>
      </c>
      <c r="AF58" s="20">
        <f>VLOOKUP(A:A,[1]TDSheet!$A:$AF,32,0)</f>
        <v>70</v>
      </c>
      <c r="AG58" s="20">
        <f t="shared" si="8"/>
        <v>0.4</v>
      </c>
    </row>
    <row r="59" spans="1:33" ht="22.15" customHeight="1" x14ac:dyDescent="0.2">
      <c r="A59" s="8" t="s">
        <v>66</v>
      </c>
      <c r="B59" s="8" t="s">
        <v>14</v>
      </c>
      <c r="C59" s="8" t="str">
        <f>VLOOKUP(A:A,[1]TDSheet!$A:$C,3,0)</f>
        <v>P004113</v>
      </c>
      <c r="D59" s="9">
        <v>-1</v>
      </c>
      <c r="E59" s="9">
        <v>196</v>
      </c>
      <c r="F59" s="20">
        <v>124</v>
      </c>
      <c r="G59" s="9">
        <v>71</v>
      </c>
      <c r="H59">
        <f>VLOOKUP(A:A,[1]TDSheet!$A:$H,8,0)</f>
        <v>0.3</v>
      </c>
      <c r="I59">
        <f>VLOOKUP(A:A,[1]TDSheet!$A:$I,9,0)</f>
        <v>180</v>
      </c>
      <c r="J59" t="str">
        <f>VLOOKUP(A:A,[1]TDSheet!$A:$J,10,0)</f>
        <v>матрица</v>
      </c>
      <c r="L59" s="20">
        <f>VLOOKUP(A:A,[2]TDSheet!$A:$B,2,0)</f>
        <v>124</v>
      </c>
      <c r="M59" s="20">
        <f t="shared" si="1"/>
        <v>0</v>
      </c>
      <c r="N59" s="20">
        <f>VLOOKUP(A:A,[1]TDSheet!$A:$O,15,0)</f>
        <v>260</v>
      </c>
      <c r="O59" s="20">
        <f>VLOOKUP(A:A,[1]TDSheet!$A:$Q,17,0)</f>
        <v>0</v>
      </c>
      <c r="P59" s="20">
        <f t="shared" si="2"/>
        <v>24.8</v>
      </c>
      <c r="Q59" s="21">
        <v>60</v>
      </c>
      <c r="R59" s="21"/>
      <c r="S59" s="20">
        <f>VLOOKUP(A:A,[3]TDSheet!$A:$S,19,0)</f>
        <v>0</v>
      </c>
      <c r="T59" s="20">
        <f t="shared" si="3"/>
        <v>15.766129032258064</v>
      </c>
      <c r="U59" s="20">
        <f t="shared" si="4"/>
        <v>2.8629032258064515</v>
      </c>
      <c r="V59" s="20">
        <f>VLOOKUP(A:A,[1]TDSheet!$A:$W,23,0)</f>
        <v>13.6</v>
      </c>
      <c r="W59" s="20">
        <f>VLOOKUP(A:A,[1]TDSheet!$A:$X,24,0)</f>
        <v>6.8</v>
      </c>
      <c r="X59" s="20">
        <f>VLOOKUP(A:A,[1]TDSheet!$A:$Y,25,0)</f>
        <v>22.6</v>
      </c>
      <c r="Y59" s="20">
        <f>VLOOKUP(A:A,[1]TDSheet!$A:$P,16,0)</f>
        <v>12</v>
      </c>
      <c r="Z59" s="20"/>
      <c r="AA59" s="20">
        <f t="shared" si="5"/>
        <v>18</v>
      </c>
      <c r="AB59" s="20">
        <f>VLOOKUP(A:A,[1]TDSheet!$A:$AB,28,0)</f>
        <v>14</v>
      </c>
      <c r="AC59" s="20">
        <f t="shared" si="6"/>
        <v>0</v>
      </c>
      <c r="AD59" s="20">
        <f t="shared" si="7"/>
        <v>0</v>
      </c>
      <c r="AE59" s="20">
        <f>VLOOKUP(A:A,[1]TDSheet!$A:$AE,31,0)</f>
        <v>14</v>
      </c>
      <c r="AF59" s="20">
        <f>VLOOKUP(A:A,[1]TDSheet!$A:$AF,32,0)</f>
        <v>70</v>
      </c>
      <c r="AG59" s="20">
        <f t="shared" si="8"/>
        <v>0</v>
      </c>
    </row>
    <row r="60" spans="1:33" ht="10.9" customHeight="1" x14ac:dyDescent="0.2">
      <c r="A60" s="8" t="s">
        <v>67</v>
      </c>
      <c r="B60" s="8" t="s">
        <v>14</v>
      </c>
      <c r="C60" s="8" t="str">
        <f>VLOOKUP(A:A,[1]TDSheet!$A:$C,3,0)</f>
        <v>P004484</v>
      </c>
      <c r="D60" s="9">
        <v>1105</v>
      </c>
      <c r="E60" s="9">
        <v>4</v>
      </c>
      <c r="F60" s="26">
        <v>701</v>
      </c>
      <c r="G60" s="23">
        <v>498</v>
      </c>
      <c r="H60">
        <f>VLOOKUP(A:A,[1]TDSheet!$A:$H,8,0)</f>
        <v>0.25</v>
      </c>
      <c r="L60" s="20">
        <f>VLOOKUP(A:A,[2]TDSheet!$A:$B,2,0)</f>
        <v>668</v>
      </c>
      <c r="M60" s="20">
        <f t="shared" si="1"/>
        <v>33</v>
      </c>
      <c r="N60" s="20">
        <f>VLOOKUP(A:A,[1]TDSheet!$A:$O,15,0)</f>
        <v>0</v>
      </c>
      <c r="O60" s="20">
        <f>VLOOKUP(A:A,[1]TDSheet!$A:$Q,17,0)</f>
        <v>300</v>
      </c>
      <c r="P60" s="20">
        <f t="shared" si="2"/>
        <v>140.19999999999999</v>
      </c>
      <c r="Q60" s="21">
        <v>1500</v>
      </c>
      <c r="R60" s="21"/>
      <c r="S60" s="20">
        <f>VLOOKUP(A:A,[3]TDSheet!$A:$S,19,0)</f>
        <v>0</v>
      </c>
      <c r="T60" s="20">
        <f t="shared" si="3"/>
        <v>16.390870185449359</v>
      </c>
      <c r="U60" s="20">
        <f t="shared" si="4"/>
        <v>3.5520684736091299</v>
      </c>
      <c r="V60" s="20">
        <f>VLOOKUP(A:A,[1]TDSheet!$A:$W,23,0)</f>
        <v>117.6</v>
      </c>
      <c r="W60" s="20">
        <f>VLOOKUP(A:A,[1]TDSheet!$A:$X,24,0)</f>
        <v>111.6</v>
      </c>
      <c r="X60" s="20">
        <f>VLOOKUP(A:A,[1]TDSheet!$A:$Y,25,0)</f>
        <v>115.8</v>
      </c>
      <c r="Y60" s="20">
        <f>VLOOKUP(A:A,[1]TDSheet!$A:$P,16,0)</f>
        <v>113.8</v>
      </c>
      <c r="Z60" s="20" t="str">
        <f>VLOOKUP(A:A,[1]TDSheet!$A:$Z,26,0)</f>
        <v>сети</v>
      </c>
      <c r="AA60" s="20">
        <f t="shared" si="5"/>
        <v>375</v>
      </c>
      <c r="AB60" s="20">
        <f>VLOOKUP(A:A,[1]TDSheet!$A:$AB,28,0)</f>
        <v>12</v>
      </c>
      <c r="AC60" s="20">
        <f t="shared" si="6"/>
        <v>126</v>
      </c>
      <c r="AD60" s="20">
        <f t="shared" si="7"/>
        <v>378</v>
      </c>
      <c r="AE60" s="20">
        <f>VLOOKUP(A:A,[1]TDSheet!$A:$AE,31,0)</f>
        <v>14</v>
      </c>
      <c r="AF60" s="20">
        <f>VLOOKUP(A:A,[1]TDSheet!$A:$AF,32,0)</f>
        <v>70</v>
      </c>
      <c r="AG60" s="20">
        <f t="shared" si="8"/>
        <v>1.8</v>
      </c>
    </row>
    <row r="61" spans="1:33" ht="10.9" customHeight="1" x14ac:dyDescent="0.2">
      <c r="A61" s="25" t="s">
        <v>68</v>
      </c>
      <c r="B61" s="8" t="s">
        <v>14</v>
      </c>
      <c r="C61" s="8" t="str">
        <f>VLOOKUP(A:A,[1]TDSheet!$A:$C,3,0)</f>
        <v>P004486</v>
      </c>
      <c r="D61" s="10"/>
      <c r="E61" s="9">
        <v>1176</v>
      </c>
      <c r="F61" s="20">
        <v>397</v>
      </c>
      <c r="G61" s="9">
        <v>774</v>
      </c>
      <c r="H61">
        <f>VLOOKUP(A:A,[1]TDSheet!$A:$H,8,0)</f>
        <v>0.25</v>
      </c>
      <c r="I61">
        <f>VLOOKUP(A:A,[1]TDSheet!$A:$I,9,0)</f>
        <v>180</v>
      </c>
      <c r="J61" t="str">
        <f>VLOOKUP(A:A,[1]TDSheet!$A:$J,10,0)</f>
        <v>Новинка</v>
      </c>
      <c r="L61" s="20">
        <f>VLOOKUP(A:A,[2]TDSheet!$A:$B,2,0)</f>
        <v>446</v>
      </c>
      <c r="M61" s="20">
        <f t="shared" si="1"/>
        <v>-49</v>
      </c>
      <c r="N61" s="20">
        <f>VLOOKUP(A:A,[1]TDSheet!$A:$O,15,0)</f>
        <v>1150</v>
      </c>
      <c r="O61" s="20">
        <f>VLOOKUP(A:A,[1]TDSheet!$A:$Q,17,0)</f>
        <v>800</v>
      </c>
      <c r="P61" s="20">
        <f t="shared" si="2"/>
        <v>79.400000000000006</v>
      </c>
      <c r="Q61" s="21">
        <v>380</v>
      </c>
      <c r="R61" s="21">
        <f>VLOOKUP(A:A,[3]TDSheet!$A:$R,18,0)</f>
        <v>380</v>
      </c>
      <c r="S61" s="20">
        <f>VLOOKUP(A:A,[3]TDSheet!$A:$S,19,0)</f>
        <v>0</v>
      </c>
      <c r="T61" s="20">
        <f t="shared" si="3"/>
        <v>39.09319899244332</v>
      </c>
      <c r="U61" s="20">
        <f t="shared" si="4"/>
        <v>9.748110831234257</v>
      </c>
      <c r="V61" s="20">
        <f>VLOOKUP(A:A,[1]TDSheet!$A:$W,23,0)</f>
        <v>110.4</v>
      </c>
      <c r="W61" s="20">
        <f>VLOOKUP(A:A,[1]TDSheet!$A:$X,24,0)</f>
        <v>105.2</v>
      </c>
      <c r="X61" s="20">
        <f>VLOOKUP(A:A,[1]TDSheet!$A:$Y,25,0)</f>
        <v>108</v>
      </c>
      <c r="Y61" s="20">
        <f>VLOOKUP(A:A,[1]TDSheet!$A:$P,16,0)</f>
        <v>80</v>
      </c>
      <c r="Z61" s="20" t="str">
        <f>VLOOKUP(A:A,[1]TDSheet!$A:$Z,26,0)</f>
        <v>сети</v>
      </c>
      <c r="AA61" s="20">
        <f t="shared" si="5"/>
        <v>95</v>
      </c>
      <c r="AB61" s="20">
        <f>VLOOKUP(A:A,[1]TDSheet!$A:$AB,28,0)</f>
        <v>12</v>
      </c>
      <c r="AC61" s="20">
        <f t="shared" si="6"/>
        <v>28</v>
      </c>
      <c r="AD61" s="20">
        <f t="shared" si="7"/>
        <v>84</v>
      </c>
      <c r="AE61" s="20">
        <f>VLOOKUP(A:A,[1]TDSheet!$A:$AE,31,0)</f>
        <v>14</v>
      </c>
      <c r="AF61" s="20">
        <f>VLOOKUP(A:A,[1]TDSheet!$A:$AF,32,0)</f>
        <v>70</v>
      </c>
      <c r="AG61" s="20">
        <f t="shared" si="8"/>
        <v>0.4</v>
      </c>
    </row>
    <row r="62" spans="1:33" ht="10.9" customHeight="1" x14ac:dyDescent="0.2">
      <c r="A62" s="25" t="s">
        <v>69</v>
      </c>
      <c r="B62" s="8" t="s">
        <v>14</v>
      </c>
      <c r="C62" s="8" t="str">
        <f>VLOOKUP(A:A,[1]TDSheet!$A:$C,3,0)</f>
        <v>P004818</v>
      </c>
      <c r="D62" s="10"/>
      <c r="E62" s="9">
        <v>252</v>
      </c>
      <c r="F62" s="20">
        <v>86</v>
      </c>
      <c r="G62" s="9">
        <v>166</v>
      </c>
      <c r="H62">
        <f>VLOOKUP(A:A,[1]TDSheet!$A:$H,8,0)</f>
        <v>0.2</v>
      </c>
      <c r="J62" t="str">
        <f>VLOOKUP(A:A,[1]TDSheet!$A:$J,10,0)</f>
        <v>матрица</v>
      </c>
      <c r="L62" s="20">
        <f>VLOOKUP(A:A,[2]TDSheet!$A:$B,2,0)</f>
        <v>88</v>
      </c>
      <c r="M62" s="20">
        <f t="shared" si="1"/>
        <v>-2</v>
      </c>
      <c r="N62" s="20">
        <f>VLOOKUP(A:A,[1]TDSheet!$A:$O,15,0)</f>
        <v>280</v>
      </c>
      <c r="O62" s="20">
        <f>VLOOKUP(A:A,[1]TDSheet!$A:$Q,17,0)</f>
        <v>120</v>
      </c>
      <c r="P62" s="20">
        <f t="shared" si="2"/>
        <v>17.2</v>
      </c>
      <c r="Q62" s="21"/>
      <c r="R62" s="21"/>
      <c r="S62" s="20">
        <f>VLOOKUP(A:A,[3]TDSheet!$A:$S,19,0)</f>
        <v>0</v>
      </c>
      <c r="T62" s="20">
        <f t="shared" si="3"/>
        <v>32.906976744186046</v>
      </c>
      <c r="U62" s="20">
        <f t="shared" si="4"/>
        <v>9.6511627906976756</v>
      </c>
      <c r="V62" s="20">
        <f>VLOOKUP(A:A,[1]TDSheet!$A:$W,23,0)</f>
        <v>27.8</v>
      </c>
      <c r="W62" s="20">
        <f>VLOOKUP(A:A,[1]TDSheet!$A:$X,24,0)</f>
        <v>20</v>
      </c>
      <c r="X62" s="20">
        <f>VLOOKUP(A:A,[1]TDSheet!$A:$Y,25,0)</f>
        <v>19.600000000000001</v>
      </c>
      <c r="Y62" s="20">
        <f>VLOOKUP(A:A,[1]TDSheet!$A:$P,16,0)</f>
        <v>1.6</v>
      </c>
      <c r="Z62" s="20"/>
      <c r="AA62" s="20">
        <f t="shared" si="5"/>
        <v>0</v>
      </c>
      <c r="AB62" s="20">
        <f>VLOOKUP(A:A,[1]TDSheet!$A:$AB,28,0)</f>
        <v>6</v>
      </c>
      <c r="AC62" s="20">
        <f t="shared" si="6"/>
        <v>0</v>
      </c>
      <c r="AD62" s="20">
        <f t="shared" si="7"/>
        <v>0</v>
      </c>
      <c r="AE62" s="20">
        <f>VLOOKUP(A:A,[1]TDSheet!$A:$AE,31,0)</f>
        <v>14</v>
      </c>
      <c r="AF62" s="20">
        <f>VLOOKUP(A:A,[1]TDSheet!$A:$AF,32,0)</f>
        <v>140</v>
      </c>
      <c r="AG62" s="20">
        <f t="shared" si="8"/>
        <v>0</v>
      </c>
    </row>
    <row r="63" spans="1:33" ht="22.15" customHeight="1" x14ac:dyDescent="0.2">
      <c r="A63" s="8" t="s">
        <v>70</v>
      </c>
      <c r="B63" s="8" t="s">
        <v>14</v>
      </c>
      <c r="C63" s="8" t="str">
        <f>VLOOKUP(A:A,[1]TDSheet!$A:$C,3,0)</f>
        <v>P005180</v>
      </c>
      <c r="D63" s="9">
        <v>519</v>
      </c>
      <c r="E63" s="9">
        <v>4</v>
      </c>
      <c r="F63" s="20">
        <v>331</v>
      </c>
      <c r="G63" s="9">
        <v>188</v>
      </c>
      <c r="H63">
        <f>VLOOKUP(A:A,[1]TDSheet!$A:$H,8,0)</f>
        <v>0.23</v>
      </c>
      <c r="I63">
        <f>VLOOKUP(A:A,[1]TDSheet!$A:$I,9,0)</f>
        <v>180</v>
      </c>
      <c r="J63" t="str">
        <f>VLOOKUP(A:A,[1]TDSheet!$A:$J,10,0)</f>
        <v>матрица</v>
      </c>
      <c r="L63" s="20">
        <f>VLOOKUP(A:A,[2]TDSheet!$A:$B,2,0)</f>
        <v>335</v>
      </c>
      <c r="M63" s="20">
        <f t="shared" si="1"/>
        <v>-4</v>
      </c>
      <c r="N63" s="20">
        <f>VLOOKUP(A:A,[1]TDSheet!$A:$O,15,0)</f>
        <v>0</v>
      </c>
      <c r="O63" s="20">
        <f>VLOOKUP(A:A,[1]TDSheet!$A:$Q,17,0)</f>
        <v>120</v>
      </c>
      <c r="P63" s="20">
        <f t="shared" si="2"/>
        <v>66.2</v>
      </c>
      <c r="Q63" s="21">
        <v>700</v>
      </c>
      <c r="R63" s="21"/>
      <c r="S63" s="20">
        <f>VLOOKUP(A:A,[3]TDSheet!$A:$S,19,0)</f>
        <v>0</v>
      </c>
      <c r="T63" s="20">
        <f t="shared" si="3"/>
        <v>15.226586102719033</v>
      </c>
      <c r="U63" s="20">
        <f t="shared" si="4"/>
        <v>2.8398791540785497</v>
      </c>
      <c r="V63" s="20">
        <f>VLOOKUP(A:A,[1]TDSheet!$A:$W,23,0)</f>
        <v>23.6</v>
      </c>
      <c r="W63" s="20">
        <f>VLOOKUP(A:A,[1]TDSheet!$A:$X,24,0)</f>
        <v>30.2</v>
      </c>
      <c r="X63" s="20">
        <f>VLOOKUP(A:A,[1]TDSheet!$A:$Y,25,0)</f>
        <v>46.4</v>
      </c>
      <c r="Y63" s="20">
        <f>VLOOKUP(A:A,[1]TDSheet!$A:$P,16,0)</f>
        <v>45.6</v>
      </c>
      <c r="Z63" s="20"/>
      <c r="AA63" s="20">
        <f t="shared" si="5"/>
        <v>161</v>
      </c>
      <c r="AB63" s="20">
        <f>VLOOKUP(A:A,[1]TDSheet!$A:$AB,28,0)</f>
        <v>6</v>
      </c>
      <c r="AC63" s="20">
        <f t="shared" si="6"/>
        <v>112</v>
      </c>
      <c r="AD63" s="20">
        <f t="shared" si="7"/>
        <v>154.56</v>
      </c>
      <c r="AE63" s="20">
        <f>VLOOKUP(A:A,[1]TDSheet!$A:$AE,31,0)</f>
        <v>14</v>
      </c>
      <c r="AF63" s="20">
        <f>VLOOKUP(A:A,[1]TDSheet!$A:$AF,32,0)</f>
        <v>140</v>
      </c>
      <c r="AG63" s="20">
        <f t="shared" si="8"/>
        <v>0.8</v>
      </c>
    </row>
    <row r="64" spans="1:33" ht="10.9" customHeight="1" x14ac:dyDescent="0.2">
      <c r="A64" s="8" t="s">
        <v>71</v>
      </c>
      <c r="B64" s="8" t="s">
        <v>13</v>
      </c>
      <c r="C64" s="8" t="str">
        <f>VLOOKUP(A:A,[1]TDSheet!$A:$C,3,0)</f>
        <v>P003478</v>
      </c>
      <c r="D64" s="9">
        <v>37.799999999999997</v>
      </c>
      <c r="E64" s="9"/>
      <c r="F64" s="20">
        <v>32.4</v>
      </c>
      <c r="G64" s="9">
        <v>5.4</v>
      </c>
      <c r="H64">
        <f>VLOOKUP(A:A,[1]TDSheet!$A:$H,8,0)</f>
        <v>1</v>
      </c>
      <c r="I64">
        <f>VLOOKUP(A:A,[1]TDSheet!$A:$I,9,0)</f>
        <v>180</v>
      </c>
      <c r="L64" s="20">
        <f>VLOOKUP(A:A,[2]TDSheet!$A:$B,2,0)</f>
        <v>32.4</v>
      </c>
      <c r="M64" s="20">
        <f t="shared" si="1"/>
        <v>0</v>
      </c>
      <c r="N64" s="20">
        <f>VLOOKUP(A:A,[1]TDSheet!$A:$O,15,0)</f>
        <v>0</v>
      </c>
      <c r="O64" s="20">
        <f>VLOOKUP(A:A,[1]TDSheet!$A:$Q,17,0)</f>
        <v>60</v>
      </c>
      <c r="P64" s="20">
        <f t="shared" si="2"/>
        <v>6.4799999999999995</v>
      </c>
      <c r="Q64" s="21">
        <v>150</v>
      </c>
      <c r="R64" s="21">
        <f>VLOOKUP(A:A,[3]TDSheet!$A:$R,18,0)</f>
        <v>150</v>
      </c>
      <c r="S64" s="20">
        <f>VLOOKUP(A:A,[3]TDSheet!$A:$S,19,0)</f>
        <v>0</v>
      </c>
      <c r="T64" s="20">
        <f t="shared" si="3"/>
        <v>33.24074074074074</v>
      </c>
      <c r="U64" s="20">
        <f t="shared" si="4"/>
        <v>0.83333333333333348</v>
      </c>
      <c r="V64" s="20">
        <f>VLOOKUP(A:A,[1]TDSheet!$A:$W,23,0)</f>
        <v>8.64</v>
      </c>
      <c r="W64" s="20">
        <f>VLOOKUP(A:A,[1]TDSheet!$A:$X,24,0)</f>
        <v>10.8</v>
      </c>
      <c r="X64" s="20">
        <f>VLOOKUP(A:A,[1]TDSheet!$A:$Y,25,0)</f>
        <v>2.16</v>
      </c>
      <c r="Y64" s="20">
        <f>VLOOKUP(A:A,[1]TDSheet!$A:$P,16,0)</f>
        <v>7.5659999999999998</v>
      </c>
      <c r="Z64" s="20"/>
      <c r="AA64" s="20">
        <f t="shared" si="5"/>
        <v>150</v>
      </c>
      <c r="AB64" s="20">
        <f>VLOOKUP(A:A,[1]TDSheet!$A:$AB,28,0)</f>
        <v>2.7</v>
      </c>
      <c r="AC64" s="20">
        <f t="shared" si="6"/>
        <v>56</v>
      </c>
      <c r="AD64" s="20">
        <f t="shared" si="7"/>
        <v>151.20000000000002</v>
      </c>
      <c r="AE64" s="20">
        <f>VLOOKUP(A:A,[1]TDSheet!$A:$AE,31,0)</f>
        <v>14</v>
      </c>
      <c r="AF64" s="20">
        <f>VLOOKUP(A:A,[1]TDSheet!$A:$AF,32,0)</f>
        <v>126</v>
      </c>
      <c r="AG64" s="20">
        <f t="shared" si="8"/>
        <v>0.44444444444444442</v>
      </c>
    </row>
    <row r="65" spans="1:33" ht="10.9" customHeight="1" x14ac:dyDescent="0.2">
      <c r="A65" s="25" t="s">
        <v>72</v>
      </c>
      <c r="B65" s="8" t="s">
        <v>13</v>
      </c>
      <c r="C65" s="8" t="str">
        <f>VLOOKUP(A:A,[1]TDSheet!$A:$C,3,0)</f>
        <v>P003476</v>
      </c>
      <c r="D65" s="9">
        <v>115</v>
      </c>
      <c r="E65" s="9">
        <v>660</v>
      </c>
      <c r="F65" s="20">
        <v>287.7</v>
      </c>
      <c r="G65" s="9">
        <v>487.3</v>
      </c>
      <c r="H65">
        <f>VLOOKUP(A:A,[1]TDSheet!$A:$H,8,0)</f>
        <v>1</v>
      </c>
      <c r="L65" s="20">
        <f>VLOOKUP(A:A,[2]TDSheet!$A:$B,2,0)</f>
        <v>313.10000000000002</v>
      </c>
      <c r="M65" s="20">
        <f t="shared" si="1"/>
        <v>-25.400000000000034</v>
      </c>
      <c r="N65" s="20">
        <f>VLOOKUP(A:A,[1]TDSheet!$A:$O,15,0)</f>
        <v>640</v>
      </c>
      <c r="O65" s="20">
        <f>VLOOKUP(A:A,[1]TDSheet!$A:$Q,17,0)</f>
        <v>300</v>
      </c>
      <c r="P65" s="20">
        <f t="shared" si="2"/>
        <v>57.54</v>
      </c>
      <c r="Q65" s="21">
        <v>150</v>
      </c>
      <c r="R65" s="21">
        <f>VLOOKUP(A:A,[3]TDSheet!$A:$R,18,0)</f>
        <v>150</v>
      </c>
      <c r="S65" s="20">
        <f>VLOOKUP(A:A,[3]TDSheet!$A:$S,19,0)</f>
        <v>0</v>
      </c>
      <c r="T65" s="20">
        <f t="shared" si="3"/>
        <v>27.412234966979494</v>
      </c>
      <c r="U65" s="20">
        <f t="shared" si="4"/>
        <v>8.4688912061174833</v>
      </c>
      <c r="V65" s="20">
        <f>VLOOKUP(A:A,[1]TDSheet!$A:$W,23,0)</f>
        <v>66</v>
      </c>
      <c r="W65" s="20">
        <f>VLOOKUP(A:A,[1]TDSheet!$A:$X,24,0)</f>
        <v>81</v>
      </c>
      <c r="X65" s="20">
        <f>VLOOKUP(A:A,[1]TDSheet!$A:$Y,25,0)</f>
        <v>89.539999999999992</v>
      </c>
      <c r="Y65" s="20">
        <f>VLOOKUP(A:A,[1]TDSheet!$A:$P,16,0)</f>
        <v>81</v>
      </c>
      <c r="Z65" s="20"/>
      <c r="AA65" s="20">
        <f t="shared" si="5"/>
        <v>150</v>
      </c>
      <c r="AB65" s="20">
        <f>VLOOKUP(A:A,[1]TDSheet!$A:$AB,28,0)</f>
        <v>5</v>
      </c>
      <c r="AC65" s="20">
        <f t="shared" si="6"/>
        <v>36</v>
      </c>
      <c r="AD65" s="20">
        <f t="shared" si="7"/>
        <v>180</v>
      </c>
      <c r="AE65" s="20">
        <f>VLOOKUP(A:A,[1]TDSheet!$A:$AE,31,0)</f>
        <v>12</v>
      </c>
      <c r="AF65" s="20">
        <f>VLOOKUP(A:A,[1]TDSheet!$A:$AF,32,0)</f>
        <v>84</v>
      </c>
      <c r="AG65" s="20">
        <f t="shared" si="8"/>
        <v>0.42857142857142855</v>
      </c>
    </row>
    <row r="66" spans="1:33" ht="10.9" customHeight="1" x14ac:dyDescent="0.2">
      <c r="A66" s="8" t="s">
        <v>73</v>
      </c>
      <c r="B66" s="8" t="s">
        <v>13</v>
      </c>
      <c r="C66" s="8" t="str">
        <f>VLOOKUP(A:A,[1]TDSheet!$A:$C,3,0)</f>
        <v>P003476</v>
      </c>
      <c r="D66" s="10"/>
      <c r="E66" s="9"/>
      <c r="F66" s="20">
        <v>5</v>
      </c>
      <c r="G66" s="9">
        <v>-5</v>
      </c>
      <c r="H66">
        <f>VLOOKUP(A:A,[1]TDSheet!$A:$H,8,0)</f>
        <v>1</v>
      </c>
      <c r="L66" s="20">
        <f>VLOOKUP(A:A,[2]TDSheet!$A:$B,2,0)</f>
        <v>5</v>
      </c>
      <c r="M66" s="20">
        <f t="shared" si="1"/>
        <v>0</v>
      </c>
      <c r="N66" s="20">
        <f>VLOOKUP(A:A,[1]TDSheet!$A:$O,15,0)</f>
        <v>0</v>
      </c>
      <c r="O66" s="20">
        <f>VLOOKUP(A:A,[1]TDSheet!$A:$Q,17,0)</f>
        <v>0</v>
      </c>
      <c r="P66" s="20">
        <f t="shared" si="2"/>
        <v>1</v>
      </c>
      <c r="Q66" s="21">
        <v>20</v>
      </c>
      <c r="R66" s="21"/>
      <c r="S66" s="20">
        <f>VLOOKUP(A:A,[3]TDSheet!$A:$S,19,0)</f>
        <v>0</v>
      </c>
      <c r="T66" s="20">
        <f t="shared" si="3"/>
        <v>15</v>
      </c>
      <c r="U66" s="20">
        <f t="shared" si="4"/>
        <v>-5</v>
      </c>
      <c r="V66" s="20">
        <f>VLOOKUP(A:A,[1]TDSheet!$A:$W,23,0)</f>
        <v>0</v>
      </c>
      <c r="W66" s="20">
        <f>VLOOKUP(A:A,[1]TDSheet!$A:$X,24,0)</f>
        <v>0</v>
      </c>
      <c r="X66" s="20">
        <f>VLOOKUP(A:A,[1]TDSheet!$A:$Y,25,0)</f>
        <v>0</v>
      </c>
      <c r="Y66" s="20">
        <f>VLOOKUP(A:A,[1]TDSheet!$A:$P,16,0)</f>
        <v>0</v>
      </c>
      <c r="Z66" s="20"/>
      <c r="AA66" s="20">
        <f t="shared" si="5"/>
        <v>20</v>
      </c>
      <c r="AB66" s="20">
        <f>VLOOKUP(A:A,[1]TDSheet!$A:$AB,28,0)</f>
        <v>5</v>
      </c>
      <c r="AC66" s="20">
        <f t="shared" si="6"/>
        <v>0</v>
      </c>
      <c r="AD66" s="20">
        <f t="shared" si="7"/>
        <v>0</v>
      </c>
      <c r="AE66" s="20">
        <f>VLOOKUP(A:A,[1]TDSheet!$A:$AE,31,0)</f>
        <v>12</v>
      </c>
      <c r="AF66" s="20">
        <f>VLOOKUP(A:A,[1]TDSheet!$A:$AF,32,0)</f>
        <v>84</v>
      </c>
      <c r="AG66" s="20">
        <f t="shared" si="8"/>
        <v>0</v>
      </c>
    </row>
    <row r="67" spans="1:33" ht="10.9" customHeight="1" x14ac:dyDescent="0.2">
      <c r="A67" s="8" t="s">
        <v>105</v>
      </c>
      <c r="B67" s="8" t="s">
        <v>13</v>
      </c>
      <c r="C67" s="8"/>
      <c r="D67" s="9"/>
      <c r="E67" s="9"/>
      <c r="F67" s="20">
        <v>0</v>
      </c>
      <c r="G67" s="9"/>
      <c r="H67">
        <f>VLOOKUP(A:A,[1]TDSheet!$A:$H,8,0)</f>
        <v>1</v>
      </c>
      <c r="L67" s="20">
        <v>0</v>
      </c>
      <c r="M67" s="20">
        <f t="shared" si="1"/>
        <v>0</v>
      </c>
      <c r="N67" s="20">
        <f>VLOOKUP(A:A,[1]TDSheet!$A:$O,15,0)</f>
        <v>480</v>
      </c>
      <c r="O67" s="20">
        <f>VLOOKUP(A:A,[1]TDSheet!$A:$Q,17,0)</f>
        <v>640</v>
      </c>
      <c r="P67" s="20">
        <f t="shared" si="2"/>
        <v>0</v>
      </c>
      <c r="Q67" s="21">
        <v>200</v>
      </c>
      <c r="R67" s="21">
        <f>VLOOKUP(A:A,[3]TDSheet!$A:$R,18,0)</f>
        <v>200</v>
      </c>
      <c r="S67" s="20">
        <f>VLOOKUP(A:A,[3]TDSheet!$A:$S,19,0)</f>
        <v>0</v>
      </c>
      <c r="T67" s="20">
        <v>0</v>
      </c>
      <c r="U67" s="20" t="e">
        <f t="shared" si="4"/>
        <v>#DIV/0!</v>
      </c>
      <c r="V67" s="20">
        <f>VLOOKUP(A:A,[1]TDSheet!$A:$W,23,0)</f>
        <v>1.2</v>
      </c>
      <c r="W67" s="20">
        <f>VLOOKUP(A:A,[1]TDSheet!$A:$X,24,0)</f>
        <v>0</v>
      </c>
      <c r="X67" s="20">
        <f>VLOOKUP(A:A,[1]TDSheet!$A:$Y,25,0)</f>
        <v>0</v>
      </c>
      <c r="Y67" s="20">
        <f>VLOOKUP(A:A,[1]TDSheet!$A:$P,16,0)</f>
        <v>0</v>
      </c>
      <c r="Z67" s="20"/>
      <c r="AA67" s="20">
        <f t="shared" si="5"/>
        <v>200</v>
      </c>
      <c r="AB67" s="20">
        <f>VLOOKUP(A:A,[1]TDSheet!$A:$AB,28,0)</f>
        <v>0</v>
      </c>
      <c r="AC67" s="20">
        <v>0</v>
      </c>
      <c r="AD67" s="20">
        <f t="shared" si="7"/>
        <v>0</v>
      </c>
      <c r="AE67" s="20">
        <f>VLOOKUP(A:A,[1]TDSheet!$A:$AE,31,0)</f>
        <v>0</v>
      </c>
      <c r="AF67" s="20">
        <f>VLOOKUP(A:A,[1]TDSheet!$A:$AF,32,0)</f>
        <v>0</v>
      </c>
      <c r="AG67" s="20">
        <v>0</v>
      </c>
    </row>
    <row r="68" spans="1:33" ht="10.9" customHeight="1" x14ac:dyDescent="0.2">
      <c r="A68" s="8" t="s">
        <v>106</v>
      </c>
      <c r="B68" s="8" t="s">
        <v>13</v>
      </c>
      <c r="C68" s="8" t="str">
        <f>VLOOKUP(A:A,[1]TDSheet!$A:$C,3,0)</f>
        <v>P004359</v>
      </c>
      <c r="D68" s="9"/>
      <c r="E68" s="9"/>
      <c r="F68" s="20">
        <v>0</v>
      </c>
      <c r="G68" s="23"/>
      <c r="H68">
        <f>VLOOKUP(A:A,[1]TDSheet!$A:$H,8,0)</f>
        <v>1</v>
      </c>
      <c r="I68">
        <f>VLOOKUP(A:A,[1]TDSheet!$A:$I,9,0)</f>
        <v>180</v>
      </c>
      <c r="J68" t="str">
        <f>VLOOKUP(A:A,[1]TDSheet!$A:$J,10,0)</f>
        <v>матрица</v>
      </c>
      <c r="L68" s="20">
        <f>VLOOKUP(A:A,[2]TDSheet!$A:$B,2,0)</f>
        <v>18.7</v>
      </c>
      <c r="M68" s="20">
        <f t="shared" si="1"/>
        <v>-18.7</v>
      </c>
      <c r="N68" s="20">
        <f>VLOOKUP(A:A,[1]TDSheet!$A:$O,15,0)</f>
        <v>20</v>
      </c>
      <c r="O68" s="20">
        <f>VLOOKUP(A:A,[1]TDSheet!$A:$Q,17,0)</f>
        <v>50</v>
      </c>
      <c r="P68" s="20">
        <f t="shared" si="2"/>
        <v>0</v>
      </c>
      <c r="Q68" s="21"/>
      <c r="R68" s="21"/>
      <c r="S68" s="20">
        <f>VLOOKUP(A:A,[3]TDSheet!$A:$S,19,0)</f>
        <v>0</v>
      </c>
      <c r="T68" s="20">
        <v>0</v>
      </c>
      <c r="U68" s="20" t="e">
        <f t="shared" si="4"/>
        <v>#DIV/0!</v>
      </c>
      <c r="V68" s="20">
        <f>VLOOKUP(A:A,[1]TDSheet!$A:$W,23,0)</f>
        <v>2.2199999999999998</v>
      </c>
      <c r="W68" s="20">
        <f>VLOOKUP(A:A,[1]TDSheet!$A:$X,24,0)</f>
        <v>5.2</v>
      </c>
      <c r="X68" s="20">
        <f>VLOOKUP(A:A,[1]TDSheet!$A:$Y,25,0)</f>
        <v>1.48</v>
      </c>
      <c r="Y68" s="20">
        <f>VLOOKUP(A:A,[1]TDSheet!$A:$P,16,0)</f>
        <v>0</v>
      </c>
      <c r="Z68" s="20" t="str">
        <f>VLOOKUP(A:A,[1]TDSheet!$A:$Z,26,0)</f>
        <v>остатки?</v>
      </c>
      <c r="AA68" s="20">
        <f t="shared" si="5"/>
        <v>0</v>
      </c>
      <c r="AB68" s="20">
        <f>VLOOKUP(A:A,[1]TDSheet!$A:$AB,28,0)</f>
        <v>3.7</v>
      </c>
      <c r="AC68" s="20">
        <f t="shared" si="6"/>
        <v>0</v>
      </c>
      <c r="AD68" s="20">
        <f t="shared" si="7"/>
        <v>0</v>
      </c>
      <c r="AE68" s="20">
        <f>VLOOKUP(A:A,[1]TDSheet!$A:$AE,31,0)</f>
        <v>14</v>
      </c>
      <c r="AF68" s="20">
        <f>VLOOKUP(A:A,[1]TDSheet!$A:$AF,32,0)</f>
        <v>126</v>
      </c>
      <c r="AG68" s="20">
        <f t="shared" si="8"/>
        <v>0</v>
      </c>
    </row>
    <row r="69" spans="1:33" ht="10.9" customHeight="1" x14ac:dyDescent="0.2">
      <c r="A69" s="8" t="s">
        <v>107</v>
      </c>
      <c r="B69" s="8" t="s">
        <v>14</v>
      </c>
      <c r="C69" s="8" t="str">
        <f>VLOOKUP(A:A,[1]TDSheet!$A:$C,3,0)</f>
        <v>P005201</v>
      </c>
      <c r="D69" s="10"/>
      <c r="E69" s="9"/>
      <c r="F69" s="20">
        <v>0</v>
      </c>
      <c r="G69" s="9"/>
      <c r="H69">
        <f>VLOOKUP(A:A,[1]TDSheet!$A:$H,8,0)</f>
        <v>0.18</v>
      </c>
      <c r="I69">
        <f>VLOOKUP(A:A,[1]TDSheet!$A:$I,9,0)</f>
        <v>180</v>
      </c>
      <c r="J69" t="str">
        <f>VLOOKUP(A:A,[1]TDSheet!$A:$J,10,0)</f>
        <v>матрица</v>
      </c>
      <c r="L69" s="20">
        <f>VLOOKUP(A:A,[2]TDSheet!$A:$B,2,0)</f>
        <v>8</v>
      </c>
      <c r="M69" s="20">
        <f t="shared" si="1"/>
        <v>-8</v>
      </c>
      <c r="N69" s="20">
        <f>VLOOKUP(A:A,[1]TDSheet!$A:$O,15,0)</f>
        <v>0</v>
      </c>
      <c r="O69" s="20">
        <f>VLOOKUP(A:A,[1]TDSheet!$A:$Q,17,0)</f>
        <v>75</v>
      </c>
      <c r="P69" s="20">
        <f t="shared" si="2"/>
        <v>0</v>
      </c>
      <c r="Q69" s="21"/>
      <c r="R69" s="21"/>
      <c r="S69" s="20">
        <f>VLOOKUP(A:A,[3]TDSheet!$A:$S,19,0)</f>
        <v>0</v>
      </c>
      <c r="T69" s="20">
        <v>0</v>
      </c>
      <c r="U69" s="20" t="e">
        <f t="shared" si="4"/>
        <v>#DIV/0!</v>
      </c>
      <c r="V69" s="20">
        <f>VLOOKUP(A:A,[1]TDSheet!$A:$W,23,0)</f>
        <v>7.8</v>
      </c>
      <c r="W69" s="20">
        <f>VLOOKUP(A:A,[1]TDSheet!$A:$X,24,0)</f>
        <v>2.6</v>
      </c>
      <c r="X69" s="20">
        <f>VLOOKUP(A:A,[1]TDSheet!$A:$Y,25,0)</f>
        <v>1.4</v>
      </c>
      <c r="Y69" s="20">
        <f>VLOOKUP(A:A,[1]TDSheet!$A:$P,16,0)</f>
        <v>0</v>
      </c>
      <c r="Z69" s="20"/>
      <c r="AA69" s="20">
        <f t="shared" si="5"/>
        <v>0</v>
      </c>
      <c r="AB69" s="20">
        <f>VLOOKUP(A:A,[1]TDSheet!$A:$AB,28,0)</f>
        <v>6</v>
      </c>
      <c r="AC69" s="20">
        <f t="shared" si="6"/>
        <v>0</v>
      </c>
      <c r="AD69" s="20">
        <f t="shared" si="7"/>
        <v>0</v>
      </c>
      <c r="AE69" s="20">
        <f>VLOOKUP(A:A,[1]TDSheet!$A:$AE,31,0)</f>
        <v>14</v>
      </c>
      <c r="AF69" s="20">
        <f>VLOOKUP(A:A,[1]TDSheet!$A:$AF,32,0)</f>
        <v>140</v>
      </c>
      <c r="AG69" s="20">
        <f t="shared" si="8"/>
        <v>0</v>
      </c>
    </row>
    <row r="70" spans="1:33" ht="10.9" customHeight="1" x14ac:dyDescent="0.2">
      <c r="A70" s="8" t="s">
        <v>108</v>
      </c>
      <c r="B70" s="8" t="s">
        <v>13</v>
      </c>
      <c r="C70" s="8" t="str">
        <f>VLOOKUP(A:A,[1]TDSheet!$A:$C,3,0)</f>
        <v>P004358</v>
      </c>
      <c r="D70" s="9"/>
      <c r="E70" s="9"/>
      <c r="F70" s="20">
        <v>0</v>
      </c>
      <c r="G70" s="9"/>
      <c r="H70">
        <f>VLOOKUP(A:A,[1]TDSheet!$A:$H,8,0)</f>
        <v>1</v>
      </c>
      <c r="L70" s="20">
        <f>VLOOKUP(A:A,[2]TDSheet!$A:$B,2,0)</f>
        <v>8</v>
      </c>
      <c r="M70" s="20">
        <f t="shared" si="1"/>
        <v>-8</v>
      </c>
      <c r="N70" s="20">
        <f>VLOOKUP(A:A,[1]TDSheet!$A:$O,15,0)</f>
        <v>50</v>
      </c>
      <c r="O70" s="20">
        <f>VLOOKUP(A:A,[1]TDSheet!$A:$Q,17,0)</f>
        <v>0</v>
      </c>
      <c r="P70" s="20">
        <f t="shared" si="2"/>
        <v>0</v>
      </c>
      <c r="Q70" s="21"/>
      <c r="R70" s="21"/>
      <c r="S70" s="20">
        <f>VLOOKUP(A:A,[3]TDSheet!$A:$S,19,0)</f>
        <v>0</v>
      </c>
      <c r="T70" s="20">
        <v>0</v>
      </c>
      <c r="U70" s="20" t="e">
        <f t="shared" si="4"/>
        <v>#DIV/0!</v>
      </c>
      <c r="V70" s="20">
        <f>VLOOKUP(A:A,[1]TDSheet!$A:$W,23,0)</f>
        <v>0</v>
      </c>
      <c r="W70" s="20">
        <f>VLOOKUP(A:A,[1]TDSheet!$A:$X,24,0)</f>
        <v>2.2000000000000002</v>
      </c>
      <c r="X70" s="20">
        <f>VLOOKUP(A:A,[1]TDSheet!$A:$Y,25,0)</f>
        <v>3.3</v>
      </c>
      <c r="Y70" s="20">
        <f>VLOOKUP(A:A,[1]TDSheet!$A:$P,16,0)</f>
        <v>0</v>
      </c>
      <c r="Z70" s="20"/>
      <c r="AA70" s="20">
        <f t="shared" si="5"/>
        <v>0</v>
      </c>
      <c r="AB70" s="20">
        <f>VLOOKUP(A:A,[1]TDSheet!$A:$AB,28,0)</f>
        <v>0</v>
      </c>
      <c r="AC70" s="20">
        <v>0</v>
      </c>
      <c r="AD70" s="20">
        <f t="shared" si="7"/>
        <v>0</v>
      </c>
      <c r="AE70" s="20">
        <f>VLOOKUP(A:A,[1]TDSheet!$A:$AE,31,0)</f>
        <v>0</v>
      </c>
      <c r="AF70" s="20">
        <f>VLOOKUP(A:A,[1]TDSheet!$A:$AF,32,0)</f>
        <v>0</v>
      </c>
      <c r="AG70" s="20">
        <v>0</v>
      </c>
    </row>
    <row r="71" spans="1:33" ht="22.15" customHeight="1" x14ac:dyDescent="0.2">
      <c r="A71" s="8" t="s">
        <v>15</v>
      </c>
      <c r="B71" s="8" t="s">
        <v>14</v>
      </c>
      <c r="C71" s="8" t="str">
        <f>VLOOKUP(A:A,[1]TDSheet!$A:$C,3,0)</f>
        <v>P004969</v>
      </c>
      <c r="D71" s="9">
        <v>29</v>
      </c>
      <c r="E71" s="9"/>
      <c r="F71" s="20">
        <v>56</v>
      </c>
      <c r="G71" s="9">
        <v>-32</v>
      </c>
      <c r="H71">
        <f>VLOOKUP(A:A,[1]TDSheet!$A:$H,8,0)</f>
        <v>0.24</v>
      </c>
      <c r="J71" t="str">
        <f>VLOOKUP(A:A,[1]TDSheet!$A:$J,10,0)</f>
        <v>матрица</v>
      </c>
      <c r="L71" s="20">
        <f>VLOOKUP(A:A,[2]TDSheet!$A:$B,2,0)</f>
        <v>83</v>
      </c>
      <c r="M71" s="20">
        <f t="shared" si="1"/>
        <v>-27</v>
      </c>
      <c r="N71" s="20">
        <f>VLOOKUP(A:A,[1]TDSheet!$A:$O,15,0)</f>
        <v>0</v>
      </c>
      <c r="O71" s="20">
        <f>VLOOKUP(A:A,[1]TDSheet!$A:$Q,17,0)</f>
        <v>0</v>
      </c>
      <c r="P71" s="20">
        <f t="shared" si="2"/>
        <v>11.2</v>
      </c>
      <c r="Q71" s="21">
        <v>190</v>
      </c>
      <c r="R71" s="21"/>
      <c r="S71" s="20">
        <f>VLOOKUP(A:A,[3]TDSheet!$A:$S,19,0)</f>
        <v>0</v>
      </c>
      <c r="T71" s="20">
        <f t="shared" si="3"/>
        <v>14.107142857142858</v>
      </c>
      <c r="U71" s="20">
        <f t="shared" si="4"/>
        <v>-2.8571428571428572</v>
      </c>
      <c r="V71" s="20">
        <f>VLOOKUP(A:A,[1]TDSheet!$A:$W,23,0)</f>
        <v>37.6</v>
      </c>
      <c r="W71" s="20">
        <f>VLOOKUP(A:A,[1]TDSheet!$A:$X,24,0)</f>
        <v>9.6</v>
      </c>
      <c r="X71" s="20">
        <f>VLOOKUP(A:A,[1]TDSheet!$A:$Y,25,0)</f>
        <v>10.199999999999999</v>
      </c>
      <c r="Y71" s="20">
        <f>VLOOKUP(A:A,[1]TDSheet!$A:$P,16,0)</f>
        <v>6</v>
      </c>
      <c r="Z71" s="20"/>
      <c r="AA71" s="20">
        <f t="shared" si="5"/>
        <v>45.6</v>
      </c>
      <c r="AB71" s="20">
        <f>VLOOKUP(A:A,[1]TDSheet!$A:$AB,28,0)</f>
        <v>0</v>
      </c>
      <c r="AC71" s="20">
        <v>0</v>
      </c>
      <c r="AD71" s="20">
        <f t="shared" si="7"/>
        <v>0</v>
      </c>
      <c r="AE71" s="20">
        <f>VLOOKUP(A:A,[1]TDSheet!$A:$AE,31,0)</f>
        <v>0</v>
      </c>
      <c r="AF71" s="20">
        <f>VLOOKUP(A:A,[1]TDSheet!$A:$AF,32,0)</f>
        <v>0</v>
      </c>
      <c r="AG71" s="20">
        <v>0</v>
      </c>
    </row>
    <row r="72" spans="1:33" ht="22.15" customHeight="1" x14ac:dyDescent="0.2">
      <c r="A72" s="8" t="s">
        <v>16</v>
      </c>
      <c r="B72" s="8" t="s">
        <v>14</v>
      </c>
      <c r="C72" s="8" t="str">
        <f>VLOOKUP(A:A,[1]TDSheet!$A:$C,3,0)</f>
        <v>P004346</v>
      </c>
      <c r="D72" s="9">
        <v>172</v>
      </c>
      <c r="E72" s="9"/>
      <c r="F72" s="20">
        <v>63</v>
      </c>
      <c r="G72" s="9">
        <v>108</v>
      </c>
      <c r="H72">
        <f>VLOOKUP(A:A,[1]TDSheet!$A:$H,8,0)</f>
        <v>0.7</v>
      </c>
      <c r="J72" t="str">
        <f>VLOOKUP(A:A,[1]TDSheet!$A:$J,10,0)</f>
        <v>матрица</v>
      </c>
      <c r="L72" s="20">
        <f>VLOOKUP(A:A,[2]TDSheet!$A:$B,2,0)</f>
        <v>79</v>
      </c>
      <c r="M72" s="20">
        <f t="shared" si="1"/>
        <v>-16</v>
      </c>
      <c r="N72" s="20">
        <f>VLOOKUP(A:A,[1]TDSheet!$A:$O,15,0)</f>
        <v>0</v>
      </c>
      <c r="O72" s="20">
        <f>VLOOKUP(A:A,[1]TDSheet!$A:$Q,17,0)</f>
        <v>0</v>
      </c>
      <c r="P72" s="20">
        <f t="shared" si="2"/>
        <v>12.6</v>
      </c>
      <c r="Q72" s="21">
        <v>70</v>
      </c>
      <c r="R72" s="21"/>
      <c r="S72" s="20">
        <f>VLOOKUP(A:A,[3]TDSheet!$A:$S,19,0)</f>
        <v>0</v>
      </c>
      <c r="T72" s="20">
        <f t="shared" si="3"/>
        <v>14.126984126984127</v>
      </c>
      <c r="U72" s="20">
        <f t="shared" si="4"/>
        <v>8.5714285714285712</v>
      </c>
      <c r="V72" s="20">
        <f>VLOOKUP(A:A,[1]TDSheet!$A:$W,23,0)</f>
        <v>36.6</v>
      </c>
      <c r="W72" s="20">
        <f>VLOOKUP(A:A,[1]TDSheet!$A:$X,24,0)</f>
        <v>17</v>
      </c>
      <c r="X72" s="20">
        <f>VLOOKUP(A:A,[1]TDSheet!$A:$Y,25,0)</f>
        <v>10</v>
      </c>
      <c r="Y72" s="20">
        <f>VLOOKUP(A:A,[1]TDSheet!$A:$P,16,0)</f>
        <v>9</v>
      </c>
      <c r="Z72" s="20"/>
      <c r="AA72" s="20">
        <f t="shared" si="5"/>
        <v>49</v>
      </c>
      <c r="AB72" s="20">
        <f>VLOOKUP(A:A,[1]TDSheet!$A:$AB,28,0)</f>
        <v>0</v>
      </c>
      <c r="AC72" s="20">
        <v>0</v>
      </c>
      <c r="AD72" s="20">
        <f t="shared" si="7"/>
        <v>0</v>
      </c>
      <c r="AE72" s="20">
        <f>VLOOKUP(A:A,[1]TDSheet!$A:$AE,31,0)</f>
        <v>0</v>
      </c>
      <c r="AF72" s="20">
        <f>VLOOKUP(A:A,[1]TDSheet!$A:$AF,32,0)</f>
        <v>0</v>
      </c>
      <c r="AG72" s="20">
        <v>0</v>
      </c>
    </row>
    <row r="73" spans="1:33" ht="10.9" customHeight="1" x14ac:dyDescent="0.2">
      <c r="A73" s="8" t="s">
        <v>17</v>
      </c>
      <c r="B73" s="8" t="s">
        <v>14</v>
      </c>
      <c r="C73" s="8"/>
      <c r="D73" s="9">
        <v>99</v>
      </c>
      <c r="E73" s="9"/>
      <c r="F73" s="20">
        <v>42</v>
      </c>
      <c r="G73" s="9">
        <v>57</v>
      </c>
      <c r="H73">
        <f>VLOOKUP(A:A,[1]TDSheet!$A:$H,8,0)</f>
        <v>0.25</v>
      </c>
      <c r="J73" t="str">
        <f>VLOOKUP(A:A,[1]TDSheet!$A:$J,10,0)</f>
        <v>матрица</v>
      </c>
      <c r="L73" s="20">
        <f>VLOOKUP(A:A,[2]TDSheet!$A:$B,2,0)</f>
        <v>43</v>
      </c>
      <c r="M73" s="20">
        <f t="shared" si="1"/>
        <v>-1</v>
      </c>
      <c r="N73" s="20">
        <f>VLOOKUP(A:A,[1]TDSheet!$A:$O,15,0)</f>
        <v>0</v>
      </c>
      <c r="O73" s="20">
        <f>VLOOKUP(A:A,[1]TDSheet!$A:$Q,17,0)</f>
        <v>0</v>
      </c>
      <c r="P73" s="20">
        <f t="shared" si="2"/>
        <v>8.4</v>
      </c>
      <c r="Q73" s="21">
        <v>60</v>
      </c>
      <c r="R73" s="21"/>
      <c r="S73" s="20">
        <f>VLOOKUP(A:A,[3]TDSheet!$A:$S,19,0)</f>
        <v>0</v>
      </c>
      <c r="T73" s="20">
        <f t="shared" si="3"/>
        <v>13.928571428571429</v>
      </c>
      <c r="U73" s="20">
        <f t="shared" si="4"/>
        <v>6.7857142857142856</v>
      </c>
      <c r="V73" s="20">
        <f>VLOOKUP(A:A,[1]TDSheet!$A:$W,23,0)</f>
        <v>10.4</v>
      </c>
      <c r="W73" s="20">
        <f>VLOOKUP(A:A,[1]TDSheet!$A:$X,24,0)</f>
        <v>2.6</v>
      </c>
      <c r="X73" s="20">
        <f>VLOOKUP(A:A,[1]TDSheet!$A:$Y,25,0)</f>
        <v>0.8</v>
      </c>
      <c r="Y73" s="20">
        <f>VLOOKUP(A:A,[1]TDSheet!$A:$P,16,0)</f>
        <v>0.2</v>
      </c>
      <c r="Z73" s="20"/>
      <c r="AA73" s="20">
        <f t="shared" si="5"/>
        <v>15</v>
      </c>
      <c r="AB73" s="20">
        <f>VLOOKUP(A:A,[1]TDSheet!$A:$AB,28,0)</f>
        <v>0</v>
      </c>
      <c r="AC73" s="20">
        <v>0</v>
      </c>
      <c r="AD73" s="20">
        <f t="shared" si="7"/>
        <v>0</v>
      </c>
      <c r="AE73" s="20">
        <f>VLOOKUP(A:A,[1]TDSheet!$A:$AE,31,0)</f>
        <v>0</v>
      </c>
      <c r="AF73" s="20">
        <f>VLOOKUP(A:A,[1]TDSheet!$A:$AF,32,0)</f>
        <v>0</v>
      </c>
      <c r="AG73" s="20">
        <v>0</v>
      </c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2026-06-25T13:57:11Z</dcterms:modified>
</cp:coreProperties>
</file>