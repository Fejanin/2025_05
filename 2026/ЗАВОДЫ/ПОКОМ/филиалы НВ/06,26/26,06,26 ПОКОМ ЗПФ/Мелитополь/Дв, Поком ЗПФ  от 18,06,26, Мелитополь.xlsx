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Мелитополь\"/>
    </mc:Choice>
  </mc:AlternateContent>
  <xr:revisionPtr revIDLastSave="0" documentId="13_ncr:1_{FC905BFC-CAE2-4658-B7F8-C8B9204D90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T12" i="1" l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11" i="1"/>
  <c r="S14" i="1"/>
  <c r="S15" i="1"/>
  <c r="S16" i="1"/>
  <c r="S17" i="1"/>
  <c r="S18" i="1"/>
  <c r="S20" i="1"/>
  <c r="S21" i="1"/>
  <c r="S24" i="1"/>
  <c r="S25" i="1"/>
  <c r="S27" i="1"/>
  <c r="S28" i="1"/>
  <c r="S30" i="1"/>
  <c r="S36" i="1"/>
  <c r="S37" i="1"/>
  <c r="S44" i="1"/>
  <c r="S48" i="1"/>
  <c r="S49" i="1"/>
  <c r="S50" i="1"/>
  <c r="S51" i="1"/>
  <c r="S61" i="1"/>
  <c r="S63" i="1"/>
  <c r="S65" i="1"/>
  <c r="S66" i="1"/>
  <c r="V12" i="1" l="1"/>
  <c r="V16" i="1"/>
  <c r="V20" i="1"/>
  <c r="V24" i="1"/>
  <c r="V28" i="1"/>
  <c r="V32" i="1"/>
  <c r="V36" i="1"/>
  <c r="V40" i="1"/>
  <c r="V44" i="1"/>
  <c r="V49" i="1"/>
  <c r="V53" i="1"/>
  <c r="V57" i="1"/>
  <c r="V61" i="1"/>
  <c r="V65" i="1"/>
  <c r="V11" i="1"/>
  <c r="Q12" i="1"/>
  <c r="Q13" i="1"/>
  <c r="V13" i="1" s="1"/>
  <c r="Q14" i="1"/>
  <c r="Q15" i="1"/>
  <c r="V15" i="1" s="1"/>
  <c r="Q16" i="1"/>
  <c r="Q17" i="1"/>
  <c r="V17" i="1" s="1"/>
  <c r="Q18" i="1"/>
  <c r="V18" i="1" s="1"/>
  <c r="Q19" i="1"/>
  <c r="V19" i="1" s="1"/>
  <c r="Q20" i="1"/>
  <c r="Q21" i="1"/>
  <c r="V21" i="1" s="1"/>
  <c r="Q22" i="1"/>
  <c r="V22" i="1" s="1"/>
  <c r="Q23" i="1"/>
  <c r="V23" i="1" s="1"/>
  <c r="Q24" i="1"/>
  <c r="Q25" i="1"/>
  <c r="Q26" i="1"/>
  <c r="V26" i="1" s="1"/>
  <c r="Q27" i="1"/>
  <c r="V27" i="1" s="1"/>
  <c r="Q28" i="1"/>
  <c r="Q29" i="1"/>
  <c r="V29" i="1" s="1"/>
  <c r="Q30" i="1"/>
  <c r="V30" i="1" s="1"/>
  <c r="Q31" i="1"/>
  <c r="Q32" i="1"/>
  <c r="Q33" i="1"/>
  <c r="V33" i="1" s="1"/>
  <c r="Q34" i="1"/>
  <c r="V34" i="1" s="1"/>
  <c r="Q35" i="1"/>
  <c r="V35" i="1" s="1"/>
  <c r="Q36" i="1"/>
  <c r="Q37" i="1"/>
  <c r="V37" i="1" s="1"/>
  <c r="Q38" i="1"/>
  <c r="Q39" i="1"/>
  <c r="V39" i="1" s="1"/>
  <c r="Q40" i="1"/>
  <c r="Q41" i="1"/>
  <c r="V41" i="1" s="1"/>
  <c r="Q42" i="1"/>
  <c r="V42" i="1" s="1"/>
  <c r="Q43" i="1"/>
  <c r="Q44" i="1"/>
  <c r="Q45" i="1"/>
  <c r="V45" i="1" s="1"/>
  <c r="Q46" i="1"/>
  <c r="V46" i="1" s="1"/>
  <c r="Q47" i="1"/>
  <c r="V47" i="1" s="1"/>
  <c r="Q48" i="1"/>
  <c r="Q49" i="1"/>
  <c r="Q50" i="1"/>
  <c r="V50" i="1" s="1"/>
  <c r="Q51" i="1"/>
  <c r="V51" i="1" s="1"/>
  <c r="Q52" i="1"/>
  <c r="V52" i="1" s="1"/>
  <c r="Q53" i="1"/>
  <c r="Q54" i="1"/>
  <c r="V54" i="1" s="1"/>
  <c r="Q55" i="1"/>
  <c r="V55" i="1" s="1"/>
  <c r="Q56" i="1"/>
  <c r="V56" i="1" s="1"/>
  <c r="Q57" i="1"/>
  <c r="Q58" i="1"/>
  <c r="V58" i="1" s="1"/>
  <c r="Q59" i="1"/>
  <c r="V59" i="1" s="1"/>
  <c r="Q60" i="1"/>
  <c r="V60" i="1" s="1"/>
  <c r="Q61" i="1"/>
  <c r="Q62" i="1"/>
  <c r="V62" i="1" s="1"/>
  <c r="Q63" i="1"/>
  <c r="V63" i="1" s="1"/>
  <c r="Q64" i="1"/>
  <c r="Q65" i="1"/>
  <c r="Q66" i="1"/>
  <c r="V66" i="1" s="1"/>
  <c r="Q67" i="1"/>
  <c r="V67" i="1" s="1"/>
  <c r="Q68" i="1"/>
  <c r="Q11" i="1"/>
  <c r="M53" i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11" i="1"/>
  <c r="M11" i="1" s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11" i="1"/>
  <c r="AC12" i="1"/>
  <c r="AC13" i="1"/>
  <c r="AC14" i="1"/>
  <c r="AC15" i="1"/>
  <c r="AD15" i="1" s="1"/>
  <c r="AH15" i="1" s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D27" i="1" s="1"/>
  <c r="AH27" i="1" s="1"/>
  <c r="AC28" i="1"/>
  <c r="AC29" i="1"/>
  <c r="AD29" i="1" s="1"/>
  <c r="AH29" i="1" s="1"/>
  <c r="AC30" i="1"/>
  <c r="AC31" i="1"/>
  <c r="AC32" i="1"/>
  <c r="AC33" i="1"/>
  <c r="AC34" i="1"/>
  <c r="AD34" i="1" s="1"/>
  <c r="AC35" i="1"/>
  <c r="AD35" i="1" s="1"/>
  <c r="AC36" i="1"/>
  <c r="AD36" i="1" s="1"/>
  <c r="AC37" i="1"/>
  <c r="AD37" i="1" s="1"/>
  <c r="AC38" i="1"/>
  <c r="AC39" i="1"/>
  <c r="AD39" i="1" s="1"/>
  <c r="AH39" i="1" s="1"/>
  <c r="AC40" i="1"/>
  <c r="AD40" i="1" s="1"/>
  <c r="AH40" i="1" s="1"/>
  <c r="AC41" i="1"/>
  <c r="AD41" i="1" s="1"/>
  <c r="AH41" i="1" s="1"/>
  <c r="AC42" i="1"/>
  <c r="AD42" i="1" s="1"/>
  <c r="AH42" i="1" s="1"/>
  <c r="AC43" i="1"/>
  <c r="AC44" i="1"/>
  <c r="AC45" i="1"/>
  <c r="AC46" i="1"/>
  <c r="AC47" i="1"/>
  <c r="AC48" i="1"/>
  <c r="AC49" i="1"/>
  <c r="AD49" i="1" s="1"/>
  <c r="AC50" i="1"/>
  <c r="AD50" i="1" s="1"/>
  <c r="AH50" i="1" s="1"/>
  <c r="AC51" i="1"/>
  <c r="AD51" i="1" s="1"/>
  <c r="AH51" i="1" s="1"/>
  <c r="AC52" i="1"/>
  <c r="AD52" i="1" s="1"/>
  <c r="AH52" i="1" s="1"/>
  <c r="AC53" i="1"/>
  <c r="AD53" i="1" s="1"/>
  <c r="AH53" i="1" s="1"/>
  <c r="AC54" i="1"/>
  <c r="AC55" i="1"/>
  <c r="AD55" i="1" s="1"/>
  <c r="AC56" i="1"/>
  <c r="AC57" i="1"/>
  <c r="AC58" i="1"/>
  <c r="AD58" i="1" s="1"/>
  <c r="AC59" i="1"/>
  <c r="AC60" i="1"/>
  <c r="AC61" i="1"/>
  <c r="AC62" i="1"/>
  <c r="AC63" i="1"/>
  <c r="AC64" i="1"/>
  <c r="AC65" i="1"/>
  <c r="AC66" i="1"/>
  <c r="AD66" i="1" s="1"/>
  <c r="AH66" i="1" s="1"/>
  <c r="AC67" i="1"/>
  <c r="AD67" i="1" s="1"/>
  <c r="AC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11" i="1"/>
  <c r="P12" i="1"/>
  <c r="U12" i="1" s="1"/>
  <c r="P13" i="1"/>
  <c r="U13" i="1" s="1"/>
  <c r="P14" i="1"/>
  <c r="P15" i="1"/>
  <c r="U15" i="1" s="1"/>
  <c r="P16" i="1"/>
  <c r="P17" i="1"/>
  <c r="P18" i="1"/>
  <c r="P19" i="1"/>
  <c r="U19" i="1" s="1"/>
  <c r="P20" i="1"/>
  <c r="P21" i="1"/>
  <c r="P22" i="1"/>
  <c r="P23" i="1"/>
  <c r="P24" i="1"/>
  <c r="P25" i="1"/>
  <c r="P26" i="1"/>
  <c r="P27" i="1"/>
  <c r="U27" i="1" s="1"/>
  <c r="P28" i="1"/>
  <c r="P29" i="1"/>
  <c r="P30" i="1"/>
  <c r="P31" i="1"/>
  <c r="P32" i="1"/>
  <c r="P33" i="1"/>
  <c r="P34" i="1"/>
  <c r="P35" i="1"/>
  <c r="P36" i="1"/>
  <c r="U36" i="1" s="1"/>
  <c r="P37" i="1"/>
  <c r="U37" i="1" s="1"/>
  <c r="P38" i="1"/>
  <c r="P39" i="1"/>
  <c r="U39" i="1" s="1"/>
  <c r="P40" i="1"/>
  <c r="U40" i="1" s="1"/>
  <c r="P41" i="1"/>
  <c r="P42" i="1"/>
  <c r="P43" i="1"/>
  <c r="P44" i="1"/>
  <c r="P45" i="1"/>
  <c r="P46" i="1"/>
  <c r="U46" i="1" s="1"/>
  <c r="P47" i="1"/>
  <c r="P48" i="1"/>
  <c r="P49" i="1"/>
  <c r="U49" i="1" s="1"/>
  <c r="P50" i="1"/>
  <c r="U50" i="1" s="1"/>
  <c r="P51" i="1"/>
  <c r="U51" i="1" s="1"/>
  <c r="P52" i="1"/>
  <c r="U52" i="1" s="1"/>
  <c r="P53" i="1"/>
  <c r="P54" i="1"/>
  <c r="P55" i="1"/>
  <c r="P56" i="1"/>
  <c r="P57" i="1"/>
  <c r="U57" i="1" s="1"/>
  <c r="P58" i="1"/>
  <c r="P59" i="1"/>
  <c r="P60" i="1"/>
  <c r="P61" i="1"/>
  <c r="P62" i="1"/>
  <c r="P63" i="1"/>
  <c r="P64" i="1"/>
  <c r="P65" i="1"/>
  <c r="P66" i="1"/>
  <c r="P67" i="1"/>
  <c r="P68" i="1"/>
  <c r="P11" i="1"/>
  <c r="U11" i="1" s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11" i="1"/>
  <c r="H12" i="1"/>
  <c r="AB12" i="1" s="1"/>
  <c r="H13" i="1"/>
  <c r="AB13" i="1" s="1"/>
  <c r="H14" i="1"/>
  <c r="H15" i="1"/>
  <c r="AB15" i="1" s="1"/>
  <c r="H16" i="1"/>
  <c r="H17" i="1"/>
  <c r="H18" i="1"/>
  <c r="H19" i="1"/>
  <c r="H20" i="1"/>
  <c r="H21" i="1"/>
  <c r="H22" i="1"/>
  <c r="H23" i="1"/>
  <c r="H24" i="1"/>
  <c r="H25" i="1"/>
  <c r="H26" i="1"/>
  <c r="H27" i="1"/>
  <c r="AB27" i="1" s="1"/>
  <c r="H28" i="1"/>
  <c r="H29" i="1"/>
  <c r="H30" i="1"/>
  <c r="H31" i="1"/>
  <c r="H32" i="1"/>
  <c r="H33" i="1"/>
  <c r="H34" i="1"/>
  <c r="H35" i="1"/>
  <c r="H36" i="1"/>
  <c r="AB36" i="1" s="1"/>
  <c r="H37" i="1"/>
  <c r="H38" i="1"/>
  <c r="H39" i="1"/>
  <c r="AB39" i="1" s="1"/>
  <c r="H40" i="1"/>
  <c r="AB40" i="1" s="1"/>
  <c r="H41" i="1"/>
  <c r="H42" i="1"/>
  <c r="H43" i="1"/>
  <c r="H44" i="1"/>
  <c r="H45" i="1"/>
  <c r="H46" i="1"/>
  <c r="H47" i="1"/>
  <c r="H48" i="1"/>
  <c r="H49" i="1"/>
  <c r="H50" i="1"/>
  <c r="H51" i="1"/>
  <c r="AB51" i="1" s="1"/>
  <c r="H52" i="1"/>
  <c r="AB52" i="1" s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11" i="1"/>
  <c r="AB28" i="1" l="1"/>
  <c r="AB24" i="1"/>
  <c r="AD63" i="1"/>
  <c r="AH63" i="1" s="1"/>
  <c r="AD59" i="1"/>
  <c r="AE59" i="1" s="1"/>
  <c r="AB65" i="1"/>
  <c r="AB47" i="1"/>
  <c r="U38" i="1"/>
  <c r="AD30" i="1"/>
  <c r="AD54" i="1"/>
  <c r="AH54" i="1" s="1"/>
  <c r="AD38" i="1"/>
  <c r="AH38" i="1" s="1"/>
  <c r="AD68" i="1"/>
  <c r="AH68" i="1" s="1"/>
  <c r="AB48" i="1"/>
  <c r="AB32" i="1"/>
  <c r="AD14" i="1"/>
  <c r="AB63" i="1"/>
  <c r="AE11" i="1"/>
  <c r="AD65" i="1"/>
  <c r="AH65" i="1" s="1"/>
  <c r="AE37" i="1"/>
  <c r="AE33" i="1"/>
  <c r="AD21" i="1"/>
  <c r="AE21" i="1" s="1"/>
  <c r="AE13" i="1"/>
  <c r="AD43" i="1"/>
  <c r="AH43" i="1" s="1"/>
  <c r="AD31" i="1"/>
  <c r="AE31" i="1" s="1"/>
  <c r="AD62" i="1"/>
  <c r="U26" i="1"/>
  <c r="U56" i="1"/>
  <c r="U48" i="1"/>
  <c r="U28" i="1"/>
  <c r="U24" i="1"/>
  <c r="AD64" i="1"/>
  <c r="AH64" i="1" s="1"/>
  <c r="AD48" i="1"/>
  <c r="AH48" i="1" s="1"/>
  <c r="AD44" i="1"/>
  <c r="AE44" i="1" s="1"/>
  <c r="AE36" i="1"/>
  <c r="AD28" i="1"/>
  <c r="AH28" i="1" s="1"/>
  <c r="AD24" i="1"/>
  <c r="AH24" i="1" s="1"/>
  <c r="AD16" i="1"/>
  <c r="AH16" i="1" s="1"/>
  <c r="AE12" i="1"/>
  <c r="AB61" i="1"/>
  <c r="AD25" i="1"/>
  <c r="U18" i="1"/>
  <c r="AB50" i="1"/>
  <c r="AB53" i="1"/>
  <c r="AB45" i="1"/>
  <c r="AB41" i="1"/>
  <c r="AB37" i="1"/>
  <c r="AB29" i="1"/>
  <c r="AB66" i="1"/>
  <c r="AB54" i="1"/>
  <c r="AB42" i="1"/>
  <c r="AB22" i="1"/>
  <c r="AB49" i="1"/>
  <c r="AB38" i="1"/>
  <c r="AH49" i="1"/>
  <c r="AE49" i="1"/>
  <c r="U64" i="1"/>
  <c r="AB64" i="1"/>
  <c r="U16" i="1"/>
  <c r="AB16" i="1"/>
  <c r="AB60" i="1"/>
  <c r="AB23" i="1"/>
  <c r="V68" i="1"/>
  <c r="V64" i="1"/>
  <c r="V48" i="1"/>
  <c r="V43" i="1"/>
  <c r="V31" i="1"/>
  <c r="AB33" i="1"/>
  <c r="AB17" i="1"/>
  <c r="V38" i="1"/>
  <c r="V14" i="1"/>
  <c r="U20" i="1"/>
  <c r="V25" i="1"/>
  <c r="AH37" i="1"/>
  <c r="AH36" i="1"/>
  <c r="AH35" i="1"/>
  <c r="AE35" i="1"/>
  <c r="AH58" i="1"/>
  <c r="AE58" i="1"/>
  <c r="AH34" i="1"/>
  <c r="AE34" i="1"/>
  <c r="AH21" i="1"/>
  <c r="AH67" i="1"/>
  <c r="AE67" i="1"/>
  <c r="AH55" i="1"/>
  <c r="AE55" i="1"/>
  <c r="AH30" i="1"/>
  <c r="AE30" i="1"/>
  <c r="U59" i="1"/>
  <c r="AB59" i="1"/>
  <c r="AB35" i="1"/>
  <c r="U58" i="1"/>
  <c r="U34" i="1"/>
  <c r="AB58" i="1"/>
  <c r="AB46" i="1"/>
  <c r="AB34" i="1"/>
  <c r="AD23" i="1"/>
  <c r="U45" i="1"/>
  <c r="U33" i="1"/>
  <c r="AB57" i="1"/>
  <c r="AD47" i="1"/>
  <c r="AD22" i="1"/>
  <c r="U68" i="1"/>
  <c r="U44" i="1"/>
  <c r="U32" i="1"/>
  <c r="AB68" i="1"/>
  <c r="AB56" i="1"/>
  <c r="AB44" i="1"/>
  <c r="AB20" i="1"/>
  <c r="AD46" i="1"/>
  <c r="AE53" i="1"/>
  <c r="AE41" i="1"/>
  <c r="U55" i="1"/>
  <c r="U31" i="1"/>
  <c r="AB67" i="1"/>
  <c r="AB55" i="1"/>
  <c r="AB43" i="1"/>
  <c r="AB31" i="1"/>
  <c r="AB19" i="1"/>
  <c r="AD57" i="1"/>
  <c r="AD45" i="1"/>
  <c r="AD32" i="1"/>
  <c r="AD20" i="1"/>
  <c r="AE52" i="1"/>
  <c r="AE40" i="1"/>
  <c r="U66" i="1"/>
  <c r="U54" i="1"/>
  <c r="U42" i="1"/>
  <c r="U30" i="1"/>
  <c r="AB30" i="1"/>
  <c r="AB18" i="1"/>
  <c r="AD56" i="1"/>
  <c r="AD19" i="1"/>
  <c r="AE51" i="1"/>
  <c r="AE39" i="1"/>
  <c r="AE27" i="1"/>
  <c r="AE15" i="1"/>
  <c r="U65" i="1"/>
  <c r="U53" i="1"/>
  <c r="U41" i="1"/>
  <c r="U29" i="1"/>
  <c r="U17" i="1"/>
  <c r="U47" i="1"/>
  <c r="U35" i="1"/>
  <c r="U23" i="1"/>
  <c r="U22" i="1"/>
  <c r="U21" i="1"/>
  <c r="AB21" i="1"/>
  <c r="AE66" i="1"/>
  <c r="AE42" i="1"/>
  <c r="AE29" i="1"/>
  <c r="U67" i="1"/>
  <c r="U43" i="1"/>
  <c r="AE50" i="1"/>
  <c r="AB11" i="1"/>
  <c r="E10" i="1"/>
  <c r="F10" i="1"/>
  <c r="G10" i="1"/>
  <c r="D10" i="1"/>
  <c r="Z10" i="1"/>
  <c r="Y10" i="1"/>
  <c r="X10" i="1"/>
  <c r="W10" i="1"/>
  <c r="S10" i="1"/>
  <c r="Q10" i="1"/>
  <c r="P10" i="1"/>
  <c r="O10" i="1"/>
  <c r="N10" i="1"/>
  <c r="M10" i="1"/>
  <c r="L10" i="1"/>
  <c r="AH44" i="1" l="1"/>
  <c r="AE43" i="1"/>
  <c r="AE54" i="1"/>
  <c r="AH31" i="1"/>
  <c r="AE64" i="1"/>
  <c r="AH59" i="1"/>
  <c r="AE48" i="1"/>
  <c r="AE28" i="1"/>
  <c r="AE68" i="1"/>
  <c r="AE16" i="1"/>
  <c r="U25" i="1"/>
  <c r="U14" i="1"/>
  <c r="AB25" i="1"/>
  <c r="AE38" i="1"/>
  <c r="AE65" i="1"/>
  <c r="AE24" i="1"/>
  <c r="AB62" i="1"/>
  <c r="AB14" i="1"/>
  <c r="AH62" i="1"/>
  <c r="AE62" i="1"/>
  <c r="AH14" i="1"/>
  <c r="AE14" i="1"/>
  <c r="AH25" i="1"/>
  <c r="AE25" i="1"/>
  <c r="AD26" i="1"/>
  <c r="AE63" i="1"/>
  <c r="AB26" i="1"/>
  <c r="AD61" i="1"/>
  <c r="U61" i="1"/>
  <c r="AD18" i="1"/>
  <c r="U62" i="1"/>
  <c r="U63" i="1"/>
  <c r="AD60" i="1"/>
  <c r="R10" i="1"/>
  <c r="U60" i="1"/>
  <c r="AD17" i="1"/>
  <c r="AH32" i="1"/>
  <c r="AE32" i="1"/>
  <c r="AH47" i="1"/>
  <c r="AE47" i="1"/>
  <c r="AH23" i="1"/>
  <c r="AE23" i="1"/>
  <c r="AH19" i="1"/>
  <c r="AE19" i="1"/>
  <c r="AH56" i="1"/>
  <c r="AE56" i="1"/>
  <c r="AH20" i="1"/>
  <c r="AE20" i="1"/>
  <c r="AH22" i="1"/>
  <c r="AE22" i="1"/>
  <c r="AH45" i="1"/>
  <c r="AE45" i="1"/>
  <c r="AH57" i="1"/>
  <c r="AE57" i="1"/>
  <c r="AH46" i="1"/>
  <c r="AE46" i="1"/>
  <c r="AB10" i="1" l="1"/>
  <c r="AH26" i="1"/>
  <c r="AE26" i="1"/>
  <c r="AH18" i="1"/>
  <c r="AE18" i="1"/>
  <c r="AE61" i="1"/>
  <c r="AH61" i="1"/>
  <c r="AH60" i="1"/>
  <c r="AE60" i="1"/>
  <c r="AH17" i="1"/>
  <c r="AE17" i="1"/>
  <c r="AD10" i="1"/>
  <c r="AE10" i="1" l="1"/>
  <c r="AH10" i="1"/>
</calcChain>
</file>

<file path=xl/sharedStrings.xml><?xml version="1.0" encoding="utf-8"?>
<sst xmlns="http://schemas.openxmlformats.org/spreadsheetml/2006/main" count="163" uniqueCount="101">
  <si>
    <t>Ведомость по товарам на складах</t>
  </si>
  <si>
    <t>Период: 11.06.2026 - 18.06.2026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</si>
  <si>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</si>
  <si>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</si>
  <si>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</si>
  <si>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</si>
  <si>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</si>
  <si>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</si>
  <si>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</si>
  <si>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</si>
  <si>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</si>
  <si>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</si>
  <si>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</si>
  <si>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</si>
  <si>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</si>
  <si>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</si>
  <si>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</si>
  <si>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</si>
  <si>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</si>
  <si>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</si>
  <si>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</si>
  <si>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</si>
  <si>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</si>
  <si>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</si>
  <si>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Мини-сосиски в тесте 5кг ВЕС ТМ Зареченские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</si>
  <si>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</si>
  <si>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</si>
  <si>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</si>
  <si>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</si>
  <si>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</si>
  <si>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</si>
  <si>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</si>
  <si>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</si>
  <si>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п/ф ВЕС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</si>
  <si>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</si>
  <si>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</si>
  <si>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</si>
  <si>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</si>
  <si>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</si>
  <si>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</si>
  <si>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</si>
  <si>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</si>
  <si>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</si>
  <si>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</si>
  <si>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</si>
  <si>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</si>
  <si>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</si>
  <si>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</si>
  <si>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</si>
  <si>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</si>
  <si>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</si>
  <si>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</si>
  <si>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</si>
  <si>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</si>
  <si>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</si>
  <si>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</si>
  <si>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</si>
  <si>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</si>
  <si>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</si>
  <si>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</si>
  <si>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</si>
  <si>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</si>
  <si>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</si>
  <si>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</si>
  <si>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</si>
  <si>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</si>
  <si>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</si>
  <si>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</si>
  <si>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</si>
  <si>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</si>
  <si>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</si>
  <si>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</si>
  <si>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</si>
  <si>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</si>
  <si>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</si>
  <si>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</si>
  <si>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</si>
  <si>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 xml:space="preserve">заказ в пути </t>
  </si>
  <si>
    <t>ср нов</t>
  </si>
  <si>
    <t>расчет (потребность)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</si>
  <si>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</si>
  <si>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</si>
  <si>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</si>
  <si>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</si>
  <si>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</si>
  <si>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</si>
  <si>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</si>
  <si>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</si>
  <si>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</si>
  <si>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</si>
  <si>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</si>
  <si>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</si>
  <si>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</si>
  <si>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15,06,</t>
  </si>
  <si>
    <t>11,06,</t>
  </si>
  <si>
    <t>22,06,</t>
  </si>
  <si>
    <t>21,05,</t>
  </si>
  <si>
    <t>28,05,</t>
  </si>
  <si>
    <t>04,05,</t>
  </si>
  <si>
    <t>БОНУС</t>
  </si>
  <si>
    <t>18,06,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</si>
</sst>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FFFF00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64" fontId="0" fillId="0" borderId="3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64" fontId="0" fillId="0" borderId="0" xfId="0" applyNumberFormat="1"/>
    <xf numFmtId="164" fontId="0" fillId="0" borderId="0" xfId="0" applyNumberFormat="1" applyAlignment="1">
      <alignment horizontal="left"/>
    </xf>
    <xf numFmtId="2" fontId="3" fillId="3" borderId="0" xfId="1" applyNumberFormat="1" applyFont="1" applyFill="1"/>
    <xf numFmtId="164" fontId="3" fillId="3" borderId="0" xfId="1" applyNumberFormat="1" applyFont="1" applyFill="1"/>
    <xf numFmtId="164" fontId="4" fillId="4" borderId="0" xfId="1" applyNumberFormat="1" applyFont="1" applyFill="1"/>
    <xf numFmtId="164" fontId="3" fillId="5" borderId="0" xfId="1" applyNumberFormat="1" applyFont="1" applyFill="1"/>
    <xf numFmtId="164" fontId="3" fillId="4" borderId="0" xfId="1" applyNumberFormat="1" applyFont="1" applyFill="1"/>
    <xf numFmtId="165" fontId="4" fillId="3" borderId="0" xfId="1" applyNumberFormat="1" applyFont="1" applyFill="1"/>
    <xf numFmtId="165" fontId="3" fillId="3" borderId="0" xfId="1" applyNumberFormat="1" applyFont="1" applyFill="1"/>
    <xf numFmtId="2" fontId="2" fillId="0" borderId="0" xfId="1" applyNumberFormat="1"/>
    <xf numFmtId="164" fontId="2" fillId="0" borderId="0" xfId="1" applyNumberFormat="1"/>
    <xf numFmtId="164" fontId="2" fillId="4" borderId="0" xfId="1" applyNumberFormat="1" applyFill="1"/>
    <xf numFmtId="165" fontId="2" fillId="0" borderId="0" xfId="1" applyNumberFormat="1"/>
    <xf numFmtId="164" fontId="2" fillId="6" borderId="0" xfId="1" applyNumberFormat="1" applyFill="1"/>
    <xf numFmtId="165" fontId="2" fillId="6" borderId="0" xfId="1" applyNumberFormat="1" applyFill="1"/>
    <xf numFmtId="0" fontId="2" fillId="2" borderId="0" xfId="0" applyFont="1" applyFill="1" applyAlignment="1">
      <alignment horizontal="left" vertical="top"/>
    </xf>
    <xf numFmtId="166" fontId="0" fillId="0" borderId="0" xfId="0" applyNumberFormat="1"/>
    <xf numFmtId="164" fontId="6" fillId="0" borderId="5" xfId="0" applyNumberFormat="1" applyFont="1" applyBorder="1"/>
    <xf numFmtId="0" fontId="0" fillId="7" borderId="3" xfId="0" applyFill="1" applyBorder="1" applyAlignment="1">
      <alignment horizontal="left" vertical="top"/>
    </xf>
    <xf numFmtId="0" fontId="0" fillId="7" borderId="2" xfId="0" applyFill="1" applyBorder="1" applyAlignment="1">
      <alignment horizontal="left" vertical="top"/>
    </xf>
    <xf numFmtId="164" fontId="0" fillId="7" borderId="3" xfId="0" applyNumberFormat="1" applyFill="1" applyBorder="1" applyAlignment="1">
      <alignment horizontal="right" vertical="top"/>
    </xf>
    <xf numFmtId="164" fontId="0" fillId="7" borderId="2" xfId="0" applyNumberFormat="1" applyFill="1" applyBorder="1" applyAlignment="1">
      <alignment horizontal="right" vertical="top"/>
    </xf>
    <xf numFmtId="166" fontId="0" fillId="7" borderId="0" xfId="0" applyNumberFormat="1" applyFill="1"/>
    <xf numFmtId="164" fontId="0" fillId="7" borderId="0" xfId="0" applyNumberFormat="1" applyFill="1"/>
    <xf numFmtId="164" fontId="5" fillId="7" borderId="0" xfId="0" applyNumberFormat="1" applyFont="1" applyFill="1"/>
    <xf numFmtId="0" fontId="0" fillId="4" borderId="3" xfId="0" applyFill="1" applyBorder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164" fontId="0" fillId="4" borderId="3" xfId="0" applyNumberFormat="1" applyFill="1" applyBorder="1" applyAlignment="1">
      <alignment horizontal="right" vertical="top"/>
    </xf>
    <xf numFmtId="164" fontId="0" fillId="4" borderId="2" xfId="0" applyNumberFormat="1" applyFill="1" applyBorder="1" applyAlignment="1">
      <alignment horizontal="right" vertical="top"/>
    </xf>
    <xf numFmtId="166" fontId="0" fillId="4" borderId="0" xfId="0" applyNumberFormat="1" applyFill="1"/>
    <xf numFmtId="164" fontId="0" fillId="4" borderId="0" xfId="0" applyNumberFormat="1" applyFill="1"/>
  </cellXfs>
  <cellStyles count="2">
    <cellStyle name="Arial10px" xfId="1" xr:uid="{7F091B60-E689-487D-9CCC-388FC8191DEC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SI\Desktop\&#1044;&#1074;.%20&#1055;&#1086;&#1082;&#1086;&#1084;%20&#1047;&#1055;&#1060;%20&#1086;&#1090;%2011,06,26,%20&#1052;&#1077;&#1083;&#1080;&#1090;&#1086;&#1087;&#1086;&#1083;&#110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SI\Desktop\&#1047;&#1072;&#1082;&#1072;&#1079;&#1072;&#1085;&#1086;%20&#1055;&#1086;&#1082;&#1086;&#1084;%20%20&#8212;%20&#1082;&#1086;&#1087;&#1080;&#1103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50;&#1086;&#1087;&#1080;&#1103;%20&#1044;&#1074;%20&#1055;&#1086;&#1082;&#1086;&#1084;%20&#1047;&#1055;&#1060;%20%20&#1086;&#1090;%20180626%20&#1052;&#1077;&#1083;&#1080;&#1090;&#1086;&#1087;&#1086;&#1083;&#1100;.&#1041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04.06.2026 - 11.06.2026</v>
          </cell>
        </row>
        <row r="6">
          <cell r="A6" t="str">
            <v>Склад В списке "АСП1 ЗПФ Мелитополь" И
Номенклатура В группе из списка "ПОКОМ Логистический Партн..."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Начальный остаток</v>
          </cell>
          <cell r="E8" t="str">
            <v>Приход</v>
          </cell>
          <cell r="F8" t="str">
            <v>Расход</v>
          </cell>
          <cell r="G8" t="str">
            <v>Конечный остаток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 xml:space="preserve">заказ в пути </v>
          </cell>
          <cell r="Q8" t="str">
            <v>ср нов</v>
          </cell>
          <cell r="R8" t="str">
            <v>расчет (потребность)</v>
          </cell>
          <cell r="S8" t="str">
            <v>заказ филиала</v>
          </cell>
          <cell r="T8" t="str">
            <v>Комментарии филиала</v>
          </cell>
          <cell r="U8" t="str">
            <v>кон ост</v>
          </cell>
          <cell r="V8" t="str">
            <v>факт</v>
          </cell>
          <cell r="W8" t="str">
            <v>ср</v>
          </cell>
          <cell r="X8" t="str">
            <v>ср</v>
          </cell>
          <cell r="Y8" t="str">
            <v>ср</v>
          </cell>
          <cell r="Z8" t="str">
            <v>ср</v>
          </cell>
          <cell r="AA8" t="str">
            <v>комментарии</v>
          </cell>
          <cell r="AB8" t="str">
            <v>вес</v>
          </cell>
          <cell r="AC8" t="str">
            <v>крат кор</v>
          </cell>
          <cell r="AD8" t="str">
            <v>заказ кор.</v>
          </cell>
          <cell r="AE8" t="str">
            <v>ВЕС</v>
          </cell>
          <cell r="AF8" t="str">
            <v>ряд</v>
          </cell>
          <cell r="AG8" t="str">
            <v>паллет</v>
          </cell>
        </row>
        <row r="9">
          <cell r="P9" t="str">
            <v>08,06,</v>
          </cell>
          <cell r="Q9" t="str">
            <v>11,06,</v>
          </cell>
          <cell r="R9" t="str">
            <v>15,06,</v>
          </cell>
          <cell r="W9" t="str">
            <v>14,05,</v>
          </cell>
          <cell r="X9" t="str">
            <v>21,05,</v>
          </cell>
          <cell r="Y9" t="str">
            <v>28,05,</v>
          </cell>
          <cell r="Z9" t="str">
            <v>04,05,</v>
          </cell>
          <cell r="AB9" t="str">
            <v>15,06,</v>
          </cell>
        </row>
        <row r="10">
          <cell r="D10">
            <v>4885.3</v>
          </cell>
          <cell r="E10">
            <v>15565.8</v>
          </cell>
          <cell r="F10">
            <v>13280.300000000001</v>
          </cell>
          <cell r="G10">
            <v>6685.9000000000005</v>
          </cell>
          <cell r="L10">
            <v>18338.599999999999</v>
          </cell>
          <cell r="M10">
            <v>-5058.3</v>
          </cell>
          <cell r="N10">
            <v>0</v>
          </cell>
          <cell r="O10">
            <v>0</v>
          </cell>
          <cell r="P10">
            <v>14130</v>
          </cell>
          <cell r="Q10">
            <v>2656.0600000000004</v>
          </cell>
          <cell r="R10">
            <v>23935</v>
          </cell>
          <cell r="S10">
            <v>14465</v>
          </cell>
          <cell r="W10">
            <v>2872.18</v>
          </cell>
          <cell r="X10">
            <v>1746.4999999999995</v>
          </cell>
          <cell r="Y10">
            <v>224.85999999999999</v>
          </cell>
          <cell r="Z10">
            <v>539.78000000000009</v>
          </cell>
          <cell r="AB10">
            <v>10542.2</v>
          </cell>
          <cell r="AD10">
            <v>3042</v>
          </cell>
          <cell r="AE10">
            <v>10378.32</v>
          </cell>
        </row>
        <row r="11">
          <cell r="A11" t="str">
            <v>БОНУС_Готовые чебупели сочные с мясом ТМ Горячая штучка флоу-пак 0,24 кг  ПОКОМ</v>
          </cell>
          <cell r="B11" t="str">
            <v>шт</v>
          </cell>
          <cell r="C11">
            <v>0</v>
          </cell>
          <cell r="E11">
            <v>100</v>
          </cell>
          <cell r="F11">
            <v>3</v>
          </cell>
          <cell r="G11">
            <v>97</v>
          </cell>
          <cell r="H11">
            <v>0</v>
          </cell>
          <cell r="I11">
            <v>0</v>
          </cell>
          <cell r="J11" t="e">
            <v>#N/A</v>
          </cell>
          <cell r="L11">
            <v>8</v>
          </cell>
          <cell r="M11">
            <v>-5</v>
          </cell>
          <cell r="P11">
            <v>0</v>
          </cell>
          <cell r="Q11">
            <v>0.6</v>
          </cell>
          <cell r="T11">
            <v>0</v>
          </cell>
          <cell r="U11">
            <v>161.66666666666669</v>
          </cell>
          <cell r="V11">
            <v>161.66666666666669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 t="e">
            <v>#N/A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</row>
        <row r="12">
          <cell r="A12" t="str">
            <v>БОНУС_Пельмени Бульмени со сливочным маслом ТМ Горячая штучка флоу-пак сфера 0,7 кг .  Поком</v>
          </cell>
          <cell r="B12" t="str">
            <v>шт</v>
          </cell>
          <cell r="C12">
            <v>0</v>
          </cell>
          <cell r="E12">
            <v>75</v>
          </cell>
          <cell r="F12">
            <v>1</v>
          </cell>
          <cell r="G12">
            <v>74</v>
          </cell>
          <cell r="H12">
            <v>0</v>
          </cell>
          <cell r="I12">
            <v>0</v>
          </cell>
          <cell r="J12" t="e">
            <v>#N/A</v>
          </cell>
          <cell r="L12">
            <v>36</v>
          </cell>
          <cell r="M12">
            <v>-35</v>
          </cell>
          <cell r="P12">
            <v>0</v>
          </cell>
          <cell r="Q12">
            <v>0.2</v>
          </cell>
          <cell r="T12">
            <v>0</v>
          </cell>
          <cell r="U12">
            <v>370</v>
          </cell>
          <cell r="V12">
            <v>370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 t="e">
            <v>#N/A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</row>
        <row r="13">
          <cell r="A13" t="str">
            <v>БОНУС_Чебупицца курочка по-итальянски Горячая штучка 0,25 кг зам  ПОКОМ</v>
          </cell>
          <cell r="B13" t="str">
            <v>шт</v>
          </cell>
          <cell r="C13">
            <v>0</v>
          </cell>
          <cell r="E13">
            <v>125</v>
          </cell>
          <cell r="F13">
            <v>1</v>
          </cell>
          <cell r="G13">
            <v>124</v>
          </cell>
          <cell r="H13">
            <v>0</v>
          </cell>
          <cell r="I13">
            <v>0</v>
          </cell>
          <cell r="J13" t="e">
            <v>#N/A</v>
          </cell>
          <cell r="L13">
            <v>8</v>
          </cell>
          <cell r="M13">
            <v>-7</v>
          </cell>
          <cell r="P13">
            <v>0</v>
          </cell>
          <cell r="Q13">
            <v>0.2</v>
          </cell>
          <cell r="T13">
            <v>0</v>
          </cell>
          <cell r="U13">
            <v>620</v>
          </cell>
          <cell r="V13">
            <v>620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 t="e">
            <v>#N/A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</row>
        <row r="14">
          <cell r="A14" t="str">
            <v>Бульмени хрустящие с мясом ТМ Горячая штучка ТС Бульмени ГШ сфера 0,22 кг  Поком</v>
          </cell>
          <cell r="B14" t="str">
            <v>шт</v>
          </cell>
          <cell r="C14" t="str">
            <v>P005065</v>
          </cell>
          <cell r="E14">
            <v>168</v>
          </cell>
          <cell r="F14">
            <v>33</v>
          </cell>
          <cell r="G14">
            <v>135</v>
          </cell>
          <cell r="H14">
            <v>0.22</v>
          </cell>
          <cell r="I14">
            <v>0</v>
          </cell>
          <cell r="J14">
            <v>0</v>
          </cell>
          <cell r="L14">
            <v>45</v>
          </cell>
          <cell r="M14">
            <v>-12</v>
          </cell>
          <cell r="P14">
            <v>0</v>
          </cell>
          <cell r="Q14">
            <v>6.6</v>
          </cell>
          <cell r="T14">
            <v>0</v>
          </cell>
          <cell r="U14">
            <v>20.454545454545457</v>
          </cell>
          <cell r="V14">
            <v>20.454545454545457</v>
          </cell>
          <cell r="W14">
            <v>21.4</v>
          </cell>
          <cell r="X14">
            <v>12.2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12</v>
          </cell>
          <cell r="AD14">
            <v>0</v>
          </cell>
          <cell r="AE14">
            <v>0</v>
          </cell>
          <cell r="AF14">
            <v>14</v>
          </cell>
          <cell r="AG14">
            <v>70</v>
          </cell>
        </row>
        <row r="15">
          <cell r="A15" t="str">
            <v>Готовые бельмеши сочные с мясом ТМ Горячая штучка 0,3кг зам  ПОКОМ</v>
          </cell>
          <cell r="B15" t="str">
            <v>шт</v>
          </cell>
          <cell r="C15" t="str">
            <v>P004598</v>
          </cell>
          <cell r="F15">
            <v>270</v>
          </cell>
          <cell r="G15">
            <v>-270</v>
          </cell>
          <cell r="H15">
            <v>0.3</v>
          </cell>
          <cell r="I15">
            <v>180</v>
          </cell>
          <cell r="J15" t="str">
            <v>матрица</v>
          </cell>
          <cell r="L15">
            <v>429</v>
          </cell>
          <cell r="M15">
            <v>-159</v>
          </cell>
          <cell r="P15">
            <v>300</v>
          </cell>
          <cell r="Q15">
            <v>54</v>
          </cell>
          <cell r="R15">
            <v>600</v>
          </cell>
          <cell r="T15">
            <v>0</v>
          </cell>
          <cell r="U15">
            <v>11.666666666666666</v>
          </cell>
          <cell r="V15">
            <v>-5</v>
          </cell>
          <cell r="W15">
            <v>60.8</v>
          </cell>
          <cell r="X15">
            <v>53</v>
          </cell>
          <cell r="Y15">
            <v>0</v>
          </cell>
          <cell r="Z15">
            <v>0</v>
          </cell>
          <cell r="AA15">
            <v>0</v>
          </cell>
          <cell r="AB15">
            <v>180</v>
          </cell>
          <cell r="AC15">
            <v>12</v>
          </cell>
          <cell r="AD15">
            <v>56</v>
          </cell>
          <cell r="AE15">
            <v>201.6</v>
          </cell>
          <cell r="AF15">
            <v>14</v>
          </cell>
          <cell r="AG15">
            <v>70</v>
          </cell>
        </row>
        <row r="16">
          <cell r="A16" t="str">
            <v>Готовые чебуманы с говядиной ТМ горячая штучка 0,28 кг.  Поком</v>
          </cell>
          <cell r="B16" t="str">
            <v>шт</v>
          </cell>
          <cell r="C16" t="str">
            <v>P004597</v>
          </cell>
          <cell r="D16">
            <v>347</v>
          </cell>
          <cell r="E16">
            <v>9</v>
          </cell>
          <cell r="F16">
            <v>264</v>
          </cell>
          <cell r="G16">
            <v>92</v>
          </cell>
          <cell r="H16">
            <v>0.28000000000000003</v>
          </cell>
          <cell r="I16">
            <v>180</v>
          </cell>
          <cell r="J16" t="str">
            <v>матрица</v>
          </cell>
          <cell r="L16">
            <v>310</v>
          </cell>
          <cell r="M16">
            <v>-46</v>
          </cell>
          <cell r="P16">
            <v>300</v>
          </cell>
          <cell r="Q16">
            <v>52.8</v>
          </cell>
          <cell r="R16">
            <v>360</v>
          </cell>
          <cell r="T16">
            <v>0</v>
          </cell>
          <cell r="U16">
            <v>14.242424242424244</v>
          </cell>
          <cell r="V16">
            <v>1.7424242424242424</v>
          </cell>
          <cell r="W16">
            <v>65.8</v>
          </cell>
          <cell r="X16">
            <v>0</v>
          </cell>
          <cell r="Y16">
            <v>0</v>
          </cell>
          <cell r="Z16">
            <v>14.6</v>
          </cell>
          <cell r="AA16">
            <v>0</v>
          </cell>
          <cell r="AB16">
            <v>100.80000000000001</v>
          </cell>
          <cell r="AC16">
            <v>6</v>
          </cell>
          <cell r="AD16">
            <v>56</v>
          </cell>
          <cell r="AE16">
            <v>94.080000000000013</v>
          </cell>
          <cell r="AF16">
            <v>14</v>
          </cell>
          <cell r="AG16">
            <v>140</v>
          </cell>
        </row>
        <row r="17">
          <cell r="A17" t="str">
            <v>Готовые чебупели острые с мясом ТМ Горячая штучка флоу-пак 0,24 кг  Поком</v>
          </cell>
          <cell r="B17" t="str">
            <v>шт</v>
          </cell>
          <cell r="C17" t="str">
            <v>P004969</v>
          </cell>
          <cell r="D17">
            <v>110</v>
          </cell>
          <cell r="E17">
            <v>690</v>
          </cell>
          <cell r="F17">
            <v>411</v>
          </cell>
          <cell r="G17">
            <v>386</v>
          </cell>
          <cell r="H17">
            <v>0.24</v>
          </cell>
          <cell r="I17">
            <v>180</v>
          </cell>
          <cell r="J17" t="str">
            <v>матрица</v>
          </cell>
          <cell r="L17">
            <v>510</v>
          </cell>
          <cell r="M17">
            <v>-99</v>
          </cell>
          <cell r="P17">
            <v>600</v>
          </cell>
          <cell r="Q17">
            <v>82.2</v>
          </cell>
          <cell r="R17">
            <v>160</v>
          </cell>
          <cell r="T17">
            <v>0</v>
          </cell>
          <cell r="U17">
            <v>13.941605839416058</v>
          </cell>
          <cell r="V17">
            <v>4.6958637469586373</v>
          </cell>
          <cell r="W17">
            <v>57.4</v>
          </cell>
          <cell r="X17">
            <v>77.2</v>
          </cell>
          <cell r="Y17">
            <v>6.2</v>
          </cell>
          <cell r="Z17">
            <v>14</v>
          </cell>
          <cell r="AA17">
            <v>0</v>
          </cell>
          <cell r="AB17">
            <v>38.4</v>
          </cell>
          <cell r="AC17">
            <v>12</v>
          </cell>
          <cell r="AD17">
            <v>14</v>
          </cell>
          <cell r="AE17">
            <v>40.32</v>
          </cell>
          <cell r="AF17">
            <v>14</v>
          </cell>
          <cell r="AG17">
            <v>70</v>
          </cell>
        </row>
        <row r="18">
          <cell r="A18" t="str">
            <v>Готовые чебупели с ветчиной и сыром ТМ Горячая штучка флоу-пак 0,24 кг.  ПОКОМ</v>
          </cell>
          <cell r="B18" t="str">
            <v>шт</v>
          </cell>
          <cell r="C18" t="str">
            <v>P004971</v>
          </cell>
          <cell r="D18">
            <v>127</v>
          </cell>
          <cell r="E18">
            <v>684</v>
          </cell>
          <cell r="F18">
            <v>459</v>
          </cell>
          <cell r="G18">
            <v>349</v>
          </cell>
          <cell r="H18">
            <v>0.24</v>
          </cell>
          <cell r="I18">
            <v>180</v>
          </cell>
          <cell r="J18" t="str">
            <v>матрица</v>
          </cell>
          <cell r="L18">
            <v>585</v>
          </cell>
          <cell r="M18">
            <v>-126</v>
          </cell>
          <cell r="P18">
            <v>600</v>
          </cell>
          <cell r="Q18">
            <v>91.8</v>
          </cell>
          <cell r="R18">
            <v>310</v>
          </cell>
          <cell r="T18">
            <v>0</v>
          </cell>
          <cell r="U18">
            <v>13.714596949891067</v>
          </cell>
          <cell r="V18">
            <v>3.8017429193899783</v>
          </cell>
          <cell r="W18">
            <v>90</v>
          </cell>
          <cell r="X18">
            <v>29.2</v>
          </cell>
          <cell r="Y18">
            <v>0</v>
          </cell>
          <cell r="Z18">
            <v>10.6</v>
          </cell>
          <cell r="AA18">
            <v>0</v>
          </cell>
          <cell r="AB18">
            <v>74.399999999999991</v>
          </cell>
          <cell r="AC18">
            <v>12</v>
          </cell>
          <cell r="AD18">
            <v>28</v>
          </cell>
          <cell r="AE18">
            <v>80.64</v>
          </cell>
          <cell r="AF18">
            <v>14</v>
          </cell>
          <cell r="AG18">
            <v>70</v>
          </cell>
        </row>
        <row r="19">
          <cell r="A19" t="str">
            <v>Готовые чебупели с мясом ТМ Горячая штучка 0,24 кг  ПОКОМ</v>
          </cell>
          <cell r="B19" t="str">
            <v>шт</v>
          </cell>
          <cell r="C19" t="str">
            <v>P004974</v>
          </cell>
          <cell r="D19">
            <v>318</v>
          </cell>
          <cell r="E19">
            <v>9</v>
          </cell>
          <cell r="F19">
            <v>215</v>
          </cell>
          <cell r="G19">
            <v>109</v>
          </cell>
          <cell r="H19">
            <v>0.24</v>
          </cell>
          <cell r="I19">
            <v>180</v>
          </cell>
          <cell r="J19" t="str">
            <v>матрица</v>
          </cell>
          <cell r="L19">
            <v>251</v>
          </cell>
          <cell r="M19">
            <v>-36</v>
          </cell>
          <cell r="P19">
            <v>0</v>
          </cell>
          <cell r="Q19">
            <v>43</v>
          </cell>
          <cell r="R19">
            <v>480</v>
          </cell>
          <cell r="T19">
            <v>0</v>
          </cell>
          <cell r="U19">
            <v>13.697674418604651</v>
          </cell>
          <cell r="V19">
            <v>2.5348837209302326</v>
          </cell>
          <cell r="W19">
            <v>33.200000000000003</v>
          </cell>
          <cell r="X19">
            <v>0</v>
          </cell>
          <cell r="Y19">
            <v>0</v>
          </cell>
          <cell r="Z19">
            <v>20.399999999999999</v>
          </cell>
          <cell r="AA19">
            <v>0</v>
          </cell>
          <cell r="AB19">
            <v>115.19999999999999</v>
          </cell>
          <cell r="AC19">
            <v>12</v>
          </cell>
          <cell r="AD19">
            <v>42</v>
          </cell>
          <cell r="AE19">
            <v>120.96</v>
          </cell>
          <cell r="AF19">
            <v>14</v>
          </cell>
          <cell r="AG19">
            <v>70</v>
          </cell>
        </row>
        <row r="20">
          <cell r="A20" t="str">
            <v>Готовые чебупели сочные с мясом ТМ Горячая штучка флоу-пак 0,24 кг  ПОКОМ</v>
          </cell>
          <cell r="B20" t="str">
            <v>шт</v>
          </cell>
          <cell r="C20" t="str">
            <v>P004966</v>
          </cell>
          <cell r="D20">
            <v>28</v>
          </cell>
          <cell r="E20">
            <v>820</v>
          </cell>
          <cell r="F20">
            <v>507</v>
          </cell>
          <cell r="G20">
            <v>199</v>
          </cell>
          <cell r="H20">
            <v>0.24</v>
          </cell>
          <cell r="I20">
            <v>180</v>
          </cell>
          <cell r="J20" t="str">
            <v>матрица</v>
          </cell>
          <cell r="L20">
            <v>688</v>
          </cell>
          <cell r="M20">
            <v>-181</v>
          </cell>
          <cell r="P20">
            <v>600</v>
          </cell>
          <cell r="Q20">
            <v>101.4</v>
          </cell>
          <cell r="R20">
            <v>1000</v>
          </cell>
          <cell r="S20">
            <v>1100</v>
          </cell>
          <cell r="T20" t="str">
            <v>Промо сети-ртт</v>
          </cell>
          <cell r="U20">
            <v>17.741617357001971</v>
          </cell>
          <cell r="V20">
            <v>1.9625246548323469</v>
          </cell>
          <cell r="W20">
            <v>55.2</v>
          </cell>
          <cell r="X20">
            <v>0.2</v>
          </cell>
          <cell r="Y20">
            <v>0</v>
          </cell>
          <cell r="Z20">
            <v>13.6</v>
          </cell>
          <cell r="AA20">
            <v>0</v>
          </cell>
          <cell r="AB20">
            <v>240</v>
          </cell>
          <cell r="AC20">
            <v>12</v>
          </cell>
          <cell r="AD20">
            <v>84</v>
          </cell>
          <cell r="AE20">
            <v>241.92</v>
          </cell>
          <cell r="AF20">
            <v>14</v>
          </cell>
          <cell r="AG20">
            <v>70</v>
          </cell>
        </row>
        <row r="21">
          <cell r="A21" t="str">
            <v>Готовые чебупели сочные с мясом ТМ Горячая штучка флоу-пак 0,48 кг XXL  Поком</v>
          </cell>
          <cell r="B21" t="str">
            <v>шт</v>
          </cell>
          <cell r="C21" t="str">
            <v>P004595</v>
          </cell>
          <cell r="D21">
            <v>115</v>
          </cell>
          <cell r="E21">
            <v>120</v>
          </cell>
          <cell r="F21">
            <v>109</v>
          </cell>
          <cell r="G21">
            <v>126</v>
          </cell>
          <cell r="H21">
            <v>0.48</v>
          </cell>
          <cell r="I21">
            <v>180</v>
          </cell>
          <cell r="J21" t="str">
            <v>матрица</v>
          </cell>
          <cell r="L21">
            <v>138</v>
          </cell>
          <cell r="M21">
            <v>-29</v>
          </cell>
          <cell r="P21">
            <v>0</v>
          </cell>
          <cell r="Q21">
            <v>21.8</v>
          </cell>
          <cell r="R21">
            <v>160</v>
          </cell>
          <cell r="T21">
            <v>0</v>
          </cell>
          <cell r="U21">
            <v>13.119266055045872</v>
          </cell>
          <cell r="V21">
            <v>5.7798165137614674</v>
          </cell>
          <cell r="W21">
            <v>15.8</v>
          </cell>
          <cell r="X21">
            <v>0.6</v>
          </cell>
          <cell r="Y21">
            <v>6</v>
          </cell>
          <cell r="Z21">
            <v>5.8</v>
          </cell>
          <cell r="AA21">
            <v>0</v>
          </cell>
          <cell r="AB21">
            <v>76.8</v>
          </cell>
          <cell r="AC21">
            <v>8</v>
          </cell>
          <cell r="AD21">
            <v>14</v>
          </cell>
          <cell r="AE21">
            <v>53.76</v>
          </cell>
          <cell r="AF21">
            <v>14</v>
          </cell>
          <cell r="AG21">
            <v>70</v>
          </cell>
        </row>
        <row r="22">
          <cell r="A22" t="str">
            <v>Готовые чебуреки со свининой и говядиной ТМ Горячая штучка ТС Базовый ассортимент 0,36 кг  ПОКОМ</v>
          </cell>
          <cell r="B22" t="str">
            <v>шт</v>
          </cell>
          <cell r="C22" t="str">
            <v>P004583</v>
          </cell>
          <cell r="D22">
            <v>3</v>
          </cell>
          <cell r="E22">
            <v>140</v>
          </cell>
          <cell r="F22">
            <v>140</v>
          </cell>
          <cell r="G22">
            <v>3</v>
          </cell>
          <cell r="H22">
            <v>0.36</v>
          </cell>
          <cell r="I22">
            <v>180</v>
          </cell>
          <cell r="J22" t="str">
            <v>матрица</v>
          </cell>
          <cell r="L22">
            <v>506</v>
          </cell>
          <cell r="M22">
            <v>-366</v>
          </cell>
          <cell r="P22">
            <v>0</v>
          </cell>
          <cell r="Q22">
            <v>28</v>
          </cell>
          <cell r="R22">
            <v>660</v>
          </cell>
          <cell r="S22">
            <v>660</v>
          </cell>
          <cell r="T22" t="str">
            <v>Промо сети</v>
          </cell>
          <cell r="U22">
            <v>23.678571428571427</v>
          </cell>
          <cell r="V22">
            <v>0.10714285714285714</v>
          </cell>
          <cell r="W22">
            <v>54.6</v>
          </cell>
          <cell r="X22">
            <v>64.8</v>
          </cell>
          <cell r="Y22">
            <v>10.199999999999999</v>
          </cell>
          <cell r="Z22">
            <v>4.5999999999999996</v>
          </cell>
          <cell r="AA22">
            <v>0</v>
          </cell>
          <cell r="AB22">
            <v>237.6</v>
          </cell>
          <cell r="AC22">
            <v>10</v>
          </cell>
          <cell r="AD22">
            <v>70</v>
          </cell>
          <cell r="AE22">
            <v>252</v>
          </cell>
          <cell r="AF22">
            <v>14</v>
          </cell>
          <cell r="AG22">
            <v>70</v>
          </cell>
        </row>
        <row r="23">
          <cell r="A23" t="str">
            <v>Жареные вареники с картофелем и беконом ТМ Стародворье 0,2 кг  ПОКОМ</v>
          </cell>
          <cell r="B23" t="str">
            <v>шт</v>
          </cell>
          <cell r="C23" t="str">
            <v>P005129</v>
          </cell>
          <cell r="D23">
            <v>146</v>
          </cell>
          <cell r="E23">
            <v>2</v>
          </cell>
          <cell r="F23">
            <v>25</v>
          </cell>
          <cell r="G23">
            <v>123</v>
          </cell>
          <cell r="H23">
            <v>0.2</v>
          </cell>
          <cell r="I23">
            <v>0</v>
          </cell>
          <cell r="J23" t="e">
            <v>#N/A</v>
          </cell>
          <cell r="L23">
            <v>43</v>
          </cell>
          <cell r="M23">
            <v>-18</v>
          </cell>
          <cell r="P23">
            <v>0</v>
          </cell>
          <cell r="Q23">
            <v>5</v>
          </cell>
          <cell r="T23">
            <v>0</v>
          </cell>
          <cell r="U23">
            <v>24.6</v>
          </cell>
          <cell r="V23">
            <v>24.6</v>
          </cell>
          <cell r="W23">
            <v>3.4</v>
          </cell>
          <cell r="X23">
            <v>11.4</v>
          </cell>
          <cell r="Y23">
            <v>9.1999999999999993</v>
          </cell>
          <cell r="Z23">
            <v>11.6</v>
          </cell>
          <cell r="AA23" t="e">
            <v>#N/A</v>
          </cell>
          <cell r="AB23">
            <v>0</v>
          </cell>
          <cell r="AC23">
            <v>12</v>
          </cell>
          <cell r="AD23">
            <v>0</v>
          </cell>
          <cell r="AE23">
            <v>0</v>
          </cell>
          <cell r="AF23">
            <v>14</v>
          </cell>
          <cell r="AG23">
            <v>70</v>
          </cell>
        </row>
        <row r="24">
          <cell r="A24" t="str">
            <v>Круггетсы с сырным соусом ТМ Горячая штучка ТС Круггетсы флоу-пак 0,2 кг  ПОКОМ</v>
          </cell>
          <cell r="B24" t="str">
            <v>шт</v>
          </cell>
          <cell r="C24" t="str">
            <v>P004956</v>
          </cell>
          <cell r="E24">
            <v>672</v>
          </cell>
          <cell r="F24">
            <v>367</v>
          </cell>
          <cell r="G24">
            <v>305</v>
          </cell>
          <cell r="H24">
            <v>0.2</v>
          </cell>
          <cell r="I24">
            <v>0</v>
          </cell>
          <cell r="J24">
            <v>0</v>
          </cell>
          <cell r="L24">
            <v>580</v>
          </cell>
          <cell r="M24">
            <v>-213</v>
          </cell>
          <cell r="P24">
            <v>0</v>
          </cell>
          <cell r="Q24">
            <v>73.400000000000006</v>
          </cell>
          <cell r="R24">
            <v>660</v>
          </cell>
          <cell r="T24">
            <v>0</v>
          </cell>
          <cell r="U24">
            <v>13.147138964577655</v>
          </cell>
          <cell r="V24">
            <v>4.1553133514986369</v>
          </cell>
          <cell r="W24">
            <v>56.8</v>
          </cell>
          <cell r="X24">
            <v>53.4</v>
          </cell>
          <cell r="Y24">
            <v>0.2</v>
          </cell>
          <cell r="Z24">
            <v>0</v>
          </cell>
          <cell r="AA24">
            <v>0</v>
          </cell>
          <cell r="AB24">
            <v>132</v>
          </cell>
          <cell r="AC24">
            <v>2</v>
          </cell>
          <cell r="AD24">
            <v>336</v>
          </cell>
          <cell r="AE24">
            <v>134.4</v>
          </cell>
          <cell r="AF24">
            <v>14</v>
          </cell>
          <cell r="AG24">
            <v>70</v>
          </cell>
        </row>
        <row r="25">
          <cell r="A25" t="str">
            <v>Круггетсы сочные ТМ Горячая штучка ТС Круггетсы флоу-пак  0,2 кг.  ПОКОМ</v>
          </cell>
          <cell r="B25" t="str">
            <v>шт</v>
          </cell>
          <cell r="C25" t="str">
            <v>P004953</v>
          </cell>
          <cell r="D25">
            <v>29</v>
          </cell>
          <cell r="E25">
            <v>3</v>
          </cell>
          <cell r="F25">
            <v>32</v>
          </cell>
          <cell r="H25">
            <v>0.2</v>
          </cell>
          <cell r="I25" t="e">
            <v>#N/A</v>
          </cell>
          <cell r="J25" t="e">
            <v>#N/A</v>
          </cell>
          <cell r="L25">
            <v>57</v>
          </cell>
          <cell r="M25">
            <v>-25</v>
          </cell>
          <cell r="P25">
            <v>840</v>
          </cell>
          <cell r="Q25">
            <v>6.4</v>
          </cell>
          <cell r="R25">
            <v>720</v>
          </cell>
          <cell r="S25">
            <v>1000</v>
          </cell>
          <cell r="T25" t="str">
            <v>Промо сети-ртт</v>
          </cell>
          <cell r="U25">
            <v>243.75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6.2</v>
          </cell>
          <cell r="AA25" t="e">
            <v>#N/A</v>
          </cell>
          <cell r="AB25">
            <v>144</v>
          </cell>
          <cell r="AC25">
            <v>12</v>
          </cell>
          <cell r="AD25">
            <v>56</v>
          </cell>
          <cell r="AE25">
            <v>134.4</v>
          </cell>
          <cell r="AF25">
            <v>14</v>
          </cell>
          <cell r="AG25">
            <v>70</v>
          </cell>
        </row>
        <row r="26">
          <cell r="A26" t="str">
            <v>Мини-сосиски в тесте 5кг ВЕС ТМ Зареченские  ПОКОМ</v>
          </cell>
          <cell r="B26" t="str">
            <v>кг</v>
          </cell>
          <cell r="C26" t="str">
            <v>P005235</v>
          </cell>
          <cell r="E26">
            <v>140</v>
          </cell>
          <cell r="F26">
            <v>105</v>
          </cell>
          <cell r="G26">
            <v>30</v>
          </cell>
          <cell r="H26">
            <v>1</v>
          </cell>
          <cell r="I26">
            <v>0</v>
          </cell>
          <cell r="J26" t="e">
            <v>#N/A</v>
          </cell>
          <cell r="L26">
            <v>135</v>
          </cell>
          <cell r="M26">
            <v>-30</v>
          </cell>
          <cell r="P26">
            <v>120</v>
          </cell>
          <cell r="Q26">
            <v>21</v>
          </cell>
          <cell r="R26">
            <v>140</v>
          </cell>
          <cell r="T26">
            <v>0</v>
          </cell>
          <cell r="U26">
            <v>13.80952380952381</v>
          </cell>
          <cell r="V26">
            <v>1.4285714285714286</v>
          </cell>
          <cell r="W26">
            <v>34.200000000000003</v>
          </cell>
          <cell r="X26">
            <v>38</v>
          </cell>
          <cell r="Y26">
            <v>12</v>
          </cell>
          <cell r="Z26">
            <v>11</v>
          </cell>
          <cell r="AA26" t="e">
            <v>#N/A</v>
          </cell>
          <cell r="AB26">
            <v>140</v>
          </cell>
          <cell r="AC26">
            <v>4</v>
          </cell>
          <cell r="AD26">
            <v>42</v>
          </cell>
          <cell r="AE26">
            <v>168</v>
          </cell>
          <cell r="AF26">
            <v>14</v>
          </cell>
          <cell r="AG26">
            <v>120</v>
          </cell>
        </row>
        <row r="27">
          <cell r="A27" t="str">
            <v>Мини-чебуреки с мясом ТМ Зареченские ТС Зареченские продукты ПОКОМ</v>
          </cell>
          <cell r="B27" t="str">
            <v>кг</v>
          </cell>
          <cell r="C27" t="str">
            <v>P004358</v>
          </cell>
          <cell r="E27">
            <v>77</v>
          </cell>
          <cell r="F27">
            <v>54.5</v>
          </cell>
          <cell r="G27">
            <v>22.5</v>
          </cell>
          <cell r="H27">
            <v>1</v>
          </cell>
          <cell r="I27">
            <v>180</v>
          </cell>
          <cell r="J27" t="str">
            <v>матрица</v>
          </cell>
          <cell r="L27">
            <v>76.5</v>
          </cell>
          <cell r="M27">
            <v>-22</v>
          </cell>
          <cell r="P27">
            <v>270</v>
          </cell>
          <cell r="Q27">
            <v>10.9</v>
          </cell>
          <cell r="T27">
            <v>0</v>
          </cell>
          <cell r="U27">
            <v>26.834862385321099</v>
          </cell>
          <cell r="V27">
            <v>2.0642201834862384</v>
          </cell>
          <cell r="W27">
            <v>12.1</v>
          </cell>
          <cell r="X27">
            <v>9.9</v>
          </cell>
          <cell r="Y27">
            <v>5.5</v>
          </cell>
          <cell r="Z27">
            <v>9.9</v>
          </cell>
          <cell r="AA27" t="str">
            <v>сети</v>
          </cell>
          <cell r="AB27">
            <v>0</v>
          </cell>
          <cell r="AC27">
            <v>5.5</v>
          </cell>
          <cell r="AD27">
            <v>0</v>
          </cell>
          <cell r="AE27">
            <v>0</v>
          </cell>
          <cell r="AF27">
            <v>12</v>
          </cell>
          <cell r="AG27">
            <v>84</v>
          </cell>
        </row>
        <row r="28">
          <cell r="A28" t="str">
            <v>Мини-шарики с курочкой и сыром ТМ Зареченские ВЕС ПОКОМ</v>
          </cell>
          <cell r="B28" t="str">
            <v>кг</v>
          </cell>
          <cell r="C28" t="str">
            <v>P004394</v>
          </cell>
          <cell r="E28">
            <v>42</v>
          </cell>
          <cell r="F28">
            <v>43.4</v>
          </cell>
          <cell r="G28">
            <v>-1.4</v>
          </cell>
          <cell r="H28">
            <v>1</v>
          </cell>
          <cell r="I28">
            <v>180</v>
          </cell>
          <cell r="J28" t="str">
            <v>матрица</v>
          </cell>
          <cell r="L28">
            <v>52.4</v>
          </cell>
          <cell r="M28">
            <v>-9</v>
          </cell>
          <cell r="P28">
            <v>0</v>
          </cell>
          <cell r="Q28">
            <v>8.68</v>
          </cell>
          <cell r="R28">
            <v>155</v>
          </cell>
          <cell r="S28">
            <v>155</v>
          </cell>
          <cell r="T28">
            <v>0</v>
          </cell>
          <cell r="U28">
            <v>17.695852534562214</v>
          </cell>
          <cell r="V28">
            <v>-0.16129032258064516</v>
          </cell>
          <cell r="W28">
            <v>17.080000000000002</v>
          </cell>
          <cell r="X28">
            <v>4.2</v>
          </cell>
          <cell r="Y28">
            <v>0</v>
          </cell>
          <cell r="Z28">
            <v>4.2</v>
          </cell>
          <cell r="AA28">
            <v>0</v>
          </cell>
          <cell r="AB28">
            <v>155</v>
          </cell>
          <cell r="AC28">
            <v>3</v>
          </cell>
          <cell r="AD28">
            <v>56</v>
          </cell>
          <cell r="AE28">
            <v>168</v>
          </cell>
          <cell r="AF28">
            <v>14</v>
          </cell>
          <cell r="AG28">
            <v>126</v>
          </cell>
        </row>
        <row r="29">
          <cell r="A29" t="str">
            <v>Наггетсы из печи 0,25кг ТМ Вязанка замор.  ПОКОМ</v>
          </cell>
          <cell r="B29" t="str">
            <v>шт</v>
          </cell>
          <cell r="C29" t="str">
            <v>P004497</v>
          </cell>
          <cell r="D29">
            <v>8</v>
          </cell>
          <cell r="E29">
            <v>3</v>
          </cell>
          <cell r="F29">
            <v>350</v>
          </cell>
          <cell r="G29">
            <v>-339</v>
          </cell>
          <cell r="H29">
            <v>0.25</v>
          </cell>
          <cell r="I29">
            <v>365</v>
          </cell>
          <cell r="J29" t="str">
            <v>матрица</v>
          </cell>
          <cell r="L29">
            <v>553</v>
          </cell>
          <cell r="M29">
            <v>-203</v>
          </cell>
          <cell r="P29">
            <v>800</v>
          </cell>
          <cell r="Q29">
            <v>70</v>
          </cell>
          <cell r="R29">
            <v>1100</v>
          </cell>
          <cell r="S29">
            <v>1300</v>
          </cell>
          <cell r="T29" t="str">
            <v>Промо сети-промо ртт</v>
          </cell>
          <cell r="U29">
            <v>22.3</v>
          </cell>
          <cell r="V29">
            <v>-4.8428571428571425</v>
          </cell>
          <cell r="W29">
            <v>122.2</v>
          </cell>
          <cell r="X29">
            <v>86.2</v>
          </cell>
          <cell r="Y29">
            <v>0</v>
          </cell>
          <cell r="Z29">
            <v>10.4</v>
          </cell>
          <cell r="AA29">
            <v>0</v>
          </cell>
          <cell r="AB29">
            <v>275</v>
          </cell>
          <cell r="AC29">
            <v>12</v>
          </cell>
          <cell r="AD29">
            <v>98</v>
          </cell>
          <cell r="AE29">
            <v>294</v>
          </cell>
          <cell r="AF29">
            <v>14</v>
          </cell>
          <cell r="AG29">
            <v>70</v>
          </cell>
        </row>
        <row r="30">
          <cell r="A30" t="str">
            <v>Наггетсы Нагетосы Сочная курочка со сметаной и зеленью ТМ Горячая штучка флоу-пак 0,25 кг  Поком</v>
          </cell>
          <cell r="B30" t="str">
            <v>шт</v>
          </cell>
          <cell r="C30" t="str">
            <v>P004600</v>
          </cell>
          <cell r="D30">
            <v>5</v>
          </cell>
          <cell r="E30">
            <v>3</v>
          </cell>
          <cell r="F30">
            <v>18</v>
          </cell>
          <cell r="G30">
            <v>-10</v>
          </cell>
          <cell r="H30">
            <v>0.25</v>
          </cell>
          <cell r="I30">
            <v>180</v>
          </cell>
          <cell r="J30" t="str">
            <v>матрица</v>
          </cell>
          <cell r="L30">
            <v>18</v>
          </cell>
          <cell r="M30">
            <v>0</v>
          </cell>
          <cell r="P30">
            <v>300</v>
          </cell>
          <cell r="Q30">
            <v>3.6</v>
          </cell>
          <cell r="R30">
            <v>400</v>
          </cell>
          <cell r="S30">
            <v>400</v>
          </cell>
          <cell r="T30" t="str">
            <v>Промо сети</v>
          </cell>
          <cell r="U30">
            <v>191.66666666666666</v>
          </cell>
          <cell r="V30">
            <v>-2.7777777777777777</v>
          </cell>
          <cell r="W30">
            <v>22.6</v>
          </cell>
          <cell r="X30">
            <v>26.8</v>
          </cell>
          <cell r="Y30">
            <v>25</v>
          </cell>
          <cell r="Z30">
            <v>14.6</v>
          </cell>
          <cell r="AA30">
            <v>0</v>
          </cell>
          <cell r="AB30">
            <v>100</v>
          </cell>
          <cell r="AC30">
            <v>6</v>
          </cell>
          <cell r="AD30">
            <v>70</v>
          </cell>
          <cell r="AE30">
            <v>105</v>
          </cell>
          <cell r="AF30">
            <v>14</v>
          </cell>
          <cell r="AG30">
            <v>140</v>
          </cell>
        </row>
        <row r="31">
          <cell r="A31" t="str">
            <v>Наггетсы Нагетосы Сочная курочка ТМ Горячая штучка 0,25 кг зам  ПОКОМ</v>
          </cell>
          <cell r="B31" t="str">
            <v>шт</v>
          </cell>
          <cell r="C31" t="str">
            <v>P004602</v>
          </cell>
          <cell r="D31">
            <v>-12</v>
          </cell>
          <cell r="F31">
            <v>323</v>
          </cell>
          <cell r="G31">
            <v>-335</v>
          </cell>
          <cell r="H31">
            <v>0.25</v>
          </cell>
          <cell r="I31">
            <v>180</v>
          </cell>
          <cell r="J31" t="str">
            <v>матрица</v>
          </cell>
          <cell r="L31">
            <v>517</v>
          </cell>
          <cell r="M31">
            <v>-194</v>
          </cell>
          <cell r="P31">
            <v>600</v>
          </cell>
          <cell r="Q31">
            <v>64.599999999999994</v>
          </cell>
          <cell r="R31">
            <v>800</v>
          </cell>
          <cell r="S31">
            <v>800</v>
          </cell>
          <cell r="T31">
            <v>0</v>
          </cell>
          <cell r="U31">
            <v>16.486068111455111</v>
          </cell>
          <cell r="V31">
            <v>-5.1857585139318889</v>
          </cell>
          <cell r="W31">
            <v>125.2</v>
          </cell>
          <cell r="X31">
            <v>42.6</v>
          </cell>
          <cell r="Y31">
            <v>0</v>
          </cell>
          <cell r="Z31">
            <v>2.4</v>
          </cell>
          <cell r="AA31" t="str">
            <v>Мера</v>
          </cell>
          <cell r="AB31">
            <v>200</v>
          </cell>
          <cell r="AC31">
            <v>6</v>
          </cell>
          <cell r="AD31">
            <v>140</v>
          </cell>
          <cell r="AE31">
            <v>210</v>
          </cell>
          <cell r="AF31">
            <v>14</v>
          </cell>
          <cell r="AG31">
            <v>140</v>
          </cell>
        </row>
        <row r="32">
          <cell r="A32" t="str">
            <v>Наггетсы с индейкой 0,25кг ТМ Вязанка ТС Из печи Сливушки ПОКОМ</v>
          </cell>
          <cell r="B32" t="str">
            <v>шт</v>
          </cell>
          <cell r="C32" t="str">
            <v>P004496</v>
          </cell>
          <cell r="D32">
            <v>425</v>
          </cell>
          <cell r="E32">
            <v>844</v>
          </cell>
          <cell r="F32">
            <v>664</v>
          </cell>
          <cell r="G32">
            <v>593</v>
          </cell>
          <cell r="H32">
            <v>0.25</v>
          </cell>
          <cell r="I32">
            <v>365</v>
          </cell>
          <cell r="J32" t="str">
            <v>матрица</v>
          </cell>
          <cell r="L32">
            <v>721</v>
          </cell>
          <cell r="M32">
            <v>-57</v>
          </cell>
          <cell r="P32">
            <v>600</v>
          </cell>
          <cell r="Q32">
            <v>132.80000000000001</v>
          </cell>
          <cell r="R32">
            <v>500</v>
          </cell>
          <cell r="T32">
            <v>0</v>
          </cell>
          <cell r="U32">
            <v>12.748493975903614</v>
          </cell>
          <cell r="V32">
            <v>4.4653614457831319</v>
          </cell>
          <cell r="W32">
            <v>103</v>
          </cell>
          <cell r="X32">
            <v>110.8</v>
          </cell>
          <cell r="Y32">
            <v>9.8000000000000007</v>
          </cell>
          <cell r="Z32">
            <v>11</v>
          </cell>
          <cell r="AA32">
            <v>0</v>
          </cell>
          <cell r="AB32">
            <v>125</v>
          </cell>
          <cell r="AC32">
            <v>12</v>
          </cell>
          <cell r="AD32">
            <v>42</v>
          </cell>
          <cell r="AE32">
            <v>126</v>
          </cell>
          <cell r="AF32">
            <v>14</v>
          </cell>
          <cell r="AG32">
            <v>70</v>
          </cell>
        </row>
        <row r="33">
          <cell r="A33" t="str">
            <v>Наггетсы с куриным филе и сыром ТМ Вязанка ТС Из печи Сливушки 0,25 кг.  Поком</v>
          </cell>
          <cell r="B33" t="str">
            <v>шт</v>
          </cell>
          <cell r="C33" t="str">
            <v>P004535</v>
          </cell>
          <cell r="D33">
            <v>276</v>
          </cell>
          <cell r="E33">
            <v>679</v>
          </cell>
          <cell r="F33">
            <v>644</v>
          </cell>
          <cell r="G33">
            <v>311</v>
          </cell>
          <cell r="H33">
            <v>0.25</v>
          </cell>
          <cell r="I33">
            <v>180</v>
          </cell>
          <cell r="J33" t="str">
            <v>матрица</v>
          </cell>
          <cell r="L33">
            <v>697</v>
          </cell>
          <cell r="M33">
            <v>-53</v>
          </cell>
          <cell r="P33">
            <v>600</v>
          </cell>
          <cell r="Q33">
            <v>128.80000000000001</v>
          </cell>
          <cell r="R33">
            <v>700</v>
          </cell>
          <cell r="T33">
            <v>0</v>
          </cell>
          <cell r="U33">
            <v>12.507763975155278</v>
          </cell>
          <cell r="V33">
            <v>2.4145962732919251</v>
          </cell>
          <cell r="W33">
            <v>99.4</v>
          </cell>
          <cell r="X33">
            <v>30.2</v>
          </cell>
          <cell r="Y33">
            <v>0</v>
          </cell>
          <cell r="Z33">
            <v>28.8</v>
          </cell>
          <cell r="AA33" t="str">
            <v>сети</v>
          </cell>
          <cell r="AB33">
            <v>175</v>
          </cell>
          <cell r="AC33">
            <v>12</v>
          </cell>
          <cell r="AD33">
            <v>56</v>
          </cell>
          <cell r="AE33">
            <v>168</v>
          </cell>
          <cell r="AF33">
            <v>14</v>
          </cell>
          <cell r="AG33">
            <v>70</v>
          </cell>
        </row>
        <row r="34">
          <cell r="A34" t="str">
            <v>Наггетсы хрустящие п/ф ВЕС ПОКОМ</v>
          </cell>
          <cell r="B34" t="str">
            <v>кг</v>
          </cell>
          <cell r="C34">
            <v>0</v>
          </cell>
          <cell r="D34">
            <v>390</v>
          </cell>
          <cell r="F34">
            <v>144</v>
          </cell>
          <cell r="G34">
            <v>246</v>
          </cell>
          <cell r="H34">
            <v>1</v>
          </cell>
          <cell r="I34" t="e">
            <v>#N/A</v>
          </cell>
          <cell r="J34" t="e">
            <v>#N/A</v>
          </cell>
          <cell r="L34">
            <v>148</v>
          </cell>
          <cell r="M34">
            <v>-4</v>
          </cell>
          <cell r="P34">
            <v>0</v>
          </cell>
          <cell r="Q34">
            <v>28.8</v>
          </cell>
          <cell r="R34">
            <v>140</v>
          </cell>
          <cell r="T34">
            <v>0</v>
          </cell>
          <cell r="U34">
            <v>13.402777777777777</v>
          </cell>
          <cell r="V34">
            <v>8.5416666666666661</v>
          </cell>
          <cell r="W34">
            <v>0</v>
          </cell>
          <cell r="X34">
            <v>0</v>
          </cell>
          <cell r="Y34">
            <v>0</v>
          </cell>
          <cell r="Z34">
            <v>15.6</v>
          </cell>
          <cell r="AA34" t="e">
            <v>#N/A</v>
          </cell>
          <cell r="AB34">
            <v>140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A35" t="str">
            <v>Наггетсы Хрустящие ТМ Зареченские ТС Зареченские продукты. Поком</v>
          </cell>
          <cell r="B35" t="str">
            <v>кг</v>
          </cell>
          <cell r="C35" t="str">
            <v>P003486</v>
          </cell>
          <cell r="E35">
            <v>216</v>
          </cell>
          <cell r="F35">
            <v>162</v>
          </cell>
          <cell r="G35">
            <v>54</v>
          </cell>
          <cell r="H35">
            <v>1</v>
          </cell>
          <cell r="I35">
            <v>0</v>
          </cell>
          <cell r="J35">
            <v>0</v>
          </cell>
          <cell r="L35">
            <v>191</v>
          </cell>
          <cell r="M35">
            <v>-29</v>
          </cell>
          <cell r="P35">
            <v>0</v>
          </cell>
          <cell r="Q35">
            <v>32.4</v>
          </cell>
          <cell r="R35">
            <v>360</v>
          </cell>
          <cell r="T35">
            <v>0</v>
          </cell>
          <cell r="U35">
            <v>12.777777777777779</v>
          </cell>
          <cell r="V35">
            <v>1.6666666666666667</v>
          </cell>
          <cell r="W35">
            <v>56.4</v>
          </cell>
          <cell r="X35">
            <v>39.6</v>
          </cell>
          <cell r="Y35">
            <v>0</v>
          </cell>
          <cell r="Z35">
            <v>0</v>
          </cell>
          <cell r="AA35">
            <v>0</v>
          </cell>
          <cell r="AB35">
            <v>360</v>
          </cell>
          <cell r="AC35">
            <v>3</v>
          </cell>
          <cell r="AD35">
            <v>120</v>
          </cell>
          <cell r="AE35">
            <v>360</v>
          </cell>
          <cell r="AF35">
            <v>12</v>
          </cell>
          <cell r="AG35">
            <v>84</v>
          </cell>
        </row>
        <row r="36">
          <cell r="A36" t="str">
            <v>Наггетсы Хрустящие ТМ Стародворье с сочной курочкой 0,23 кг  ПОКОМ</v>
          </cell>
          <cell r="B36" t="str">
            <v>шт</v>
          </cell>
          <cell r="C36" t="str">
            <v>P005043</v>
          </cell>
          <cell r="D36">
            <v>131</v>
          </cell>
          <cell r="E36">
            <v>345</v>
          </cell>
          <cell r="F36">
            <v>100</v>
          </cell>
          <cell r="G36">
            <v>376</v>
          </cell>
          <cell r="H36">
            <v>0.23</v>
          </cell>
          <cell r="I36">
            <v>180</v>
          </cell>
          <cell r="J36" t="str">
            <v>матрица</v>
          </cell>
          <cell r="L36">
            <v>100</v>
          </cell>
          <cell r="M36">
            <v>0</v>
          </cell>
          <cell r="P36">
            <v>0</v>
          </cell>
          <cell r="Q36">
            <v>20</v>
          </cell>
          <cell r="T36">
            <v>0</v>
          </cell>
          <cell r="U36">
            <v>18.8</v>
          </cell>
          <cell r="V36">
            <v>18.8</v>
          </cell>
          <cell r="W36">
            <v>14.8</v>
          </cell>
          <cell r="X36">
            <v>17.2</v>
          </cell>
          <cell r="Y36">
            <v>1.8</v>
          </cell>
          <cell r="Z36">
            <v>7.4</v>
          </cell>
          <cell r="AA36">
            <v>0</v>
          </cell>
          <cell r="AB36">
            <v>0</v>
          </cell>
          <cell r="AC36">
            <v>12</v>
          </cell>
          <cell r="AD36">
            <v>0</v>
          </cell>
          <cell r="AE36">
            <v>0</v>
          </cell>
          <cell r="AF36">
            <v>14</v>
          </cell>
          <cell r="AG36">
            <v>70</v>
          </cell>
        </row>
        <row r="37">
          <cell r="A37" t="str">
            <v>Пекерсы с индейкой в сливочном соусе ТМ Горячая штучка 0,25 кг зам  ПОКОМ</v>
          </cell>
          <cell r="B37" t="str">
            <v>шт</v>
          </cell>
          <cell r="C37" t="str">
            <v>P004594</v>
          </cell>
          <cell r="D37">
            <v>16</v>
          </cell>
          <cell r="E37">
            <v>8</v>
          </cell>
          <cell r="F37">
            <v>24</v>
          </cell>
          <cell r="H37">
            <v>0.25</v>
          </cell>
          <cell r="I37" t="e">
            <v>#N/A</v>
          </cell>
          <cell r="J37" t="e">
            <v>#N/A</v>
          </cell>
          <cell r="L37">
            <v>29</v>
          </cell>
          <cell r="M37">
            <v>-5</v>
          </cell>
          <cell r="P37">
            <v>400</v>
          </cell>
          <cell r="Q37">
            <v>4.8</v>
          </cell>
          <cell r="R37">
            <v>250</v>
          </cell>
          <cell r="S37">
            <v>250</v>
          </cell>
          <cell r="T37">
            <v>0</v>
          </cell>
          <cell r="U37">
            <v>135.41666666666669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8.8000000000000007</v>
          </cell>
          <cell r="AA37" t="e">
            <v>#N/A</v>
          </cell>
          <cell r="AB37">
            <v>62.5</v>
          </cell>
          <cell r="AC37">
            <v>12</v>
          </cell>
          <cell r="AD37">
            <v>14</v>
          </cell>
          <cell r="AE37">
            <v>42</v>
          </cell>
          <cell r="AF37">
            <v>14</v>
          </cell>
          <cell r="AG37">
            <v>70</v>
          </cell>
        </row>
        <row r="38">
          <cell r="A38" t="str">
            <v>Пельмени Grandmeni с говядиной и свининой ТМ Горячаяштучка флоу-па классическая форма 0,7 кг.  Поком</v>
          </cell>
          <cell r="B38" t="str">
            <v>шт</v>
          </cell>
          <cell r="C38" t="str">
            <v>P004889</v>
          </cell>
          <cell r="D38">
            <v>15</v>
          </cell>
          <cell r="E38">
            <v>104</v>
          </cell>
          <cell r="F38">
            <v>61</v>
          </cell>
          <cell r="G38">
            <v>50</v>
          </cell>
          <cell r="H38">
            <v>0.7</v>
          </cell>
          <cell r="I38">
            <v>180</v>
          </cell>
          <cell r="J38" t="str">
            <v>матрица</v>
          </cell>
          <cell r="L38">
            <v>91</v>
          </cell>
          <cell r="M38">
            <v>-30</v>
          </cell>
          <cell r="P38">
            <v>300</v>
          </cell>
          <cell r="Q38">
            <v>12.2</v>
          </cell>
          <cell r="R38">
            <v>200</v>
          </cell>
          <cell r="S38">
            <v>200</v>
          </cell>
          <cell r="T38">
            <v>0</v>
          </cell>
          <cell r="U38">
            <v>45.081967213114758</v>
          </cell>
          <cell r="V38">
            <v>4.0983606557377055</v>
          </cell>
          <cell r="W38">
            <v>12.6</v>
          </cell>
          <cell r="X38">
            <v>9</v>
          </cell>
          <cell r="Y38">
            <v>0</v>
          </cell>
          <cell r="Z38">
            <v>1.6</v>
          </cell>
          <cell r="AA38">
            <v>0</v>
          </cell>
          <cell r="AB38">
            <v>140</v>
          </cell>
          <cell r="AC38">
            <v>8</v>
          </cell>
          <cell r="AD38">
            <v>24</v>
          </cell>
          <cell r="AE38">
            <v>134.39999999999998</v>
          </cell>
          <cell r="AF38">
            <v>12</v>
          </cell>
          <cell r="AG38">
            <v>84</v>
          </cell>
        </row>
        <row r="39">
          <cell r="A39" t="str">
            <v>Пельмени Grandmeni с говядиной ТМ Горячаяштучка флоу-пак сфера 0,7 кг.  Поком</v>
          </cell>
          <cell r="B39" t="str">
            <v>шт</v>
          </cell>
          <cell r="C39" t="str">
            <v>P004887</v>
          </cell>
          <cell r="E39">
            <v>96</v>
          </cell>
          <cell r="F39">
            <v>73</v>
          </cell>
          <cell r="G39">
            <v>23</v>
          </cell>
          <cell r="H39">
            <v>0.7</v>
          </cell>
          <cell r="I39">
            <v>0</v>
          </cell>
          <cell r="J39">
            <v>0</v>
          </cell>
          <cell r="L39">
            <v>91</v>
          </cell>
          <cell r="M39">
            <v>-18</v>
          </cell>
          <cell r="P39">
            <v>0</v>
          </cell>
          <cell r="Q39">
            <v>14.6</v>
          </cell>
          <cell r="R39">
            <v>180</v>
          </cell>
          <cell r="T39">
            <v>0</v>
          </cell>
          <cell r="U39">
            <v>13.904109589041097</v>
          </cell>
          <cell r="V39">
            <v>1.5753424657534247</v>
          </cell>
          <cell r="W39">
            <v>16.600000000000001</v>
          </cell>
          <cell r="X39">
            <v>18.2</v>
          </cell>
          <cell r="Y39">
            <v>0</v>
          </cell>
          <cell r="Z39">
            <v>0</v>
          </cell>
          <cell r="AA39">
            <v>0</v>
          </cell>
          <cell r="AB39">
            <v>125.99999999999999</v>
          </cell>
          <cell r="AC39">
            <v>4</v>
          </cell>
          <cell r="AD39">
            <v>48</v>
          </cell>
          <cell r="AE39">
            <v>134.39999999999998</v>
          </cell>
          <cell r="AF39">
            <v>12</v>
          </cell>
          <cell r="AG39">
            <v>84</v>
          </cell>
        </row>
        <row r="40">
          <cell r="A40" t="str">
            <v>Пельмени Grandmeni со сливочным маслом  ТМ Горячая штучка флоу-пак сфера 0,7 кг.  Поком</v>
          </cell>
          <cell r="B40" t="str">
            <v>шт</v>
          </cell>
          <cell r="C40" t="str">
            <v>P004888</v>
          </cell>
          <cell r="E40">
            <v>192</v>
          </cell>
          <cell r="F40">
            <v>80</v>
          </cell>
          <cell r="G40">
            <v>112</v>
          </cell>
          <cell r="H40">
            <v>0.7</v>
          </cell>
          <cell r="I40">
            <v>180</v>
          </cell>
          <cell r="J40" t="str">
            <v>матрица</v>
          </cell>
          <cell r="L40">
            <v>109</v>
          </cell>
          <cell r="M40">
            <v>-29</v>
          </cell>
          <cell r="P40">
            <v>150</v>
          </cell>
          <cell r="Q40">
            <v>16</v>
          </cell>
          <cell r="R40">
            <v>100</v>
          </cell>
          <cell r="S40">
            <v>100</v>
          </cell>
          <cell r="T40">
            <v>0</v>
          </cell>
          <cell r="U40">
            <v>22.625</v>
          </cell>
          <cell r="V40">
            <v>7</v>
          </cell>
          <cell r="W40">
            <v>22.2</v>
          </cell>
          <cell r="X40">
            <v>25.2</v>
          </cell>
          <cell r="Y40">
            <v>0</v>
          </cell>
          <cell r="Z40">
            <v>0</v>
          </cell>
          <cell r="AA40">
            <v>0</v>
          </cell>
          <cell r="AB40">
            <v>70</v>
          </cell>
          <cell r="AC40">
            <v>8</v>
          </cell>
          <cell r="AD40">
            <v>12</v>
          </cell>
          <cell r="AE40">
            <v>67.199999999999989</v>
          </cell>
          <cell r="AF40">
            <v>12</v>
          </cell>
          <cell r="AG40">
            <v>84</v>
          </cell>
        </row>
        <row r="41">
          <cell r="A41" t="str">
            <v>Пельмени Бигбули #МЕГАВКУСИЩЕ с сочной грудинкой  ТМ Горячая штучка  флоу-пак сфера 0,7 кг.  Поком</v>
          </cell>
          <cell r="B41" t="str">
            <v>шт</v>
          </cell>
          <cell r="C41" t="str">
            <v>P004440</v>
          </cell>
          <cell r="D41">
            <v>35</v>
          </cell>
          <cell r="E41">
            <v>22</v>
          </cell>
          <cell r="F41">
            <v>39</v>
          </cell>
          <cell r="G41">
            <v>-2</v>
          </cell>
          <cell r="H41">
            <v>0.7</v>
          </cell>
          <cell r="I41">
            <v>180</v>
          </cell>
          <cell r="J41" t="str">
            <v>матрица</v>
          </cell>
          <cell r="L41">
            <v>330</v>
          </cell>
          <cell r="M41">
            <v>-291</v>
          </cell>
          <cell r="P41">
            <v>720</v>
          </cell>
          <cell r="Q41">
            <v>7.8</v>
          </cell>
          <cell r="R41">
            <v>400</v>
          </cell>
          <cell r="S41">
            <v>400</v>
          </cell>
          <cell r="T41">
            <v>0</v>
          </cell>
          <cell r="U41">
            <v>143.33333333333334</v>
          </cell>
          <cell r="V41">
            <v>-0.25641025641025644</v>
          </cell>
          <cell r="W41">
            <v>50.4</v>
          </cell>
          <cell r="X41">
            <v>54.8</v>
          </cell>
          <cell r="Y41">
            <v>31.4</v>
          </cell>
          <cell r="Z41">
            <v>8</v>
          </cell>
          <cell r="AA41">
            <v>0</v>
          </cell>
          <cell r="AB41">
            <v>280</v>
          </cell>
          <cell r="AC41">
            <v>10</v>
          </cell>
          <cell r="AD41">
            <v>36</v>
          </cell>
          <cell r="AE41">
            <v>251.99999999999997</v>
          </cell>
          <cell r="AF41">
            <v>12</v>
          </cell>
          <cell r="AG41">
            <v>84</v>
          </cell>
        </row>
        <row r="42">
          <cell r="A42" t="str">
            <v>Пельмени Бигбули с мясом ТМ Горячая штучка БУЛЬМЕНИ ТС Бигбули ГШ  флоу-пак сфера 0,7.   Поком</v>
          </cell>
          <cell r="B42" t="str">
            <v>шт</v>
          </cell>
          <cell r="C42" t="str">
            <v>P004442</v>
          </cell>
          <cell r="D42">
            <v>2</v>
          </cell>
          <cell r="E42">
            <v>241</v>
          </cell>
          <cell r="F42">
            <v>165</v>
          </cell>
          <cell r="G42">
            <v>78</v>
          </cell>
          <cell r="H42">
            <v>0.7</v>
          </cell>
          <cell r="I42">
            <v>180</v>
          </cell>
          <cell r="J42" t="str">
            <v>матрица</v>
          </cell>
          <cell r="L42">
            <v>199</v>
          </cell>
          <cell r="M42">
            <v>-34</v>
          </cell>
          <cell r="P42">
            <v>720</v>
          </cell>
          <cell r="Q42">
            <v>33</v>
          </cell>
          <cell r="R42">
            <v>400</v>
          </cell>
          <cell r="S42">
            <v>400</v>
          </cell>
          <cell r="T42">
            <v>0</v>
          </cell>
          <cell r="U42">
            <v>36.303030303030305</v>
          </cell>
          <cell r="V42">
            <v>2.3636363636363638</v>
          </cell>
          <cell r="W42">
            <v>18.600000000000001</v>
          </cell>
          <cell r="X42">
            <v>17.8</v>
          </cell>
          <cell r="Y42">
            <v>23.6</v>
          </cell>
          <cell r="Z42">
            <v>16.399999999999999</v>
          </cell>
          <cell r="AA42">
            <v>0</v>
          </cell>
          <cell r="AB42">
            <v>280</v>
          </cell>
          <cell r="AC42">
            <v>10</v>
          </cell>
          <cell r="AD42">
            <v>36</v>
          </cell>
          <cell r="AE42">
            <v>251.99999999999997</v>
          </cell>
          <cell r="AF42">
            <v>12</v>
          </cell>
          <cell r="AG42">
            <v>84</v>
          </cell>
        </row>
        <row r="43">
          <cell r="A43" t="str">
            <v>Пельмени Бигбули со сливочным маслом  ТС Бигбули ГШ#МЕГАМАСЛИЩЕ флоу-пак сфера 0,7.  Поком</v>
          </cell>
          <cell r="B43" t="str">
            <v>шт</v>
          </cell>
          <cell r="C43" t="str">
            <v>P004203</v>
          </cell>
          <cell r="E43">
            <v>250</v>
          </cell>
          <cell r="F43">
            <v>228</v>
          </cell>
          <cell r="G43">
            <v>12</v>
          </cell>
          <cell r="H43">
            <v>0.7</v>
          </cell>
          <cell r="I43">
            <v>180</v>
          </cell>
          <cell r="J43" t="str">
            <v>матрица</v>
          </cell>
          <cell r="L43">
            <v>418</v>
          </cell>
          <cell r="M43">
            <v>-190</v>
          </cell>
          <cell r="P43">
            <v>720</v>
          </cell>
          <cell r="Q43">
            <v>45.6</v>
          </cell>
          <cell r="R43">
            <v>400</v>
          </cell>
          <cell r="S43">
            <v>400</v>
          </cell>
          <cell r="T43">
            <v>0</v>
          </cell>
          <cell r="U43">
            <v>24.82456140350877</v>
          </cell>
          <cell r="V43">
            <v>0.26315789473684209</v>
          </cell>
          <cell r="W43">
            <v>57.6</v>
          </cell>
          <cell r="X43">
            <v>52.2</v>
          </cell>
          <cell r="Y43">
            <v>4</v>
          </cell>
          <cell r="Z43">
            <v>2</v>
          </cell>
          <cell r="AA43">
            <v>0</v>
          </cell>
          <cell r="AB43">
            <v>280</v>
          </cell>
          <cell r="AC43">
            <v>10</v>
          </cell>
          <cell r="AD43">
            <v>36</v>
          </cell>
          <cell r="AE43">
            <v>251.99999999999997</v>
          </cell>
          <cell r="AF43">
            <v>12</v>
          </cell>
          <cell r="AG43">
            <v>84</v>
          </cell>
        </row>
        <row r="44">
          <cell r="A44" t="str">
            <v>Пельмени Бульмени мини с мясом и оливковым маслом  ТС Бульмени ГШ флоу-пак сфера 0,7кг  Поком</v>
          </cell>
          <cell r="B44" t="str">
            <v>шт</v>
          </cell>
          <cell r="C44" t="str">
            <v>P004819</v>
          </cell>
          <cell r="D44">
            <v>116</v>
          </cell>
          <cell r="E44">
            <v>242</v>
          </cell>
          <cell r="F44">
            <v>358</v>
          </cell>
          <cell r="H44">
            <v>0.7</v>
          </cell>
          <cell r="I44">
            <v>180</v>
          </cell>
          <cell r="J44" t="str">
            <v>матрица</v>
          </cell>
          <cell r="L44">
            <v>457</v>
          </cell>
          <cell r="M44">
            <v>-99</v>
          </cell>
          <cell r="P44">
            <v>0</v>
          </cell>
          <cell r="Q44">
            <v>71.599999999999994</v>
          </cell>
          <cell r="R44">
            <v>800</v>
          </cell>
          <cell r="S44">
            <v>800</v>
          </cell>
          <cell r="T44" t="str">
            <v>Промо сети</v>
          </cell>
          <cell r="U44">
            <v>11.173184357541901</v>
          </cell>
          <cell r="V44">
            <v>0</v>
          </cell>
          <cell r="W44">
            <v>22</v>
          </cell>
          <cell r="X44">
            <v>0</v>
          </cell>
          <cell r="Y44">
            <v>0</v>
          </cell>
          <cell r="Z44">
            <v>4.8</v>
          </cell>
          <cell r="AA44" t="str">
            <v>остатки?</v>
          </cell>
          <cell r="AB44">
            <v>560</v>
          </cell>
          <cell r="AC44">
            <v>10</v>
          </cell>
          <cell r="AD44">
            <v>84</v>
          </cell>
          <cell r="AE44">
            <v>588</v>
          </cell>
          <cell r="AF44">
            <v>12</v>
          </cell>
          <cell r="AG44">
            <v>84</v>
          </cell>
        </row>
        <row r="45">
          <cell r="A45" t="str">
            <v>Пельмени Бульмени с говядиной и свининой Наваристые Горячая штучка ВЕС  ПОКОМ</v>
          </cell>
          <cell r="B45" t="str">
            <v>кг</v>
          </cell>
          <cell r="C45" t="str">
            <v>P003697</v>
          </cell>
          <cell r="D45">
            <v>10</v>
          </cell>
          <cell r="E45">
            <v>780</v>
          </cell>
          <cell r="F45">
            <v>360</v>
          </cell>
          <cell r="G45">
            <v>430</v>
          </cell>
          <cell r="H45">
            <v>1</v>
          </cell>
          <cell r="I45">
            <v>180</v>
          </cell>
          <cell r="J45" t="str">
            <v>матрица</v>
          </cell>
          <cell r="L45">
            <v>430</v>
          </cell>
          <cell r="M45">
            <v>-70</v>
          </cell>
          <cell r="P45">
            <v>600</v>
          </cell>
          <cell r="Q45">
            <v>72</v>
          </cell>
          <cell r="T45">
            <v>0</v>
          </cell>
          <cell r="U45">
            <v>14.305555555555555</v>
          </cell>
          <cell r="V45">
            <v>5.9722222222222223</v>
          </cell>
          <cell r="W45">
            <v>108</v>
          </cell>
          <cell r="X45">
            <v>42</v>
          </cell>
          <cell r="Y45">
            <v>0</v>
          </cell>
          <cell r="Z45">
            <v>22</v>
          </cell>
          <cell r="AA45" t="str">
            <v>сети</v>
          </cell>
          <cell r="AB45">
            <v>0</v>
          </cell>
          <cell r="AC45">
            <v>5</v>
          </cell>
          <cell r="AD45">
            <v>0</v>
          </cell>
          <cell r="AE45">
            <v>0</v>
          </cell>
          <cell r="AF45">
            <v>12</v>
          </cell>
          <cell r="AG45">
            <v>144</v>
          </cell>
        </row>
        <row r="46">
          <cell r="A46" t="str">
            <v>Пельмени Бульмени с говядиной и свининой ТМ Горячая штучка  флоу-пак сфера 0,4 кг  Поком</v>
          </cell>
          <cell r="B46" t="str">
            <v>шт</v>
          </cell>
          <cell r="C46" t="str">
            <v>P004474</v>
          </cell>
          <cell r="D46">
            <v>116</v>
          </cell>
          <cell r="E46">
            <v>608</v>
          </cell>
          <cell r="F46">
            <v>402</v>
          </cell>
          <cell r="G46">
            <v>290</v>
          </cell>
          <cell r="H46">
            <v>0.4</v>
          </cell>
          <cell r="I46">
            <v>180</v>
          </cell>
          <cell r="J46" t="str">
            <v>матрица</v>
          </cell>
          <cell r="L46">
            <v>493</v>
          </cell>
          <cell r="M46">
            <v>-91</v>
          </cell>
          <cell r="P46">
            <v>0</v>
          </cell>
          <cell r="Q46">
            <v>80.400000000000006</v>
          </cell>
          <cell r="R46">
            <v>750</v>
          </cell>
          <cell r="T46">
            <v>0</v>
          </cell>
          <cell r="U46">
            <v>12.935323383084576</v>
          </cell>
          <cell r="V46">
            <v>3.6069651741293529</v>
          </cell>
          <cell r="W46">
            <v>48.2</v>
          </cell>
          <cell r="X46">
            <v>18.8</v>
          </cell>
          <cell r="Y46">
            <v>-2</v>
          </cell>
          <cell r="Z46">
            <v>8.8000000000000007</v>
          </cell>
          <cell r="AA46">
            <v>0</v>
          </cell>
          <cell r="AB46">
            <v>300</v>
          </cell>
          <cell r="AC46">
            <v>16</v>
          </cell>
          <cell r="AD46">
            <v>48</v>
          </cell>
          <cell r="AE46">
            <v>307.20000000000005</v>
          </cell>
          <cell r="AF46">
            <v>12</v>
          </cell>
          <cell r="AG46">
            <v>84</v>
          </cell>
        </row>
        <row r="47">
          <cell r="A47" t="str">
            <v>Пельмени Бульмени с говядиной и свининой ТМ Горячая штучка БУЛЬМЕНИ  флоу-пак сфера 0,7 кг.  Поком</v>
          </cell>
          <cell r="B47" t="str">
            <v>шт</v>
          </cell>
          <cell r="C47" t="str">
            <v>P004345</v>
          </cell>
          <cell r="E47">
            <v>720</v>
          </cell>
          <cell r="F47">
            <v>657</v>
          </cell>
          <cell r="G47">
            <v>63</v>
          </cell>
          <cell r="H47">
            <v>0.7</v>
          </cell>
          <cell r="I47">
            <v>180</v>
          </cell>
          <cell r="J47" t="str">
            <v>матрица</v>
          </cell>
          <cell r="L47">
            <v>892</v>
          </cell>
          <cell r="M47">
            <v>-235</v>
          </cell>
          <cell r="P47">
            <v>720</v>
          </cell>
          <cell r="Q47">
            <v>131.4</v>
          </cell>
          <cell r="R47">
            <v>1200</v>
          </cell>
          <cell r="S47">
            <v>1300</v>
          </cell>
          <cell r="T47" t="str">
            <v>Промо сети-ртт</v>
          </cell>
          <cell r="U47">
            <v>15.091324200913242</v>
          </cell>
          <cell r="V47">
            <v>0.47945205479452052</v>
          </cell>
          <cell r="W47">
            <v>87.2</v>
          </cell>
          <cell r="X47">
            <v>84.4</v>
          </cell>
          <cell r="Y47">
            <v>0</v>
          </cell>
          <cell r="Z47">
            <v>0</v>
          </cell>
          <cell r="AA47" t="str">
            <v>Мера</v>
          </cell>
          <cell r="AB47">
            <v>840</v>
          </cell>
          <cell r="AC47">
            <v>10</v>
          </cell>
          <cell r="AD47">
            <v>120</v>
          </cell>
          <cell r="AE47">
            <v>840</v>
          </cell>
          <cell r="AF47">
            <v>12</v>
          </cell>
          <cell r="AG47">
            <v>84</v>
          </cell>
        </row>
        <row r="48">
          <cell r="A48" t="str">
            <v>Пельмени Бульмени со сливочным маслом ТМ Горячая штучка  флоу-пак сфера 0,4 кг .  Поком</v>
          </cell>
          <cell r="B48" t="str">
            <v>шт</v>
          </cell>
          <cell r="C48" t="str">
            <v>P004444</v>
          </cell>
          <cell r="E48">
            <v>576</v>
          </cell>
          <cell r="F48">
            <v>462</v>
          </cell>
          <cell r="G48">
            <v>114</v>
          </cell>
          <cell r="H48">
            <v>0.4</v>
          </cell>
          <cell r="I48">
            <v>180</v>
          </cell>
          <cell r="J48" t="str">
            <v>матрица</v>
          </cell>
          <cell r="L48">
            <v>656</v>
          </cell>
          <cell r="M48">
            <v>-194</v>
          </cell>
          <cell r="P48">
            <v>300</v>
          </cell>
          <cell r="Q48">
            <v>92.4</v>
          </cell>
          <cell r="R48">
            <v>800</v>
          </cell>
          <cell r="T48">
            <v>0</v>
          </cell>
          <cell r="U48">
            <v>13.138528138528137</v>
          </cell>
          <cell r="V48">
            <v>1.2337662337662336</v>
          </cell>
          <cell r="W48">
            <v>55</v>
          </cell>
          <cell r="X48">
            <v>63.2</v>
          </cell>
          <cell r="Y48">
            <v>14.2</v>
          </cell>
          <cell r="Z48">
            <v>0</v>
          </cell>
          <cell r="AA48">
            <v>0</v>
          </cell>
          <cell r="AB48">
            <v>320</v>
          </cell>
          <cell r="AC48">
            <v>16</v>
          </cell>
          <cell r="AD48">
            <v>48</v>
          </cell>
          <cell r="AE48">
            <v>307.20000000000005</v>
          </cell>
          <cell r="AF48">
            <v>12</v>
          </cell>
          <cell r="AG48">
            <v>84</v>
          </cell>
        </row>
        <row r="49">
          <cell r="A49" t="str">
            <v>Пельмени Бульмени со сливочным маслом ТМ Горячая штучка флоу-пак сфера 0,7 кг .  Поком</v>
          </cell>
          <cell r="B49" t="str">
            <v>шт</v>
          </cell>
          <cell r="C49" t="str">
            <v>P004346</v>
          </cell>
          <cell r="D49">
            <v>15</v>
          </cell>
          <cell r="E49">
            <v>807</v>
          </cell>
          <cell r="F49">
            <v>689</v>
          </cell>
          <cell r="G49">
            <v>74</v>
          </cell>
          <cell r="H49">
            <v>0.7</v>
          </cell>
          <cell r="I49">
            <v>180</v>
          </cell>
          <cell r="J49" t="str">
            <v>матрица</v>
          </cell>
          <cell r="L49">
            <v>893</v>
          </cell>
          <cell r="M49">
            <v>-204</v>
          </cell>
          <cell r="P49">
            <v>720</v>
          </cell>
          <cell r="Q49">
            <v>137.80000000000001</v>
          </cell>
          <cell r="R49">
            <v>1300</v>
          </cell>
          <cell r="S49">
            <v>1400</v>
          </cell>
          <cell r="T49" t="str">
            <v>Промо сети-ртт</v>
          </cell>
          <cell r="U49">
            <v>15.195936139332364</v>
          </cell>
          <cell r="V49">
            <v>0.53701015965166909</v>
          </cell>
          <cell r="W49">
            <v>174.6</v>
          </cell>
          <cell r="X49">
            <v>26</v>
          </cell>
          <cell r="Y49">
            <v>8</v>
          </cell>
          <cell r="Z49">
            <v>14</v>
          </cell>
          <cell r="AA49" t="str">
            <v>Мера</v>
          </cell>
          <cell r="AB49">
            <v>909.99999999999989</v>
          </cell>
          <cell r="AC49">
            <v>10</v>
          </cell>
          <cell r="AD49">
            <v>132</v>
          </cell>
          <cell r="AE49">
            <v>923.99999999999989</v>
          </cell>
          <cell r="AF49">
            <v>12</v>
          </cell>
          <cell r="AG49">
            <v>84</v>
          </cell>
        </row>
        <row r="50">
          <cell r="A50" t="str">
            <v>Пельмени Домашние со сливочным маслом ТМ Зареченские  продукты флоу-пак сфера 0,7 кг.  Поком</v>
          </cell>
          <cell r="B50" t="str">
            <v>шт</v>
          </cell>
          <cell r="C50" t="str">
            <v>P004060</v>
          </cell>
          <cell r="D50">
            <v>195</v>
          </cell>
          <cell r="E50">
            <v>370</v>
          </cell>
          <cell r="F50">
            <v>343</v>
          </cell>
          <cell r="G50">
            <v>212</v>
          </cell>
          <cell r="H50">
            <v>0.7</v>
          </cell>
          <cell r="I50">
            <v>180</v>
          </cell>
          <cell r="J50" t="str">
            <v>матрица</v>
          </cell>
          <cell r="L50">
            <v>391</v>
          </cell>
          <cell r="M50">
            <v>-48</v>
          </cell>
          <cell r="P50">
            <v>0</v>
          </cell>
          <cell r="Q50">
            <v>68.599999999999994</v>
          </cell>
          <cell r="R50">
            <v>500</v>
          </cell>
          <cell r="S50">
            <v>500</v>
          </cell>
          <cell r="T50">
            <v>0</v>
          </cell>
          <cell r="U50">
            <v>10.379008746355685</v>
          </cell>
          <cell r="V50">
            <v>3.0903790087463561</v>
          </cell>
          <cell r="W50">
            <v>76.8</v>
          </cell>
          <cell r="X50">
            <v>13.2</v>
          </cell>
          <cell r="Y50">
            <v>0</v>
          </cell>
          <cell r="Z50">
            <v>25</v>
          </cell>
          <cell r="AA50">
            <v>0</v>
          </cell>
          <cell r="AB50">
            <v>350</v>
          </cell>
          <cell r="AC50">
            <v>10</v>
          </cell>
          <cell r="AD50">
            <v>48</v>
          </cell>
          <cell r="AE50">
            <v>336</v>
          </cell>
          <cell r="AF50">
            <v>12</v>
          </cell>
          <cell r="AG50">
            <v>84</v>
          </cell>
        </row>
        <row r="51">
          <cell r="A51" t="str">
            <v>Пельмени Мясные с говядиной ТМ Стародворье сфера флоу-пак 1 кг  ПОКОМ</v>
          </cell>
          <cell r="B51" t="str">
            <v>шт</v>
          </cell>
          <cell r="C51" t="str">
            <v>P005048</v>
          </cell>
          <cell r="E51">
            <v>300</v>
          </cell>
          <cell r="F51">
            <v>180</v>
          </cell>
          <cell r="G51">
            <v>120</v>
          </cell>
          <cell r="H51">
            <v>1</v>
          </cell>
          <cell r="I51">
            <v>0</v>
          </cell>
          <cell r="J51">
            <v>0</v>
          </cell>
          <cell r="L51">
            <v>209</v>
          </cell>
          <cell r="M51">
            <v>-29</v>
          </cell>
          <cell r="P51">
            <v>0</v>
          </cell>
          <cell r="Q51">
            <v>36</v>
          </cell>
          <cell r="R51">
            <v>360</v>
          </cell>
          <cell r="T51">
            <v>0</v>
          </cell>
          <cell r="U51">
            <v>13.333333333333334</v>
          </cell>
          <cell r="V51">
            <v>3.3333333333333335</v>
          </cell>
          <cell r="W51">
            <v>27.4</v>
          </cell>
          <cell r="X51">
            <v>10.199999999999999</v>
          </cell>
          <cell r="Y51">
            <v>0</v>
          </cell>
          <cell r="Z51">
            <v>0</v>
          </cell>
          <cell r="AA51">
            <v>0</v>
          </cell>
          <cell r="AB51">
            <v>360</v>
          </cell>
          <cell r="AC51">
            <v>5</v>
          </cell>
          <cell r="AD51">
            <v>72</v>
          </cell>
          <cell r="AE51">
            <v>360</v>
          </cell>
          <cell r="AF51">
            <v>12</v>
          </cell>
          <cell r="AG51">
            <v>84</v>
          </cell>
        </row>
        <row r="52">
          <cell r="A52" t="str">
            <v>Пельмени Отборные из свинины и говядины 0,9 кг ТМ Стародворье ТС Медвежье ушко  ПОКОМ</v>
          </cell>
          <cell r="B52" t="str">
            <v>шт</v>
          </cell>
          <cell r="C52" t="str">
            <v>P005107</v>
          </cell>
          <cell r="D52">
            <v>54</v>
          </cell>
          <cell r="E52">
            <v>192</v>
          </cell>
          <cell r="F52">
            <v>250</v>
          </cell>
          <cell r="G52">
            <v>-4</v>
          </cell>
          <cell r="H52">
            <v>0.9</v>
          </cell>
          <cell r="I52">
            <v>180</v>
          </cell>
          <cell r="J52" t="str">
            <v>матрица</v>
          </cell>
          <cell r="L52">
            <v>387</v>
          </cell>
          <cell r="M52">
            <v>-137</v>
          </cell>
          <cell r="P52">
            <v>0</v>
          </cell>
          <cell r="Q52">
            <v>50</v>
          </cell>
          <cell r="R52">
            <v>400</v>
          </cell>
          <cell r="S52">
            <v>400</v>
          </cell>
          <cell r="T52">
            <v>0</v>
          </cell>
          <cell r="U52">
            <v>7.92</v>
          </cell>
          <cell r="V52">
            <v>-0.08</v>
          </cell>
          <cell r="W52">
            <v>41.2</v>
          </cell>
          <cell r="X52">
            <v>49.6</v>
          </cell>
          <cell r="Y52">
            <v>0</v>
          </cell>
          <cell r="Z52">
            <v>5.2</v>
          </cell>
          <cell r="AA52" t="str">
            <v>сети</v>
          </cell>
          <cell r="AB52">
            <v>360</v>
          </cell>
          <cell r="AC52">
            <v>8</v>
          </cell>
          <cell r="AD52">
            <v>48</v>
          </cell>
          <cell r="AE52">
            <v>345.6</v>
          </cell>
          <cell r="AF52">
            <v>12</v>
          </cell>
          <cell r="AG52">
            <v>84</v>
          </cell>
        </row>
        <row r="53">
          <cell r="A53" t="str">
            <v>Пельмени Отборные с говядиной 0,9 кг НОВА ТМ Стародворье ТС Медвежье ушко  ПОКОМ</v>
          </cell>
          <cell r="B53" t="str">
            <v>шт</v>
          </cell>
          <cell r="C53" t="str">
            <v>P005103</v>
          </cell>
          <cell r="D53">
            <v>54</v>
          </cell>
          <cell r="E53">
            <v>192</v>
          </cell>
          <cell r="F53">
            <v>246</v>
          </cell>
          <cell r="H53">
            <v>0.9</v>
          </cell>
          <cell r="I53">
            <v>180</v>
          </cell>
          <cell r="J53" t="str">
            <v>матрица</v>
          </cell>
          <cell r="L53">
            <v>332</v>
          </cell>
          <cell r="M53">
            <v>-86</v>
          </cell>
          <cell r="P53">
            <v>0</v>
          </cell>
          <cell r="Q53">
            <v>49.2</v>
          </cell>
          <cell r="R53">
            <v>400</v>
          </cell>
          <cell r="S53">
            <v>400</v>
          </cell>
          <cell r="T53">
            <v>0</v>
          </cell>
          <cell r="U53">
            <v>8.1300813008130071</v>
          </cell>
          <cell r="V53">
            <v>0</v>
          </cell>
          <cell r="W53">
            <v>29.6</v>
          </cell>
          <cell r="X53">
            <v>36</v>
          </cell>
          <cell r="Y53">
            <v>1.2</v>
          </cell>
          <cell r="Z53">
            <v>5.2</v>
          </cell>
          <cell r="AA53" t="str">
            <v>сети</v>
          </cell>
          <cell r="AB53">
            <v>360</v>
          </cell>
          <cell r="AC53">
            <v>8</v>
          </cell>
          <cell r="AD53">
            <v>48</v>
          </cell>
          <cell r="AE53">
            <v>345.6</v>
          </cell>
          <cell r="AF53">
            <v>12</v>
          </cell>
          <cell r="AG53">
            <v>84</v>
          </cell>
        </row>
        <row r="54">
          <cell r="A54" t="str">
            <v>Пельмени Со свининой и говядиной ТМ Особый рецепт Любимая ложка 1,0 кг  ПОКОМ</v>
          </cell>
          <cell r="B54" t="str">
            <v>шт</v>
          </cell>
          <cell r="C54" t="str">
            <v>P004081</v>
          </cell>
          <cell r="E54">
            <v>245</v>
          </cell>
          <cell r="F54">
            <v>240</v>
          </cell>
          <cell r="H54">
            <v>1</v>
          </cell>
          <cell r="I54">
            <v>0</v>
          </cell>
          <cell r="J54">
            <v>0</v>
          </cell>
          <cell r="L54">
            <v>465</v>
          </cell>
          <cell r="M54">
            <v>-225</v>
          </cell>
          <cell r="P54">
            <v>0</v>
          </cell>
          <cell r="Q54">
            <v>48</v>
          </cell>
          <cell r="R54">
            <v>350</v>
          </cell>
          <cell r="S54">
            <v>350</v>
          </cell>
          <cell r="T54">
            <v>0</v>
          </cell>
          <cell r="U54">
            <v>7.291666666666667</v>
          </cell>
          <cell r="V54">
            <v>0</v>
          </cell>
          <cell r="W54">
            <v>110.2</v>
          </cell>
          <cell r="X54">
            <v>91.4</v>
          </cell>
          <cell r="Y54">
            <v>0</v>
          </cell>
          <cell r="Z54">
            <v>0</v>
          </cell>
          <cell r="AA54" t="str">
            <v>сети</v>
          </cell>
          <cell r="AB54">
            <v>350</v>
          </cell>
          <cell r="AC54">
            <v>6</v>
          </cell>
          <cell r="AD54">
            <v>60</v>
          </cell>
          <cell r="AE54">
            <v>360</v>
          </cell>
          <cell r="AF54">
            <v>12</v>
          </cell>
          <cell r="AG54">
            <v>84</v>
          </cell>
        </row>
        <row r="55">
          <cell r="A55" t="str">
            <v>Пирожки с мясом 3,7кг ВЕС ТМ Зареченские  ПОКОМ</v>
          </cell>
          <cell r="B55" t="str">
            <v>кг</v>
          </cell>
          <cell r="C55" t="str">
            <v>P004359</v>
          </cell>
          <cell r="D55">
            <v>273.8</v>
          </cell>
          <cell r="E55">
            <v>125</v>
          </cell>
          <cell r="F55">
            <v>3.7</v>
          </cell>
          <cell r="G55">
            <v>394</v>
          </cell>
          <cell r="H55">
            <v>1</v>
          </cell>
          <cell r="I55">
            <v>0</v>
          </cell>
          <cell r="J55">
            <v>0</v>
          </cell>
          <cell r="L55">
            <v>3.7</v>
          </cell>
          <cell r="M55">
            <v>0</v>
          </cell>
          <cell r="P55">
            <v>0</v>
          </cell>
          <cell r="Q55">
            <v>0.74</v>
          </cell>
          <cell r="T55">
            <v>0</v>
          </cell>
          <cell r="U55">
            <v>532.43243243243239</v>
          </cell>
          <cell r="V55">
            <v>532.43243243243239</v>
          </cell>
          <cell r="W55">
            <v>36.200000000000003</v>
          </cell>
          <cell r="X55">
            <v>3.8</v>
          </cell>
          <cell r="Y55">
            <v>2.96</v>
          </cell>
          <cell r="Z55">
            <v>1.48</v>
          </cell>
          <cell r="AA55">
            <v>0</v>
          </cell>
          <cell r="AB55">
            <v>0</v>
          </cell>
          <cell r="AC55">
            <v>3.7</v>
          </cell>
          <cell r="AD55">
            <v>0</v>
          </cell>
          <cell r="AE55">
            <v>0</v>
          </cell>
          <cell r="AF55">
            <v>14</v>
          </cell>
          <cell r="AG55">
            <v>126</v>
          </cell>
        </row>
        <row r="56">
          <cell r="A56" t="str">
            <v>Хотстеры Васаби-чили ТМ Горячая штучка ТС Хотстеры 0,23кг жареные ПОКОМ</v>
          </cell>
          <cell r="B56" t="str">
            <v>шт</v>
          </cell>
          <cell r="C56" t="str">
            <v>P005182</v>
          </cell>
          <cell r="E56">
            <v>504</v>
          </cell>
          <cell r="F56">
            <v>257</v>
          </cell>
          <cell r="G56">
            <v>247</v>
          </cell>
          <cell r="H56">
            <v>0.23</v>
          </cell>
          <cell r="I56">
            <v>0</v>
          </cell>
          <cell r="J56">
            <v>0</v>
          </cell>
          <cell r="L56">
            <v>405</v>
          </cell>
          <cell r="M56">
            <v>-148</v>
          </cell>
          <cell r="P56">
            <v>0</v>
          </cell>
          <cell r="Q56">
            <v>51.4</v>
          </cell>
          <cell r="R56">
            <v>400</v>
          </cell>
          <cell r="T56">
            <v>0</v>
          </cell>
          <cell r="U56">
            <v>12.587548638132295</v>
          </cell>
          <cell r="V56">
            <v>4.8054474708171204</v>
          </cell>
          <cell r="W56">
            <v>45.8</v>
          </cell>
          <cell r="X56">
            <v>21.6</v>
          </cell>
          <cell r="Y56">
            <v>0</v>
          </cell>
          <cell r="Z56">
            <v>0</v>
          </cell>
          <cell r="AA56" t="e">
            <v>#N/A</v>
          </cell>
          <cell r="AB56">
            <v>92</v>
          </cell>
          <cell r="AC56">
            <v>7</v>
          </cell>
          <cell r="AD56">
            <v>56</v>
          </cell>
          <cell r="AE56">
            <v>90.160000000000011</v>
          </cell>
          <cell r="AF56">
            <v>14</v>
          </cell>
          <cell r="AG56">
            <v>140</v>
          </cell>
        </row>
        <row r="57">
          <cell r="A57" t="str">
            <v>Хотстеры с сыром ТМ Горячая штучка ТС Хотстеры 0,25кг.  Поком</v>
          </cell>
          <cell r="B57" t="str">
            <v>шт</v>
          </cell>
          <cell r="C57" t="str">
            <v>P005058</v>
          </cell>
          <cell r="D57">
            <v>57</v>
          </cell>
          <cell r="E57">
            <v>2</v>
          </cell>
          <cell r="F57">
            <v>73</v>
          </cell>
          <cell r="G57">
            <v>-14</v>
          </cell>
          <cell r="H57">
            <v>0.25</v>
          </cell>
          <cell r="I57">
            <v>180</v>
          </cell>
          <cell r="J57" t="str">
            <v>матрица</v>
          </cell>
          <cell r="L57">
            <v>106</v>
          </cell>
          <cell r="M57">
            <v>-33</v>
          </cell>
          <cell r="P57">
            <v>900</v>
          </cell>
          <cell r="Q57">
            <v>14.6</v>
          </cell>
          <cell r="R57">
            <v>700</v>
          </cell>
          <cell r="S57">
            <v>900</v>
          </cell>
          <cell r="T57">
            <v>0</v>
          </cell>
          <cell r="U57">
            <v>108.63013698630137</v>
          </cell>
          <cell r="V57">
            <v>-0.95890410958904115</v>
          </cell>
          <cell r="W57">
            <v>28.4</v>
          </cell>
          <cell r="X57">
            <v>39.6</v>
          </cell>
          <cell r="Y57">
            <v>17.399999999999999</v>
          </cell>
          <cell r="Z57">
            <v>53.4</v>
          </cell>
          <cell r="AA57">
            <v>0</v>
          </cell>
          <cell r="AB57">
            <v>175</v>
          </cell>
          <cell r="AC57">
            <v>12</v>
          </cell>
          <cell r="AD57">
            <v>56</v>
          </cell>
          <cell r="AE57">
            <v>168</v>
          </cell>
          <cell r="AF57">
            <v>14</v>
          </cell>
          <cell r="AG57">
            <v>70</v>
          </cell>
        </row>
        <row r="58">
          <cell r="A58" t="str">
            <v>Хотстеры ТМ Горячая штучка ТС Хотстеры 0,25 кг зам  ПОКОМ</v>
          </cell>
          <cell r="B58" t="str">
            <v>шт</v>
          </cell>
          <cell r="C58" t="str">
            <v>P004489</v>
          </cell>
          <cell r="F58">
            <v>328</v>
          </cell>
          <cell r="G58">
            <v>-328</v>
          </cell>
          <cell r="H58">
            <v>0.25</v>
          </cell>
          <cell r="I58">
            <v>180</v>
          </cell>
          <cell r="J58" t="str">
            <v>матрица</v>
          </cell>
          <cell r="L58">
            <v>534</v>
          </cell>
          <cell r="M58">
            <v>-206</v>
          </cell>
          <cell r="P58">
            <v>0</v>
          </cell>
          <cell r="Q58">
            <v>65.599999999999994</v>
          </cell>
          <cell r="R58">
            <v>1000</v>
          </cell>
          <cell r="T58">
            <v>0</v>
          </cell>
          <cell r="U58">
            <v>10.24390243902439</v>
          </cell>
          <cell r="V58">
            <v>-5</v>
          </cell>
          <cell r="W58">
            <v>96</v>
          </cell>
          <cell r="X58">
            <v>39.799999999999997</v>
          </cell>
          <cell r="Y58">
            <v>0</v>
          </cell>
          <cell r="Z58">
            <v>0</v>
          </cell>
          <cell r="AA58" t="str">
            <v>Мера</v>
          </cell>
          <cell r="AB58">
            <v>250</v>
          </cell>
          <cell r="AC58">
            <v>12</v>
          </cell>
          <cell r="AD58">
            <v>84</v>
          </cell>
          <cell r="AE58">
            <v>252</v>
          </cell>
          <cell r="AF58">
            <v>14</v>
          </cell>
          <cell r="AG58">
            <v>70</v>
          </cell>
        </row>
        <row r="59">
          <cell r="A59" t="str">
            <v>Хрустипай апельсин имбирь ТМ Горячая штучка 0,18 кг  ПОКОМ</v>
          </cell>
          <cell r="B59" t="str">
            <v>шт</v>
          </cell>
          <cell r="C59" t="str">
            <v>P005201</v>
          </cell>
          <cell r="D59">
            <v>147</v>
          </cell>
          <cell r="E59">
            <v>168</v>
          </cell>
          <cell r="F59">
            <v>28</v>
          </cell>
          <cell r="G59">
            <v>287</v>
          </cell>
          <cell r="H59">
            <v>0.18</v>
          </cell>
          <cell r="I59">
            <v>0</v>
          </cell>
          <cell r="J59" t="e">
            <v>#N/A</v>
          </cell>
          <cell r="L59">
            <v>28</v>
          </cell>
          <cell r="M59">
            <v>0</v>
          </cell>
          <cell r="P59">
            <v>0</v>
          </cell>
          <cell r="Q59">
            <v>5.6</v>
          </cell>
          <cell r="T59">
            <v>0</v>
          </cell>
          <cell r="U59">
            <v>51.25</v>
          </cell>
          <cell r="V59">
            <v>51.25</v>
          </cell>
          <cell r="W59">
            <v>13.2</v>
          </cell>
          <cell r="X59">
            <v>20.6</v>
          </cell>
          <cell r="Y59">
            <v>0.8</v>
          </cell>
          <cell r="Z59">
            <v>0.4</v>
          </cell>
          <cell r="AA59" t="e">
            <v>#N/A</v>
          </cell>
          <cell r="AB59">
            <v>0</v>
          </cell>
          <cell r="AC59">
            <v>6</v>
          </cell>
          <cell r="AD59">
            <v>0</v>
          </cell>
          <cell r="AE59">
            <v>0</v>
          </cell>
          <cell r="AF59">
            <v>14</v>
          </cell>
          <cell r="AG59">
            <v>140</v>
          </cell>
        </row>
        <row r="60">
          <cell r="A60" t="str">
            <v>Хрустипай манго маракуйя ТМ Горячая штучка 0,18 кг  ПОКОМ</v>
          </cell>
          <cell r="B60" t="str">
            <v>шт</v>
          </cell>
          <cell r="C60" t="str">
            <v>P005199</v>
          </cell>
          <cell r="D60">
            <v>51</v>
          </cell>
          <cell r="E60">
            <v>168</v>
          </cell>
          <cell r="F60">
            <v>7</v>
          </cell>
          <cell r="G60">
            <v>212</v>
          </cell>
          <cell r="H60">
            <v>0.18</v>
          </cell>
          <cell r="I60">
            <v>0</v>
          </cell>
          <cell r="J60" t="e">
            <v>#N/A</v>
          </cell>
          <cell r="L60">
            <v>19</v>
          </cell>
          <cell r="M60">
            <v>-12</v>
          </cell>
          <cell r="P60">
            <v>0</v>
          </cell>
          <cell r="Q60">
            <v>1.4</v>
          </cell>
          <cell r="T60">
            <v>0</v>
          </cell>
          <cell r="U60">
            <v>151.42857142857144</v>
          </cell>
          <cell r="V60">
            <v>151.42857142857144</v>
          </cell>
          <cell r="W60">
            <v>13.2</v>
          </cell>
          <cell r="X60">
            <v>19.600000000000001</v>
          </cell>
          <cell r="Y60">
            <v>1.2</v>
          </cell>
          <cell r="Z60">
            <v>0.6</v>
          </cell>
          <cell r="AA60" t="e">
            <v>#N/A</v>
          </cell>
          <cell r="AB60">
            <v>0</v>
          </cell>
          <cell r="AC60">
            <v>6</v>
          </cell>
          <cell r="AD60">
            <v>0</v>
          </cell>
          <cell r="AE60">
            <v>0</v>
          </cell>
          <cell r="AF60">
            <v>14</v>
          </cell>
          <cell r="AG60">
            <v>140</v>
          </cell>
        </row>
        <row r="61">
          <cell r="A61" t="str">
            <v>Хрустипай манго чили ТМ Горячая штучка 0,18кг с начинкой ПОКОМ</v>
          </cell>
          <cell r="B61" t="str">
            <v>шт</v>
          </cell>
          <cell r="C61" t="str">
            <v>P005200</v>
          </cell>
          <cell r="D61">
            <v>47</v>
          </cell>
          <cell r="E61">
            <v>2</v>
          </cell>
          <cell r="F61">
            <v>10</v>
          </cell>
          <cell r="G61">
            <v>39</v>
          </cell>
          <cell r="H61">
            <v>0.18</v>
          </cell>
          <cell r="I61" t="e">
            <v>#N/A</v>
          </cell>
          <cell r="J61" t="e">
            <v>#N/A</v>
          </cell>
          <cell r="L61">
            <v>13</v>
          </cell>
          <cell r="M61">
            <v>-3</v>
          </cell>
          <cell r="P61">
            <v>0</v>
          </cell>
          <cell r="Q61">
            <v>2</v>
          </cell>
          <cell r="T61">
            <v>0</v>
          </cell>
          <cell r="U61">
            <v>19.5</v>
          </cell>
          <cell r="V61">
            <v>19.5</v>
          </cell>
          <cell r="W61">
            <v>0</v>
          </cell>
          <cell r="X61">
            <v>0</v>
          </cell>
          <cell r="Y61">
            <v>0</v>
          </cell>
          <cell r="Z61">
            <v>2.6</v>
          </cell>
          <cell r="AA61" t="e">
            <v>#N/A</v>
          </cell>
          <cell r="AB61">
            <v>0</v>
          </cell>
          <cell r="AC61">
            <v>6</v>
          </cell>
          <cell r="AD61">
            <v>0</v>
          </cell>
          <cell r="AE61">
            <v>0</v>
          </cell>
          <cell r="AF61">
            <v>14</v>
          </cell>
          <cell r="AG61">
            <v>140</v>
          </cell>
        </row>
        <row r="62">
          <cell r="A62" t="str">
            <v>Хрустящие крылышки острые к пиву ТМ Горячая штучка 0,3кг зам  ПОКОМ</v>
          </cell>
          <cell r="B62" t="str">
            <v>шт</v>
          </cell>
          <cell r="C62" t="str">
            <v>P004589</v>
          </cell>
          <cell r="D62">
            <v>124</v>
          </cell>
          <cell r="E62">
            <v>11</v>
          </cell>
          <cell r="F62">
            <v>367</v>
          </cell>
          <cell r="G62">
            <v>-244</v>
          </cell>
          <cell r="H62">
            <v>0.3</v>
          </cell>
          <cell r="I62">
            <v>180</v>
          </cell>
          <cell r="J62" t="str">
            <v>матрица</v>
          </cell>
          <cell r="L62">
            <v>396</v>
          </cell>
          <cell r="M62">
            <v>-29</v>
          </cell>
          <cell r="P62">
            <v>600</v>
          </cell>
          <cell r="Q62">
            <v>73.400000000000006</v>
          </cell>
          <cell r="R62">
            <v>600</v>
          </cell>
          <cell r="T62">
            <v>0</v>
          </cell>
          <cell r="U62">
            <v>13.024523160762941</v>
          </cell>
          <cell r="V62">
            <v>-3.3242506811989099</v>
          </cell>
          <cell r="W62">
            <v>66.2</v>
          </cell>
          <cell r="X62">
            <v>59</v>
          </cell>
          <cell r="Y62">
            <v>25.4</v>
          </cell>
          <cell r="Z62">
            <v>56.8</v>
          </cell>
          <cell r="AA62">
            <v>0</v>
          </cell>
          <cell r="AB62">
            <v>180</v>
          </cell>
          <cell r="AC62">
            <v>12</v>
          </cell>
          <cell r="AD62">
            <v>56</v>
          </cell>
          <cell r="AE62">
            <v>201.6</v>
          </cell>
          <cell r="AF62">
            <v>14</v>
          </cell>
          <cell r="AG62">
            <v>70</v>
          </cell>
        </row>
        <row r="63">
          <cell r="A63" t="str">
            <v>Хрустящие крылышки ТМ Горячая штучка 0,3 кг зам  ПОКОМ</v>
          </cell>
          <cell r="B63" t="str">
            <v>шт</v>
          </cell>
          <cell r="C63" t="str">
            <v>P004588</v>
          </cell>
          <cell r="F63">
            <v>24</v>
          </cell>
          <cell r="G63">
            <v>-24</v>
          </cell>
          <cell r="H63">
            <v>0.3</v>
          </cell>
          <cell r="I63">
            <v>180</v>
          </cell>
          <cell r="J63" t="str">
            <v>матрица</v>
          </cell>
          <cell r="L63">
            <v>30</v>
          </cell>
          <cell r="M63">
            <v>-6</v>
          </cell>
          <cell r="P63">
            <v>0</v>
          </cell>
          <cell r="Q63">
            <v>4.8</v>
          </cell>
          <cell r="R63">
            <v>200</v>
          </cell>
          <cell r="S63">
            <v>200</v>
          </cell>
          <cell r="T63">
            <v>0</v>
          </cell>
          <cell r="U63">
            <v>36.666666666666671</v>
          </cell>
          <cell r="V63">
            <v>-5</v>
          </cell>
          <cell r="W63">
            <v>79.8</v>
          </cell>
          <cell r="X63">
            <v>42.8</v>
          </cell>
          <cell r="Y63">
            <v>0</v>
          </cell>
          <cell r="Z63">
            <v>0</v>
          </cell>
          <cell r="AA63">
            <v>0</v>
          </cell>
          <cell r="AB63">
            <v>60</v>
          </cell>
          <cell r="AC63">
            <v>12</v>
          </cell>
          <cell r="AD63">
            <v>14</v>
          </cell>
          <cell r="AE63">
            <v>50.4</v>
          </cell>
          <cell r="AF63">
            <v>14</v>
          </cell>
          <cell r="AG63">
            <v>70</v>
          </cell>
        </row>
        <row r="64">
          <cell r="A64" t="str">
            <v>Чебупели Курочка гриль Базовый ассортимент Фикс.вес 0,3 Пакет Горячая штучка  Поком</v>
          </cell>
          <cell r="B64" t="str">
            <v>шт</v>
          </cell>
          <cell r="C64" t="str">
            <v>P004113</v>
          </cell>
          <cell r="E64">
            <v>196</v>
          </cell>
          <cell r="F64">
            <v>49</v>
          </cell>
          <cell r="G64">
            <v>147</v>
          </cell>
          <cell r="H64">
            <v>0.3</v>
          </cell>
          <cell r="I64">
            <v>180</v>
          </cell>
          <cell r="J64" t="str">
            <v>матрица</v>
          </cell>
          <cell r="L64">
            <v>45</v>
          </cell>
          <cell r="M64">
            <v>4</v>
          </cell>
          <cell r="P64">
            <v>0</v>
          </cell>
          <cell r="Q64">
            <v>9.8000000000000007</v>
          </cell>
          <cell r="T64">
            <v>0</v>
          </cell>
          <cell r="U64">
            <v>14.999999999999998</v>
          </cell>
          <cell r="V64">
            <v>14.999999999999998</v>
          </cell>
          <cell r="W64">
            <v>18</v>
          </cell>
          <cell r="X64">
            <v>10.6</v>
          </cell>
          <cell r="Y64">
            <v>10.8</v>
          </cell>
          <cell r="Z64">
            <v>7.6</v>
          </cell>
          <cell r="AA64">
            <v>0</v>
          </cell>
          <cell r="AB64">
            <v>0</v>
          </cell>
          <cell r="AC64">
            <v>14</v>
          </cell>
          <cell r="AD64">
            <v>0</v>
          </cell>
          <cell r="AE64">
            <v>0</v>
          </cell>
          <cell r="AF64">
            <v>14</v>
          </cell>
          <cell r="AG64">
            <v>70</v>
          </cell>
        </row>
        <row r="65">
          <cell r="A65" t="str">
            <v>Чебупицца курочка по-итальянски Горячая штучка 0,25 кг зам  ПОКОМ</v>
          </cell>
          <cell r="B65" t="str">
            <v>шт</v>
          </cell>
          <cell r="C65" t="str">
            <v>P004484</v>
          </cell>
          <cell r="E65">
            <v>867</v>
          </cell>
          <cell r="F65">
            <v>528</v>
          </cell>
          <cell r="G65">
            <v>190</v>
          </cell>
          <cell r="H65">
            <v>0.25</v>
          </cell>
          <cell r="I65">
            <v>180</v>
          </cell>
          <cell r="J65" t="str">
            <v>матрица</v>
          </cell>
          <cell r="L65">
            <v>805</v>
          </cell>
          <cell r="M65">
            <v>-277</v>
          </cell>
          <cell r="P65">
            <v>600</v>
          </cell>
          <cell r="Q65">
            <v>105.6</v>
          </cell>
          <cell r="R65">
            <v>1000</v>
          </cell>
          <cell r="S65">
            <v>1000</v>
          </cell>
          <cell r="T65">
            <v>0</v>
          </cell>
          <cell r="U65">
            <v>16.950757575757578</v>
          </cell>
          <cell r="V65">
            <v>1.7992424242424243</v>
          </cell>
          <cell r="W65">
            <v>163</v>
          </cell>
          <cell r="X65">
            <v>55</v>
          </cell>
          <cell r="Y65">
            <v>0</v>
          </cell>
          <cell r="Z65">
            <v>12</v>
          </cell>
          <cell r="AA65" t="str">
            <v>сети</v>
          </cell>
          <cell r="AB65">
            <v>250</v>
          </cell>
          <cell r="AC65">
            <v>12</v>
          </cell>
          <cell r="AD65">
            <v>84</v>
          </cell>
          <cell r="AE65">
            <v>252</v>
          </cell>
          <cell r="AF65">
            <v>14</v>
          </cell>
          <cell r="AG65">
            <v>70</v>
          </cell>
        </row>
        <row r="66">
          <cell r="A66" t="str">
            <v>Чебупицца Пепперони ТМ Горячая штучка ТС Чебупицца 0.25кг зам  ПОКОМ</v>
          </cell>
          <cell r="B66" t="str">
            <v>шт</v>
          </cell>
          <cell r="C66" t="str">
            <v>P004486</v>
          </cell>
          <cell r="D66">
            <v>777</v>
          </cell>
          <cell r="E66">
            <v>843</v>
          </cell>
          <cell r="F66">
            <v>648</v>
          </cell>
          <cell r="G66">
            <v>972</v>
          </cell>
          <cell r="H66">
            <v>0.25</v>
          </cell>
          <cell r="I66">
            <v>180</v>
          </cell>
          <cell r="J66" t="str">
            <v>матрица</v>
          </cell>
          <cell r="L66">
            <v>693</v>
          </cell>
          <cell r="M66">
            <v>-45</v>
          </cell>
          <cell r="P66">
            <v>0</v>
          </cell>
          <cell r="Q66">
            <v>129.6</v>
          </cell>
          <cell r="R66">
            <v>700</v>
          </cell>
          <cell r="T66">
            <v>0</v>
          </cell>
          <cell r="U66">
            <v>12.901234567901236</v>
          </cell>
          <cell r="V66">
            <v>7.5</v>
          </cell>
          <cell r="W66">
            <v>128.80000000000001</v>
          </cell>
          <cell r="X66">
            <v>54</v>
          </cell>
          <cell r="Y66">
            <v>0</v>
          </cell>
          <cell r="Z66">
            <v>22.2</v>
          </cell>
          <cell r="AA66">
            <v>0</v>
          </cell>
          <cell r="AB66">
            <v>175</v>
          </cell>
          <cell r="AC66">
            <v>12</v>
          </cell>
          <cell r="AD66">
            <v>56</v>
          </cell>
          <cell r="AE66">
            <v>168</v>
          </cell>
          <cell r="AF66">
            <v>14</v>
          </cell>
          <cell r="AG66">
            <v>70</v>
          </cell>
        </row>
        <row r="67">
          <cell r="A67" t="str">
            <v>Чебупицца со вкусом 4 сыра 0,2кг ТМ Горячая штучка ТС Foodgital  ПОКОМ</v>
          </cell>
          <cell r="B67" t="str">
            <v>шт</v>
          </cell>
          <cell r="C67" t="str">
            <v>P004818</v>
          </cell>
          <cell r="D67">
            <v>185</v>
          </cell>
          <cell r="E67">
            <v>168</v>
          </cell>
          <cell r="F67">
            <v>150</v>
          </cell>
          <cell r="G67">
            <v>203</v>
          </cell>
          <cell r="H67">
            <v>0.2</v>
          </cell>
          <cell r="I67">
            <v>0</v>
          </cell>
          <cell r="J67" t="str">
            <v>новинка</v>
          </cell>
          <cell r="L67">
            <v>168</v>
          </cell>
          <cell r="M67">
            <v>-18</v>
          </cell>
          <cell r="P67">
            <v>0</v>
          </cell>
          <cell r="Q67">
            <v>30</v>
          </cell>
          <cell r="R67">
            <v>200</v>
          </cell>
          <cell r="T67">
            <v>0</v>
          </cell>
          <cell r="U67">
            <v>13.433333333333334</v>
          </cell>
          <cell r="V67">
            <v>6.7666666666666666</v>
          </cell>
          <cell r="W67">
            <v>31.8</v>
          </cell>
          <cell r="X67">
            <v>20</v>
          </cell>
          <cell r="Y67">
            <v>0</v>
          </cell>
          <cell r="Z67">
            <v>8.6</v>
          </cell>
          <cell r="AA67" t="e">
            <v>#N/A</v>
          </cell>
          <cell r="AB67">
            <v>40</v>
          </cell>
          <cell r="AC67">
            <v>6</v>
          </cell>
          <cell r="AD67">
            <v>28</v>
          </cell>
          <cell r="AE67">
            <v>33.6</v>
          </cell>
          <cell r="AF67">
            <v>14</v>
          </cell>
          <cell r="AG67">
            <v>140</v>
          </cell>
        </row>
        <row r="68">
          <cell r="A68" t="str">
            <v>Чебупицца со вкусом Том ям ТМ Горячая штучка ТС Чебупицца 0,23кг жареные ПОКОМ</v>
          </cell>
          <cell r="B68" t="str">
            <v>шт</v>
          </cell>
          <cell r="C68" t="str">
            <v>P005180</v>
          </cell>
          <cell r="D68">
            <v>22</v>
          </cell>
          <cell r="E68">
            <v>590</v>
          </cell>
          <cell r="F68">
            <v>389</v>
          </cell>
          <cell r="G68">
            <v>223</v>
          </cell>
          <cell r="H68">
            <v>0.23</v>
          </cell>
          <cell r="I68">
            <v>0</v>
          </cell>
          <cell r="J68" t="str">
            <v>Новинка</v>
          </cell>
          <cell r="L68">
            <v>635</v>
          </cell>
          <cell r="M68">
            <v>-246</v>
          </cell>
          <cell r="P68">
            <v>0</v>
          </cell>
          <cell r="Q68">
            <v>77.8</v>
          </cell>
          <cell r="R68">
            <v>750</v>
          </cell>
          <cell r="T68">
            <v>0</v>
          </cell>
          <cell r="U68">
            <v>12.506426735218509</v>
          </cell>
          <cell r="V68">
            <v>2.8663239074550129</v>
          </cell>
          <cell r="W68">
            <v>72.2</v>
          </cell>
          <cell r="X68">
            <v>40.6</v>
          </cell>
          <cell r="Y68">
            <v>0</v>
          </cell>
          <cell r="Z68">
            <v>7.6</v>
          </cell>
          <cell r="AA68" t="e">
            <v>#N/A</v>
          </cell>
          <cell r="AB68">
            <v>172.5</v>
          </cell>
          <cell r="AC68">
            <v>6</v>
          </cell>
          <cell r="AD68">
            <v>126</v>
          </cell>
          <cell r="AE68">
            <v>173.88</v>
          </cell>
          <cell r="AF68">
            <v>14</v>
          </cell>
          <cell r="AG68">
            <v>140</v>
          </cell>
        </row>
        <row r="69">
          <cell r="A69" t="str">
            <v>Чебуреки Мясные вес 2,7 кг ТМ Зареченские ТС Зареченские продукты   Поком</v>
          </cell>
          <cell r="B69" t="str">
            <v>кг</v>
          </cell>
          <cell r="C69" t="str">
            <v>P003478</v>
          </cell>
          <cell r="D69">
            <v>67.5</v>
          </cell>
          <cell r="E69">
            <v>10.8</v>
          </cell>
          <cell r="F69">
            <v>56.7</v>
          </cell>
          <cell r="G69">
            <v>10.8</v>
          </cell>
          <cell r="H69">
            <v>1</v>
          </cell>
          <cell r="I69" t="e">
            <v>#N/A</v>
          </cell>
          <cell r="J69" t="e">
            <v>#N/A</v>
          </cell>
          <cell r="L69">
            <v>108</v>
          </cell>
          <cell r="M69">
            <v>-51.3</v>
          </cell>
          <cell r="P69">
            <v>0</v>
          </cell>
          <cell r="Q69">
            <v>11.34</v>
          </cell>
          <cell r="R69">
            <v>140</v>
          </cell>
          <cell r="T69">
            <v>0</v>
          </cell>
          <cell r="U69">
            <v>13.298059964726633</v>
          </cell>
          <cell r="V69">
            <v>0.95238095238095244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 t="e">
            <v>#N/A</v>
          </cell>
          <cell r="AB69">
            <v>140</v>
          </cell>
          <cell r="AC69">
            <v>1</v>
          </cell>
          <cell r="AD69">
            <v>140</v>
          </cell>
          <cell r="AE69">
            <v>140</v>
          </cell>
          <cell r="AF69">
            <v>14</v>
          </cell>
          <cell r="AG69">
            <v>126</v>
          </cell>
        </row>
        <row r="70">
          <cell r="A70" t="str">
            <v>Чебуреки сочные ТМ Зареченские ТС Зареченские продукты.  Поком</v>
          </cell>
          <cell r="B70" t="str">
            <v>кг</v>
          </cell>
          <cell r="C70" t="str">
            <v>P003476</v>
          </cell>
          <cell r="D70">
            <v>60</v>
          </cell>
          <cell r="F70">
            <v>60</v>
          </cell>
          <cell r="H70">
            <v>1</v>
          </cell>
          <cell r="I70">
            <v>0</v>
          </cell>
          <cell r="J70" t="e">
            <v>#N/A</v>
          </cell>
          <cell r="L70">
            <v>75</v>
          </cell>
          <cell r="M70">
            <v>-15</v>
          </cell>
          <cell r="P70">
            <v>150</v>
          </cell>
          <cell r="Q70">
            <v>12</v>
          </cell>
          <cell r="R70">
            <v>50</v>
          </cell>
          <cell r="S70">
            <v>50</v>
          </cell>
          <cell r="T70">
            <v>0</v>
          </cell>
          <cell r="U70">
            <v>16.666666666666668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28</v>
          </cell>
          <cell r="AA70" t="e">
            <v>#N/A</v>
          </cell>
          <cell r="AB70">
            <v>50</v>
          </cell>
          <cell r="AC70">
            <v>1</v>
          </cell>
          <cell r="AD70">
            <v>48</v>
          </cell>
          <cell r="AE70">
            <v>48</v>
          </cell>
          <cell r="AF70">
            <v>12</v>
          </cell>
          <cell r="AG70">
            <v>84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АСП1 ЗПФ Мелитополь</v>
          </cell>
          <cell r="B7">
            <v>15344.5</v>
          </cell>
        </row>
        <row r="8">
          <cell r="A8" t="str">
            <v>ПОКОМ Логистический Партнер</v>
          </cell>
          <cell r="B8">
            <v>15344.5</v>
          </cell>
        </row>
        <row r="9">
          <cell r="A9" t="str">
            <v>Заморозка Зареченские Логистический партнер (кг)</v>
          </cell>
          <cell r="B9">
            <v>720.8</v>
          </cell>
        </row>
        <row r="10">
          <cell r="A10" t="str">
            <v>Мини-сосиски в тесте 5кг ВЕС ТМ Зареченские  ПОКОМ</v>
          </cell>
          <cell r="B10">
            <v>150</v>
          </cell>
        </row>
        <row r="11">
          <cell r="A11" t="str">
            <v>Мини-шарики с курочкой и сыром ТМ Зареченские ВЕС ПОКОМ</v>
          </cell>
          <cell r="B11">
            <v>33</v>
          </cell>
        </row>
        <row r="12">
          <cell r="A12" t="str">
            <v>Наггетсы Хрустящие ТМ Зареченские ТС Зареченские продукты. Поком</v>
          </cell>
          <cell r="B12">
            <v>76</v>
          </cell>
        </row>
        <row r="13">
          <cell r="A13" t="str">
            <v>Чебуреки Мясные вес 2,7 кг ТМ Зареченские ТС Зареченские продукты   Поком</v>
          </cell>
          <cell r="B13">
            <v>21.8</v>
          </cell>
        </row>
        <row r="14">
          <cell r="A14" t="str">
            <v>Чебуреки сочные ТМ Зареченские ТС Зареченские продукты.  Поком</v>
          </cell>
          <cell r="B14">
            <v>440</v>
          </cell>
        </row>
        <row r="15">
          <cell r="A15" t="str">
            <v>Заморозка Зареченские Логистический партнер (шт)</v>
          </cell>
          <cell r="B15">
            <v>333</v>
          </cell>
        </row>
        <row r="16">
          <cell r="A16" t="str">
            <v>Пельмени Домашние со сливочным маслом ТМ Зареченские  продукты флоу-пак сфера 0,7 кг.  Поком</v>
          </cell>
          <cell r="B16">
            <v>333</v>
          </cell>
        </row>
        <row r="17">
          <cell r="A17" t="str">
            <v>Логистический Партнер Кг</v>
          </cell>
          <cell r="B17">
            <v>17.5</v>
          </cell>
        </row>
        <row r="18">
          <cell r="A18" t="str">
            <v xml:space="preserve"> 219  Колбаса Докторская Особая ТМ Особый рецепт, ВЕС  ПОКОМ</v>
          </cell>
          <cell r="B18">
            <v>7.5</v>
          </cell>
        </row>
        <row r="19">
          <cell r="A19" t="str">
            <v xml:space="preserve"> 456  Колбаса Филейная ТМ Особый рецепт ВЕС большой батон  ПОКОМ</v>
          </cell>
          <cell r="B19">
            <v>2.5</v>
          </cell>
        </row>
        <row r="20">
          <cell r="A20" t="str">
            <v xml:space="preserve"> 457  Колбаса Молочная ТМ Особый рецепт ВЕС большой батон  ПОКОМ</v>
          </cell>
          <cell r="B20">
            <v>7.5</v>
          </cell>
        </row>
        <row r="21">
          <cell r="A21" t="str">
            <v>Логистический Партнер Шт</v>
          </cell>
          <cell r="B21">
            <v>1</v>
          </cell>
        </row>
        <row r="22">
          <cell r="A22" t="str">
            <v xml:space="preserve"> 394 Колбаса полукопченая Аль-Ислами халяль ТМ Вязанка оболочка фиброуз в в/у 0,35 кг  ПОКОМ</v>
          </cell>
          <cell r="B22">
            <v>1</v>
          </cell>
        </row>
        <row r="23">
          <cell r="A23" t="str">
            <v>ПОКОМ Логистический Партнер Заморозка</v>
          </cell>
          <cell r="B23">
            <v>14272.2</v>
          </cell>
        </row>
        <row r="24">
          <cell r="A24" t="str">
            <v>БОНУС_Готовые чебупели сочные с мясом ТМ Горячая штучка флоу-пак 0,24 кг  ПОКОМ</v>
          </cell>
          <cell r="B24">
            <v>7</v>
          </cell>
        </row>
        <row r="25">
          <cell r="A25" t="str">
            <v>БОНУС_Пельмени Бульмени со сливочным маслом ТМ Горячая штучка флоу-пак сфера 0,7 кг .  Поком</v>
          </cell>
          <cell r="B25">
            <v>11</v>
          </cell>
        </row>
        <row r="26">
          <cell r="A26" t="str">
            <v>БОНУС_Чебупицца курочка по-итальянски Горячая штучка 0,25 кг зам  ПОКОМ</v>
          </cell>
          <cell r="B26">
            <v>25</v>
          </cell>
        </row>
        <row r="27">
          <cell r="A27" t="str">
            <v>Бульмени хрустящие с мясом ТМ Горячая штучка ТС Бульмени ГШ сфера 0,22 кг  Поком</v>
          </cell>
          <cell r="B27">
            <v>90</v>
          </cell>
        </row>
        <row r="28">
          <cell r="A28" t="str">
            <v>Готовые бельмеши сочные с мясом ТМ Горячая штучка 0,3кг зам  ПОКОМ</v>
          </cell>
          <cell r="B28">
            <v>174</v>
          </cell>
        </row>
        <row r="29">
          <cell r="A29" t="str">
            <v>Готовые чебуманы с говядиной ТМ горячая штучка 0,28 кг.  Поком</v>
          </cell>
          <cell r="B29">
            <v>292</v>
          </cell>
        </row>
        <row r="30">
          <cell r="A30" t="str">
            <v>Готовые чебупели острые с мясом ТМ Горячая штучка флоу-пак 0,24 кг  Поком</v>
          </cell>
          <cell r="B30">
            <v>454</v>
          </cell>
        </row>
        <row r="31">
          <cell r="A31" t="str">
            <v>Готовые чебупели с ветчиной и сыром ТМ Горячая штучка флоу-пак 0,24 кг.  ПОКОМ</v>
          </cell>
          <cell r="B31">
            <v>575</v>
          </cell>
        </row>
        <row r="32">
          <cell r="A32" t="str">
            <v>Готовые чебупели с мясом ТМ Горячая штучка 0,24 кг  ПОКОМ</v>
          </cell>
          <cell r="B32">
            <v>258</v>
          </cell>
        </row>
        <row r="33">
          <cell r="A33" t="str">
            <v>Готовые чебупели сочные с мясом ТМ Горячая штучка флоу-пак 0,24 кг  ПОКОМ</v>
          </cell>
          <cell r="B33">
            <v>294</v>
          </cell>
        </row>
        <row r="34">
          <cell r="A34" t="str">
            <v>Готовые чебупели сочные с мясом ТМ Горячая штучка флоу-пак 0,48 кг XXL  Поком</v>
          </cell>
          <cell r="B34">
            <v>65</v>
          </cell>
        </row>
        <row r="35">
          <cell r="A35" t="str">
            <v>Готовые чебуреки со свининой и говядиной ТМ Горячая штучка ТС Базовый ассортимент 0,36 кг  ПОКОМ</v>
          </cell>
          <cell r="B35">
            <v>477</v>
          </cell>
        </row>
        <row r="36">
          <cell r="A36" t="str">
            <v>Жареные вареники с картофелем и беконом ТМ Стародворье 0,2 кг  ПОКОМ</v>
          </cell>
          <cell r="B36">
            <v>70</v>
          </cell>
        </row>
        <row r="37">
          <cell r="A37" t="str">
            <v>Круггетсы с сырным соусом ТМ Горячая штучка ТС Круггетсы флоу-пак 0,2 кг  ПОКОМ</v>
          </cell>
          <cell r="B37">
            <v>324</v>
          </cell>
        </row>
        <row r="38">
          <cell r="A38" t="str">
            <v>Мини-чебуреки с мясом ТМ Зареченские ТС Зареченские продукты ПОКОМ</v>
          </cell>
          <cell r="B38">
            <v>83.2</v>
          </cell>
        </row>
        <row r="39">
          <cell r="A39" t="str">
            <v>Наггетсы из печи 0,25кг ТМ Вязанка замор.  ПОКОМ</v>
          </cell>
          <cell r="B39">
            <v>491</v>
          </cell>
        </row>
        <row r="40">
          <cell r="A40" t="str">
            <v>Наггетсы Нагетосы Сочная курочка в хрустящей панировке ТМ Горячая штучка флоу-пак 0,25 кг  ПОКОМ</v>
          </cell>
          <cell r="B40">
            <v>2</v>
          </cell>
        </row>
        <row r="41">
          <cell r="A41" t="str">
            <v>Наггетсы Нагетосы Сочная курочка со сметаной и зеленью ТМ Горячая штучка флоу-пак 0,25 кг  Поком</v>
          </cell>
          <cell r="B41">
            <v>109</v>
          </cell>
        </row>
        <row r="42">
          <cell r="A42" t="str">
            <v>Наггетсы Нагетосы Сочная курочка ТМ Горячая штучка 0,25 кг зам  ПОКОМ</v>
          </cell>
          <cell r="B42">
            <v>405</v>
          </cell>
        </row>
        <row r="43">
          <cell r="A43" t="str">
            <v>Наггетсы с индейкой 0,25кг ТМ Вязанка ТС Из печи Сливушки ПОКОМ</v>
          </cell>
          <cell r="B43">
            <v>571</v>
          </cell>
        </row>
        <row r="44">
          <cell r="A44" t="str">
            <v>Наггетсы с куриным филе и сыром ТМ Вязанка ТС Из печи Сливушки 0,25 кг.  Поком</v>
          </cell>
          <cell r="B44">
            <v>595</v>
          </cell>
        </row>
        <row r="45">
          <cell r="A45" t="str">
            <v>Наггетсы хрустящие п/ф ВЕС ПОКОМ</v>
          </cell>
          <cell r="B45">
            <v>262</v>
          </cell>
        </row>
        <row r="46">
          <cell r="A46" t="str">
            <v>Наггетсы Хрустящие ТМ Стародворье с сочной курочкой 0,23 кг  ПОКОМ</v>
          </cell>
          <cell r="B46">
            <v>96</v>
          </cell>
        </row>
        <row r="47">
          <cell r="A47" t="str">
            <v>Пельмени Grandmeni с говядиной и свининой ТМ Горячаяштучка флоу-па классическая форма 0,7 кг.  Поком</v>
          </cell>
          <cell r="B47">
            <v>116</v>
          </cell>
        </row>
        <row r="48">
          <cell r="A48" t="str">
            <v>Пельмени Grandmeni с говядиной ТМ Горячаяштучка флоу-пак сфера 0,7 кг.  Поком</v>
          </cell>
          <cell r="B48">
            <v>18</v>
          </cell>
        </row>
        <row r="49">
          <cell r="A49" t="str">
            <v>Пельмени Grandmeni со сливочным маслом  ТМ Горячая штучка флоу-пак сфера 0,7 кг.  Поком</v>
          </cell>
          <cell r="B49">
            <v>179</v>
          </cell>
        </row>
        <row r="50">
          <cell r="A50" t="str">
            <v>Пельмени Бигбули #МЕГАВКУСИЩЕ с сочной грудинкой  ТМ Горячая штучка  флоу-пак сфера 0,7 кг.  Поком</v>
          </cell>
          <cell r="B50">
            <v>497</v>
          </cell>
        </row>
        <row r="51">
          <cell r="A51" t="str">
            <v>Пельмени Бигбули с мясом ТМ Горячая штучка БУЛЬМЕНИ ТС Бигбули ГШ  флоу-пак сфера 0,7.   Поком</v>
          </cell>
          <cell r="B51">
            <v>160</v>
          </cell>
        </row>
        <row r="52">
          <cell r="A52" t="str">
            <v>Пельмени Бигбули со сливочным маслом  ТС Бигбули ГШ#МЕГАМАСЛИЩЕ флоу-пак сфера 0,7.  Поком</v>
          </cell>
          <cell r="B52">
            <v>483</v>
          </cell>
        </row>
        <row r="53">
          <cell r="A53" t="str">
            <v>Пельмени Бульмени мини с мясом и оливковым маслом  ТС Бульмени ГШ флоу-пак сфера 0,7кг  Поком</v>
          </cell>
          <cell r="B53">
            <v>345</v>
          </cell>
        </row>
        <row r="54">
          <cell r="A54" t="str">
            <v>Пельмени Бульмени с говядиной и свининой Наваристые Горячая штучка ВЕС  ПОКОМ</v>
          </cell>
          <cell r="B54">
            <v>505</v>
          </cell>
        </row>
        <row r="55">
          <cell r="A55" t="str">
            <v>Пельмени Бульмени с говядиной и свининой ТМ Горячая штучка  флоу-пак сфера 0,4 кг  Поком</v>
          </cell>
          <cell r="B55">
            <v>341</v>
          </cell>
        </row>
        <row r="56">
          <cell r="A56" t="str">
            <v>Пельмени Бульмени с говядиной и свининой ТМ Горячая штучка БУЛЬМЕНИ  флоу-пак сфера 0,7 кг.  Поком</v>
          </cell>
          <cell r="B56">
            <v>827</v>
          </cell>
        </row>
        <row r="57">
          <cell r="A57" t="str">
            <v>Пельмени Бульмени со сливочным маслом ТМ Горячая штучка  флоу-пак сфера 0,4 кг .  Поком</v>
          </cell>
          <cell r="B57">
            <v>434</v>
          </cell>
        </row>
        <row r="58">
          <cell r="A58" t="str">
            <v>Пельмени Бульмени со сливочным маслом ТМ Горячая штучка флоу-пак сфера 0,7 кг .  Поком</v>
          </cell>
          <cell r="B58">
            <v>855</v>
          </cell>
        </row>
        <row r="59">
          <cell r="A59" t="str">
            <v>Пельмени Мясные с говядиной ТМ Стародворье сфера флоу-пак 1 кг  ПОКОМ</v>
          </cell>
          <cell r="B59">
            <v>211</v>
          </cell>
        </row>
        <row r="60">
          <cell r="A60" t="str">
            <v>Пельмени Отборные из свинины и говядины 0,9 кг ТМ Стародворье ТС Медвежье ушко  ПОКОМ</v>
          </cell>
          <cell r="B60">
            <v>161</v>
          </cell>
        </row>
        <row r="61">
          <cell r="A61" t="str">
            <v>Пельмени Отборные с говядиной 0,9 кг НОВА ТМ Стародворье ТС Медвежье ушко  ПОКОМ</v>
          </cell>
          <cell r="B61">
            <v>221</v>
          </cell>
        </row>
        <row r="62">
          <cell r="A62" t="str">
            <v>Пельмени С говядиной и свининой, ВЕС, ТМ Славница сфера пуговки  ПОКОМ</v>
          </cell>
          <cell r="B62">
            <v>45</v>
          </cell>
        </row>
        <row r="63">
          <cell r="A63" t="str">
            <v>Пельмени Со свининой и говядиной ТМ Особый рецепт Любимая ложка 1,0 кг  ПОКОМ</v>
          </cell>
          <cell r="B63">
            <v>320</v>
          </cell>
        </row>
        <row r="64">
          <cell r="A64" t="str">
            <v>Хотстеры Васаби-чили ТМ Горячая штучка ТС Хотстеры 0,23кг жареные ПОКОМ</v>
          </cell>
          <cell r="B64">
            <v>200</v>
          </cell>
        </row>
        <row r="65">
          <cell r="A65" t="str">
            <v>Хотстеры с сыром ТМ Горячая штучка ТС Хотстеры 0,25кг.  Поком</v>
          </cell>
          <cell r="B65">
            <v>128</v>
          </cell>
        </row>
        <row r="66">
          <cell r="A66" t="str">
            <v>Хотстеры ТМ Горячая штучка ТС Хотстеры 0,25 кг зам  ПОКОМ</v>
          </cell>
          <cell r="B66">
            <v>216</v>
          </cell>
        </row>
        <row r="67">
          <cell r="A67" t="str">
            <v>Хрустипай апельсин имбирь ТМ Горячая штучка 0,18 кг  ПОКОМ</v>
          </cell>
          <cell r="B67">
            <v>14</v>
          </cell>
        </row>
        <row r="68">
          <cell r="A68" t="str">
            <v>Хрустипай манго маракуйя ТМ Горячая штучка 0,18 кг  ПОКОМ</v>
          </cell>
          <cell r="B68">
            <v>15</v>
          </cell>
        </row>
        <row r="69">
          <cell r="A69" t="str">
            <v>Хрустипай манго чили ТМ Горячая штучка 0,18кг с начинкой ПОКОМ</v>
          </cell>
          <cell r="B69">
            <v>10</v>
          </cell>
        </row>
        <row r="70">
          <cell r="A70" t="str">
            <v>Хрустящие крылышки острые к пиву ТМ Горячая штучка 0,3кг зам  ПОКОМ</v>
          </cell>
          <cell r="B70">
            <v>394</v>
          </cell>
        </row>
        <row r="71">
          <cell r="A71" t="str">
            <v>Хрустящие крылышки ТМ Горячая штучка 0,3 кг зам  ПОКОМ</v>
          </cell>
          <cell r="B71">
            <v>87</v>
          </cell>
        </row>
        <row r="72">
          <cell r="A72" t="str">
            <v>Чебупели Курочка гриль Базовый ассортимент Фикс.вес 0,3 Пакет Горячая штучка  Поком</v>
          </cell>
          <cell r="B72">
            <v>49</v>
          </cell>
        </row>
        <row r="73">
          <cell r="A73" t="str">
            <v>Чебупицца курочка по-итальянски Горячая штучка 0,25 кг зам  ПОКОМ</v>
          </cell>
          <cell r="B73">
            <v>602</v>
          </cell>
        </row>
        <row r="74">
          <cell r="A74" t="str">
            <v>Чебупицца Пепперони ТМ Горячая штучка ТС Чебупицца 0.25кг зам  ПОКОМ</v>
          </cell>
          <cell r="B74">
            <v>742</v>
          </cell>
        </row>
        <row r="75">
          <cell r="A75" t="str">
            <v>Чебупицца со вкусом 4 сыра 0,2кг ТМ Горячая штучка ТС Foodgital  ПОКОМ</v>
          </cell>
          <cell r="B75">
            <v>161</v>
          </cell>
        </row>
        <row r="76">
          <cell r="A76" t="str">
            <v>Чебупицца со вкусом Том ям ТМ Горячая штучка ТС Чебупицца 0,23кг жареные ПОКОМ</v>
          </cell>
          <cell r="B76">
            <v>206</v>
          </cell>
        </row>
        <row r="77">
          <cell r="A77" t="str">
            <v>АСП1 Мелитополь ПОКОМ</v>
          </cell>
          <cell r="B77">
            <v>28263.262999999999</v>
          </cell>
        </row>
        <row r="78">
          <cell r="A78" t="str">
            <v>ПОКОМ Логистический Партнер</v>
          </cell>
          <cell r="B78">
            <v>28263.262999999999</v>
          </cell>
        </row>
        <row r="79">
          <cell r="A79" t="str">
            <v>Вязанка Логистический Партнер(Кг)</v>
          </cell>
          <cell r="B79">
            <v>3028.973</v>
          </cell>
        </row>
        <row r="80">
          <cell r="A80" t="str">
            <v xml:space="preserve"> 005  Колбаса Докторская ГОСТ, Вязанка вектор,ВЕС. ПОКОМ</v>
          </cell>
          <cell r="B80">
            <v>306.10000000000002</v>
          </cell>
        </row>
        <row r="81">
          <cell r="A81" t="str">
            <v xml:space="preserve"> 011  Колбаса Салями Финская, Вязанка фиброуз в/у, ПОКОМ</v>
          </cell>
          <cell r="B81">
            <v>5</v>
          </cell>
        </row>
        <row r="82">
          <cell r="A82" t="str">
            <v xml:space="preserve"> 016  Сосиски Вязанка Молочные, Вязанка вискофан  ВЕС.ПОКОМ</v>
          </cell>
          <cell r="B82">
            <v>753.75</v>
          </cell>
        </row>
        <row r="83">
          <cell r="A83" t="str">
            <v xml:space="preserve"> 017  Сосиски Вязанка Сливочные, Вязанка амицел ВЕС.ПОКОМ</v>
          </cell>
          <cell r="B83">
            <v>692.7</v>
          </cell>
        </row>
        <row r="84">
          <cell r="A84" t="str">
            <v xml:space="preserve"> 312  Ветчина Филейская ВЕС ТМ  Вязанка ТС Столичная  ПОКОМ</v>
          </cell>
          <cell r="B84">
            <v>36.35</v>
          </cell>
        </row>
        <row r="85">
          <cell r="A85" t="str">
            <v xml:space="preserve"> 315  Колбаса вареная Молокуша ТМ Вязанка ВЕС, ПОКОМ</v>
          </cell>
          <cell r="B85">
            <v>107.8</v>
          </cell>
        </row>
        <row r="86">
          <cell r="A86" t="str">
            <v xml:space="preserve"> 330  Колбаса вареная Филейская ТМ Вязанка ТС Классическая ВЕС  ПОКОМ</v>
          </cell>
          <cell r="B86">
            <v>141.30000000000001</v>
          </cell>
        </row>
        <row r="87">
          <cell r="A87" t="str">
            <v xml:space="preserve"> 335  Колбаса Сливушка ТМ Вязанка. ВЕС.  ПОКОМ </v>
          </cell>
          <cell r="B87">
            <v>50.262999999999998</v>
          </cell>
        </row>
        <row r="88">
          <cell r="A88" t="str">
            <v xml:space="preserve"> 336  Ветчина Сливушка с индейкой ТМ Вязанка. ВЕС  ПОКОМ</v>
          </cell>
          <cell r="B88">
            <v>25.35</v>
          </cell>
        </row>
        <row r="89">
          <cell r="A89" t="str">
            <v xml:space="preserve"> 364  Сардельки Филейские Вязанка ВЕС NDX ТМ Вязанка  ПОКОМ</v>
          </cell>
          <cell r="B89">
            <v>342.1</v>
          </cell>
        </row>
        <row r="90">
          <cell r="A90" t="str">
            <v xml:space="preserve"> 506  Сосиски Филейские рубленые ТМ Вязанка в оболочке целлофан в м/г среде. ВЕС.ПОКОМ</v>
          </cell>
          <cell r="B90">
            <v>3</v>
          </cell>
        </row>
        <row r="91">
          <cell r="A91" t="str">
            <v xml:space="preserve"> 556  Колбаса Сервелат Ореховый ТМ Вязанка в оболочке фиброуз в вакуумной упаковке, ВЕС  ПОКОМ</v>
          </cell>
          <cell r="B91">
            <v>253.3</v>
          </cell>
        </row>
        <row r="92">
          <cell r="A92" t="str">
            <v xml:space="preserve"> 558  Колбаса Балыковая НОВАЯ ВЕС Вязанка фиброуз в/у ПОКОМ</v>
          </cell>
          <cell r="B92">
            <v>298.81</v>
          </cell>
        </row>
        <row r="93">
          <cell r="A93" t="str">
            <v>503 Колбаса Филейская со шпиком ТМ Вязанка в оболочке полиамид.ПОКОМ</v>
          </cell>
          <cell r="B93">
            <v>13.15</v>
          </cell>
        </row>
        <row r="94">
          <cell r="A94" t="str">
            <v>Вязанка Логистический Партнер(Шт)</v>
          </cell>
          <cell r="B94">
            <v>2592</v>
          </cell>
        </row>
        <row r="95">
          <cell r="A95" t="str">
            <v xml:space="preserve"> 023  Колбаса Докторская ГОСТ, Вязанка вектор, 0,4 кг, ПОКОМ</v>
          </cell>
          <cell r="B95">
            <v>41</v>
          </cell>
        </row>
        <row r="96">
          <cell r="A96" t="str">
            <v xml:space="preserve"> 030  Сосиски Вязанка Молочные, Вязанка вискофан МГС, 0.45кг, ПОКОМ</v>
          </cell>
          <cell r="B96">
            <v>349</v>
          </cell>
        </row>
        <row r="97">
          <cell r="A97" t="str">
            <v xml:space="preserve"> 032  Сосиски Вязанка Сливочные, Вязанка амицел МГС, 0.45кг, ПОКОМ</v>
          </cell>
          <cell r="B97">
            <v>467</v>
          </cell>
        </row>
        <row r="98">
          <cell r="A98" t="str">
            <v xml:space="preserve"> 276  Колбаса Сливушка ТМ Вязанка в оболочке полиамид 0,45 кг  ПОКОМ</v>
          </cell>
          <cell r="B98">
            <v>272</v>
          </cell>
        </row>
        <row r="99">
          <cell r="A99" t="str">
            <v xml:space="preserve"> 319  Колбаса вареная Филейская ТМ Вязанка ТС Классическая, 0,45 кг. ПОКОМ</v>
          </cell>
          <cell r="B99">
            <v>147</v>
          </cell>
        </row>
        <row r="100">
          <cell r="A100" t="str">
            <v xml:space="preserve"> 322  Колбаса вареная Молокуша 0,45кг ТМ Вязанка  ПОКОМ</v>
          </cell>
          <cell r="B100">
            <v>273</v>
          </cell>
        </row>
        <row r="101">
          <cell r="A101" t="str">
            <v xml:space="preserve"> 339  Колбаса вареная Филейская ТМ Вязанка ТС Классическая, 0,40 кг.  ПОКОМ</v>
          </cell>
          <cell r="B101">
            <v>24</v>
          </cell>
        </row>
        <row r="102">
          <cell r="A102" t="str">
            <v xml:space="preserve"> 355  Колбаса Сервелат запеченный ТМ Стародворье ТС Дугушка. 0,6 кг. ПОКОМ</v>
          </cell>
          <cell r="B102">
            <v>17</v>
          </cell>
        </row>
        <row r="103">
          <cell r="A103" t="str">
            <v xml:space="preserve"> 387  Колбаса вареная Мусульманская Халяль ТМ Вязанка, 0,4 кг ПОКОМ</v>
          </cell>
          <cell r="B103">
            <v>117</v>
          </cell>
        </row>
        <row r="104">
          <cell r="A104" t="str">
            <v xml:space="preserve"> 388  Сосиски Восточные Халяль ТМ Вязанка 0,33 кг АК. ПОКОМ</v>
          </cell>
          <cell r="B104">
            <v>129</v>
          </cell>
        </row>
        <row r="105">
          <cell r="A105" t="str">
            <v xml:space="preserve"> 395  Колбаса Докторская ГОСТ ТМ Вязанка в оболочке полиамид 0,37 кг. ПОКОМ</v>
          </cell>
          <cell r="B105">
            <v>196</v>
          </cell>
        </row>
        <row r="106">
          <cell r="A106" t="str">
            <v xml:space="preserve"> 405  Сардельки Сливушки ТМ Вязанка в оболочке айпил 0,33 кг. ПОКОМ</v>
          </cell>
          <cell r="B106">
            <v>25</v>
          </cell>
        </row>
        <row r="107">
          <cell r="A107" t="str">
            <v xml:space="preserve"> 408  Ветчина Сливушка с индейкой ТМ Вязанка, 0,4кг  ПОКОМ</v>
          </cell>
          <cell r="B107">
            <v>125</v>
          </cell>
        </row>
        <row r="108">
          <cell r="A108" t="str">
            <v xml:space="preserve"> 490  Колбаса Сервелат Филейский ТМ Вязанка  0,3 кг. срез  ПОКОМ</v>
          </cell>
          <cell r="B108">
            <v>2</v>
          </cell>
        </row>
        <row r="109">
          <cell r="A109" t="str">
            <v xml:space="preserve"> 491  Колбаса Филейская Рубленая ТМ Вязанка  0,3 кг. срез.  ПОКОМ</v>
          </cell>
          <cell r="B109">
            <v>2</v>
          </cell>
        </row>
        <row r="110">
          <cell r="A110" t="str">
            <v xml:space="preserve"> 569  Колбаса Балыковая ТМ Вязанка в оболочке фиброуз в вакуумной упаковке 0,28 кг срез.  ПОКОМ</v>
          </cell>
          <cell r="B110">
            <v>193</v>
          </cell>
        </row>
        <row r="111">
          <cell r="A111" t="str">
            <v xml:space="preserve"> 571  Колбаса Сервелат Ореховый ТМ Вязанка в оболочке фиброуз в вак. упаковке 0,28 кг срез  ПОКОМ</v>
          </cell>
          <cell r="B111">
            <v>213</v>
          </cell>
        </row>
        <row r="112">
          <cell r="A112" t="str">
            <v>Зареченские Логистический Партнер (кг)</v>
          </cell>
          <cell r="B112">
            <v>145</v>
          </cell>
        </row>
        <row r="113">
          <cell r="A113" t="str">
            <v xml:space="preserve"> 317 Колбаса Сервелат Рижский ТМ Зареченские, ВЕС  ПОКОМ</v>
          </cell>
          <cell r="B113">
            <v>2.4</v>
          </cell>
        </row>
        <row r="114">
          <cell r="A114" t="str">
            <v xml:space="preserve"> 318  Сосиски Датские ТМ Зареченские, ВЕС  ПОКОМ</v>
          </cell>
          <cell r="B114">
            <v>142.6</v>
          </cell>
        </row>
        <row r="115">
          <cell r="A115" t="str">
            <v>Логистический Партнер Кг</v>
          </cell>
          <cell r="B115">
            <v>15879.09</v>
          </cell>
        </row>
        <row r="116">
          <cell r="A116" t="str">
            <v xml:space="preserve"> 200  Ветчина Дугушка ТМ Стародворье, вектор в/у    ПОКОМ</v>
          </cell>
          <cell r="B116">
            <v>429.29</v>
          </cell>
        </row>
        <row r="117">
          <cell r="A117" t="str">
            <v xml:space="preserve"> 201  Ветчина Нежная ТМ Особый рецепт, (2,5кг), ПОКОМ</v>
          </cell>
          <cell r="B117">
            <v>1937.01</v>
          </cell>
        </row>
        <row r="118">
          <cell r="A118" t="str">
            <v xml:space="preserve"> 215  Колбаса Докторская ГОСТ Дугушка, ВЕС, ТМ Стародворье ПОКОМ</v>
          </cell>
          <cell r="B118">
            <v>75.94</v>
          </cell>
        </row>
        <row r="119">
          <cell r="A119" t="str">
            <v xml:space="preserve"> 219  Колбаса Докторская Особая ТМ Особый рецепт, ВЕС  ПОКОМ</v>
          </cell>
          <cell r="B119">
            <v>1597.5</v>
          </cell>
        </row>
        <row r="120">
          <cell r="A120" t="str">
            <v xml:space="preserve"> 225  Колбаса Дугушка со шпиком, ВЕС, ТМ Стародворье   ПОКОМ</v>
          </cell>
          <cell r="B120">
            <v>23.36</v>
          </cell>
        </row>
        <row r="121">
          <cell r="A121" t="str">
            <v xml:space="preserve"> 226  Колбаса Княжеская, с/к белков.обол в термоусад. пакете, ВЕС, ТМ Стародворье ПОКОМ</v>
          </cell>
          <cell r="B121">
            <v>21.85</v>
          </cell>
        </row>
        <row r="122">
          <cell r="A122" t="str">
            <v xml:space="preserve"> 229  Колбаса Молочная Дугушка, в/у, ВЕС, ТМ Стародворье   ПОКОМ</v>
          </cell>
          <cell r="B122">
            <v>488.34</v>
          </cell>
        </row>
        <row r="123">
          <cell r="A123" t="str">
            <v xml:space="preserve"> 236  Колбаса Рубленая ЗАПЕЧ. Дугушка ТМ Стародворье, вектор, в/к    ПОКОМ</v>
          </cell>
          <cell r="B123">
            <v>54.06</v>
          </cell>
        </row>
        <row r="124">
          <cell r="A124" t="str">
            <v xml:space="preserve"> 239  Колбаса Салями запеч Дугушка, оболочка вектор, ВЕС, ТМ Стародворье  ПОКОМ</v>
          </cell>
          <cell r="B124">
            <v>179.45</v>
          </cell>
        </row>
        <row r="125">
          <cell r="A125" t="str">
            <v xml:space="preserve"> 240  Колбаса Салями охотничья, ВЕС. ПОКОМ</v>
          </cell>
          <cell r="B125">
            <v>17.12</v>
          </cell>
        </row>
        <row r="126">
          <cell r="A126" t="str">
            <v xml:space="preserve"> 242  Колбаса Сервелат ЗАПЕЧ.Дугушка ТМ Стародворье, вектор, в/к     ПОКОМ</v>
          </cell>
          <cell r="B126">
            <v>246.84</v>
          </cell>
        </row>
        <row r="127">
          <cell r="A127" t="str">
            <v xml:space="preserve"> 243  Колбаса Сервелат Зернистый, ВЕС.  ПОКОМ</v>
          </cell>
          <cell r="B127">
            <v>61.7</v>
          </cell>
        </row>
        <row r="128">
          <cell r="A128" t="str">
            <v xml:space="preserve"> 247  Сардельки Нежные, ВЕС.  ПОКОМ</v>
          </cell>
          <cell r="B128">
            <v>82.2</v>
          </cell>
        </row>
        <row r="129">
          <cell r="A129" t="str">
            <v xml:space="preserve"> 248  Сардельки Сочные ТМ Особый рецепт,   ПОКОМ</v>
          </cell>
          <cell r="B129">
            <v>255.9</v>
          </cell>
        </row>
        <row r="130">
          <cell r="A130" t="str">
            <v xml:space="preserve"> 250  Сардельки стародворские с говядиной в обол. NDX, ВЕС. ПОКОМ</v>
          </cell>
          <cell r="B130">
            <v>587.6</v>
          </cell>
        </row>
        <row r="131">
          <cell r="A131" t="str">
            <v xml:space="preserve"> 255  Сосиски Молочные для завтрака ТМ Особый рецепт, п/а МГС, ВЕС, ТМ Стародворье  ПОКОМ</v>
          </cell>
          <cell r="B131">
            <v>922.75</v>
          </cell>
        </row>
        <row r="132">
          <cell r="A132" t="str">
            <v xml:space="preserve"> 257  Сосиски Молочные оригинальные ТМ Особый рецепт, ВЕС.   ПОКОМ</v>
          </cell>
          <cell r="B132">
            <v>98.6</v>
          </cell>
        </row>
        <row r="133">
          <cell r="A133" t="str">
            <v xml:space="preserve"> 263  Шпикачки Стародворские, ВЕС.  ПОКОМ</v>
          </cell>
          <cell r="B133">
            <v>45.9</v>
          </cell>
        </row>
        <row r="134">
          <cell r="A134" t="str">
            <v xml:space="preserve"> 265  Колбаса Балыкбургская, ВЕС, ТМ Баварушка  ПОКОМ</v>
          </cell>
          <cell r="B134">
            <v>81</v>
          </cell>
        </row>
        <row r="135">
          <cell r="A135" t="str">
            <v xml:space="preserve"> 266  Колбаса Филейбургская с сочным окороком, ВЕС, ТМ Баварушка  ПОКОМ</v>
          </cell>
          <cell r="B135">
            <v>78.099999999999994</v>
          </cell>
        </row>
        <row r="136">
          <cell r="A136" t="str">
            <v xml:space="preserve"> 267  Колбаса Салями Филейбургская зернистая, оболочка фиброуз, ВЕС, ТМ Баварушка  ПОКОМ</v>
          </cell>
          <cell r="B136">
            <v>40.299999999999997</v>
          </cell>
        </row>
        <row r="137">
          <cell r="A137" t="str">
            <v xml:space="preserve"> 283  Сосиски Сочинки, ВЕС, ТМ Стародворье ПОКОМ</v>
          </cell>
          <cell r="B137">
            <v>32.799999999999997</v>
          </cell>
        </row>
        <row r="138">
          <cell r="A138" t="str">
            <v xml:space="preserve"> 297  Колбаса Мясорубская с рубленой грудинкой ВЕС ТМ Стародворье  ПОКОМ</v>
          </cell>
          <cell r="B138">
            <v>99</v>
          </cell>
        </row>
        <row r="139">
          <cell r="A139" t="str">
            <v xml:space="preserve"> 304  Колбаса Салями Мясорубская с рубленным шпиком ВЕС ТМ Стародворье  ПОКОМ</v>
          </cell>
          <cell r="B139">
            <v>76.8</v>
          </cell>
        </row>
        <row r="140">
          <cell r="A140" t="str">
            <v xml:space="preserve"> 305  Колбаса Сервелат Мясорубский с мелкорубленным окороком в/у  ТМ Стародворье ВЕС   ПОКОМ</v>
          </cell>
          <cell r="B140">
            <v>119.2</v>
          </cell>
        </row>
        <row r="141">
          <cell r="A141" t="str">
            <v xml:space="preserve"> 340  Сосиски Сочинки Молочные ТМ Стародворье, ВЕС ПОКОМ</v>
          </cell>
          <cell r="B141">
            <v>9.1</v>
          </cell>
        </row>
        <row r="142">
          <cell r="A142" t="str">
            <v xml:space="preserve"> 341 Сосиски Сочинки Сливочные ТМ Стародворье ВЕС ПОКОМ</v>
          </cell>
          <cell r="B142">
            <v>30.5</v>
          </cell>
        </row>
        <row r="143">
          <cell r="A143" t="str">
            <v xml:space="preserve"> 344  Колбаса Сочинка по-европейски с сочной грудинкой ТМ Стародворье, ВЕС ПОКОМ</v>
          </cell>
          <cell r="B143">
            <v>155.69999999999999</v>
          </cell>
        </row>
        <row r="144">
          <cell r="A144" t="str">
            <v xml:space="preserve"> 345  Колбаса Сочинка по-фински с сочным окроком ТМ Стародворье ВЕС ПОКОМ</v>
          </cell>
          <cell r="B144">
            <v>122.9</v>
          </cell>
        </row>
        <row r="145">
          <cell r="A145" t="str">
            <v xml:space="preserve"> 346  Колбаса Сочинка зернистая с сочной грудинкой ТМ Стародворье.ВЕС ПОКОМ</v>
          </cell>
          <cell r="B145">
            <v>431.2</v>
          </cell>
        </row>
        <row r="146">
          <cell r="A146" t="str">
            <v xml:space="preserve"> 347  Колбаса Сочинка рубленая с сочным окороком ТМ Стародворье ВЕС ПОКОМ</v>
          </cell>
          <cell r="B146">
            <v>96.6</v>
          </cell>
        </row>
        <row r="147">
          <cell r="A147" t="str">
            <v xml:space="preserve"> 362  Колбаса Филейбургская с душистым чесноком, ВЕС, ТМ Баварушка  ПОКОМ</v>
          </cell>
          <cell r="B147">
            <v>0.9</v>
          </cell>
        </row>
        <row r="148">
          <cell r="A148" t="str">
            <v xml:space="preserve"> 436  Колбаса Молочная стародворская с молоком, ВЕС, ТМ Стародворье  ПОКОМ</v>
          </cell>
          <cell r="B148">
            <v>19.5</v>
          </cell>
        </row>
        <row r="149">
          <cell r="A149" t="str">
            <v xml:space="preserve"> 449  Колбаса Дугушка Стародворская ВЕС ТС Дугушка ПОКОМ</v>
          </cell>
          <cell r="B149">
            <v>243.2</v>
          </cell>
        </row>
        <row r="150">
          <cell r="A150" t="str">
            <v xml:space="preserve"> 452  Колбаса Со шпиком ВЕС большой батон ТМ Особый рецепт  ПОКОМ</v>
          </cell>
          <cell r="B150">
            <v>1936.5</v>
          </cell>
        </row>
        <row r="151">
          <cell r="A151" t="str">
            <v xml:space="preserve"> 456  Колбаса Филейная ТМ Особый рецепт ВЕС большой батон  ПОКОМ</v>
          </cell>
          <cell r="B151">
            <v>1465.3</v>
          </cell>
        </row>
        <row r="152">
          <cell r="A152" t="str">
            <v xml:space="preserve"> 457  Колбаса Молочная ТМ Особый рецепт ВЕС большой батон  ПОКОМ</v>
          </cell>
          <cell r="B152">
            <v>2932.88</v>
          </cell>
        </row>
        <row r="153">
          <cell r="A153" t="str">
            <v xml:space="preserve"> 557  Колбаса Сервелат Финский ТМ Вязанка в оболочке фиброуз в вакуумной упаковке, ВЕС  ПОКОМ</v>
          </cell>
          <cell r="B153">
            <v>269.85000000000002</v>
          </cell>
        </row>
        <row r="154">
          <cell r="A154" t="str">
            <v xml:space="preserve"> 579  Колбаса Ветчинно-рубленая ТМ Особый рецепт в оболочке полиамид.ВЕС  ПОКОМ</v>
          </cell>
          <cell r="B154">
            <v>140</v>
          </cell>
        </row>
        <row r="155">
          <cell r="A155" t="str">
            <v xml:space="preserve"> 580  Ветчина Нежная с индейкой ТМ Особый рецепт в оболочке полиамид.ВЕС  ПОКОМ</v>
          </cell>
          <cell r="B155">
            <v>80</v>
          </cell>
        </row>
        <row r="156">
          <cell r="A156" t="str">
            <v xml:space="preserve"> 585  Колбаса Молочная ТМ Стародворье в оболочке вектор НД ВЕС.  ПОКОМ</v>
          </cell>
          <cell r="B156">
            <v>45.3</v>
          </cell>
        </row>
        <row r="157">
          <cell r="A157" t="str">
            <v xml:space="preserve"> 586  Колбаса Мясная ТМ Стародворье в оболочке вектор НД ВЕС.  ПОКОМ</v>
          </cell>
          <cell r="B157">
            <v>195.05</v>
          </cell>
        </row>
        <row r="158">
          <cell r="A158" t="str">
            <v xml:space="preserve"> 588 Колбаса Со шпиком ТМ Стародворье в оболочке вектор ВЕС  ПОКОМ</v>
          </cell>
          <cell r="B158">
            <v>52</v>
          </cell>
        </row>
        <row r="159">
          <cell r="A159" t="str">
            <v>Логистический Партнер Шт</v>
          </cell>
          <cell r="B159">
            <v>6618.2</v>
          </cell>
        </row>
        <row r="160">
          <cell r="A160" t="str">
            <v xml:space="preserve"> 062  Колбаса Кракушка пряная с сальцем, 0.3кг в/у п/к, БАВАРУШКА ПОКОМ</v>
          </cell>
          <cell r="B160">
            <v>94</v>
          </cell>
        </row>
        <row r="161">
          <cell r="A161" t="str">
            <v xml:space="preserve"> 083  Колбаса Швейцарская 0,17 кг., ШТ., сырокопченая   ПОКОМ</v>
          </cell>
          <cell r="B161">
            <v>104</v>
          </cell>
        </row>
        <row r="162">
          <cell r="A162" t="str">
            <v xml:space="preserve"> 273  Сосиски Сочинки с сочной грудинкой, МГС 0.4кг,   ПОКОМ</v>
          </cell>
          <cell r="B162">
            <v>1254</v>
          </cell>
        </row>
        <row r="163">
          <cell r="A163" t="str">
            <v xml:space="preserve"> 278  Сосиски Сочинки с сочным окороком, МГС 0.4кг,   ПОКОМ</v>
          </cell>
          <cell r="B163">
            <v>427</v>
          </cell>
        </row>
        <row r="164">
          <cell r="A164" t="str">
            <v xml:space="preserve"> 281  Сосиски Молочные для завтрака ТМ Особый рецепт, 0,4кг  ПОКОМ</v>
          </cell>
          <cell r="B164">
            <v>15</v>
          </cell>
        </row>
        <row r="165">
          <cell r="A165" t="str">
            <v xml:space="preserve"> 285  Паштет печеночный со слив.маслом ТМ Стародворье ламистер 0,1 кг  ПОКОМ</v>
          </cell>
          <cell r="B165">
            <v>220</v>
          </cell>
        </row>
        <row r="166">
          <cell r="A166" t="str">
            <v xml:space="preserve"> 296  Колбаса Мясорубская с рубленой грудинкой 0,35кг срез ТМ Стародворье  ПОКОМ</v>
          </cell>
          <cell r="B166">
            <v>193</v>
          </cell>
        </row>
        <row r="167">
          <cell r="A167" t="str">
            <v xml:space="preserve"> 301  Сосиски Сочинки по-баварски с сыром,  0.4кг, ТМ Стародворье  ПОКОМ</v>
          </cell>
          <cell r="B167">
            <v>127</v>
          </cell>
        </row>
        <row r="168">
          <cell r="A168" t="str">
            <v xml:space="preserve"> 302  Сосиски Сочинки по-баварски,  0.4кг, ТМ Стародворье  ПОКОМ</v>
          </cell>
          <cell r="B168">
            <v>224</v>
          </cell>
        </row>
        <row r="169">
          <cell r="A169" t="str">
            <v xml:space="preserve"> 307  Колбаса Сервелат Мясорубский с мелкорубленным окороком 0,35 кг срез ТМ Стародворье   Поком</v>
          </cell>
          <cell r="B169">
            <v>458</v>
          </cell>
        </row>
        <row r="170">
          <cell r="A170" t="str">
            <v xml:space="preserve"> 309  Сосиски Сочинки с сыром 0,4 кг ТМ Стародворье  ПОКОМ</v>
          </cell>
          <cell r="B170">
            <v>405</v>
          </cell>
        </row>
        <row r="171">
          <cell r="A171" t="str">
            <v xml:space="preserve"> 328  Сардельки Сочинки Стародворье ТМ  0,4 кг ПОКОМ</v>
          </cell>
          <cell r="B171">
            <v>107</v>
          </cell>
        </row>
        <row r="172">
          <cell r="A172" t="str">
            <v xml:space="preserve"> 329  Сардельки Сочинки с сыром Стародворье ТМ, 0,4 кг. ПОКОМ</v>
          </cell>
          <cell r="B172">
            <v>105</v>
          </cell>
        </row>
        <row r="173">
          <cell r="A173" t="str">
            <v xml:space="preserve"> 334  Паштет Любительский ТМ Стародворье ламистер 0,1 кг  ПОКОМ</v>
          </cell>
          <cell r="B173">
            <v>161</v>
          </cell>
        </row>
        <row r="174">
          <cell r="A174" t="str">
            <v xml:space="preserve"> 338  Паштет печеночный с морковью ТМ Стародворье ламистер 0,1 кг.  ПОКОМ</v>
          </cell>
          <cell r="B174">
            <v>168</v>
          </cell>
        </row>
        <row r="175">
          <cell r="A175" t="str">
            <v xml:space="preserve"> 342 Сосиски Сочинки Молочные ТМ Стародворье 0,4 кг ПОКОМ</v>
          </cell>
          <cell r="B175">
            <v>631</v>
          </cell>
        </row>
        <row r="176">
          <cell r="A176" t="str">
            <v xml:space="preserve"> 343 Сосиски Сочинки Сливочные ТМ Стародворье  0,4 кг ПОКОМ</v>
          </cell>
          <cell r="B176">
            <v>395</v>
          </cell>
        </row>
        <row r="177">
          <cell r="A177" t="str">
            <v xml:space="preserve"> 376  Колбаса Докторская Дугушка 0,6кг ГОСТ ТМ Стародворье  ПОКОМ </v>
          </cell>
          <cell r="B177">
            <v>6</v>
          </cell>
        </row>
        <row r="178">
          <cell r="A178" t="str">
            <v xml:space="preserve"> 377  Колбаса Молочная Дугушка 0,6кг ТМ Стародворье  ПОКОМ</v>
          </cell>
          <cell r="B178">
            <v>57</v>
          </cell>
        </row>
        <row r="179">
          <cell r="A179" t="str">
            <v xml:space="preserve"> 394 Колбаса полукопченая Аль-Ислами халяль ТМ Вязанка оболочка фиброуз в в/у 0,35 кг  ПОКОМ</v>
          </cell>
          <cell r="B179">
            <v>87</v>
          </cell>
        </row>
        <row r="180">
          <cell r="A180" t="str">
            <v xml:space="preserve"> 397  Ветчина Дугушка ТМ Стародворье ТС Дугушка в полиамидной оболочке 0,6 кг. ПОКОМ</v>
          </cell>
          <cell r="B180">
            <v>12</v>
          </cell>
        </row>
        <row r="181">
          <cell r="A181" t="str">
            <v xml:space="preserve"> 410  Сосиски Баварские с сыром ТМ Стародворье 0,35 кг. ПОКОМ</v>
          </cell>
          <cell r="B181">
            <v>26</v>
          </cell>
        </row>
        <row r="182">
          <cell r="A182" t="str">
            <v xml:space="preserve"> 412  Сосиски Баварские ТМ Стародворье 0,35 кг ПОКОМ</v>
          </cell>
          <cell r="B182">
            <v>34</v>
          </cell>
        </row>
        <row r="183">
          <cell r="A183" t="str">
            <v xml:space="preserve"> 435  Колбаса Молочная Стародворская  с молоком в оболочке полиамид 0,4 кг.ТМ Стародворье ПОКОМ</v>
          </cell>
          <cell r="B183">
            <v>75</v>
          </cell>
        </row>
        <row r="184">
          <cell r="A184" t="str">
            <v xml:space="preserve"> 441  Сосиски Сочинки ТМ Стародворье с сочной грудинкой 0,3 кг ПОКОМ</v>
          </cell>
          <cell r="B184">
            <v>6</v>
          </cell>
        </row>
        <row r="185">
          <cell r="A185" t="str">
            <v xml:space="preserve"> 498  Колбаса Сочинка рубленая с сочным окороком 0,3кг ТМ Стародворье  ПОКОМ</v>
          </cell>
          <cell r="B185">
            <v>197.2</v>
          </cell>
        </row>
        <row r="186">
          <cell r="A186" t="str">
            <v xml:space="preserve"> 523  Колбаса Сальчичон нарезка 0,07кг ТМ Стародворье  ПОКОМ </v>
          </cell>
          <cell r="B186">
            <v>64</v>
          </cell>
        </row>
        <row r="187">
          <cell r="A187" t="str">
            <v xml:space="preserve"> 524  Колбаса Сервелат Ореховый нарезка 0,07кг ТМ Стародворье  ПОКОМ</v>
          </cell>
          <cell r="B187">
            <v>3</v>
          </cell>
        </row>
        <row r="188">
          <cell r="A188" t="str">
            <v xml:space="preserve"> 525  Колбаса Фуэт нарезка 0,07кг ТМ Стародворье  ПОКОМ</v>
          </cell>
          <cell r="B188">
            <v>49</v>
          </cell>
        </row>
        <row r="189">
          <cell r="A189" t="str">
            <v xml:space="preserve"> 526  Корейка вяленая выдержанная нарезка 0,05кг ТМ Стародворье  ПОКОМ</v>
          </cell>
          <cell r="B189">
            <v>61</v>
          </cell>
        </row>
        <row r="190">
          <cell r="A190" t="str">
            <v xml:space="preserve"> 527  Окорок Прошутто выдержанный нарезка 0,055кг ТМ Стародворье  ПОКОМ</v>
          </cell>
          <cell r="B190">
            <v>44</v>
          </cell>
        </row>
        <row r="191">
          <cell r="A191" t="str">
            <v xml:space="preserve"> 530  Окорок Хамон выдержанный нарезка 0,055кг ТМ Стародворье  ПОКОМ</v>
          </cell>
          <cell r="B191">
            <v>4</v>
          </cell>
        </row>
        <row r="192">
          <cell r="A192" t="str">
            <v xml:space="preserve"> 553  Ассорти колбас Мясорубская коллекция: Сервелат Делюкс, С балыком 0,08 кг нарезка  ПОКОМ</v>
          </cell>
          <cell r="B192">
            <v>35</v>
          </cell>
        </row>
        <row r="193">
          <cell r="A193" t="str">
            <v xml:space="preserve"> 554  Колбаса Сервелат Мясорубский ТМ Стародворье в упаковке скин 0,08 кг нарезка  ПОКОМ</v>
          </cell>
          <cell r="B193">
            <v>51</v>
          </cell>
        </row>
        <row r="194">
          <cell r="A194" t="str">
            <v>495  Колбаса Сочинка по-европейски с сочной грудинкой 0,3кг ТМ Стародворье  ПОКОМ</v>
          </cell>
          <cell r="B194">
            <v>302</v>
          </cell>
        </row>
        <row r="195">
          <cell r="A195" t="str">
            <v>496  Колбаса Сочинка по-фински с сочным окроком 0,3кг ТМ Стародворье  ПОКОМ</v>
          </cell>
          <cell r="B195">
            <v>251</v>
          </cell>
        </row>
        <row r="196">
          <cell r="A196" t="str">
            <v>515  Колбаса Сервелат Мясорубский Делюкс 0,3кг ТМ Стародворье  ПОКОМ</v>
          </cell>
          <cell r="B196">
            <v>114</v>
          </cell>
        </row>
        <row r="197">
          <cell r="A197" t="str">
            <v>519  Грудинка 0,12 кг нарезка ТМ Стародворье  ПОКОМ</v>
          </cell>
          <cell r="B197">
            <v>50</v>
          </cell>
        </row>
        <row r="198">
          <cell r="A198" t="str">
            <v>А_ 302  Сосиски Сочинки по-баварски,  0.4кг, ТМ Стародворье  ПОКОМ</v>
          </cell>
          <cell r="B198">
            <v>2</v>
          </cell>
        </row>
        <row r="199">
          <cell r="A199" t="str">
            <v>Итого</v>
          </cell>
          <cell r="B199">
            <v>276613.59899999999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11.06.2026 - 18.06.2026</v>
          </cell>
        </row>
        <row r="6">
          <cell r="A6" t="str">
            <v>Склад В списке "АСП1 ЗПФ Мелитополь" И
Номенклатура В группе из списка "ПОКОМ Логистический Партн..."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Начальный остаток</v>
          </cell>
          <cell r="E8" t="str">
            <v>Приход</v>
          </cell>
          <cell r="F8" t="str">
            <v>Расход</v>
          </cell>
          <cell r="G8" t="str">
            <v>Конечный остаток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 xml:space="preserve">заказ в пути </v>
          </cell>
          <cell r="Q8" t="str">
            <v>ср нов</v>
          </cell>
          <cell r="R8" t="str">
            <v>расчет (потребность)</v>
          </cell>
          <cell r="S8" t="str">
            <v>заказ филиала</v>
          </cell>
          <cell r="T8" t="str">
            <v>Комментарии филиала</v>
          </cell>
        </row>
        <row r="9">
          <cell r="P9" t="str">
            <v>15,06,</v>
          </cell>
          <cell r="Q9" t="str">
            <v>11,06,</v>
          </cell>
          <cell r="R9" t="str">
            <v>22,06,</v>
          </cell>
        </row>
        <row r="10">
          <cell r="D10">
            <v>6686.0000000000009</v>
          </cell>
          <cell r="E10">
            <v>15067.5</v>
          </cell>
          <cell r="F10">
            <v>11984.7</v>
          </cell>
          <cell r="G10">
            <v>8827.2000000000007</v>
          </cell>
          <cell r="L10">
            <v>15279</v>
          </cell>
          <cell r="M10">
            <v>-3294.2999999999997</v>
          </cell>
          <cell r="N10">
            <v>0</v>
          </cell>
          <cell r="O10">
            <v>0</v>
          </cell>
          <cell r="P10">
            <v>22965</v>
          </cell>
          <cell r="Q10">
            <v>2396.94</v>
          </cell>
          <cell r="R10">
            <v>10066.9</v>
          </cell>
          <cell r="S10">
            <v>7730</v>
          </cell>
        </row>
        <row r="11">
          <cell r="A11" t="str">
            <v>БОНУС_Готовые чебупели сочные с мясом ТМ Горячая штучка флоу-пак 0,24 кг  ПОКОМ</v>
          </cell>
          <cell r="B11" t="str">
            <v>шт</v>
          </cell>
          <cell r="C11">
            <v>0</v>
          </cell>
          <cell r="D11">
            <v>97</v>
          </cell>
          <cell r="F11">
            <v>7</v>
          </cell>
          <cell r="G11">
            <v>88</v>
          </cell>
          <cell r="H11">
            <v>0</v>
          </cell>
          <cell r="I11">
            <v>0</v>
          </cell>
          <cell r="J11" t="str">
            <v>БОНУС</v>
          </cell>
          <cell r="L11">
            <v>7</v>
          </cell>
          <cell r="M11">
            <v>0</v>
          </cell>
          <cell r="P11">
            <v>0</v>
          </cell>
          <cell r="Q11">
            <v>1.4</v>
          </cell>
        </row>
        <row r="12">
          <cell r="A12" t="str">
            <v>БОНУС_Пельмени Бульмени со сливочным маслом ТМ Горячая штучка флоу-пак сфера 0,7 кг .  Поком</v>
          </cell>
          <cell r="B12" t="str">
            <v>шт</v>
          </cell>
          <cell r="C12">
            <v>0</v>
          </cell>
          <cell r="D12">
            <v>74</v>
          </cell>
          <cell r="F12">
            <v>2</v>
          </cell>
          <cell r="G12">
            <v>72</v>
          </cell>
          <cell r="H12">
            <v>0</v>
          </cell>
          <cell r="I12">
            <v>0</v>
          </cell>
          <cell r="J12" t="str">
            <v>БОНУС</v>
          </cell>
          <cell r="L12">
            <v>11</v>
          </cell>
          <cell r="M12">
            <v>-9</v>
          </cell>
          <cell r="P12">
            <v>0</v>
          </cell>
          <cell r="Q12">
            <v>0.4</v>
          </cell>
        </row>
        <row r="13">
          <cell r="A13" t="str">
            <v>БОНУС_Чебупицца курочка по-итальянски Горячая штучка 0,25 кг зам  ПОКОМ</v>
          </cell>
          <cell r="B13" t="str">
            <v>шт</v>
          </cell>
          <cell r="C13">
            <v>0</v>
          </cell>
          <cell r="D13">
            <v>124</v>
          </cell>
          <cell r="F13">
            <v>20</v>
          </cell>
          <cell r="G13">
            <v>104</v>
          </cell>
          <cell r="H13">
            <v>0</v>
          </cell>
          <cell r="I13">
            <v>0</v>
          </cell>
          <cell r="J13" t="str">
            <v>БОНУС</v>
          </cell>
          <cell r="L13">
            <v>25</v>
          </cell>
          <cell r="M13">
            <v>-5</v>
          </cell>
          <cell r="P13">
            <v>0</v>
          </cell>
          <cell r="Q13">
            <v>4</v>
          </cell>
        </row>
        <row r="14">
          <cell r="A14" t="str">
            <v>Бульмени хрустящие с мясом ТМ Горячая штучка ТС Бульмени ГШ сфера 0,22 кг  Поком</v>
          </cell>
          <cell r="B14" t="str">
            <v>шт</v>
          </cell>
          <cell r="C14" t="str">
            <v>P005065</v>
          </cell>
          <cell r="D14">
            <v>135</v>
          </cell>
          <cell r="F14">
            <v>90</v>
          </cell>
          <cell r="G14">
            <v>39</v>
          </cell>
          <cell r="H14">
            <v>0.22</v>
          </cell>
          <cell r="I14">
            <v>0</v>
          </cell>
          <cell r="J14">
            <v>0</v>
          </cell>
          <cell r="L14">
            <v>90</v>
          </cell>
          <cell r="M14">
            <v>0</v>
          </cell>
          <cell r="P14">
            <v>0</v>
          </cell>
          <cell r="Q14">
            <v>18</v>
          </cell>
          <cell r="R14">
            <v>213</v>
          </cell>
          <cell r="S14">
            <v>300</v>
          </cell>
        </row>
        <row r="15">
          <cell r="A15" t="str">
            <v>Готовые бельмеши сочные с мясом ТМ Горячая штучка 0,3кг зам  ПОКОМ</v>
          </cell>
          <cell r="B15" t="str">
            <v>шт</v>
          </cell>
          <cell r="C15" t="str">
            <v>P004598</v>
          </cell>
          <cell r="D15">
            <v>-270</v>
          </cell>
          <cell r="E15">
            <v>348</v>
          </cell>
          <cell r="F15">
            <v>108</v>
          </cell>
          <cell r="G15">
            <v>-30</v>
          </cell>
          <cell r="H15">
            <v>0.3</v>
          </cell>
          <cell r="I15">
            <v>180</v>
          </cell>
          <cell r="J15" t="str">
            <v>матрица</v>
          </cell>
          <cell r="L15">
            <v>174</v>
          </cell>
          <cell r="M15">
            <v>-66</v>
          </cell>
          <cell r="P15">
            <v>600</v>
          </cell>
          <cell r="Q15">
            <v>21.6</v>
          </cell>
          <cell r="S15">
            <v>300</v>
          </cell>
        </row>
        <row r="16">
          <cell r="A16" t="str">
            <v>Готовые чебуманы с говядиной ТМ горячая штучка 0,28 кг.  Поком</v>
          </cell>
          <cell r="B16" t="str">
            <v>шт</v>
          </cell>
          <cell r="C16" t="str">
            <v>P004597</v>
          </cell>
          <cell r="D16">
            <v>92</v>
          </cell>
          <cell r="E16">
            <v>336</v>
          </cell>
          <cell r="F16">
            <v>299</v>
          </cell>
          <cell r="G16">
            <v>83</v>
          </cell>
          <cell r="H16">
            <v>0.28000000000000003</v>
          </cell>
          <cell r="I16">
            <v>180</v>
          </cell>
          <cell r="J16" t="str">
            <v>матрица</v>
          </cell>
          <cell r="L16">
            <v>292</v>
          </cell>
          <cell r="M16">
            <v>7</v>
          </cell>
          <cell r="P16">
            <v>360</v>
          </cell>
          <cell r="Q16">
            <v>59.8</v>
          </cell>
          <cell r="R16">
            <v>394.19999999999993</v>
          </cell>
          <cell r="S16">
            <v>500</v>
          </cell>
        </row>
        <row r="17">
          <cell r="A17" t="str">
            <v>Готовые чебупели острые с мясом ТМ Горячая штучка флоу-пак 0,24 кг  Поком</v>
          </cell>
          <cell r="B17" t="str">
            <v>шт</v>
          </cell>
          <cell r="C17" t="str">
            <v>P004969</v>
          </cell>
          <cell r="D17">
            <v>386</v>
          </cell>
          <cell r="E17">
            <v>687</v>
          </cell>
          <cell r="F17">
            <v>456</v>
          </cell>
          <cell r="G17">
            <v>578</v>
          </cell>
          <cell r="H17">
            <v>0.24</v>
          </cell>
          <cell r="I17">
            <v>180</v>
          </cell>
          <cell r="J17" t="str">
            <v>матрица</v>
          </cell>
          <cell r="L17">
            <v>454</v>
          </cell>
          <cell r="M17">
            <v>2</v>
          </cell>
          <cell r="P17">
            <v>160</v>
          </cell>
          <cell r="Q17">
            <v>91.2</v>
          </cell>
          <cell r="R17">
            <v>538.79999999999995</v>
          </cell>
          <cell r="S17">
            <v>800</v>
          </cell>
        </row>
        <row r="18">
          <cell r="A18" t="str">
            <v>Готовые чебупели с ветчиной и сыром ТМ Горячая штучка флоу-пак 0,24 кг.  ПОКОМ</v>
          </cell>
          <cell r="B18" t="str">
            <v>шт</v>
          </cell>
          <cell r="C18" t="str">
            <v>P004971</v>
          </cell>
          <cell r="D18">
            <v>349</v>
          </cell>
          <cell r="E18">
            <v>699</v>
          </cell>
          <cell r="F18">
            <v>579</v>
          </cell>
          <cell r="G18">
            <v>459</v>
          </cell>
          <cell r="H18">
            <v>0.24</v>
          </cell>
          <cell r="I18">
            <v>180</v>
          </cell>
          <cell r="J18" t="str">
            <v>матрица</v>
          </cell>
          <cell r="L18">
            <v>575</v>
          </cell>
          <cell r="M18">
            <v>4</v>
          </cell>
          <cell r="P18">
            <v>310</v>
          </cell>
          <cell r="Q18">
            <v>115.8</v>
          </cell>
          <cell r="R18">
            <v>852.2</v>
          </cell>
          <cell r="S18">
            <v>1000</v>
          </cell>
        </row>
        <row r="19">
          <cell r="A19" t="str">
            <v>Готовые чебупели с мясом ТМ Горячая штучка 0,24 кг  ПОКОМ</v>
          </cell>
          <cell r="B19" t="str">
            <v>шт</v>
          </cell>
          <cell r="C19" t="str">
            <v>P004974</v>
          </cell>
          <cell r="D19">
            <v>109</v>
          </cell>
          <cell r="F19">
            <v>21</v>
          </cell>
          <cell r="G19">
            <v>60</v>
          </cell>
          <cell r="H19">
            <v>0.24</v>
          </cell>
          <cell r="I19">
            <v>180</v>
          </cell>
          <cell r="J19" t="str">
            <v>матрица</v>
          </cell>
          <cell r="L19">
            <v>258</v>
          </cell>
          <cell r="M19">
            <v>-237</v>
          </cell>
          <cell r="P19">
            <v>480</v>
          </cell>
          <cell r="Q19">
            <v>4.2</v>
          </cell>
        </row>
        <row r="20">
          <cell r="A20" t="str">
            <v>Готовые чебупели сочные с мясом ТМ Горячая штучка флоу-пак 0,24 кг  ПОКОМ</v>
          </cell>
          <cell r="B20" t="str">
            <v>шт</v>
          </cell>
          <cell r="C20" t="str">
            <v>P004966</v>
          </cell>
          <cell r="D20">
            <v>199</v>
          </cell>
          <cell r="E20">
            <v>684</v>
          </cell>
          <cell r="F20">
            <v>306</v>
          </cell>
          <cell r="G20">
            <v>536</v>
          </cell>
          <cell r="H20">
            <v>0.24</v>
          </cell>
          <cell r="I20">
            <v>180</v>
          </cell>
          <cell r="J20" t="str">
            <v>матрица</v>
          </cell>
          <cell r="L20">
            <v>294</v>
          </cell>
          <cell r="M20">
            <v>12</v>
          </cell>
          <cell r="P20">
            <v>1000</v>
          </cell>
          <cell r="Q20">
            <v>61.2</v>
          </cell>
          <cell r="S20">
            <v>300</v>
          </cell>
        </row>
        <row r="21">
          <cell r="A21" t="str">
            <v>Готовые чебупели сочные с мясом ТМ Горячая штучка флоу-пак 0,48 кг XXL  Поком</v>
          </cell>
          <cell r="B21" t="str">
            <v>шт</v>
          </cell>
          <cell r="C21" t="str">
            <v>P004595</v>
          </cell>
          <cell r="D21">
            <v>126</v>
          </cell>
          <cell r="F21">
            <v>70</v>
          </cell>
          <cell r="H21">
            <v>0.48</v>
          </cell>
          <cell r="I21">
            <v>180</v>
          </cell>
          <cell r="J21" t="str">
            <v>матрица</v>
          </cell>
          <cell r="L21">
            <v>65</v>
          </cell>
          <cell r="M21">
            <v>5</v>
          </cell>
          <cell r="P21">
            <v>160</v>
          </cell>
          <cell r="Q21">
            <v>14</v>
          </cell>
          <cell r="R21">
            <v>36</v>
          </cell>
          <cell r="S21">
            <v>150</v>
          </cell>
        </row>
        <row r="22">
          <cell r="A22" t="str">
            <v>Готовые чебуреки со свининой и говядиной ТМ Горячая штучка ТС Базовый ассортимент 0,36 кг  ПОКОМ</v>
          </cell>
          <cell r="B22" t="str">
            <v>шт</v>
          </cell>
          <cell r="C22" t="str">
            <v>P004583</v>
          </cell>
          <cell r="D22">
            <v>3</v>
          </cell>
          <cell r="F22">
            <v>10</v>
          </cell>
          <cell r="G22">
            <v>3</v>
          </cell>
          <cell r="H22">
            <v>0.36</v>
          </cell>
          <cell r="I22">
            <v>180</v>
          </cell>
          <cell r="J22" t="str">
            <v>матрица</v>
          </cell>
          <cell r="L22">
            <v>477</v>
          </cell>
          <cell r="M22">
            <v>-467</v>
          </cell>
          <cell r="P22">
            <v>660</v>
          </cell>
          <cell r="Q22">
            <v>2</v>
          </cell>
        </row>
        <row r="23">
          <cell r="A23" t="str">
            <v>Жареные вареники с картофелем и беконом ТМ Стародворье 0,2 кг  ПОКОМ</v>
          </cell>
          <cell r="B23" t="str">
            <v>шт</v>
          </cell>
          <cell r="C23" t="str">
            <v>P005129</v>
          </cell>
          <cell r="D23">
            <v>123</v>
          </cell>
          <cell r="F23">
            <v>62</v>
          </cell>
          <cell r="G23">
            <v>43</v>
          </cell>
          <cell r="H23">
            <v>0.2</v>
          </cell>
          <cell r="I23">
            <v>0</v>
          </cell>
          <cell r="J23" t="e">
            <v>#N/A</v>
          </cell>
          <cell r="L23">
            <v>70</v>
          </cell>
          <cell r="M23">
            <v>-8</v>
          </cell>
          <cell r="P23">
            <v>0</v>
          </cell>
          <cell r="Q23">
            <v>12.4</v>
          </cell>
          <cell r="R23">
            <v>130.6</v>
          </cell>
        </row>
        <row r="24">
          <cell r="A24" t="str">
            <v>Круггетсы с сырным соусом ТМ Горячая штучка ТС Круггетсы флоу-пак 0,2 кг  ПОКОМ</v>
          </cell>
          <cell r="B24" t="str">
            <v>шт</v>
          </cell>
          <cell r="C24" t="str">
            <v>P004956</v>
          </cell>
          <cell r="D24">
            <v>305</v>
          </cell>
          <cell r="E24">
            <v>12</v>
          </cell>
          <cell r="F24">
            <v>290</v>
          </cell>
          <cell r="G24">
            <v>6</v>
          </cell>
          <cell r="H24">
            <v>0.2</v>
          </cell>
          <cell r="I24">
            <v>0</v>
          </cell>
          <cell r="J24">
            <v>0</v>
          </cell>
          <cell r="L24">
            <v>324</v>
          </cell>
          <cell r="M24">
            <v>-34</v>
          </cell>
          <cell r="P24">
            <v>660</v>
          </cell>
          <cell r="Q24">
            <v>58</v>
          </cell>
          <cell r="R24">
            <v>146</v>
          </cell>
          <cell r="S24">
            <v>250</v>
          </cell>
        </row>
        <row r="25">
          <cell r="A25" t="str">
            <v>Мини-сосиски в тесте 5кг ВЕС ТМ Зареченские  ПОКОМ</v>
          </cell>
          <cell r="B25" t="str">
            <v>кг</v>
          </cell>
          <cell r="C25" t="str">
            <v>P005235</v>
          </cell>
          <cell r="D25">
            <v>30</v>
          </cell>
          <cell r="E25">
            <v>185</v>
          </cell>
          <cell r="F25">
            <v>130</v>
          </cell>
          <cell r="G25">
            <v>55</v>
          </cell>
          <cell r="H25">
            <v>1</v>
          </cell>
          <cell r="I25">
            <v>0</v>
          </cell>
          <cell r="J25" t="e">
            <v>#N/A</v>
          </cell>
          <cell r="L25">
            <v>150</v>
          </cell>
          <cell r="M25">
            <v>-20</v>
          </cell>
          <cell r="P25">
            <v>140</v>
          </cell>
          <cell r="Q25">
            <v>26</v>
          </cell>
          <cell r="R25">
            <v>169</v>
          </cell>
          <cell r="S25">
            <v>200</v>
          </cell>
        </row>
        <row r="26">
          <cell r="A26" t="str">
            <v>Мини-чебуреки с мясом ТМ Зареченские ТС Зареченские продукты ПОКОМ</v>
          </cell>
          <cell r="B26" t="str">
            <v>кг</v>
          </cell>
          <cell r="C26" t="str">
            <v>P004358</v>
          </cell>
          <cell r="D26">
            <v>22.5</v>
          </cell>
          <cell r="E26">
            <v>269.5</v>
          </cell>
          <cell r="F26">
            <v>84</v>
          </cell>
          <cell r="G26">
            <v>191.5</v>
          </cell>
          <cell r="H26">
            <v>1</v>
          </cell>
          <cell r="I26">
            <v>180</v>
          </cell>
          <cell r="J26" t="str">
            <v>матрица</v>
          </cell>
          <cell r="L26">
            <v>83.2</v>
          </cell>
          <cell r="M26">
            <v>0.79999999999999716</v>
          </cell>
          <cell r="P26">
            <v>0</v>
          </cell>
          <cell r="Q26">
            <v>16.8</v>
          </cell>
          <cell r="R26">
            <v>43.700000000000017</v>
          </cell>
        </row>
        <row r="27">
          <cell r="A27" t="str">
            <v>Мини-шарики с курочкой и сыром ТМ Зареченские ВЕС ПОКОМ</v>
          </cell>
          <cell r="B27" t="str">
            <v>кг</v>
          </cell>
          <cell r="C27" t="str">
            <v>P004394</v>
          </cell>
          <cell r="D27">
            <v>-1.4</v>
          </cell>
          <cell r="E27">
            <v>15</v>
          </cell>
          <cell r="F27">
            <v>12</v>
          </cell>
          <cell r="G27">
            <v>-1.4</v>
          </cell>
          <cell r="H27">
            <v>1</v>
          </cell>
          <cell r="I27">
            <v>180</v>
          </cell>
          <cell r="J27" t="str">
            <v>матрица</v>
          </cell>
          <cell r="L27">
            <v>33</v>
          </cell>
          <cell r="M27">
            <v>-21</v>
          </cell>
          <cell r="P27">
            <v>155</v>
          </cell>
          <cell r="Q27">
            <v>2.4</v>
          </cell>
          <cell r="S27">
            <v>30</v>
          </cell>
        </row>
        <row r="28">
          <cell r="A28" t="str">
            <v>Наггетсы из печи 0,25кг ТМ Вязанка замор.  ПОКОМ</v>
          </cell>
          <cell r="B28" t="str">
            <v>шт</v>
          </cell>
          <cell r="C28" t="str">
            <v>P004497</v>
          </cell>
          <cell r="D28">
            <v>-339</v>
          </cell>
          <cell r="E28">
            <v>870</v>
          </cell>
          <cell r="F28">
            <v>497</v>
          </cell>
          <cell r="G28">
            <v>34</v>
          </cell>
          <cell r="H28">
            <v>0.25</v>
          </cell>
          <cell r="I28">
            <v>365</v>
          </cell>
          <cell r="J28" t="str">
            <v>матрица</v>
          </cell>
          <cell r="L28">
            <v>491</v>
          </cell>
          <cell r="M28">
            <v>6</v>
          </cell>
          <cell r="P28">
            <v>1100</v>
          </cell>
          <cell r="Q28">
            <v>99.4</v>
          </cell>
          <cell r="R28">
            <v>257.60000000000014</v>
          </cell>
          <cell r="S28">
            <v>300</v>
          </cell>
        </row>
        <row r="29">
          <cell r="A29" t="str">
            <v>Наггетсы Нагетосы Сочная курочка со сметаной и зеленью ТМ Горячая штучка флоу-пак 0,25 кг  Поком</v>
          </cell>
          <cell r="B29" t="str">
            <v>шт</v>
          </cell>
          <cell r="C29" t="str">
            <v>P004600</v>
          </cell>
          <cell r="D29">
            <v>-10</v>
          </cell>
          <cell r="E29">
            <v>338</v>
          </cell>
          <cell r="F29">
            <v>113</v>
          </cell>
          <cell r="G29">
            <v>215</v>
          </cell>
          <cell r="H29">
            <v>0.25</v>
          </cell>
          <cell r="I29">
            <v>180</v>
          </cell>
          <cell r="J29" t="str">
            <v>матрица</v>
          </cell>
          <cell r="L29">
            <v>109</v>
          </cell>
          <cell r="M29">
            <v>4</v>
          </cell>
          <cell r="P29">
            <v>400</v>
          </cell>
          <cell r="Q29">
            <v>22.6</v>
          </cell>
        </row>
        <row r="30">
          <cell r="A30" t="str">
            <v>Наггетсы Нагетосы Сочная курочка ТМ Горячая штучка 0,25 кг зам  ПОКОМ</v>
          </cell>
          <cell r="B30" t="str">
            <v>шт</v>
          </cell>
          <cell r="C30" t="str">
            <v>P004602</v>
          </cell>
          <cell r="D30">
            <v>-335</v>
          </cell>
          <cell r="E30">
            <v>602</v>
          </cell>
          <cell r="F30">
            <v>409</v>
          </cell>
          <cell r="G30">
            <v>-142</v>
          </cell>
          <cell r="H30">
            <v>0.25</v>
          </cell>
          <cell r="I30">
            <v>180</v>
          </cell>
          <cell r="J30" t="str">
            <v>матрица</v>
          </cell>
          <cell r="L30">
            <v>405</v>
          </cell>
          <cell r="M30">
            <v>4</v>
          </cell>
          <cell r="P30">
            <v>800</v>
          </cell>
          <cell r="Q30">
            <v>81.8</v>
          </cell>
          <cell r="R30">
            <v>487.20000000000005</v>
          </cell>
          <cell r="S30">
            <v>600</v>
          </cell>
        </row>
        <row r="31">
          <cell r="A31" t="str">
            <v>Наггетсы с индейкой 0,25кг ТМ Вязанка ТС Из печи Сливушки ПОКОМ</v>
          </cell>
          <cell r="B31" t="str">
            <v>шт</v>
          </cell>
          <cell r="C31" t="str">
            <v>P004496</v>
          </cell>
          <cell r="D31">
            <v>593</v>
          </cell>
          <cell r="E31">
            <v>702</v>
          </cell>
          <cell r="F31">
            <v>564</v>
          </cell>
          <cell r="G31">
            <v>685</v>
          </cell>
          <cell r="H31">
            <v>0.25</v>
          </cell>
          <cell r="I31">
            <v>365</v>
          </cell>
          <cell r="J31" t="str">
            <v>матрица</v>
          </cell>
          <cell r="L31">
            <v>571</v>
          </cell>
          <cell r="M31">
            <v>-7</v>
          </cell>
          <cell r="P31">
            <v>500</v>
          </cell>
          <cell r="Q31">
            <v>112.8</v>
          </cell>
          <cell r="R31">
            <v>394.20000000000005</v>
          </cell>
        </row>
        <row r="32">
          <cell r="A32" t="str">
            <v>Наггетсы с куриным филе и сыром ТМ Вязанка ТС Из печи Сливушки 0,25 кг.  Поком</v>
          </cell>
          <cell r="B32" t="str">
            <v>шт</v>
          </cell>
          <cell r="C32" t="str">
            <v>P004535</v>
          </cell>
          <cell r="D32">
            <v>311</v>
          </cell>
          <cell r="E32">
            <v>692</v>
          </cell>
          <cell r="F32">
            <v>600</v>
          </cell>
          <cell r="G32">
            <v>380</v>
          </cell>
          <cell r="H32">
            <v>0.25</v>
          </cell>
          <cell r="I32">
            <v>180</v>
          </cell>
          <cell r="J32" t="str">
            <v>матрица</v>
          </cell>
          <cell r="L32">
            <v>595</v>
          </cell>
          <cell r="M32">
            <v>5</v>
          </cell>
          <cell r="P32">
            <v>700</v>
          </cell>
          <cell r="Q32">
            <v>120</v>
          </cell>
          <cell r="R32">
            <v>600</v>
          </cell>
        </row>
        <row r="33">
          <cell r="A33" t="str">
            <v>Наггетсы хрустящие п/ф ВЕС ПОКОМ</v>
          </cell>
          <cell r="B33" t="str">
            <v>кг</v>
          </cell>
          <cell r="C33">
            <v>0</v>
          </cell>
          <cell r="D33">
            <v>246</v>
          </cell>
          <cell r="E33">
            <v>6</v>
          </cell>
          <cell r="F33">
            <v>234</v>
          </cell>
          <cell r="G33">
            <v>12</v>
          </cell>
          <cell r="H33">
            <v>1</v>
          </cell>
          <cell r="I33" t="e">
            <v>#N/A</v>
          </cell>
          <cell r="J33" t="e">
            <v>#N/A</v>
          </cell>
          <cell r="L33">
            <v>262</v>
          </cell>
          <cell r="M33">
            <v>-28</v>
          </cell>
          <cell r="P33">
            <v>140</v>
          </cell>
          <cell r="Q33">
            <v>46.8</v>
          </cell>
          <cell r="R33">
            <v>503.19999999999993</v>
          </cell>
        </row>
        <row r="34">
          <cell r="A34" t="str">
            <v>Наггетсы Хрустящие ТМ Зареченские ТС Зареченские продукты. Поком</v>
          </cell>
          <cell r="B34" t="str">
            <v>кг</v>
          </cell>
          <cell r="C34" t="str">
            <v>P003486</v>
          </cell>
          <cell r="D34">
            <v>54</v>
          </cell>
          <cell r="E34">
            <v>30</v>
          </cell>
          <cell r="F34">
            <v>72</v>
          </cell>
          <cell r="G34">
            <v>-18</v>
          </cell>
          <cell r="H34">
            <v>1</v>
          </cell>
          <cell r="I34">
            <v>0</v>
          </cell>
          <cell r="J34">
            <v>0</v>
          </cell>
          <cell r="L34">
            <v>76</v>
          </cell>
          <cell r="M34">
            <v>-4</v>
          </cell>
          <cell r="P34">
            <v>360</v>
          </cell>
          <cell r="Q34">
            <v>14.4</v>
          </cell>
        </row>
        <row r="35">
          <cell r="A35" t="str">
            <v>Наггетсы Хрустящие ТМ Стародворье с сочной курочкой 0,23 кг  ПОКОМ</v>
          </cell>
          <cell r="B35" t="str">
            <v>шт</v>
          </cell>
          <cell r="C35" t="str">
            <v>P005043</v>
          </cell>
          <cell r="D35">
            <v>376</v>
          </cell>
          <cell r="F35">
            <v>98</v>
          </cell>
          <cell r="G35">
            <v>278</v>
          </cell>
          <cell r="H35">
            <v>0.23</v>
          </cell>
          <cell r="I35">
            <v>180</v>
          </cell>
          <cell r="J35" t="str">
            <v>матрица</v>
          </cell>
          <cell r="L35">
            <v>96</v>
          </cell>
          <cell r="M35">
            <v>2</v>
          </cell>
          <cell r="P35">
            <v>0</v>
          </cell>
          <cell r="Q35">
            <v>19.600000000000001</v>
          </cell>
        </row>
        <row r="36">
          <cell r="A36" t="str">
            <v>Пельмени Grandmeni с говядиной и свининой ТМ Горячаяштучка флоу-па классическая форма 0,7 кг.  Поком</v>
          </cell>
          <cell r="B36" t="str">
            <v>шт</v>
          </cell>
          <cell r="C36" t="str">
            <v>P004889</v>
          </cell>
          <cell r="D36">
            <v>50</v>
          </cell>
          <cell r="E36">
            <v>293</v>
          </cell>
          <cell r="F36">
            <v>120</v>
          </cell>
          <cell r="G36">
            <v>213</v>
          </cell>
          <cell r="H36">
            <v>0.7</v>
          </cell>
          <cell r="I36">
            <v>180</v>
          </cell>
          <cell r="J36" t="str">
            <v>матрица</v>
          </cell>
          <cell r="L36">
            <v>116</v>
          </cell>
          <cell r="M36">
            <v>4</v>
          </cell>
          <cell r="P36">
            <v>200</v>
          </cell>
          <cell r="Q36">
            <v>24</v>
          </cell>
          <cell r="S36">
            <v>100</v>
          </cell>
        </row>
        <row r="37">
          <cell r="A37" t="str">
            <v>Пельмени Grandmeni с говядиной ТМ Горячаяштучка флоу-пак сфера 0,7 кг.  Поком</v>
          </cell>
          <cell r="B37" t="str">
            <v>шт</v>
          </cell>
          <cell r="C37" t="str">
            <v>P004887</v>
          </cell>
          <cell r="D37">
            <v>23</v>
          </cell>
          <cell r="E37">
            <v>5</v>
          </cell>
          <cell r="F37">
            <v>17</v>
          </cell>
          <cell r="G37">
            <v>1</v>
          </cell>
          <cell r="H37">
            <v>0.7</v>
          </cell>
          <cell r="I37">
            <v>0</v>
          </cell>
          <cell r="J37">
            <v>0</v>
          </cell>
          <cell r="L37">
            <v>18</v>
          </cell>
          <cell r="M37">
            <v>-1</v>
          </cell>
          <cell r="P37">
            <v>180</v>
          </cell>
          <cell r="Q37">
            <v>3.4</v>
          </cell>
          <cell r="S37">
            <v>50</v>
          </cell>
        </row>
        <row r="38">
          <cell r="A38" t="str">
            <v>Пельмени Grandmeni со сливочным маслом  ТМ Горячая штучка флоу-пак сфера 0,7 кг.  Поком</v>
          </cell>
          <cell r="B38" t="str">
            <v>шт</v>
          </cell>
          <cell r="C38" t="str">
            <v>P004888</v>
          </cell>
          <cell r="D38">
            <v>112</v>
          </cell>
          <cell r="E38">
            <v>194</v>
          </cell>
          <cell r="F38">
            <v>176</v>
          </cell>
          <cell r="G38">
            <v>101</v>
          </cell>
          <cell r="H38">
            <v>0.7</v>
          </cell>
          <cell r="I38">
            <v>180</v>
          </cell>
          <cell r="J38" t="str">
            <v>матрица</v>
          </cell>
          <cell r="L38">
            <v>179</v>
          </cell>
          <cell r="M38">
            <v>-3</v>
          </cell>
          <cell r="P38">
            <v>100</v>
          </cell>
          <cell r="Q38">
            <v>35.200000000000003</v>
          </cell>
          <cell r="R38">
            <v>291.80000000000007</v>
          </cell>
        </row>
        <row r="39">
          <cell r="A39" t="str">
            <v>Пельмени Бигбули #МЕГАВКУСИЩЕ с сочной грудинкой  ТМ Горячая штучка  флоу-пак сфера 0,7 кг.  Поком</v>
          </cell>
          <cell r="B39" t="str">
            <v>шт</v>
          </cell>
          <cell r="C39" t="str">
            <v>P004440</v>
          </cell>
          <cell r="D39">
            <v>-2</v>
          </cell>
          <cell r="E39">
            <v>754</v>
          </cell>
          <cell r="F39">
            <v>231</v>
          </cell>
          <cell r="G39">
            <v>521</v>
          </cell>
          <cell r="H39">
            <v>0.7</v>
          </cell>
          <cell r="I39">
            <v>180</v>
          </cell>
          <cell r="J39" t="str">
            <v>матрица</v>
          </cell>
          <cell r="L39">
            <v>497</v>
          </cell>
          <cell r="M39">
            <v>-266</v>
          </cell>
          <cell r="P39">
            <v>400</v>
          </cell>
          <cell r="Q39">
            <v>46.2</v>
          </cell>
        </row>
        <row r="40">
          <cell r="A40" t="str">
            <v>Пельмени Бигбули с мясом ТМ Горячая штучка БУЛЬМЕНИ ТС Бигбули ГШ  флоу-пак сфера 0,7.   Поком</v>
          </cell>
          <cell r="B40" t="str">
            <v>шт</v>
          </cell>
          <cell r="C40" t="str">
            <v>P004442</v>
          </cell>
          <cell r="D40">
            <v>78</v>
          </cell>
          <cell r="E40">
            <v>725</v>
          </cell>
          <cell r="F40">
            <v>166</v>
          </cell>
          <cell r="G40">
            <v>605</v>
          </cell>
          <cell r="H40">
            <v>0.7</v>
          </cell>
          <cell r="I40">
            <v>180</v>
          </cell>
          <cell r="J40" t="str">
            <v>матрица</v>
          </cell>
          <cell r="L40">
            <v>160</v>
          </cell>
          <cell r="M40">
            <v>6</v>
          </cell>
          <cell r="P40">
            <v>400</v>
          </cell>
          <cell r="Q40">
            <v>33.200000000000003</v>
          </cell>
        </row>
        <row r="41">
          <cell r="A41" t="str">
            <v>Пельмени Бигбули со сливочным маслом  ТС Бигбули ГШ#МЕГАМАСЛИЩЕ флоу-пак сфера 0,7.  Поком</v>
          </cell>
          <cell r="B41" t="str">
            <v>шт</v>
          </cell>
          <cell r="C41" t="str">
            <v>P004203</v>
          </cell>
          <cell r="D41">
            <v>12</v>
          </cell>
          <cell r="E41">
            <v>745</v>
          </cell>
          <cell r="F41">
            <v>270</v>
          </cell>
          <cell r="G41">
            <v>496</v>
          </cell>
          <cell r="H41">
            <v>0.7</v>
          </cell>
          <cell r="I41">
            <v>180</v>
          </cell>
          <cell r="J41" t="str">
            <v>матрица</v>
          </cell>
          <cell r="L41">
            <v>483</v>
          </cell>
          <cell r="M41">
            <v>-213</v>
          </cell>
          <cell r="P41">
            <v>400</v>
          </cell>
          <cell r="Q41">
            <v>54</v>
          </cell>
        </row>
        <row r="42">
          <cell r="A42" t="str">
            <v>Пельмени Бульмени мини с мясом и оливковым маслом  ТС Бульмени ГШ флоу-пак сфера 0,7кг  Поком</v>
          </cell>
          <cell r="B42" t="str">
            <v>шт</v>
          </cell>
          <cell r="C42" t="str">
            <v>P004819</v>
          </cell>
          <cell r="F42">
            <v>14</v>
          </cell>
          <cell r="G42">
            <v>-14</v>
          </cell>
          <cell r="H42">
            <v>0.7</v>
          </cell>
          <cell r="I42">
            <v>180</v>
          </cell>
          <cell r="J42" t="str">
            <v>матрица</v>
          </cell>
          <cell r="L42">
            <v>345</v>
          </cell>
          <cell r="M42">
            <v>-331</v>
          </cell>
          <cell r="P42">
            <v>800</v>
          </cell>
          <cell r="Q42">
            <v>2.8</v>
          </cell>
        </row>
        <row r="43">
          <cell r="A43" t="str">
            <v>Пельмени Бульмени с говядиной и свининой Наваристые Горячая штучка ВЕС  ПОКОМ</v>
          </cell>
          <cell r="B43" t="str">
            <v>кг</v>
          </cell>
          <cell r="C43" t="str">
            <v>P003697</v>
          </cell>
          <cell r="D43">
            <v>430</v>
          </cell>
          <cell r="E43">
            <v>615</v>
          </cell>
          <cell r="F43">
            <v>500</v>
          </cell>
          <cell r="G43">
            <v>470</v>
          </cell>
          <cell r="H43">
            <v>1</v>
          </cell>
          <cell r="I43">
            <v>180</v>
          </cell>
          <cell r="J43" t="str">
            <v>матрица</v>
          </cell>
          <cell r="L43">
            <v>505</v>
          </cell>
          <cell r="M43">
            <v>-5</v>
          </cell>
          <cell r="P43">
            <v>0</v>
          </cell>
          <cell r="Q43">
            <v>100</v>
          </cell>
          <cell r="R43">
            <v>930</v>
          </cell>
        </row>
        <row r="44">
          <cell r="A44" t="str">
            <v>Пельмени Бульмени с говядиной и свининой ТМ Горячая штучка  флоу-пак сфера 0,4 кг  Поком</v>
          </cell>
          <cell r="B44" t="str">
            <v>шт</v>
          </cell>
          <cell r="C44" t="str">
            <v>P004474</v>
          </cell>
          <cell r="D44">
            <v>290</v>
          </cell>
          <cell r="E44">
            <v>5</v>
          </cell>
          <cell r="F44">
            <v>291</v>
          </cell>
          <cell r="G44">
            <v>-6</v>
          </cell>
          <cell r="H44">
            <v>0.4</v>
          </cell>
          <cell r="I44">
            <v>180</v>
          </cell>
          <cell r="J44" t="str">
            <v>матрица</v>
          </cell>
          <cell r="L44">
            <v>341</v>
          </cell>
          <cell r="M44">
            <v>-50</v>
          </cell>
          <cell r="P44">
            <v>750</v>
          </cell>
          <cell r="Q44">
            <v>58.2</v>
          </cell>
          <cell r="R44">
            <v>70.800000000000068</v>
          </cell>
          <cell r="S44">
            <v>200</v>
          </cell>
        </row>
        <row r="45">
          <cell r="A45" t="str">
            <v>Пельмени Бульмени с говядиной и свининой ТМ Горячая штучка БУЛЬМЕНИ  флоу-пак сфера 0,7 кг.  Поком</v>
          </cell>
          <cell r="B45" t="str">
            <v>шт</v>
          </cell>
          <cell r="C45" t="str">
            <v>P004345</v>
          </cell>
          <cell r="D45">
            <v>63</v>
          </cell>
          <cell r="E45">
            <v>769</v>
          </cell>
          <cell r="F45">
            <v>419</v>
          </cell>
          <cell r="G45">
            <v>397</v>
          </cell>
          <cell r="H45">
            <v>0.7</v>
          </cell>
          <cell r="I45">
            <v>180</v>
          </cell>
          <cell r="J45" t="str">
            <v>матрица</v>
          </cell>
          <cell r="L45">
            <v>827</v>
          </cell>
          <cell r="M45">
            <v>-408</v>
          </cell>
          <cell r="P45">
            <v>1200</v>
          </cell>
          <cell r="Q45">
            <v>83.8</v>
          </cell>
        </row>
        <row r="46">
          <cell r="A46" t="str">
            <v>Пельмени Бульмени со сливочным маслом ТМ Горячая штучка  флоу-пак сфера 0,4 кг .  Поком</v>
          </cell>
          <cell r="B46" t="str">
            <v>шт</v>
          </cell>
          <cell r="C46" t="str">
            <v>P004444</v>
          </cell>
          <cell r="D46">
            <v>114</v>
          </cell>
          <cell r="E46">
            <v>414</v>
          </cell>
          <cell r="F46">
            <v>345</v>
          </cell>
          <cell r="G46">
            <v>175</v>
          </cell>
          <cell r="H46">
            <v>0.4</v>
          </cell>
          <cell r="I46">
            <v>180</v>
          </cell>
          <cell r="J46" t="str">
            <v>матрица</v>
          </cell>
          <cell r="L46">
            <v>434</v>
          </cell>
          <cell r="M46">
            <v>-89</v>
          </cell>
          <cell r="P46">
            <v>800</v>
          </cell>
          <cell r="Q46">
            <v>69</v>
          </cell>
        </row>
        <row r="47">
          <cell r="A47" t="str">
            <v>Пельмени Бульмени со сливочным маслом ТМ Горячая штучка флоу-пак сфера 0,7 кг .  Поком</v>
          </cell>
          <cell r="B47" t="str">
            <v>шт</v>
          </cell>
          <cell r="C47" t="str">
            <v>P004346</v>
          </cell>
          <cell r="D47">
            <v>74</v>
          </cell>
          <cell r="E47">
            <v>763</v>
          </cell>
          <cell r="F47">
            <v>627</v>
          </cell>
          <cell r="G47">
            <v>193</v>
          </cell>
          <cell r="H47">
            <v>0.7</v>
          </cell>
          <cell r="I47">
            <v>180</v>
          </cell>
          <cell r="J47" t="str">
            <v>матрица</v>
          </cell>
          <cell r="L47">
            <v>855</v>
          </cell>
          <cell r="M47">
            <v>-228</v>
          </cell>
          <cell r="P47">
            <v>1300</v>
          </cell>
          <cell r="Q47">
            <v>125.4</v>
          </cell>
          <cell r="R47">
            <v>262.60000000000014</v>
          </cell>
        </row>
        <row r="48">
          <cell r="A48" t="str">
            <v>Пельмени Домашние со сливочным маслом ТМ Зареченские  продукты флоу-пак сфера 0,7 кг.  Поком</v>
          </cell>
          <cell r="B48" t="str">
            <v>шт</v>
          </cell>
          <cell r="C48" t="str">
            <v>P004060</v>
          </cell>
          <cell r="D48">
            <v>212</v>
          </cell>
          <cell r="E48">
            <v>150</v>
          </cell>
          <cell r="F48">
            <v>325</v>
          </cell>
          <cell r="G48">
            <v>-1</v>
          </cell>
          <cell r="H48">
            <v>0.7</v>
          </cell>
          <cell r="I48">
            <v>180</v>
          </cell>
          <cell r="J48" t="str">
            <v>матрица</v>
          </cell>
          <cell r="L48">
            <v>333</v>
          </cell>
          <cell r="M48">
            <v>-8</v>
          </cell>
          <cell r="P48">
            <v>500</v>
          </cell>
          <cell r="Q48">
            <v>65</v>
          </cell>
          <cell r="R48">
            <v>411</v>
          </cell>
          <cell r="S48">
            <v>500</v>
          </cell>
        </row>
        <row r="49">
          <cell r="A49" t="str">
            <v>Пельмени Мясные с говядиной ТМ Стародворье сфера флоу-пак 1 кг  ПОКОМ</v>
          </cell>
          <cell r="B49" t="str">
            <v>шт</v>
          </cell>
          <cell r="C49" t="str">
            <v>P005048</v>
          </cell>
          <cell r="D49">
            <v>120</v>
          </cell>
          <cell r="E49">
            <v>38</v>
          </cell>
          <cell r="F49">
            <v>92</v>
          </cell>
          <cell r="G49">
            <v>13</v>
          </cell>
          <cell r="H49">
            <v>1</v>
          </cell>
          <cell r="I49">
            <v>0</v>
          </cell>
          <cell r="J49">
            <v>0</v>
          </cell>
          <cell r="L49">
            <v>211</v>
          </cell>
          <cell r="M49">
            <v>-119</v>
          </cell>
          <cell r="P49">
            <v>360</v>
          </cell>
          <cell r="Q49">
            <v>18.399999999999999</v>
          </cell>
          <cell r="S49">
            <v>500</v>
          </cell>
        </row>
        <row r="50">
          <cell r="A50" t="str">
            <v>Пельмени Отборные из свинины и говядины 0,9 кг ТМ Стародворье ТС Медвежье ушко  ПОКОМ</v>
          </cell>
          <cell r="B50" t="str">
            <v>шт</v>
          </cell>
          <cell r="C50" t="str">
            <v>P005107</v>
          </cell>
          <cell r="D50">
            <v>-4</v>
          </cell>
          <cell r="E50">
            <v>8</v>
          </cell>
          <cell r="F50">
            <v>8</v>
          </cell>
          <cell r="G50">
            <v>-4</v>
          </cell>
          <cell r="H50">
            <v>0.9</v>
          </cell>
          <cell r="I50">
            <v>180</v>
          </cell>
          <cell r="J50" t="str">
            <v>матрица</v>
          </cell>
          <cell r="L50">
            <v>161</v>
          </cell>
          <cell r="M50">
            <v>-153</v>
          </cell>
          <cell r="P50">
            <v>400</v>
          </cell>
          <cell r="Q50">
            <v>1.6</v>
          </cell>
          <cell r="S50">
            <v>200</v>
          </cell>
        </row>
        <row r="51">
          <cell r="A51" t="str">
            <v>Пельмени Отборные с говядиной 0,9 кг НОВА ТМ Стародворье ТС Медвежье ушко  ПОКОМ</v>
          </cell>
          <cell r="B51" t="str">
            <v>шт</v>
          </cell>
          <cell r="C51" t="str">
            <v>P005103</v>
          </cell>
          <cell r="E51">
            <v>8</v>
          </cell>
          <cell r="F51">
            <v>44</v>
          </cell>
          <cell r="G51">
            <v>-4</v>
          </cell>
          <cell r="H51">
            <v>0.9</v>
          </cell>
          <cell r="I51">
            <v>180</v>
          </cell>
          <cell r="J51" t="str">
            <v>матрица</v>
          </cell>
          <cell r="L51">
            <v>221</v>
          </cell>
          <cell r="M51">
            <v>-177</v>
          </cell>
          <cell r="P51">
            <v>400</v>
          </cell>
          <cell r="Q51">
            <v>8.8000000000000007</v>
          </cell>
          <cell r="S51">
            <v>200</v>
          </cell>
        </row>
        <row r="52">
          <cell r="A52" t="str">
            <v>Пельмени Со свининой и говядиной ТМ Особый рецепт Любимая ложка 1,0 кг  ПОКОМ</v>
          </cell>
          <cell r="B52" t="str">
            <v>шт</v>
          </cell>
          <cell r="C52" t="str">
            <v>P004081</v>
          </cell>
          <cell r="F52">
            <v>5</v>
          </cell>
          <cell r="G52">
            <v>-5</v>
          </cell>
          <cell r="H52">
            <v>1</v>
          </cell>
          <cell r="I52">
            <v>0</v>
          </cell>
          <cell r="J52">
            <v>0</v>
          </cell>
          <cell r="L52">
            <v>320</v>
          </cell>
          <cell r="M52">
            <v>-315</v>
          </cell>
          <cell r="P52">
            <v>350</v>
          </cell>
          <cell r="Q52">
            <v>1</v>
          </cell>
        </row>
        <row r="53">
          <cell r="A53" t="str">
            <v>Пирожки с мясом 3,7кг ВЕС ТМ Зареченские  ПОКОМ</v>
          </cell>
          <cell r="B53" t="str">
            <v>кг</v>
          </cell>
          <cell r="C53" t="str">
            <v>P004359</v>
          </cell>
          <cell r="D53">
            <v>270.10000000000002</v>
          </cell>
          <cell r="F53">
            <v>0</v>
          </cell>
          <cell r="G53">
            <v>270.10000000000002</v>
          </cell>
          <cell r="H53">
            <v>1</v>
          </cell>
          <cell r="I53">
            <v>0</v>
          </cell>
          <cell r="J53">
            <v>0</v>
          </cell>
          <cell r="L53">
            <v>0</v>
          </cell>
          <cell r="M53">
            <v>0</v>
          </cell>
          <cell r="P53">
            <v>0</v>
          </cell>
          <cell r="Q53">
            <v>0</v>
          </cell>
        </row>
        <row r="54">
          <cell r="A54" t="str">
            <v>Хотстеры Васаби-чили ТМ Горячая штучка ТС Хотстеры 0,23кг жареные ПОКОМ</v>
          </cell>
          <cell r="B54" t="str">
            <v>шт</v>
          </cell>
          <cell r="C54" t="str">
            <v>P005182</v>
          </cell>
          <cell r="D54">
            <v>247</v>
          </cell>
          <cell r="E54">
            <v>9</v>
          </cell>
          <cell r="F54">
            <v>191</v>
          </cell>
          <cell r="G54">
            <v>12</v>
          </cell>
          <cell r="H54">
            <v>0.23</v>
          </cell>
          <cell r="I54">
            <v>0</v>
          </cell>
          <cell r="J54">
            <v>0</v>
          </cell>
          <cell r="L54">
            <v>200</v>
          </cell>
          <cell r="M54">
            <v>-9</v>
          </cell>
          <cell r="P54">
            <v>400</v>
          </cell>
          <cell r="Q54">
            <v>38.200000000000003</v>
          </cell>
          <cell r="R54">
            <v>122.80000000000007</v>
          </cell>
        </row>
        <row r="55">
          <cell r="A55" t="str">
            <v>Хотстеры с сыром ТМ Горячая штучка ТС Хотстеры 0,25кг.  Поком</v>
          </cell>
          <cell r="B55" t="str">
            <v>шт</v>
          </cell>
          <cell r="C55" t="str">
            <v>P005058</v>
          </cell>
          <cell r="D55">
            <v>-14</v>
          </cell>
          <cell r="E55">
            <v>842</v>
          </cell>
          <cell r="F55">
            <v>130</v>
          </cell>
          <cell r="G55">
            <v>698</v>
          </cell>
          <cell r="H55">
            <v>0.25</v>
          </cell>
          <cell r="I55">
            <v>180</v>
          </cell>
          <cell r="J55" t="str">
            <v>матрица</v>
          </cell>
          <cell r="L55">
            <v>128</v>
          </cell>
          <cell r="M55">
            <v>2</v>
          </cell>
          <cell r="P55">
            <v>700</v>
          </cell>
          <cell r="Q55">
            <v>26</v>
          </cell>
        </row>
        <row r="56">
          <cell r="A56" t="str">
            <v>Хотстеры ТМ Горячая штучка ТС Хотстеры 0,25 кг зам  ПОКОМ</v>
          </cell>
          <cell r="B56" t="str">
            <v>шт</v>
          </cell>
          <cell r="C56" t="str">
            <v>P004489</v>
          </cell>
          <cell r="D56">
            <v>-328</v>
          </cell>
          <cell r="E56">
            <v>14</v>
          </cell>
          <cell r="F56">
            <v>192</v>
          </cell>
          <cell r="G56">
            <v>-506</v>
          </cell>
          <cell r="H56">
            <v>0.25</v>
          </cell>
          <cell r="I56">
            <v>180</v>
          </cell>
          <cell r="J56" t="str">
            <v>матрица</v>
          </cell>
          <cell r="L56">
            <v>216</v>
          </cell>
          <cell r="M56">
            <v>-24</v>
          </cell>
          <cell r="P56">
            <v>1000</v>
          </cell>
          <cell r="Q56">
            <v>38.4</v>
          </cell>
          <cell r="R56">
            <v>43.599999999999909</v>
          </cell>
        </row>
        <row r="57">
          <cell r="A57" t="str">
            <v>Хрустипай апельсин имбирь ТМ Горячая штучка 0,18 кг  ПОКОМ</v>
          </cell>
          <cell r="B57" t="str">
            <v>шт</v>
          </cell>
          <cell r="C57" t="str">
            <v>P005201</v>
          </cell>
          <cell r="D57">
            <v>287</v>
          </cell>
          <cell r="F57">
            <v>14</v>
          </cell>
          <cell r="G57">
            <v>273</v>
          </cell>
          <cell r="H57">
            <v>0.18</v>
          </cell>
          <cell r="I57">
            <v>0</v>
          </cell>
          <cell r="J57" t="e">
            <v>#N/A</v>
          </cell>
          <cell r="L57">
            <v>14</v>
          </cell>
          <cell r="M57">
            <v>0</v>
          </cell>
          <cell r="P57">
            <v>0</v>
          </cell>
          <cell r="Q57">
            <v>2.8</v>
          </cell>
        </row>
        <row r="58">
          <cell r="A58" t="str">
            <v>Хрустипай манго маракуйя ТМ Горячая штучка 0,18 кг  ПОКОМ</v>
          </cell>
          <cell r="B58" t="str">
            <v>шт</v>
          </cell>
          <cell r="C58" t="str">
            <v>P005199</v>
          </cell>
          <cell r="D58">
            <v>212</v>
          </cell>
          <cell r="F58">
            <v>15</v>
          </cell>
          <cell r="G58">
            <v>185</v>
          </cell>
          <cell r="H58">
            <v>0.18</v>
          </cell>
          <cell r="I58">
            <v>0</v>
          </cell>
          <cell r="J58" t="e">
            <v>#N/A</v>
          </cell>
          <cell r="L58">
            <v>15</v>
          </cell>
          <cell r="M58">
            <v>0</v>
          </cell>
          <cell r="P58">
            <v>0</v>
          </cell>
          <cell r="Q58">
            <v>3</v>
          </cell>
        </row>
        <row r="59">
          <cell r="A59" t="str">
            <v>Хрустипай манго чили ТМ Горячая штучка 0,18кг с начинкой ПОКОМ</v>
          </cell>
          <cell r="B59" t="str">
            <v>шт</v>
          </cell>
          <cell r="C59" t="str">
            <v>P005200</v>
          </cell>
          <cell r="D59">
            <v>39</v>
          </cell>
          <cell r="F59">
            <v>11</v>
          </cell>
          <cell r="G59">
            <v>25</v>
          </cell>
          <cell r="H59">
            <v>0.18</v>
          </cell>
          <cell r="I59" t="e">
            <v>#N/A</v>
          </cell>
          <cell r="J59" t="e">
            <v>#N/A</v>
          </cell>
          <cell r="L59">
            <v>10</v>
          </cell>
          <cell r="M59">
            <v>1</v>
          </cell>
          <cell r="P59">
            <v>0</v>
          </cell>
          <cell r="Q59">
            <v>2.2000000000000002</v>
          </cell>
          <cell r="R59">
            <v>5.8000000000000043</v>
          </cell>
        </row>
        <row r="60">
          <cell r="A60" t="str">
            <v>Хрустящие крылышки острые к пиву ТМ Горячая штучка 0,3кг зам  ПОКОМ</v>
          </cell>
          <cell r="B60" t="str">
            <v>шт</v>
          </cell>
          <cell r="C60" t="str">
            <v>P004589</v>
          </cell>
          <cell r="D60">
            <v>-244</v>
          </cell>
          <cell r="E60">
            <v>688</v>
          </cell>
          <cell r="F60">
            <v>400</v>
          </cell>
          <cell r="G60">
            <v>44</v>
          </cell>
          <cell r="H60">
            <v>0.3</v>
          </cell>
          <cell r="I60">
            <v>180</v>
          </cell>
          <cell r="J60" t="str">
            <v>матрица</v>
          </cell>
          <cell r="L60">
            <v>394</v>
          </cell>
          <cell r="M60">
            <v>6</v>
          </cell>
          <cell r="P60">
            <v>600</v>
          </cell>
          <cell r="Q60">
            <v>80</v>
          </cell>
          <cell r="R60">
            <v>476</v>
          </cell>
        </row>
        <row r="61">
          <cell r="A61" t="str">
            <v>Хрустящие крылышки ТМ Горячая штучка 0,3 кг зам  ПОКОМ</v>
          </cell>
          <cell r="B61" t="str">
            <v>шт</v>
          </cell>
          <cell r="C61" t="str">
            <v>P004588</v>
          </cell>
          <cell r="D61">
            <v>-24</v>
          </cell>
          <cell r="E61">
            <v>7</v>
          </cell>
          <cell r="F61">
            <v>87</v>
          </cell>
          <cell r="G61">
            <v>-104</v>
          </cell>
          <cell r="H61">
            <v>0.3</v>
          </cell>
          <cell r="I61">
            <v>180</v>
          </cell>
          <cell r="J61" t="str">
            <v>матрица</v>
          </cell>
          <cell r="L61">
            <v>87</v>
          </cell>
          <cell r="M61">
            <v>0</v>
          </cell>
          <cell r="P61">
            <v>200</v>
          </cell>
          <cell r="Q61">
            <v>17.399999999999999</v>
          </cell>
          <cell r="R61">
            <v>147.59999999999997</v>
          </cell>
          <cell r="S61">
            <v>300</v>
          </cell>
        </row>
        <row r="62">
          <cell r="A62" t="str">
            <v>Чебупели Курочка гриль Базовый ассортимент Фикс.вес 0,3 Пакет Горячая штучка  Поком</v>
          </cell>
          <cell r="B62" t="str">
            <v>шт</v>
          </cell>
          <cell r="C62" t="str">
            <v>P004113</v>
          </cell>
          <cell r="D62">
            <v>147</v>
          </cell>
          <cell r="F62">
            <v>51</v>
          </cell>
          <cell r="G62">
            <v>96</v>
          </cell>
          <cell r="H62">
            <v>0.3</v>
          </cell>
          <cell r="I62">
            <v>180</v>
          </cell>
          <cell r="J62" t="str">
            <v>матрица</v>
          </cell>
          <cell r="L62">
            <v>49</v>
          </cell>
          <cell r="M62">
            <v>2</v>
          </cell>
          <cell r="P62">
            <v>0</v>
          </cell>
          <cell r="Q62">
            <v>10.199999999999999</v>
          </cell>
          <cell r="R62">
            <v>46.799999999999983</v>
          </cell>
        </row>
        <row r="63">
          <cell r="A63" t="str">
            <v>Чебупицца курочка по-итальянски Горячая штучка 0,25 кг зам  ПОКОМ</v>
          </cell>
          <cell r="B63" t="str">
            <v>шт</v>
          </cell>
          <cell r="C63" t="str">
            <v>P004484</v>
          </cell>
          <cell r="D63">
            <v>314</v>
          </cell>
          <cell r="E63">
            <v>714</v>
          </cell>
          <cell r="F63">
            <v>604</v>
          </cell>
          <cell r="G63">
            <v>363</v>
          </cell>
          <cell r="H63">
            <v>0.25</v>
          </cell>
          <cell r="I63">
            <v>180</v>
          </cell>
          <cell r="J63" t="str">
            <v>матрица</v>
          </cell>
          <cell r="L63">
            <v>602</v>
          </cell>
          <cell r="M63">
            <v>2</v>
          </cell>
          <cell r="P63">
            <v>1000</v>
          </cell>
          <cell r="Q63">
            <v>120.8</v>
          </cell>
          <cell r="R63">
            <v>328.20000000000005</v>
          </cell>
          <cell r="S63">
            <v>500</v>
          </cell>
        </row>
        <row r="64">
          <cell r="A64" t="str">
            <v>Чебупицца Пепперони ТМ Горячая штучка ТС Чебупицца 0.25кг зам  ПОКОМ</v>
          </cell>
          <cell r="B64" t="str">
            <v>шт</v>
          </cell>
          <cell r="C64" t="str">
            <v>P004486</v>
          </cell>
          <cell r="D64">
            <v>972</v>
          </cell>
          <cell r="E64">
            <v>30</v>
          </cell>
          <cell r="F64">
            <v>735</v>
          </cell>
          <cell r="G64">
            <v>212</v>
          </cell>
          <cell r="H64">
            <v>0.25</v>
          </cell>
          <cell r="I64">
            <v>180</v>
          </cell>
          <cell r="J64" t="str">
            <v>матрица</v>
          </cell>
          <cell r="L64">
            <v>742</v>
          </cell>
          <cell r="M64">
            <v>-7</v>
          </cell>
          <cell r="P64">
            <v>700</v>
          </cell>
          <cell r="Q64">
            <v>147</v>
          </cell>
          <cell r="R64">
            <v>1146</v>
          </cell>
        </row>
        <row r="65">
          <cell r="A65" t="str">
            <v>Чебупицца со вкусом 4 сыра 0,2кг ТМ Горячая штучка ТС Foodgital  ПОКОМ</v>
          </cell>
          <cell r="B65" t="str">
            <v>шт</v>
          </cell>
          <cell r="C65" t="str">
            <v>P004818</v>
          </cell>
          <cell r="D65">
            <v>203</v>
          </cell>
          <cell r="E65">
            <v>9</v>
          </cell>
          <cell r="F65">
            <v>161</v>
          </cell>
          <cell r="G65">
            <v>29</v>
          </cell>
          <cell r="H65">
            <v>0.2</v>
          </cell>
          <cell r="I65">
            <v>0</v>
          </cell>
          <cell r="J65" t="str">
            <v>новинка</v>
          </cell>
          <cell r="L65">
            <v>161</v>
          </cell>
          <cell r="M65">
            <v>0</v>
          </cell>
          <cell r="P65">
            <v>200</v>
          </cell>
          <cell r="Q65">
            <v>32.200000000000003</v>
          </cell>
          <cell r="R65">
            <v>221.80000000000007</v>
          </cell>
          <cell r="S65">
            <v>250</v>
          </cell>
        </row>
        <row r="66">
          <cell r="A66" t="str">
            <v>Чебупицца со вкусом Том ям ТМ Горячая штучка ТС Чебупицца 0,23кг жареные ПОКОМ</v>
          </cell>
          <cell r="B66" t="str">
            <v>шт</v>
          </cell>
          <cell r="C66" t="str">
            <v>P005180</v>
          </cell>
          <cell r="D66">
            <v>223</v>
          </cell>
          <cell r="E66">
            <v>13</v>
          </cell>
          <cell r="F66">
            <v>180</v>
          </cell>
          <cell r="G66">
            <v>-3</v>
          </cell>
          <cell r="H66">
            <v>0.23</v>
          </cell>
          <cell r="I66">
            <v>0</v>
          </cell>
          <cell r="J66" t="str">
            <v>Новинка</v>
          </cell>
          <cell r="L66">
            <v>206</v>
          </cell>
          <cell r="M66">
            <v>-26</v>
          </cell>
          <cell r="P66">
            <v>750</v>
          </cell>
          <cell r="Q66">
            <v>36</v>
          </cell>
          <cell r="S66">
            <v>200</v>
          </cell>
        </row>
        <row r="67">
          <cell r="A67" t="str">
            <v>Чебуреки Мясные вес 2,7 кг ТМ Зареченские ТС Зареченские продукты   Поком</v>
          </cell>
          <cell r="B67" t="str">
            <v>кг</v>
          </cell>
          <cell r="C67" t="str">
            <v>P003478</v>
          </cell>
          <cell r="D67">
            <v>10.8</v>
          </cell>
          <cell r="F67">
            <v>2.7</v>
          </cell>
          <cell r="H67">
            <v>1</v>
          </cell>
          <cell r="I67" t="e">
            <v>#N/A</v>
          </cell>
          <cell r="J67" t="e">
            <v>#N/A</v>
          </cell>
          <cell r="L67">
            <v>21.8</v>
          </cell>
          <cell r="M67">
            <v>-19.100000000000001</v>
          </cell>
          <cell r="P67">
            <v>140</v>
          </cell>
          <cell r="Q67">
            <v>0.54</v>
          </cell>
        </row>
        <row r="68">
          <cell r="A68" t="str">
            <v>Чебуреки сочные ТМ Зареченские ТС Зареченские продукты.  Поком</v>
          </cell>
          <cell r="B68" t="str">
            <v>кг</v>
          </cell>
          <cell r="C68" t="str">
            <v>P003476</v>
          </cell>
          <cell r="E68">
            <v>780</v>
          </cell>
          <cell r="F68">
            <v>428</v>
          </cell>
          <cell r="G68">
            <v>352</v>
          </cell>
          <cell r="H68">
            <v>1</v>
          </cell>
          <cell r="I68">
            <v>0</v>
          </cell>
          <cell r="J68" t="e">
            <v>#N/A</v>
          </cell>
          <cell r="L68">
            <v>440</v>
          </cell>
          <cell r="M68">
            <v>-12</v>
          </cell>
          <cell r="P68">
            <v>50</v>
          </cell>
          <cell r="Q68">
            <v>85.6</v>
          </cell>
          <cell r="R68">
            <v>796.39999999999986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DE286"/>
  <sheetViews>
    <sheetView tabSelected="1" zoomScaleNormal="100" workbookViewId="0">
      <pane xSplit="1" ySplit="10" topLeftCell="B44" activePane="bottomRight" state="frozen"/>
      <selection pane="topRight" activeCell="B1" sqref="B1"/>
      <selection pane="bottomLeft" activeCell="A11" sqref="A11"/>
      <selection pane="bottomRight" activeCell="AC11" sqref="AC11:AG68"/>
    </sheetView>
  </sheetViews>
  <sheetFormatPr defaultColWidth="10.5" defaultRowHeight="11.45" customHeight="1" outlineLevelRow="1" x14ac:dyDescent="0.2"/>
  <cols>
    <col min="1" max="1" width="53.5" style="1" customWidth="1"/>
    <col min="2" max="2" width="5.1640625" style="1" customWidth="1"/>
    <col min="3" max="3" width="2.1640625" style="1" customWidth="1"/>
    <col min="4" max="4" width="8.33203125" style="1" customWidth="1"/>
    <col min="5" max="6" width="8.6640625" style="1" bestFit="1" customWidth="1"/>
    <col min="7" max="7" width="7.5" style="1" customWidth="1"/>
    <col min="8" max="9" width="7.83203125" customWidth="1"/>
    <col min="10" max="10" width="1.33203125" customWidth="1"/>
    <col min="11" max="11" width="2.1640625" customWidth="1"/>
    <col min="12" max="13" width="7.83203125" customWidth="1"/>
    <col min="14" max="15" width="0.83203125" customWidth="1"/>
    <col min="16" max="19" width="7.83203125" customWidth="1"/>
    <col min="20" max="20" width="6.33203125" customWidth="1"/>
    <col min="21" max="29" width="7.83203125" customWidth="1"/>
    <col min="30" max="30" width="11.6640625" bestFit="1" customWidth="1"/>
    <col min="31" max="34" width="7.83203125" customWidth="1"/>
    <col min="35" max="35" width="1.33203125" customWidth="1"/>
  </cols>
  <sheetData>
    <row r="1" spans="1:109" s="1" customFormat="1" ht="9.9499999999999993" customHeight="1" x14ac:dyDescent="0.2"/>
    <row r="2" spans="1:109" ht="24.95" customHeight="1" x14ac:dyDescent="0.2">
      <c r="A2" s="2" t="s">
        <v>0</v>
      </c>
    </row>
    <row r="3" spans="1:109" s="1" customFormat="1" ht="9.9499999999999993" customHeight="1" x14ac:dyDescent="0.2"/>
    <row r="4" spans="1:109" ht="12.95" customHeight="1" outlineLevel="1" x14ac:dyDescent="0.2">
      <c r="A4" s="3" t="s">
        <v>1</v>
      </c>
      <c r="B4" s="3"/>
      <c r="C4" s="3"/>
      <c r="D4" s="3"/>
    </row>
    <row r="5" spans="1:109" ht="12.95" customHeight="1" outlineLevel="1" x14ac:dyDescent="0.2">
      <c r="B5" s="3"/>
      <c r="C5" s="3"/>
      <c r="D5" s="3"/>
    </row>
    <row r="6" spans="1:109" ht="26.1" customHeight="1" outlineLevel="1" x14ac:dyDescent="0.2">
      <c r="A6" s="4" t="s">
        <v>2</v>
      </c>
      <c r="B6" s="3"/>
      <c r="C6" s="3"/>
      <c r="D6" s="3"/>
      <c r="E6" s="3"/>
      <c r="F6" s="3"/>
      <c r="G6" s="3"/>
    </row>
    <row r="7" spans="1:109" s="1" customFormat="1" ht="9.9499999999999993" customHeight="1" x14ac:dyDescent="0.2"/>
    <row r="8" spans="1:109" ht="12.95" customHeight="1" x14ac:dyDescent="0.25">
      <c r="A8" s="7" t="s">
        <v>3</v>
      </c>
      <c r="B8" s="8" t="s">
        <v>4</v>
      </c>
      <c r="C8" s="7"/>
      <c r="D8" s="6" t="s">
        <v>5</v>
      </c>
      <c r="E8" s="5" t="s">
        <v>6</v>
      </c>
      <c r="F8" s="5" t="s">
        <v>7</v>
      </c>
      <c r="G8" s="5" t="s">
        <v>8</v>
      </c>
      <c r="H8" s="15" t="s">
        <v>69</v>
      </c>
      <c r="I8" s="16" t="s">
        <v>70</v>
      </c>
      <c r="J8" s="16" t="s">
        <v>71</v>
      </c>
      <c r="K8" s="16" t="s">
        <v>72</v>
      </c>
      <c r="L8" s="16" t="s">
        <v>73</v>
      </c>
      <c r="M8" s="16" t="s">
        <v>74</v>
      </c>
      <c r="N8" s="16" t="s">
        <v>75</v>
      </c>
      <c r="O8" s="16" t="s">
        <v>76</v>
      </c>
      <c r="P8" s="16" t="s">
        <v>77</v>
      </c>
      <c r="Q8" s="16" t="s">
        <v>78</v>
      </c>
      <c r="R8" s="17" t="s">
        <v>79</v>
      </c>
      <c r="S8" s="18" t="s">
        <v>80</v>
      </c>
      <c r="T8" s="18" t="s">
        <v>81</v>
      </c>
      <c r="U8" s="16" t="s">
        <v>82</v>
      </c>
      <c r="V8" s="16" t="s">
        <v>83</v>
      </c>
      <c r="W8" s="16" t="s">
        <v>84</v>
      </c>
      <c r="X8" s="16" t="s">
        <v>84</v>
      </c>
      <c r="Y8" s="16" t="s">
        <v>84</v>
      </c>
      <c r="Z8" s="16" t="s">
        <v>84</v>
      </c>
      <c r="AA8" s="16" t="s">
        <v>85</v>
      </c>
      <c r="AB8" s="19" t="s">
        <v>86</v>
      </c>
      <c r="AC8" s="15" t="s">
        <v>87</v>
      </c>
      <c r="AD8" s="20" t="s">
        <v>88</v>
      </c>
      <c r="AE8" s="16" t="s">
        <v>89</v>
      </c>
      <c r="AF8" s="16" t="s">
        <v>90</v>
      </c>
      <c r="AG8" s="16" t="s">
        <v>91</v>
      </c>
      <c r="AH8" s="21" t="s">
        <v>92</v>
      </c>
    </row>
    <row r="9" spans="1:109" ht="12.95" customHeight="1" x14ac:dyDescent="0.2">
      <c r="A9" s="7"/>
      <c r="B9" s="8"/>
      <c r="C9" s="7"/>
      <c r="D9" s="6"/>
      <c r="E9" s="5"/>
      <c r="F9" s="5"/>
      <c r="G9" s="5"/>
      <c r="H9" s="22"/>
      <c r="I9" s="23"/>
      <c r="J9" s="23"/>
      <c r="K9" s="23"/>
      <c r="L9" s="23"/>
      <c r="M9" s="23"/>
      <c r="N9" s="23"/>
      <c r="O9" s="23"/>
      <c r="P9" s="23" t="s">
        <v>93</v>
      </c>
      <c r="Q9" s="23" t="s">
        <v>100</v>
      </c>
      <c r="R9" s="24" t="s">
        <v>95</v>
      </c>
      <c r="S9" s="23"/>
      <c r="T9" s="23"/>
      <c r="U9" s="23"/>
      <c r="V9" s="23"/>
      <c r="W9" s="23" t="s">
        <v>96</v>
      </c>
      <c r="X9" s="23" t="s">
        <v>97</v>
      </c>
      <c r="Y9" s="23" t="s">
        <v>98</v>
      </c>
      <c r="Z9" s="23" t="s">
        <v>94</v>
      </c>
      <c r="AA9" s="23"/>
      <c r="AB9" s="24" t="s">
        <v>95</v>
      </c>
      <c r="AC9" s="22"/>
      <c r="AD9" s="25"/>
      <c r="AE9" s="23"/>
      <c r="AF9" s="23"/>
      <c r="AG9" s="23"/>
      <c r="AH9" s="25"/>
    </row>
    <row r="10" spans="1:109" ht="12.95" customHeight="1" x14ac:dyDescent="0.2">
      <c r="A10" s="7"/>
      <c r="B10" s="8"/>
      <c r="C10" s="28"/>
      <c r="D10" s="26">
        <f t="shared" ref="D10:G10" si="0">SUM(D11:D464)</f>
        <v>6686.0000000000009</v>
      </c>
      <c r="E10" s="26">
        <f t="shared" si="0"/>
        <v>15067.5</v>
      </c>
      <c r="F10" s="26">
        <f t="shared" si="0"/>
        <v>11984.7</v>
      </c>
      <c r="G10" s="26">
        <f t="shared" si="0"/>
        <v>8827.2000000000007</v>
      </c>
      <c r="H10" s="22"/>
      <c r="I10" s="23"/>
      <c r="J10" s="23"/>
      <c r="K10" s="23"/>
      <c r="L10" s="26">
        <f t="shared" ref="L10:S10" si="1">SUM(L11:L464)</f>
        <v>15279</v>
      </c>
      <c r="M10" s="26">
        <f t="shared" si="1"/>
        <v>-3294.2999999999997</v>
      </c>
      <c r="N10" s="26">
        <f t="shared" si="1"/>
        <v>0</v>
      </c>
      <c r="O10" s="26">
        <f t="shared" si="1"/>
        <v>0</v>
      </c>
      <c r="P10" s="26">
        <f t="shared" si="1"/>
        <v>22965</v>
      </c>
      <c r="Q10" s="26">
        <f t="shared" si="1"/>
        <v>2396.94</v>
      </c>
      <c r="R10" s="26">
        <f t="shared" si="1"/>
        <v>23240</v>
      </c>
      <c r="S10" s="26">
        <f t="shared" si="1"/>
        <v>7730</v>
      </c>
      <c r="T10" s="23"/>
      <c r="U10" s="23"/>
      <c r="V10" s="23"/>
      <c r="W10" s="26">
        <f>SUM(W11:W464)</f>
        <v>1746.4999999999995</v>
      </c>
      <c r="X10" s="26">
        <f>SUM(X11:X464)</f>
        <v>224.85999999999999</v>
      </c>
      <c r="Y10" s="26">
        <f>SUM(Y11:Y464)</f>
        <v>524.78000000000009</v>
      </c>
      <c r="Z10" s="26">
        <f>SUM(Z11:Z464)</f>
        <v>2644.8600000000006</v>
      </c>
      <c r="AA10" s="23"/>
      <c r="AB10" s="26">
        <f>SUM(AB11:AB464)</f>
        <v>11547.099999999999</v>
      </c>
      <c r="AC10" s="22"/>
      <c r="AD10" s="27">
        <f>SUM(AD11:AD464)</f>
        <v>2764</v>
      </c>
      <c r="AE10" s="26">
        <f>SUM(AE11:AE464)</f>
        <v>10761.400000000001</v>
      </c>
      <c r="AF10" s="23"/>
      <c r="AG10" s="23"/>
      <c r="AH10" s="27">
        <f>SUM(AH11:AH464)</f>
        <v>31.661111111111101</v>
      </c>
    </row>
    <row r="11" spans="1:109" ht="21.95" customHeight="1" x14ac:dyDescent="0.2">
      <c r="A11" s="31" t="s">
        <v>9</v>
      </c>
      <c r="B11" s="32" t="s">
        <v>10</v>
      </c>
      <c r="C11" s="31">
        <f>VLOOKUP(A:A,[1]TDSheet!$A:$C,3,0)</f>
        <v>0</v>
      </c>
      <c r="D11" s="33">
        <v>97</v>
      </c>
      <c r="E11" s="34"/>
      <c r="F11" s="34">
        <v>7</v>
      </c>
      <c r="G11" s="34">
        <v>88</v>
      </c>
      <c r="H11" s="35">
        <f>VLOOKUP(A:A,[1]TDSheet!$A:$H,8,0)</f>
        <v>0</v>
      </c>
      <c r="I11" s="36">
        <f>VLOOKUP(A:A,[1]TDSheet!$A:$I,9,0)</f>
        <v>0</v>
      </c>
      <c r="J11" s="37" t="s">
        <v>99</v>
      </c>
      <c r="K11" s="13"/>
      <c r="L11" s="13">
        <f>VLOOKUP(A:A,[2]TDSheet!$A:$B,2,0)</f>
        <v>7</v>
      </c>
      <c r="M11" s="13">
        <f>F11-L11</f>
        <v>0</v>
      </c>
      <c r="N11" s="13"/>
      <c r="O11" s="13"/>
      <c r="P11" s="13">
        <f>VLOOKUP(A:A,[1]TDSheet!$A:$R,18,0)</f>
        <v>0</v>
      </c>
      <c r="Q11" s="13">
        <f>F11/5</f>
        <v>1.4</v>
      </c>
      <c r="R11" s="30"/>
      <c r="S11" s="30"/>
      <c r="T11" s="13">
        <f>VLOOKUP(A:A,[3]TDSheet!$A:$T,20,0)</f>
        <v>0</v>
      </c>
      <c r="U11" s="13">
        <f>(G11+P11+R11)/Q11</f>
        <v>62.857142857142861</v>
      </c>
      <c r="V11" s="13">
        <f>G11/Q11</f>
        <v>62.857142857142861</v>
      </c>
      <c r="W11" s="13">
        <f>VLOOKUP(A:A,[1]TDSheet!$A:$X,24,0)</f>
        <v>0</v>
      </c>
      <c r="X11" s="13">
        <f>VLOOKUP(A:A,[1]TDSheet!$A:$Y,25,0)</f>
        <v>0</v>
      </c>
      <c r="Y11" s="13">
        <f>VLOOKUP(A:A,[1]TDSheet!$A:$Z,26,0)</f>
        <v>0</v>
      </c>
      <c r="Z11" s="13">
        <f>VLOOKUP(A:A,[1]TDSheet!$A:$Q,17,0)</f>
        <v>0.6</v>
      </c>
      <c r="AA11" s="13" t="e">
        <f>VLOOKUP(A:A,[1]TDSheet!$A:$AA,27,0)</f>
        <v>#N/A</v>
      </c>
      <c r="AB11" s="13">
        <f>R11*H11</f>
        <v>0</v>
      </c>
      <c r="AC11" s="13">
        <f>VLOOKUP(A:A,[1]TDSheet!$A:$AC,29,0)</f>
        <v>0</v>
      </c>
      <c r="AD11" s="13">
        <v>0</v>
      </c>
      <c r="AE11" s="13">
        <f>AD11*AC11*H11</f>
        <v>0</v>
      </c>
      <c r="AF11" s="13">
        <f>VLOOKUP(A:A,[1]TDSheet!$A:$AF,32,0)</f>
        <v>0</v>
      </c>
      <c r="AG11" s="13">
        <f>VLOOKUP(A:A,[1]TDSheet!$A:$AG,33,0)</f>
        <v>0</v>
      </c>
      <c r="AH11" s="13">
        <v>0</v>
      </c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</row>
    <row r="12" spans="1:109" ht="21.95" customHeight="1" x14ac:dyDescent="0.2">
      <c r="A12" s="31" t="s">
        <v>11</v>
      </c>
      <c r="B12" s="32" t="s">
        <v>10</v>
      </c>
      <c r="C12" s="31">
        <f>VLOOKUP(A:A,[1]TDSheet!$A:$C,3,0)</f>
        <v>0</v>
      </c>
      <c r="D12" s="33">
        <v>74</v>
      </c>
      <c r="E12" s="34"/>
      <c r="F12" s="34">
        <v>2</v>
      </c>
      <c r="G12" s="34">
        <v>72</v>
      </c>
      <c r="H12" s="35">
        <f>VLOOKUP(A:A,[1]TDSheet!$A:$H,8,0)</f>
        <v>0</v>
      </c>
      <c r="I12" s="36">
        <f>VLOOKUP(A:A,[1]TDSheet!$A:$I,9,0)</f>
        <v>0</v>
      </c>
      <c r="J12" s="37" t="s">
        <v>99</v>
      </c>
      <c r="K12" s="13"/>
      <c r="L12" s="13">
        <f>VLOOKUP(A:A,[2]TDSheet!$A:$B,2,0)</f>
        <v>11</v>
      </c>
      <c r="M12" s="13">
        <f t="shared" ref="M12:M68" si="2">F12-L12</f>
        <v>-9</v>
      </c>
      <c r="N12" s="13"/>
      <c r="O12" s="13"/>
      <c r="P12" s="13">
        <f>VLOOKUP(A:A,[1]TDSheet!$A:$R,18,0)</f>
        <v>0</v>
      </c>
      <c r="Q12" s="13">
        <f t="shared" ref="Q12:Q68" si="3">F12/5</f>
        <v>0.4</v>
      </c>
      <c r="R12" s="30"/>
      <c r="S12" s="30"/>
      <c r="T12" s="13">
        <f>VLOOKUP(A:A,[3]TDSheet!$A:$T,20,0)</f>
        <v>0</v>
      </c>
      <c r="U12" s="13">
        <f t="shared" ref="U12:U68" si="4">(G12+P12+R12)/Q12</f>
        <v>180</v>
      </c>
      <c r="V12" s="13">
        <f t="shared" ref="V12:V68" si="5">G12/Q12</f>
        <v>180</v>
      </c>
      <c r="W12" s="13">
        <f>VLOOKUP(A:A,[1]TDSheet!$A:$X,24,0)</f>
        <v>0</v>
      </c>
      <c r="X12" s="13">
        <f>VLOOKUP(A:A,[1]TDSheet!$A:$Y,25,0)</f>
        <v>0</v>
      </c>
      <c r="Y12" s="13">
        <f>VLOOKUP(A:A,[1]TDSheet!$A:$Z,26,0)</f>
        <v>0</v>
      </c>
      <c r="Z12" s="13">
        <f>VLOOKUP(A:A,[1]TDSheet!$A:$Q,17,0)</f>
        <v>0.2</v>
      </c>
      <c r="AA12" s="13" t="e">
        <f>VLOOKUP(A:A,[1]TDSheet!$A:$AA,27,0)</f>
        <v>#N/A</v>
      </c>
      <c r="AB12" s="13">
        <f t="shared" ref="AB12:AB68" si="6">R12*H12</f>
        <v>0</v>
      </c>
      <c r="AC12" s="13">
        <f>VLOOKUP(A:A,[1]TDSheet!$A:$AC,29,0)</f>
        <v>0</v>
      </c>
      <c r="AD12" s="13">
        <v>0</v>
      </c>
      <c r="AE12" s="13">
        <f t="shared" ref="AE12:AE68" si="7">AD12*AC12*H12</f>
        <v>0</v>
      </c>
      <c r="AF12" s="13">
        <f>VLOOKUP(A:A,[1]TDSheet!$A:$AF,32,0)</f>
        <v>0</v>
      </c>
      <c r="AG12" s="13">
        <f>VLOOKUP(A:A,[1]TDSheet!$A:$AG,33,0)</f>
        <v>0</v>
      </c>
      <c r="AH12" s="13">
        <v>0</v>
      </c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</row>
    <row r="13" spans="1:109" ht="11.1" customHeight="1" x14ac:dyDescent="0.2">
      <c r="A13" s="31" t="s">
        <v>12</v>
      </c>
      <c r="B13" s="32" t="s">
        <v>10</v>
      </c>
      <c r="C13" s="31">
        <f>VLOOKUP(A:A,[1]TDSheet!$A:$C,3,0)</f>
        <v>0</v>
      </c>
      <c r="D13" s="33">
        <v>124</v>
      </c>
      <c r="E13" s="34"/>
      <c r="F13" s="34">
        <v>20</v>
      </c>
      <c r="G13" s="34">
        <v>104</v>
      </c>
      <c r="H13" s="35">
        <f>VLOOKUP(A:A,[1]TDSheet!$A:$H,8,0)</f>
        <v>0</v>
      </c>
      <c r="I13" s="36">
        <f>VLOOKUP(A:A,[1]TDSheet!$A:$I,9,0)</f>
        <v>0</v>
      </c>
      <c r="J13" s="37" t="s">
        <v>99</v>
      </c>
      <c r="K13" s="13"/>
      <c r="L13" s="13">
        <f>VLOOKUP(A:A,[2]TDSheet!$A:$B,2,0)</f>
        <v>25</v>
      </c>
      <c r="M13" s="13">
        <f t="shared" si="2"/>
        <v>-5</v>
      </c>
      <c r="N13" s="13"/>
      <c r="O13" s="13"/>
      <c r="P13" s="13">
        <f>VLOOKUP(A:A,[1]TDSheet!$A:$R,18,0)</f>
        <v>0</v>
      </c>
      <c r="Q13" s="13">
        <f t="shared" si="3"/>
        <v>4</v>
      </c>
      <c r="R13" s="30"/>
      <c r="S13" s="30"/>
      <c r="T13" s="13">
        <f>VLOOKUP(A:A,[3]TDSheet!$A:$T,20,0)</f>
        <v>0</v>
      </c>
      <c r="U13" s="13">
        <f t="shared" si="4"/>
        <v>26</v>
      </c>
      <c r="V13" s="13">
        <f t="shared" si="5"/>
        <v>26</v>
      </c>
      <c r="W13" s="13">
        <f>VLOOKUP(A:A,[1]TDSheet!$A:$X,24,0)</f>
        <v>0</v>
      </c>
      <c r="X13" s="13">
        <f>VLOOKUP(A:A,[1]TDSheet!$A:$Y,25,0)</f>
        <v>0</v>
      </c>
      <c r="Y13" s="13">
        <f>VLOOKUP(A:A,[1]TDSheet!$A:$Z,26,0)</f>
        <v>0</v>
      </c>
      <c r="Z13" s="13">
        <f>VLOOKUP(A:A,[1]TDSheet!$A:$Q,17,0)</f>
        <v>0.2</v>
      </c>
      <c r="AA13" s="13" t="e">
        <f>VLOOKUP(A:A,[1]TDSheet!$A:$AA,27,0)</f>
        <v>#N/A</v>
      </c>
      <c r="AB13" s="13">
        <f t="shared" si="6"/>
        <v>0</v>
      </c>
      <c r="AC13" s="13">
        <f>VLOOKUP(A:A,[1]TDSheet!$A:$AC,29,0)</f>
        <v>0</v>
      </c>
      <c r="AD13" s="13">
        <v>0</v>
      </c>
      <c r="AE13" s="13">
        <f t="shared" si="7"/>
        <v>0</v>
      </c>
      <c r="AF13" s="13">
        <f>VLOOKUP(A:A,[1]TDSheet!$A:$AF,32,0)</f>
        <v>0</v>
      </c>
      <c r="AG13" s="13">
        <f>VLOOKUP(A:A,[1]TDSheet!$A:$AG,33,0)</f>
        <v>0</v>
      </c>
      <c r="AH13" s="13">
        <v>0</v>
      </c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</row>
    <row r="14" spans="1:109" ht="21.95" customHeight="1" x14ac:dyDescent="0.2">
      <c r="A14" s="9" t="s">
        <v>13</v>
      </c>
      <c r="B14" s="10" t="s">
        <v>10</v>
      </c>
      <c r="C14" s="9" t="str">
        <f>VLOOKUP(A:A,[1]TDSheet!$A:$C,3,0)</f>
        <v>P005065</v>
      </c>
      <c r="D14" s="11">
        <v>135</v>
      </c>
      <c r="E14" s="12"/>
      <c r="F14" s="12">
        <v>90</v>
      </c>
      <c r="G14" s="12">
        <v>39</v>
      </c>
      <c r="H14" s="29">
        <f>VLOOKUP(A:A,[1]TDSheet!$A:$H,8,0)</f>
        <v>0.22</v>
      </c>
      <c r="I14" s="13">
        <f>VLOOKUP(A:A,[1]TDSheet!$A:$I,9,0)</f>
        <v>0</v>
      </c>
      <c r="J14" s="13">
        <f>VLOOKUP(A:A,[1]TDSheet!$A:$J,10,0)</f>
        <v>0</v>
      </c>
      <c r="K14" s="13"/>
      <c r="L14" s="13">
        <f>VLOOKUP(A:A,[2]TDSheet!$A:$B,2,0)</f>
        <v>90</v>
      </c>
      <c r="M14" s="13">
        <f t="shared" si="2"/>
        <v>0</v>
      </c>
      <c r="N14" s="13"/>
      <c r="O14" s="13"/>
      <c r="P14" s="13">
        <f>VLOOKUP(A:A,[1]TDSheet!$A:$R,18,0)</f>
        <v>0</v>
      </c>
      <c r="Q14" s="13">
        <f t="shared" si="3"/>
        <v>18</v>
      </c>
      <c r="R14" s="30">
        <v>300</v>
      </c>
      <c r="S14" s="30">
        <f>VLOOKUP(A:A,[3]TDSheet!$A:$S,19,0)</f>
        <v>300</v>
      </c>
      <c r="T14" s="13">
        <f>VLOOKUP(A:A,[3]TDSheet!$A:$T,20,0)</f>
        <v>0</v>
      </c>
      <c r="U14" s="13">
        <f t="shared" si="4"/>
        <v>18.833333333333332</v>
      </c>
      <c r="V14" s="13">
        <f t="shared" si="5"/>
        <v>2.1666666666666665</v>
      </c>
      <c r="W14" s="13">
        <f>VLOOKUP(A:A,[1]TDSheet!$A:$X,24,0)</f>
        <v>12.2</v>
      </c>
      <c r="X14" s="13">
        <f>VLOOKUP(A:A,[1]TDSheet!$A:$Y,25,0)</f>
        <v>0</v>
      </c>
      <c r="Y14" s="13">
        <f>VLOOKUP(A:A,[1]TDSheet!$A:$Z,26,0)</f>
        <v>0</v>
      </c>
      <c r="Z14" s="13">
        <f>VLOOKUP(A:A,[1]TDSheet!$A:$Q,17,0)</f>
        <v>6.6</v>
      </c>
      <c r="AA14" s="13">
        <f>VLOOKUP(A:A,[1]TDSheet!$A:$AA,27,0)</f>
        <v>0</v>
      </c>
      <c r="AB14" s="13">
        <f t="shared" si="6"/>
        <v>66</v>
      </c>
      <c r="AC14" s="13">
        <f>VLOOKUP(A:A,[1]TDSheet!$A:$AC,29,0)</f>
        <v>12</v>
      </c>
      <c r="AD14" s="13">
        <f t="shared" ref="AD14:AD68" si="8">MROUND(R14,AC14*AF14)/AC14</f>
        <v>28</v>
      </c>
      <c r="AE14" s="13">
        <f t="shared" si="7"/>
        <v>73.92</v>
      </c>
      <c r="AF14" s="13">
        <f>VLOOKUP(A:A,[1]TDSheet!$A:$AF,32,0)</f>
        <v>14</v>
      </c>
      <c r="AG14" s="13">
        <f>VLOOKUP(A:A,[1]TDSheet!$A:$AG,33,0)</f>
        <v>70</v>
      </c>
      <c r="AH14" s="13">
        <f t="shared" ref="AH14:AH67" si="9">AD14/AG14</f>
        <v>0.4</v>
      </c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</row>
    <row r="15" spans="1:109" ht="11.1" customHeight="1" x14ac:dyDescent="0.2">
      <c r="A15" s="9" t="s">
        <v>14</v>
      </c>
      <c r="B15" s="10" t="s">
        <v>10</v>
      </c>
      <c r="C15" s="9" t="str">
        <f>VLOOKUP(A:A,[1]TDSheet!$A:$C,3,0)</f>
        <v>P004598</v>
      </c>
      <c r="D15" s="11">
        <v>-270</v>
      </c>
      <c r="E15" s="12">
        <v>348</v>
      </c>
      <c r="F15" s="12">
        <v>108</v>
      </c>
      <c r="G15" s="12">
        <v>-30</v>
      </c>
      <c r="H15" s="29">
        <f>VLOOKUP(A:A,[1]TDSheet!$A:$H,8,0)</f>
        <v>0.3</v>
      </c>
      <c r="I15" s="13">
        <f>VLOOKUP(A:A,[1]TDSheet!$A:$I,9,0)</f>
        <v>180</v>
      </c>
      <c r="J15" s="13" t="str">
        <f>VLOOKUP(A:A,[1]TDSheet!$A:$J,10,0)</f>
        <v>матрица</v>
      </c>
      <c r="K15" s="13"/>
      <c r="L15" s="13">
        <f>VLOOKUP(A:A,[2]TDSheet!$A:$B,2,0)</f>
        <v>174</v>
      </c>
      <c r="M15" s="13">
        <f t="shared" si="2"/>
        <v>-66</v>
      </c>
      <c r="N15" s="13"/>
      <c r="O15" s="13"/>
      <c r="P15" s="13">
        <f>VLOOKUP(A:A,[1]TDSheet!$A:$R,18,0)</f>
        <v>600</v>
      </c>
      <c r="Q15" s="13">
        <f t="shared" si="3"/>
        <v>21.6</v>
      </c>
      <c r="R15" s="30">
        <v>300</v>
      </c>
      <c r="S15" s="30">
        <f>VLOOKUP(A:A,[3]TDSheet!$A:$S,19,0)</f>
        <v>300</v>
      </c>
      <c r="T15" s="13">
        <f>VLOOKUP(A:A,[3]TDSheet!$A:$T,20,0)</f>
        <v>0</v>
      </c>
      <c r="U15" s="13">
        <f t="shared" si="4"/>
        <v>40.277777777777779</v>
      </c>
      <c r="V15" s="13">
        <f t="shared" si="5"/>
        <v>-1.3888888888888888</v>
      </c>
      <c r="W15" s="13">
        <f>VLOOKUP(A:A,[1]TDSheet!$A:$X,24,0)</f>
        <v>53</v>
      </c>
      <c r="X15" s="13">
        <f>VLOOKUP(A:A,[1]TDSheet!$A:$Y,25,0)</f>
        <v>0</v>
      </c>
      <c r="Y15" s="13">
        <f>VLOOKUP(A:A,[1]TDSheet!$A:$Z,26,0)</f>
        <v>0</v>
      </c>
      <c r="Z15" s="13">
        <f>VLOOKUP(A:A,[1]TDSheet!$A:$Q,17,0)</f>
        <v>54</v>
      </c>
      <c r="AA15" s="13">
        <f>VLOOKUP(A:A,[1]TDSheet!$A:$AA,27,0)</f>
        <v>0</v>
      </c>
      <c r="AB15" s="13">
        <f t="shared" si="6"/>
        <v>90</v>
      </c>
      <c r="AC15" s="13">
        <f>VLOOKUP(A:A,[1]TDSheet!$A:$AC,29,0)</f>
        <v>12</v>
      </c>
      <c r="AD15" s="13">
        <f t="shared" si="8"/>
        <v>28</v>
      </c>
      <c r="AE15" s="13">
        <f t="shared" si="7"/>
        <v>100.8</v>
      </c>
      <c r="AF15" s="13">
        <f>VLOOKUP(A:A,[1]TDSheet!$A:$AF,32,0)</f>
        <v>14</v>
      </c>
      <c r="AG15" s="13">
        <f>VLOOKUP(A:A,[1]TDSheet!$A:$AG,33,0)</f>
        <v>70</v>
      </c>
      <c r="AH15" s="13">
        <f t="shared" si="9"/>
        <v>0.4</v>
      </c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</row>
    <row r="16" spans="1:109" ht="11.1" customHeight="1" x14ac:dyDescent="0.2">
      <c r="A16" s="9" t="s">
        <v>15</v>
      </c>
      <c r="B16" s="10" t="s">
        <v>10</v>
      </c>
      <c r="C16" s="9" t="str">
        <f>VLOOKUP(A:A,[1]TDSheet!$A:$C,3,0)</f>
        <v>P004597</v>
      </c>
      <c r="D16" s="11">
        <v>92</v>
      </c>
      <c r="E16" s="12">
        <v>336</v>
      </c>
      <c r="F16" s="12">
        <v>299</v>
      </c>
      <c r="G16" s="12">
        <v>83</v>
      </c>
      <c r="H16" s="29">
        <f>VLOOKUP(A:A,[1]TDSheet!$A:$H,8,0)</f>
        <v>0.28000000000000003</v>
      </c>
      <c r="I16" s="13">
        <f>VLOOKUP(A:A,[1]TDSheet!$A:$I,9,0)</f>
        <v>180</v>
      </c>
      <c r="J16" s="13" t="str">
        <f>VLOOKUP(A:A,[1]TDSheet!$A:$J,10,0)</f>
        <v>матрица</v>
      </c>
      <c r="K16" s="13"/>
      <c r="L16" s="13">
        <f>VLOOKUP(A:A,[2]TDSheet!$A:$B,2,0)</f>
        <v>292</v>
      </c>
      <c r="M16" s="13">
        <f t="shared" si="2"/>
        <v>7</v>
      </c>
      <c r="N16" s="13"/>
      <c r="O16" s="13"/>
      <c r="P16" s="13">
        <f>VLOOKUP(A:A,[1]TDSheet!$A:$R,18,0)</f>
        <v>360</v>
      </c>
      <c r="Q16" s="13">
        <f t="shared" si="3"/>
        <v>59.8</v>
      </c>
      <c r="R16" s="30">
        <v>660</v>
      </c>
      <c r="S16" s="30">
        <f>VLOOKUP(A:A,[3]TDSheet!$A:$S,19,0)</f>
        <v>500</v>
      </c>
      <c r="T16" s="13">
        <f>VLOOKUP(A:A,[3]TDSheet!$A:$T,20,0)</f>
        <v>0</v>
      </c>
      <c r="U16" s="13">
        <f t="shared" si="4"/>
        <v>18.444816053511708</v>
      </c>
      <c r="V16" s="13">
        <f t="shared" si="5"/>
        <v>1.3879598662207357</v>
      </c>
      <c r="W16" s="13">
        <f>VLOOKUP(A:A,[1]TDSheet!$A:$X,24,0)</f>
        <v>0</v>
      </c>
      <c r="X16" s="13">
        <f>VLOOKUP(A:A,[1]TDSheet!$A:$Y,25,0)</f>
        <v>0</v>
      </c>
      <c r="Y16" s="13">
        <f>VLOOKUP(A:A,[1]TDSheet!$A:$Z,26,0)</f>
        <v>14.6</v>
      </c>
      <c r="Z16" s="13">
        <f>VLOOKUP(A:A,[1]TDSheet!$A:$Q,17,0)</f>
        <v>52.8</v>
      </c>
      <c r="AA16" s="13">
        <f>VLOOKUP(A:A,[1]TDSheet!$A:$AA,27,0)</f>
        <v>0</v>
      </c>
      <c r="AB16" s="13">
        <f t="shared" si="6"/>
        <v>184.8</v>
      </c>
      <c r="AC16" s="13">
        <f>VLOOKUP(A:A,[1]TDSheet!$A:$AC,29,0)</f>
        <v>6</v>
      </c>
      <c r="AD16" s="13">
        <f t="shared" si="8"/>
        <v>112</v>
      </c>
      <c r="AE16" s="13">
        <f t="shared" si="7"/>
        <v>188.16000000000003</v>
      </c>
      <c r="AF16" s="13">
        <f>VLOOKUP(A:A,[1]TDSheet!$A:$AF,32,0)</f>
        <v>14</v>
      </c>
      <c r="AG16" s="13">
        <f>VLOOKUP(A:A,[1]TDSheet!$A:$AG,33,0)</f>
        <v>140</v>
      </c>
      <c r="AH16" s="13">
        <f t="shared" si="9"/>
        <v>0.8</v>
      </c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</row>
    <row r="17" spans="1:109" ht="11.1" customHeight="1" x14ac:dyDescent="0.2">
      <c r="A17" s="9" t="s">
        <v>16</v>
      </c>
      <c r="B17" s="10" t="s">
        <v>10</v>
      </c>
      <c r="C17" s="9" t="str">
        <f>VLOOKUP(A:A,[1]TDSheet!$A:$C,3,0)</f>
        <v>P004969</v>
      </c>
      <c r="D17" s="11">
        <v>386</v>
      </c>
      <c r="E17" s="12">
        <v>687</v>
      </c>
      <c r="F17" s="12">
        <v>456</v>
      </c>
      <c r="G17" s="12">
        <v>578</v>
      </c>
      <c r="H17" s="29">
        <f>VLOOKUP(A:A,[1]TDSheet!$A:$H,8,0)</f>
        <v>0.24</v>
      </c>
      <c r="I17" s="13">
        <f>VLOOKUP(A:A,[1]TDSheet!$A:$I,9,0)</f>
        <v>180</v>
      </c>
      <c r="J17" s="13" t="str">
        <f>VLOOKUP(A:A,[1]TDSheet!$A:$J,10,0)</f>
        <v>матрица</v>
      </c>
      <c r="K17" s="13"/>
      <c r="L17" s="13">
        <f>VLOOKUP(A:A,[2]TDSheet!$A:$B,2,0)</f>
        <v>454</v>
      </c>
      <c r="M17" s="13">
        <f t="shared" si="2"/>
        <v>2</v>
      </c>
      <c r="N17" s="13"/>
      <c r="O17" s="13"/>
      <c r="P17" s="13">
        <f>VLOOKUP(A:A,[1]TDSheet!$A:$R,18,0)</f>
        <v>160</v>
      </c>
      <c r="Q17" s="13">
        <f t="shared" si="3"/>
        <v>91.2</v>
      </c>
      <c r="R17" s="30">
        <v>900</v>
      </c>
      <c r="S17" s="30">
        <f>VLOOKUP(A:A,[3]TDSheet!$A:$S,19,0)</f>
        <v>800</v>
      </c>
      <c r="T17" s="13">
        <f>VLOOKUP(A:A,[3]TDSheet!$A:$T,20,0)</f>
        <v>0</v>
      </c>
      <c r="U17" s="13">
        <f t="shared" si="4"/>
        <v>17.960526315789473</v>
      </c>
      <c r="V17" s="13">
        <f t="shared" si="5"/>
        <v>6.3377192982456139</v>
      </c>
      <c r="W17" s="13">
        <f>VLOOKUP(A:A,[1]TDSheet!$A:$X,24,0)</f>
        <v>77.2</v>
      </c>
      <c r="X17" s="13">
        <f>VLOOKUP(A:A,[1]TDSheet!$A:$Y,25,0)</f>
        <v>6.2</v>
      </c>
      <c r="Y17" s="13">
        <f>VLOOKUP(A:A,[1]TDSheet!$A:$Z,26,0)</f>
        <v>14</v>
      </c>
      <c r="Z17" s="13">
        <f>VLOOKUP(A:A,[1]TDSheet!$A:$Q,17,0)</f>
        <v>82.2</v>
      </c>
      <c r="AA17" s="13">
        <f>VLOOKUP(A:A,[1]TDSheet!$A:$AA,27,0)</f>
        <v>0</v>
      </c>
      <c r="AB17" s="13">
        <f t="shared" si="6"/>
        <v>216</v>
      </c>
      <c r="AC17" s="13">
        <f>VLOOKUP(A:A,[1]TDSheet!$A:$AC,29,0)</f>
        <v>12</v>
      </c>
      <c r="AD17" s="13">
        <f t="shared" si="8"/>
        <v>70</v>
      </c>
      <c r="AE17" s="13">
        <f t="shared" si="7"/>
        <v>201.6</v>
      </c>
      <c r="AF17" s="13">
        <f>VLOOKUP(A:A,[1]TDSheet!$A:$AF,32,0)</f>
        <v>14</v>
      </c>
      <c r="AG17" s="13">
        <f>VLOOKUP(A:A,[1]TDSheet!$A:$AG,33,0)</f>
        <v>70</v>
      </c>
      <c r="AH17" s="13">
        <f t="shared" si="9"/>
        <v>1</v>
      </c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</row>
    <row r="18" spans="1:109" ht="11.1" customHeight="1" x14ac:dyDescent="0.2">
      <c r="A18" s="9" t="s">
        <v>17</v>
      </c>
      <c r="B18" s="10" t="s">
        <v>10</v>
      </c>
      <c r="C18" s="9" t="str">
        <f>VLOOKUP(A:A,[1]TDSheet!$A:$C,3,0)</f>
        <v>P004971</v>
      </c>
      <c r="D18" s="11">
        <v>349</v>
      </c>
      <c r="E18" s="12">
        <v>699</v>
      </c>
      <c r="F18" s="12">
        <v>579</v>
      </c>
      <c r="G18" s="12">
        <v>459</v>
      </c>
      <c r="H18" s="29">
        <f>VLOOKUP(A:A,[1]TDSheet!$A:$H,8,0)</f>
        <v>0.24</v>
      </c>
      <c r="I18" s="13">
        <f>VLOOKUP(A:A,[1]TDSheet!$A:$I,9,0)</f>
        <v>180</v>
      </c>
      <c r="J18" s="13" t="str">
        <f>VLOOKUP(A:A,[1]TDSheet!$A:$J,10,0)</f>
        <v>матрица</v>
      </c>
      <c r="K18" s="13"/>
      <c r="L18" s="13">
        <f>VLOOKUP(A:A,[2]TDSheet!$A:$B,2,0)</f>
        <v>575</v>
      </c>
      <c r="M18" s="13">
        <f t="shared" si="2"/>
        <v>4</v>
      </c>
      <c r="N18" s="13"/>
      <c r="O18" s="13"/>
      <c r="P18" s="13">
        <f>VLOOKUP(A:A,[1]TDSheet!$A:$R,18,0)</f>
        <v>310</v>
      </c>
      <c r="Q18" s="13">
        <f t="shared" si="3"/>
        <v>115.8</v>
      </c>
      <c r="R18" s="30">
        <v>1400</v>
      </c>
      <c r="S18" s="30">
        <f>VLOOKUP(A:A,[3]TDSheet!$A:$S,19,0)</f>
        <v>1000</v>
      </c>
      <c r="T18" s="13">
        <f>VLOOKUP(A:A,[3]TDSheet!$A:$T,20,0)</f>
        <v>0</v>
      </c>
      <c r="U18" s="13">
        <f t="shared" si="4"/>
        <v>18.730569948186528</v>
      </c>
      <c r="V18" s="13">
        <f t="shared" si="5"/>
        <v>3.9637305699481868</v>
      </c>
      <c r="W18" s="13">
        <f>VLOOKUP(A:A,[1]TDSheet!$A:$X,24,0)</f>
        <v>29.2</v>
      </c>
      <c r="X18" s="13">
        <f>VLOOKUP(A:A,[1]TDSheet!$A:$Y,25,0)</f>
        <v>0</v>
      </c>
      <c r="Y18" s="13">
        <f>VLOOKUP(A:A,[1]TDSheet!$A:$Z,26,0)</f>
        <v>10.6</v>
      </c>
      <c r="Z18" s="13">
        <f>VLOOKUP(A:A,[1]TDSheet!$A:$Q,17,0)</f>
        <v>91.8</v>
      </c>
      <c r="AA18" s="13">
        <f>VLOOKUP(A:A,[1]TDSheet!$A:$AA,27,0)</f>
        <v>0</v>
      </c>
      <c r="AB18" s="13">
        <f t="shared" si="6"/>
        <v>336</v>
      </c>
      <c r="AC18" s="13">
        <f>VLOOKUP(A:A,[1]TDSheet!$A:$AC,29,0)</f>
        <v>12</v>
      </c>
      <c r="AD18" s="13">
        <f t="shared" si="8"/>
        <v>112</v>
      </c>
      <c r="AE18" s="13">
        <f t="shared" si="7"/>
        <v>322.56</v>
      </c>
      <c r="AF18" s="13">
        <f>VLOOKUP(A:A,[1]TDSheet!$A:$AF,32,0)</f>
        <v>14</v>
      </c>
      <c r="AG18" s="13">
        <f>VLOOKUP(A:A,[1]TDSheet!$A:$AG,33,0)</f>
        <v>70</v>
      </c>
      <c r="AH18" s="13">
        <f t="shared" si="9"/>
        <v>1.6</v>
      </c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</row>
    <row r="19" spans="1:109" ht="11.1" customHeight="1" x14ac:dyDescent="0.2">
      <c r="A19" s="38" t="s">
        <v>18</v>
      </c>
      <c r="B19" s="39" t="s">
        <v>10</v>
      </c>
      <c r="C19" s="38" t="str">
        <f>VLOOKUP(A:A,[1]TDSheet!$A:$C,3,0)</f>
        <v>P004974</v>
      </c>
      <c r="D19" s="40">
        <v>109</v>
      </c>
      <c r="E19" s="41"/>
      <c r="F19" s="41">
        <v>21</v>
      </c>
      <c r="G19" s="41">
        <v>60</v>
      </c>
      <c r="H19" s="42">
        <f>VLOOKUP(A:A,[1]TDSheet!$A:$H,8,0)</f>
        <v>0.24</v>
      </c>
      <c r="I19" s="43">
        <f>VLOOKUP(A:A,[1]TDSheet!$A:$I,9,0)</f>
        <v>180</v>
      </c>
      <c r="J19" s="43" t="str">
        <f>VLOOKUP(A:A,[1]TDSheet!$A:$J,10,0)</f>
        <v>матрица</v>
      </c>
      <c r="K19" s="13"/>
      <c r="L19" s="13">
        <f>VLOOKUP(A:A,[2]TDSheet!$A:$B,2,0)</f>
        <v>258</v>
      </c>
      <c r="M19" s="13">
        <f t="shared" si="2"/>
        <v>-237</v>
      </c>
      <c r="N19" s="13"/>
      <c r="O19" s="13"/>
      <c r="P19" s="13">
        <f>VLOOKUP(A:A,[1]TDSheet!$A:$R,18,0)</f>
        <v>480</v>
      </c>
      <c r="Q19" s="13">
        <f t="shared" si="3"/>
        <v>4.2</v>
      </c>
      <c r="R19" s="30"/>
      <c r="S19" s="30"/>
      <c r="T19" s="13">
        <f>VLOOKUP(A:A,[3]TDSheet!$A:$T,20,0)</f>
        <v>0</v>
      </c>
      <c r="U19" s="13">
        <f t="shared" si="4"/>
        <v>128.57142857142856</v>
      </c>
      <c r="V19" s="13">
        <f t="shared" si="5"/>
        <v>14.285714285714285</v>
      </c>
      <c r="W19" s="13">
        <f>VLOOKUP(A:A,[1]TDSheet!$A:$X,24,0)</f>
        <v>0</v>
      </c>
      <c r="X19" s="13">
        <f>VLOOKUP(A:A,[1]TDSheet!$A:$Y,25,0)</f>
        <v>0</v>
      </c>
      <c r="Y19" s="13">
        <f>VLOOKUP(A:A,[1]TDSheet!$A:$Z,26,0)</f>
        <v>20.399999999999999</v>
      </c>
      <c r="Z19" s="13">
        <f>VLOOKUP(A:A,[1]TDSheet!$A:$Q,17,0)</f>
        <v>43</v>
      </c>
      <c r="AA19" s="13">
        <f>VLOOKUP(A:A,[1]TDSheet!$A:$AA,27,0)</f>
        <v>0</v>
      </c>
      <c r="AB19" s="13">
        <f t="shared" si="6"/>
        <v>0</v>
      </c>
      <c r="AC19" s="13">
        <f>VLOOKUP(A:A,[1]TDSheet!$A:$AC,29,0)</f>
        <v>12</v>
      </c>
      <c r="AD19" s="13">
        <f t="shared" si="8"/>
        <v>0</v>
      </c>
      <c r="AE19" s="13">
        <f t="shared" si="7"/>
        <v>0</v>
      </c>
      <c r="AF19" s="13">
        <f>VLOOKUP(A:A,[1]TDSheet!$A:$AF,32,0)</f>
        <v>14</v>
      </c>
      <c r="AG19" s="13">
        <f>VLOOKUP(A:A,[1]TDSheet!$A:$AG,33,0)</f>
        <v>70</v>
      </c>
      <c r="AH19" s="13">
        <f t="shared" si="9"/>
        <v>0</v>
      </c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</row>
    <row r="20" spans="1:109" ht="11.1" customHeight="1" x14ac:dyDescent="0.2">
      <c r="A20" s="31" t="s">
        <v>19</v>
      </c>
      <c r="B20" s="32" t="s">
        <v>10</v>
      </c>
      <c r="C20" s="31" t="str">
        <f>VLOOKUP(A:A,[1]TDSheet!$A:$C,3,0)</f>
        <v>P004966</v>
      </c>
      <c r="D20" s="33">
        <v>199</v>
      </c>
      <c r="E20" s="34">
        <v>684</v>
      </c>
      <c r="F20" s="34">
        <v>306</v>
      </c>
      <c r="G20" s="34">
        <v>536</v>
      </c>
      <c r="H20" s="35">
        <f>VLOOKUP(A:A,[1]TDSheet!$A:$H,8,0)</f>
        <v>0.24</v>
      </c>
      <c r="I20" s="36">
        <f>VLOOKUP(A:A,[1]TDSheet!$A:$I,9,0)</f>
        <v>180</v>
      </c>
      <c r="J20" s="36" t="str">
        <f>VLOOKUP(A:A,[1]TDSheet!$A:$J,10,0)</f>
        <v>матрица</v>
      </c>
      <c r="K20" s="13"/>
      <c r="L20" s="13">
        <f>VLOOKUP(A:A,[2]TDSheet!$A:$B,2,0)</f>
        <v>294</v>
      </c>
      <c r="M20" s="13">
        <f t="shared" si="2"/>
        <v>12</v>
      </c>
      <c r="N20" s="13"/>
      <c r="O20" s="13"/>
      <c r="P20" s="13">
        <f>VLOOKUP(A:A,[1]TDSheet!$A:$R,18,0)</f>
        <v>1000</v>
      </c>
      <c r="Q20" s="13">
        <f t="shared" si="3"/>
        <v>61.2</v>
      </c>
      <c r="R20" s="30">
        <v>300</v>
      </c>
      <c r="S20" s="30">
        <f>VLOOKUP(A:A,[3]TDSheet!$A:$S,19,0)</f>
        <v>300</v>
      </c>
      <c r="T20" s="13">
        <f>VLOOKUP(A:A,[3]TDSheet!$A:$T,20,0)</f>
        <v>0</v>
      </c>
      <c r="U20" s="13">
        <f t="shared" si="4"/>
        <v>30</v>
      </c>
      <c r="V20" s="13">
        <f t="shared" si="5"/>
        <v>8.758169934640522</v>
      </c>
      <c r="W20" s="13">
        <f>VLOOKUP(A:A,[1]TDSheet!$A:$X,24,0)</f>
        <v>0.2</v>
      </c>
      <c r="X20" s="13">
        <f>VLOOKUP(A:A,[1]TDSheet!$A:$Y,25,0)</f>
        <v>0</v>
      </c>
      <c r="Y20" s="13">
        <f>VLOOKUP(A:A,[1]TDSheet!$A:$Z,26,0)</f>
        <v>13.6</v>
      </c>
      <c r="Z20" s="13">
        <f>VLOOKUP(A:A,[1]TDSheet!$A:$Q,17,0)</f>
        <v>101.4</v>
      </c>
      <c r="AA20" s="13">
        <f>VLOOKUP(A:A,[1]TDSheet!$A:$AA,27,0)</f>
        <v>0</v>
      </c>
      <c r="AB20" s="13">
        <f t="shared" si="6"/>
        <v>72</v>
      </c>
      <c r="AC20" s="13">
        <f>VLOOKUP(A:A,[1]TDSheet!$A:$AC,29,0)</f>
        <v>12</v>
      </c>
      <c r="AD20" s="13">
        <f t="shared" si="8"/>
        <v>28</v>
      </c>
      <c r="AE20" s="13">
        <f t="shared" si="7"/>
        <v>80.64</v>
      </c>
      <c r="AF20" s="13">
        <f>VLOOKUP(A:A,[1]TDSheet!$A:$AF,32,0)</f>
        <v>14</v>
      </c>
      <c r="AG20" s="13">
        <f>VLOOKUP(A:A,[1]TDSheet!$A:$AG,33,0)</f>
        <v>70</v>
      </c>
      <c r="AH20" s="13">
        <f t="shared" si="9"/>
        <v>0.4</v>
      </c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</row>
    <row r="21" spans="1:109" ht="11.1" customHeight="1" x14ac:dyDescent="0.2">
      <c r="A21" s="9" t="s">
        <v>20</v>
      </c>
      <c r="B21" s="10" t="s">
        <v>10</v>
      </c>
      <c r="C21" s="9" t="str">
        <f>VLOOKUP(A:A,[1]TDSheet!$A:$C,3,0)</f>
        <v>P004595</v>
      </c>
      <c r="D21" s="11">
        <v>126</v>
      </c>
      <c r="E21" s="12"/>
      <c r="F21" s="12">
        <v>70</v>
      </c>
      <c r="G21" s="12"/>
      <c r="H21" s="29">
        <f>VLOOKUP(A:A,[1]TDSheet!$A:$H,8,0)</f>
        <v>0.48</v>
      </c>
      <c r="I21" s="13">
        <f>VLOOKUP(A:A,[1]TDSheet!$A:$I,9,0)</f>
        <v>180</v>
      </c>
      <c r="J21" s="13" t="str">
        <f>VLOOKUP(A:A,[1]TDSheet!$A:$J,10,0)</f>
        <v>матрица</v>
      </c>
      <c r="K21" s="13"/>
      <c r="L21" s="13">
        <f>VLOOKUP(A:A,[2]TDSheet!$A:$B,2,0)</f>
        <v>65</v>
      </c>
      <c r="M21" s="13">
        <f t="shared" si="2"/>
        <v>5</v>
      </c>
      <c r="N21" s="13"/>
      <c r="O21" s="13"/>
      <c r="P21" s="13">
        <f>VLOOKUP(A:A,[1]TDSheet!$A:$R,18,0)</f>
        <v>160</v>
      </c>
      <c r="Q21" s="13">
        <f t="shared" si="3"/>
        <v>14</v>
      </c>
      <c r="R21" s="30">
        <v>150</v>
      </c>
      <c r="S21" s="30">
        <f>VLOOKUP(A:A,[3]TDSheet!$A:$S,19,0)</f>
        <v>150</v>
      </c>
      <c r="T21" s="13">
        <f>VLOOKUP(A:A,[3]TDSheet!$A:$T,20,0)</f>
        <v>0</v>
      </c>
      <c r="U21" s="13">
        <f t="shared" si="4"/>
        <v>22.142857142857142</v>
      </c>
      <c r="V21" s="13">
        <f t="shared" si="5"/>
        <v>0</v>
      </c>
      <c r="W21" s="13">
        <f>VLOOKUP(A:A,[1]TDSheet!$A:$X,24,0)</f>
        <v>0.6</v>
      </c>
      <c r="X21" s="13">
        <f>VLOOKUP(A:A,[1]TDSheet!$A:$Y,25,0)</f>
        <v>6</v>
      </c>
      <c r="Y21" s="13">
        <f>VLOOKUP(A:A,[1]TDSheet!$A:$Z,26,0)</f>
        <v>5.8</v>
      </c>
      <c r="Z21" s="13">
        <f>VLOOKUP(A:A,[1]TDSheet!$A:$Q,17,0)</f>
        <v>21.8</v>
      </c>
      <c r="AA21" s="13">
        <f>VLOOKUP(A:A,[1]TDSheet!$A:$AA,27,0)</f>
        <v>0</v>
      </c>
      <c r="AB21" s="13">
        <f t="shared" si="6"/>
        <v>72</v>
      </c>
      <c r="AC21" s="13">
        <f>VLOOKUP(A:A,[1]TDSheet!$A:$AC,29,0)</f>
        <v>8</v>
      </c>
      <c r="AD21" s="13">
        <f t="shared" si="8"/>
        <v>14</v>
      </c>
      <c r="AE21" s="13">
        <f t="shared" si="7"/>
        <v>53.76</v>
      </c>
      <c r="AF21" s="13">
        <f>VLOOKUP(A:A,[1]TDSheet!$A:$AF,32,0)</f>
        <v>14</v>
      </c>
      <c r="AG21" s="13">
        <f>VLOOKUP(A:A,[1]TDSheet!$A:$AG,33,0)</f>
        <v>70</v>
      </c>
      <c r="AH21" s="13">
        <f t="shared" si="9"/>
        <v>0.2</v>
      </c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</row>
    <row r="22" spans="1:109" ht="21.95" customHeight="1" x14ac:dyDescent="0.2">
      <c r="A22" s="9" t="s">
        <v>21</v>
      </c>
      <c r="B22" s="10" t="s">
        <v>10</v>
      </c>
      <c r="C22" s="9" t="str">
        <f>VLOOKUP(A:A,[1]TDSheet!$A:$C,3,0)</f>
        <v>P004583</v>
      </c>
      <c r="D22" s="11">
        <v>3</v>
      </c>
      <c r="E22" s="12"/>
      <c r="F22" s="12">
        <v>10</v>
      </c>
      <c r="G22" s="12">
        <v>3</v>
      </c>
      <c r="H22" s="29">
        <f>VLOOKUP(A:A,[1]TDSheet!$A:$H,8,0)</f>
        <v>0.36</v>
      </c>
      <c r="I22" s="13">
        <f>VLOOKUP(A:A,[1]TDSheet!$A:$I,9,0)</f>
        <v>180</v>
      </c>
      <c r="J22" s="13" t="str">
        <f>VLOOKUP(A:A,[1]TDSheet!$A:$J,10,0)</f>
        <v>матрица</v>
      </c>
      <c r="K22" s="13"/>
      <c r="L22" s="13">
        <f>VLOOKUP(A:A,[2]TDSheet!$A:$B,2,0)</f>
        <v>477</v>
      </c>
      <c r="M22" s="13">
        <f t="shared" si="2"/>
        <v>-467</v>
      </c>
      <c r="N22" s="13"/>
      <c r="O22" s="13"/>
      <c r="P22" s="13">
        <f>VLOOKUP(A:A,[1]TDSheet!$A:$R,18,0)</f>
        <v>660</v>
      </c>
      <c r="Q22" s="13">
        <f t="shared" si="3"/>
        <v>2</v>
      </c>
      <c r="R22" s="30"/>
      <c r="S22" s="30"/>
      <c r="T22" s="13">
        <f>VLOOKUP(A:A,[3]TDSheet!$A:$T,20,0)</f>
        <v>0</v>
      </c>
      <c r="U22" s="13">
        <f t="shared" si="4"/>
        <v>331.5</v>
      </c>
      <c r="V22" s="13">
        <f t="shared" si="5"/>
        <v>1.5</v>
      </c>
      <c r="W22" s="13">
        <f>VLOOKUP(A:A,[1]TDSheet!$A:$X,24,0)</f>
        <v>64.8</v>
      </c>
      <c r="X22" s="13">
        <f>VLOOKUP(A:A,[1]TDSheet!$A:$Y,25,0)</f>
        <v>10.199999999999999</v>
      </c>
      <c r="Y22" s="13">
        <f>VLOOKUP(A:A,[1]TDSheet!$A:$Z,26,0)</f>
        <v>4.5999999999999996</v>
      </c>
      <c r="Z22" s="13">
        <f>VLOOKUP(A:A,[1]TDSheet!$A:$Q,17,0)</f>
        <v>28</v>
      </c>
      <c r="AA22" s="13">
        <f>VLOOKUP(A:A,[1]TDSheet!$A:$AA,27,0)</f>
        <v>0</v>
      </c>
      <c r="AB22" s="13">
        <f t="shared" si="6"/>
        <v>0</v>
      </c>
      <c r="AC22" s="13">
        <f>VLOOKUP(A:A,[1]TDSheet!$A:$AC,29,0)</f>
        <v>10</v>
      </c>
      <c r="AD22" s="13">
        <f t="shared" si="8"/>
        <v>0</v>
      </c>
      <c r="AE22" s="13">
        <f t="shared" si="7"/>
        <v>0</v>
      </c>
      <c r="AF22" s="13">
        <f>VLOOKUP(A:A,[1]TDSheet!$A:$AF,32,0)</f>
        <v>14</v>
      </c>
      <c r="AG22" s="13">
        <f>VLOOKUP(A:A,[1]TDSheet!$A:$AG,33,0)</f>
        <v>70</v>
      </c>
      <c r="AH22" s="13">
        <f t="shared" si="9"/>
        <v>0</v>
      </c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</row>
    <row r="23" spans="1:109" ht="11.1" customHeight="1" x14ac:dyDescent="0.2">
      <c r="A23" s="9" t="s">
        <v>22</v>
      </c>
      <c r="B23" s="10" t="s">
        <v>10</v>
      </c>
      <c r="C23" s="9" t="str">
        <f>VLOOKUP(A:A,[1]TDSheet!$A:$C,3,0)</f>
        <v>P005129</v>
      </c>
      <c r="D23" s="11">
        <v>123</v>
      </c>
      <c r="E23" s="12"/>
      <c r="F23" s="12">
        <v>62</v>
      </c>
      <c r="G23" s="12">
        <v>43</v>
      </c>
      <c r="H23" s="29">
        <f>VLOOKUP(A:A,[1]TDSheet!$A:$H,8,0)</f>
        <v>0.2</v>
      </c>
      <c r="I23" s="13">
        <f>VLOOKUP(A:A,[1]TDSheet!$A:$I,9,0)</f>
        <v>0</v>
      </c>
      <c r="J23" s="13" t="e">
        <f>VLOOKUP(A:A,[1]TDSheet!$A:$J,10,0)</f>
        <v>#N/A</v>
      </c>
      <c r="K23" s="13"/>
      <c r="L23" s="13">
        <f>VLOOKUP(A:A,[2]TDSheet!$A:$B,2,0)</f>
        <v>70</v>
      </c>
      <c r="M23" s="13">
        <f t="shared" si="2"/>
        <v>-8</v>
      </c>
      <c r="N23" s="13"/>
      <c r="O23" s="13"/>
      <c r="P23" s="13">
        <f>VLOOKUP(A:A,[1]TDSheet!$A:$R,18,0)</f>
        <v>0</v>
      </c>
      <c r="Q23" s="13">
        <f t="shared" si="3"/>
        <v>12.4</v>
      </c>
      <c r="R23" s="30">
        <v>150</v>
      </c>
      <c r="S23" s="30"/>
      <c r="T23" s="13">
        <f>VLOOKUP(A:A,[3]TDSheet!$A:$T,20,0)</f>
        <v>0</v>
      </c>
      <c r="U23" s="13">
        <f t="shared" si="4"/>
        <v>15.564516129032258</v>
      </c>
      <c r="V23" s="13">
        <f t="shared" si="5"/>
        <v>3.467741935483871</v>
      </c>
      <c r="W23" s="13">
        <f>VLOOKUP(A:A,[1]TDSheet!$A:$X,24,0)</f>
        <v>11.4</v>
      </c>
      <c r="X23" s="13">
        <f>VLOOKUP(A:A,[1]TDSheet!$A:$Y,25,0)</f>
        <v>9.1999999999999993</v>
      </c>
      <c r="Y23" s="13">
        <f>VLOOKUP(A:A,[1]TDSheet!$A:$Z,26,0)</f>
        <v>11.6</v>
      </c>
      <c r="Z23" s="13">
        <f>VLOOKUP(A:A,[1]TDSheet!$A:$Q,17,0)</f>
        <v>5</v>
      </c>
      <c r="AA23" s="13" t="e">
        <f>VLOOKUP(A:A,[1]TDSheet!$A:$AA,27,0)</f>
        <v>#N/A</v>
      </c>
      <c r="AB23" s="13">
        <f t="shared" si="6"/>
        <v>30</v>
      </c>
      <c r="AC23" s="13">
        <f>VLOOKUP(A:A,[1]TDSheet!$A:$AC,29,0)</f>
        <v>12</v>
      </c>
      <c r="AD23" s="13">
        <f t="shared" si="8"/>
        <v>14</v>
      </c>
      <c r="AE23" s="13">
        <f t="shared" si="7"/>
        <v>33.6</v>
      </c>
      <c r="AF23" s="13">
        <f>VLOOKUP(A:A,[1]TDSheet!$A:$AF,32,0)</f>
        <v>14</v>
      </c>
      <c r="AG23" s="13">
        <f>VLOOKUP(A:A,[1]TDSheet!$A:$AG,33,0)</f>
        <v>70</v>
      </c>
      <c r="AH23" s="13">
        <f t="shared" si="9"/>
        <v>0.2</v>
      </c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</row>
    <row r="24" spans="1:109" ht="21.95" customHeight="1" x14ac:dyDescent="0.2">
      <c r="A24" s="9" t="s">
        <v>23</v>
      </c>
      <c r="B24" s="10" t="s">
        <v>10</v>
      </c>
      <c r="C24" s="9" t="str">
        <f>VLOOKUP(A:A,[1]TDSheet!$A:$C,3,0)</f>
        <v>P004956</v>
      </c>
      <c r="D24" s="11">
        <v>305</v>
      </c>
      <c r="E24" s="12">
        <v>12</v>
      </c>
      <c r="F24" s="12">
        <v>290</v>
      </c>
      <c r="G24" s="12">
        <v>6</v>
      </c>
      <c r="H24" s="29">
        <f>VLOOKUP(A:A,[1]TDSheet!$A:$H,8,0)</f>
        <v>0.2</v>
      </c>
      <c r="I24" s="13">
        <f>VLOOKUP(A:A,[1]TDSheet!$A:$I,9,0)</f>
        <v>0</v>
      </c>
      <c r="J24" s="13">
        <f>VLOOKUP(A:A,[1]TDSheet!$A:$J,10,0)</f>
        <v>0</v>
      </c>
      <c r="K24" s="13"/>
      <c r="L24" s="13">
        <f>VLOOKUP(A:A,[2]TDSheet!$A:$B,2,0)</f>
        <v>324</v>
      </c>
      <c r="M24" s="13">
        <f t="shared" si="2"/>
        <v>-34</v>
      </c>
      <c r="N24" s="13"/>
      <c r="O24" s="13"/>
      <c r="P24" s="13">
        <f>VLOOKUP(A:A,[1]TDSheet!$A:$R,18,0)</f>
        <v>660</v>
      </c>
      <c r="Q24" s="13">
        <f t="shared" si="3"/>
        <v>58</v>
      </c>
      <c r="R24" s="30">
        <v>250</v>
      </c>
      <c r="S24" s="30">
        <f>VLOOKUP(A:A,[3]TDSheet!$A:$S,19,0)</f>
        <v>250</v>
      </c>
      <c r="T24" s="13">
        <f>VLOOKUP(A:A,[3]TDSheet!$A:$T,20,0)</f>
        <v>0</v>
      </c>
      <c r="U24" s="13">
        <f t="shared" si="4"/>
        <v>15.793103448275861</v>
      </c>
      <c r="V24" s="13">
        <f t="shared" si="5"/>
        <v>0.10344827586206896</v>
      </c>
      <c r="W24" s="13">
        <f>VLOOKUP(A:A,[1]TDSheet!$A:$X,24,0)</f>
        <v>53.4</v>
      </c>
      <c r="X24" s="13">
        <f>VLOOKUP(A:A,[1]TDSheet!$A:$Y,25,0)</f>
        <v>0.2</v>
      </c>
      <c r="Y24" s="13">
        <f>VLOOKUP(A:A,[1]TDSheet!$A:$Z,26,0)</f>
        <v>0</v>
      </c>
      <c r="Z24" s="13">
        <f>VLOOKUP(A:A,[1]TDSheet!$A:$Q,17,0)</f>
        <v>73.400000000000006</v>
      </c>
      <c r="AA24" s="13">
        <f>VLOOKUP(A:A,[1]TDSheet!$A:$AA,27,0)</f>
        <v>0</v>
      </c>
      <c r="AB24" s="13">
        <f t="shared" si="6"/>
        <v>50</v>
      </c>
      <c r="AC24" s="13">
        <f>VLOOKUP(A:A,[1]TDSheet!$A:$AC,29,0)</f>
        <v>2</v>
      </c>
      <c r="AD24" s="13">
        <f t="shared" si="8"/>
        <v>126</v>
      </c>
      <c r="AE24" s="13">
        <f t="shared" si="7"/>
        <v>50.400000000000006</v>
      </c>
      <c r="AF24" s="13">
        <f>VLOOKUP(A:A,[1]TDSheet!$A:$AF,32,0)</f>
        <v>14</v>
      </c>
      <c r="AG24" s="13">
        <f>VLOOKUP(A:A,[1]TDSheet!$A:$AG,33,0)</f>
        <v>70</v>
      </c>
      <c r="AH24" s="13">
        <f t="shared" si="9"/>
        <v>1.8</v>
      </c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</row>
    <row r="25" spans="1:109" ht="11.1" customHeight="1" x14ac:dyDescent="0.2">
      <c r="A25" s="9" t="s">
        <v>24</v>
      </c>
      <c r="B25" s="10" t="s">
        <v>25</v>
      </c>
      <c r="C25" s="9" t="str">
        <f>VLOOKUP(A:A,[1]TDSheet!$A:$C,3,0)</f>
        <v>P005235</v>
      </c>
      <c r="D25" s="11">
        <v>30</v>
      </c>
      <c r="E25" s="12">
        <v>185</v>
      </c>
      <c r="F25" s="12">
        <v>130</v>
      </c>
      <c r="G25" s="12">
        <v>55</v>
      </c>
      <c r="H25" s="29">
        <f>VLOOKUP(A:A,[1]TDSheet!$A:$H,8,0)</f>
        <v>1</v>
      </c>
      <c r="I25" s="13">
        <f>VLOOKUP(A:A,[1]TDSheet!$A:$I,9,0)</f>
        <v>0</v>
      </c>
      <c r="J25" s="13" t="e">
        <f>VLOOKUP(A:A,[1]TDSheet!$A:$J,10,0)</f>
        <v>#N/A</v>
      </c>
      <c r="K25" s="13"/>
      <c r="L25" s="13">
        <f>VLOOKUP(A:A,[2]TDSheet!$A:$B,2,0)</f>
        <v>150</v>
      </c>
      <c r="M25" s="13">
        <f t="shared" si="2"/>
        <v>-20</v>
      </c>
      <c r="N25" s="13"/>
      <c r="O25" s="13"/>
      <c r="P25" s="13">
        <f>VLOOKUP(A:A,[1]TDSheet!$A:$R,18,0)</f>
        <v>140</v>
      </c>
      <c r="Q25" s="13">
        <f t="shared" si="3"/>
        <v>26</v>
      </c>
      <c r="R25" s="30">
        <v>240</v>
      </c>
      <c r="S25" s="30">
        <f>VLOOKUP(A:A,[3]TDSheet!$A:$S,19,0)</f>
        <v>200</v>
      </c>
      <c r="T25" s="13">
        <f>VLOOKUP(A:A,[3]TDSheet!$A:$T,20,0)</f>
        <v>0</v>
      </c>
      <c r="U25" s="13">
        <f t="shared" si="4"/>
        <v>16.73076923076923</v>
      </c>
      <c r="V25" s="13">
        <f t="shared" si="5"/>
        <v>2.1153846153846154</v>
      </c>
      <c r="W25" s="13">
        <f>VLOOKUP(A:A,[1]TDSheet!$A:$X,24,0)</f>
        <v>38</v>
      </c>
      <c r="X25" s="13">
        <f>VLOOKUP(A:A,[1]TDSheet!$A:$Y,25,0)</f>
        <v>12</v>
      </c>
      <c r="Y25" s="13">
        <f>VLOOKUP(A:A,[1]TDSheet!$A:$Z,26,0)</f>
        <v>11</v>
      </c>
      <c r="Z25" s="13">
        <f>VLOOKUP(A:A,[1]TDSheet!$A:$Q,17,0)</f>
        <v>21</v>
      </c>
      <c r="AA25" s="13" t="e">
        <f>VLOOKUP(A:A,[1]TDSheet!$A:$AA,27,0)</f>
        <v>#N/A</v>
      </c>
      <c r="AB25" s="13">
        <f t="shared" si="6"/>
        <v>240</v>
      </c>
      <c r="AC25" s="13">
        <f>VLOOKUP(A:A,[1]TDSheet!$A:$AC,29,0)</f>
        <v>4</v>
      </c>
      <c r="AD25" s="13">
        <f t="shared" si="8"/>
        <v>56</v>
      </c>
      <c r="AE25" s="13">
        <f t="shared" si="7"/>
        <v>224</v>
      </c>
      <c r="AF25" s="13">
        <f>VLOOKUP(A:A,[1]TDSheet!$A:$AF,32,0)</f>
        <v>14</v>
      </c>
      <c r="AG25" s="13">
        <f>VLOOKUP(A:A,[1]TDSheet!$A:$AG,33,0)</f>
        <v>120</v>
      </c>
      <c r="AH25" s="13">
        <f t="shared" si="9"/>
        <v>0.46666666666666667</v>
      </c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</row>
    <row r="26" spans="1:109" ht="11.1" customHeight="1" x14ac:dyDescent="0.2">
      <c r="A26" s="9" t="s">
        <v>26</v>
      </c>
      <c r="B26" s="10" t="s">
        <v>25</v>
      </c>
      <c r="C26" s="9" t="str">
        <f>VLOOKUP(A:A,[1]TDSheet!$A:$C,3,0)</f>
        <v>P004358</v>
      </c>
      <c r="D26" s="11">
        <v>22.5</v>
      </c>
      <c r="E26" s="12">
        <v>269.5</v>
      </c>
      <c r="F26" s="12">
        <v>84</v>
      </c>
      <c r="G26" s="12">
        <v>191.5</v>
      </c>
      <c r="H26" s="29">
        <f>VLOOKUP(A:A,[1]TDSheet!$A:$H,8,0)</f>
        <v>1</v>
      </c>
      <c r="I26" s="13">
        <f>VLOOKUP(A:A,[1]TDSheet!$A:$I,9,0)</f>
        <v>180</v>
      </c>
      <c r="J26" s="13" t="str">
        <f>VLOOKUP(A:A,[1]TDSheet!$A:$J,10,0)</f>
        <v>матрица</v>
      </c>
      <c r="K26" s="13"/>
      <c r="L26" s="13">
        <f>VLOOKUP(A:A,[2]TDSheet!$A:$B,2,0)</f>
        <v>83.2</v>
      </c>
      <c r="M26" s="13">
        <f t="shared" si="2"/>
        <v>0.79999999999999716</v>
      </c>
      <c r="N26" s="13"/>
      <c r="O26" s="13"/>
      <c r="P26" s="13">
        <f>VLOOKUP(A:A,[1]TDSheet!$A:$R,18,0)</f>
        <v>0</v>
      </c>
      <c r="Q26" s="13">
        <f t="shared" si="3"/>
        <v>16.8</v>
      </c>
      <c r="R26" s="30">
        <v>60</v>
      </c>
      <c r="S26" s="30"/>
      <c r="T26" s="13">
        <f>VLOOKUP(A:A,[3]TDSheet!$A:$T,20,0)</f>
        <v>0</v>
      </c>
      <c r="U26" s="13">
        <f t="shared" si="4"/>
        <v>14.970238095238095</v>
      </c>
      <c r="V26" s="13">
        <f t="shared" si="5"/>
        <v>11.398809523809524</v>
      </c>
      <c r="W26" s="13">
        <f>VLOOKUP(A:A,[1]TDSheet!$A:$X,24,0)</f>
        <v>9.9</v>
      </c>
      <c r="X26" s="13">
        <f>VLOOKUP(A:A,[1]TDSheet!$A:$Y,25,0)</f>
        <v>5.5</v>
      </c>
      <c r="Y26" s="13">
        <f>VLOOKUP(A:A,[1]TDSheet!$A:$Z,26,0)</f>
        <v>9.9</v>
      </c>
      <c r="Z26" s="13">
        <f>VLOOKUP(A:A,[1]TDSheet!$A:$Q,17,0)</f>
        <v>10.9</v>
      </c>
      <c r="AA26" s="13" t="str">
        <f>VLOOKUP(A:A,[1]TDSheet!$A:$AA,27,0)</f>
        <v>сети</v>
      </c>
      <c r="AB26" s="13">
        <f t="shared" si="6"/>
        <v>60</v>
      </c>
      <c r="AC26" s="13">
        <f>VLOOKUP(A:A,[1]TDSheet!$A:$AC,29,0)</f>
        <v>5.5</v>
      </c>
      <c r="AD26" s="13">
        <f t="shared" si="8"/>
        <v>12</v>
      </c>
      <c r="AE26" s="13">
        <f t="shared" si="7"/>
        <v>66</v>
      </c>
      <c r="AF26" s="13">
        <f>VLOOKUP(A:A,[1]TDSheet!$A:$AF,32,0)</f>
        <v>12</v>
      </c>
      <c r="AG26" s="13">
        <f>VLOOKUP(A:A,[1]TDSheet!$A:$AG,33,0)</f>
        <v>84</v>
      </c>
      <c r="AH26" s="13">
        <f t="shared" si="9"/>
        <v>0.14285714285714285</v>
      </c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</row>
    <row r="27" spans="1:109" ht="11.1" customHeight="1" x14ac:dyDescent="0.2">
      <c r="A27" s="9" t="s">
        <v>27</v>
      </c>
      <c r="B27" s="10" t="s">
        <v>25</v>
      </c>
      <c r="C27" s="9" t="str">
        <f>VLOOKUP(A:A,[1]TDSheet!$A:$C,3,0)</f>
        <v>P004394</v>
      </c>
      <c r="D27" s="11">
        <v>-1.4</v>
      </c>
      <c r="E27" s="12">
        <v>15</v>
      </c>
      <c r="F27" s="12">
        <v>12</v>
      </c>
      <c r="G27" s="12">
        <v>-1.4</v>
      </c>
      <c r="H27" s="29">
        <f>VLOOKUP(A:A,[1]TDSheet!$A:$H,8,0)</f>
        <v>1</v>
      </c>
      <c r="I27" s="13">
        <f>VLOOKUP(A:A,[1]TDSheet!$A:$I,9,0)</f>
        <v>180</v>
      </c>
      <c r="J27" s="13" t="str">
        <f>VLOOKUP(A:A,[1]TDSheet!$A:$J,10,0)</f>
        <v>матрица</v>
      </c>
      <c r="K27" s="13"/>
      <c r="L27" s="13">
        <f>VLOOKUP(A:A,[2]TDSheet!$A:$B,2,0)</f>
        <v>33</v>
      </c>
      <c r="M27" s="13">
        <f t="shared" si="2"/>
        <v>-21</v>
      </c>
      <c r="N27" s="13"/>
      <c r="O27" s="13"/>
      <c r="P27" s="13">
        <f>VLOOKUP(A:A,[1]TDSheet!$A:$R,18,0)</f>
        <v>155</v>
      </c>
      <c r="Q27" s="13">
        <f t="shared" si="3"/>
        <v>2.4</v>
      </c>
      <c r="R27" s="30">
        <v>30</v>
      </c>
      <c r="S27" s="30">
        <f>VLOOKUP(A:A,[3]TDSheet!$A:$S,19,0)</f>
        <v>30</v>
      </c>
      <c r="T27" s="13">
        <f>VLOOKUP(A:A,[3]TDSheet!$A:$T,20,0)</f>
        <v>0</v>
      </c>
      <c r="U27" s="13">
        <f t="shared" si="4"/>
        <v>76.5</v>
      </c>
      <c r="V27" s="13">
        <f t="shared" si="5"/>
        <v>-0.58333333333333337</v>
      </c>
      <c r="W27" s="13">
        <f>VLOOKUP(A:A,[1]TDSheet!$A:$X,24,0)</f>
        <v>4.2</v>
      </c>
      <c r="X27" s="13">
        <f>VLOOKUP(A:A,[1]TDSheet!$A:$Y,25,0)</f>
        <v>0</v>
      </c>
      <c r="Y27" s="13">
        <f>VLOOKUP(A:A,[1]TDSheet!$A:$Z,26,0)</f>
        <v>4.2</v>
      </c>
      <c r="Z27" s="13">
        <f>VLOOKUP(A:A,[1]TDSheet!$A:$Q,17,0)</f>
        <v>8.68</v>
      </c>
      <c r="AA27" s="13">
        <f>VLOOKUP(A:A,[1]TDSheet!$A:$AA,27,0)</f>
        <v>0</v>
      </c>
      <c r="AB27" s="13">
        <f t="shared" si="6"/>
        <v>30</v>
      </c>
      <c r="AC27" s="13">
        <f>VLOOKUP(A:A,[1]TDSheet!$A:$AC,29,0)</f>
        <v>3</v>
      </c>
      <c r="AD27" s="13">
        <f t="shared" si="8"/>
        <v>14</v>
      </c>
      <c r="AE27" s="13">
        <f t="shared" si="7"/>
        <v>42</v>
      </c>
      <c r="AF27" s="13">
        <f>VLOOKUP(A:A,[1]TDSheet!$A:$AF,32,0)</f>
        <v>14</v>
      </c>
      <c r="AG27" s="13">
        <f>VLOOKUP(A:A,[1]TDSheet!$A:$AG,33,0)</f>
        <v>126</v>
      </c>
      <c r="AH27" s="13">
        <f t="shared" si="9"/>
        <v>0.1111111111111111</v>
      </c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</row>
    <row r="28" spans="1:109" ht="11.1" customHeight="1" x14ac:dyDescent="0.2">
      <c r="A28" s="9" t="s">
        <v>28</v>
      </c>
      <c r="B28" s="10" t="s">
        <v>10</v>
      </c>
      <c r="C28" s="9" t="str">
        <f>VLOOKUP(A:A,[1]TDSheet!$A:$C,3,0)</f>
        <v>P004497</v>
      </c>
      <c r="D28" s="11">
        <v>-339</v>
      </c>
      <c r="E28" s="12">
        <v>870</v>
      </c>
      <c r="F28" s="12">
        <v>497</v>
      </c>
      <c r="G28" s="12">
        <v>34</v>
      </c>
      <c r="H28" s="29">
        <f>VLOOKUP(A:A,[1]TDSheet!$A:$H,8,0)</f>
        <v>0.25</v>
      </c>
      <c r="I28" s="13">
        <f>VLOOKUP(A:A,[1]TDSheet!$A:$I,9,0)</f>
        <v>365</v>
      </c>
      <c r="J28" s="13" t="str">
        <f>VLOOKUP(A:A,[1]TDSheet!$A:$J,10,0)</f>
        <v>матрица</v>
      </c>
      <c r="K28" s="13"/>
      <c r="L28" s="13">
        <f>VLOOKUP(A:A,[2]TDSheet!$A:$B,2,0)</f>
        <v>491</v>
      </c>
      <c r="M28" s="13">
        <f t="shared" si="2"/>
        <v>6</v>
      </c>
      <c r="N28" s="13"/>
      <c r="O28" s="13"/>
      <c r="P28" s="13">
        <f>VLOOKUP(A:A,[1]TDSheet!$A:$R,18,0)</f>
        <v>1100</v>
      </c>
      <c r="Q28" s="13">
        <f t="shared" si="3"/>
        <v>99.4</v>
      </c>
      <c r="R28" s="30">
        <v>600</v>
      </c>
      <c r="S28" s="30">
        <f>VLOOKUP(A:A,[3]TDSheet!$A:$S,19,0)</f>
        <v>300</v>
      </c>
      <c r="T28" s="13">
        <f>VLOOKUP(A:A,[3]TDSheet!$A:$T,20,0)</f>
        <v>0</v>
      </c>
      <c r="U28" s="13">
        <f t="shared" si="4"/>
        <v>17.444668008048289</v>
      </c>
      <c r="V28" s="13">
        <f t="shared" si="5"/>
        <v>0.34205231388329976</v>
      </c>
      <c r="W28" s="13">
        <f>VLOOKUP(A:A,[1]TDSheet!$A:$X,24,0)</f>
        <v>86.2</v>
      </c>
      <c r="X28" s="13">
        <f>VLOOKUP(A:A,[1]TDSheet!$A:$Y,25,0)</f>
        <v>0</v>
      </c>
      <c r="Y28" s="13">
        <f>VLOOKUP(A:A,[1]TDSheet!$A:$Z,26,0)</f>
        <v>10.4</v>
      </c>
      <c r="Z28" s="13">
        <f>VLOOKUP(A:A,[1]TDSheet!$A:$Q,17,0)</f>
        <v>70</v>
      </c>
      <c r="AA28" s="13">
        <f>VLOOKUP(A:A,[1]TDSheet!$A:$AA,27,0)</f>
        <v>0</v>
      </c>
      <c r="AB28" s="13">
        <f t="shared" si="6"/>
        <v>150</v>
      </c>
      <c r="AC28" s="13">
        <f>VLOOKUP(A:A,[1]TDSheet!$A:$AC,29,0)</f>
        <v>12</v>
      </c>
      <c r="AD28" s="13">
        <f t="shared" si="8"/>
        <v>56</v>
      </c>
      <c r="AE28" s="13">
        <f t="shared" si="7"/>
        <v>168</v>
      </c>
      <c r="AF28" s="13">
        <f>VLOOKUP(A:A,[1]TDSheet!$A:$AF,32,0)</f>
        <v>14</v>
      </c>
      <c r="AG28" s="13">
        <f>VLOOKUP(A:A,[1]TDSheet!$A:$AG,33,0)</f>
        <v>70</v>
      </c>
      <c r="AH28" s="13">
        <f t="shared" si="9"/>
        <v>0.8</v>
      </c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</row>
    <row r="29" spans="1:109" ht="21.95" customHeight="1" x14ac:dyDescent="0.2">
      <c r="A29" s="9" t="s">
        <v>29</v>
      </c>
      <c r="B29" s="10" t="s">
        <v>10</v>
      </c>
      <c r="C29" s="9" t="str">
        <f>VLOOKUP(A:A,[1]TDSheet!$A:$C,3,0)</f>
        <v>P004600</v>
      </c>
      <c r="D29" s="11">
        <v>-10</v>
      </c>
      <c r="E29" s="12">
        <v>338</v>
      </c>
      <c r="F29" s="12">
        <v>113</v>
      </c>
      <c r="G29" s="12">
        <v>215</v>
      </c>
      <c r="H29" s="29">
        <f>VLOOKUP(A:A,[1]TDSheet!$A:$H,8,0)</f>
        <v>0.25</v>
      </c>
      <c r="I29" s="13">
        <f>VLOOKUP(A:A,[1]TDSheet!$A:$I,9,0)</f>
        <v>180</v>
      </c>
      <c r="J29" s="13" t="str">
        <f>VLOOKUP(A:A,[1]TDSheet!$A:$J,10,0)</f>
        <v>матрица</v>
      </c>
      <c r="K29" s="13"/>
      <c r="L29" s="13">
        <f>VLOOKUP(A:A,[2]TDSheet!$A:$B,2,0)</f>
        <v>109</v>
      </c>
      <c r="M29" s="13">
        <f t="shared" si="2"/>
        <v>4</v>
      </c>
      <c r="N29" s="13"/>
      <c r="O29" s="13"/>
      <c r="P29" s="13">
        <f>VLOOKUP(A:A,[1]TDSheet!$A:$R,18,0)</f>
        <v>400</v>
      </c>
      <c r="Q29" s="13">
        <f t="shared" si="3"/>
        <v>22.6</v>
      </c>
      <c r="R29" s="30"/>
      <c r="S29" s="30"/>
      <c r="T29" s="13">
        <f>VLOOKUP(A:A,[3]TDSheet!$A:$T,20,0)</f>
        <v>0</v>
      </c>
      <c r="U29" s="13">
        <f t="shared" si="4"/>
        <v>27.212389380530972</v>
      </c>
      <c r="V29" s="13">
        <f t="shared" si="5"/>
        <v>9.5132743362831853</v>
      </c>
      <c r="W29" s="13">
        <f>VLOOKUP(A:A,[1]TDSheet!$A:$X,24,0)</f>
        <v>26.8</v>
      </c>
      <c r="X29" s="13">
        <f>VLOOKUP(A:A,[1]TDSheet!$A:$Y,25,0)</f>
        <v>25</v>
      </c>
      <c r="Y29" s="13">
        <f>VLOOKUP(A:A,[1]TDSheet!$A:$Z,26,0)</f>
        <v>14.6</v>
      </c>
      <c r="Z29" s="13">
        <f>VLOOKUP(A:A,[1]TDSheet!$A:$Q,17,0)</f>
        <v>3.6</v>
      </c>
      <c r="AA29" s="13">
        <f>VLOOKUP(A:A,[1]TDSheet!$A:$AA,27,0)</f>
        <v>0</v>
      </c>
      <c r="AB29" s="13">
        <f t="shared" si="6"/>
        <v>0</v>
      </c>
      <c r="AC29" s="13">
        <f>VLOOKUP(A:A,[1]TDSheet!$A:$AC,29,0)</f>
        <v>6</v>
      </c>
      <c r="AD29" s="13">
        <f t="shared" si="8"/>
        <v>0</v>
      </c>
      <c r="AE29" s="13">
        <f t="shared" si="7"/>
        <v>0</v>
      </c>
      <c r="AF29" s="13">
        <f>VLOOKUP(A:A,[1]TDSheet!$A:$AF,32,0)</f>
        <v>14</v>
      </c>
      <c r="AG29" s="13">
        <f>VLOOKUP(A:A,[1]TDSheet!$A:$AG,33,0)</f>
        <v>140</v>
      </c>
      <c r="AH29" s="13">
        <f t="shared" si="9"/>
        <v>0</v>
      </c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</row>
    <row r="30" spans="1:109" ht="11.1" customHeight="1" x14ac:dyDescent="0.2">
      <c r="A30" s="9" t="s">
        <v>30</v>
      </c>
      <c r="B30" s="10" t="s">
        <v>10</v>
      </c>
      <c r="C30" s="9" t="str">
        <f>VLOOKUP(A:A,[1]TDSheet!$A:$C,3,0)</f>
        <v>P004602</v>
      </c>
      <c r="D30" s="11">
        <v>-335</v>
      </c>
      <c r="E30" s="12">
        <v>602</v>
      </c>
      <c r="F30" s="12">
        <v>409</v>
      </c>
      <c r="G30" s="12">
        <v>-142</v>
      </c>
      <c r="H30" s="29">
        <f>VLOOKUP(A:A,[1]TDSheet!$A:$H,8,0)</f>
        <v>0.25</v>
      </c>
      <c r="I30" s="13">
        <f>VLOOKUP(A:A,[1]TDSheet!$A:$I,9,0)</f>
        <v>180</v>
      </c>
      <c r="J30" s="13" t="str">
        <f>VLOOKUP(A:A,[1]TDSheet!$A:$J,10,0)</f>
        <v>матрица</v>
      </c>
      <c r="K30" s="13"/>
      <c r="L30" s="13">
        <f>VLOOKUP(A:A,[2]TDSheet!$A:$B,2,0)</f>
        <v>405</v>
      </c>
      <c r="M30" s="13">
        <f t="shared" si="2"/>
        <v>4</v>
      </c>
      <c r="N30" s="13"/>
      <c r="O30" s="13"/>
      <c r="P30" s="13">
        <f>VLOOKUP(A:A,[1]TDSheet!$A:$R,18,0)</f>
        <v>800</v>
      </c>
      <c r="Q30" s="13">
        <f t="shared" si="3"/>
        <v>81.8</v>
      </c>
      <c r="R30" s="30">
        <v>1000</v>
      </c>
      <c r="S30" s="30">
        <f>VLOOKUP(A:A,[3]TDSheet!$A:$S,19,0)</f>
        <v>600</v>
      </c>
      <c r="T30" s="13">
        <f>VLOOKUP(A:A,[3]TDSheet!$A:$T,20,0)</f>
        <v>0</v>
      </c>
      <c r="U30" s="13">
        <f t="shared" si="4"/>
        <v>20.268948655256725</v>
      </c>
      <c r="V30" s="13">
        <f t="shared" si="5"/>
        <v>-1.7359413202933986</v>
      </c>
      <c r="W30" s="13">
        <f>VLOOKUP(A:A,[1]TDSheet!$A:$X,24,0)</f>
        <v>42.6</v>
      </c>
      <c r="X30" s="13">
        <f>VLOOKUP(A:A,[1]TDSheet!$A:$Y,25,0)</f>
        <v>0</v>
      </c>
      <c r="Y30" s="13">
        <f>VLOOKUP(A:A,[1]TDSheet!$A:$Z,26,0)</f>
        <v>2.4</v>
      </c>
      <c r="Z30" s="13">
        <f>VLOOKUP(A:A,[1]TDSheet!$A:$Q,17,0)</f>
        <v>64.599999999999994</v>
      </c>
      <c r="AA30" s="13" t="str">
        <f>VLOOKUP(A:A,[1]TDSheet!$A:$AA,27,0)</f>
        <v>Мера</v>
      </c>
      <c r="AB30" s="13">
        <f t="shared" si="6"/>
        <v>250</v>
      </c>
      <c r="AC30" s="13">
        <f>VLOOKUP(A:A,[1]TDSheet!$A:$AC,29,0)</f>
        <v>6</v>
      </c>
      <c r="AD30" s="13">
        <f t="shared" si="8"/>
        <v>168</v>
      </c>
      <c r="AE30" s="13">
        <f t="shared" si="7"/>
        <v>252</v>
      </c>
      <c r="AF30" s="13">
        <f>VLOOKUP(A:A,[1]TDSheet!$A:$AF,32,0)</f>
        <v>14</v>
      </c>
      <c r="AG30" s="13">
        <f>VLOOKUP(A:A,[1]TDSheet!$A:$AG,33,0)</f>
        <v>140</v>
      </c>
      <c r="AH30" s="13">
        <f t="shared" si="9"/>
        <v>1.2</v>
      </c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</row>
    <row r="31" spans="1:109" ht="11.1" customHeight="1" x14ac:dyDescent="0.2">
      <c r="A31" s="9" t="s">
        <v>31</v>
      </c>
      <c r="B31" s="10" t="s">
        <v>10</v>
      </c>
      <c r="C31" s="9" t="str">
        <f>VLOOKUP(A:A,[1]TDSheet!$A:$C,3,0)</f>
        <v>P004496</v>
      </c>
      <c r="D31" s="11">
        <v>593</v>
      </c>
      <c r="E31" s="12">
        <v>702</v>
      </c>
      <c r="F31" s="12">
        <v>564</v>
      </c>
      <c r="G31" s="12">
        <v>685</v>
      </c>
      <c r="H31" s="29">
        <f>VLOOKUP(A:A,[1]TDSheet!$A:$H,8,0)</f>
        <v>0.25</v>
      </c>
      <c r="I31" s="13">
        <f>VLOOKUP(A:A,[1]TDSheet!$A:$I,9,0)</f>
        <v>365</v>
      </c>
      <c r="J31" s="13" t="str">
        <f>VLOOKUP(A:A,[1]TDSheet!$A:$J,10,0)</f>
        <v>матрица</v>
      </c>
      <c r="K31" s="13"/>
      <c r="L31" s="13">
        <f>VLOOKUP(A:A,[2]TDSheet!$A:$B,2,0)</f>
        <v>571</v>
      </c>
      <c r="M31" s="13">
        <f t="shared" si="2"/>
        <v>-7</v>
      </c>
      <c r="N31" s="13"/>
      <c r="O31" s="13"/>
      <c r="P31" s="13">
        <f>VLOOKUP(A:A,[1]TDSheet!$A:$R,18,0)</f>
        <v>500</v>
      </c>
      <c r="Q31" s="13">
        <f t="shared" si="3"/>
        <v>112.8</v>
      </c>
      <c r="R31" s="30">
        <v>1000</v>
      </c>
      <c r="S31" s="30"/>
      <c r="T31" s="13">
        <f>VLOOKUP(A:A,[3]TDSheet!$A:$T,20,0)</f>
        <v>0</v>
      </c>
      <c r="U31" s="13">
        <f t="shared" si="4"/>
        <v>19.370567375886527</v>
      </c>
      <c r="V31" s="13">
        <f t="shared" si="5"/>
        <v>6.0726950354609928</v>
      </c>
      <c r="W31" s="13">
        <f>VLOOKUP(A:A,[1]TDSheet!$A:$X,24,0)</f>
        <v>110.8</v>
      </c>
      <c r="X31" s="13">
        <f>VLOOKUP(A:A,[1]TDSheet!$A:$Y,25,0)</f>
        <v>9.8000000000000007</v>
      </c>
      <c r="Y31" s="13">
        <f>VLOOKUP(A:A,[1]TDSheet!$A:$Z,26,0)</f>
        <v>11</v>
      </c>
      <c r="Z31" s="13">
        <f>VLOOKUP(A:A,[1]TDSheet!$A:$Q,17,0)</f>
        <v>132.80000000000001</v>
      </c>
      <c r="AA31" s="13">
        <f>VLOOKUP(A:A,[1]TDSheet!$A:$AA,27,0)</f>
        <v>0</v>
      </c>
      <c r="AB31" s="13">
        <f t="shared" si="6"/>
        <v>250</v>
      </c>
      <c r="AC31" s="13">
        <f>VLOOKUP(A:A,[1]TDSheet!$A:$AC,29,0)</f>
        <v>12</v>
      </c>
      <c r="AD31" s="13">
        <f t="shared" si="8"/>
        <v>84</v>
      </c>
      <c r="AE31" s="13">
        <f t="shared" si="7"/>
        <v>252</v>
      </c>
      <c r="AF31" s="13">
        <f>VLOOKUP(A:A,[1]TDSheet!$A:$AF,32,0)</f>
        <v>14</v>
      </c>
      <c r="AG31" s="13">
        <f>VLOOKUP(A:A,[1]TDSheet!$A:$AG,33,0)</f>
        <v>70</v>
      </c>
      <c r="AH31" s="13">
        <f t="shared" si="9"/>
        <v>1.2</v>
      </c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</row>
    <row r="32" spans="1:109" ht="11.1" customHeight="1" x14ac:dyDescent="0.2">
      <c r="A32" s="9" t="s">
        <v>32</v>
      </c>
      <c r="B32" s="10" t="s">
        <v>10</v>
      </c>
      <c r="C32" s="9" t="str">
        <f>VLOOKUP(A:A,[1]TDSheet!$A:$C,3,0)</f>
        <v>P004535</v>
      </c>
      <c r="D32" s="11">
        <v>311</v>
      </c>
      <c r="E32" s="12">
        <v>692</v>
      </c>
      <c r="F32" s="12">
        <v>600</v>
      </c>
      <c r="G32" s="12">
        <v>380</v>
      </c>
      <c r="H32" s="29">
        <f>VLOOKUP(A:A,[1]TDSheet!$A:$H,8,0)</f>
        <v>0.25</v>
      </c>
      <c r="I32" s="13">
        <f>VLOOKUP(A:A,[1]TDSheet!$A:$I,9,0)</f>
        <v>180</v>
      </c>
      <c r="J32" s="13" t="str">
        <f>VLOOKUP(A:A,[1]TDSheet!$A:$J,10,0)</f>
        <v>матрица</v>
      </c>
      <c r="K32" s="13"/>
      <c r="L32" s="13">
        <f>VLOOKUP(A:A,[2]TDSheet!$A:$B,2,0)</f>
        <v>595</v>
      </c>
      <c r="M32" s="13">
        <f t="shared" si="2"/>
        <v>5</v>
      </c>
      <c r="N32" s="13"/>
      <c r="O32" s="13"/>
      <c r="P32" s="13">
        <f>VLOOKUP(A:A,[1]TDSheet!$A:$R,18,0)</f>
        <v>700</v>
      </c>
      <c r="Q32" s="13">
        <f t="shared" si="3"/>
        <v>120</v>
      </c>
      <c r="R32" s="30">
        <v>1300</v>
      </c>
      <c r="S32" s="30"/>
      <c r="T32" s="13">
        <f>VLOOKUP(A:A,[3]TDSheet!$A:$T,20,0)</f>
        <v>0</v>
      </c>
      <c r="U32" s="13">
        <f t="shared" si="4"/>
        <v>19.833333333333332</v>
      </c>
      <c r="V32" s="13">
        <f t="shared" si="5"/>
        <v>3.1666666666666665</v>
      </c>
      <c r="W32" s="13">
        <f>VLOOKUP(A:A,[1]TDSheet!$A:$X,24,0)</f>
        <v>30.2</v>
      </c>
      <c r="X32" s="13">
        <f>VLOOKUP(A:A,[1]TDSheet!$A:$Y,25,0)</f>
        <v>0</v>
      </c>
      <c r="Y32" s="13">
        <f>VLOOKUP(A:A,[1]TDSheet!$A:$Z,26,0)</f>
        <v>28.8</v>
      </c>
      <c r="Z32" s="13">
        <f>VLOOKUP(A:A,[1]TDSheet!$A:$Q,17,0)</f>
        <v>128.80000000000001</v>
      </c>
      <c r="AA32" s="13" t="str">
        <f>VLOOKUP(A:A,[1]TDSheet!$A:$AA,27,0)</f>
        <v>сети</v>
      </c>
      <c r="AB32" s="13">
        <f t="shared" si="6"/>
        <v>325</v>
      </c>
      <c r="AC32" s="13">
        <f>VLOOKUP(A:A,[1]TDSheet!$A:$AC,29,0)</f>
        <v>12</v>
      </c>
      <c r="AD32" s="13">
        <f t="shared" si="8"/>
        <v>112</v>
      </c>
      <c r="AE32" s="13">
        <f t="shared" si="7"/>
        <v>336</v>
      </c>
      <c r="AF32" s="13">
        <f>VLOOKUP(A:A,[1]TDSheet!$A:$AF,32,0)</f>
        <v>14</v>
      </c>
      <c r="AG32" s="13">
        <f>VLOOKUP(A:A,[1]TDSheet!$A:$AG,33,0)</f>
        <v>70</v>
      </c>
      <c r="AH32" s="13">
        <f t="shared" si="9"/>
        <v>1.6</v>
      </c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</row>
    <row r="33" spans="1:109" ht="11.1" customHeight="1" x14ac:dyDescent="0.2">
      <c r="A33" s="9" t="s">
        <v>33</v>
      </c>
      <c r="B33" s="10" t="s">
        <v>25</v>
      </c>
      <c r="C33" s="9">
        <f>VLOOKUP(A:A,[1]TDSheet!$A:$C,3,0)</f>
        <v>0</v>
      </c>
      <c r="D33" s="11">
        <v>246</v>
      </c>
      <c r="E33" s="12">
        <v>6</v>
      </c>
      <c r="F33" s="12">
        <v>234</v>
      </c>
      <c r="G33" s="12">
        <v>12</v>
      </c>
      <c r="H33" s="29">
        <f>VLOOKUP(A:A,[1]TDSheet!$A:$H,8,0)</f>
        <v>1</v>
      </c>
      <c r="I33" s="13" t="e">
        <f>VLOOKUP(A:A,[1]TDSheet!$A:$I,9,0)</f>
        <v>#N/A</v>
      </c>
      <c r="J33" s="13" t="e">
        <f>VLOOKUP(A:A,[1]TDSheet!$A:$J,10,0)</f>
        <v>#N/A</v>
      </c>
      <c r="K33" s="13"/>
      <c r="L33" s="13">
        <f>VLOOKUP(A:A,[2]TDSheet!$A:$B,2,0)</f>
        <v>262</v>
      </c>
      <c r="M33" s="13">
        <f t="shared" si="2"/>
        <v>-28</v>
      </c>
      <c r="N33" s="13"/>
      <c r="O33" s="13"/>
      <c r="P33" s="13">
        <f>VLOOKUP(A:A,[1]TDSheet!$A:$R,18,0)</f>
        <v>140</v>
      </c>
      <c r="Q33" s="13">
        <f t="shared" si="3"/>
        <v>46.8</v>
      </c>
      <c r="R33" s="30">
        <v>800</v>
      </c>
      <c r="S33" s="30"/>
      <c r="T33" s="13">
        <f>VLOOKUP(A:A,[3]TDSheet!$A:$T,20,0)</f>
        <v>0</v>
      </c>
      <c r="U33" s="13">
        <f t="shared" si="4"/>
        <v>20.341880341880344</v>
      </c>
      <c r="V33" s="13">
        <f t="shared" si="5"/>
        <v>0.25641025641025644</v>
      </c>
      <c r="W33" s="13">
        <f>VLOOKUP(A:A,[1]TDSheet!$A:$X,24,0)</f>
        <v>0</v>
      </c>
      <c r="X33" s="13">
        <f>VLOOKUP(A:A,[1]TDSheet!$A:$Y,25,0)</f>
        <v>0</v>
      </c>
      <c r="Y33" s="13">
        <f>VLOOKUP(A:A,[1]TDSheet!$A:$Z,26,0)</f>
        <v>15.6</v>
      </c>
      <c r="Z33" s="13">
        <f>VLOOKUP(A:A,[1]TDSheet!$A:$Q,17,0)</f>
        <v>28.8</v>
      </c>
      <c r="AA33" s="13" t="e">
        <f>VLOOKUP(A:A,[1]TDSheet!$A:$AA,27,0)</f>
        <v>#N/A</v>
      </c>
      <c r="AB33" s="13">
        <f t="shared" si="6"/>
        <v>800</v>
      </c>
      <c r="AC33" s="13">
        <f>VLOOKUP(A:A,[1]TDSheet!$A:$AC,29,0)</f>
        <v>0</v>
      </c>
      <c r="AD33" s="13">
        <v>0</v>
      </c>
      <c r="AE33" s="13">
        <f t="shared" si="7"/>
        <v>0</v>
      </c>
      <c r="AF33" s="13">
        <f>VLOOKUP(A:A,[1]TDSheet!$A:$AF,32,0)</f>
        <v>0</v>
      </c>
      <c r="AG33" s="13">
        <f>VLOOKUP(A:A,[1]TDSheet!$A:$AG,33,0)</f>
        <v>0</v>
      </c>
      <c r="AH33" s="13">
        <v>0</v>
      </c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</row>
    <row r="34" spans="1:109" ht="11.1" customHeight="1" x14ac:dyDescent="0.2">
      <c r="A34" s="9" t="s">
        <v>34</v>
      </c>
      <c r="B34" s="10" t="s">
        <v>25</v>
      </c>
      <c r="C34" s="9" t="str">
        <f>VLOOKUP(A:A,[1]TDSheet!$A:$C,3,0)</f>
        <v>P003486</v>
      </c>
      <c r="D34" s="11">
        <v>54</v>
      </c>
      <c r="E34" s="12">
        <v>30</v>
      </c>
      <c r="F34" s="12">
        <v>72</v>
      </c>
      <c r="G34" s="12">
        <v>-18</v>
      </c>
      <c r="H34" s="29">
        <f>VLOOKUP(A:A,[1]TDSheet!$A:$H,8,0)</f>
        <v>1</v>
      </c>
      <c r="I34" s="13">
        <f>VLOOKUP(A:A,[1]TDSheet!$A:$I,9,0)</f>
        <v>0</v>
      </c>
      <c r="J34" s="13">
        <f>VLOOKUP(A:A,[1]TDSheet!$A:$J,10,0)</f>
        <v>0</v>
      </c>
      <c r="K34" s="13"/>
      <c r="L34" s="13">
        <f>VLOOKUP(A:A,[2]TDSheet!$A:$B,2,0)</f>
        <v>76</v>
      </c>
      <c r="M34" s="13">
        <f t="shared" si="2"/>
        <v>-4</v>
      </c>
      <c r="N34" s="13"/>
      <c r="O34" s="13"/>
      <c r="P34" s="13">
        <f>VLOOKUP(A:A,[1]TDSheet!$A:$R,18,0)</f>
        <v>360</v>
      </c>
      <c r="Q34" s="13">
        <f t="shared" si="3"/>
        <v>14.4</v>
      </c>
      <c r="R34" s="30"/>
      <c r="S34" s="30"/>
      <c r="T34" s="13">
        <f>VLOOKUP(A:A,[3]TDSheet!$A:$T,20,0)</f>
        <v>0</v>
      </c>
      <c r="U34" s="13">
        <f t="shared" si="4"/>
        <v>23.75</v>
      </c>
      <c r="V34" s="13">
        <f t="shared" si="5"/>
        <v>-1.25</v>
      </c>
      <c r="W34" s="13">
        <f>VLOOKUP(A:A,[1]TDSheet!$A:$X,24,0)</f>
        <v>39.6</v>
      </c>
      <c r="X34" s="13">
        <f>VLOOKUP(A:A,[1]TDSheet!$A:$Y,25,0)</f>
        <v>0</v>
      </c>
      <c r="Y34" s="13">
        <f>VLOOKUP(A:A,[1]TDSheet!$A:$Z,26,0)</f>
        <v>0</v>
      </c>
      <c r="Z34" s="13">
        <f>VLOOKUP(A:A,[1]TDSheet!$A:$Q,17,0)</f>
        <v>32.4</v>
      </c>
      <c r="AA34" s="13">
        <f>VLOOKUP(A:A,[1]TDSheet!$A:$AA,27,0)</f>
        <v>0</v>
      </c>
      <c r="AB34" s="13">
        <f t="shared" si="6"/>
        <v>0</v>
      </c>
      <c r="AC34" s="13">
        <f>VLOOKUP(A:A,[1]TDSheet!$A:$AC,29,0)</f>
        <v>3</v>
      </c>
      <c r="AD34" s="13">
        <f t="shared" si="8"/>
        <v>0</v>
      </c>
      <c r="AE34" s="13">
        <f t="shared" si="7"/>
        <v>0</v>
      </c>
      <c r="AF34" s="13">
        <f>VLOOKUP(A:A,[1]TDSheet!$A:$AF,32,0)</f>
        <v>12</v>
      </c>
      <c r="AG34" s="13">
        <f>VLOOKUP(A:A,[1]TDSheet!$A:$AG,33,0)</f>
        <v>84</v>
      </c>
      <c r="AH34" s="13">
        <f t="shared" si="9"/>
        <v>0</v>
      </c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</row>
    <row r="35" spans="1:109" ht="11.1" customHeight="1" x14ac:dyDescent="0.2">
      <c r="A35" s="9" t="s">
        <v>35</v>
      </c>
      <c r="B35" s="10" t="s">
        <v>10</v>
      </c>
      <c r="C35" s="9" t="str">
        <f>VLOOKUP(A:A,[1]TDSheet!$A:$C,3,0)</f>
        <v>P005043</v>
      </c>
      <c r="D35" s="11">
        <v>376</v>
      </c>
      <c r="E35" s="12"/>
      <c r="F35" s="12">
        <v>98</v>
      </c>
      <c r="G35" s="12">
        <v>278</v>
      </c>
      <c r="H35" s="29">
        <f>VLOOKUP(A:A,[1]TDSheet!$A:$H,8,0)</f>
        <v>0.23</v>
      </c>
      <c r="I35" s="13">
        <f>VLOOKUP(A:A,[1]TDSheet!$A:$I,9,0)</f>
        <v>180</v>
      </c>
      <c r="J35" s="13" t="str">
        <f>VLOOKUP(A:A,[1]TDSheet!$A:$J,10,0)</f>
        <v>матрица</v>
      </c>
      <c r="K35" s="13"/>
      <c r="L35" s="13">
        <f>VLOOKUP(A:A,[2]TDSheet!$A:$B,2,0)</f>
        <v>96</v>
      </c>
      <c r="M35" s="13">
        <f t="shared" si="2"/>
        <v>2</v>
      </c>
      <c r="N35" s="13"/>
      <c r="O35" s="13"/>
      <c r="P35" s="13">
        <f>VLOOKUP(A:A,[1]TDSheet!$A:$R,18,0)</f>
        <v>0</v>
      </c>
      <c r="Q35" s="13">
        <f t="shared" si="3"/>
        <v>19.600000000000001</v>
      </c>
      <c r="R35" s="30">
        <v>50</v>
      </c>
      <c r="S35" s="30"/>
      <c r="T35" s="13">
        <f>VLOOKUP(A:A,[3]TDSheet!$A:$T,20,0)</f>
        <v>0</v>
      </c>
      <c r="U35" s="13">
        <f t="shared" si="4"/>
        <v>16.73469387755102</v>
      </c>
      <c r="V35" s="13">
        <f t="shared" si="5"/>
        <v>14.183673469387754</v>
      </c>
      <c r="W35" s="13">
        <f>VLOOKUP(A:A,[1]TDSheet!$A:$X,24,0)</f>
        <v>17.2</v>
      </c>
      <c r="X35" s="13">
        <f>VLOOKUP(A:A,[1]TDSheet!$A:$Y,25,0)</f>
        <v>1.8</v>
      </c>
      <c r="Y35" s="13">
        <f>VLOOKUP(A:A,[1]TDSheet!$A:$Z,26,0)</f>
        <v>7.4</v>
      </c>
      <c r="Z35" s="13">
        <f>VLOOKUP(A:A,[1]TDSheet!$A:$Q,17,0)</f>
        <v>20</v>
      </c>
      <c r="AA35" s="13">
        <f>VLOOKUP(A:A,[1]TDSheet!$A:$AA,27,0)</f>
        <v>0</v>
      </c>
      <c r="AB35" s="13">
        <f t="shared" si="6"/>
        <v>11.5</v>
      </c>
      <c r="AC35" s="13">
        <f>VLOOKUP(A:A,[1]TDSheet!$A:$AC,29,0)</f>
        <v>12</v>
      </c>
      <c r="AD35" s="13">
        <f t="shared" si="8"/>
        <v>0</v>
      </c>
      <c r="AE35" s="13">
        <f t="shared" si="7"/>
        <v>0</v>
      </c>
      <c r="AF35" s="13">
        <f>VLOOKUP(A:A,[1]TDSheet!$A:$AF,32,0)</f>
        <v>14</v>
      </c>
      <c r="AG35" s="13">
        <f>VLOOKUP(A:A,[1]TDSheet!$A:$AG,33,0)</f>
        <v>70</v>
      </c>
      <c r="AH35" s="13">
        <f t="shared" si="9"/>
        <v>0</v>
      </c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</row>
    <row r="36" spans="1:109" ht="21.95" customHeight="1" x14ac:dyDescent="0.2">
      <c r="A36" s="9" t="s">
        <v>36</v>
      </c>
      <c r="B36" s="10" t="s">
        <v>10</v>
      </c>
      <c r="C36" s="9" t="str">
        <f>VLOOKUP(A:A,[1]TDSheet!$A:$C,3,0)</f>
        <v>P004889</v>
      </c>
      <c r="D36" s="11">
        <v>50</v>
      </c>
      <c r="E36" s="12">
        <v>293</v>
      </c>
      <c r="F36" s="12">
        <v>120</v>
      </c>
      <c r="G36" s="12">
        <v>213</v>
      </c>
      <c r="H36" s="29">
        <f>VLOOKUP(A:A,[1]TDSheet!$A:$H,8,0)</f>
        <v>0.7</v>
      </c>
      <c r="I36" s="13">
        <f>VLOOKUP(A:A,[1]TDSheet!$A:$I,9,0)</f>
        <v>180</v>
      </c>
      <c r="J36" s="13" t="str">
        <f>VLOOKUP(A:A,[1]TDSheet!$A:$J,10,0)</f>
        <v>матрица</v>
      </c>
      <c r="K36" s="13"/>
      <c r="L36" s="13">
        <f>VLOOKUP(A:A,[2]TDSheet!$A:$B,2,0)</f>
        <v>116</v>
      </c>
      <c r="M36" s="13">
        <f t="shared" si="2"/>
        <v>4</v>
      </c>
      <c r="N36" s="13"/>
      <c r="O36" s="13"/>
      <c r="P36" s="13">
        <f>VLOOKUP(A:A,[1]TDSheet!$A:$R,18,0)</f>
        <v>200</v>
      </c>
      <c r="Q36" s="13">
        <f t="shared" si="3"/>
        <v>24</v>
      </c>
      <c r="R36" s="30">
        <v>100</v>
      </c>
      <c r="S36" s="30">
        <f>VLOOKUP(A:A,[3]TDSheet!$A:$S,19,0)</f>
        <v>100</v>
      </c>
      <c r="T36" s="13">
        <f>VLOOKUP(A:A,[3]TDSheet!$A:$T,20,0)</f>
        <v>0</v>
      </c>
      <c r="U36" s="13">
        <f t="shared" si="4"/>
        <v>21.375</v>
      </c>
      <c r="V36" s="13">
        <f t="shared" si="5"/>
        <v>8.875</v>
      </c>
      <c r="W36" s="13">
        <f>VLOOKUP(A:A,[1]TDSheet!$A:$X,24,0)</f>
        <v>9</v>
      </c>
      <c r="X36" s="13">
        <f>VLOOKUP(A:A,[1]TDSheet!$A:$Y,25,0)</f>
        <v>0</v>
      </c>
      <c r="Y36" s="13">
        <f>VLOOKUP(A:A,[1]TDSheet!$A:$Z,26,0)</f>
        <v>1.6</v>
      </c>
      <c r="Z36" s="13">
        <f>VLOOKUP(A:A,[1]TDSheet!$A:$Q,17,0)</f>
        <v>12.2</v>
      </c>
      <c r="AA36" s="13">
        <f>VLOOKUP(A:A,[1]TDSheet!$A:$AA,27,0)</f>
        <v>0</v>
      </c>
      <c r="AB36" s="13">
        <f t="shared" si="6"/>
        <v>70</v>
      </c>
      <c r="AC36" s="13">
        <f>VLOOKUP(A:A,[1]TDSheet!$A:$AC,29,0)</f>
        <v>8</v>
      </c>
      <c r="AD36" s="13">
        <f t="shared" si="8"/>
        <v>12</v>
      </c>
      <c r="AE36" s="13">
        <f t="shared" si="7"/>
        <v>67.199999999999989</v>
      </c>
      <c r="AF36" s="13">
        <f>VLOOKUP(A:A,[1]TDSheet!$A:$AF,32,0)</f>
        <v>12</v>
      </c>
      <c r="AG36" s="13">
        <f>VLOOKUP(A:A,[1]TDSheet!$A:$AG,33,0)</f>
        <v>84</v>
      </c>
      <c r="AH36" s="13">
        <f t="shared" si="9"/>
        <v>0.14285714285714285</v>
      </c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</row>
    <row r="37" spans="1:109" ht="11.1" customHeight="1" x14ac:dyDescent="0.2">
      <c r="A37" s="9" t="s">
        <v>37</v>
      </c>
      <c r="B37" s="10" t="s">
        <v>10</v>
      </c>
      <c r="C37" s="9" t="str">
        <f>VLOOKUP(A:A,[1]TDSheet!$A:$C,3,0)</f>
        <v>P004887</v>
      </c>
      <c r="D37" s="11">
        <v>23</v>
      </c>
      <c r="E37" s="12">
        <v>5</v>
      </c>
      <c r="F37" s="12">
        <v>17</v>
      </c>
      <c r="G37" s="12">
        <v>1</v>
      </c>
      <c r="H37" s="29">
        <f>VLOOKUP(A:A,[1]TDSheet!$A:$H,8,0)</f>
        <v>0.7</v>
      </c>
      <c r="I37" s="13">
        <f>VLOOKUP(A:A,[1]TDSheet!$A:$I,9,0)</f>
        <v>0</v>
      </c>
      <c r="J37" s="13">
        <f>VLOOKUP(A:A,[1]TDSheet!$A:$J,10,0)</f>
        <v>0</v>
      </c>
      <c r="K37" s="13"/>
      <c r="L37" s="13">
        <f>VLOOKUP(A:A,[2]TDSheet!$A:$B,2,0)</f>
        <v>18</v>
      </c>
      <c r="M37" s="13">
        <f t="shared" si="2"/>
        <v>-1</v>
      </c>
      <c r="N37" s="13"/>
      <c r="O37" s="13"/>
      <c r="P37" s="13">
        <f>VLOOKUP(A:A,[1]TDSheet!$A:$R,18,0)</f>
        <v>180</v>
      </c>
      <c r="Q37" s="13">
        <f t="shared" si="3"/>
        <v>3.4</v>
      </c>
      <c r="R37" s="30">
        <v>50</v>
      </c>
      <c r="S37" s="30">
        <f>VLOOKUP(A:A,[3]TDSheet!$A:$S,19,0)</f>
        <v>50</v>
      </c>
      <c r="T37" s="13">
        <f>VLOOKUP(A:A,[3]TDSheet!$A:$T,20,0)</f>
        <v>0</v>
      </c>
      <c r="U37" s="13">
        <f t="shared" si="4"/>
        <v>67.941176470588232</v>
      </c>
      <c r="V37" s="13">
        <f t="shared" si="5"/>
        <v>0.29411764705882354</v>
      </c>
      <c r="W37" s="13">
        <f>VLOOKUP(A:A,[1]TDSheet!$A:$X,24,0)</f>
        <v>18.2</v>
      </c>
      <c r="X37" s="13">
        <f>VLOOKUP(A:A,[1]TDSheet!$A:$Y,25,0)</f>
        <v>0</v>
      </c>
      <c r="Y37" s="13">
        <f>VLOOKUP(A:A,[1]TDSheet!$A:$Z,26,0)</f>
        <v>0</v>
      </c>
      <c r="Z37" s="13">
        <f>VLOOKUP(A:A,[1]TDSheet!$A:$Q,17,0)</f>
        <v>14.6</v>
      </c>
      <c r="AA37" s="13">
        <f>VLOOKUP(A:A,[1]TDSheet!$A:$AA,27,0)</f>
        <v>0</v>
      </c>
      <c r="AB37" s="13">
        <f t="shared" si="6"/>
        <v>35</v>
      </c>
      <c r="AC37" s="13">
        <f>VLOOKUP(A:A,[1]TDSheet!$A:$AC,29,0)</f>
        <v>4</v>
      </c>
      <c r="AD37" s="13">
        <f t="shared" si="8"/>
        <v>12</v>
      </c>
      <c r="AE37" s="13">
        <f t="shared" si="7"/>
        <v>33.599999999999994</v>
      </c>
      <c r="AF37" s="13">
        <f>VLOOKUP(A:A,[1]TDSheet!$A:$AF,32,0)</f>
        <v>12</v>
      </c>
      <c r="AG37" s="13">
        <f>VLOOKUP(A:A,[1]TDSheet!$A:$AG,33,0)</f>
        <v>84</v>
      </c>
      <c r="AH37" s="13">
        <f t="shared" si="9"/>
        <v>0.14285714285714285</v>
      </c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</row>
    <row r="38" spans="1:109" ht="21.95" customHeight="1" x14ac:dyDescent="0.2">
      <c r="A38" s="9" t="s">
        <v>38</v>
      </c>
      <c r="B38" s="10" t="s">
        <v>10</v>
      </c>
      <c r="C38" s="9" t="str">
        <f>VLOOKUP(A:A,[1]TDSheet!$A:$C,3,0)</f>
        <v>P004888</v>
      </c>
      <c r="D38" s="11">
        <v>112</v>
      </c>
      <c r="E38" s="12">
        <v>194</v>
      </c>
      <c r="F38" s="12">
        <v>176</v>
      </c>
      <c r="G38" s="12">
        <v>101</v>
      </c>
      <c r="H38" s="29">
        <f>VLOOKUP(A:A,[1]TDSheet!$A:$H,8,0)</f>
        <v>0.7</v>
      </c>
      <c r="I38" s="13">
        <f>VLOOKUP(A:A,[1]TDSheet!$A:$I,9,0)</f>
        <v>180</v>
      </c>
      <c r="J38" s="13" t="str">
        <f>VLOOKUP(A:A,[1]TDSheet!$A:$J,10,0)</f>
        <v>матрица</v>
      </c>
      <c r="K38" s="13"/>
      <c r="L38" s="13">
        <f>VLOOKUP(A:A,[2]TDSheet!$A:$B,2,0)</f>
        <v>179</v>
      </c>
      <c r="M38" s="13">
        <f t="shared" si="2"/>
        <v>-3</v>
      </c>
      <c r="N38" s="13"/>
      <c r="O38" s="13"/>
      <c r="P38" s="13">
        <f>VLOOKUP(A:A,[1]TDSheet!$A:$R,18,0)</f>
        <v>100</v>
      </c>
      <c r="Q38" s="13">
        <f t="shared" si="3"/>
        <v>35.200000000000003</v>
      </c>
      <c r="R38" s="30">
        <v>400</v>
      </c>
      <c r="S38" s="30"/>
      <c r="T38" s="13">
        <f>VLOOKUP(A:A,[3]TDSheet!$A:$T,20,0)</f>
        <v>0</v>
      </c>
      <c r="U38" s="13">
        <f t="shared" si="4"/>
        <v>17.073863636363637</v>
      </c>
      <c r="V38" s="13">
        <f t="shared" si="5"/>
        <v>2.8693181818181817</v>
      </c>
      <c r="W38" s="13">
        <f>VLOOKUP(A:A,[1]TDSheet!$A:$X,24,0)</f>
        <v>25.2</v>
      </c>
      <c r="X38" s="13">
        <f>VLOOKUP(A:A,[1]TDSheet!$A:$Y,25,0)</f>
        <v>0</v>
      </c>
      <c r="Y38" s="13">
        <f>VLOOKUP(A:A,[1]TDSheet!$A:$Z,26,0)</f>
        <v>0</v>
      </c>
      <c r="Z38" s="13">
        <f>VLOOKUP(A:A,[1]TDSheet!$A:$Q,17,0)</f>
        <v>16</v>
      </c>
      <c r="AA38" s="13">
        <f>VLOOKUP(A:A,[1]TDSheet!$A:$AA,27,0)</f>
        <v>0</v>
      </c>
      <c r="AB38" s="13">
        <f t="shared" si="6"/>
        <v>280</v>
      </c>
      <c r="AC38" s="13">
        <f>VLOOKUP(A:A,[1]TDSheet!$A:$AC,29,0)</f>
        <v>8</v>
      </c>
      <c r="AD38" s="13">
        <f t="shared" si="8"/>
        <v>48</v>
      </c>
      <c r="AE38" s="13">
        <f t="shared" si="7"/>
        <v>268.79999999999995</v>
      </c>
      <c r="AF38" s="13">
        <f>VLOOKUP(A:A,[1]TDSheet!$A:$AF,32,0)</f>
        <v>12</v>
      </c>
      <c r="AG38" s="13">
        <f>VLOOKUP(A:A,[1]TDSheet!$A:$AG,33,0)</f>
        <v>84</v>
      </c>
      <c r="AH38" s="13">
        <f t="shared" si="9"/>
        <v>0.5714285714285714</v>
      </c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</row>
    <row r="39" spans="1:109" ht="21.95" customHeight="1" x14ac:dyDescent="0.2">
      <c r="A39" s="9" t="s">
        <v>39</v>
      </c>
      <c r="B39" s="10" t="s">
        <v>10</v>
      </c>
      <c r="C39" s="9" t="str">
        <f>VLOOKUP(A:A,[1]TDSheet!$A:$C,3,0)</f>
        <v>P004440</v>
      </c>
      <c r="D39" s="11">
        <v>-2</v>
      </c>
      <c r="E39" s="12">
        <v>754</v>
      </c>
      <c r="F39" s="12">
        <v>231</v>
      </c>
      <c r="G39" s="12">
        <v>521</v>
      </c>
      <c r="H39" s="29">
        <f>VLOOKUP(A:A,[1]TDSheet!$A:$H,8,0)</f>
        <v>0.7</v>
      </c>
      <c r="I39" s="13">
        <f>VLOOKUP(A:A,[1]TDSheet!$A:$I,9,0)</f>
        <v>180</v>
      </c>
      <c r="J39" s="13" t="str">
        <f>VLOOKUP(A:A,[1]TDSheet!$A:$J,10,0)</f>
        <v>матрица</v>
      </c>
      <c r="K39" s="13"/>
      <c r="L39" s="13">
        <f>VLOOKUP(A:A,[2]TDSheet!$A:$B,2,0)</f>
        <v>497</v>
      </c>
      <c r="M39" s="13">
        <f t="shared" si="2"/>
        <v>-266</v>
      </c>
      <c r="N39" s="13"/>
      <c r="O39" s="13"/>
      <c r="P39" s="13">
        <f>VLOOKUP(A:A,[1]TDSheet!$A:$R,18,0)</f>
        <v>400</v>
      </c>
      <c r="Q39" s="13">
        <f t="shared" si="3"/>
        <v>46.2</v>
      </c>
      <c r="R39" s="30">
        <v>400</v>
      </c>
      <c r="S39" s="30"/>
      <c r="T39" s="13">
        <f>VLOOKUP(A:A,[3]TDSheet!$A:$T,20,0)</f>
        <v>0</v>
      </c>
      <c r="U39" s="13">
        <f t="shared" si="4"/>
        <v>28.593073593073591</v>
      </c>
      <c r="V39" s="13">
        <f t="shared" si="5"/>
        <v>11.277056277056277</v>
      </c>
      <c r="W39" s="13">
        <f>VLOOKUP(A:A,[1]TDSheet!$A:$X,24,0)</f>
        <v>54.8</v>
      </c>
      <c r="X39" s="13">
        <f>VLOOKUP(A:A,[1]TDSheet!$A:$Y,25,0)</f>
        <v>31.4</v>
      </c>
      <c r="Y39" s="13">
        <f>VLOOKUP(A:A,[1]TDSheet!$A:$Z,26,0)</f>
        <v>8</v>
      </c>
      <c r="Z39" s="13">
        <f>VLOOKUP(A:A,[1]TDSheet!$A:$Q,17,0)</f>
        <v>7.8</v>
      </c>
      <c r="AA39" s="13">
        <f>VLOOKUP(A:A,[1]TDSheet!$A:$AA,27,0)</f>
        <v>0</v>
      </c>
      <c r="AB39" s="13">
        <f t="shared" si="6"/>
        <v>280</v>
      </c>
      <c r="AC39" s="13">
        <f>VLOOKUP(A:A,[1]TDSheet!$A:$AC,29,0)</f>
        <v>10</v>
      </c>
      <c r="AD39" s="13">
        <f t="shared" si="8"/>
        <v>36</v>
      </c>
      <c r="AE39" s="13">
        <f t="shared" si="7"/>
        <v>251.99999999999997</v>
      </c>
      <c r="AF39" s="13">
        <f>VLOOKUP(A:A,[1]TDSheet!$A:$AF,32,0)</f>
        <v>12</v>
      </c>
      <c r="AG39" s="13">
        <f>VLOOKUP(A:A,[1]TDSheet!$A:$AG,33,0)</f>
        <v>84</v>
      </c>
      <c r="AH39" s="13">
        <f t="shared" si="9"/>
        <v>0.42857142857142855</v>
      </c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</row>
    <row r="40" spans="1:109" ht="21.95" customHeight="1" x14ac:dyDescent="0.2">
      <c r="A40" s="9" t="s">
        <v>40</v>
      </c>
      <c r="B40" s="10" t="s">
        <v>10</v>
      </c>
      <c r="C40" s="9" t="str">
        <f>VLOOKUP(A:A,[1]TDSheet!$A:$C,3,0)</f>
        <v>P004442</v>
      </c>
      <c r="D40" s="11">
        <v>78</v>
      </c>
      <c r="E40" s="12">
        <v>725</v>
      </c>
      <c r="F40" s="12">
        <v>166</v>
      </c>
      <c r="G40" s="12">
        <v>605</v>
      </c>
      <c r="H40" s="29">
        <f>VLOOKUP(A:A,[1]TDSheet!$A:$H,8,0)</f>
        <v>0.7</v>
      </c>
      <c r="I40" s="13">
        <f>VLOOKUP(A:A,[1]TDSheet!$A:$I,9,0)</f>
        <v>180</v>
      </c>
      <c r="J40" s="13" t="str">
        <f>VLOOKUP(A:A,[1]TDSheet!$A:$J,10,0)</f>
        <v>матрица</v>
      </c>
      <c r="K40" s="13"/>
      <c r="L40" s="13">
        <f>VLOOKUP(A:A,[2]TDSheet!$A:$B,2,0)</f>
        <v>160</v>
      </c>
      <c r="M40" s="13">
        <f t="shared" si="2"/>
        <v>6</v>
      </c>
      <c r="N40" s="13"/>
      <c r="O40" s="13"/>
      <c r="P40" s="13">
        <f>VLOOKUP(A:A,[1]TDSheet!$A:$R,18,0)</f>
        <v>400</v>
      </c>
      <c r="Q40" s="13">
        <f t="shared" si="3"/>
        <v>33.200000000000003</v>
      </c>
      <c r="R40" s="30"/>
      <c r="S40" s="30"/>
      <c r="T40" s="13">
        <f>VLOOKUP(A:A,[3]TDSheet!$A:$T,20,0)</f>
        <v>0</v>
      </c>
      <c r="U40" s="13">
        <f t="shared" si="4"/>
        <v>30.271084337349397</v>
      </c>
      <c r="V40" s="13">
        <f t="shared" si="5"/>
        <v>18.222891566265059</v>
      </c>
      <c r="W40" s="13">
        <f>VLOOKUP(A:A,[1]TDSheet!$A:$X,24,0)</f>
        <v>17.8</v>
      </c>
      <c r="X40" s="13">
        <f>VLOOKUP(A:A,[1]TDSheet!$A:$Y,25,0)</f>
        <v>23.6</v>
      </c>
      <c r="Y40" s="13">
        <f>VLOOKUP(A:A,[1]TDSheet!$A:$Z,26,0)</f>
        <v>16.399999999999999</v>
      </c>
      <c r="Z40" s="13">
        <f>VLOOKUP(A:A,[1]TDSheet!$A:$Q,17,0)</f>
        <v>33</v>
      </c>
      <c r="AA40" s="13">
        <f>VLOOKUP(A:A,[1]TDSheet!$A:$AA,27,0)</f>
        <v>0</v>
      </c>
      <c r="AB40" s="13">
        <f t="shared" si="6"/>
        <v>0</v>
      </c>
      <c r="AC40" s="13">
        <f>VLOOKUP(A:A,[1]TDSheet!$A:$AC,29,0)</f>
        <v>10</v>
      </c>
      <c r="AD40" s="13">
        <f t="shared" si="8"/>
        <v>0</v>
      </c>
      <c r="AE40" s="13">
        <f t="shared" si="7"/>
        <v>0</v>
      </c>
      <c r="AF40" s="13">
        <f>VLOOKUP(A:A,[1]TDSheet!$A:$AF,32,0)</f>
        <v>12</v>
      </c>
      <c r="AG40" s="13">
        <f>VLOOKUP(A:A,[1]TDSheet!$A:$AG,33,0)</f>
        <v>84</v>
      </c>
      <c r="AH40" s="13">
        <f t="shared" si="9"/>
        <v>0</v>
      </c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</row>
    <row r="41" spans="1:109" ht="21.95" customHeight="1" x14ac:dyDescent="0.2">
      <c r="A41" s="9" t="s">
        <v>41</v>
      </c>
      <c r="B41" s="10" t="s">
        <v>10</v>
      </c>
      <c r="C41" s="9" t="str">
        <f>VLOOKUP(A:A,[1]TDSheet!$A:$C,3,0)</f>
        <v>P004203</v>
      </c>
      <c r="D41" s="11">
        <v>12</v>
      </c>
      <c r="E41" s="12">
        <v>745</v>
      </c>
      <c r="F41" s="12">
        <v>270</v>
      </c>
      <c r="G41" s="12">
        <v>496</v>
      </c>
      <c r="H41" s="29">
        <f>VLOOKUP(A:A,[1]TDSheet!$A:$H,8,0)</f>
        <v>0.7</v>
      </c>
      <c r="I41" s="13">
        <f>VLOOKUP(A:A,[1]TDSheet!$A:$I,9,0)</f>
        <v>180</v>
      </c>
      <c r="J41" s="13" t="str">
        <f>VLOOKUP(A:A,[1]TDSheet!$A:$J,10,0)</f>
        <v>матрица</v>
      </c>
      <c r="K41" s="13"/>
      <c r="L41" s="13">
        <f>VLOOKUP(A:A,[2]TDSheet!$A:$B,2,0)</f>
        <v>483</v>
      </c>
      <c r="M41" s="13">
        <f t="shared" si="2"/>
        <v>-213</v>
      </c>
      <c r="N41" s="13"/>
      <c r="O41" s="13"/>
      <c r="P41" s="13">
        <f>VLOOKUP(A:A,[1]TDSheet!$A:$R,18,0)</f>
        <v>400</v>
      </c>
      <c r="Q41" s="13">
        <f t="shared" si="3"/>
        <v>54</v>
      </c>
      <c r="R41" s="30">
        <v>200</v>
      </c>
      <c r="S41" s="30"/>
      <c r="T41" s="13">
        <f>VLOOKUP(A:A,[3]TDSheet!$A:$T,20,0)</f>
        <v>0</v>
      </c>
      <c r="U41" s="13">
        <f t="shared" si="4"/>
        <v>20.296296296296298</v>
      </c>
      <c r="V41" s="13">
        <f t="shared" si="5"/>
        <v>9.1851851851851851</v>
      </c>
      <c r="W41" s="13">
        <f>VLOOKUP(A:A,[1]TDSheet!$A:$X,24,0)</f>
        <v>52.2</v>
      </c>
      <c r="X41" s="13">
        <f>VLOOKUP(A:A,[1]TDSheet!$A:$Y,25,0)</f>
        <v>4</v>
      </c>
      <c r="Y41" s="13">
        <f>VLOOKUP(A:A,[1]TDSheet!$A:$Z,26,0)</f>
        <v>2</v>
      </c>
      <c r="Z41" s="13">
        <f>VLOOKUP(A:A,[1]TDSheet!$A:$Q,17,0)</f>
        <v>45.6</v>
      </c>
      <c r="AA41" s="13">
        <f>VLOOKUP(A:A,[1]TDSheet!$A:$AA,27,0)</f>
        <v>0</v>
      </c>
      <c r="AB41" s="13">
        <f t="shared" si="6"/>
        <v>140</v>
      </c>
      <c r="AC41" s="13">
        <f>VLOOKUP(A:A,[1]TDSheet!$A:$AC,29,0)</f>
        <v>10</v>
      </c>
      <c r="AD41" s="13">
        <f t="shared" si="8"/>
        <v>24</v>
      </c>
      <c r="AE41" s="13">
        <f t="shared" si="7"/>
        <v>168</v>
      </c>
      <c r="AF41" s="13">
        <f>VLOOKUP(A:A,[1]TDSheet!$A:$AF,32,0)</f>
        <v>12</v>
      </c>
      <c r="AG41" s="13">
        <f>VLOOKUP(A:A,[1]TDSheet!$A:$AG,33,0)</f>
        <v>84</v>
      </c>
      <c r="AH41" s="13">
        <f t="shared" si="9"/>
        <v>0.2857142857142857</v>
      </c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</row>
    <row r="42" spans="1:109" ht="21.95" customHeight="1" x14ac:dyDescent="0.2">
      <c r="A42" s="9" t="s">
        <v>42</v>
      </c>
      <c r="B42" s="10" t="s">
        <v>10</v>
      </c>
      <c r="C42" s="9" t="str">
        <f>VLOOKUP(A:A,[1]TDSheet!$A:$C,3,0)</f>
        <v>P004819</v>
      </c>
      <c r="D42" s="11"/>
      <c r="E42" s="12"/>
      <c r="F42" s="12">
        <v>14</v>
      </c>
      <c r="G42" s="12">
        <v>-14</v>
      </c>
      <c r="H42" s="29">
        <f>VLOOKUP(A:A,[1]TDSheet!$A:$H,8,0)</f>
        <v>0.7</v>
      </c>
      <c r="I42" s="13">
        <f>VLOOKUP(A:A,[1]TDSheet!$A:$I,9,0)</f>
        <v>180</v>
      </c>
      <c r="J42" s="13" t="str">
        <f>VLOOKUP(A:A,[1]TDSheet!$A:$J,10,0)</f>
        <v>матрица</v>
      </c>
      <c r="K42" s="13"/>
      <c r="L42" s="13">
        <f>VLOOKUP(A:A,[2]TDSheet!$A:$B,2,0)</f>
        <v>345</v>
      </c>
      <c r="M42" s="13">
        <f t="shared" si="2"/>
        <v>-331</v>
      </c>
      <c r="N42" s="13"/>
      <c r="O42" s="13"/>
      <c r="P42" s="13">
        <f>VLOOKUP(A:A,[1]TDSheet!$A:$R,18,0)</f>
        <v>800</v>
      </c>
      <c r="Q42" s="13">
        <f t="shared" si="3"/>
        <v>2.8</v>
      </c>
      <c r="R42" s="30"/>
      <c r="S42" s="30"/>
      <c r="T42" s="13">
        <f>VLOOKUP(A:A,[3]TDSheet!$A:$T,20,0)</f>
        <v>0</v>
      </c>
      <c r="U42" s="13">
        <f t="shared" si="4"/>
        <v>280.71428571428572</v>
      </c>
      <c r="V42" s="13">
        <f t="shared" si="5"/>
        <v>-5</v>
      </c>
      <c r="W42" s="13">
        <f>VLOOKUP(A:A,[1]TDSheet!$A:$X,24,0)</f>
        <v>0</v>
      </c>
      <c r="X42" s="13">
        <f>VLOOKUP(A:A,[1]TDSheet!$A:$Y,25,0)</f>
        <v>0</v>
      </c>
      <c r="Y42" s="13">
        <f>VLOOKUP(A:A,[1]TDSheet!$A:$Z,26,0)</f>
        <v>4.8</v>
      </c>
      <c r="Z42" s="13">
        <f>VLOOKUP(A:A,[1]TDSheet!$A:$Q,17,0)</f>
        <v>71.599999999999994</v>
      </c>
      <c r="AA42" s="13" t="str">
        <f>VLOOKUP(A:A,[1]TDSheet!$A:$AA,27,0)</f>
        <v>остатки?</v>
      </c>
      <c r="AB42" s="13">
        <f t="shared" si="6"/>
        <v>0</v>
      </c>
      <c r="AC42" s="13">
        <f>VLOOKUP(A:A,[1]TDSheet!$A:$AC,29,0)</f>
        <v>10</v>
      </c>
      <c r="AD42" s="13">
        <f t="shared" si="8"/>
        <v>0</v>
      </c>
      <c r="AE42" s="13">
        <f t="shared" si="7"/>
        <v>0</v>
      </c>
      <c r="AF42" s="13">
        <f>VLOOKUP(A:A,[1]TDSheet!$A:$AF,32,0)</f>
        <v>12</v>
      </c>
      <c r="AG42" s="13">
        <f>VLOOKUP(A:A,[1]TDSheet!$A:$AG,33,0)</f>
        <v>84</v>
      </c>
      <c r="AH42" s="13">
        <f t="shared" si="9"/>
        <v>0</v>
      </c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</row>
    <row r="43" spans="1:109" ht="21.95" customHeight="1" x14ac:dyDescent="0.2">
      <c r="A43" s="9" t="s">
        <v>43</v>
      </c>
      <c r="B43" s="10" t="s">
        <v>25</v>
      </c>
      <c r="C43" s="9" t="str">
        <f>VLOOKUP(A:A,[1]TDSheet!$A:$C,3,0)</f>
        <v>P003697</v>
      </c>
      <c r="D43" s="11">
        <v>430</v>
      </c>
      <c r="E43" s="12">
        <v>615</v>
      </c>
      <c r="F43" s="12">
        <v>500</v>
      </c>
      <c r="G43" s="12">
        <v>470</v>
      </c>
      <c r="H43" s="29">
        <f>VLOOKUP(A:A,[1]TDSheet!$A:$H,8,0)</f>
        <v>1</v>
      </c>
      <c r="I43" s="13">
        <f>VLOOKUP(A:A,[1]TDSheet!$A:$I,9,0)</f>
        <v>180</v>
      </c>
      <c r="J43" s="13" t="str">
        <f>VLOOKUP(A:A,[1]TDSheet!$A:$J,10,0)</f>
        <v>матрица</v>
      </c>
      <c r="K43" s="13"/>
      <c r="L43" s="13">
        <f>VLOOKUP(A:A,[2]TDSheet!$A:$B,2,0)</f>
        <v>505</v>
      </c>
      <c r="M43" s="13">
        <f t="shared" si="2"/>
        <v>-5</v>
      </c>
      <c r="N43" s="13"/>
      <c r="O43" s="13"/>
      <c r="P43" s="13">
        <f>VLOOKUP(A:A,[1]TDSheet!$A:$R,18,0)</f>
        <v>0</v>
      </c>
      <c r="Q43" s="13">
        <f t="shared" si="3"/>
        <v>100</v>
      </c>
      <c r="R43" s="30">
        <v>1500</v>
      </c>
      <c r="S43" s="30"/>
      <c r="T43" s="13">
        <f>VLOOKUP(A:A,[3]TDSheet!$A:$T,20,0)</f>
        <v>0</v>
      </c>
      <c r="U43" s="13">
        <f t="shared" si="4"/>
        <v>19.7</v>
      </c>
      <c r="V43" s="13">
        <f t="shared" si="5"/>
        <v>4.7</v>
      </c>
      <c r="W43" s="13">
        <f>VLOOKUP(A:A,[1]TDSheet!$A:$X,24,0)</f>
        <v>42</v>
      </c>
      <c r="X43" s="13">
        <f>VLOOKUP(A:A,[1]TDSheet!$A:$Y,25,0)</f>
        <v>0</v>
      </c>
      <c r="Y43" s="13">
        <f>VLOOKUP(A:A,[1]TDSheet!$A:$Z,26,0)</f>
        <v>22</v>
      </c>
      <c r="Z43" s="13">
        <f>VLOOKUP(A:A,[1]TDSheet!$A:$Q,17,0)</f>
        <v>72</v>
      </c>
      <c r="AA43" s="13" t="str">
        <f>VLOOKUP(A:A,[1]TDSheet!$A:$AA,27,0)</f>
        <v>сети</v>
      </c>
      <c r="AB43" s="13">
        <f t="shared" si="6"/>
        <v>1500</v>
      </c>
      <c r="AC43" s="13">
        <f>VLOOKUP(A:A,[1]TDSheet!$A:$AC,29,0)</f>
        <v>5</v>
      </c>
      <c r="AD43" s="13">
        <f t="shared" si="8"/>
        <v>300</v>
      </c>
      <c r="AE43" s="13">
        <f t="shared" si="7"/>
        <v>1500</v>
      </c>
      <c r="AF43" s="13">
        <f>VLOOKUP(A:A,[1]TDSheet!$A:$AF,32,0)</f>
        <v>12</v>
      </c>
      <c r="AG43" s="13">
        <f>VLOOKUP(A:A,[1]TDSheet!$A:$AG,33,0)</f>
        <v>144</v>
      </c>
      <c r="AH43" s="13">
        <f t="shared" si="9"/>
        <v>2.0833333333333335</v>
      </c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</row>
    <row r="44" spans="1:109" ht="21.95" customHeight="1" x14ac:dyDescent="0.2">
      <c r="A44" s="9" t="s">
        <v>44</v>
      </c>
      <c r="B44" s="10" t="s">
        <v>10</v>
      </c>
      <c r="C44" s="9" t="str">
        <f>VLOOKUP(A:A,[1]TDSheet!$A:$C,3,0)</f>
        <v>P004474</v>
      </c>
      <c r="D44" s="11">
        <v>290</v>
      </c>
      <c r="E44" s="12">
        <v>5</v>
      </c>
      <c r="F44" s="12">
        <v>291</v>
      </c>
      <c r="G44" s="12">
        <v>-6</v>
      </c>
      <c r="H44" s="29">
        <f>VLOOKUP(A:A,[1]TDSheet!$A:$H,8,0)</f>
        <v>0.4</v>
      </c>
      <c r="I44" s="13">
        <f>VLOOKUP(A:A,[1]TDSheet!$A:$I,9,0)</f>
        <v>180</v>
      </c>
      <c r="J44" s="13" t="str">
        <f>VLOOKUP(A:A,[1]TDSheet!$A:$J,10,0)</f>
        <v>матрица</v>
      </c>
      <c r="K44" s="13"/>
      <c r="L44" s="13">
        <f>VLOOKUP(A:A,[2]TDSheet!$A:$B,2,0)</f>
        <v>341</v>
      </c>
      <c r="M44" s="13">
        <f t="shared" si="2"/>
        <v>-50</v>
      </c>
      <c r="N44" s="13"/>
      <c r="O44" s="13"/>
      <c r="P44" s="13">
        <f>VLOOKUP(A:A,[1]TDSheet!$A:$R,18,0)</f>
        <v>750</v>
      </c>
      <c r="Q44" s="13">
        <f t="shared" si="3"/>
        <v>58.2</v>
      </c>
      <c r="R44" s="30">
        <v>400</v>
      </c>
      <c r="S44" s="30">
        <f>VLOOKUP(A:A,[3]TDSheet!$A:$S,19,0)</f>
        <v>200</v>
      </c>
      <c r="T44" s="13">
        <f>VLOOKUP(A:A,[3]TDSheet!$A:$T,20,0)</f>
        <v>0</v>
      </c>
      <c r="U44" s="13">
        <f t="shared" si="4"/>
        <v>19.656357388316149</v>
      </c>
      <c r="V44" s="13">
        <f t="shared" si="5"/>
        <v>-0.10309278350515463</v>
      </c>
      <c r="W44" s="13">
        <f>VLOOKUP(A:A,[1]TDSheet!$A:$X,24,0)</f>
        <v>18.8</v>
      </c>
      <c r="X44" s="13">
        <f>VLOOKUP(A:A,[1]TDSheet!$A:$Y,25,0)</f>
        <v>-2</v>
      </c>
      <c r="Y44" s="13">
        <f>VLOOKUP(A:A,[1]TDSheet!$A:$Z,26,0)</f>
        <v>8.8000000000000007</v>
      </c>
      <c r="Z44" s="13">
        <f>VLOOKUP(A:A,[1]TDSheet!$A:$Q,17,0)</f>
        <v>80.400000000000006</v>
      </c>
      <c r="AA44" s="13">
        <f>VLOOKUP(A:A,[1]TDSheet!$A:$AA,27,0)</f>
        <v>0</v>
      </c>
      <c r="AB44" s="13">
        <f t="shared" si="6"/>
        <v>160</v>
      </c>
      <c r="AC44" s="13">
        <f>VLOOKUP(A:A,[1]TDSheet!$A:$AC,29,0)</f>
        <v>16</v>
      </c>
      <c r="AD44" s="13">
        <f t="shared" si="8"/>
        <v>24</v>
      </c>
      <c r="AE44" s="13">
        <f t="shared" si="7"/>
        <v>153.60000000000002</v>
      </c>
      <c r="AF44" s="13">
        <f>VLOOKUP(A:A,[1]TDSheet!$A:$AF,32,0)</f>
        <v>12</v>
      </c>
      <c r="AG44" s="13">
        <f>VLOOKUP(A:A,[1]TDSheet!$A:$AG,33,0)</f>
        <v>84</v>
      </c>
      <c r="AH44" s="13">
        <f t="shared" si="9"/>
        <v>0.2857142857142857</v>
      </c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</row>
    <row r="45" spans="1:109" ht="21.95" customHeight="1" x14ac:dyDescent="0.2">
      <c r="A45" s="9" t="s">
        <v>45</v>
      </c>
      <c r="B45" s="10" t="s">
        <v>10</v>
      </c>
      <c r="C45" s="9" t="str">
        <f>VLOOKUP(A:A,[1]TDSheet!$A:$C,3,0)</f>
        <v>P004345</v>
      </c>
      <c r="D45" s="11">
        <v>63</v>
      </c>
      <c r="E45" s="12">
        <v>769</v>
      </c>
      <c r="F45" s="12">
        <v>419</v>
      </c>
      <c r="G45" s="12">
        <v>397</v>
      </c>
      <c r="H45" s="29">
        <f>VLOOKUP(A:A,[1]TDSheet!$A:$H,8,0)</f>
        <v>0.7</v>
      </c>
      <c r="I45" s="13">
        <f>VLOOKUP(A:A,[1]TDSheet!$A:$I,9,0)</f>
        <v>180</v>
      </c>
      <c r="J45" s="13" t="str">
        <f>VLOOKUP(A:A,[1]TDSheet!$A:$J,10,0)</f>
        <v>матрица</v>
      </c>
      <c r="K45" s="13"/>
      <c r="L45" s="13">
        <f>VLOOKUP(A:A,[2]TDSheet!$A:$B,2,0)</f>
        <v>827</v>
      </c>
      <c r="M45" s="13">
        <f t="shared" si="2"/>
        <v>-408</v>
      </c>
      <c r="N45" s="13"/>
      <c r="O45" s="13"/>
      <c r="P45" s="13">
        <f>VLOOKUP(A:A,[1]TDSheet!$A:$R,18,0)</f>
        <v>1200</v>
      </c>
      <c r="Q45" s="13">
        <f t="shared" si="3"/>
        <v>83.8</v>
      </c>
      <c r="R45" s="30">
        <v>800</v>
      </c>
      <c r="S45" s="30"/>
      <c r="T45" s="13">
        <f>VLOOKUP(A:A,[3]TDSheet!$A:$T,20,0)</f>
        <v>0</v>
      </c>
      <c r="U45" s="13">
        <f t="shared" si="4"/>
        <v>28.603818615751791</v>
      </c>
      <c r="V45" s="13">
        <f t="shared" si="5"/>
        <v>4.7374701670644397</v>
      </c>
      <c r="W45" s="13">
        <f>VLOOKUP(A:A,[1]TDSheet!$A:$X,24,0)</f>
        <v>84.4</v>
      </c>
      <c r="X45" s="13">
        <f>VLOOKUP(A:A,[1]TDSheet!$A:$Y,25,0)</f>
        <v>0</v>
      </c>
      <c r="Y45" s="13">
        <f>VLOOKUP(A:A,[1]TDSheet!$A:$Z,26,0)</f>
        <v>0</v>
      </c>
      <c r="Z45" s="13">
        <f>VLOOKUP(A:A,[1]TDSheet!$A:$Q,17,0)</f>
        <v>131.4</v>
      </c>
      <c r="AA45" s="13" t="str">
        <f>VLOOKUP(A:A,[1]TDSheet!$A:$AA,27,0)</f>
        <v>Мера</v>
      </c>
      <c r="AB45" s="13">
        <f t="shared" si="6"/>
        <v>560</v>
      </c>
      <c r="AC45" s="13">
        <f>VLOOKUP(A:A,[1]TDSheet!$A:$AC,29,0)</f>
        <v>10</v>
      </c>
      <c r="AD45" s="13">
        <f t="shared" si="8"/>
        <v>84</v>
      </c>
      <c r="AE45" s="13">
        <f t="shared" si="7"/>
        <v>588</v>
      </c>
      <c r="AF45" s="13">
        <f>VLOOKUP(A:A,[1]TDSheet!$A:$AF,32,0)</f>
        <v>12</v>
      </c>
      <c r="AG45" s="13">
        <f>VLOOKUP(A:A,[1]TDSheet!$A:$AG,33,0)</f>
        <v>84</v>
      </c>
      <c r="AH45" s="13">
        <f t="shared" si="9"/>
        <v>1</v>
      </c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</row>
    <row r="46" spans="1:109" ht="21.95" customHeight="1" x14ac:dyDescent="0.2">
      <c r="A46" s="9" t="s">
        <v>46</v>
      </c>
      <c r="B46" s="10" t="s">
        <v>10</v>
      </c>
      <c r="C46" s="9" t="str">
        <f>VLOOKUP(A:A,[1]TDSheet!$A:$C,3,0)</f>
        <v>P004444</v>
      </c>
      <c r="D46" s="11">
        <v>114</v>
      </c>
      <c r="E46" s="12">
        <v>414</v>
      </c>
      <c r="F46" s="12">
        <v>345</v>
      </c>
      <c r="G46" s="12">
        <v>175</v>
      </c>
      <c r="H46" s="29">
        <f>VLOOKUP(A:A,[1]TDSheet!$A:$H,8,0)</f>
        <v>0.4</v>
      </c>
      <c r="I46" s="13">
        <f>VLOOKUP(A:A,[1]TDSheet!$A:$I,9,0)</f>
        <v>180</v>
      </c>
      <c r="J46" s="13" t="str">
        <f>VLOOKUP(A:A,[1]TDSheet!$A:$J,10,0)</f>
        <v>матрица</v>
      </c>
      <c r="K46" s="13"/>
      <c r="L46" s="13">
        <f>VLOOKUP(A:A,[2]TDSheet!$A:$B,2,0)</f>
        <v>434</v>
      </c>
      <c r="M46" s="13">
        <f t="shared" si="2"/>
        <v>-89</v>
      </c>
      <c r="N46" s="13"/>
      <c r="O46" s="13"/>
      <c r="P46" s="13">
        <f>VLOOKUP(A:A,[1]TDSheet!$A:$R,18,0)</f>
        <v>800</v>
      </c>
      <c r="Q46" s="13">
        <f t="shared" si="3"/>
        <v>69</v>
      </c>
      <c r="R46" s="30">
        <v>120</v>
      </c>
      <c r="S46" s="30"/>
      <c r="T46" s="13">
        <f>VLOOKUP(A:A,[3]TDSheet!$A:$T,20,0)</f>
        <v>0</v>
      </c>
      <c r="U46" s="13">
        <f t="shared" si="4"/>
        <v>15.869565217391305</v>
      </c>
      <c r="V46" s="13">
        <f t="shared" si="5"/>
        <v>2.5362318840579712</v>
      </c>
      <c r="W46" s="13">
        <f>VLOOKUP(A:A,[1]TDSheet!$A:$X,24,0)</f>
        <v>63.2</v>
      </c>
      <c r="X46" s="13">
        <f>VLOOKUP(A:A,[1]TDSheet!$A:$Y,25,0)</f>
        <v>14.2</v>
      </c>
      <c r="Y46" s="13">
        <f>VLOOKUP(A:A,[1]TDSheet!$A:$Z,26,0)</f>
        <v>0</v>
      </c>
      <c r="Z46" s="13">
        <f>VLOOKUP(A:A,[1]TDSheet!$A:$Q,17,0)</f>
        <v>92.4</v>
      </c>
      <c r="AA46" s="13">
        <f>VLOOKUP(A:A,[1]TDSheet!$A:$AA,27,0)</f>
        <v>0</v>
      </c>
      <c r="AB46" s="13">
        <f t="shared" si="6"/>
        <v>48</v>
      </c>
      <c r="AC46" s="13">
        <f>VLOOKUP(A:A,[1]TDSheet!$A:$AC,29,0)</f>
        <v>16</v>
      </c>
      <c r="AD46" s="13">
        <f t="shared" si="8"/>
        <v>12</v>
      </c>
      <c r="AE46" s="13">
        <f t="shared" si="7"/>
        <v>76.800000000000011</v>
      </c>
      <c r="AF46" s="13">
        <f>VLOOKUP(A:A,[1]TDSheet!$A:$AF,32,0)</f>
        <v>12</v>
      </c>
      <c r="AG46" s="13">
        <f>VLOOKUP(A:A,[1]TDSheet!$A:$AG,33,0)</f>
        <v>84</v>
      </c>
      <c r="AH46" s="13">
        <f t="shared" si="9"/>
        <v>0.14285714285714285</v>
      </c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</row>
    <row r="47" spans="1:109" ht="21.95" customHeight="1" x14ac:dyDescent="0.2">
      <c r="A47" s="31" t="s">
        <v>47</v>
      </c>
      <c r="B47" s="32" t="s">
        <v>10</v>
      </c>
      <c r="C47" s="31" t="str">
        <f>VLOOKUP(A:A,[1]TDSheet!$A:$C,3,0)</f>
        <v>P004346</v>
      </c>
      <c r="D47" s="33">
        <v>74</v>
      </c>
      <c r="E47" s="34">
        <v>763</v>
      </c>
      <c r="F47" s="34">
        <v>627</v>
      </c>
      <c r="G47" s="34">
        <v>193</v>
      </c>
      <c r="H47" s="35">
        <f>VLOOKUP(A:A,[1]TDSheet!$A:$H,8,0)</f>
        <v>0.7</v>
      </c>
      <c r="I47" s="36">
        <f>VLOOKUP(A:A,[1]TDSheet!$A:$I,9,0)</f>
        <v>180</v>
      </c>
      <c r="J47" s="36" t="str">
        <f>VLOOKUP(A:A,[1]TDSheet!$A:$J,10,0)</f>
        <v>матрица</v>
      </c>
      <c r="K47" s="13"/>
      <c r="L47" s="13">
        <f>VLOOKUP(A:A,[2]TDSheet!$A:$B,2,0)</f>
        <v>855</v>
      </c>
      <c r="M47" s="13">
        <f t="shared" si="2"/>
        <v>-228</v>
      </c>
      <c r="N47" s="13"/>
      <c r="O47" s="13"/>
      <c r="P47" s="13">
        <f>VLOOKUP(A:A,[1]TDSheet!$A:$R,18,0)</f>
        <v>1300</v>
      </c>
      <c r="Q47" s="13">
        <f t="shared" si="3"/>
        <v>125.4</v>
      </c>
      <c r="R47" s="30">
        <v>1200</v>
      </c>
      <c r="S47" s="30"/>
      <c r="T47" s="13">
        <f>VLOOKUP(A:A,[3]TDSheet!$A:$T,20,0)</f>
        <v>0</v>
      </c>
      <c r="U47" s="13">
        <f t="shared" si="4"/>
        <v>21.475279106858054</v>
      </c>
      <c r="V47" s="13">
        <f t="shared" si="5"/>
        <v>1.5390749601275917</v>
      </c>
      <c r="W47" s="13">
        <f>VLOOKUP(A:A,[1]TDSheet!$A:$X,24,0)</f>
        <v>26</v>
      </c>
      <c r="X47" s="13">
        <f>VLOOKUP(A:A,[1]TDSheet!$A:$Y,25,0)</f>
        <v>8</v>
      </c>
      <c r="Y47" s="13">
        <f>VLOOKUP(A:A,[1]TDSheet!$A:$Z,26,0)</f>
        <v>14</v>
      </c>
      <c r="Z47" s="13">
        <f>VLOOKUP(A:A,[1]TDSheet!$A:$Q,17,0)</f>
        <v>137.80000000000001</v>
      </c>
      <c r="AA47" s="13" t="str">
        <f>VLOOKUP(A:A,[1]TDSheet!$A:$AA,27,0)</f>
        <v>Мера</v>
      </c>
      <c r="AB47" s="13">
        <f t="shared" si="6"/>
        <v>840</v>
      </c>
      <c r="AC47" s="13">
        <f>VLOOKUP(A:A,[1]TDSheet!$A:$AC,29,0)</f>
        <v>10</v>
      </c>
      <c r="AD47" s="13">
        <f t="shared" si="8"/>
        <v>120</v>
      </c>
      <c r="AE47" s="13">
        <f t="shared" si="7"/>
        <v>840</v>
      </c>
      <c r="AF47" s="13">
        <f>VLOOKUP(A:A,[1]TDSheet!$A:$AF,32,0)</f>
        <v>12</v>
      </c>
      <c r="AG47" s="13">
        <f>VLOOKUP(A:A,[1]TDSheet!$A:$AG,33,0)</f>
        <v>84</v>
      </c>
      <c r="AH47" s="13">
        <f t="shared" si="9"/>
        <v>1.4285714285714286</v>
      </c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</row>
    <row r="48" spans="1:109" ht="21.95" customHeight="1" x14ac:dyDescent="0.2">
      <c r="A48" s="9" t="s">
        <v>48</v>
      </c>
      <c r="B48" s="10" t="s">
        <v>10</v>
      </c>
      <c r="C48" s="9" t="str">
        <f>VLOOKUP(A:A,[1]TDSheet!$A:$C,3,0)</f>
        <v>P004060</v>
      </c>
      <c r="D48" s="11">
        <v>212</v>
      </c>
      <c r="E48" s="12">
        <v>150</v>
      </c>
      <c r="F48" s="12">
        <v>325</v>
      </c>
      <c r="G48" s="12">
        <v>-1</v>
      </c>
      <c r="H48" s="29">
        <f>VLOOKUP(A:A,[1]TDSheet!$A:$H,8,0)</f>
        <v>0.7</v>
      </c>
      <c r="I48" s="13">
        <f>VLOOKUP(A:A,[1]TDSheet!$A:$I,9,0)</f>
        <v>180</v>
      </c>
      <c r="J48" s="13" t="str">
        <f>VLOOKUP(A:A,[1]TDSheet!$A:$J,10,0)</f>
        <v>матрица</v>
      </c>
      <c r="K48" s="13"/>
      <c r="L48" s="13">
        <f>VLOOKUP(A:A,[2]TDSheet!$A:$B,2,0)</f>
        <v>333</v>
      </c>
      <c r="M48" s="13">
        <f t="shared" si="2"/>
        <v>-8</v>
      </c>
      <c r="N48" s="13"/>
      <c r="O48" s="13"/>
      <c r="P48" s="13">
        <f>VLOOKUP(A:A,[1]TDSheet!$A:$R,18,0)</f>
        <v>500</v>
      </c>
      <c r="Q48" s="13">
        <f t="shared" si="3"/>
        <v>65</v>
      </c>
      <c r="R48" s="30">
        <v>600</v>
      </c>
      <c r="S48" s="30">
        <f>VLOOKUP(A:A,[3]TDSheet!$A:$S,19,0)</f>
        <v>500</v>
      </c>
      <c r="T48" s="13">
        <f>VLOOKUP(A:A,[3]TDSheet!$A:$T,20,0)</f>
        <v>0</v>
      </c>
      <c r="U48" s="13">
        <f t="shared" si="4"/>
        <v>16.907692307692308</v>
      </c>
      <c r="V48" s="13">
        <f t="shared" si="5"/>
        <v>-1.5384615384615385E-2</v>
      </c>
      <c r="W48" s="13">
        <f>VLOOKUP(A:A,[1]TDSheet!$A:$X,24,0)</f>
        <v>13.2</v>
      </c>
      <c r="X48" s="13">
        <f>VLOOKUP(A:A,[1]TDSheet!$A:$Y,25,0)</f>
        <v>0</v>
      </c>
      <c r="Y48" s="13">
        <f>VLOOKUP(A:A,[1]TDSheet!$A:$Z,26,0)</f>
        <v>25</v>
      </c>
      <c r="Z48" s="13">
        <f>VLOOKUP(A:A,[1]TDSheet!$A:$Q,17,0)</f>
        <v>68.599999999999994</v>
      </c>
      <c r="AA48" s="13">
        <f>VLOOKUP(A:A,[1]TDSheet!$A:$AA,27,0)</f>
        <v>0</v>
      </c>
      <c r="AB48" s="13">
        <f t="shared" si="6"/>
        <v>420</v>
      </c>
      <c r="AC48" s="13">
        <f>VLOOKUP(A:A,[1]TDSheet!$A:$AC,29,0)</f>
        <v>10</v>
      </c>
      <c r="AD48" s="13">
        <f t="shared" si="8"/>
        <v>60</v>
      </c>
      <c r="AE48" s="13">
        <f t="shared" si="7"/>
        <v>420</v>
      </c>
      <c r="AF48" s="13">
        <f>VLOOKUP(A:A,[1]TDSheet!$A:$AF,32,0)</f>
        <v>12</v>
      </c>
      <c r="AG48" s="13">
        <f>VLOOKUP(A:A,[1]TDSheet!$A:$AG,33,0)</f>
        <v>84</v>
      </c>
      <c r="AH48" s="13">
        <f t="shared" si="9"/>
        <v>0.7142857142857143</v>
      </c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</row>
    <row r="49" spans="1:109" ht="11.1" customHeight="1" x14ac:dyDescent="0.2">
      <c r="A49" s="9" t="s">
        <v>49</v>
      </c>
      <c r="B49" s="10" t="s">
        <v>10</v>
      </c>
      <c r="C49" s="9" t="str">
        <f>VLOOKUP(A:A,[1]TDSheet!$A:$C,3,0)</f>
        <v>P005048</v>
      </c>
      <c r="D49" s="11">
        <v>120</v>
      </c>
      <c r="E49" s="12">
        <v>38</v>
      </c>
      <c r="F49" s="12">
        <v>92</v>
      </c>
      <c r="G49" s="12">
        <v>13</v>
      </c>
      <c r="H49" s="29">
        <f>VLOOKUP(A:A,[1]TDSheet!$A:$H,8,0)</f>
        <v>1</v>
      </c>
      <c r="I49" s="13">
        <f>VLOOKUP(A:A,[1]TDSheet!$A:$I,9,0)</f>
        <v>0</v>
      </c>
      <c r="J49" s="13">
        <f>VLOOKUP(A:A,[1]TDSheet!$A:$J,10,0)</f>
        <v>0</v>
      </c>
      <c r="K49" s="13"/>
      <c r="L49" s="13">
        <f>VLOOKUP(A:A,[2]TDSheet!$A:$B,2,0)</f>
        <v>211</v>
      </c>
      <c r="M49" s="13">
        <f t="shared" si="2"/>
        <v>-119</v>
      </c>
      <c r="N49" s="13"/>
      <c r="O49" s="13"/>
      <c r="P49" s="13">
        <f>VLOOKUP(A:A,[1]TDSheet!$A:$R,18,0)</f>
        <v>360</v>
      </c>
      <c r="Q49" s="13">
        <f t="shared" si="3"/>
        <v>18.399999999999999</v>
      </c>
      <c r="R49" s="30">
        <v>500</v>
      </c>
      <c r="S49" s="30">
        <f>VLOOKUP(A:A,[3]TDSheet!$A:$S,19,0)</f>
        <v>500</v>
      </c>
      <c r="T49" s="13">
        <f>VLOOKUP(A:A,[3]TDSheet!$A:$T,20,0)</f>
        <v>0</v>
      </c>
      <c r="U49" s="13">
        <f t="shared" si="4"/>
        <v>47.445652173913047</v>
      </c>
      <c r="V49" s="13">
        <f t="shared" si="5"/>
        <v>0.70652173913043481</v>
      </c>
      <c r="W49" s="13">
        <f>VLOOKUP(A:A,[1]TDSheet!$A:$X,24,0)</f>
        <v>10.199999999999999</v>
      </c>
      <c r="X49" s="13">
        <f>VLOOKUP(A:A,[1]TDSheet!$A:$Y,25,0)</f>
        <v>0</v>
      </c>
      <c r="Y49" s="13">
        <f>VLOOKUP(A:A,[1]TDSheet!$A:$Z,26,0)</f>
        <v>0</v>
      </c>
      <c r="Z49" s="13">
        <f>VLOOKUP(A:A,[1]TDSheet!$A:$Q,17,0)</f>
        <v>36</v>
      </c>
      <c r="AA49" s="13">
        <f>VLOOKUP(A:A,[1]TDSheet!$A:$AA,27,0)</f>
        <v>0</v>
      </c>
      <c r="AB49" s="13">
        <f t="shared" si="6"/>
        <v>500</v>
      </c>
      <c r="AC49" s="13">
        <f>VLOOKUP(A:A,[1]TDSheet!$A:$AC,29,0)</f>
        <v>5</v>
      </c>
      <c r="AD49" s="13">
        <f t="shared" si="8"/>
        <v>96</v>
      </c>
      <c r="AE49" s="13">
        <f t="shared" si="7"/>
        <v>480</v>
      </c>
      <c r="AF49" s="13">
        <f>VLOOKUP(A:A,[1]TDSheet!$A:$AF,32,0)</f>
        <v>12</v>
      </c>
      <c r="AG49" s="13">
        <f>VLOOKUP(A:A,[1]TDSheet!$A:$AG,33,0)</f>
        <v>84</v>
      </c>
      <c r="AH49" s="13">
        <f t="shared" si="9"/>
        <v>1.1428571428571428</v>
      </c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</row>
    <row r="50" spans="1:109" ht="21.95" customHeight="1" x14ac:dyDescent="0.2">
      <c r="A50" s="9" t="s">
        <v>50</v>
      </c>
      <c r="B50" s="10" t="s">
        <v>10</v>
      </c>
      <c r="C50" s="9" t="str">
        <f>VLOOKUP(A:A,[1]TDSheet!$A:$C,3,0)</f>
        <v>P005107</v>
      </c>
      <c r="D50" s="11">
        <v>-4</v>
      </c>
      <c r="E50" s="12">
        <v>8</v>
      </c>
      <c r="F50" s="12">
        <v>8</v>
      </c>
      <c r="G50" s="12">
        <v>-4</v>
      </c>
      <c r="H50" s="29">
        <f>VLOOKUP(A:A,[1]TDSheet!$A:$H,8,0)</f>
        <v>0.9</v>
      </c>
      <c r="I50" s="13">
        <f>VLOOKUP(A:A,[1]TDSheet!$A:$I,9,0)</f>
        <v>180</v>
      </c>
      <c r="J50" s="13" t="str">
        <f>VLOOKUP(A:A,[1]TDSheet!$A:$J,10,0)</f>
        <v>матрица</v>
      </c>
      <c r="K50" s="13"/>
      <c r="L50" s="13">
        <f>VLOOKUP(A:A,[2]TDSheet!$A:$B,2,0)</f>
        <v>161</v>
      </c>
      <c r="M50" s="13">
        <f t="shared" si="2"/>
        <v>-153</v>
      </c>
      <c r="N50" s="13"/>
      <c r="O50" s="13"/>
      <c r="P50" s="13">
        <f>VLOOKUP(A:A,[1]TDSheet!$A:$R,18,0)</f>
        <v>400</v>
      </c>
      <c r="Q50" s="13">
        <f t="shared" si="3"/>
        <v>1.6</v>
      </c>
      <c r="R50" s="30">
        <v>200</v>
      </c>
      <c r="S50" s="30">
        <f>VLOOKUP(A:A,[3]TDSheet!$A:$S,19,0)</f>
        <v>200</v>
      </c>
      <c r="T50" s="13">
        <f>VLOOKUP(A:A,[3]TDSheet!$A:$T,20,0)</f>
        <v>0</v>
      </c>
      <c r="U50" s="13">
        <f t="shared" si="4"/>
        <v>372.5</v>
      </c>
      <c r="V50" s="13">
        <f t="shared" si="5"/>
        <v>-2.5</v>
      </c>
      <c r="W50" s="13">
        <f>VLOOKUP(A:A,[1]TDSheet!$A:$X,24,0)</f>
        <v>49.6</v>
      </c>
      <c r="X50" s="13">
        <f>VLOOKUP(A:A,[1]TDSheet!$A:$Y,25,0)</f>
        <v>0</v>
      </c>
      <c r="Y50" s="13">
        <f>VLOOKUP(A:A,[1]TDSheet!$A:$Z,26,0)</f>
        <v>5.2</v>
      </c>
      <c r="Z50" s="13">
        <f>VLOOKUP(A:A,[1]TDSheet!$A:$Q,17,0)</f>
        <v>50</v>
      </c>
      <c r="AA50" s="13" t="str">
        <f>VLOOKUP(A:A,[1]TDSheet!$A:$AA,27,0)</f>
        <v>сети</v>
      </c>
      <c r="AB50" s="13">
        <f t="shared" si="6"/>
        <v>180</v>
      </c>
      <c r="AC50" s="13">
        <f>VLOOKUP(A:A,[1]TDSheet!$A:$AC,29,0)</f>
        <v>8</v>
      </c>
      <c r="AD50" s="13">
        <f t="shared" si="8"/>
        <v>24</v>
      </c>
      <c r="AE50" s="13">
        <f t="shared" si="7"/>
        <v>172.8</v>
      </c>
      <c r="AF50" s="13">
        <f>VLOOKUP(A:A,[1]TDSheet!$A:$AF,32,0)</f>
        <v>12</v>
      </c>
      <c r="AG50" s="13">
        <f>VLOOKUP(A:A,[1]TDSheet!$A:$AG,33,0)</f>
        <v>84</v>
      </c>
      <c r="AH50" s="13">
        <f t="shared" si="9"/>
        <v>0.2857142857142857</v>
      </c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</row>
    <row r="51" spans="1:109" ht="21.95" customHeight="1" x14ac:dyDescent="0.2">
      <c r="A51" s="9" t="s">
        <v>51</v>
      </c>
      <c r="B51" s="10" t="s">
        <v>10</v>
      </c>
      <c r="C51" s="9" t="str">
        <f>VLOOKUP(A:A,[1]TDSheet!$A:$C,3,0)</f>
        <v>P005103</v>
      </c>
      <c r="D51" s="11"/>
      <c r="E51" s="12">
        <v>8</v>
      </c>
      <c r="F51" s="12">
        <v>44</v>
      </c>
      <c r="G51" s="12">
        <v>-4</v>
      </c>
      <c r="H51" s="29">
        <f>VLOOKUP(A:A,[1]TDSheet!$A:$H,8,0)</f>
        <v>0.9</v>
      </c>
      <c r="I51" s="13">
        <f>VLOOKUP(A:A,[1]TDSheet!$A:$I,9,0)</f>
        <v>180</v>
      </c>
      <c r="J51" s="13" t="str">
        <f>VLOOKUP(A:A,[1]TDSheet!$A:$J,10,0)</f>
        <v>матрица</v>
      </c>
      <c r="K51" s="13"/>
      <c r="L51" s="13">
        <f>VLOOKUP(A:A,[2]TDSheet!$A:$B,2,0)</f>
        <v>221</v>
      </c>
      <c r="M51" s="13">
        <f t="shared" si="2"/>
        <v>-177</v>
      </c>
      <c r="N51" s="13"/>
      <c r="O51" s="13"/>
      <c r="P51" s="13">
        <f>VLOOKUP(A:A,[1]TDSheet!$A:$R,18,0)</f>
        <v>400</v>
      </c>
      <c r="Q51" s="13">
        <f t="shared" si="3"/>
        <v>8.8000000000000007</v>
      </c>
      <c r="R51" s="30">
        <v>200</v>
      </c>
      <c r="S51" s="30">
        <f>VLOOKUP(A:A,[3]TDSheet!$A:$S,19,0)</f>
        <v>200</v>
      </c>
      <c r="T51" s="13">
        <f>VLOOKUP(A:A,[3]TDSheet!$A:$T,20,0)</f>
        <v>0</v>
      </c>
      <c r="U51" s="13">
        <f t="shared" si="4"/>
        <v>67.72727272727272</v>
      </c>
      <c r="V51" s="13">
        <f t="shared" si="5"/>
        <v>-0.45454545454545453</v>
      </c>
      <c r="W51" s="13">
        <f>VLOOKUP(A:A,[1]TDSheet!$A:$X,24,0)</f>
        <v>36</v>
      </c>
      <c r="X51" s="13">
        <f>VLOOKUP(A:A,[1]TDSheet!$A:$Y,25,0)</f>
        <v>1.2</v>
      </c>
      <c r="Y51" s="13">
        <f>VLOOKUP(A:A,[1]TDSheet!$A:$Z,26,0)</f>
        <v>5.2</v>
      </c>
      <c r="Z51" s="13">
        <f>VLOOKUP(A:A,[1]TDSheet!$A:$Q,17,0)</f>
        <v>49.2</v>
      </c>
      <c r="AA51" s="13" t="str">
        <f>VLOOKUP(A:A,[1]TDSheet!$A:$AA,27,0)</f>
        <v>сети</v>
      </c>
      <c r="AB51" s="13">
        <f t="shared" si="6"/>
        <v>180</v>
      </c>
      <c r="AC51" s="13">
        <f>VLOOKUP(A:A,[1]TDSheet!$A:$AC,29,0)</f>
        <v>8</v>
      </c>
      <c r="AD51" s="13">
        <f t="shared" si="8"/>
        <v>24</v>
      </c>
      <c r="AE51" s="13">
        <f t="shared" si="7"/>
        <v>172.8</v>
      </c>
      <c r="AF51" s="13">
        <f>VLOOKUP(A:A,[1]TDSheet!$A:$AF,32,0)</f>
        <v>12</v>
      </c>
      <c r="AG51" s="13">
        <f>VLOOKUP(A:A,[1]TDSheet!$A:$AG,33,0)</f>
        <v>84</v>
      </c>
      <c r="AH51" s="13">
        <f t="shared" si="9"/>
        <v>0.2857142857142857</v>
      </c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</row>
    <row r="52" spans="1:109" ht="11.1" customHeight="1" x14ac:dyDescent="0.2">
      <c r="A52" s="9" t="s">
        <v>52</v>
      </c>
      <c r="B52" s="10" t="s">
        <v>10</v>
      </c>
      <c r="C52" s="9" t="str">
        <f>VLOOKUP(A:A,[1]TDSheet!$A:$C,3,0)</f>
        <v>P004081</v>
      </c>
      <c r="D52" s="11"/>
      <c r="E52" s="12"/>
      <c r="F52" s="12">
        <v>5</v>
      </c>
      <c r="G52" s="12">
        <v>-5</v>
      </c>
      <c r="H52" s="29">
        <f>VLOOKUP(A:A,[1]TDSheet!$A:$H,8,0)</f>
        <v>1</v>
      </c>
      <c r="I52" s="13">
        <f>VLOOKUP(A:A,[1]TDSheet!$A:$I,9,0)</f>
        <v>0</v>
      </c>
      <c r="J52" s="13">
        <f>VLOOKUP(A:A,[1]TDSheet!$A:$J,10,0)</f>
        <v>0</v>
      </c>
      <c r="K52" s="13"/>
      <c r="L52" s="13">
        <f>VLOOKUP(A:A,[2]TDSheet!$A:$B,2,0)</f>
        <v>320</v>
      </c>
      <c r="M52" s="13">
        <f t="shared" si="2"/>
        <v>-315</v>
      </c>
      <c r="N52" s="13"/>
      <c r="O52" s="13"/>
      <c r="P52" s="13">
        <f>VLOOKUP(A:A,[1]TDSheet!$A:$R,18,0)</f>
        <v>350</v>
      </c>
      <c r="Q52" s="13">
        <f t="shared" si="3"/>
        <v>1</v>
      </c>
      <c r="R52" s="30">
        <v>360</v>
      </c>
      <c r="S52" s="30"/>
      <c r="T52" s="13">
        <f>VLOOKUP(A:A,[3]TDSheet!$A:$T,20,0)</f>
        <v>0</v>
      </c>
      <c r="U52" s="13">
        <f t="shared" si="4"/>
        <v>705</v>
      </c>
      <c r="V52" s="13">
        <f t="shared" si="5"/>
        <v>-5</v>
      </c>
      <c r="W52" s="13">
        <f>VLOOKUP(A:A,[1]TDSheet!$A:$X,24,0)</f>
        <v>91.4</v>
      </c>
      <c r="X52" s="13">
        <f>VLOOKUP(A:A,[1]TDSheet!$A:$Y,25,0)</f>
        <v>0</v>
      </c>
      <c r="Y52" s="13">
        <f>VLOOKUP(A:A,[1]TDSheet!$A:$Z,26,0)</f>
        <v>0</v>
      </c>
      <c r="Z52" s="13">
        <f>VLOOKUP(A:A,[1]TDSheet!$A:$Q,17,0)</f>
        <v>48</v>
      </c>
      <c r="AA52" s="13" t="str">
        <f>VLOOKUP(A:A,[1]TDSheet!$A:$AA,27,0)</f>
        <v>сети</v>
      </c>
      <c r="AB52" s="13">
        <f t="shared" si="6"/>
        <v>360</v>
      </c>
      <c r="AC52" s="13">
        <f>VLOOKUP(A:A,[1]TDSheet!$A:$AC,29,0)</f>
        <v>6</v>
      </c>
      <c r="AD52" s="13">
        <f t="shared" si="8"/>
        <v>60</v>
      </c>
      <c r="AE52" s="13">
        <f t="shared" si="7"/>
        <v>360</v>
      </c>
      <c r="AF52" s="13">
        <f>VLOOKUP(A:A,[1]TDSheet!$A:$AF,32,0)</f>
        <v>12</v>
      </c>
      <c r="AG52" s="13">
        <f>VLOOKUP(A:A,[1]TDSheet!$A:$AG,33,0)</f>
        <v>84</v>
      </c>
      <c r="AH52" s="13">
        <f t="shared" si="9"/>
        <v>0.7142857142857143</v>
      </c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</row>
    <row r="53" spans="1:109" ht="11.1" customHeight="1" x14ac:dyDescent="0.2">
      <c r="A53" s="38" t="s">
        <v>53</v>
      </c>
      <c r="B53" s="39" t="s">
        <v>25</v>
      </c>
      <c r="C53" s="38" t="str">
        <f>VLOOKUP(A:A,[1]TDSheet!$A:$C,3,0)</f>
        <v>P004359</v>
      </c>
      <c r="D53" s="40">
        <v>270.10000000000002</v>
      </c>
      <c r="E53" s="41"/>
      <c r="F53" s="41">
        <v>0</v>
      </c>
      <c r="G53" s="41">
        <v>270.10000000000002</v>
      </c>
      <c r="H53" s="42">
        <f>VLOOKUP(A:A,[1]TDSheet!$A:$H,8,0)</f>
        <v>1</v>
      </c>
      <c r="I53" s="43">
        <f>VLOOKUP(A:A,[1]TDSheet!$A:$I,9,0)</f>
        <v>0</v>
      </c>
      <c r="J53" s="43">
        <f>VLOOKUP(A:A,[1]TDSheet!$A:$J,10,0)</f>
        <v>0</v>
      </c>
      <c r="K53" s="13"/>
      <c r="L53" s="13">
        <v>0</v>
      </c>
      <c r="M53" s="13">
        <f t="shared" si="2"/>
        <v>0</v>
      </c>
      <c r="N53" s="13"/>
      <c r="O53" s="13"/>
      <c r="P53" s="13">
        <f>VLOOKUP(A:A,[1]TDSheet!$A:$R,18,0)</f>
        <v>0</v>
      </c>
      <c r="Q53" s="13">
        <f t="shared" si="3"/>
        <v>0</v>
      </c>
      <c r="R53" s="30"/>
      <c r="S53" s="30"/>
      <c r="T53" s="13">
        <f>VLOOKUP(A:A,[3]TDSheet!$A:$T,20,0)</f>
        <v>0</v>
      </c>
      <c r="U53" s="13" t="e">
        <f t="shared" si="4"/>
        <v>#DIV/0!</v>
      </c>
      <c r="V53" s="13" t="e">
        <f t="shared" si="5"/>
        <v>#DIV/0!</v>
      </c>
      <c r="W53" s="13">
        <f>VLOOKUP(A:A,[1]TDSheet!$A:$X,24,0)</f>
        <v>3.8</v>
      </c>
      <c r="X53" s="13">
        <f>VLOOKUP(A:A,[1]TDSheet!$A:$Y,25,0)</f>
        <v>2.96</v>
      </c>
      <c r="Y53" s="13">
        <f>VLOOKUP(A:A,[1]TDSheet!$A:$Z,26,0)</f>
        <v>1.48</v>
      </c>
      <c r="Z53" s="13">
        <f>VLOOKUP(A:A,[1]TDSheet!$A:$Q,17,0)</f>
        <v>0.74</v>
      </c>
      <c r="AA53" s="13">
        <f>VLOOKUP(A:A,[1]TDSheet!$A:$AA,27,0)</f>
        <v>0</v>
      </c>
      <c r="AB53" s="13">
        <f t="shared" si="6"/>
        <v>0</v>
      </c>
      <c r="AC53" s="13">
        <f>VLOOKUP(A:A,[1]TDSheet!$A:$AC,29,0)</f>
        <v>3.7</v>
      </c>
      <c r="AD53" s="13">
        <f t="shared" si="8"/>
        <v>0</v>
      </c>
      <c r="AE53" s="13">
        <f t="shared" si="7"/>
        <v>0</v>
      </c>
      <c r="AF53" s="13">
        <f>VLOOKUP(A:A,[1]TDSheet!$A:$AF,32,0)</f>
        <v>14</v>
      </c>
      <c r="AG53" s="13">
        <f>VLOOKUP(A:A,[1]TDSheet!$A:$AG,33,0)</f>
        <v>126</v>
      </c>
      <c r="AH53" s="13">
        <f t="shared" si="9"/>
        <v>0</v>
      </c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</row>
    <row r="54" spans="1:109" ht="11.1" customHeight="1" x14ac:dyDescent="0.2">
      <c r="A54" s="9" t="s">
        <v>54</v>
      </c>
      <c r="B54" s="10" t="s">
        <v>10</v>
      </c>
      <c r="C54" s="9" t="str">
        <f>VLOOKUP(A:A,[1]TDSheet!$A:$C,3,0)</f>
        <v>P005182</v>
      </c>
      <c r="D54" s="11">
        <v>247</v>
      </c>
      <c r="E54" s="12">
        <v>9</v>
      </c>
      <c r="F54" s="12">
        <v>191</v>
      </c>
      <c r="G54" s="12">
        <v>12</v>
      </c>
      <c r="H54" s="29">
        <f>VLOOKUP(A:A,[1]TDSheet!$A:$H,8,0)</f>
        <v>0.23</v>
      </c>
      <c r="I54" s="13">
        <f>VLOOKUP(A:A,[1]TDSheet!$A:$I,9,0)</f>
        <v>0</v>
      </c>
      <c r="J54" s="13">
        <f>VLOOKUP(A:A,[1]TDSheet!$A:$J,10,0)</f>
        <v>0</v>
      </c>
      <c r="K54" s="13"/>
      <c r="L54" s="13">
        <f>VLOOKUP(A:A,[2]TDSheet!$A:$B,2,0)</f>
        <v>200</v>
      </c>
      <c r="M54" s="13">
        <f t="shared" si="2"/>
        <v>-9</v>
      </c>
      <c r="N54" s="13"/>
      <c r="O54" s="13"/>
      <c r="P54" s="13">
        <f>VLOOKUP(A:A,[1]TDSheet!$A:$R,18,0)</f>
        <v>400</v>
      </c>
      <c r="Q54" s="13">
        <f t="shared" si="3"/>
        <v>38.200000000000003</v>
      </c>
      <c r="R54" s="30">
        <v>160</v>
      </c>
      <c r="S54" s="30"/>
      <c r="T54" s="13">
        <f>VLOOKUP(A:A,[3]TDSheet!$A:$T,20,0)</f>
        <v>0</v>
      </c>
      <c r="U54" s="13">
        <f t="shared" si="4"/>
        <v>14.973821989528794</v>
      </c>
      <c r="V54" s="13">
        <f t="shared" si="5"/>
        <v>0.31413612565445026</v>
      </c>
      <c r="W54" s="13">
        <f>VLOOKUP(A:A,[1]TDSheet!$A:$X,24,0)</f>
        <v>21.6</v>
      </c>
      <c r="X54" s="13">
        <f>VLOOKUP(A:A,[1]TDSheet!$A:$Y,25,0)</f>
        <v>0</v>
      </c>
      <c r="Y54" s="13">
        <f>VLOOKUP(A:A,[1]TDSheet!$A:$Z,26,0)</f>
        <v>0</v>
      </c>
      <c r="Z54" s="13">
        <f>VLOOKUP(A:A,[1]TDSheet!$A:$Q,17,0)</f>
        <v>51.4</v>
      </c>
      <c r="AA54" s="13" t="e">
        <f>VLOOKUP(A:A,[1]TDSheet!$A:$AA,27,0)</f>
        <v>#N/A</v>
      </c>
      <c r="AB54" s="13">
        <f t="shared" si="6"/>
        <v>36.800000000000004</v>
      </c>
      <c r="AC54" s="13">
        <f>VLOOKUP(A:A,[1]TDSheet!$A:$AC,29,0)</f>
        <v>7</v>
      </c>
      <c r="AD54" s="13">
        <f t="shared" si="8"/>
        <v>28</v>
      </c>
      <c r="AE54" s="13">
        <f t="shared" si="7"/>
        <v>45.080000000000005</v>
      </c>
      <c r="AF54" s="13">
        <f>VLOOKUP(A:A,[1]TDSheet!$A:$AF,32,0)</f>
        <v>14</v>
      </c>
      <c r="AG54" s="13">
        <f>VLOOKUP(A:A,[1]TDSheet!$A:$AG,33,0)</f>
        <v>140</v>
      </c>
      <c r="AH54" s="13">
        <f t="shared" si="9"/>
        <v>0.2</v>
      </c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</row>
    <row r="55" spans="1:109" ht="11.1" customHeight="1" x14ac:dyDescent="0.2">
      <c r="A55" s="9" t="s">
        <v>55</v>
      </c>
      <c r="B55" s="10" t="s">
        <v>10</v>
      </c>
      <c r="C55" s="9" t="str">
        <f>VLOOKUP(A:A,[1]TDSheet!$A:$C,3,0)</f>
        <v>P005058</v>
      </c>
      <c r="D55" s="11">
        <v>-14</v>
      </c>
      <c r="E55" s="12">
        <v>842</v>
      </c>
      <c r="F55" s="12">
        <v>130</v>
      </c>
      <c r="G55" s="12">
        <v>698</v>
      </c>
      <c r="H55" s="29">
        <f>VLOOKUP(A:A,[1]TDSheet!$A:$H,8,0)</f>
        <v>0.25</v>
      </c>
      <c r="I55" s="13">
        <f>VLOOKUP(A:A,[1]TDSheet!$A:$I,9,0)</f>
        <v>180</v>
      </c>
      <c r="J55" s="13" t="str">
        <f>VLOOKUP(A:A,[1]TDSheet!$A:$J,10,0)</f>
        <v>матрица</v>
      </c>
      <c r="K55" s="13"/>
      <c r="L55" s="13">
        <f>VLOOKUP(A:A,[2]TDSheet!$A:$B,2,0)</f>
        <v>128</v>
      </c>
      <c r="M55" s="13">
        <f t="shared" si="2"/>
        <v>2</v>
      </c>
      <c r="N55" s="13"/>
      <c r="O55" s="13"/>
      <c r="P55" s="13">
        <f>VLOOKUP(A:A,[1]TDSheet!$A:$R,18,0)</f>
        <v>700</v>
      </c>
      <c r="Q55" s="13">
        <f t="shared" si="3"/>
        <v>26</v>
      </c>
      <c r="R55" s="30"/>
      <c r="S55" s="30"/>
      <c r="T55" s="13">
        <f>VLOOKUP(A:A,[3]TDSheet!$A:$T,20,0)</f>
        <v>0</v>
      </c>
      <c r="U55" s="13">
        <f t="shared" si="4"/>
        <v>53.769230769230766</v>
      </c>
      <c r="V55" s="13">
        <f t="shared" si="5"/>
        <v>26.846153846153847</v>
      </c>
      <c r="W55" s="13">
        <f>VLOOKUP(A:A,[1]TDSheet!$A:$X,24,0)</f>
        <v>39.6</v>
      </c>
      <c r="X55" s="13">
        <f>VLOOKUP(A:A,[1]TDSheet!$A:$Y,25,0)</f>
        <v>17.399999999999999</v>
      </c>
      <c r="Y55" s="13">
        <f>VLOOKUP(A:A,[1]TDSheet!$A:$Z,26,0)</f>
        <v>53.4</v>
      </c>
      <c r="Z55" s="13">
        <f>VLOOKUP(A:A,[1]TDSheet!$A:$Q,17,0)</f>
        <v>14.6</v>
      </c>
      <c r="AA55" s="13">
        <f>VLOOKUP(A:A,[1]TDSheet!$A:$AA,27,0)</f>
        <v>0</v>
      </c>
      <c r="AB55" s="13">
        <f t="shared" si="6"/>
        <v>0</v>
      </c>
      <c r="AC55" s="13">
        <f>VLOOKUP(A:A,[1]TDSheet!$A:$AC,29,0)</f>
        <v>12</v>
      </c>
      <c r="AD55" s="13">
        <f t="shared" si="8"/>
        <v>0</v>
      </c>
      <c r="AE55" s="13">
        <f t="shared" si="7"/>
        <v>0</v>
      </c>
      <c r="AF55" s="13">
        <f>VLOOKUP(A:A,[1]TDSheet!$A:$AF,32,0)</f>
        <v>14</v>
      </c>
      <c r="AG55" s="13">
        <f>VLOOKUP(A:A,[1]TDSheet!$A:$AG,33,0)</f>
        <v>70</v>
      </c>
      <c r="AH55" s="13">
        <f t="shared" si="9"/>
        <v>0</v>
      </c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</row>
    <row r="56" spans="1:109" ht="11.1" customHeight="1" x14ac:dyDescent="0.2">
      <c r="A56" s="9" t="s">
        <v>56</v>
      </c>
      <c r="B56" s="10" t="s">
        <v>10</v>
      </c>
      <c r="C56" s="9" t="str">
        <f>VLOOKUP(A:A,[1]TDSheet!$A:$C,3,0)</f>
        <v>P004489</v>
      </c>
      <c r="D56" s="11">
        <v>-328</v>
      </c>
      <c r="E56" s="12">
        <v>14</v>
      </c>
      <c r="F56" s="12">
        <v>192</v>
      </c>
      <c r="G56" s="12">
        <v>-506</v>
      </c>
      <c r="H56" s="29">
        <f>VLOOKUP(A:A,[1]TDSheet!$A:$H,8,0)</f>
        <v>0.25</v>
      </c>
      <c r="I56" s="13">
        <f>VLOOKUP(A:A,[1]TDSheet!$A:$I,9,0)</f>
        <v>180</v>
      </c>
      <c r="J56" s="13" t="str">
        <f>VLOOKUP(A:A,[1]TDSheet!$A:$J,10,0)</f>
        <v>матрица</v>
      </c>
      <c r="K56" s="13"/>
      <c r="L56" s="13">
        <f>VLOOKUP(A:A,[2]TDSheet!$A:$B,2,0)</f>
        <v>216</v>
      </c>
      <c r="M56" s="13">
        <f t="shared" si="2"/>
        <v>-24</v>
      </c>
      <c r="N56" s="13"/>
      <c r="O56" s="13"/>
      <c r="P56" s="13">
        <f>VLOOKUP(A:A,[1]TDSheet!$A:$R,18,0)</f>
        <v>1000</v>
      </c>
      <c r="Q56" s="13">
        <f t="shared" si="3"/>
        <v>38.4</v>
      </c>
      <c r="R56" s="30">
        <v>240</v>
      </c>
      <c r="S56" s="30"/>
      <c r="T56" s="13">
        <f>VLOOKUP(A:A,[3]TDSheet!$A:$T,20,0)</f>
        <v>0</v>
      </c>
      <c r="U56" s="13">
        <f t="shared" si="4"/>
        <v>19.114583333333336</v>
      </c>
      <c r="V56" s="13">
        <f t="shared" si="5"/>
        <v>-13.177083333333334</v>
      </c>
      <c r="W56" s="13">
        <f>VLOOKUP(A:A,[1]TDSheet!$A:$X,24,0)</f>
        <v>39.799999999999997</v>
      </c>
      <c r="X56" s="13">
        <f>VLOOKUP(A:A,[1]TDSheet!$A:$Y,25,0)</f>
        <v>0</v>
      </c>
      <c r="Y56" s="13">
        <f>VLOOKUP(A:A,[1]TDSheet!$A:$Z,26,0)</f>
        <v>0</v>
      </c>
      <c r="Z56" s="13">
        <f>VLOOKUP(A:A,[1]TDSheet!$A:$Q,17,0)</f>
        <v>65.599999999999994</v>
      </c>
      <c r="AA56" s="13" t="str">
        <f>VLOOKUP(A:A,[1]TDSheet!$A:$AA,27,0)</f>
        <v>Мера</v>
      </c>
      <c r="AB56" s="13">
        <f t="shared" si="6"/>
        <v>60</v>
      </c>
      <c r="AC56" s="13">
        <f>VLOOKUP(A:A,[1]TDSheet!$A:$AC,29,0)</f>
        <v>12</v>
      </c>
      <c r="AD56" s="13">
        <f t="shared" si="8"/>
        <v>14</v>
      </c>
      <c r="AE56" s="13">
        <f t="shared" si="7"/>
        <v>42</v>
      </c>
      <c r="AF56" s="13">
        <f>VLOOKUP(A:A,[1]TDSheet!$A:$AF,32,0)</f>
        <v>14</v>
      </c>
      <c r="AG56" s="13">
        <f>VLOOKUP(A:A,[1]TDSheet!$A:$AG,33,0)</f>
        <v>70</v>
      </c>
      <c r="AH56" s="13">
        <f t="shared" si="9"/>
        <v>0.2</v>
      </c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</row>
    <row r="57" spans="1:109" ht="11.1" customHeight="1" x14ac:dyDescent="0.2">
      <c r="A57" s="38" t="s">
        <v>57</v>
      </c>
      <c r="B57" s="39" t="s">
        <v>10</v>
      </c>
      <c r="C57" s="38" t="str">
        <f>VLOOKUP(A:A,[1]TDSheet!$A:$C,3,0)</f>
        <v>P005201</v>
      </c>
      <c r="D57" s="40">
        <v>287</v>
      </c>
      <c r="E57" s="41"/>
      <c r="F57" s="41">
        <v>14</v>
      </c>
      <c r="G57" s="41">
        <v>273</v>
      </c>
      <c r="H57" s="42">
        <f>VLOOKUP(A:A,[1]TDSheet!$A:$H,8,0)</f>
        <v>0.18</v>
      </c>
      <c r="I57" s="43">
        <f>VLOOKUP(A:A,[1]TDSheet!$A:$I,9,0)</f>
        <v>0</v>
      </c>
      <c r="J57" s="43" t="e">
        <f>VLOOKUP(A:A,[1]TDSheet!$A:$J,10,0)</f>
        <v>#N/A</v>
      </c>
      <c r="K57" s="13"/>
      <c r="L57" s="13">
        <f>VLOOKUP(A:A,[2]TDSheet!$A:$B,2,0)</f>
        <v>14</v>
      </c>
      <c r="M57" s="13">
        <f t="shared" si="2"/>
        <v>0</v>
      </c>
      <c r="N57" s="13"/>
      <c r="O57" s="13"/>
      <c r="P57" s="13">
        <f>VLOOKUP(A:A,[1]TDSheet!$A:$R,18,0)</f>
        <v>0</v>
      </c>
      <c r="Q57" s="13">
        <f t="shared" si="3"/>
        <v>2.8</v>
      </c>
      <c r="R57" s="30"/>
      <c r="S57" s="30"/>
      <c r="T57" s="13">
        <f>VLOOKUP(A:A,[3]TDSheet!$A:$T,20,0)</f>
        <v>0</v>
      </c>
      <c r="U57" s="13">
        <f t="shared" si="4"/>
        <v>97.5</v>
      </c>
      <c r="V57" s="13">
        <f t="shared" si="5"/>
        <v>97.5</v>
      </c>
      <c r="W57" s="13">
        <f>VLOOKUP(A:A,[1]TDSheet!$A:$X,24,0)</f>
        <v>20.6</v>
      </c>
      <c r="X57" s="13">
        <f>VLOOKUP(A:A,[1]TDSheet!$A:$Y,25,0)</f>
        <v>0.8</v>
      </c>
      <c r="Y57" s="13">
        <f>VLOOKUP(A:A,[1]TDSheet!$A:$Z,26,0)</f>
        <v>0.4</v>
      </c>
      <c r="Z57" s="13">
        <f>VLOOKUP(A:A,[1]TDSheet!$A:$Q,17,0)</f>
        <v>5.6</v>
      </c>
      <c r="AA57" s="13" t="e">
        <f>VLOOKUP(A:A,[1]TDSheet!$A:$AA,27,0)</f>
        <v>#N/A</v>
      </c>
      <c r="AB57" s="13">
        <f t="shared" si="6"/>
        <v>0</v>
      </c>
      <c r="AC57" s="13">
        <f>VLOOKUP(A:A,[1]TDSheet!$A:$AC,29,0)</f>
        <v>6</v>
      </c>
      <c r="AD57" s="13">
        <f t="shared" si="8"/>
        <v>0</v>
      </c>
      <c r="AE57" s="13">
        <f t="shared" si="7"/>
        <v>0</v>
      </c>
      <c r="AF57" s="13">
        <f>VLOOKUP(A:A,[1]TDSheet!$A:$AF,32,0)</f>
        <v>14</v>
      </c>
      <c r="AG57" s="13">
        <f>VLOOKUP(A:A,[1]TDSheet!$A:$AG,33,0)</f>
        <v>140</v>
      </c>
      <c r="AH57" s="13">
        <f t="shared" si="9"/>
        <v>0</v>
      </c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</row>
    <row r="58" spans="1:109" ht="11.1" customHeight="1" x14ac:dyDescent="0.2">
      <c r="A58" s="38" t="s">
        <v>58</v>
      </c>
      <c r="B58" s="39" t="s">
        <v>10</v>
      </c>
      <c r="C58" s="38" t="str">
        <f>VLOOKUP(A:A,[1]TDSheet!$A:$C,3,0)</f>
        <v>P005199</v>
      </c>
      <c r="D58" s="40">
        <v>212</v>
      </c>
      <c r="E58" s="41"/>
      <c r="F58" s="41">
        <v>15</v>
      </c>
      <c r="G58" s="41">
        <v>185</v>
      </c>
      <c r="H58" s="42">
        <f>VLOOKUP(A:A,[1]TDSheet!$A:$H,8,0)</f>
        <v>0.18</v>
      </c>
      <c r="I58" s="43">
        <f>VLOOKUP(A:A,[1]TDSheet!$A:$I,9,0)</f>
        <v>0</v>
      </c>
      <c r="J58" s="43" t="e">
        <f>VLOOKUP(A:A,[1]TDSheet!$A:$J,10,0)</f>
        <v>#N/A</v>
      </c>
      <c r="K58" s="13"/>
      <c r="L58" s="13">
        <f>VLOOKUP(A:A,[2]TDSheet!$A:$B,2,0)</f>
        <v>15</v>
      </c>
      <c r="M58" s="13">
        <f t="shared" si="2"/>
        <v>0</v>
      </c>
      <c r="N58" s="13"/>
      <c r="O58" s="13"/>
      <c r="P58" s="13">
        <f>VLOOKUP(A:A,[1]TDSheet!$A:$R,18,0)</f>
        <v>0</v>
      </c>
      <c r="Q58" s="13">
        <f t="shared" si="3"/>
        <v>3</v>
      </c>
      <c r="R58" s="30"/>
      <c r="S58" s="30"/>
      <c r="T58" s="13">
        <f>VLOOKUP(A:A,[3]TDSheet!$A:$T,20,0)</f>
        <v>0</v>
      </c>
      <c r="U58" s="13">
        <f t="shared" si="4"/>
        <v>61.666666666666664</v>
      </c>
      <c r="V58" s="13">
        <f t="shared" si="5"/>
        <v>61.666666666666664</v>
      </c>
      <c r="W58" s="13">
        <f>VLOOKUP(A:A,[1]TDSheet!$A:$X,24,0)</f>
        <v>19.600000000000001</v>
      </c>
      <c r="X58" s="13">
        <f>VLOOKUP(A:A,[1]TDSheet!$A:$Y,25,0)</f>
        <v>1.2</v>
      </c>
      <c r="Y58" s="13">
        <f>VLOOKUP(A:A,[1]TDSheet!$A:$Z,26,0)</f>
        <v>0.6</v>
      </c>
      <c r="Z58" s="13">
        <f>VLOOKUP(A:A,[1]TDSheet!$A:$Q,17,0)</f>
        <v>1.4</v>
      </c>
      <c r="AA58" s="13" t="e">
        <f>VLOOKUP(A:A,[1]TDSheet!$A:$AA,27,0)</f>
        <v>#N/A</v>
      </c>
      <c r="AB58" s="13">
        <f t="shared" si="6"/>
        <v>0</v>
      </c>
      <c r="AC58" s="13">
        <f>VLOOKUP(A:A,[1]TDSheet!$A:$AC,29,0)</f>
        <v>6</v>
      </c>
      <c r="AD58" s="13">
        <f t="shared" si="8"/>
        <v>0</v>
      </c>
      <c r="AE58" s="13">
        <f t="shared" si="7"/>
        <v>0</v>
      </c>
      <c r="AF58" s="13">
        <f>VLOOKUP(A:A,[1]TDSheet!$A:$AF,32,0)</f>
        <v>14</v>
      </c>
      <c r="AG58" s="13">
        <f>VLOOKUP(A:A,[1]TDSheet!$A:$AG,33,0)</f>
        <v>140</v>
      </c>
      <c r="AH58" s="13">
        <f t="shared" si="9"/>
        <v>0</v>
      </c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</row>
    <row r="59" spans="1:109" ht="11.1" customHeight="1" x14ac:dyDescent="0.2">
      <c r="A59" s="9" t="s">
        <v>59</v>
      </c>
      <c r="B59" s="10" t="s">
        <v>10</v>
      </c>
      <c r="C59" s="9" t="str">
        <f>VLOOKUP(A:A,[1]TDSheet!$A:$C,3,0)</f>
        <v>P005200</v>
      </c>
      <c r="D59" s="11">
        <v>39</v>
      </c>
      <c r="E59" s="12"/>
      <c r="F59" s="12">
        <v>11</v>
      </c>
      <c r="G59" s="12">
        <v>25</v>
      </c>
      <c r="H59" s="29">
        <f>VLOOKUP(A:A,[1]TDSheet!$A:$H,8,0)</f>
        <v>0.18</v>
      </c>
      <c r="I59" s="13" t="e">
        <f>VLOOKUP(A:A,[1]TDSheet!$A:$I,9,0)</f>
        <v>#N/A</v>
      </c>
      <c r="J59" s="13" t="e">
        <f>VLOOKUP(A:A,[1]TDSheet!$A:$J,10,0)</f>
        <v>#N/A</v>
      </c>
      <c r="K59" s="13"/>
      <c r="L59" s="13">
        <f>VLOOKUP(A:A,[2]TDSheet!$A:$B,2,0)</f>
        <v>10</v>
      </c>
      <c r="M59" s="13">
        <f t="shared" si="2"/>
        <v>1</v>
      </c>
      <c r="N59" s="13"/>
      <c r="O59" s="13"/>
      <c r="P59" s="13">
        <f>VLOOKUP(A:A,[1]TDSheet!$A:$R,18,0)</f>
        <v>0</v>
      </c>
      <c r="Q59" s="13">
        <f t="shared" si="3"/>
        <v>2.2000000000000002</v>
      </c>
      <c r="R59" s="30"/>
      <c r="S59" s="30"/>
      <c r="T59" s="13">
        <f>VLOOKUP(A:A,[3]TDSheet!$A:$T,20,0)</f>
        <v>0</v>
      </c>
      <c r="U59" s="13">
        <f t="shared" si="4"/>
        <v>11.363636363636363</v>
      </c>
      <c r="V59" s="13">
        <f t="shared" si="5"/>
        <v>11.363636363636363</v>
      </c>
      <c r="W59" s="13">
        <f>VLOOKUP(A:A,[1]TDSheet!$A:$X,24,0)</f>
        <v>0</v>
      </c>
      <c r="X59" s="13">
        <f>VLOOKUP(A:A,[1]TDSheet!$A:$Y,25,0)</f>
        <v>0</v>
      </c>
      <c r="Y59" s="13">
        <f>VLOOKUP(A:A,[1]TDSheet!$A:$Z,26,0)</f>
        <v>2.6</v>
      </c>
      <c r="Z59" s="13">
        <f>VLOOKUP(A:A,[1]TDSheet!$A:$Q,17,0)</f>
        <v>2</v>
      </c>
      <c r="AA59" s="13" t="e">
        <f>VLOOKUP(A:A,[1]TDSheet!$A:$AA,27,0)</f>
        <v>#N/A</v>
      </c>
      <c r="AB59" s="13">
        <f t="shared" si="6"/>
        <v>0</v>
      </c>
      <c r="AC59" s="13">
        <f>VLOOKUP(A:A,[1]TDSheet!$A:$AC,29,0)</f>
        <v>6</v>
      </c>
      <c r="AD59" s="13">
        <f t="shared" si="8"/>
        <v>0</v>
      </c>
      <c r="AE59" s="13">
        <f t="shared" si="7"/>
        <v>0</v>
      </c>
      <c r="AF59" s="13">
        <f>VLOOKUP(A:A,[1]TDSheet!$A:$AF,32,0)</f>
        <v>14</v>
      </c>
      <c r="AG59" s="13">
        <f>VLOOKUP(A:A,[1]TDSheet!$A:$AG,33,0)</f>
        <v>140</v>
      </c>
      <c r="AH59" s="13">
        <f t="shared" si="9"/>
        <v>0</v>
      </c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</row>
    <row r="60" spans="1:109" ht="11.1" customHeight="1" x14ac:dyDescent="0.2">
      <c r="A60" s="9" t="s">
        <v>60</v>
      </c>
      <c r="B60" s="10" t="s">
        <v>10</v>
      </c>
      <c r="C60" s="9" t="str">
        <f>VLOOKUP(A:A,[1]TDSheet!$A:$C,3,0)</f>
        <v>P004589</v>
      </c>
      <c r="D60" s="11">
        <v>-244</v>
      </c>
      <c r="E60" s="12">
        <v>688</v>
      </c>
      <c r="F60" s="12">
        <v>400</v>
      </c>
      <c r="G60" s="12">
        <v>44</v>
      </c>
      <c r="H60" s="29">
        <f>VLOOKUP(A:A,[1]TDSheet!$A:$H,8,0)</f>
        <v>0.3</v>
      </c>
      <c r="I60" s="13">
        <f>VLOOKUP(A:A,[1]TDSheet!$A:$I,9,0)</f>
        <v>180</v>
      </c>
      <c r="J60" s="13" t="str">
        <f>VLOOKUP(A:A,[1]TDSheet!$A:$J,10,0)</f>
        <v>матрица</v>
      </c>
      <c r="K60" s="13"/>
      <c r="L60" s="13">
        <f>VLOOKUP(A:A,[2]TDSheet!$A:$B,2,0)</f>
        <v>394</v>
      </c>
      <c r="M60" s="13">
        <f t="shared" si="2"/>
        <v>6</v>
      </c>
      <c r="N60" s="13"/>
      <c r="O60" s="13"/>
      <c r="P60" s="13">
        <f>VLOOKUP(A:A,[1]TDSheet!$A:$R,18,0)</f>
        <v>600</v>
      </c>
      <c r="Q60" s="13">
        <f t="shared" si="3"/>
        <v>80</v>
      </c>
      <c r="R60" s="30">
        <v>800</v>
      </c>
      <c r="S60" s="30"/>
      <c r="T60" s="13">
        <f>VLOOKUP(A:A,[3]TDSheet!$A:$T,20,0)</f>
        <v>0</v>
      </c>
      <c r="U60" s="13">
        <f t="shared" si="4"/>
        <v>18.05</v>
      </c>
      <c r="V60" s="13">
        <f t="shared" si="5"/>
        <v>0.55000000000000004</v>
      </c>
      <c r="W60" s="13">
        <f>VLOOKUP(A:A,[1]TDSheet!$A:$X,24,0)</f>
        <v>59</v>
      </c>
      <c r="X60" s="13">
        <f>VLOOKUP(A:A,[1]TDSheet!$A:$Y,25,0)</f>
        <v>25.4</v>
      </c>
      <c r="Y60" s="13">
        <f>VLOOKUP(A:A,[1]TDSheet!$A:$Z,26,0)</f>
        <v>56.8</v>
      </c>
      <c r="Z60" s="13">
        <f>VLOOKUP(A:A,[1]TDSheet!$A:$Q,17,0)</f>
        <v>73.400000000000006</v>
      </c>
      <c r="AA60" s="13">
        <f>VLOOKUP(A:A,[1]TDSheet!$A:$AA,27,0)</f>
        <v>0</v>
      </c>
      <c r="AB60" s="13">
        <f t="shared" si="6"/>
        <v>240</v>
      </c>
      <c r="AC60" s="13">
        <f>VLOOKUP(A:A,[1]TDSheet!$A:$AC,29,0)</f>
        <v>12</v>
      </c>
      <c r="AD60" s="13">
        <f t="shared" si="8"/>
        <v>70</v>
      </c>
      <c r="AE60" s="13">
        <f t="shared" si="7"/>
        <v>252</v>
      </c>
      <c r="AF60" s="13">
        <f>VLOOKUP(A:A,[1]TDSheet!$A:$AF,32,0)</f>
        <v>14</v>
      </c>
      <c r="AG60" s="13">
        <f>VLOOKUP(A:A,[1]TDSheet!$A:$AG,33,0)</f>
        <v>70</v>
      </c>
      <c r="AH60" s="13">
        <f t="shared" si="9"/>
        <v>1</v>
      </c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</row>
    <row r="61" spans="1:109" ht="11.1" customHeight="1" x14ac:dyDescent="0.2">
      <c r="A61" s="9" t="s">
        <v>61</v>
      </c>
      <c r="B61" s="10" t="s">
        <v>10</v>
      </c>
      <c r="C61" s="9" t="str">
        <f>VLOOKUP(A:A,[1]TDSheet!$A:$C,3,0)</f>
        <v>P004588</v>
      </c>
      <c r="D61" s="11">
        <v>-24</v>
      </c>
      <c r="E61" s="12">
        <v>7</v>
      </c>
      <c r="F61" s="12">
        <v>87</v>
      </c>
      <c r="G61" s="12">
        <v>-104</v>
      </c>
      <c r="H61" s="29">
        <f>VLOOKUP(A:A,[1]TDSheet!$A:$H,8,0)</f>
        <v>0.3</v>
      </c>
      <c r="I61" s="13">
        <f>VLOOKUP(A:A,[1]TDSheet!$A:$I,9,0)</f>
        <v>180</v>
      </c>
      <c r="J61" s="13" t="str">
        <f>VLOOKUP(A:A,[1]TDSheet!$A:$J,10,0)</f>
        <v>матрица</v>
      </c>
      <c r="K61" s="13"/>
      <c r="L61" s="13">
        <f>VLOOKUP(A:A,[2]TDSheet!$A:$B,2,0)</f>
        <v>87</v>
      </c>
      <c r="M61" s="13">
        <f t="shared" si="2"/>
        <v>0</v>
      </c>
      <c r="N61" s="13"/>
      <c r="O61" s="13"/>
      <c r="P61" s="13">
        <f>VLOOKUP(A:A,[1]TDSheet!$A:$R,18,0)</f>
        <v>200</v>
      </c>
      <c r="Q61" s="13">
        <f t="shared" si="3"/>
        <v>17.399999999999999</v>
      </c>
      <c r="R61" s="30">
        <v>300</v>
      </c>
      <c r="S61" s="30">
        <f>VLOOKUP(A:A,[3]TDSheet!$A:$S,19,0)</f>
        <v>300</v>
      </c>
      <c r="T61" s="13">
        <f>VLOOKUP(A:A,[3]TDSheet!$A:$T,20,0)</f>
        <v>0</v>
      </c>
      <c r="U61" s="13">
        <f t="shared" si="4"/>
        <v>22.758620689655174</v>
      </c>
      <c r="V61" s="13">
        <f t="shared" si="5"/>
        <v>-5.9770114942528743</v>
      </c>
      <c r="W61" s="13">
        <f>VLOOKUP(A:A,[1]TDSheet!$A:$X,24,0)</f>
        <v>42.8</v>
      </c>
      <c r="X61" s="13">
        <f>VLOOKUP(A:A,[1]TDSheet!$A:$Y,25,0)</f>
        <v>0</v>
      </c>
      <c r="Y61" s="13">
        <f>VLOOKUP(A:A,[1]TDSheet!$A:$Z,26,0)</f>
        <v>0</v>
      </c>
      <c r="Z61" s="13">
        <f>VLOOKUP(A:A,[1]TDSheet!$A:$Q,17,0)</f>
        <v>4.8</v>
      </c>
      <c r="AA61" s="13">
        <f>VLOOKUP(A:A,[1]TDSheet!$A:$AA,27,0)</f>
        <v>0</v>
      </c>
      <c r="AB61" s="13">
        <f t="shared" si="6"/>
        <v>90</v>
      </c>
      <c r="AC61" s="13">
        <f>VLOOKUP(A:A,[1]TDSheet!$A:$AC,29,0)</f>
        <v>12</v>
      </c>
      <c r="AD61" s="13">
        <f t="shared" si="8"/>
        <v>28</v>
      </c>
      <c r="AE61" s="13">
        <f t="shared" si="7"/>
        <v>100.8</v>
      </c>
      <c r="AF61" s="13">
        <f>VLOOKUP(A:A,[1]TDSheet!$A:$AF,32,0)</f>
        <v>14</v>
      </c>
      <c r="AG61" s="13">
        <f>VLOOKUP(A:A,[1]TDSheet!$A:$AG,33,0)</f>
        <v>70</v>
      </c>
      <c r="AH61" s="13">
        <f t="shared" si="9"/>
        <v>0.4</v>
      </c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</row>
    <row r="62" spans="1:109" ht="21.95" customHeight="1" x14ac:dyDescent="0.2">
      <c r="A62" s="9" t="s">
        <v>62</v>
      </c>
      <c r="B62" s="10" t="s">
        <v>10</v>
      </c>
      <c r="C62" s="9" t="str">
        <f>VLOOKUP(A:A,[1]TDSheet!$A:$C,3,0)</f>
        <v>P004113</v>
      </c>
      <c r="D62" s="11">
        <v>147</v>
      </c>
      <c r="E62" s="12"/>
      <c r="F62" s="12">
        <v>51</v>
      </c>
      <c r="G62" s="12">
        <v>96</v>
      </c>
      <c r="H62" s="29">
        <f>VLOOKUP(A:A,[1]TDSheet!$A:$H,8,0)</f>
        <v>0.3</v>
      </c>
      <c r="I62" s="13">
        <f>VLOOKUP(A:A,[1]TDSheet!$A:$I,9,0)</f>
        <v>180</v>
      </c>
      <c r="J62" s="13" t="str">
        <f>VLOOKUP(A:A,[1]TDSheet!$A:$J,10,0)</f>
        <v>матрица</v>
      </c>
      <c r="K62" s="13"/>
      <c r="L62" s="13">
        <f>VLOOKUP(A:A,[2]TDSheet!$A:$B,2,0)</f>
        <v>49</v>
      </c>
      <c r="M62" s="13">
        <f t="shared" si="2"/>
        <v>2</v>
      </c>
      <c r="N62" s="13"/>
      <c r="O62" s="13"/>
      <c r="P62" s="13">
        <f>VLOOKUP(A:A,[1]TDSheet!$A:$R,18,0)</f>
        <v>0</v>
      </c>
      <c r="Q62" s="13">
        <f t="shared" si="3"/>
        <v>10.199999999999999</v>
      </c>
      <c r="R62" s="30">
        <v>60</v>
      </c>
      <c r="S62" s="30"/>
      <c r="T62" s="13">
        <f>VLOOKUP(A:A,[3]TDSheet!$A:$T,20,0)</f>
        <v>0</v>
      </c>
      <c r="U62" s="13">
        <f t="shared" si="4"/>
        <v>15.294117647058824</v>
      </c>
      <c r="V62" s="13">
        <f t="shared" si="5"/>
        <v>9.4117647058823533</v>
      </c>
      <c r="W62" s="13">
        <f>VLOOKUP(A:A,[1]TDSheet!$A:$X,24,0)</f>
        <v>10.6</v>
      </c>
      <c r="X62" s="13">
        <f>VLOOKUP(A:A,[1]TDSheet!$A:$Y,25,0)</f>
        <v>10.8</v>
      </c>
      <c r="Y62" s="13">
        <f>VLOOKUP(A:A,[1]TDSheet!$A:$Z,26,0)</f>
        <v>7.6</v>
      </c>
      <c r="Z62" s="13">
        <f>VLOOKUP(A:A,[1]TDSheet!$A:$Q,17,0)</f>
        <v>9.8000000000000007</v>
      </c>
      <c r="AA62" s="13">
        <f>VLOOKUP(A:A,[1]TDSheet!$A:$AA,27,0)</f>
        <v>0</v>
      </c>
      <c r="AB62" s="13">
        <f t="shared" si="6"/>
        <v>18</v>
      </c>
      <c r="AC62" s="13">
        <f>VLOOKUP(A:A,[1]TDSheet!$A:$AC,29,0)</f>
        <v>14</v>
      </c>
      <c r="AD62" s="13">
        <f t="shared" si="8"/>
        <v>0</v>
      </c>
      <c r="AE62" s="13">
        <f t="shared" si="7"/>
        <v>0</v>
      </c>
      <c r="AF62" s="13">
        <f>VLOOKUP(A:A,[1]TDSheet!$A:$AF,32,0)</f>
        <v>14</v>
      </c>
      <c r="AG62" s="13">
        <f>VLOOKUP(A:A,[1]TDSheet!$A:$AG,33,0)</f>
        <v>70</v>
      </c>
      <c r="AH62" s="13">
        <f t="shared" si="9"/>
        <v>0</v>
      </c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</row>
    <row r="63" spans="1:109" ht="11.1" customHeight="1" x14ac:dyDescent="0.2">
      <c r="A63" s="31" t="s">
        <v>63</v>
      </c>
      <c r="B63" s="32" t="s">
        <v>10</v>
      </c>
      <c r="C63" s="31" t="str">
        <f>VLOOKUP(A:A,[1]TDSheet!$A:$C,3,0)</f>
        <v>P004484</v>
      </c>
      <c r="D63" s="33">
        <v>314</v>
      </c>
      <c r="E63" s="34">
        <v>714</v>
      </c>
      <c r="F63" s="34">
        <v>604</v>
      </c>
      <c r="G63" s="34">
        <v>363</v>
      </c>
      <c r="H63" s="35">
        <f>VLOOKUP(A:A,[1]TDSheet!$A:$H,8,0)</f>
        <v>0.25</v>
      </c>
      <c r="I63" s="36">
        <f>VLOOKUP(A:A,[1]TDSheet!$A:$I,9,0)</f>
        <v>180</v>
      </c>
      <c r="J63" s="36" t="str">
        <f>VLOOKUP(A:A,[1]TDSheet!$A:$J,10,0)</f>
        <v>матрица</v>
      </c>
      <c r="K63" s="13"/>
      <c r="L63" s="13">
        <f>VLOOKUP(A:A,[2]TDSheet!$A:$B,2,0)</f>
        <v>602</v>
      </c>
      <c r="M63" s="13">
        <f t="shared" si="2"/>
        <v>2</v>
      </c>
      <c r="N63" s="13"/>
      <c r="O63" s="13"/>
      <c r="P63" s="13">
        <f>VLOOKUP(A:A,[1]TDSheet!$A:$R,18,0)</f>
        <v>1000</v>
      </c>
      <c r="Q63" s="13">
        <f t="shared" si="3"/>
        <v>120.8</v>
      </c>
      <c r="R63" s="30">
        <v>1000</v>
      </c>
      <c r="S63" s="30">
        <f>VLOOKUP(A:A,[3]TDSheet!$A:$S,19,0)</f>
        <v>500</v>
      </c>
      <c r="T63" s="13">
        <f>VLOOKUP(A:A,[3]TDSheet!$A:$T,20,0)</f>
        <v>0</v>
      </c>
      <c r="U63" s="13">
        <f t="shared" si="4"/>
        <v>19.561258278145697</v>
      </c>
      <c r="V63" s="13">
        <f t="shared" si="5"/>
        <v>3.0049668874172184</v>
      </c>
      <c r="W63" s="13">
        <f>VLOOKUP(A:A,[1]TDSheet!$A:$X,24,0)</f>
        <v>55</v>
      </c>
      <c r="X63" s="13">
        <f>VLOOKUP(A:A,[1]TDSheet!$A:$Y,25,0)</f>
        <v>0</v>
      </c>
      <c r="Y63" s="13">
        <f>VLOOKUP(A:A,[1]TDSheet!$A:$Z,26,0)</f>
        <v>12</v>
      </c>
      <c r="Z63" s="13">
        <f>VLOOKUP(A:A,[1]TDSheet!$A:$Q,17,0)</f>
        <v>105.6</v>
      </c>
      <c r="AA63" s="13" t="str">
        <f>VLOOKUP(A:A,[1]TDSheet!$A:$AA,27,0)</f>
        <v>сети</v>
      </c>
      <c r="AB63" s="13">
        <f t="shared" si="6"/>
        <v>250</v>
      </c>
      <c r="AC63" s="13">
        <f>VLOOKUP(A:A,[1]TDSheet!$A:$AC,29,0)</f>
        <v>12</v>
      </c>
      <c r="AD63" s="13">
        <f t="shared" si="8"/>
        <v>84</v>
      </c>
      <c r="AE63" s="13">
        <f t="shared" si="7"/>
        <v>252</v>
      </c>
      <c r="AF63" s="13">
        <f>VLOOKUP(A:A,[1]TDSheet!$A:$AF,32,0)</f>
        <v>14</v>
      </c>
      <c r="AG63" s="13">
        <f>VLOOKUP(A:A,[1]TDSheet!$A:$AG,33,0)</f>
        <v>70</v>
      </c>
      <c r="AH63" s="13">
        <f t="shared" si="9"/>
        <v>1.2</v>
      </c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</row>
    <row r="64" spans="1:109" ht="11.1" customHeight="1" x14ac:dyDescent="0.2">
      <c r="A64" s="9" t="s">
        <v>64</v>
      </c>
      <c r="B64" s="10" t="s">
        <v>10</v>
      </c>
      <c r="C64" s="9" t="str">
        <f>VLOOKUP(A:A,[1]TDSheet!$A:$C,3,0)</f>
        <v>P004486</v>
      </c>
      <c r="D64" s="11">
        <v>972</v>
      </c>
      <c r="E64" s="12">
        <v>30</v>
      </c>
      <c r="F64" s="12">
        <v>735</v>
      </c>
      <c r="G64" s="12">
        <v>212</v>
      </c>
      <c r="H64" s="29">
        <f>VLOOKUP(A:A,[1]TDSheet!$A:$H,8,0)</f>
        <v>0.25</v>
      </c>
      <c r="I64" s="13">
        <f>VLOOKUP(A:A,[1]TDSheet!$A:$I,9,0)</f>
        <v>180</v>
      </c>
      <c r="J64" s="13" t="str">
        <f>VLOOKUP(A:A,[1]TDSheet!$A:$J,10,0)</f>
        <v>матрица</v>
      </c>
      <c r="K64" s="13"/>
      <c r="L64" s="13">
        <f>VLOOKUP(A:A,[2]TDSheet!$A:$B,2,0)</f>
        <v>742</v>
      </c>
      <c r="M64" s="13">
        <f t="shared" si="2"/>
        <v>-7</v>
      </c>
      <c r="N64" s="13"/>
      <c r="O64" s="13"/>
      <c r="P64" s="13">
        <f>VLOOKUP(A:A,[1]TDSheet!$A:$R,18,0)</f>
        <v>700</v>
      </c>
      <c r="Q64" s="13">
        <f t="shared" si="3"/>
        <v>147</v>
      </c>
      <c r="R64" s="30">
        <v>2100</v>
      </c>
      <c r="S64" s="30"/>
      <c r="T64" s="13">
        <f>VLOOKUP(A:A,[3]TDSheet!$A:$T,20,0)</f>
        <v>0</v>
      </c>
      <c r="U64" s="13">
        <f t="shared" si="4"/>
        <v>20.489795918367346</v>
      </c>
      <c r="V64" s="13">
        <f t="shared" si="5"/>
        <v>1.4421768707482994</v>
      </c>
      <c r="W64" s="13">
        <f>VLOOKUP(A:A,[1]TDSheet!$A:$X,24,0)</f>
        <v>54</v>
      </c>
      <c r="X64" s="13">
        <f>VLOOKUP(A:A,[1]TDSheet!$A:$Y,25,0)</f>
        <v>0</v>
      </c>
      <c r="Y64" s="13">
        <f>VLOOKUP(A:A,[1]TDSheet!$A:$Z,26,0)</f>
        <v>22.2</v>
      </c>
      <c r="Z64" s="13">
        <f>VLOOKUP(A:A,[1]TDSheet!$A:$Q,17,0)</f>
        <v>129.6</v>
      </c>
      <c r="AA64" s="13">
        <f>VLOOKUP(A:A,[1]TDSheet!$A:$AA,27,0)</f>
        <v>0</v>
      </c>
      <c r="AB64" s="13">
        <f t="shared" si="6"/>
        <v>525</v>
      </c>
      <c r="AC64" s="13">
        <f>VLOOKUP(A:A,[1]TDSheet!$A:$AC,29,0)</f>
        <v>12</v>
      </c>
      <c r="AD64" s="13">
        <f t="shared" si="8"/>
        <v>182</v>
      </c>
      <c r="AE64" s="13">
        <f t="shared" si="7"/>
        <v>546</v>
      </c>
      <c r="AF64" s="13">
        <f>VLOOKUP(A:A,[1]TDSheet!$A:$AF,32,0)</f>
        <v>14</v>
      </c>
      <c r="AG64" s="13">
        <f>VLOOKUP(A:A,[1]TDSheet!$A:$AG,33,0)</f>
        <v>70</v>
      </c>
      <c r="AH64" s="13">
        <f t="shared" si="9"/>
        <v>2.6</v>
      </c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</row>
    <row r="65" spans="1:109" ht="11.1" customHeight="1" x14ac:dyDescent="0.2">
      <c r="A65" s="9" t="s">
        <v>65</v>
      </c>
      <c r="B65" s="10" t="s">
        <v>10</v>
      </c>
      <c r="C65" s="9" t="str">
        <f>VLOOKUP(A:A,[1]TDSheet!$A:$C,3,0)</f>
        <v>P004818</v>
      </c>
      <c r="D65" s="11">
        <v>203</v>
      </c>
      <c r="E65" s="12">
        <v>9</v>
      </c>
      <c r="F65" s="12">
        <v>161</v>
      </c>
      <c r="G65" s="12">
        <v>29</v>
      </c>
      <c r="H65" s="29">
        <f>VLOOKUP(A:A,[1]TDSheet!$A:$H,8,0)</f>
        <v>0.2</v>
      </c>
      <c r="I65" s="13">
        <f>VLOOKUP(A:A,[1]TDSheet!$A:$I,9,0)</f>
        <v>0</v>
      </c>
      <c r="J65" s="13" t="str">
        <f>VLOOKUP(A:A,[1]TDSheet!$A:$J,10,0)</f>
        <v>новинка</v>
      </c>
      <c r="K65" s="13"/>
      <c r="L65" s="13">
        <f>VLOOKUP(A:A,[2]TDSheet!$A:$B,2,0)</f>
        <v>161</v>
      </c>
      <c r="M65" s="13">
        <f t="shared" si="2"/>
        <v>0</v>
      </c>
      <c r="N65" s="13"/>
      <c r="O65" s="13"/>
      <c r="P65" s="13">
        <f>VLOOKUP(A:A,[1]TDSheet!$A:$R,18,0)</f>
        <v>200</v>
      </c>
      <c r="Q65" s="13">
        <f t="shared" si="3"/>
        <v>32.200000000000003</v>
      </c>
      <c r="R65" s="30">
        <v>360</v>
      </c>
      <c r="S65" s="30">
        <f>VLOOKUP(A:A,[3]TDSheet!$A:$S,19,0)</f>
        <v>250</v>
      </c>
      <c r="T65" s="13">
        <f>VLOOKUP(A:A,[3]TDSheet!$A:$T,20,0)</f>
        <v>0</v>
      </c>
      <c r="U65" s="13">
        <f t="shared" si="4"/>
        <v>18.291925465838506</v>
      </c>
      <c r="V65" s="13">
        <f t="shared" si="5"/>
        <v>0.90062111801242228</v>
      </c>
      <c r="W65" s="13">
        <f>VLOOKUP(A:A,[1]TDSheet!$A:$X,24,0)</f>
        <v>20</v>
      </c>
      <c r="X65" s="13">
        <f>VLOOKUP(A:A,[1]TDSheet!$A:$Y,25,0)</f>
        <v>0</v>
      </c>
      <c r="Y65" s="13">
        <f>VLOOKUP(A:A,[1]TDSheet!$A:$Z,26,0)</f>
        <v>8.6</v>
      </c>
      <c r="Z65" s="13">
        <f>VLOOKUP(A:A,[1]TDSheet!$A:$Q,17,0)</f>
        <v>30</v>
      </c>
      <c r="AA65" s="13" t="e">
        <f>VLOOKUP(A:A,[1]TDSheet!$A:$AA,27,0)</f>
        <v>#N/A</v>
      </c>
      <c r="AB65" s="13">
        <f t="shared" si="6"/>
        <v>72</v>
      </c>
      <c r="AC65" s="13">
        <f>VLOOKUP(A:A,[1]TDSheet!$A:$AC,29,0)</f>
        <v>6</v>
      </c>
      <c r="AD65" s="13">
        <f t="shared" si="8"/>
        <v>56</v>
      </c>
      <c r="AE65" s="13">
        <f t="shared" si="7"/>
        <v>67.2</v>
      </c>
      <c r="AF65" s="13">
        <f>VLOOKUP(A:A,[1]TDSheet!$A:$AF,32,0)</f>
        <v>14</v>
      </c>
      <c r="AG65" s="13">
        <f>VLOOKUP(A:A,[1]TDSheet!$A:$AG,33,0)</f>
        <v>140</v>
      </c>
      <c r="AH65" s="13">
        <f t="shared" si="9"/>
        <v>0.4</v>
      </c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</row>
    <row r="66" spans="1:109" ht="21.95" customHeight="1" x14ac:dyDescent="0.2">
      <c r="A66" s="9" t="s">
        <v>66</v>
      </c>
      <c r="B66" s="10" t="s">
        <v>10</v>
      </c>
      <c r="C66" s="9" t="str">
        <f>VLOOKUP(A:A,[1]TDSheet!$A:$C,3,0)</f>
        <v>P005180</v>
      </c>
      <c r="D66" s="11">
        <v>223</v>
      </c>
      <c r="E66" s="12">
        <v>13</v>
      </c>
      <c r="F66" s="12">
        <v>180</v>
      </c>
      <c r="G66" s="12">
        <v>-3</v>
      </c>
      <c r="H66" s="29">
        <f>VLOOKUP(A:A,[1]TDSheet!$A:$H,8,0)</f>
        <v>0.23</v>
      </c>
      <c r="I66" s="13">
        <f>VLOOKUP(A:A,[1]TDSheet!$A:$I,9,0)</f>
        <v>0</v>
      </c>
      <c r="J66" s="13" t="str">
        <f>VLOOKUP(A:A,[1]TDSheet!$A:$J,10,0)</f>
        <v>Новинка</v>
      </c>
      <c r="K66" s="13"/>
      <c r="L66" s="13">
        <f>VLOOKUP(A:A,[2]TDSheet!$A:$B,2,0)</f>
        <v>206</v>
      </c>
      <c r="M66" s="13">
        <f t="shared" si="2"/>
        <v>-26</v>
      </c>
      <c r="N66" s="13"/>
      <c r="O66" s="13"/>
      <c r="P66" s="13">
        <f>VLOOKUP(A:A,[1]TDSheet!$A:$R,18,0)</f>
        <v>750</v>
      </c>
      <c r="Q66" s="13">
        <f t="shared" si="3"/>
        <v>36</v>
      </c>
      <c r="R66" s="30">
        <v>300</v>
      </c>
      <c r="S66" s="30">
        <f>VLOOKUP(A:A,[3]TDSheet!$A:$S,19,0)</f>
        <v>200</v>
      </c>
      <c r="T66" s="13">
        <f>VLOOKUP(A:A,[3]TDSheet!$A:$T,20,0)</f>
        <v>0</v>
      </c>
      <c r="U66" s="13">
        <f t="shared" si="4"/>
        <v>29.083333333333332</v>
      </c>
      <c r="V66" s="13">
        <f t="shared" si="5"/>
        <v>-8.3333333333333329E-2</v>
      </c>
      <c r="W66" s="13">
        <f>VLOOKUP(A:A,[1]TDSheet!$A:$X,24,0)</f>
        <v>40.6</v>
      </c>
      <c r="X66" s="13">
        <f>VLOOKUP(A:A,[1]TDSheet!$A:$Y,25,0)</f>
        <v>0</v>
      </c>
      <c r="Y66" s="13">
        <f>VLOOKUP(A:A,[1]TDSheet!$A:$Z,26,0)</f>
        <v>7.6</v>
      </c>
      <c r="Z66" s="13">
        <f>VLOOKUP(A:A,[1]TDSheet!$A:$Q,17,0)</f>
        <v>77.8</v>
      </c>
      <c r="AA66" s="13" t="e">
        <f>VLOOKUP(A:A,[1]TDSheet!$A:$AA,27,0)</f>
        <v>#N/A</v>
      </c>
      <c r="AB66" s="13">
        <f t="shared" si="6"/>
        <v>69</v>
      </c>
      <c r="AC66" s="13">
        <f>VLOOKUP(A:A,[1]TDSheet!$A:$AC,29,0)</f>
        <v>6</v>
      </c>
      <c r="AD66" s="13">
        <f t="shared" si="8"/>
        <v>56</v>
      </c>
      <c r="AE66" s="13">
        <f t="shared" si="7"/>
        <v>77.28</v>
      </c>
      <c r="AF66" s="13">
        <f>VLOOKUP(A:A,[1]TDSheet!$A:$AF,32,0)</f>
        <v>14</v>
      </c>
      <c r="AG66" s="13">
        <f>VLOOKUP(A:A,[1]TDSheet!$A:$AG,33,0)</f>
        <v>140</v>
      </c>
      <c r="AH66" s="13">
        <f t="shared" si="9"/>
        <v>0.4</v>
      </c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</row>
    <row r="67" spans="1:109" ht="11.1" customHeight="1" x14ac:dyDescent="0.2">
      <c r="A67" s="9" t="s">
        <v>67</v>
      </c>
      <c r="B67" s="10" t="s">
        <v>25</v>
      </c>
      <c r="C67" s="9" t="str">
        <f>VLOOKUP(A:A,[1]TDSheet!$A:$C,3,0)</f>
        <v>P003478</v>
      </c>
      <c r="D67" s="11">
        <v>10.8</v>
      </c>
      <c r="E67" s="12"/>
      <c r="F67" s="12">
        <v>2.7</v>
      </c>
      <c r="G67" s="12"/>
      <c r="H67" s="29">
        <f>VLOOKUP(A:A,[1]TDSheet!$A:$H,8,0)</f>
        <v>1</v>
      </c>
      <c r="I67" s="13" t="e">
        <f>VLOOKUP(A:A,[1]TDSheet!$A:$I,9,0)</f>
        <v>#N/A</v>
      </c>
      <c r="J67" s="13" t="e">
        <f>VLOOKUP(A:A,[1]TDSheet!$A:$J,10,0)</f>
        <v>#N/A</v>
      </c>
      <c r="K67" s="13"/>
      <c r="L67" s="13">
        <f>VLOOKUP(A:A,[2]TDSheet!$A:$B,2,0)</f>
        <v>21.8</v>
      </c>
      <c r="M67" s="13">
        <f t="shared" si="2"/>
        <v>-19.100000000000001</v>
      </c>
      <c r="N67" s="13"/>
      <c r="O67" s="13"/>
      <c r="P67" s="13">
        <f>VLOOKUP(A:A,[1]TDSheet!$A:$R,18,0)</f>
        <v>140</v>
      </c>
      <c r="Q67" s="13">
        <f t="shared" si="3"/>
        <v>0.54</v>
      </c>
      <c r="R67" s="30"/>
      <c r="S67" s="30"/>
      <c r="T67" s="13">
        <f>VLOOKUP(A:A,[3]TDSheet!$A:$T,20,0)</f>
        <v>0</v>
      </c>
      <c r="U67" s="13">
        <f t="shared" si="4"/>
        <v>259.25925925925924</v>
      </c>
      <c r="V67" s="13">
        <f t="shared" si="5"/>
        <v>0</v>
      </c>
      <c r="W67" s="13">
        <f>VLOOKUP(A:A,[1]TDSheet!$A:$X,24,0)</f>
        <v>0</v>
      </c>
      <c r="X67" s="13">
        <f>VLOOKUP(A:A,[1]TDSheet!$A:$Y,25,0)</f>
        <v>0</v>
      </c>
      <c r="Y67" s="13">
        <f>VLOOKUP(A:A,[1]TDSheet!$A:$Z,26,0)</f>
        <v>0</v>
      </c>
      <c r="Z67" s="13">
        <f>VLOOKUP(A:A,[1]TDSheet!$A:$Q,17,0)</f>
        <v>11.34</v>
      </c>
      <c r="AA67" s="13" t="e">
        <f>VLOOKUP(A:A,[1]TDSheet!$A:$AA,27,0)</f>
        <v>#N/A</v>
      </c>
      <c r="AB67" s="13">
        <f t="shared" si="6"/>
        <v>0</v>
      </c>
      <c r="AC67" s="13">
        <f>VLOOKUP(A:A,[1]TDSheet!$A:$AC,29,0)</f>
        <v>1</v>
      </c>
      <c r="AD67" s="13">
        <f t="shared" si="8"/>
        <v>0</v>
      </c>
      <c r="AE67" s="13">
        <f t="shared" si="7"/>
        <v>0</v>
      </c>
      <c r="AF67" s="13">
        <f>VLOOKUP(A:A,[1]TDSheet!$A:$AF,32,0)</f>
        <v>14</v>
      </c>
      <c r="AG67" s="13">
        <f>VLOOKUP(A:A,[1]TDSheet!$A:$AG,33,0)</f>
        <v>126</v>
      </c>
      <c r="AH67" s="13">
        <f t="shared" si="9"/>
        <v>0</v>
      </c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</row>
    <row r="68" spans="1:109" ht="11.1" customHeight="1" x14ac:dyDescent="0.2">
      <c r="A68" s="9" t="s">
        <v>68</v>
      </c>
      <c r="B68" s="10" t="s">
        <v>25</v>
      </c>
      <c r="C68" s="9" t="str">
        <f>VLOOKUP(A:A,[1]TDSheet!$A:$C,3,0)</f>
        <v>P003476</v>
      </c>
      <c r="D68" s="11"/>
      <c r="E68" s="12">
        <v>780</v>
      </c>
      <c r="F68" s="12">
        <v>428</v>
      </c>
      <c r="G68" s="12">
        <v>352</v>
      </c>
      <c r="H68" s="29">
        <f>VLOOKUP(A:A,[1]TDSheet!$A:$H,8,0)</f>
        <v>1</v>
      </c>
      <c r="I68" s="13">
        <f>VLOOKUP(A:A,[1]TDSheet!$A:$I,9,0)</f>
        <v>0</v>
      </c>
      <c r="J68" s="13" t="e">
        <f>VLOOKUP(A:A,[1]TDSheet!$A:$J,10,0)</f>
        <v>#N/A</v>
      </c>
      <c r="K68" s="13"/>
      <c r="L68" s="13">
        <f>VLOOKUP(A:A,[2]TDSheet!$A:$B,2,0)</f>
        <v>440</v>
      </c>
      <c r="M68" s="13">
        <f t="shared" si="2"/>
        <v>-12</v>
      </c>
      <c r="N68" s="13"/>
      <c r="O68" s="13"/>
      <c r="P68" s="13">
        <f>VLOOKUP(A:A,[1]TDSheet!$A:$R,18,0)</f>
        <v>50</v>
      </c>
      <c r="Q68" s="13">
        <f t="shared" si="3"/>
        <v>85.6</v>
      </c>
      <c r="R68" s="30">
        <v>1400</v>
      </c>
      <c r="S68" s="30"/>
      <c r="T68" s="13">
        <f>VLOOKUP(A:A,[3]TDSheet!$A:$T,20,0)</f>
        <v>0</v>
      </c>
      <c r="U68" s="13">
        <f t="shared" si="4"/>
        <v>21.05140186915888</v>
      </c>
      <c r="V68" s="13">
        <f t="shared" si="5"/>
        <v>4.1121495327102808</v>
      </c>
      <c r="W68" s="13">
        <f>VLOOKUP(A:A,[1]TDSheet!$A:$X,24,0)</f>
        <v>0</v>
      </c>
      <c r="X68" s="13">
        <f>VLOOKUP(A:A,[1]TDSheet!$A:$Y,25,0)</f>
        <v>0</v>
      </c>
      <c r="Y68" s="13">
        <f>VLOOKUP(A:A,[1]TDSheet!$A:$Z,26,0)</f>
        <v>28</v>
      </c>
      <c r="Z68" s="13">
        <f>VLOOKUP(A:A,[1]TDSheet!$A:$Q,17,0)</f>
        <v>12</v>
      </c>
      <c r="AA68" s="13" t="e">
        <f>VLOOKUP(A:A,[1]TDSheet!$A:$AA,27,0)</f>
        <v>#N/A</v>
      </c>
      <c r="AB68" s="13">
        <f t="shared" si="6"/>
        <v>1400</v>
      </c>
      <c r="AC68" s="13">
        <v>5</v>
      </c>
      <c r="AD68" s="13">
        <f t="shared" si="8"/>
        <v>276</v>
      </c>
      <c r="AE68" s="13">
        <f t="shared" si="7"/>
        <v>1380</v>
      </c>
      <c r="AF68" s="13">
        <f>VLOOKUP(A:A,[1]TDSheet!$A:$AF,32,0)</f>
        <v>12</v>
      </c>
      <c r="AG68" s="13">
        <f>VLOOKUP(A:A,[1]TDSheet!$A:$AG,33,0)</f>
        <v>84</v>
      </c>
      <c r="AH68" s="13">
        <f>AD68/AG68</f>
        <v>3.2857142857142856</v>
      </c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</row>
    <row r="69" spans="1:109" ht="11.45" customHeight="1" x14ac:dyDescent="0.2">
      <c r="D69" s="14"/>
      <c r="E69" s="14"/>
      <c r="F69" s="14"/>
      <c r="G69" s="14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</row>
    <row r="70" spans="1:109" ht="11.45" customHeight="1" x14ac:dyDescent="0.2">
      <c r="D70" s="14"/>
      <c r="E70" s="14"/>
      <c r="F70" s="14"/>
      <c r="G70" s="14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</row>
    <row r="71" spans="1:109" ht="11.45" customHeight="1" x14ac:dyDescent="0.2">
      <c r="D71" s="14"/>
      <c r="E71" s="14"/>
      <c r="F71" s="14"/>
      <c r="G71" s="14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</row>
    <row r="72" spans="1:109" ht="11.45" customHeight="1" x14ac:dyDescent="0.2">
      <c r="D72" s="14"/>
      <c r="E72" s="14"/>
      <c r="F72" s="14"/>
      <c r="G72" s="14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</row>
    <row r="73" spans="1:109" ht="11.45" customHeight="1" x14ac:dyDescent="0.2">
      <c r="D73" s="14"/>
      <c r="E73" s="14"/>
      <c r="F73" s="14"/>
      <c r="G73" s="14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</row>
    <row r="74" spans="1:109" ht="11.45" customHeight="1" x14ac:dyDescent="0.2">
      <c r="D74" s="14"/>
      <c r="E74" s="14"/>
      <c r="F74" s="14"/>
      <c r="G74" s="14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</row>
    <row r="75" spans="1:109" ht="11.45" customHeight="1" x14ac:dyDescent="0.2">
      <c r="D75" s="14"/>
      <c r="E75" s="14"/>
      <c r="F75" s="14"/>
      <c r="G75" s="14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</row>
    <row r="76" spans="1:109" ht="11.45" customHeight="1" x14ac:dyDescent="0.2">
      <c r="D76" s="14"/>
      <c r="E76" s="14"/>
      <c r="F76" s="14"/>
      <c r="G76" s="14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</row>
    <row r="77" spans="1:109" ht="11.45" customHeight="1" x14ac:dyDescent="0.2">
      <c r="D77" s="14"/>
      <c r="E77" s="14"/>
      <c r="F77" s="14"/>
      <c r="G77" s="14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</row>
    <row r="78" spans="1:109" ht="11.45" customHeight="1" x14ac:dyDescent="0.2">
      <c r="D78" s="14"/>
      <c r="E78" s="14"/>
      <c r="F78" s="14"/>
      <c r="G78" s="14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</row>
    <row r="79" spans="1:109" ht="11.45" customHeight="1" x14ac:dyDescent="0.2">
      <c r="D79" s="14"/>
      <c r="E79" s="14"/>
      <c r="F79" s="14"/>
      <c r="G79" s="14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</row>
    <row r="80" spans="1:109" ht="11.45" customHeight="1" x14ac:dyDescent="0.2">
      <c r="D80" s="14"/>
      <c r="E80" s="14"/>
      <c r="F80" s="14"/>
      <c r="G80" s="14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</row>
    <row r="81" spans="4:109" ht="11.45" customHeight="1" x14ac:dyDescent="0.2">
      <c r="D81" s="14"/>
      <c r="E81" s="14"/>
      <c r="F81" s="14"/>
      <c r="G81" s="14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</row>
    <row r="82" spans="4:109" ht="11.45" customHeight="1" x14ac:dyDescent="0.2">
      <c r="D82" s="14"/>
      <c r="E82" s="14"/>
      <c r="F82" s="14"/>
      <c r="G82" s="14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</row>
    <row r="83" spans="4:109" ht="11.45" customHeight="1" x14ac:dyDescent="0.2">
      <c r="D83" s="14"/>
      <c r="E83" s="14"/>
      <c r="F83" s="14"/>
      <c r="G83" s="14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</row>
    <row r="84" spans="4:109" ht="11.45" customHeight="1" x14ac:dyDescent="0.2">
      <c r="D84" s="14"/>
      <c r="E84" s="14"/>
      <c r="F84" s="14"/>
      <c r="G84" s="14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</row>
    <row r="85" spans="4:109" ht="11.45" customHeight="1" x14ac:dyDescent="0.2">
      <c r="D85" s="14"/>
      <c r="E85" s="14"/>
      <c r="F85" s="14"/>
      <c r="G85" s="14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</row>
    <row r="86" spans="4:109" ht="11.45" customHeight="1" x14ac:dyDescent="0.2">
      <c r="D86" s="14"/>
      <c r="E86" s="14"/>
      <c r="F86" s="14"/>
      <c r="G86" s="14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</row>
    <row r="87" spans="4:109" ht="11.45" customHeight="1" x14ac:dyDescent="0.2">
      <c r="D87" s="14"/>
      <c r="E87" s="14"/>
      <c r="F87" s="14"/>
      <c r="G87" s="14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</row>
    <row r="88" spans="4:109" ht="11.45" customHeight="1" x14ac:dyDescent="0.2">
      <c r="D88" s="14"/>
      <c r="E88" s="14"/>
      <c r="F88" s="14"/>
      <c r="G88" s="14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</row>
    <row r="89" spans="4:109" ht="11.45" customHeight="1" x14ac:dyDescent="0.2">
      <c r="D89" s="14"/>
      <c r="E89" s="14"/>
      <c r="F89" s="14"/>
      <c r="G89" s="14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</row>
    <row r="90" spans="4:109" ht="11.45" customHeight="1" x14ac:dyDescent="0.2">
      <c r="D90" s="14"/>
      <c r="E90" s="14"/>
      <c r="F90" s="14"/>
      <c r="G90" s="14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</row>
    <row r="91" spans="4:109" ht="11.45" customHeight="1" x14ac:dyDescent="0.2">
      <c r="D91" s="14"/>
      <c r="E91" s="14"/>
      <c r="F91" s="14"/>
      <c r="G91" s="14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</row>
    <row r="92" spans="4:109" ht="11.45" customHeight="1" x14ac:dyDescent="0.2">
      <c r="D92" s="14"/>
      <c r="E92" s="14"/>
      <c r="F92" s="14"/>
      <c r="G92" s="14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</row>
    <row r="93" spans="4:109" ht="11.45" customHeight="1" x14ac:dyDescent="0.2">
      <c r="D93" s="14"/>
      <c r="E93" s="14"/>
      <c r="F93" s="14"/>
      <c r="G93" s="14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</row>
    <row r="94" spans="4:109" ht="11.45" customHeight="1" x14ac:dyDescent="0.2">
      <c r="D94" s="14"/>
      <c r="E94" s="14"/>
      <c r="F94" s="14"/>
      <c r="G94" s="14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</row>
    <row r="95" spans="4:109" ht="11.45" customHeight="1" x14ac:dyDescent="0.2">
      <c r="D95" s="14"/>
      <c r="E95" s="14"/>
      <c r="F95" s="14"/>
      <c r="G95" s="14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</row>
    <row r="96" spans="4:109" ht="11.45" customHeight="1" x14ac:dyDescent="0.2">
      <c r="D96" s="14"/>
      <c r="E96" s="14"/>
      <c r="F96" s="14"/>
      <c r="G96" s="14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</row>
    <row r="97" spans="4:109" ht="11.45" customHeight="1" x14ac:dyDescent="0.2">
      <c r="D97" s="14"/>
      <c r="E97" s="14"/>
      <c r="F97" s="14"/>
      <c r="G97" s="14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</row>
    <row r="98" spans="4:109" ht="11.45" customHeight="1" x14ac:dyDescent="0.2">
      <c r="D98" s="14"/>
      <c r="E98" s="14"/>
      <c r="F98" s="14"/>
      <c r="G98" s="14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</row>
    <row r="99" spans="4:109" ht="11.45" customHeight="1" x14ac:dyDescent="0.2">
      <c r="D99" s="14"/>
      <c r="E99" s="14"/>
      <c r="F99" s="14"/>
      <c r="G99" s="14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</row>
    <row r="100" spans="4:109" ht="11.45" customHeight="1" x14ac:dyDescent="0.2">
      <c r="D100" s="14"/>
      <c r="E100" s="14"/>
      <c r="F100" s="14"/>
      <c r="G100" s="14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</row>
    <row r="101" spans="4:109" ht="11.45" customHeight="1" x14ac:dyDescent="0.2">
      <c r="D101" s="14"/>
      <c r="E101" s="14"/>
      <c r="F101" s="14"/>
      <c r="G101" s="14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</row>
    <row r="102" spans="4:109" ht="11.45" customHeight="1" x14ac:dyDescent="0.2">
      <c r="D102" s="14"/>
      <c r="E102" s="14"/>
      <c r="F102" s="14"/>
      <c r="G102" s="14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</row>
    <row r="103" spans="4:109" ht="11.45" customHeight="1" x14ac:dyDescent="0.2">
      <c r="D103" s="14"/>
      <c r="E103" s="14"/>
      <c r="F103" s="14"/>
      <c r="G103" s="14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</row>
    <row r="104" spans="4:109" ht="11.45" customHeight="1" x14ac:dyDescent="0.2">
      <c r="D104" s="14"/>
      <c r="E104" s="14"/>
      <c r="F104" s="14"/>
      <c r="G104" s="14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</row>
    <row r="105" spans="4:109" ht="11.45" customHeight="1" x14ac:dyDescent="0.2">
      <c r="D105" s="14"/>
      <c r="E105" s="14"/>
      <c r="F105" s="14"/>
      <c r="G105" s="14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</row>
    <row r="106" spans="4:109" ht="11.45" customHeight="1" x14ac:dyDescent="0.2">
      <c r="D106" s="14"/>
      <c r="E106" s="14"/>
      <c r="F106" s="14"/>
      <c r="G106" s="14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</row>
    <row r="107" spans="4:109" ht="11.45" customHeight="1" x14ac:dyDescent="0.2">
      <c r="D107" s="14"/>
      <c r="E107" s="14"/>
      <c r="F107" s="14"/>
      <c r="G107" s="14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</row>
    <row r="108" spans="4:109" ht="11.45" customHeight="1" x14ac:dyDescent="0.2">
      <c r="D108" s="14"/>
      <c r="E108" s="14"/>
      <c r="F108" s="14"/>
      <c r="G108" s="14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</row>
    <row r="109" spans="4:109" ht="11.45" customHeight="1" x14ac:dyDescent="0.2">
      <c r="D109" s="14"/>
      <c r="E109" s="14"/>
      <c r="F109" s="14"/>
      <c r="G109" s="14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</row>
    <row r="110" spans="4:109" ht="11.45" customHeight="1" x14ac:dyDescent="0.2">
      <c r="D110" s="14"/>
      <c r="E110" s="14"/>
      <c r="F110" s="14"/>
      <c r="G110" s="14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</row>
    <row r="111" spans="4:109" ht="11.45" customHeight="1" x14ac:dyDescent="0.2">
      <c r="D111" s="14"/>
      <c r="E111" s="14"/>
      <c r="F111" s="14"/>
      <c r="G111" s="14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</row>
    <row r="112" spans="4:109" ht="11.45" customHeight="1" x14ac:dyDescent="0.2">
      <c r="D112" s="14"/>
      <c r="E112" s="14"/>
      <c r="F112" s="14"/>
      <c r="G112" s="14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</row>
    <row r="113" spans="4:109" ht="11.45" customHeight="1" x14ac:dyDescent="0.2">
      <c r="D113" s="14"/>
      <c r="E113" s="14"/>
      <c r="F113" s="14"/>
      <c r="G113" s="14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</row>
    <row r="114" spans="4:109" ht="11.45" customHeight="1" x14ac:dyDescent="0.2">
      <c r="D114" s="14"/>
      <c r="E114" s="14"/>
      <c r="F114" s="14"/>
      <c r="G114" s="14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</row>
    <row r="115" spans="4:109" ht="11.45" customHeight="1" x14ac:dyDescent="0.2">
      <c r="D115" s="14"/>
      <c r="E115" s="14"/>
      <c r="F115" s="14"/>
      <c r="G115" s="14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</row>
    <row r="116" spans="4:109" ht="11.45" customHeight="1" x14ac:dyDescent="0.2">
      <c r="D116" s="14"/>
      <c r="E116" s="14"/>
      <c r="F116" s="14"/>
      <c r="G116" s="14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</row>
    <row r="117" spans="4:109" ht="11.45" customHeight="1" x14ac:dyDescent="0.2">
      <c r="D117" s="14"/>
      <c r="E117" s="14"/>
      <c r="F117" s="14"/>
      <c r="G117" s="14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</row>
    <row r="118" spans="4:109" ht="11.45" customHeight="1" x14ac:dyDescent="0.2">
      <c r="D118" s="14"/>
      <c r="E118" s="14"/>
      <c r="F118" s="14"/>
      <c r="G118" s="14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</row>
    <row r="119" spans="4:109" ht="11.45" customHeight="1" x14ac:dyDescent="0.2">
      <c r="D119" s="14"/>
      <c r="E119" s="14"/>
      <c r="F119" s="14"/>
      <c r="G119" s="14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</row>
    <row r="120" spans="4:109" ht="11.45" customHeight="1" x14ac:dyDescent="0.2">
      <c r="D120" s="14"/>
      <c r="E120" s="14"/>
      <c r="F120" s="14"/>
      <c r="G120" s="14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</row>
    <row r="121" spans="4:109" ht="11.45" customHeight="1" x14ac:dyDescent="0.2">
      <c r="D121" s="14"/>
      <c r="E121" s="14"/>
      <c r="F121" s="14"/>
      <c r="G121" s="14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</row>
    <row r="122" spans="4:109" ht="11.45" customHeight="1" x14ac:dyDescent="0.2">
      <c r="D122" s="14"/>
      <c r="E122" s="14"/>
      <c r="F122" s="14"/>
      <c r="G122" s="14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</row>
    <row r="123" spans="4:109" ht="11.45" customHeight="1" x14ac:dyDescent="0.2">
      <c r="D123" s="14"/>
      <c r="E123" s="14"/>
      <c r="F123" s="14"/>
      <c r="G123" s="14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</row>
    <row r="124" spans="4:109" ht="11.45" customHeight="1" x14ac:dyDescent="0.2">
      <c r="D124" s="14"/>
      <c r="E124" s="14"/>
      <c r="F124" s="14"/>
      <c r="G124" s="14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</row>
    <row r="125" spans="4:109" ht="11.45" customHeight="1" x14ac:dyDescent="0.2">
      <c r="D125" s="14"/>
      <c r="E125" s="14"/>
      <c r="F125" s="14"/>
      <c r="G125" s="14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</row>
    <row r="126" spans="4:109" ht="11.45" customHeight="1" x14ac:dyDescent="0.2">
      <c r="D126" s="14"/>
      <c r="E126" s="14"/>
      <c r="F126" s="14"/>
      <c r="G126" s="14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</row>
    <row r="127" spans="4:109" ht="11.45" customHeight="1" x14ac:dyDescent="0.2">
      <c r="D127" s="14"/>
      <c r="E127" s="14"/>
      <c r="F127" s="14"/>
      <c r="G127" s="14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</row>
    <row r="128" spans="4:109" ht="11.45" customHeight="1" x14ac:dyDescent="0.2">
      <c r="D128" s="14"/>
      <c r="E128" s="14"/>
      <c r="F128" s="14"/>
      <c r="G128" s="14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</row>
    <row r="129" spans="4:109" ht="11.45" customHeight="1" x14ac:dyDescent="0.2">
      <c r="D129" s="14"/>
      <c r="E129" s="14"/>
      <c r="F129" s="14"/>
      <c r="G129" s="14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</row>
    <row r="130" spans="4:109" ht="11.45" customHeight="1" x14ac:dyDescent="0.2">
      <c r="D130" s="14"/>
      <c r="E130" s="14"/>
      <c r="F130" s="14"/>
      <c r="G130" s="14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</row>
    <row r="131" spans="4:109" ht="11.45" customHeight="1" x14ac:dyDescent="0.2">
      <c r="D131" s="14"/>
      <c r="E131" s="14"/>
      <c r="F131" s="14"/>
      <c r="G131" s="14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</row>
    <row r="132" spans="4:109" ht="11.45" customHeight="1" x14ac:dyDescent="0.2">
      <c r="D132" s="14"/>
      <c r="E132" s="14"/>
      <c r="F132" s="14"/>
      <c r="G132" s="14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</row>
    <row r="133" spans="4:109" ht="11.45" customHeight="1" x14ac:dyDescent="0.2">
      <c r="D133" s="14"/>
      <c r="E133" s="14"/>
      <c r="F133" s="14"/>
      <c r="G133" s="14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</row>
    <row r="134" spans="4:109" ht="11.45" customHeight="1" x14ac:dyDescent="0.2">
      <c r="D134" s="14"/>
      <c r="E134" s="14"/>
      <c r="F134" s="14"/>
      <c r="G134" s="14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</row>
    <row r="135" spans="4:109" ht="11.45" customHeight="1" x14ac:dyDescent="0.2">
      <c r="D135" s="14"/>
      <c r="E135" s="14"/>
      <c r="F135" s="14"/>
      <c r="G135" s="14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</row>
    <row r="136" spans="4:109" ht="11.45" customHeight="1" x14ac:dyDescent="0.2">
      <c r="D136" s="14"/>
      <c r="E136" s="14"/>
      <c r="F136" s="14"/>
      <c r="G136" s="14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</row>
    <row r="137" spans="4:109" ht="11.45" customHeight="1" x14ac:dyDescent="0.2">
      <c r="D137" s="14"/>
      <c r="E137" s="14"/>
      <c r="F137" s="14"/>
      <c r="G137" s="14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</row>
    <row r="138" spans="4:109" ht="11.45" customHeight="1" x14ac:dyDescent="0.2">
      <c r="D138" s="14"/>
      <c r="E138" s="14"/>
      <c r="F138" s="14"/>
      <c r="G138" s="14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</row>
    <row r="139" spans="4:109" ht="11.45" customHeight="1" x14ac:dyDescent="0.2">
      <c r="D139" s="14"/>
      <c r="E139" s="14"/>
      <c r="F139" s="14"/>
      <c r="G139" s="14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</row>
    <row r="140" spans="4:109" ht="11.45" customHeight="1" x14ac:dyDescent="0.2">
      <c r="D140" s="14"/>
      <c r="E140" s="14"/>
      <c r="F140" s="14"/>
      <c r="G140" s="14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</row>
    <row r="141" spans="4:109" ht="11.45" customHeight="1" x14ac:dyDescent="0.2">
      <c r="D141" s="14"/>
      <c r="E141" s="14"/>
      <c r="F141" s="14"/>
      <c r="G141" s="14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</row>
    <row r="142" spans="4:109" ht="11.45" customHeight="1" x14ac:dyDescent="0.2">
      <c r="D142" s="14"/>
      <c r="E142" s="14"/>
      <c r="F142" s="14"/>
      <c r="G142" s="14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</row>
    <row r="143" spans="4:109" ht="11.45" customHeight="1" x14ac:dyDescent="0.2">
      <c r="D143" s="14"/>
      <c r="E143" s="14"/>
      <c r="F143" s="14"/>
      <c r="G143" s="14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</row>
    <row r="144" spans="4:109" ht="11.45" customHeight="1" x14ac:dyDescent="0.2">
      <c r="D144" s="14"/>
      <c r="E144" s="14"/>
      <c r="F144" s="14"/>
      <c r="G144" s="14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</row>
    <row r="145" spans="4:109" ht="11.45" customHeight="1" x14ac:dyDescent="0.2">
      <c r="D145" s="14"/>
      <c r="E145" s="14"/>
      <c r="F145" s="14"/>
      <c r="G145" s="14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</row>
    <row r="146" spans="4:109" ht="11.45" customHeight="1" x14ac:dyDescent="0.2">
      <c r="D146" s="14"/>
      <c r="E146" s="14"/>
      <c r="F146" s="14"/>
      <c r="G146" s="14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</row>
    <row r="147" spans="4:109" ht="11.45" customHeight="1" x14ac:dyDescent="0.2">
      <c r="D147" s="14"/>
      <c r="E147" s="14"/>
      <c r="F147" s="14"/>
      <c r="G147" s="14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</row>
    <row r="148" spans="4:109" ht="11.45" customHeight="1" x14ac:dyDescent="0.2">
      <c r="D148" s="14"/>
      <c r="E148" s="14"/>
      <c r="F148" s="14"/>
      <c r="G148" s="14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</row>
    <row r="149" spans="4:109" ht="11.45" customHeight="1" x14ac:dyDescent="0.2">
      <c r="D149" s="14"/>
      <c r="E149" s="14"/>
      <c r="F149" s="14"/>
      <c r="G149" s="14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</row>
    <row r="150" spans="4:109" ht="11.45" customHeight="1" x14ac:dyDescent="0.2">
      <c r="D150" s="14"/>
      <c r="E150" s="14"/>
      <c r="F150" s="14"/>
      <c r="G150" s="14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</row>
    <row r="151" spans="4:109" ht="11.45" customHeight="1" x14ac:dyDescent="0.2">
      <c r="D151" s="14"/>
      <c r="E151" s="14"/>
      <c r="F151" s="14"/>
      <c r="G151" s="14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</row>
    <row r="152" spans="4:109" ht="11.45" customHeight="1" x14ac:dyDescent="0.2">
      <c r="D152" s="14"/>
      <c r="E152" s="14"/>
      <c r="F152" s="14"/>
      <c r="G152" s="14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</row>
    <row r="153" spans="4:109" ht="11.45" customHeight="1" x14ac:dyDescent="0.2">
      <c r="D153" s="14"/>
      <c r="E153" s="14"/>
      <c r="F153" s="14"/>
      <c r="G153" s="14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</row>
    <row r="154" spans="4:109" ht="11.45" customHeight="1" x14ac:dyDescent="0.2">
      <c r="D154" s="14"/>
      <c r="E154" s="14"/>
      <c r="F154" s="14"/>
      <c r="G154" s="14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</row>
    <row r="155" spans="4:109" ht="11.45" customHeight="1" x14ac:dyDescent="0.2">
      <c r="D155" s="14"/>
      <c r="E155" s="14"/>
      <c r="F155" s="14"/>
      <c r="G155" s="14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</row>
    <row r="156" spans="4:109" ht="11.45" customHeight="1" x14ac:dyDescent="0.2">
      <c r="D156" s="14"/>
      <c r="E156" s="14"/>
      <c r="F156" s="14"/>
      <c r="G156" s="14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</row>
    <row r="157" spans="4:109" ht="11.45" customHeight="1" x14ac:dyDescent="0.2">
      <c r="D157" s="14"/>
      <c r="E157" s="14"/>
      <c r="F157" s="14"/>
      <c r="G157" s="14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</row>
    <row r="158" spans="4:109" ht="11.45" customHeight="1" x14ac:dyDescent="0.2">
      <c r="D158" s="14"/>
      <c r="E158" s="14"/>
      <c r="F158" s="14"/>
      <c r="G158" s="14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</row>
    <row r="159" spans="4:109" ht="11.45" customHeight="1" x14ac:dyDescent="0.2">
      <c r="D159" s="14"/>
      <c r="E159" s="14"/>
      <c r="F159" s="14"/>
      <c r="G159" s="14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</row>
    <row r="160" spans="4:109" ht="11.45" customHeight="1" x14ac:dyDescent="0.2">
      <c r="D160" s="14"/>
      <c r="E160" s="14"/>
      <c r="F160" s="14"/>
      <c r="G160" s="14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</row>
    <row r="161" spans="4:109" ht="11.45" customHeight="1" x14ac:dyDescent="0.2">
      <c r="D161" s="14"/>
      <c r="E161" s="14"/>
      <c r="F161" s="14"/>
      <c r="G161" s="14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</row>
    <row r="162" spans="4:109" ht="11.45" customHeight="1" x14ac:dyDescent="0.2">
      <c r="D162" s="14"/>
      <c r="E162" s="14"/>
      <c r="F162" s="14"/>
      <c r="G162" s="14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</row>
    <row r="163" spans="4:109" ht="11.45" customHeight="1" x14ac:dyDescent="0.2">
      <c r="D163" s="14"/>
      <c r="E163" s="14"/>
      <c r="F163" s="14"/>
      <c r="G163" s="14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</row>
    <row r="164" spans="4:109" ht="11.45" customHeight="1" x14ac:dyDescent="0.2">
      <c r="D164" s="14"/>
      <c r="E164" s="14"/>
      <c r="F164" s="14"/>
      <c r="G164" s="14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</row>
    <row r="165" spans="4:109" ht="11.45" customHeight="1" x14ac:dyDescent="0.2">
      <c r="D165" s="14"/>
      <c r="E165" s="14"/>
      <c r="F165" s="14"/>
      <c r="G165" s="14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</row>
    <row r="166" spans="4:109" ht="11.45" customHeight="1" x14ac:dyDescent="0.2">
      <c r="D166" s="14"/>
      <c r="E166" s="14"/>
      <c r="F166" s="14"/>
      <c r="G166" s="14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</row>
    <row r="167" spans="4:109" ht="11.45" customHeight="1" x14ac:dyDescent="0.2">
      <c r="D167" s="14"/>
      <c r="E167" s="14"/>
      <c r="F167" s="14"/>
      <c r="G167" s="14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</row>
    <row r="168" spans="4:109" ht="11.45" customHeight="1" x14ac:dyDescent="0.2">
      <c r="D168" s="14"/>
      <c r="E168" s="14"/>
      <c r="F168" s="14"/>
      <c r="G168" s="14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</row>
    <row r="169" spans="4:109" ht="11.45" customHeight="1" x14ac:dyDescent="0.2">
      <c r="D169" s="14"/>
      <c r="E169" s="14"/>
      <c r="F169" s="14"/>
      <c r="G169" s="14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</row>
    <row r="170" spans="4:109" ht="11.45" customHeight="1" x14ac:dyDescent="0.2">
      <c r="D170" s="14"/>
      <c r="E170" s="14"/>
      <c r="F170" s="14"/>
      <c r="G170" s="14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</row>
    <row r="171" spans="4:109" ht="11.45" customHeight="1" x14ac:dyDescent="0.2">
      <c r="D171" s="14"/>
      <c r="E171" s="14"/>
      <c r="F171" s="14"/>
      <c r="G171" s="14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</row>
    <row r="172" spans="4:109" ht="11.45" customHeight="1" x14ac:dyDescent="0.2">
      <c r="D172" s="14"/>
      <c r="E172" s="14"/>
      <c r="F172" s="14"/>
      <c r="G172" s="14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</row>
    <row r="173" spans="4:109" ht="11.45" customHeight="1" x14ac:dyDescent="0.2">
      <c r="D173" s="14"/>
      <c r="E173" s="14"/>
      <c r="F173" s="14"/>
      <c r="G173" s="14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</row>
    <row r="174" spans="4:109" ht="11.45" customHeight="1" x14ac:dyDescent="0.2">
      <c r="D174" s="14"/>
      <c r="E174" s="14"/>
      <c r="F174" s="14"/>
      <c r="G174" s="14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</row>
    <row r="175" spans="4:109" ht="11.45" customHeight="1" x14ac:dyDescent="0.2">
      <c r="D175" s="14"/>
      <c r="E175" s="14"/>
      <c r="F175" s="14"/>
      <c r="G175" s="14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</row>
    <row r="176" spans="4:109" ht="11.45" customHeight="1" x14ac:dyDescent="0.2">
      <c r="D176" s="14"/>
      <c r="E176" s="14"/>
      <c r="F176" s="14"/>
      <c r="G176" s="14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</row>
    <row r="177" spans="4:109" ht="11.45" customHeight="1" x14ac:dyDescent="0.2">
      <c r="D177" s="14"/>
      <c r="E177" s="14"/>
      <c r="F177" s="14"/>
      <c r="G177" s="14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</row>
    <row r="178" spans="4:109" ht="11.45" customHeight="1" x14ac:dyDescent="0.2">
      <c r="D178" s="14"/>
      <c r="E178" s="14"/>
      <c r="F178" s="14"/>
      <c r="G178" s="14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</row>
    <row r="179" spans="4:109" ht="11.45" customHeight="1" x14ac:dyDescent="0.2">
      <c r="D179" s="14"/>
      <c r="E179" s="14"/>
      <c r="F179" s="14"/>
      <c r="G179" s="14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</row>
    <row r="180" spans="4:109" ht="11.45" customHeight="1" x14ac:dyDescent="0.2">
      <c r="D180" s="14"/>
      <c r="E180" s="14"/>
      <c r="F180" s="14"/>
      <c r="G180" s="14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</row>
    <row r="181" spans="4:109" ht="11.45" customHeight="1" x14ac:dyDescent="0.2">
      <c r="D181" s="14"/>
      <c r="E181" s="14"/>
      <c r="F181" s="14"/>
      <c r="G181" s="14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</row>
    <row r="182" spans="4:109" ht="11.45" customHeight="1" x14ac:dyDescent="0.2">
      <c r="D182" s="14"/>
      <c r="E182" s="14"/>
      <c r="F182" s="14"/>
      <c r="G182" s="14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</row>
    <row r="183" spans="4:109" ht="11.45" customHeight="1" x14ac:dyDescent="0.2">
      <c r="D183" s="14"/>
      <c r="E183" s="14"/>
      <c r="F183" s="14"/>
      <c r="G183" s="14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</row>
    <row r="184" spans="4:109" ht="11.45" customHeight="1" x14ac:dyDescent="0.2">
      <c r="D184" s="14"/>
      <c r="E184" s="14"/>
      <c r="F184" s="14"/>
      <c r="G184" s="14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</row>
    <row r="185" spans="4:109" ht="11.45" customHeight="1" x14ac:dyDescent="0.2">
      <c r="D185" s="14"/>
      <c r="E185" s="14"/>
      <c r="F185" s="14"/>
      <c r="G185" s="14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</row>
    <row r="186" spans="4:109" ht="11.45" customHeight="1" x14ac:dyDescent="0.2">
      <c r="D186" s="14"/>
      <c r="E186" s="14"/>
      <c r="F186" s="14"/>
      <c r="G186" s="14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</row>
    <row r="187" spans="4:109" ht="11.45" customHeight="1" x14ac:dyDescent="0.2">
      <c r="D187" s="14"/>
      <c r="E187" s="14"/>
      <c r="F187" s="14"/>
      <c r="G187" s="14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</row>
    <row r="188" spans="4:109" ht="11.45" customHeight="1" x14ac:dyDescent="0.2">
      <c r="D188" s="14"/>
      <c r="E188" s="14"/>
      <c r="F188" s="14"/>
      <c r="G188" s="14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</row>
    <row r="189" spans="4:109" ht="11.45" customHeight="1" x14ac:dyDescent="0.2">
      <c r="D189" s="14"/>
      <c r="E189" s="14"/>
      <c r="F189" s="14"/>
      <c r="G189" s="14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</row>
    <row r="190" spans="4:109" ht="11.45" customHeight="1" x14ac:dyDescent="0.2">
      <c r="D190" s="14"/>
      <c r="E190" s="14"/>
      <c r="F190" s="14"/>
      <c r="G190" s="14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</row>
    <row r="191" spans="4:109" ht="11.45" customHeight="1" x14ac:dyDescent="0.2">
      <c r="D191" s="14"/>
      <c r="E191" s="14"/>
      <c r="F191" s="14"/>
      <c r="G191" s="14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</row>
    <row r="192" spans="4:109" ht="11.45" customHeight="1" x14ac:dyDescent="0.2">
      <c r="D192" s="14"/>
      <c r="E192" s="14"/>
      <c r="F192" s="14"/>
      <c r="G192" s="14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</row>
    <row r="193" spans="4:109" ht="11.45" customHeight="1" x14ac:dyDescent="0.2">
      <c r="D193" s="14"/>
      <c r="E193" s="14"/>
      <c r="F193" s="14"/>
      <c r="G193" s="14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</row>
    <row r="194" spans="4:109" ht="11.45" customHeight="1" x14ac:dyDescent="0.2">
      <c r="D194" s="14"/>
      <c r="E194" s="14"/>
      <c r="F194" s="14"/>
      <c r="G194" s="14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</row>
    <row r="195" spans="4:109" ht="11.45" customHeight="1" x14ac:dyDescent="0.2">
      <c r="D195" s="14"/>
      <c r="E195" s="14"/>
      <c r="F195" s="14"/>
      <c r="G195" s="14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</row>
    <row r="196" spans="4:109" ht="11.45" customHeight="1" x14ac:dyDescent="0.2">
      <c r="D196" s="14"/>
      <c r="E196" s="14"/>
      <c r="F196" s="14"/>
      <c r="G196" s="14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</row>
    <row r="197" spans="4:109" ht="11.45" customHeight="1" x14ac:dyDescent="0.2">
      <c r="D197" s="14"/>
      <c r="E197" s="14"/>
      <c r="F197" s="14"/>
      <c r="G197" s="14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</row>
    <row r="198" spans="4:109" ht="11.45" customHeight="1" x14ac:dyDescent="0.2">
      <c r="D198" s="14"/>
      <c r="E198" s="14"/>
      <c r="F198" s="14"/>
      <c r="G198" s="14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</row>
    <row r="199" spans="4:109" ht="11.45" customHeight="1" x14ac:dyDescent="0.2">
      <c r="D199" s="14"/>
      <c r="E199" s="14"/>
      <c r="F199" s="14"/>
      <c r="G199" s="14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</row>
    <row r="200" spans="4:109" ht="11.45" customHeight="1" x14ac:dyDescent="0.2">
      <c r="D200" s="14"/>
      <c r="E200" s="14"/>
      <c r="F200" s="14"/>
      <c r="G200" s="14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</row>
    <row r="201" spans="4:109" ht="11.45" customHeight="1" x14ac:dyDescent="0.2">
      <c r="D201" s="14"/>
      <c r="E201" s="14"/>
      <c r="F201" s="14"/>
      <c r="G201" s="14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</row>
    <row r="202" spans="4:109" ht="11.45" customHeight="1" x14ac:dyDescent="0.2">
      <c r="D202" s="14"/>
      <c r="E202" s="14"/>
      <c r="F202" s="14"/>
      <c r="G202" s="14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</row>
    <row r="203" spans="4:109" ht="11.45" customHeight="1" x14ac:dyDescent="0.2">
      <c r="D203" s="14"/>
      <c r="E203" s="14"/>
      <c r="F203" s="14"/>
      <c r="G203" s="14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</row>
    <row r="204" spans="4:109" ht="11.45" customHeight="1" x14ac:dyDescent="0.2">
      <c r="D204" s="14"/>
      <c r="E204" s="14"/>
      <c r="F204" s="14"/>
      <c r="G204" s="14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</row>
    <row r="205" spans="4:109" ht="11.45" customHeight="1" x14ac:dyDescent="0.2">
      <c r="D205" s="14"/>
      <c r="E205" s="14"/>
      <c r="F205" s="14"/>
      <c r="G205" s="14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</row>
    <row r="206" spans="4:109" ht="11.45" customHeight="1" x14ac:dyDescent="0.2">
      <c r="D206" s="14"/>
      <c r="E206" s="14"/>
      <c r="F206" s="14"/>
      <c r="G206" s="14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</row>
    <row r="207" spans="4:109" ht="11.45" customHeight="1" x14ac:dyDescent="0.2">
      <c r="D207" s="14"/>
      <c r="E207" s="14"/>
      <c r="F207" s="14"/>
      <c r="G207" s="14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</row>
    <row r="208" spans="4:109" ht="11.45" customHeight="1" x14ac:dyDescent="0.2">
      <c r="D208" s="14"/>
      <c r="E208" s="14"/>
      <c r="F208" s="14"/>
      <c r="G208" s="14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</row>
    <row r="209" spans="4:109" ht="11.45" customHeight="1" x14ac:dyDescent="0.2">
      <c r="D209" s="14"/>
      <c r="E209" s="14"/>
      <c r="F209" s="14"/>
      <c r="G209" s="14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</row>
    <row r="210" spans="4:109" ht="11.45" customHeight="1" x14ac:dyDescent="0.2">
      <c r="D210" s="14"/>
      <c r="E210" s="14"/>
      <c r="F210" s="14"/>
      <c r="G210" s="14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</row>
    <row r="211" spans="4:109" ht="11.45" customHeight="1" x14ac:dyDescent="0.2">
      <c r="D211" s="14"/>
      <c r="E211" s="14"/>
      <c r="F211" s="14"/>
      <c r="G211" s="14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</row>
    <row r="212" spans="4:109" ht="11.45" customHeight="1" x14ac:dyDescent="0.2">
      <c r="D212" s="14"/>
      <c r="E212" s="14"/>
      <c r="F212" s="14"/>
      <c r="G212" s="14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</row>
    <row r="213" spans="4:109" ht="11.45" customHeight="1" x14ac:dyDescent="0.2">
      <c r="D213" s="14"/>
      <c r="E213" s="14"/>
      <c r="F213" s="14"/>
      <c r="G213" s="14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</row>
    <row r="214" spans="4:109" ht="11.45" customHeight="1" x14ac:dyDescent="0.2">
      <c r="D214" s="14"/>
      <c r="E214" s="14"/>
      <c r="F214" s="14"/>
      <c r="G214" s="14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</row>
    <row r="215" spans="4:109" ht="11.45" customHeight="1" x14ac:dyDescent="0.2">
      <c r="D215" s="14"/>
      <c r="E215" s="14"/>
      <c r="F215" s="14"/>
      <c r="G215" s="14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</row>
    <row r="216" spans="4:109" ht="11.45" customHeight="1" x14ac:dyDescent="0.2">
      <c r="D216" s="14"/>
      <c r="E216" s="14"/>
      <c r="F216" s="14"/>
      <c r="G216" s="14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</row>
    <row r="217" spans="4:109" ht="11.45" customHeight="1" x14ac:dyDescent="0.2">
      <c r="D217" s="14"/>
      <c r="E217" s="14"/>
      <c r="F217" s="14"/>
      <c r="G217" s="14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</row>
    <row r="218" spans="4:109" ht="11.45" customHeight="1" x14ac:dyDescent="0.2">
      <c r="D218" s="14"/>
      <c r="E218" s="14"/>
      <c r="F218" s="14"/>
      <c r="G218" s="14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</row>
    <row r="219" spans="4:109" ht="11.45" customHeight="1" x14ac:dyDescent="0.2">
      <c r="D219" s="14"/>
      <c r="E219" s="14"/>
      <c r="F219" s="14"/>
      <c r="G219" s="14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</row>
    <row r="220" spans="4:109" ht="11.45" customHeight="1" x14ac:dyDescent="0.2">
      <c r="D220" s="14"/>
      <c r="E220" s="14"/>
      <c r="F220" s="14"/>
      <c r="G220" s="14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</row>
    <row r="221" spans="4:109" ht="11.45" customHeight="1" x14ac:dyDescent="0.2">
      <c r="D221" s="14"/>
      <c r="E221" s="14"/>
      <c r="F221" s="14"/>
      <c r="G221" s="14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</row>
    <row r="222" spans="4:109" ht="11.45" customHeight="1" x14ac:dyDescent="0.2">
      <c r="D222" s="14"/>
      <c r="E222" s="14"/>
      <c r="F222" s="14"/>
      <c r="G222" s="14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</row>
    <row r="223" spans="4:109" ht="11.45" customHeight="1" x14ac:dyDescent="0.2">
      <c r="D223" s="14"/>
      <c r="E223" s="14"/>
      <c r="F223" s="14"/>
      <c r="G223" s="14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spans="4:109" ht="11.45" customHeight="1" x14ac:dyDescent="0.2">
      <c r="D224" s="14"/>
      <c r="E224" s="14"/>
      <c r="F224" s="14"/>
      <c r="G224" s="14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</row>
    <row r="225" spans="4:109" ht="11.45" customHeight="1" x14ac:dyDescent="0.2">
      <c r="D225" s="14"/>
      <c r="E225" s="14"/>
      <c r="F225" s="14"/>
      <c r="G225" s="14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</row>
    <row r="226" spans="4:109" ht="11.45" customHeight="1" x14ac:dyDescent="0.2">
      <c r="D226" s="14"/>
      <c r="E226" s="14"/>
      <c r="F226" s="14"/>
      <c r="G226" s="14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</row>
    <row r="227" spans="4:109" ht="11.45" customHeight="1" x14ac:dyDescent="0.2">
      <c r="D227" s="14"/>
      <c r="E227" s="14"/>
      <c r="F227" s="14"/>
      <c r="G227" s="14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</row>
    <row r="228" spans="4:109" ht="11.45" customHeight="1" x14ac:dyDescent="0.2">
      <c r="D228" s="14"/>
      <c r="E228" s="14"/>
      <c r="F228" s="14"/>
      <c r="G228" s="14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</row>
    <row r="229" spans="4:109" ht="11.45" customHeight="1" x14ac:dyDescent="0.2">
      <c r="D229" s="14"/>
      <c r="E229" s="14"/>
      <c r="F229" s="14"/>
      <c r="G229" s="14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</row>
    <row r="230" spans="4:109" ht="11.45" customHeight="1" x14ac:dyDescent="0.2">
      <c r="D230" s="14"/>
      <c r="E230" s="14"/>
      <c r="F230" s="14"/>
      <c r="G230" s="14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</row>
    <row r="231" spans="4:109" ht="11.45" customHeight="1" x14ac:dyDescent="0.2">
      <c r="D231" s="14"/>
      <c r="E231" s="14"/>
      <c r="F231" s="14"/>
      <c r="G231" s="14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</row>
    <row r="232" spans="4:109" ht="11.45" customHeight="1" x14ac:dyDescent="0.2">
      <c r="D232" s="14"/>
      <c r="E232" s="14"/>
      <c r="F232" s="14"/>
      <c r="G232" s="14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</row>
    <row r="233" spans="4:109" ht="11.45" customHeight="1" x14ac:dyDescent="0.2">
      <c r="D233" s="14"/>
      <c r="E233" s="14"/>
      <c r="F233" s="14"/>
      <c r="G233" s="14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</row>
    <row r="234" spans="4:109" ht="11.45" customHeight="1" x14ac:dyDescent="0.2">
      <c r="D234" s="14"/>
      <c r="E234" s="14"/>
      <c r="F234" s="14"/>
      <c r="G234" s="14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</row>
    <row r="235" spans="4:109" ht="11.45" customHeight="1" x14ac:dyDescent="0.2">
      <c r="D235" s="14"/>
      <c r="E235" s="14"/>
      <c r="F235" s="14"/>
      <c r="G235" s="14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</row>
    <row r="236" spans="4:109" ht="11.45" customHeight="1" x14ac:dyDescent="0.2">
      <c r="D236" s="14"/>
      <c r="E236" s="14"/>
      <c r="F236" s="14"/>
      <c r="G236" s="14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</row>
    <row r="237" spans="4:109" ht="11.45" customHeight="1" x14ac:dyDescent="0.2">
      <c r="D237" s="14"/>
      <c r="E237" s="14"/>
      <c r="F237" s="14"/>
      <c r="G237" s="14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</row>
    <row r="238" spans="4:109" ht="11.45" customHeight="1" x14ac:dyDescent="0.2">
      <c r="D238" s="14"/>
      <c r="E238" s="14"/>
      <c r="F238" s="14"/>
      <c r="G238" s="14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</row>
    <row r="239" spans="4:109" ht="11.45" customHeight="1" x14ac:dyDescent="0.2">
      <c r="D239" s="14"/>
      <c r="E239" s="14"/>
      <c r="F239" s="14"/>
      <c r="G239" s="14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</row>
    <row r="240" spans="4:109" ht="11.45" customHeight="1" x14ac:dyDescent="0.2">
      <c r="D240" s="14"/>
      <c r="E240" s="14"/>
      <c r="F240" s="14"/>
      <c r="G240" s="14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</row>
    <row r="241" spans="4:109" ht="11.45" customHeight="1" x14ac:dyDescent="0.2">
      <c r="D241" s="14"/>
      <c r="E241" s="14"/>
      <c r="F241" s="14"/>
      <c r="G241" s="14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</row>
    <row r="242" spans="4:109" ht="11.45" customHeight="1" x14ac:dyDescent="0.2">
      <c r="D242" s="14"/>
      <c r="E242" s="14"/>
      <c r="F242" s="14"/>
      <c r="G242" s="14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</row>
    <row r="243" spans="4:109" ht="11.45" customHeight="1" x14ac:dyDescent="0.2">
      <c r="D243" s="14"/>
      <c r="E243" s="14"/>
      <c r="F243" s="14"/>
      <c r="G243" s="14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</row>
    <row r="244" spans="4:109" ht="11.45" customHeight="1" x14ac:dyDescent="0.2">
      <c r="D244" s="14"/>
      <c r="E244" s="14"/>
      <c r="F244" s="14"/>
      <c r="G244" s="14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</row>
    <row r="245" spans="4:109" ht="11.45" customHeight="1" x14ac:dyDescent="0.2">
      <c r="D245" s="14"/>
      <c r="E245" s="14"/>
      <c r="F245" s="14"/>
      <c r="G245" s="14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</row>
    <row r="246" spans="4:109" ht="11.45" customHeight="1" x14ac:dyDescent="0.2">
      <c r="D246" s="14"/>
      <c r="E246" s="14"/>
      <c r="F246" s="14"/>
      <c r="G246" s="14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</row>
    <row r="247" spans="4:109" ht="11.45" customHeight="1" x14ac:dyDescent="0.2">
      <c r="D247" s="14"/>
      <c r="E247" s="14"/>
      <c r="F247" s="14"/>
      <c r="G247" s="14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</row>
    <row r="248" spans="4:109" ht="11.45" customHeight="1" x14ac:dyDescent="0.2">
      <c r="D248" s="14"/>
      <c r="E248" s="14"/>
      <c r="F248" s="14"/>
      <c r="G248" s="14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</row>
    <row r="249" spans="4:109" ht="11.45" customHeight="1" x14ac:dyDescent="0.2">
      <c r="D249" s="14"/>
      <c r="E249" s="14"/>
      <c r="F249" s="14"/>
      <c r="G249" s="14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</row>
    <row r="250" spans="4:109" ht="11.45" customHeight="1" x14ac:dyDescent="0.2">
      <c r="D250" s="14"/>
      <c r="E250" s="14"/>
      <c r="F250" s="14"/>
      <c r="G250" s="14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</row>
    <row r="251" spans="4:109" ht="11.45" customHeight="1" x14ac:dyDescent="0.2">
      <c r="D251" s="14"/>
      <c r="E251" s="14"/>
      <c r="F251" s="14"/>
      <c r="G251" s="14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</row>
    <row r="252" spans="4:109" ht="11.45" customHeight="1" x14ac:dyDescent="0.2">
      <c r="D252" s="14"/>
      <c r="E252" s="14"/>
      <c r="F252" s="14"/>
      <c r="G252" s="14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</row>
    <row r="253" spans="4:109" ht="11.45" customHeight="1" x14ac:dyDescent="0.2">
      <c r="D253" s="14"/>
      <c r="E253" s="14"/>
      <c r="F253" s="14"/>
      <c r="G253" s="14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</row>
    <row r="254" spans="4:109" ht="11.45" customHeight="1" x14ac:dyDescent="0.2">
      <c r="D254" s="14"/>
      <c r="E254" s="14"/>
      <c r="F254" s="14"/>
      <c r="G254" s="14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</row>
    <row r="255" spans="4:109" ht="11.45" customHeight="1" x14ac:dyDescent="0.2">
      <c r="D255" s="14"/>
      <c r="E255" s="14"/>
      <c r="F255" s="14"/>
      <c r="G255" s="14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</row>
    <row r="256" spans="4:109" ht="11.45" customHeight="1" x14ac:dyDescent="0.2">
      <c r="D256" s="14"/>
      <c r="E256" s="14"/>
      <c r="F256" s="14"/>
      <c r="G256" s="14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</row>
    <row r="257" spans="4:109" ht="11.45" customHeight="1" x14ac:dyDescent="0.2">
      <c r="D257" s="14"/>
      <c r="E257" s="14"/>
      <c r="F257" s="14"/>
      <c r="G257" s="14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</row>
    <row r="258" spans="4:109" ht="11.45" customHeight="1" x14ac:dyDescent="0.2">
      <c r="D258" s="14"/>
      <c r="E258" s="14"/>
      <c r="F258" s="14"/>
      <c r="G258" s="14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</row>
    <row r="259" spans="4:109" ht="11.45" customHeight="1" x14ac:dyDescent="0.2">
      <c r="D259" s="14"/>
      <c r="E259" s="14"/>
      <c r="F259" s="14"/>
      <c r="G259" s="14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</row>
    <row r="260" spans="4:109" ht="11.45" customHeight="1" x14ac:dyDescent="0.2">
      <c r="D260" s="14"/>
      <c r="E260" s="14"/>
      <c r="F260" s="14"/>
      <c r="G260" s="14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</row>
    <row r="261" spans="4:109" ht="11.45" customHeight="1" x14ac:dyDescent="0.2">
      <c r="D261" s="14"/>
      <c r="E261" s="14"/>
      <c r="F261" s="14"/>
      <c r="G261" s="14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</row>
    <row r="262" spans="4:109" ht="11.45" customHeight="1" x14ac:dyDescent="0.2">
      <c r="D262" s="14"/>
      <c r="E262" s="14"/>
      <c r="F262" s="14"/>
      <c r="G262" s="14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</row>
    <row r="263" spans="4:109" ht="11.45" customHeight="1" x14ac:dyDescent="0.2">
      <c r="D263" s="14"/>
      <c r="E263" s="14"/>
      <c r="F263" s="14"/>
      <c r="G263" s="14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</row>
    <row r="264" spans="4:109" ht="11.45" customHeight="1" x14ac:dyDescent="0.2">
      <c r="D264" s="14"/>
      <c r="E264" s="14"/>
      <c r="F264" s="14"/>
      <c r="G264" s="14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</row>
    <row r="265" spans="4:109" ht="11.45" customHeight="1" x14ac:dyDescent="0.2">
      <c r="D265" s="14"/>
      <c r="E265" s="14"/>
      <c r="F265" s="14"/>
      <c r="G265" s="14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</row>
    <row r="266" spans="4:109" ht="11.45" customHeight="1" x14ac:dyDescent="0.2">
      <c r="D266" s="14"/>
      <c r="E266" s="14"/>
      <c r="F266" s="14"/>
      <c r="G266" s="14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</row>
    <row r="267" spans="4:109" ht="11.45" customHeight="1" x14ac:dyDescent="0.2">
      <c r="D267" s="14"/>
      <c r="E267" s="14"/>
      <c r="F267" s="14"/>
      <c r="G267" s="14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spans="4:109" ht="11.45" customHeight="1" x14ac:dyDescent="0.2">
      <c r="D268" s="14"/>
      <c r="E268" s="14"/>
      <c r="F268" s="14"/>
      <c r="G268" s="14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</row>
    <row r="269" spans="4:109" ht="11.45" customHeight="1" x14ac:dyDescent="0.2">
      <c r="D269" s="14"/>
      <c r="E269" s="14"/>
      <c r="F269" s="14"/>
      <c r="G269" s="14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</row>
    <row r="270" spans="4:109" ht="11.45" customHeight="1" x14ac:dyDescent="0.2">
      <c r="D270" s="14"/>
      <c r="E270" s="14"/>
      <c r="F270" s="14"/>
      <c r="G270" s="14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</row>
    <row r="271" spans="4:109" ht="11.45" customHeight="1" x14ac:dyDescent="0.2">
      <c r="D271" s="14"/>
      <c r="E271" s="14"/>
      <c r="F271" s="14"/>
      <c r="G271" s="14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</row>
    <row r="272" spans="4:109" ht="11.45" customHeight="1" x14ac:dyDescent="0.2">
      <c r="D272" s="14"/>
      <c r="E272" s="14"/>
      <c r="F272" s="14"/>
      <c r="G272" s="14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</row>
    <row r="273" spans="4:109" ht="11.45" customHeight="1" x14ac:dyDescent="0.2">
      <c r="D273" s="14"/>
      <c r="E273" s="14"/>
      <c r="F273" s="14"/>
      <c r="G273" s="14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</row>
    <row r="274" spans="4:109" ht="11.45" customHeight="1" x14ac:dyDescent="0.2">
      <c r="D274" s="14"/>
      <c r="E274" s="14"/>
      <c r="F274" s="14"/>
      <c r="G274" s="14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</row>
    <row r="275" spans="4:109" ht="11.45" customHeight="1" x14ac:dyDescent="0.2">
      <c r="D275" s="14"/>
      <c r="E275" s="14"/>
      <c r="F275" s="14"/>
      <c r="G275" s="14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</row>
    <row r="276" spans="4:109" ht="11.45" customHeight="1" x14ac:dyDescent="0.2">
      <c r="D276" s="14"/>
      <c r="E276" s="14"/>
      <c r="F276" s="14"/>
      <c r="G276" s="14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</row>
    <row r="277" spans="4:109" ht="11.45" customHeight="1" x14ac:dyDescent="0.2">
      <c r="D277" s="14"/>
      <c r="E277" s="14"/>
      <c r="F277" s="14"/>
      <c r="G277" s="14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</row>
    <row r="278" spans="4:109" ht="11.45" customHeight="1" x14ac:dyDescent="0.2">
      <c r="D278" s="14"/>
      <c r="E278" s="14"/>
      <c r="F278" s="14"/>
      <c r="G278" s="14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</row>
    <row r="279" spans="4:109" ht="11.45" customHeight="1" x14ac:dyDescent="0.2">
      <c r="D279" s="14"/>
      <c r="E279" s="14"/>
      <c r="F279" s="14"/>
      <c r="G279" s="14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</row>
    <row r="280" spans="4:109" ht="11.45" customHeight="1" x14ac:dyDescent="0.2">
      <c r="D280" s="14"/>
      <c r="E280" s="14"/>
      <c r="F280" s="14"/>
      <c r="G280" s="14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</row>
    <row r="281" spans="4:109" ht="11.45" customHeight="1" x14ac:dyDescent="0.2">
      <c r="D281" s="14"/>
      <c r="E281" s="14"/>
      <c r="F281" s="14"/>
      <c r="G281" s="14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</row>
    <row r="282" spans="4:109" ht="11.45" customHeight="1" x14ac:dyDescent="0.2">
      <c r="D282" s="14"/>
      <c r="E282" s="14"/>
      <c r="F282" s="14"/>
      <c r="G282" s="14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</row>
    <row r="283" spans="4:109" ht="11.45" customHeight="1" x14ac:dyDescent="0.2">
      <c r="D283" s="14"/>
      <c r="E283" s="14"/>
      <c r="F283" s="14"/>
      <c r="G283" s="14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</row>
    <row r="284" spans="4:109" ht="11.45" customHeight="1" x14ac:dyDescent="0.2">
      <c r="D284" s="14"/>
      <c r="E284" s="14"/>
      <c r="F284" s="14"/>
      <c r="G284" s="14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</row>
    <row r="285" spans="4:109" ht="11.45" customHeight="1" x14ac:dyDescent="0.2">
      <c r="D285" s="14"/>
      <c r="E285" s="14"/>
      <c r="F285" s="14"/>
      <c r="G285" s="14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</row>
    <row r="286" spans="4:109" ht="11.45" customHeight="1" x14ac:dyDescent="0.2">
      <c r="D286" s="14"/>
      <c r="E286" s="14"/>
      <c r="F286" s="14"/>
      <c r="G286" s="14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2026-06-25T15:32:56Z</dcterms:modified>
</cp:coreProperties>
</file>