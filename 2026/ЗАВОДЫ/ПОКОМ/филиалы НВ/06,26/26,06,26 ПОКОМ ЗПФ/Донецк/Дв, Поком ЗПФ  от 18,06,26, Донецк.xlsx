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Донецк\"/>
    </mc:Choice>
  </mc:AlternateContent>
  <xr:revisionPtr revIDLastSave="0" documentId="13_ncr:1_{B3945B1A-916A-4E02-BF7A-692EC13AB7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T12" i="1" l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11" i="1"/>
  <c r="S15" i="1"/>
  <c r="S18" i="1"/>
  <c r="S24" i="1"/>
  <c r="S28" i="1"/>
  <c r="S29" i="1"/>
  <c r="S30" i="1"/>
  <c r="S33" i="1"/>
  <c r="S34" i="1"/>
  <c r="S35" i="1"/>
  <c r="S36" i="1"/>
  <c r="S38" i="1"/>
  <c r="S41" i="1"/>
  <c r="S48" i="1"/>
  <c r="S52" i="1"/>
  <c r="S60" i="1"/>
  <c r="S67" i="1"/>
  <c r="V13" i="1" l="1"/>
  <c r="V15" i="1"/>
  <c r="V17" i="1"/>
  <c r="V19" i="1"/>
  <c r="V21" i="1"/>
  <c r="V23" i="1"/>
  <c r="V25" i="1"/>
  <c r="V27" i="1"/>
  <c r="V29" i="1"/>
  <c r="V31" i="1"/>
  <c r="V33" i="1"/>
  <c r="V35" i="1"/>
  <c r="V37" i="1"/>
  <c r="V39" i="1"/>
  <c r="V41" i="1"/>
  <c r="V43" i="1"/>
  <c r="V45" i="1"/>
  <c r="V47" i="1"/>
  <c r="V49" i="1"/>
  <c r="V51" i="1"/>
  <c r="V53" i="1"/>
  <c r="V55" i="1"/>
  <c r="V57" i="1"/>
  <c r="V59" i="1"/>
  <c r="V61" i="1"/>
  <c r="V63" i="1"/>
  <c r="V65" i="1"/>
  <c r="V70" i="1"/>
  <c r="V11" i="1"/>
  <c r="Q12" i="1"/>
  <c r="V12" i="1" s="1"/>
  <c r="Q13" i="1"/>
  <c r="Q14" i="1"/>
  <c r="V14" i="1" s="1"/>
  <c r="Q15" i="1"/>
  <c r="Q16" i="1"/>
  <c r="Q17" i="1"/>
  <c r="Q18" i="1"/>
  <c r="V18" i="1" s="1"/>
  <c r="Q19" i="1"/>
  <c r="Q20" i="1"/>
  <c r="Q21" i="1"/>
  <c r="Q22" i="1"/>
  <c r="V22" i="1" s="1"/>
  <c r="Q23" i="1"/>
  <c r="Q24" i="1"/>
  <c r="U24" i="1" s="1"/>
  <c r="Q25" i="1"/>
  <c r="Q26" i="1"/>
  <c r="V26" i="1" s="1"/>
  <c r="Q27" i="1"/>
  <c r="Q28" i="1"/>
  <c r="Q29" i="1"/>
  <c r="Q30" i="1"/>
  <c r="V30" i="1" s="1"/>
  <c r="Q31" i="1"/>
  <c r="Q32" i="1"/>
  <c r="Q33" i="1"/>
  <c r="Q34" i="1"/>
  <c r="V34" i="1" s="1"/>
  <c r="Q35" i="1"/>
  <c r="Q36" i="1"/>
  <c r="Q37" i="1"/>
  <c r="Q38" i="1"/>
  <c r="V38" i="1" s="1"/>
  <c r="Q39" i="1"/>
  <c r="Q40" i="1"/>
  <c r="Q41" i="1"/>
  <c r="Q42" i="1"/>
  <c r="V42" i="1" s="1"/>
  <c r="Q43" i="1"/>
  <c r="Q44" i="1"/>
  <c r="V44" i="1" s="1"/>
  <c r="Q45" i="1"/>
  <c r="Q46" i="1"/>
  <c r="V46" i="1" s="1"/>
  <c r="Q47" i="1"/>
  <c r="Q48" i="1"/>
  <c r="V48" i="1" s="1"/>
  <c r="Q49" i="1"/>
  <c r="Q50" i="1"/>
  <c r="V50" i="1" s="1"/>
  <c r="Q51" i="1"/>
  <c r="Q52" i="1"/>
  <c r="V52" i="1" s="1"/>
  <c r="Q53" i="1"/>
  <c r="Q54" i="1"/>
  <c r="V54" i="1" s="1"/>
  <c r="Q55" i="1"/>
  <c r="Q56" i="1"/>
  <c r="V56" i="1" s="1"/>
  <c r="Q57" i="1"/>
  <c r="Q58" i="1"/>
  <c r="V58" i="1" s="1"/>
  <c r="Q59" i="1"/>
  <c r="Q60" i="1"/>
  <c r="V60" i="1" s="1"/>
  <c r="Q61" i="1"/>
  <c r="Q62" i="1"/>
  <c r="V62" i="1" s="1"/>
  <c r="Q63" i="1"/>
  <c r="Q64" i="1"/>
  <c r="Q65" i="1"/>
  <c r="Q66" i="1"/>
  <c r="V66" i="1" s="1"/>
  <c r="Q67" i="1"/>
  <c r="V67" i="1" s="1"/>
  <c r="Q68" i="1"/>
  <c r="V68" i="1" s="1"/>
  <c r="Q69" i="1"/>
  <c r="Q70" i="1"/>
  <c r="Q71" i="1"/>
  <c r="V71" i="1" s="1"/>
  <c r="Q72" i="1"/>
  <c r="V72" i="1" s="1"/>
  <c r="Q73" i="1"/>
  <c r="Q11" i="1"/>
  <c r="M13" i="1"/>
  <c r="L12" i="1"/>
  <c r="M12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11" i="1"/>
  <c r="M11" i="1" s="1"/>
  <c r="V73" i="1" l="1"/>
  <c r="V69" i="1"/>
  <c r="V64" i="1"/>
  <c r="V40" i="1"/>
  <c r="V36" i="1"/>
  <c r="V32" i="1"/>
  <c r="V28" i="1"/>
  <c r="V24" i="1"/>
  <c r="V20" i="1"/>
  <c r="V16" i="1"/>
  <c r="U54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5" i="1"/>
  <c r="AC26" i="1"/>
  <c r="AC27" i="1"/>
  <c r="AC28" i="1"/>
  <c r="AC29" i="1"/>
  <c r="AC30" i="1"/>
  <c r="AD30" i="1" s="1"/>
  <c r="AC31" i="1"/>
  <c r="AC32" i="1"/>
  <c r="AC33" i="1"/>
  <c r="AC34" i="1"/>
  <c r="AC35" i="1"/>
  <c r="AC36" i="1"/>
  <c r="AC37" i="1"/>
  <c r="AD37" i="1" s="1"/>
  <c r="AC38" i="1"/>
  <c r="AC39" i="1"/>
  <c r="AC40" i="1"/>
  <c r="AC41" i="1"/>
  <c r="AD41" i="1" s="1"/>
  <c r="AC42" i="1"/>
  <c r="AD42" i="1" s="1"/>
  <c r="AC43" i="1"/>
  <c r="AD43" i="1" s="1"/>
  <c r="AC44" i="1"/>
  <c r="AC45" i="1"/>
  <c r="AD45" i="1" s="1"/>
  <c r="AC46" i="1"/>
  <c r="AC47" i="1"/>
  <c r="AD47" i="1" s="1"/>
  <c r="AH47" i="1" s="1"/>
  <c r="AC48" i="1"/>
  <c r="AC49" i="1"/>
  <c r="AC50" i="1"/>
  <c r="AC51" i="1"/>
  <c r="AC52" i="1"/>
  <c r="AC53" i="1"/>
  <c r="AC55" i="1"/>
  <c r="AC56" i="1"/>
  <c r="AD56" i="1" s="1"/>
  <c r="AC57" i="1"/>
  <c r="AC58" i="1"/>
  <c r="AC59" i="1"/>
  <c r="AC60" i="1"/>
  <c r="AC61" i="1"/>
  <c r="AC62" i="1"/>
  <c r="AD62" i="1" s="1"/>
  <c r="AC63" i="1"/>
  <c r="AD63" i="1" s="1"/>
  <c r="AH63" i="1" s="1"/>
  <c r="AC64" i="1"/>
  <c r="AC65" i="1"/>
  <c r="AC66" i="1"/>
  <c r="AC67" i="1"/>
  <c r="AC68" i="1"/>
  <c r="AC69" i="1"/>
  <c r="AC70" i="1"/>
  <c r="AC71" i="1"/>
  <c r="AD71" i="1" s="1"/>
  <c r="AC72" i="1"/>
  <c r="AC73" i="1"/>
  <c r="AC11" i="1"/>
  <c r="AB24" i="1"/>
  <c r="AB54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11" i="1"/>
  <c r="Y12" i="1"/>
  <c r="Y13" i="1"/>
  <c r="Y14" i="1"/>
  <c r="Y15" i="1"/>
  <c r="Y16" i="1"/>
  <c r="Y17" i="1"/>
  <c r="Y18" i="1"/>
  <c r="Y19" i="1"/>
  <c r="Y20" i="1"/>
  <c r="Y21" i="1"/>
  <c r="Y22" i="1"/>
  <c r="Y23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11" i="1"/>
  <c r="X12" i="1"/>
  <c r="X13" i="1"/>
  <c r="X14" i="1"/>
  <c r="X15" i="1"/>
  <c r="X16" i="1"/>
  <c r="X17" i="1"/>
  <c r="X18" i="1"/>
  <c r="X19" i="1"/>
  <c r="X20" i="1"/>
  <c r="X21" i="1"/>
  <c r="X22" i="1"/>
  <c r="X23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11" i="1"/>
  <c r="W12" i="1"/>
  <c r="W13" i="1"/>
  <c r="W14" i="1"/>
  <c r="W15" i="1"/>
  <c r="W16" i="1"/>
  <c r="W17" i="1"/>
  <c r="W18" i="1"/>
  <c r="W19" i="1"/>
  <c r="W20" i="1"/>
  <c r="W21" i="1"/>
  <c r="W22" i="1"/>
  <c r="W23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11" i="1"/>
  <c r="P12" i="1"/>
  <c r="U12" i="1" s="1"/>
  <c r="P13" i="1"/>
  <c r="U13" i="1" s="1"/>
  <c r="P14" i="1"/>
  <c r="U14" i="1" s="1"/>
  <c r="P15" i="1"/>
  <c r="P16" i="1"/>
  <c r="P17" i="1"/>
  <c r="P18" i="1"/>
  <c r="U18" i="1" s="1"/>
  <c r="P19" i="1"/>
  <c r="P20" i="1"/>
  <c r="P21" i="1"/>
  <c r="P22" i="1"/>
  <c r="U22" i="1" s="1"/>
  <c r="P23" i="1"/>
  <c r="P25" i="1"/>
  <c r="P26" i="1"/>
  <c r="P27" i="1"/>
  <c r="P28" i="1"/>
  <c r="P29" i="1"/>
  <c r="P30" i="1"/>
  <c r="U30" i="1" s="1"/>
  <c r="P31" i="1"/>
  <c r="P32" i="1"/>
  <c r="P33" i="1"/>
  <c r="P34" i="1"/>
  <c r="U34" i="1" s="1"/>
  <c r="P35" i="1"/>
  <c r="P36" i="1"/>
  <c r="P37" i="1"/>
  <c r="U37" i="1" s="1"/>
  <c r="P38" i="1"/>
  <c r="P39" i="1"/>
  <c r="P40" i="1"/>
  <c r="P41" i="1"/>
  <c r="U41" i="1" s="1"/>
  <c r="P42" i="1"/>
  <c r="U42" i="1" s="1"/>
  <c r="P43" i="1"/>
  <c r="U43" i="1" s="1"/>
  <c r="P44" i="1"/>
  <c r="P45" i="1"/>
  <c r="U45" i="1" s="1"/>
  <c r="P46" i="1"/>
  <c r="P47" i="1"/>
  <c r="U47" i="1" s="1"/>
  <c r="P48" i="1"/>
  <c r="P49" i="1"/>
  <c r="P50" i="1"/>
  <c r="P51" i="1"/>
  <c r="P52" i="1"/>
  <c r="P53" i="1"/>
  <c r="P55" i="1"/>
  <c r="P56" i="1"/>
  <c r="U56" i="1" s="1"/>
  <c r="P57" i="1"/>
  <c r="P58" i="1"/>
  <c r="P59" i="1"/>
  <c r="P60" i="1"/>
  <c r="P61" i="1"/>
  <c r="U61" i="1" s="1"/>
  <c r="P62" i="1"/>
  <c r="U62" i="1" s="1"/>
  <c r="P63" i="1"/>
  <c r="U63" i="1" s="1"/>
  <c r="P64" i="1"/>
  <c r="P65" i="1"/>
  <c r="P66" i="1"/>
  <c r="P67" i="1"/>
  <c r="P68" i="1"/>
  <c r="R68" i="1" s="1"/>
  <c r="P69" i="1"/>
  <c r="R69" i="1" s="1"/>
  <c r="P70" i="1"/>
  <c r="R70" i="1" s="1"/>
  <c r="P71" i="1"/>
  <c r="U71" i="1" s="1"/>
  <c r="P72" i="1"/>
  <c r="P73" i="1"/>
  <c r="P11" i="1"/>
  <c r="R11" i="1" s="1"/>
  <c r="E10" i="1"/>
  <c r="F10" i="1"/>
  <c r="G10" i="1"/>
  <c r="D10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11" i="1"/>
  <c r="H12" i="1"/>
  <c r="AB12" i="1" s="1"/>
  <c r="H13" i="1"/>
  <c r="AB13" i="1" s="1"/>
  <c r="H14" i="1"/>
  <c r="AB14" i="1" s="1"/>
  <c r="H15" i="1"/>
  <c r="H16" i="1"/>
  <c r="H17" i="1"/>
  <c r="H18" i="1"/>
  <c r="H19" i="1"/>
  <c r="H20" i="1"/>
  <c r="H21" i="1"/>
  <c r="H22" i="1"/>
  <c r="H23" i="1"/>
  <c r="H25" i="1"/>
  <c r="H26" i="1"/>
  <c r="H27" i="1"/>
  <c r="H28" i="1"/>
  <c r="H29" i="1"/>
  <c r="H30" i="1"/>
  <c r="AB30" i="1" s="1"/>
  <c r="H31" i="1"/>
  <c r="H32" i="1"/>
  <c r="H33" i="1"/>
  <c r="H34" i="1"/>
  <c r="H35" i="1"/>
  <c r="H36" i="1"/>
  <c r="H37" i="1"/>
  <c r="AB37" i="1" s="1"/>
  <c r="H38" i="1"/>
  <c r="H39" i="1"/>
  <c r="H40" i="1"/>
  <c r="H41" i="1"/>
  <c r="AB41" i="1" s="1"/>
  <c r="H42" i="1"/>
  <c r="AB42" i="1" s="1"/>
  <c r="H43" i="1"/>
  <c r="AB43" i="1" s="1"/>
  <c r="H44" i="1"/>
  <c r="H45" i="1"/>
  <c r="AB45" i="1" s="1"/>
  <c r="H46" i="1"/>
  <c r="H47" i="1"/>
  <c r="AB47" i="1" s="1"/>
  <c r="H48" i="1"/>
  <c r="H49" i="1"/>
  <c r="H50" i="1"/>
  <c r="H51" i="1"/>
  <c r="H52" i="1"/>
  <c r="H53" i="1"/>
  <c r="H55" i="1"/>
  <c r="H56" i="1"/>
  <c r="AB56" i="1" s="1"/>
  <c r="H57" i="1"/>
  <c r="H58" i="1"/>
  <c r="H59" i="1"/>
  <c r="H60" i="1"/>
  <c r="H61" i="1"/>
  <c r="AB61" i="1" s="1"/>
  <c r="H62" i="1"/>
  <c r="AB62" i="1" s="1"/>
  <c r="H63" i="1"/>
  <c r="AB63" i="1" s="1"/>
  <c r="H64" i="1"/>
  <c r="H65" i="1"/>
  <c r="H66" i="1"/>
  <c r="H67" i="1"/>
  <c r="H68" i="1"/>
  <c r="H69" i="1"/>
  <c r="H70" i="1"/>
  <c r="H71" i="1"/>
  <c r="AB71" i="1" s="1"/>
  <c r="H72" i="1"/>
  <c r="H73" i="1"/>
  <c r="H11" i="1"/>
  <c r="C12" i="1"/>
  <c r="C13" i="1"/>
  <c r="C14" i="1"/>
  <c r="C15" i="1"/>
  <c r="C16" i="1"/>
  <c r="C17" i="1"/>
  <c r="C18" i="1"/>
  <c r="C19" i="1"/>
  <c r="C20" i="1"/>
  <c r="C21" i="1"/>
  <c r="C22" i="1"/>
  <c r="C23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11" i="1"/>
  <c r="X10" i="1"/>
  <c r="W10" i="1"/>
  <c r="S10" i="1"/>
  <c r="Q10" i="1"/>
  <c r="O10" i="1"/>
  <c r="N10" i="1"/>
  <c r="M10" i="1"/>
  <c r="L10" i="1"/>
  <c r="AD68" i="1" l="1"/>
  <c r="AH68" i="1" s="1"/>
  <c r="AD51" i="1"/>
  <c r="AH51" i="1" s="1"/>
  <c r="AD35" i="1"/>
  <c r="AE35" i="1" s="1"/>
  <c r="AD31" i="1"/>
  <c r="AE31" i="1" s="1"/>
  <c r="AD22" i="1"/>
  <c r="AH22" i="1" s="1"/>
  <c r="AD18" i="1"/>
  <c r="AE18" i="1" s="1"/>
  <c r="AE14" i="1"/>
  <c r="AB29" i="1"/>
  <c r="AE42" i="1"/>
  <c r="AD34" i="1"/>
  <c r="AE34" i="1" s="1"/>
  <c r="AE30" i="1"/>
  <c r="AE13" i="1"/>
  <c r="AB65" i="1"/>
  <c r="AB48" i="1"/>
  <c r="AB36" i="1"/>
  <c r="AB28" i="1"/>
  <c r="AE11" i="1"/>
  <c r="AE41" i="1"/>
  <c r="AH37" i="1"/>
  <c r="AE12" i="1"/>
  <c r="AD61" i="1"/>
  <c r="AH61" i="1" s="1"/>
  <c r="U59" i="1"/>
  <c r="AB59" i="1"/>
  <c r="U21" i="1"/>
  <c r="AB21" i="1"/>
  <c r="AE56" i="1"/>
  <c r="AH56" i="1"/>
  <c r="AH43" i="1"/>
  <c r="AE43" i="1"/>
  <c r="AE22" i="1"/>
  <c r="U11" i="1"/>
  <c r="AB11" i="1"/>
  <c r="U70" i="1"/>
  <c r="AB70" i="1"/>
  <c r="U66" i="1"/>
  <c r="AB66" i="1"/>
  <c r="U58" i="1"/>
  <c r="AB58" i="1"/>
  <c r="U33" i="1"/>
  <c r="AB33" i="1"/>
  <c r="U20" i="1"/>
  <c r="AB20" i="1"/>
  <c r="AE71" i="1"/>
  <c r="AH71" i="1"/>
  <c r="AD67" i="1"/>
  <c r="AD59" i="1"/>
  <c r="AD55" i="1"/>
  <c r="AD46" i="1"/>
  <c r="AD21" i="1"/>
  <c r="U55" i="1"/>
  <c r="AB55" i="1"/>
  <c r="U69" i="1"/>
  <c r="AB69" i="1"/>
  <c r="U57" i="1"/>
  <c r="AB57" i="1"/>
  <c r="U44" i="1"/>
  <c r="AB44" i="1"/>
  <c r="U32" i="1"/>
  <c r="AB32" i="1"/>
  <c r="U23" i="1"/>
  <c r="AB23" i="1"/>
  <c r="U19" i="1"/>
  <c r="AB19" i="1"/>
  <c r="AD70" i="1"/>
  <c r="AD66" i="1"/>
  <c r="AH66" i="1" s="1"/>
  <c r="AH62" i="1"/>
  <c r="AE62" i="1"/>
  <c r="AD58" i="1"/>
  <c r="AH45" i="1"/>
  <c r="AE45" i="1"/>
  <c r="AD33" i="1"/>
  <c r="AD29" i="1"/>
  <c r="AE29" i="1" s="1"/>
  <c r="AD20" i="1"/>
  <c r="U67" i="1"/>
  <c r="AB67" i="1"/>
  <c r="U46" i="1"/>
  <c r="AB46" i="1"/>
  <c r="AD39" i="1"/>
  <c r="U68" i="1"/>
  <c r="AB68" i="1"/>
  <c r="U51" i="1"/>
  <c r="AB51" i="1"/>
  <c r="U35" i="1"/>
  <c r="AB35" i="1"/>
  <c r="U31" i="1"/>
  <c r="AB31" i="1"/>
  <c r="AD69" i="1"/>
  <c r="AD65" i="1"/>
  <c r="AE61" i="1"/>
  <c r="AD57" i="1"/>
  <c r="AD48" i="1"/>
  <c r="AD44" i="1"/>
  <c r="AD36" i="1"/>
  <c r="AD32" i="1"/>
  <c r="AD28" i="1"/>
  <c r="AD23" i="1"/>
  <c r="AD19" i="1"/>
  <c r="AB39" i="1"/>
  <c r="U27" i="1"/>
  <c r="AB60" i="1"/>
  <c r="AB64" i="1"/>
  <c r="AB27" i="1"/>
  <c r="U50" i="1"/>
  <c r="U38" i="1"/>
  <c r="AB26" i="1"/>
  <c r="AB34" i="1"/>
  <c r="AB22" i="1"/>
  <c r="AB18" i="1"/>
  <c r="AB38" i="1"/>
  <c r="AB17" i="1"/>
  <c r="U29" i="1"/>
  <c r="AB50" i="1"/>
  <c r="R72" i="1"/>
  <c r="AB72" i="1" s="1"/>
  <c r="AB16" i="1"/>
  <c r="AB49" i="1"/>
  <c r="U65" i="1"/>
  <c r="U48" i="1"/>
  <c r="U36" i="1"/>
  <c r="U28" i="1"/>
  <c r="AB52" i="1"/>
  <c r="AB15" i="1"/>
  <c r="AB40" i="1"/>
  <c r="AB25" i="1"/>
  <c r="AB53" i="1"/>
  <c r="R73" i="1"/>
  <c r="AB73" i="1" s="1"/>
  <c r="AE63" i="1"/>
  <c r="AE47" i="1"/>
  <c r="AE37" i="1"/>
  <c r="AH30" i="1"/>
  <c r="AH42" i="1"/>
  <c r="AH41" i="1"/>
  <c r="AE54" i="1"/>
  <c r="Z10" i="1"/>
  <c r="Y10" i="1"/>
  <c r="P10" i="1"/>
  <c r="AE66" i="1" l="1"/>
  <c r="AE51" i="1"/>
  <c r="AH35" i="1"/>
  <c r="AH34" i="1"/>
  <c r="AH18" i="1"/>
  <c r="U52" i="1"/>
  <c r="AD52" i="1"/>
  <c r="AE68" i="1"/>
  <c r="AB10" i="1"/>
  <c r="AH31" i="1"/>
  <c r="AH29" i="1"/>
  <c r="U25" i="1"/>
  <c r="U26" i="1"/>
  <c r="U60" i="1"/>
  <c r="AH52" i="1"/>
  <c r="AE52" i="1"/>
  <c r="AH20" i="1"/>
  <c r="AE20" i="1"/>
  <c r="AE58" i="1"/>
  <c r="AH58" i="1"/>
  <c r="AE55" i="1"/>
  <c r="AH55" i="1"/>
  <c r="U17" i="1"/>
  <c r="U64" i="1"/>
  <c r="AH23" i="1"/>
  <c r="AE23" i="1"/>
  <c r="AD40" i="1"/>
  <c r="AE57" i="1"/>
  <c r="AH57" i="1"/>
  <c r="AE69" i="1"/>
  <c r="AH69" i="1"/>
  <c r="AD25" i="1"/>
  <c r="AD64" i="1"/>
  <c r="AH21" i="1"/>
  <c r="AE21" i="1"/>
  <c r="AD38" i="1"/>
  <c r="AE59" i="1"/>
  <c r="AH59" i="1"/>
  <c r="AH36" i="1"/>
  <c r="AE36" i="1"/>
  <c r="AE70" i="1"/>
  <c r="AH70" i="1"/>
  <c r="AD17" i="1"/>
  <c r="U40" i="1"/>
  <c r="U73" i="1"/>
  <c r="U49" i="1"/>
  <c r="U39" i="1"/>
  <c r="U72" i="1"/>
  <c r="AH28" i="1"/>
  <c r="AE28" i="1"/>
  <c r="AE44" i="1"/>
  <c r="AH44" i="1"/>
  <c r="AD73" i="1"/>
  <c r="AD49" i="1"/>
  <c r="AD26" i="1"/>
  <c r="AH46" i="1"/>
  <c r="AE46" i="1"/>
  <c r="AE67" i="1"/>
  <c r="AH67" i="1"/>
  <c r="AD60" i="1"/>
  <c r="AE19" i="1"/>
  <c r="AH19" i="1"/>
  <c r="AH65" i="1"/>
  <c r="AE65" i="1"/>
  <c r="AH39" i="1"/>
  <c r="AE39" i="1"/>
  <c r="U15" i="1"/>
  <c r="U16" i="1"/>
  <c r="U53" i="1"/>
  <c r="AD15" i="1"/>
  <c r="AH32" i="1"/>
  <c r="AE32" i="1"/>
  <c r="AH48" i="1"/>
  <c r="AE48" i="1"/>
  <c r="AD27" i="1"/>
  <c r="AD16" i="1"/>
  <c r="AE33" i="1"/>
  <c r="AH33" i="1"/>
  <c r="AD53" i="1"/>
  <c r="AD50" i="1"/>
  <c r="R10" i="1"/>
  <c r="AD72" i="1"/>
  <c r="AE16" i="1" l="1"/>
  <c r="AH16" i="1"/>
  <c r="AH38" i="1"/>
  <c r="AE38" i="1"/>
  <c r="AH25" i="1"/>
  <c r="AE25" i="1"/>
  <c r="AH64" i="1"/>
  <c r="AE64" i="1"/>
  <c r="AH50" i="1"/>
  <c r="AE50" i="1"/>
  <c r="AH60" i="1"/>
  <c r="AE60" i="1"/>
  <c r="AE53" i="1"/>
  <c r="AH53" i="1"/>
  <c r="AH27" i="1"/>
  <c r="AE27" i="1"/>
  <c r="AH26" i="1"/>
  <c r="AE26" i="1"/>
  <c r="AE17" i="1"/>
  <c r="AH17" i="1"/>
  <c r="AH40" i="1"/>
  <c r="AE40" i="1"/>
  <c r="AH73" i="1"/>
  <c r="AE73" i="1"/>
  <c r="AE72" i="1"/>
  <c r="AH72" i="1"/>
  <c r="AH15" i="1"/>
  <c r="AE15" i="1"/>
  <c r="AD10" i="1"/>
  <c r="AH49" i="1"/>
  <c r="AE49" i="1"/>
  <c r="AE10" i="1" l="1"/>
  <c r="AH10" i="1"/>
</calcChain>
</file>

<file path=xl/sharedStrings.xml><?xml version="1.0" encoding="utf-8"?>
<sst xmlns="http://schemas.openxmlformats.org/spreadsheetml/2006/main" count="170" uniqueCount="105">
  <si>
    <t>Ведомость по товарам на складах</t>
  </si>
  <si>
    <t>Период: 11.06.2026 - 18.06.2026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</si>
  <si>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</si>
  <si>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</si>
  <si>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</si>
  <si>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</si>
  <si>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</si>
  <si>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</si>
  <si>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</si>
  <si>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</si>
  <si>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</si>
  <si>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</si>
  <si>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</si>
  <si>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</si>
  <si>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</si>
  <si>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</si>
  <si>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</si>
  <si>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</si>
  <si>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</si>
  <si>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</si>
  <si>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</si>
  <si>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</si>
  <si>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</si>
  <si>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</si>
  <si>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</si>
  <si>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</si>
  <si>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</si>
  <si>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</si>
  <si>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</si>
  <si>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</si>
  <si>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</si>
  <si>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</si>
  <si>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</si>
  <si>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</si>
  <si>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</si>
  <si>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</si>
  <si>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</si>
  <si>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</si>
  <si>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</si>
  <si>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</si>
  <si>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</si>
  <si>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</si>
  <si>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</si>
  <si>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</si>
  <si>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</si>
  <si>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</si>
  <si>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</si>
  <si>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</si>
  <si>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</si>
  <si>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</si>
  <si>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</si>
  <si>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</si>
  <si>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</si>
  <si>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</si>
  <si>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и свининой 0,43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</si>
  <si>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</si>
  <si>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</si>
  <si>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</si>
  <si>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</si>
  <si>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</si>
  <si>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</si>
  <si>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</si>
  <si>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</si>
  <si>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</si>
  <si>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</si>
  <si>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</si>
  <si>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</si>
  <si>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</si>
  <si>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</si>
  <si>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</si>
  <si>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</si>
  <si>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</si>
  <si>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</si>
  <si>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</si>
  <si>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</si>
  <si>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</si>
  <si>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</si>
  <si>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</si>
  <si>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</si>
  <si>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</si>
  <si>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</si>
  <si>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</si>
  <si>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 xml:space="preserve">заказ в пути </t>
  </si>
  <si>
    <t>ср нов</t>
  </si>
  <si>
    <t>расчет (потребность)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</si>
  <si>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</si>
  <si>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</si>
  <si>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</si>
  <si>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</si>
  <si>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</si>
  <si>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</si>
  <si>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</si>
  <si>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</si>
  <si>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</si>
  <si>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</si>
  <si>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</si>
  <si>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</si>
  <si>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</si>
  <si>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11,06,</t>
  </si>
  <si>
    <t>15,06,</t>
  </si>
  <si>
    <t>21,05,</t>
  </si>
  <si>
    <t>28,05,</t>
  </si>
  <si>
    <t>04,05,</t>
  </si>
  <si>
    <t>22,06,</t>
  </si>
  <si>
    <t>18,06,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</si>
</sst>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8"/>
      <name val="Arial"/>
      <family val="2"/>
      <charset val="204"/>
    </font>
    <font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FFFF00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right" vertical="top"/>
    </xf>
    <xf numFmtId="164" fontId="0" fillId="0" borderId="0" xfId="0" applyNumberFormat="1"/>
    <xf numFmtId="164" fontId="0" fillId="0" borderId="3" xfId="0" applyNumberFormat="1" applyBorder="1" applyAlignment="1">
      <alignment horizontal="right" vertical="top"/>
    </xf>
    <xf numFmtId="164" fontId="0" fillId="0" borderId="0" xfId="0" applyNumberFormat="1" applyAlignment="1">
      <alignment horizontal="left"/>
    </xf>
    <xf numFmtId="2" fontId="3" fillId="3" borderId="0" xfId="1" applyNumberFormat="1" applyFont="1" applyFill="1"/>
    <xf numFmtId="164" fontId="3" fillId="3" borderId="0" xfId="1" applyNumberFormat="1" applyFont="1" applyFill="1"/>
    <xf numFmtId="164" fontId="4" fillId="4" borderId="0" xfId="1" applyNumberFormat="1" applyFont="1" applyFill="1"/>
    <xf numFmtId="164" fontId="3" fillId="5" borderId="0" xfId="1" applyNumberFormat="1" applyFont="1" applyFill="1"/>
    <xf numFmtId="164" fontId="3" fillId="4" borderId="0" xfId="1" applyNumberFormat="1" applyFont="1" applyFill="1"/>
    <xf numFmtId="165" fontId="4" fillId="3" borderId="0" xfId="1" applyNumberFormat="1" applyFont="1" applyFill="1"/>
    <xf numFmtId="165" fontId="3" fillId="3" borderId="0" xfId="1" applyNumberFormat="1" applyFont="1" applyFill="1"/>
    <xf numFmtId="2" fontId="2" fillId="0" borderId="0" xfId="1" applyNumberFormat="1"/>
    <xf numFmtId="164" fontId="2" fillId="0" borderId="0" xfId="1" applyNumberFormat="1"/>
    <xf numFmtId="164" fontId="2" fillId="4" borderId="0" xfId="1" applyNumberFormat="1" applyFill="1"/>
    <xf numFmtId="165" fontId="2" fillId="0" borderId="0" xfId="1" applyNumberFormat="1"/>
    <xf numFmtId="164" fontId="2" fillId="6" borderId="0" xfId="1" applyNumberFormat="1" applyFill="1"/>
    <xf numFmtId="165" fontId="2" fillId="6" borderId="0" xfId="1" applyNumberFormat="1" applyFill="1"/>
    <xf numFmtId="166" fontId="0" fillId="0" borderId="0" xfId="0" applyNumberFormat="1"/>
    <xf numFmtId="164" fontId="5" fillId="0" borderId="4" xfId="0" applyNumberFormat="1" applyFont="1" applyBorder="1"/>
    <xf numFmtId="0" fontId="0" fillId="4" borderId="2" xfId="0" applyFill="1" applyBorder="1" applyAlignment="1">
      <alignment horizontal="left" vertical="top"/>
    </xf>
    <xf numFmtId="164" fontId="0" fillId="4" borderId="2" xfId="0" applyNumberFormat="1" applyFill="1" applyBorder="1" applyAlignment="1">
      <alignment horizontal="right" vertical="top"/>
    </xf>
    <xf numFmtId="166" fontId="0" fillId="4" borderId="0" xfId="0" applyNumberFormat="1" applyFill="1"/>
    <xf numFmtId="164" fontId="0" fillId="4" borderId="0" xfId="0" applyNumberFormat="1" applyFill="1"/>
    <xf numFmtId="0" fontId="0" fillId="7" borderId="2" xfId="0" applyFill="1" applyBorder="1" applyAlignment="1">
      <alignment horizontal="left" vertical="top"/>
    </xf>
    <xf numFmtId="164" fontId="0" fillId="7" borderId="2" xfId="0" applyNumberFormat="1" applyFill="1" applyBorder="1" applyAlignment="1">
      <alignment horizontal="right" vertical="top"/>
    </xf>
    <xf numFmtId="166" fontId="0" fillId="7" borderId="0" xfId="0" applyNumberFormat="1" applyFill="1"/>
    <xf numFmtId="164" fontId="0" fillId="7" borderId="0" xfId="0" applyNumberFormat="1" applyFill="1"/>
    <xf numFmtId="164" fontId="6" fillId="0" borderId="0" xfId="1" applyNumberFormat="1" applyFont="1"/>
  </cellXfs>
  <cellStyles count="2">
    <cellStyle name="Arial10px" xfId="1" xr:uid="{B598A1E6-8000-49E4-B122-9B13FEA79C64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I\Desktop\&#1044;&#1074;.%20&#1055;&#1086;&#1082;&#1086;&#1084;%20&#1047;&#1055;&#1060;%20&#1086;&#1090;%2011,06,26,%20&#1044;&#1086;&#1085;&#1077;&#1094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I\Desktop\&#1047;&#1072;&#1082;&#1072;&#1079;&#1072;&#1085;&#1086;%20&#1055;&#1086;&#1082;&#1086;&#1084;%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50;&#1086;&#1087;&#1080;&#1103;%20&#1044;&#1074;%20&#1055;&#1086;&#1082;&#1086;&#1084;%20&#1047;&#1055;&#1060;%20%20&#1086;&#1090;%20180626%20&#1044;&#1086;&#1085;&#1077;&#1094;&#1082;.&#1061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Склад В списке "АСП Донецк Заморозка" И
Номенклатура В группе из списка "ПОКОМ Логистический Партн..."</v>
          </cell>
        </row>
        <row r="6">
          <cell r="A6" t="str">
            <v>Склад В списке "АСП Донецк Заморозка"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Начальный остаток</v>
          </cell>
          <cell r="E8" t="str">
            <v>Приход</v>
          </cell>
          <cell r="F8" t="str">
            <v>Расход</v>
          </cell>
          <cell r="G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 xml:space="preserve">заказ в пути </v>
          </cell>
          <cell r="Q8" t="str">
            <v>ср нов</v>
          </cell>
          <cell r="R8" t="str">
            <v>расчет (потребность)</v>
          </cell>
          <cell r="S8" t="str">
            <v>заказ филиала</v>
          </cell>
          <cell r="T8" t="str">
            <v>Комментарии филиала</v>
          </cell>
          <cell r="U8" t="str">
            <v>кон ост</v>
          </cell>
          <cell r="V8" t="str">
            <v>факт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ср</v>
          </cell>
          <cell r="AA8" t="str">
            <v>комментарии</v>
          </cell>
          <cell r="AB8" t="str">
            <v>вес</v>
          </cell>
          <cell r="AC8" t="str">
            <v>крат кор</v>
          </cell>
          <cell r="AD8" t="str">
            <v>заказ кор.</v>
          </cell>
          <cell r="AE8" t="str">
            <v>ВЕС</v>
          </cell>
          <cell r="AF8" t="str">
            <v>ряд</v>
          </cell>
          <cell r="AG8" t="str">
            <v>паллет</v>
          </cell>
        </row>
        <row r="9">
          <cell r="P9" t="str">
            <v>08,06,</v>
          </cell>
          <cell r="Q9" t="str">
            <v>11,06,</v>
          </cell>
          <cell r="R9" t="str">
            <v>15,06,</v>
          </cell>
          <cell r="W9" t="str">
            <v>14,05,</v>
          </cell>
          <cell r="X9" t="str">
            <v>21,05,</v>
          </cell>
          <cell r="Y9" t="str">
            <v>28,05,</v>
          </cell>
          <cell r="Z9" t="str">
            <v>04,05,</v>
          </cell>
          <cell r="AB9" t="str">
            <v>15,06,</v>
          </cell>
        </row>
        <row r="10">
          <cell r="D10">
            <v>36442.699999999997</v>
          </cell>
          <cell r="E10">
            <v>14083.4</v>
          </cell>
          <cell r="F10">
            <v>19798.900000000001</v>
          </cell>
          <cell r="G10">
            <v>30597.3</v>
          </cell>
          <cell r="L10">
            <v>20715.899999999998</v>
          </cell>
          <cell r="M10">
            <v>-917</v>
          </cell>
          <cell r="N10">
            <v>0</v>
          </cell>
          <cell r="O10">
            <v>0</v>
          </cell>
          <cell r="P10">
            <v>30604.5</v>
          </cell>
          <cell r="Q10">
            <v>3959.78</v>
          </cell>
          <cell r="R10">
            <v>7418</v>
          </cell>
          <cell r="S10">
            <v>0</v>
          </cell>
          <cell r="W10">
            <v>3320.119999999999</v>
          </cell>
          <cell r="X10">
            <v>3838.1800000000003</v>
          </cell>
          <cell r="Y10">
            <v>3463.2799999999988</v>
          </cell>
          <cell r="Z10">
            <v>3954.62</v>
          </cell>
          <cell r="AB10">
            <v>3926.2</v>
          </cell>
          <cell r="AD10">
            <v>874</v>
          </cell>
          <cell r="AE10">
            <v>4035.2400000000007</v>
          </cell>
        </row>
        <row r="11">
          <cell r="A11" t="str">
            <v>БОНУС_Готовые чебупели сочные с мясом ТМ Горячая штучка флоу-пак 0,24 кг  ПОКОМ</v>
          </cell>
          <cell r="B11" t="str">
            <v>шт</v>
          </cell>
          <cell r="C11">
            <v>0</v>
          </cell>
          <cell r="D11">
            <v>154</v>
          </cell>
          <cell r="E11">
            <v>33</v>
          </cell>
          <cell r="F11">
            <v>175</v>
          </cell>
          <cell r="G11">
            <v>2</v>
          </cell>
          <cell r="H11">
            <v>0</v>
          </cell>
          <cell r="I11">
            <v>0</v>
          </cell>
          <cell r="J11">
            <v>0</v>
          </cell>
          <cell r="L11">
            <v>185</v>
          </cell>
          <cell r="M11">
            <v>-10</v>
          </cell>
          <cell r="P11">
            <v>296</v>
          </cell>
          <cell r="Q11">
            <v>35</v>
          </cell>
          <cell r="R11">
            <v>227</v>
          </cell>
          <cell r="U11">
            <v>15</v>
          </cell>
          <cell r="V11">
            <v>5.7142857142857141E-2</v>
          </cell>
          <cell r="W11">
            <v>35.6</v>
          </cell>
          <cell r="X11">
            <v>33</v>
          </cell>
          <cell r="Y11">
            <v>28.8</v>
          </cell>
          <cell r="Z11">
            <v>30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</row>
        <row r="12">
          <cell r="A12" t="str">
            <v>БОНУС_Пельмени Бульмени со сливочным маслом ТМ Горячая штучка флоу-пак сфера 0,7 кг .  Поком</v>
          </cell>
          <cell r="B12" t="str">
            <v>шт</v>
          </cell>
          <cell r="C12">
            <v>0</v>
          </cell>
          <cell r="D12">
            <v>233</v>
          </cell>
          <cell r="E12">
            <v>43</v>
          </cell>
          <cell r="F12">
            <v>190</v>
          </cell>
          <cell r="G12">
            <v>78</v>
          </cell>
          <cell r="H12">
            <v>0</v>
          </cell>
          <cell r="I12">
            <v>0</v>
          </cell>
          <cell r="J12">
            <v>0</v>
          </cell>
          <cell r="L12">
            <v>202</v>
          </cell>
          <cell r="M12">
            <v>-12</v>
          </cell>
          <cell r="P12">
            <v>181</v>
          </cell>
          <cell r="Q12">
            <v>38</v>
          </cell>
          <cell r="R12">
            <v>311</v>
          </cell>
          <cell r="U12">
            <v>15</v>
          </cell>
          <cell r="V12">
            <v>2.0526315789473686</v>
          </cell>
          <cell r="W12">
            <v>22.8</v>
          </cell>
          <cell r="X12">
            <v>24</v>
          </cell>
          <cell r="Y12">
            <v>25.6</v>
          </cell>
          <cell r="Z12">
            <v>27.6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</row>
        <row r="13">
          <cell r="A13" t="str">
            <v>БОНУС_Пирожки с мясом 3,7кг ВЕС ТМ Зареченские  ПОКОМ</v>
          </cell>
          <cell r="B13" t="str">
            <v>кг</v>
          </cell>
          <cell r="C13">
            <v>0</v>
          </cell>
          <cell r="D13">
            <v>16.7</v>
          </cell>
          <cell r="F13">
            <v>3.7</v>
          </cell>
          <cell r="G13">
            <v>13</v>
          </cell>
          <cell r="H13">
            <v>0</v>
          </cell>
          <cell r="I13">
            <v>0</v>
          </cell>
          <cell r="J13">
            <v>0</v>
          </cell>
          <cell r="L13">
            <v>3.7</v>
          </cell>
          <cell r="M13">
            <v>0</v>
          </cell>
          <cell r="P13">
            <v>5.5</v>
          </cell>
          <cell r="Q13">
            <v>0.74</v>
          </cell>
          <cell r="U13">
            <v>25</v>
          </cell>
          <cell r="V13">
            <v>17.567567567567568</v>
          </cell>
          <cell r="W13">
            <v>34.78</v>
          </cell>
          <cell r="X13">
            <v>8.14</v>
          </cell>
          <cell r="Y13">
            <v>1.48</v>
          </cell>
          <cell r="Z13">
            <v>1.48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</row>
        <row r="14">
          <cell r="A14" t="str">
            <v>БОНУС_Чебупицца курочка по-итальянски Горячая штучка 0,25 кг зам  ПОКОМ</v>
          </cell>
          <cell r="B14" t="str">
            <v>шт</v>
          </cell>
          <cell r="C14">
            <v>0</v>
          </cell>
          <cell r="D14">
            <v>215</v>
          </cell>
          <cell r="E14">
            <v>6</v>
          </cell>
          <cell r="F14">
            <v>15</v>
          </cell>
          <cell r="G14">
            <v>206</v>
          </cell>
          <cell r="H14">
            <v>0</v>
          </cell>
          <cell r="I14">
            <v>0</v>
          </cell>
          <cell r="J14" t="e">
            <v>#N/A</v>
          </cell>
          <cell r="L14">
            <v>15</v>
          </cell>
          <cell r="M14">
            <v>0</v>
          </cell>
          <cell r="P14">
            <v>0</v>
          </cell>
          <cell r="Q14">
            <v>3</v>
          </cell>
          <cell r="U14">
            <v>68.666666666666671</v>
          </cell>
          <cell r="V14">
            <v>68.666666666666671</v>
          </cell>
          <cell r="W14">
            <v>3</v>
          </cell>
          <cell r="X14">
            <v>5.8</v>
          </cell>
          <cell r="Y14">
            <v>9.6</v>
          </cell>
          <cell r="Z14">
            <v>13.6</v>
          </cell>
          <cell r="AA14" t="e">
            <v>#N/A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</row>
        <row r="15">
          <cell r="A15" t="str">
            <v>Готовые бельмеши сочные с мясом ТМ Горячая штучка 0,3кг зам  ПОКОМ</v>
          </cell>
          <cell r="B15" t="str">
            <v>шт</v>
          </cell>
          <cell r="C15" t="str">
            <v>P004598</v>
          </cell>
          <cell r="D15">
            <v>236</v>
          </cell>
          <cell r="E15">
            <v>168</v>
          </cell>
          <cell r="F15">
            <v>203</v>
          </cell>
          <cell r="G15">
            <v>203</v>
          </cell>
          <cell r="H15">
            <v>0.3</v>
          </cell>
          <cell r="I15">
            <v>0</v>
          </cell>
          <cell r="J15" t="str">
            <v>матрица</v>
          </cell>
          <cell r="L15">
            <v>201</v>
          </cell>
          <cell r="M15">
            <v>2</v>
          </cell>
          <cell r="P15">
            <v>480</v>
          </cell>
          <cell r="Q15">
            <v>40.6</v>
          </cell>
          <cell r="U15">
            <v>16.822660098522167</v>
          </cell>
          <cell r="V15">
            <v>5</v>
          </cell>
          <cell r="W15">
            <v>13.4</v>
          </cell>
          <cell r="X15">
            <v>31.8</v>
          </cell>
          <cell r="Y15">
            <v>38.4</v>
          </cell>
          <cell r="Z15">
            <v>47</v>
          </cell>
          <cell r="AA15">
            <v>0</v>
          </cell>
          <cell r="AB15">
            <v>0</v>
          </cell>
          <cell r="AC15">
            <v>12</v>
          </cell>
          <cell r="AD15">
            <v>0</v>
          </cell>
          <cell r="AE15">
            <v>0</v>
          </cell>
          <cell r="AF15">
            <v>14</v>
          </cell>
          <cell r="AG15">
            <v>70</v>
          </cell>
        </row>
        <row r="16">
          <cell r="A16" t="str">
            <v>Готовые чебуманы с говядиной ТМ горячая штучка 0,28 кг.  Поком</v>
          </cell>
          <cell r="B16" t="str">
            <v>шт</v>
          </cell>
          <cell r="C16" t="str">
            <v>P004597</v>
          </cell>
          <cell r="D16">
            <v>276</v>
          </cell>
          <cell r="E16">
            <v>12</v>
          </cell>
          <cell r="F16">
            <v>129</v>
          </cell>
          <cell r="G16">
            <v>159</v>
          </cell>
          <cell r="H16">
            <v>0.28000000000000003</v>
          </cell>
          <cell r="I16">
            <v>180</v>
          </cell>
          <cell r="J16" t="str">
            <v>матрица</v>
          </cell>
          <cell r="L16">
            <v>130</v>
          </cell>
          <cell r="M16">
            <v>-1</v>
          </cell>
          <cell r="P16">
            <v>480</v>
          </cell>
          <cell r="Q16">
            <v>25.8</v>
          </cell>
          <cell r="U16">
            <v>24.767441860465116</v>
          </cell>
          <cell r="V16">
            <v>6.162790697674418</v>
          </cell>
          <cell r="W16">
            <v>37.6</v>
          </cell>
          <cell r="X16">
            <v>40.6</v>
          </cell>
          <cell r="Y16">
            <v>30.4</v>
          </cell>
          <cell r="Z16">
            <v>49</v>
          </cell>
          <cell r="AA16">
            <v>0</v>
          </cell>
          <cell r="AB16">
            <v>0</v>
          </cell>
          <cell r="AC16">
            <v>6</v>
          </cell>
          <cell r="AD16">
            <v>0</v>
          </cell>
          <cell r="AE16">
            <v>0</v>
          </cell>
          <cell r="AF16">
            <v>14</v>
          </cell>
          <cell r="AG16">
            <v>140</v>
          </cell>
        </row>
        <row r="17">
          <cell r="A17" t="str">
            <v>Готовые чебупели острые с мясом ТМ Горячая штучка флоу-пак 0,24 кг  Поком</v>
          </cell>
          <cell r="B17" t="str">
            <v>шт</v>
          </cell>
          <cell r="C17" t="str">
            <v>P004969</v>
          </cell>
          <cell r="D17">
            <v>278</v>
          </cell>
          <cell r="E17">
            <v>525</v>
          </cell>
          <cell r="F17">
            <v>455</v>
          </cell>
          <cell r="G17">
            <v>334</v>
          </cell>
          <cell r="H17">
            <v>0.24</v>
          </cell>
          <cell r="I17">
            <v>180</v>
          </cell>
          <cell r="J17" t="str">
            <v>матрица</v>
          </cell>
          <cell r="L17">
            <v>469</v>
          </cell>
          <cell r="M17">
            <v>-14</v>
          </cell>
          <cell r="P17">
            <v>1200</v>
          </cell>
          <cell r="Q17">
            <v>91</v>
          </cell>
          <cell r="U17">
            <v>16.857142857142858</v>
          </cell>
          <cell r="V17">
            <v>3.6703296703296702</v>
          </cell>
          <cell r="W17">
            <v>85.8</v>
          </cell>
          <cell r="X17">
            <v>79.8</v>
          </cell>
          <cell r="Y17">
            <v>89</v>
          </cell>
          <cell r="Z17">
            <v>91.4</v>
          </cell>
          <cell r="AA17">
            <v>0</v>
          </cell>
          <cell r="AB17">
            <v>0</v>
          </cell>
          <cell r="AC17">
            <v>12</v>
          </cell>
          <cell r="AD17">
            <v>0</v>
          </cell>
          <cell r="AE17">
            <v>0</v>
          </cell>
          <cell r="AF17">
            <v>14</v>
          </cell>
          <cell r="AG17">
            <v>70</v>
          </cell>
        </row>
        <row r="18">
          <cell r="A18" t="str">
            <v>Готовые чебупели с ветчиной и сыром ТМ Горячая штучка флоу-пак 0,24 кг.  ПОКОМ</v>
          </cell>
          <cell r="B18" t="str">
            <v>шт</v>
          </cell>
          <cell r="C18" t="str">
            <v>P004971</v>
          </cell>
          <cell r="D18">
            <v>287</v>
          </cell>
          <cell r="E18">
            <v>1056</v>
          </cell>
          <cell r="F18">
            <v>655</v>
          </cell>
          <cell r="G18">
            <v>665</v>
          </cell>
          <cell r="H18">
            <v>0.24</v>
          </cell>
          <cell r="I18">
            <v>180</v>
          </cell>
          <cell r="J18" t="str">
            <v>матрица</v>
          </cell>
          <cell r="L18">
            <v>678</v>
          </cell>
          <cell r="M18">
            <v>-23</v>
          </cell>
          <cell r="P18">
            <v>2200</v>
          </cell>
          <cell r="Q18">
            <v>131</v>
          </cell>
          <cell r="U18">
            <v>21.870229007633586</v>
          </cell>
          <cell r="V18">
            <v>5.0763358778625953</v>
          </cell>
          <cell r="W18">
            <v>125</v>
          </cell>
          <cell r="X18">
            <v>122</v>
          </cell>
          <cell r="Y18">
            <v>150</v>
          </cell>
          <cell r="Z18">
            <v>156.6</v>
          </cell>
          <cell r="AA18">
            <v>0</v>
          </cell>
          <cell r="AB18">
            <v>0</v>
          </cell>
          <cell r="AC18">
            <v>12</v>
          </cell>
          <cell r="AD18">
            <v>0</v>
          </cell>
          <cell r="AE18">
            <v>0</v>
          </cell>
          <cell r="AF18">
            <v>14</v>
          </cell>
          <cell r="AG18">
            <v>70</v>
          </cell>
        </row>
        <row r="19">
          <cell r="A19" t="str">
            <v>Готовые чебупели с мясом ТМ Горячая штучка 0,24 кг  ПОКОМ</v>
          </cell>
          <cell r="B19" t="str">
            <v>шт</v>
          </cell>
          <cell r="C19" t="str">
            <v>P004974</v>
          </cell>
          <cell r="D19">
            <v>737</v>
          </cell>
          <cell r="E19">
            <v>20</v>
          </cell>
          <cell r="F19">
            <v>442</v>
          </cell>
          <cell r="G19">
            <v>304</v>
          </cell>
          <cell r="H19">
            <v>0.24</v>
          </cell>
          <cell r="I19">
            <v>180</v>
          </cell>
          <cell r="J19" t="str">
            <v>матрица</v>
          </cell>
          <cell r="L19">
            <v>453</v>
          </cell>
          <cell r="M19">
            <v>-11</v>
          </cell>
          <cell r="P19">
            <v>960</v>
          </cell>
          <cell r="Q19">
            <v>88.4</v>
          </cell>
          <cell r="U19">
            <v>14.298642533936651</v>
          </cell>
          <cell r="V19">
            <v>3.438914027149321</v>
          </cell>
          <cell r="W19">
            <v>53.4</v>
          </cell>
          <cell r="X19">
            <v>110.6</v>
          </cell>
          <cell r="Y19">
            <v>78.2</v>
          </cell>
          <cell r="Z19">
            <v>103.2</v>
          </cell>
          <cell r="AA19">
            <v>0</v>
          </cell>
          <cell r="AB19">
            <v>0</v>
          </cell>
          <cell r="AC19">
            <v>12</v>
          </cell>
          <cell r="AD19">
            <v>0</v>
          </cell>
          <cell r="AE19">
            <v>0</v>
          </cell>
          <cell r="AF19">
            <v>14</v>
          </cell>
          <cell r="AG19">
            <v>70</v>
          </cell>
        </row>
        <row r="20">
          <cell r="A20" t="str">
            <v>Готовые чебупели сочные с мясом ТМ Горячая штучка флоу-пак 0,24 кг  ПОКОМ</v>
          </cell>
          <cell r="B20" t="str">
            <v>шт</v>
          </cell>
          <cell r="C20" t="str">
            <v>P004966</v>
          </cell>
          <cell r="D20">
            <v>356</v>
          </cell>
          <cell r="E20">
            <v>566</v>
          </cell>
          <cell r="F20">
            <v>491</v>
          </cell>
          <cell r="G20">
            <v>243</v>
          </cell>
          <cell r="H20">
            <v>0.24</v>
          </cell>
          <cell r="I20">
            <v>180</v>
          </cell>
          <cell r="J20" t="str">
            <v>матрица</v>
          </cell>
          <cell r="L20">
            <v>495</v>
          </cell>
          <cell r="M20">
            <v>-4</v>
          </cell>
          <cell r="P20">
            <v>1700</v>
          </cell>
          <cell r="Q20">
            <v>98.2</v>
          </cell>
          <cell r="U20">
            <v>19.786150712830956</v>
          </cell>
          <cell r="V20">
            <v>2.4745417515274948</v>
          </cell>
          <cell r="W20">
            <v>100.6</v>
          </cell>
          <cell r="X20">
            <v>113.8</v>
          </cell>
          <cell r="Y20">
            <v>99.2</v>
          </cell>
          <cell r="Z20">
            <v>128</v>
          </cell>
          <cell r="AA20">
            <v>0</v>
          </cell>
          <cell r="AB20">
            <v>0</v>
          </cell>
          <cell r="AC20">
            <v>12</v>
          </cell>
          <cell r="AD20">
            <v>0</v>
          </cell>
          <cell r="AE20">
            <v>0</v>
          </cell>
          <cell r="AF20">
            <v>14</v>
          </cell>
          <cell r="AG20">
            <v>70</v>
          </cell>
        </row>
        <row r="21">
          <cell r="A21" t="str">
            <v>Готовые чебупели сочные с мясом ТМ Горячая штучка флоу-пак 0,48 кг XXL  Поком</v>
          </cell>
          <cell r="B21" t="str">
            <v>шт</v>
          </cell>
          <cell r="C21" t="str">
            <v>P004595</v>
          </cell>
          <cell r="D21">
            <v>554</v>
          </cell>
          <cell r="E21">
            <v>17</v>
          </cell>
          <cell r="F21">
            <v>258</v>
          </cell>
          <cell r="G21">
            <v>299</v>
          </cell>
          <cell r="H21">
            <v>0.48</v>
          </cell>
          <cell r="I21">
            <v>0</v>
          </cell>
          <cell r="J21">
            <v>0</v>
          </cell>
          <cell r="L21">
            <v>292</v>
          </cell>
          <cell r="M21">
            <v>-34</v>
          </cell>
          <cell r="P21">
            <v>160</v>
          </cell>
          <cell r="Q21">
            <v>51.6</v>
          </cell>
          <cell r="R21">
            <v>240</v>
          </cell>
          <cell r="U21">
            <v>13.546511627906977</v>
          </cell>
          <cell r="V21">
            <v>5.7945736434108523</v>
          </cell>
          <cell r="W21">
            <v>9.8000000000000007</v>
          </cell>
          <cell r="X21">
            <v>63.4</v>
          </cell>
          <cell r="Y21">
            <v>24.6</v>
          </cell>
          <cell r="Z21">
            <v>45.8</v>
          </cell>
          <cell r="AA21">
            <v>0</v>
          </cell>
          <cell r="AB21">
            <v>115.19999999999999</v>
          </cell>
          <cell r="AC21">
            <v>8</v>
          </cell>
          <cell r="AD21">
            <v>28</v>
          </cell>
          <cell r="AE21">
            <v>107.52</v>
          </cell>
          <cell r="AF21">
            <v>14</v>
          </cell>
          <cell r="AG21">
            <v>70</v>
          </cell>
        </row>
        <row r="22">
          <cell r="A22" t="str">
            <v>Готовые чебуреки с мясом ТМ Горячая штучка 0,09 кг флоу-пак ПОКОМ</v>
          </cell>
          <cell r="B22" t="str">
            <v>шт</v>
          </cell>
          <cell r="C22" t="str">
            <v>P004138</v>
          </cell>
          <cell r="D22">
            <v>471</v>
          </cell>
          <cell r="E22">
            <v>12</v>
          </cell>
          <cell r="F22">
            <v>420</v>
          </cell>
          <cell r="G22">
            <v>63</v>
          </cell>
          <cell r="H22">
            <v>0.09</v>
          </cell>
          <cell r="I22">
            <v>180</v>
          </cell>
          <cell r="J22" t="str">
            <v>матрица</v>
          </cell>
          <cell r="L22">
            <v>560</v>
          </cell>
          <cell r="M22">
            <v>-140</v>
          </cell>
          <cell r="P22">
            <v>1600</v>
          </cell>
          <cell r="Q22">
            <v>84</v>
          </cell>
          <cell r="U22">
            <v>19.797619047619047</v>
          </cell>
          <cell r="V22">
            <v>0.75</v>
          </cell>
          <cell r="W22">
            <v>97.2</v>
          </cell>
          <cell r="X22">
            <v>117.6</v>
          </cell>
          <cell r="Y22">
            <v>86.8</v>
          </cell>
          <cell r="Z22">
            <v>140.19999999999999</v>
          </cell>
          <cell r="AA22">
            <v>0</v>
          </cell>
          <cell r="AB22">
            <v>0</v>
          </cell>
          <cell r="AC22">
            <v>24</v>
          </cell>
          <cell r="AD22">
            <v>0</v>
          </cell>
          <cell r="AE22">
            <v>0</v>
          </cell>
          <cell r="AF22">
            <v>14</v>
          </cell>
          <cell r="AG22">
            <v>126</v>
          </cell>
        </row>
        <row r="23">
          <cell r="A23" t="str">
            <v>Готовые чебуреки со свининой и говядиной ТМ Горячая штучка ТС Базовый ассортимент 0,36 кг  ПОКОМ</v>
          </cell>
          <cell r="B23" t="str">
            <v>шт</v>
          </cell>
          <cell r="C23" t="str">
            <v>P004583</v>
          </cell>
          <cell r="D23">
            <v>168</v>
          </cell>
          <cell r="E23">
            <v>142</v>
          </cell>
          <cell r="F23">
            <v>76</v>
          </cell>
          <cell r="G23">
            <v>232</v>
          </cell>
          <cell r="H23">
            <v>0.36</v>
          </cell>
          <cell r="I23">
            <v>180</v>
          </cell>
          <cell r="J23" t="str">
            <v>матрица</v>
          </cell>
          <cell r="L23">
            <v>78</v>
          </cell>
          <cell r="M23">
            <v>-2</v>
          </cell>
          <cell r="P23">
            <v>140</v>
          </cell>
          <cell r="Q23">
            <v>15.2</v>
          </cell>
          <cell r="U23">
            <v>24.473684210526319</v>
          </cell>
          <cell r="V23">
            <v>15.263157894736842</v>
          </cell>
          <cell r="W23">
            <v>18</v>
          </cell>
          <cell r="X23">
            <v>26.2</v>
          </cell>
          <cell r="Y23">
            <v>22</v>
          </cell>
          <cell r="Z23">
            <v>20.399999999999999</v>
          </cell>
          <cell r="AA23">
            <v>0</v>
          </cell>
          <cell r="AB23">
            <v>0</v>
          </cell>
          <cell r="AC23">
            <v>10</v>
          </cell>
          <cell r="AD23">
            <v>0</v>
          </cell>
          <cell r="AE23">
            <v>0</v>
          </cell>
          <cell r="AF23">
            <v>14</v>
          </cell>
          <cell r="AG23">
            <v>70</v>
          </cell>
        </row>
        <row r="24">
          <cell r="A24" t="str">
            <v>Жареные вареники с картофелем и беконом ТМ Стародворье 0,2 кг  ПОКОМ</v>
          </cell>
          <cell r="B24" t="str">
            <v>шт</v>
          </cell>
          <cell r="C24" t="str">
            <v>P005129</v>
          </cell>
          <cell r="D24">
            <v>695</v>
          </cell>
          <cell r="E24">
            <v>12</v>
          </cell>
          <cell r="F24">
            <v>185</v>
          </cell>
          <cell r="G24">
            <v>519</v>
          </cell>
          <cell r="H24">
            <v>0.2</v>
          </cell>
          <cell r="I24">
            <v>180</v>
          </cell>
          <cell r="J24" t="e">
            <v>#N/A</v>
          </cell>
          <cell r="L24">
            <v>200</v>
          </cell>
          <cell r="M24">
            <v>-15</v>
          </cell>
          <cell r="P24">
            <v>0</v>
          </cell>
          <cell r="Q24">
            <v>37</v>
          </cell>
          <cell r="U24">
            <v>14.027027027027026</v>
          </cell>
          <cell r="V24">
            <v>14.027027027027026</v>
          </cell>
          <cell r="W24">
            <v>4.4000000000000004</v>
          </cell>
          <cell r="X24">
            <v>30.4</v>
          </cell>
          <cell r="Y24">
            <v>12.6</v>
          </cell>
          <cell r="Z24">
            <v>32.6</v>
          </cell>
          <cell r="AA24" t="e">
            <v>#N/A</v>
          </cell>
          <cell r="AB24">
            <v>0</v>
          </cell>
          <cell r="AC24">
            <v>6</v>
          </cell>
          <cell r="AD24">
            <v>0</v>
          </cell>
          <cell r="AE24">
            <v>0</v>
          </cell>
          <cell r="AF24">
            <v>12</v>
          </cell>
          <cell r="AG24">
            <v>84</v>
          </cell>
        </row>
        <row r="25">
          <cell r="A25" t="str">
            <v>Круггетсы с сырным соусом ТМ Горячая штучка ТС Круггетсы флоу-пак 0,2 кг  ПОКОМ</v>
          </cell>
          <cell r="B25" t="str">
            <v>шт</v>
          </cell>
          <cell r="C25" t="str">
            <v>P004956</v>
          </cell>
          <cell r="D25">
            <v>1012</v>
          </cell>
          <cell r="E25">
            <v>1390</v>
          </cell>
          <cell r="F25">
            <v>776</v>
          </cell>
          <cell r="G25">
            <v>1611</v>
          </cell>
          <cell r="H25">
            <v>0.2</v>
          </cell>
          <cell r="I25">
            <v>180</v>
          </cell>
          <cell r="J25" t="str">
            <v>матрица</v>
          </cell>
          <cell r="L25">
            <v>798</v>
          </cell>
          <cell r="M25">
            <v>-22</v>
          </cell>
          <cell r="P25">
            <v>1400</v>
          </cell>
          <cell r="Q25">
            <v>155.19999999999999</v>
          </cell>
          <cell r="U25">
            <v>19.40077319587629</v>
          </cell>
          <cell r="V25">
            <v>10.380154639175258</v>
          </cell>
          <cell r="W25">
            <v>118.6</v>
          </cell>
          <cell r="X25">
            <v>179.8</v>
          </cell>
          <cell r="Y25">
            <v>222</v>
          </cell>
          <cell r="Z25">
            <v>153.6</v>
          </cell>
          <cell r="AA25">
            <v>0</v>
          </cell>
          <cell r="AB25">
            <v>0</v>
          </cell>
          <cell r="AC25">
            <v>12</v>
          </cell>
          <cell r="AD25">
            <v>0</v>
          </cell>
          <cell r="AE25">
            <v>0</v>
          </cell>
          <cell r="AF25">
            <v>14</v>
          </cell>
          <cell r="AG25">
            <v>70</v>
          </cell>
        </row>
        <row r="26">
          <cell r="A26" t="str">
            <v>Круггетсы сочные ТМ Горячая штучка ТС Круггетсы флоу-пак  0,2 кг.  ПОКОМ</v>
          </cell>
          <cell r="B26" t="str">
            <v>шт</v>
          </cell>
          <cell r="C26" t="str">
            <v>P004953</v>
          </cell>
          <cell r="D26">
            <v>124</v>
          </cell>
          <cell r="E26">
            <v>336</v>
          </cell>
          <cell r="F26">
            <v>307</v>
          </cell>
          <cell r="G26">
            <v>153</v>
          </cell>
          <cell r="H26">
            <v>0.2</v>
          </cell>
          <cell r="I26">
            <v>180</v>
          </cell>
          <cell r="J26" t="str">
            <v>матрица</v>
          </cell>
          <cell r="L26">
            <v>307</v>
          </cell>
          <cell r="M26">
            <v>0</v>
          </cell>
          <cell r="P26">
            <v>960</v>
          </cell>
          <cell r="Q26">
            <v>61.4</v>
          </cell>
          <cell r="U26">
            <v>18.127035830618894</v>
          </cell>
          <cell r="V26">
            <v>2.4918566775244302</v>
          </cell>
          <cell r="W26">
            <v>42.6</v>
          </cell>
          <cell r="X26">
            <v>47</v>
          </cell>
          <cell r="Y26">
            <v>58.4</v>
          </cell>
          <cell r="Z26">
            <v>63.4</v>
          </cell>
          <cell r="AA26">
            <v>0</v>
          </cell>
          <cell r="AB26">
            <v>0</v>
          </cell>
          <cell r="AC26">
            <v>12</v>
          </cell>
          <cell r="AD26">
            <v>0</v>
          </cell>
          <cell r="AE26">
            <v>0</v>
          </cell>
          <cell r="AF26">
            <v>14</v>
          </cell>
          <cell r="AG26">
            <v>70</v>
          </cell>
        </row>
        <row r="27">
          <cell r="A27" t="str">
            <v>Мини-сосиски в тесте 5кг ВЕС ТМ Зареченские  ПОКОМ</v>
          </cell>
          <cell r="B27" t="str">
            <v>кг</v>
          </cell>
          <cell r="C27" t="str">
            <v>P005235</v>
          </cell>
          <cell r="D27">
            <v>255</v>
          </cell>
          <cell r="E27">
            <v>5</v>
          </cell>
          <cell r="F27">
            <v>205</v>
          </cell>
          <cell r="G27">
            <v>50</v>
          </cell>
          <cell r="H27">
            <v>1</v>
          </cell>
          <cell r="I27">
            <v>0</v>
          </cell>
          <cell r="J27" t="str">
            <v>не в матрице</v>
          </cell>
          <cell r="L27">
            <v>210</v>
          </cell>
          <cell r="M27">
            <v>-5</v>
          </cell>
          <cell r="P27">
            <v>360</v>
          </cell>
          <cell r="Q27">
            <v>41</v>
          </cell>
          <cell r="R27">
            <v>150</v>
          </cell>
          <cell r="U27">
            <v>13.658536585365853</v>
          </cell>
          <cell r="V27">
            <v>1.2195121951219512</v>
          </cell>
          <cell r="W27">
            <v>48.019999999999996</v>
          </cell>
          <cell r="X27">
            <v>30</v>
          </cell>
          <cell r="Y27">
            <v>23</v>
          </cell>
          <cell r="Z27">
            <v>36</v>
          </cell>
          <cell r="AA27">
            <v>0</v>
          </cell>
          <cell r="AB27">
            <v>150</v>
          </cell>
          <cell r="AC27">
            <v>5</v>
          </cell>
          <cell r="AD27">
            <v>36</v>
          </cell>
          <cell r="AE27">
            <v>180</v>
          </cell>
          <cell r="AF27">
            <v>12</v>
          </cell>
          <cell r="AG27">
            <v>84</v>
          </cell>
        </row>
        <row r="28">
          <cell r="A28" t="str">
            <v>Мини-чебуреки с мясом ТМ Зареченские ТС Зареченские продукты ПОКОМ</v>
          </cell>
          <cell r="B28" t="str">
            <v>кг</v>
          </cell>
          <cell r="C28" t="str">
            <v>P004358</v>
          </cell>
          <cell r="D28">
            <v>138.5</v>
          </cell>
          <cell r="E28">
            <v>11</v>
          </cell>
          <cell r="F28">
            <v>121</v>
          </cell>
          <cell r="G28">
            <v>17.5</v>
          </cell>
          <cell r="H28">
            <v>1</v>
          </cell>
          <cell r="I28">
            <v>180</v>
          </cell>
          <cell r="J28" t="str">
            <v>матрица</v>
          </cell>
          <cell r="L28">
            <v>229.5</v>
          </cell>
          <cell r="M28">
            <v>-108.5</v>
          </cell>
          <cell r="P28">
            <v>102</v>
          </cell>
          <cell r="Q28">
            <v>24.2</v>
          </cell>
          <cell r="R28">
            <v>240</v>
          </cell>
          <cell r="U28">
            <v>14.855371900826446</v>
          </cell>
          <cell r="V28">
            <v>0.72314049586776863</v>
          </cell>
          <cell r="W28">
            <v>12.1</v>
          </cell>
          <cell r="X28">
            <v>14.3</v>
          </cell>
          <cell r="Y28">
            <v>6.6</v>
          </cell>
          <cell r="Z28">
            <v>14.1</v>
          </cell>
          <cell r="AA28">
            <v>0</v>
          </cell>
          <cell r="AB28">
            <v>240</v>
          </cell>
          <cell r="AC28">
            <v>5.5</v>
          </cell>
          <cell r="AD28">
            <v>48</v>
          </cell>
          <cell r="AE28">
            <v>264</v>
          </cell>
          <cell r="AF28">
            <v>12</v>
          </cell>
          <cell r="AG28">
            <v>84</v>
          </cell>
        </row>
        <row r="29">
          <cell r="A29" t="str">
            <v>Мини-шарики с курочкой и сыром ТМ Зареченские ВЕС ПОКОМ</v>
          </cell>
          <cell r="B29" t="str">
            <v>кг</v>
          </cell>
          <cell r="C29" t="str">
            <v>P004394</v>
          </cell>
          <cell r="D29">
            <v>42</v>
          </cell>
          <cell r="E29">
            <v>171</v>
          </cell>
          <cell r="F29">
            <v>126</v>
          </cell>
          <cell r="G29">
            <v>84</v>
          </cell>
          <cell r="H29">
            <v>1</v>
          </cell>
          <cell r="I29">
            <v>180</v>
          </cell>
          <cell r="J29" t="str">
            <v>матрица</v>
          </cell>
          <cell r="L29">
            <v>129</v>
          </cell>
          <cell r="M29">
            <v>-3</v>
          </cell>
          <cell r="P29">
            <v>360</v>
          </cell>
          <cell r="Q29">
            <v>25.2</v>
          </cell>
          <cell r="U29">
            <v>17.61904761904762</v>
          </cell>
          <cell r="V29">
            <v>3.3333333333333335</v>
          </cell>
          <cell r="W29">
            <v>24.4</v>
          </cell>
          <cell r="X29">
            <v>17.399999999999999</v>
          </cell>
          <cell r="Y29">
            <v>22.2</v>
          </cell>
          <cell r="Z29">
            <v>24</v>
          </cell>
          <cell r="AA29">
            <v>0</v>
          </cell>
          <cell r="AB29">
            <v>0</v>
          </cell>
          <cell r="AC29">
            <v>3</v>
          </cell>
          <cell r="AD29">
            <v>0</v>
          </cell>
          <cell r="AE29">
            <v>0</v>
          </cell>
          <cell r="AF29">
            <v>14</v>
          </cell>
          <cell r="AG29">
            <v>126</v>
          </cell>
        </row>
        <row r="30">
          <cell r="A30" t="str">
            <v>Наггетсы из печи 0,25кг ТМ Вязанка замор.  ПОКОМ</v>
          </cell>
          <cell r="B30" t="str">
            <v>шт</v>
          </cell>
          <cell r="C30" t="str">
            <v>P004497</v>
          </cell>
          <cell r="D30">
            <v>378</v>
          </cell>
          <cell r="E30">
            <v>1394</v>
          </cell>
          <cell r="F30">
            <v>844</v>
          </cell>
          <cell r="G30">
            <v>914</v>
          </cell>
          <cell r="H30">
            <v>0.25</v>
          </cell>
          <cell r="I30">
            <v>365</v>
          </cell>
          <cell r="J30" t="str">
            <v>ВНИМАНИЕ / матрица</v>
          </cell>
          <cell r="L30">
            <v>858</v>
          </cell>
          <cell r="M30">
            <v>-14</v>
          </cell>
          <cell r="P30">
            <v>2400</v>
          </cell>
          <cell r="Q30">
            <v>168.8</v>
          </cell>
          <cell r="U30">
            <v>19.632701421800945</v>
          </cell>
          <cell r="V30">
            <v>5.4146919431279619</v>
          </cell>
          <cell r="W30">
            <v>175.6</v>
          </cell>
          <cell r="X30">
            <v>146.6</v>
          </cell>
          <cell r="Y30">
            <v>188.6</v>
          </cell>
          <cell r="Z30">
            <v>175.8</v>
          </cell>
          <cell r="AA30">
            <v>0</v>
          </cell>
          <cell r="AB30">
            <v>0</v>
          </cell>
          <cell r="AC30">
            <v>12</v>
          </cell>
          <cell r="AD30">
            <v>0</v>
          </cell>
          <cell r="AE30">
            <v>0</v>
          </cell>
          <cell r="AF30">
            <v>14</v>
          </cell>
          <cell r="AG30">
            <v>70</v>
          </cell>
        </row>
        <row r="31">
          <cell r="A31" t="str">
            <v>Наггетсы Нагетосы Сочная курочка со сметаной и зеленью ТМ Горячая штучка флоу-пак 0,25 кг  Поком</v>
          </cell>
          <cell r="B31" t="str">
            <v>шт</v>
          </cell>
          <cell r="C31" t="str">
            <v>P004600</v>
          </cell>
          <cell r="D31">
            <v>168</v>
          </cell>
          <cell r="E31">
            <v>523</v>
          </cell>
          <cell r="F31">
            <v>350</v>
          </cell>
          <cell r="G31">
            <v>337</v>
          </cell>
          <cell r="H31">
            <v>0.25</v>
          </cell>
          <cell r="I31">
            <v>180</v>
          </cell>
          <cell r="J31" t="str">
            <v>матрица</v>
          </cell>
          <cell r="L31">
            <v>354</v>
          </cell>
          <cell r="M31">
            <v>-4</v>
          </cell>
          <cell r="P31">
            <v>1030</v>
          </cell>
          <cell r="Q31">
            <v>70</v>
          </cell>
          <cell r="U31">
            <v>19.528571428571428</v>
          </cell>
          <cell r="V31">
            <v>4.8142857142857141</v>
          </cell>
          <cell r="W31">
            <v>34.6</v>
          </cell>
          <cell r="X31">
            <v>64.8</v>
          </cell>
          <cell r="Y31">
            <v>69.8</v>
          </cell>
          <cell r="Z31">
            <v>80</v>
          </cell>
          <cell r="AA31">
            <v>0</v>
          </cell>
          <cell r="AB31">
            <v>0</v>
          </cell>
          <cell r="AC31">
            <v>6</v>
          </cell>
          <cell r="AD31">
            <v>0</v>
          </cell>
          <cell r="AE31">
            <v>0</v>
          </cell>
          <cell r="AF31">
            <v>14</v>
          </cell>
          <cell r="AG31">
            <v>140</v>
          </cell>
        </row>
        <row r="32">
          <cell r="A32" t="str">
            <v>Наггетсы Нагетосы Сочная курочка ТМ Горячая штучка 0,25 кг зам  ПОКОМ</v>
          </cell>
          <cell r="B32" t="str">
            <v>шт</v>
          </cell>
          <cell r="C32" t="str">
            <v>P004602</v>
          </cell>
          <cell r="D32">
            <v>319</v>
          </cell>
          <cell r="E32">
            <v>256</v>
          </cell>
          <cell r="F32">
            <v>235</v>
          </cell>
          <cell r="G32">
            <v>336</v>
          </cell>
          <cell r="H32">
            <v>0.25</v>
          </cell>
          <cell r="I32">
            <v>180</v>
          </cell>
          <cell r="J32" t="str">
            <v>матрица</v>
          </cell>
          <cell r="L32">
            <v>239</v>
          </cell>
          <cell r="M32">
            <v>-4</v>
          </cell>
          <cell r="P32">
            <v>600</v>
          </cell>
          <cell r="Q32">
            <v>47</v>
          </cell>
          <cell r="U32">
            <v>19.914893617021278</v>
          </cell>
          <cell r="V32">
            <v>7.1489361702127656</v>
          </cell>
          <cell r="W32">
            <v>49.6</v>
          </cell>
          <cell r="X32">
            <v>42.4</v>
          </cell>
          <cell r="Y32">
            <v>55.4</v>
          </cell>
          <cell r="Z32">
            <v>55.4</v>
          </cell>
          <cell r="AA32">
            <v>0</v>
          </cell>
          <cell r="AB32">
            <v>0</v>
          </cell>
          <cell r="AC32">
            <v>6</v>
          </cell>
          <cell r="AD32">
            <v>0</v>
          </cell>
          <cell r="AE32">
            <v>0</v>
          </cell>
          <cell r="AF32">
            <v>14</v>
          </cell>
          <cell r="AG32">
            <v>140</v>
          </cell>
        </row>
        <row r="33">
          <cell r="A33" t="str">
            <v>Наггетсы с индейкой 0,25кг ТМ Вязанка ТС Из печи Сливушки ПОКОМ</v>
          </cell>
          <cell r="B33" t="str">
            <v>шт</v>
          </cell>
          <cell r="C33" t="str">
            <v>P004496</v>
          </cell>
          <cell r="D33">
            <v>254</v>
          </cell>
          <cell r="E33">
            <v>1203</v>
          </cell>
          <cell r="F33">
            <v>566</v>
          </cell>
          <cell r="G33">
            <v>880</v>
          </cell>
          <cell r="H33">
            <v>0.25</v>
          </cell>
          <cell r="I33">
            <v>365</v>
          </cell>
          <cell r="J33" t="str">
            <v>ВНИМАНИЕ / матрица</v>
          </cell>
          <cell r="L33">
            <v>577</v>
          </cell>
          <cell r="M33">
            <v>-11</v>
          </cell>
          <cell r="P33">
            <v>1700</v>
          </cell>
          <cell r="Q33">
            <v>113.2</v>
          </cell>
          <cell r="U33">
            <v>22.791519434628974</v>
          </cell>
          <cell r="V33">
            <v>7.7738515901060072</v>
          </cell>
          <cell r="W33">
            <v>135.80000000000001</v>
          </cell>
          <cell r="X33">
            <v>100.2</v>
          </cell>
          <cell r="Y33">
            <v>144.80000000000001</v>
          </cell>
          <cell r="Z33">
            <v>126.2</v>
          </cell>
          <cell r="AA33">
            <v>0</v>
          </cell>
          <cell r="AB33">
            <v>0</v>
          </cell>
          <cell r="AC33">
            <v>12</v>
          </cell>
          <cell r="AD33">
            <v>0</v>
          </cell>
          <cell r="AE33">
            <v>0</v>
          </cell>
          <cell r="AF33">
            <v>14</v>
          </cell>
          <cell r="AG33">
            <v>70</v>
          </cell>
        </row>
        <row r="34">
          <cell r="A34" t="str">
            <v>Наггетсы с куриным филе и сыром ТМ Вязанка ТС Из печи Сливушки 0,25 кг.  Поком</v>
          </cell>
          <cell r="B34" t="str">
            <v>шт</v>
          </cell>
          <cell r="C34" t="str">
            <v>P004535</v>
          </cell>
          <cell r="D34">
            <v>178</v>
          </cell>
          <cell r="E34">
            <v>857</v>
          </cell>
          <cell r="F34">
            <v>423</v>
          </cell>
          <cell r="G34">
            <v>607</v>
          </cell>
          <cell r="H34">
            <v>0.25</v>
          </cell>
          <cell r="I34">
            <v>180</v>
          </cell>
          <cell r="J34" t="str">
            <v>матрица</v>
          </cell>
          <cell r="L34">
            <v>428</v>
          </cell>
          <cell r="M34">
            <v>-5</v>
          </cell>
          <cell r="P34">
            <v>1050</v>
          </cell>
          <cell r="Q34">
            <v>84.6</v>
          </cell>
          <cell r="U34">
            <v>19.58628841607565</v>
          </cell>
          <cell r="V34">
            <v>7.1749408983451541</v>
          </cell>
          <cell r="W34">
            <v>78.8</v>
          </cell>
          <cell r="X34">
            <v>78.400000000000006</v>
          </cell>
          <cell r="Y34">
            <v>106.8</v>
          </cell>
          <cell r="Z34">
            <v>75.8</v>
          </cell>
          <cell r="AA34">
            <v>0</v>
          </cell>
          <cell r="AB34">
            <v>0</v>
          </cell>
          <cell r="AC34">
            <v>12</v>
          </cell>
          <cell r="AD34">
            <v>0</v>
          </cell>
          <cell r="AE34">
            <v>0</v>
          </cell>
          <cell r="AF34">
            <v>14</v>
          </cell>
          <cell r="AG34">
            <v>70</v>
          </cell>
        </row>
        <row r="35">
          <cell r="A35" t="str">
            <v>Наггетсы Хрустящие ТМ Зареченские ТС Зареченские продукты. Поком</v>
          </cell>
          <cell r="B35" t="str">
            <v>кг</v>
          </cell>
          <cell r="C35" t="str">
            <v>P003486</v>
          </cell>
          <cell r="D35">
            <v>261</v>
          </cell>
          <cell r="E35">
            <v>216</v>
          </cell>
          <cell r="F35">
            <v>257</v>
          </cell>
          <cell r="G35">
            <v>220</v>
          </cell>
          <cell r="H35">
            <v>1</v>
          </cell>
          <cell r="I35">
            <v>180</v>
          </cell>
          <cell r="J35" t="str">
            <v>матрица</v>
          </cell>
          <cell r="L35">
            <v>269</v>
          </cell>
          <cell r="M35">
            <v>-12</v>
          </cell>
          <cell r="P35">
            <v>400</v>
          </cell>
          <cell r="Q35">
            <v>51.4</v>
          </cell>
          <cell r="R35">
            <v>120</v>
          </cell>
          <cell r="U35">
            <v>14.396887159533074</v>
          </cell>
          <cell r="V35">
            <v>4.2801556420233462</v>
          </cell>
          <cell r="W35">
            <v>51.6</v>
          </cell>
          <cell r="X35">
            <v>48</v>
          </cell>
          <cell r="Y35">
            <v>45</v>
          </cell>
          <cell r="Z35">
            <v>42</v>
          </cell>
          <cell r="AA35">
            <v>0</v>
          </cell>
          <cell r="AB35">
            <v>120</v>
          </cell>
          <cell r="AC35">
            <v>6</v>
          </cell>
          <cell r="AD35">
            <v>24</v>
          </cell>
          <cell r="AE35">
            <v>144</v>
          </cell>
          <cell r="AF35">
            <v>12</v>
          </cell>
          <cell r="AG35">
            <v>84</v>
          </cell>
        </row>
        <row r="36">
          <cell r="A36" t="str">
            <v>Наггетсы Хрустящие ТМ Стародворье с сочной курочкой 0,23 кг  ПОКОМ</v>
          </cell>
          <cell r="B36" t="str">
            <v>шт</v>
          </cell>
          <cell r="C36" t="str">
            <v>P005043</v>
          </cell>
          <cell r="D36">
            <v>82</v>
          </cell>
          <cell r="E36">
            <v>518</v>
          </cell>
          <cell r="F36">
            <v>236</v>
          </cell>
          <cell r="G36">
            <v>350</v>
          </cell>
          <cell r="H36">
            <v>0.23</v>
          </cell>
          <cell r="I36">
            <v>180</v>
          </cell>
          <cell r="J36" t="str">
            <v>ВНИМАНИЕ / матрица</v>
          </cell>
          <cell r="L36">
            <v>262</v>
          </cell>
          <cell r="M36">
            <v>-26</v>
          </cell>
          <cell r="P36">
            <v>960</v>
          </cell>
          <cell r="Q36">
            <v>47.2</v>
          </cell>
          <cell r="U36">
            <v>27.754237288135592</v>
          </cell>
          <cell r="V36">
            <v>7.4152542372881349</v>
          </cell>
          <cell r="W36">
            <v>47.2</v>
          </cell>
          <cell r="X36">
            <v>48.8</v>
          </cell>
          <cell r="Y36">
            <v>57.2</v>
          </cell>
          <cell r="Z36">
            <v>63.8</v>
          </cell>
          <cell r="AA36" t="str">
            <v>Сети</v>
          </cell>
          <cell r="AB36">
            <v>0</v>
          </cell>
          <cell r="AC36">
            <v>12</v>
          </cell>
          <cell r="AD36">
            <v>0</v>
          </cell>
          <cell r="AE36">
            <v>0</v>
          </cell>
          <cell r="AF36">
            <v>14</v>
          </cell>
          <cell r="AG36">
            <v>70</v>
          </cell>
        </row>
        <row r="37">
          <cell r="A37" t="str">
            <v>Пекерсы с индейкой в сливочном соусе ТМ Горячая штучка 0,25 кг зам  ПОКОМ</v>
          </cell>
          <cell r="B37" t="str">
            <v>шт</v>
          </cell>
          <cell r="C37" t="str">
            <v>P004594</v>
          </cell>
          <cell r="D37">
            <v>285</v>
          </cell>
          <cell r="F37">
            <v>165</v>
          </cell>
          <cell r="G37">
            <v>120</v>
          </cell>
          <cell r="H37">
            <v>0.25</v>
          </cell>
          <cell r="I37">
            <v>180</v>
          </cell>
          <cell r="J37" t="str">
            <v>матрица</v>
          </cell>
          <cell r="L37">
            <v>165</v>
          </cell>
          <cell r="M37">
            <v>0</v>
          </cell>
          <cell r="P37">
            <v>280</v>
          </cell>
          <cell r="Q37">
            <v>33</v>
          </cell>
          <cell r="R37">
            <v>100</v>
          </cell>
          <cell r="U37">
            <v>15.151515151515152</v>
          </cell>
          <cell r="V37">
            <v>3.6363636363636362</v>
          </cell>
          <cell r="W37">
            <v>27.2</v>
          </cell>
          <cell r="X37">
            <v>19</v>
          </cell>
          <cell r="Y37">
            <v>18.2</v>
          </cell>
          <cell r="Z37">
            <v>36</v>
          </cell>
          <cell r="AA37">
            <v>0</v>
          </cell>
          <cell r="AB37">
            <v>25</v>
          </cell>
          <cell r="AC37">
            <v>12</v>
          </cell>
          <cell r="AD37">
            <v>14</v>
          </cell>
          <cell r="AE37">
            <v>42</v>
          </cell>
          <cell r="AF37">
            <v>14</v>
          </cell>
          <cell r="AG37">
            <v>70</v>
          </cell>
        </row>
        <row r="38">
          <cell r="A38" t="str">
            <v>Пельмени Grandmeni с говядиной и свининой ТМ Горячаяштучка флоу-па классическая форма 0,7 кг.  Поком</v>
          </cell>
          <cell r="B38" t="str">
            <v>шт</v>
          </cell>
          <cell r="C38" t="str">
            <v>P004889</v>
          </cell>
          <cell r="D38">
            <v>238</v>
          </cell>
          <cell r="E38">
            <v>5</v>
          </cell>
          <cell r="F38">
            <v>130</v>
          </cell>
          <cell r="G38">
            <v>110</v>
          </cell>
          <cell r="H38">
            <v>0.7</v>
          </cell>
          <cell r="I38">
            <v>180</v>
          </cell>
          <cell r="J38" t="str">
            <v>матрица</v>
          </cell>
          <cell r="L38">
            <v>133</v>
          </cell>
          <cell r="M38">
            <v>-3</v>
          </cell>
          <cell r="P38">
            <v>220</v>
          </cell>
          <cell r="Q38">
            <v>26</v>
          </cell>
          <cell r="R38">
            <v>80</v>
          </cell>
          <cell r="U38">
            <v>15.76923076923077</v>
          </cell>
          <cell r="V38">
            <v>4.2307692307692308</v>
          </cell>
          <cell r="W38">
            <v>22</v>
          </cell>
          <cell r="X38">
            <v>34.799999999999997</v>
          </cell>
          <cell r="Y38">
            <v>24.8</v>
          </cell>
          <cell r="Z38">
            <v>28</v>
          </cell>
          <cell r="AA38">
            <v>0</v>
          </cell>
          <cell r="AB38">
            <v>56</v>
          </cell>
          <cell r="AC38">
            <v>8</v>
          </cell>
          <cell r="AD38">
            <v>12</v>
          </cell>
          <cell r="AE38">
            <v>67.199999999999989</v>
          </cell>
          <cell r="AF38">
            <v>12</v>
          </cell>
          <cell r="AG38">
            <v>84</v>
          </cell>
        </row>
        <row r="39">
          <cell r="A39" t="str">
            <v>Пельмени Grandmeni с говядиной ТМ Горячаяштучка флоу-пак сфера 0,7 кг.  Поком</v>
          </cell>
          <cell r="B39" t="str">
            <v>шт</v>
          </cell>
          <cell r="C39" t="str">
            <v>P004887</v>
          </cell>
          <cell r="D39">
            <v>219</v>
          </cell>
          <cell r="E39">
            <v>96</v>
          </cell>
          <cell r="F39">
            <v>154</v>
          </cell>
          <cell r="G39">
            <v>156</v>
          </cell>
          <cell r="H39">
            <v>0.7</v>
          </cell>
          <cell r="I39">
            <v>180</v>
          </cell>
          <cell r="J39" t="str">
            <v>матрица</v>
          </cell>
          <cell r="L39">
            <v>159</v>
          </cell>
          <cell r="M39">
            <v>-5</v>
          </cell>
          <cell r="P39">
            <v>160</v>
          </cell>
          <cell r="Q39">
            <v>30.8</v>
          </cell>
          <cell r="R39">
            <v>120</v>
          </cell>
          <cell r="U39">
            <v>14.155844155844155</v>
          </cell>
          <cell r="V39">
            <v>5.0649350649350646</v>
          </cell>
          <cell r="W39">
            <v>25.2</v>
          </cell>
          <cell r="X39">
            <v>31.4</v>
          </cell>
          <cell r="Y39">
            <v>26.4</v>
          </cell>
          <cell r="Z39">
            <v>22.8</v>
          </cell>
          <cell r="AA39">
            <v>0</v>
          </cell>
          <cell r="AB39">
            <v>84</v>
          </cell>
          <cell r="AC39">
            <v>8</v>
          </cell>
          <cell r="AD39">
            <v>12</v>
          </cell>
          <cell r="AE39">
            <v>67.199999999999989</v>
          </cell>
          <cell r="AF39">
            <v>12</v>
          </cell>
          <cell r="AG39">
            <v>84</v>
          </cell>
        </row>
        <row r="40">
          <cell r="A40" t="str">
            <v>Пельмени Grandmeni со сливочным маслом  ТМ Горячая штучка флоу-пак сфера 0,7 кг.  Поком</v>
          </cell>
          <cell r="B40" t="str">
            <v>шт</v>
          </cell>
          <cell r="C40" t="str">
            <v>P004888</v>
          </cell>
          <cell r="D40">
            <v>189</v>
          </cell>
          <cell r="E40">
            <v>288</v>
          </cell>
          <cell r="F40">
            <v>239</v>
          </cell>
          <cell r="G40">
            <v>238</v>
          </cell>
          <cell r="H40">
            <v>0.7</v>
          </cell>
          <cell r="I40">
            <v>180</v>
          </cell>
          <cell r="J40" t="str">
            <v>матрица</v>
          </cell>
          <cell r="L40">
            <v>239</v>
          </cell>
          <cell r="M40">
            <v>0</v>
          </cell>
          <cell r="P40">
            <v>600</v>
          </cell>
          <cell r="Q40">
            <v>47.8</v>
          </cell>
          <cell r="U40">
            <v>17.531380753138077</v>
          </cell>
          <cell r="V40">
            <v>4.97907949790795</v>
          </cell>
          <cell r="W40">
            <v>31</v>
          </cell>
          <cell r="X40">
            <v>44</v>
          </cell>
          <cell r="Y40">
            <v>44.6</v>
          </cell>
          <cell r="Z40">
            <v>51.2</v>
          </cell>
          <cell r="AA40">
            <v>0</v>
          </cell>
          <cell r="AB40">
            <v>0</v>
          </cell>
          <cell r="AC40">
            <v>8</v>
          </cell>
          <cell r="AD40">
            <v>0</v>
          </cell>
          <cell r="AE40">
            <v>0</v>
          </cell>
          <cell r="AF40">
            <v>12</v>
          </cell>
          <cell r="AG40">
            <v>84</v>
          </cell>
        </row>
        <row r="41">
          <cell r="A41" t="str">
            <v>Пельмени Бигбули #МЕГАВКУСИЩЕ с сочной грудинкой  ТМ Горячая штучка  флоу-пак сфера 0,7 кг.  Поком</v>
          </cell>
          <cell r="B41" t="str">
            <v>шт</v>
          </cell>
          <cell r="C41" t="str">
            <v>P004440</v>
          </cell>
          <cell r="D41">
            <v>1114</v>
          </cell>
          <cell r="E41">
            <v>12</v>
          </cell>
          <cell r="F41">
            <v>286</v>
          </cell>
          <cell r="G41">
            <v>832</v>
          </cell>
          <cell r="H41">
            <v>0.7</v>
          </cell>
          <cell r="I41">
            <v>180</v>
          </cell>
          <cell r="J41" t="str">
            <v>ВНИМАНИЕ / матрица</v>
          </cell>
          <cell r="L41">
            <v>294</v>
          </cell>
          <cell r="M41">
            <v>-8</v>
          </cell>
          <cell r="P41">
            <v>0</v>
          </cell>
          <cell r="Q41">
            <v>57.2</v>
          </cell>
          <cell r="U41">
            <v>14.545454545454545</v>
          </cell>
          <cell r="V41">
            <v>14.545454545454545</v>
          </cell>
          <cell r="W41">
            <v>95.2</v>
          </cell>
          <cell r="X41">
            <v>129.80000000000001</v>
          </cell>
          <cell r="Y41">
            <v>46</v>
          </cell>
          <cell r="Z41">
            <v>39</v>
          </cell>
          <cell r="AA41">
            <v>0</v>
          </cell>
          <cell r="AB41">
            <v>0</v>
          </cell>
          <cell r="AC41">
            <v>10</v>
          </cell>
          <cell r="AD41">
            <v>0</v>
          </cell>
          <cell r="AE41">
            <v>0</v>
          </cell>
          <cell r="AF41">
            <v>12</v>
          </cell>
          <cell r="AG41">
            <v>84</v>
          </cell>
        </row>
        <row r="42">
          <cell r="A42" t="str">
            <v>Пельмени Бигбули с мясом ТМ Горячая штучка БУЛЬМЕНИ ТС Бигбули ГШ  флоу-пак сфера 0,7.   Поком</v>
          </cell>
          <cell r="B42" t="str">
            <v>шт</v>
          </cell>
          <cell r="C42" t="str">
            <v>P004442</v>
          </cell>
          <cell r="D42">
            <v>282</v>
          </cell>
          <cell r="E42">
            <v>2</v>
          </cell>
          <cell r="F42">
            <v>201</v>
          </cell>
          <cell r="G42">
            <v>68</v>
          </cell>
          <cell r="H42">
            <v>0.7</v>
          </cell>
          <cell r="I42">
            <v>0</v>
          </cell>
          <cell r="J42">
            <v>0</v>
          </cell>
          <cell r="L42">
            <v>226</v>
          </cell>
          <cell r="M42">
            <v>-25</v>
          </cell>
          <cell r="P42">
            <v>0</v>
          </cell>
          <cell r="Q42">
            <v>40.200000000000003</v>
          </cell>
          <cell r="R42">
            <v>480</v>
          </cell>
          <cell r="U42">
            <v>13.631840796019899</v>
          </cell>
          <cell r="V42">
            <v>1.6915422885572138</v>
          </cell>
          <cell r="W42">
            <v>0</v>
          </cell>
          <cell r="X42">
            <v>0.4</v>
          </cell>
          <cell r="Y42">
            <v>6</v>
          </cell>
          <cell r="Z42">
            <v>9.4</v>
          </cell>
          <cell r="AA42">
            <v>0</v>
          </cell>
          <cell r="AB42">
            <v>336</v>
          </cell>
          <cell r="AC42">
            <v>8</v>
          </cell>
          <cell r="AD42">
            <v>60</v>
          </cell>
          <cell r="AE42">
            <v>336</v>
          </cell>
          <cell r="AF42">
            <v>12</v>
          </cell>
          <cell r="AG42">
            <v>84</v>
          </cell>
        </row>
        <row r="43">
          <cell r="A43" t="str">
            <v>Пельмени Бигбули с мясом ТМ Горячая штучка. флоу-пак сфера 0,4 кг. ПОКОМ</v>
          </cell>
          <cell r="B43" t="str">
            <v>шт</v>
          </cell>
          <cell r="C43" t="str">
            <v>P004443</v>
          </cell>
          <cell r="D43">
            <v>325</v>
          </cell>
          <cell r="F43">
            <v>172</v>
          </cell>
          <cell r="G43">
            <v>140</v>
          </cell>
          <cell r="H43">
            <v>0.4</v>
          </cell>
          <cell r="I43">
            <v>0</v>
          </cell>
          <cell r="J43" t="e">
            <v>#N/A</v>
          </cell>
          <cell r="L43">
            <v>195</v>
          </cell>
          <cell r="M43">
            <v>-23</v>
          </cell>
          <cell r="P43">
            <v>0</v>
          </cell>
          <cell r="Q43">
            <v>34.4</v>
          </cell>
          <cell r="R43">
            <v>320</v>
          </cell>
          <cell r="U43">
            <v>13.372093023255815</v>
          </cell>
          <cell r="V43">
            <v>4.0697674418604652</v>
          </cell>
          <cell r="W43">
            <v>0</v>
          </cell>
          <cell r="X43">
            <v>0.4</v>
          </cell>
          <cell r="Y43">
            <v>4.4000000000000004</v>
          </cell>
          <cell r="Z43">
            <v>7</v>
          </cell>
          <cell r="AA43" t="e">
            <v>#N/A</v>
          </cell>
          <cell r="AB43">
            <v>128</v>
          </cell>
          <cell r="AC43">
            <v>16</v>
          </cell>
          <cell r="AD43">
            <v>24</v>
          </cell>
          <cell r="AE43">
            <v>153.60000000000002</v>
          </cell>
          <cell r="AF43">
            <v>12</v>
          </cell>
          <cell r="AG43">
            <v>84</v>
          </cell>
        </row>
        <row r="44">
          <cell r="A44" t="str">
            <v>Пельмени Бигбули со сливочным маслом  ТС Бигбули ГШ#МЕГАМАСЛИЩЕ флоу-пак сфера 0,7.  Поком</v>
          </cell>
          <cell r="B44" t="str">
            <v>шт</v>
          </cell>
          <cell r="C44" t="str">
            <v>P004203</v>
          </cell>
          <cell r="D44">
            <v>152</v>
          </cell>
          <cell r="E44">
            <v>248</v>
          </cell>
          <cell r="F44">
            <v>258</v>
          </cell>
          <cell r="G44">
            <v>134</v>
          </cell>
          <cell r="H44">
            <v>0.7</v>
          </cell>
          <cell r="I44">
            <v>180</v>
          </cell>
          <cell r="J44" t="str">
            <v>матрица</v>
          </cell>
          <cell r="L44">
            <v>266</v>
          </cell>
          <cell r="M44">
            <v>-8</v>
          </cell>
          <cell r="P44">
            <v>400</v>
          </cell>
          <cell r="Q44">
            <v>51.6</v>
          </cell>
          <cell r="R44">
            <v>240</v>
          </cell>
          <cell r="U44">
            <v>15</v>
          </cell>
          <cell r="V44">
            <v>2.5968992248062013</v>
          </cell>
          <cell r="W44">
            <v>35</v>
          </cell>
          <cell r="X44">
            <v>35.799999999999997</v>
          </cell>
          <cell r="Y44">
            <v>39.6</v>
          </cell>
          <cell r="Z44">
            <v>34.200000000000003</v>
          </cell>
          <cell r="AA44">
            <v>0</v>
          </cell>
          <cell r="AB44">
            <v>168</v>
          </cell>
          <cell r="AC44">
            <v>10</v>
          </cell>
          <cell r="AD44">
            <v>24</v>
          </cell>
          <cell r="AE44">
            <v>168</v>
          </cell>
          <cell r="AF44">
            <v>12</v>
          </cell>
          <cell r="AG44">
            <v>84</v>
          </cell>
        </row>
        <row r="45">
          <cell r="A45" t="str">
            <v>Пельмени Бульмени мини с мясом и оливковым маслом  ТС Бульмени ГШ флоу-пак сфера 0,7кг  Поком</v>
          </cell>
          <cell r="B45" t="str">
            <v>шт</v>
          </cell>
          <cell r="C45" t="str">
            <v>P004819</v>
          </cell>
          <cell r="D45">
            <v>491</v>
          </cell>
          <cell r="E45">
            <v>140</v>
          </cell>
          <cell r="F45">
            <v>281</v>
          </cell>
          <cell r="G45">
            <v>344</v>
          </cell>
          <cell r="H45">
            <v>0.7</v>
          </cell>
          <cell r="I45">
            <v>180</v>
          </cell>
          <cell r="J45" t="str">
            <v>матрица</v>
          </cell>
          <cell r="L45">
            <v>297</v>
          </cell>
          <cell r="M45">
            <v>-16</v>
          </cell>
          <cell r="P45">
            <v>280</v>
          </cell>
          <cell r="Q45">
            <v>56.2</v>
          </cell>
          <cell r="R45">
            <v>180</v>
          </cell>
          <cell r="U45">
            <v>14.306049822064056</v>
          </cell>
          <cell r="V45">
            <v>6.1209964412811386</v>
          </cell>
          <cell r="W45">
            <v>63</v>
          </cell>
          <cell r="X45">
            <v>57.8</v>
          </cell>
          <cell r="Y45">
            <v>39.6</v>
          </cell>
          <cell r="Z45">
            <v>47</v>
          </cell>
          <cell r="AA45" t="str">
            <v>Сети</v>
          </cell>
          <cell r="AB45">
            <v>125.99999999999999</v>
          </cell>
          <cell r="AC45">
            <v>10</v>
          </cell>
          <cell r="AD45">
            <v>24</v>
          </cell>
          <cell r="AE45">
            <v>168</v>
          </cell>
          <cell r="AF45">
            <v>12</v>
          </cell>
          <cell r="AG45">
            <v>84</v>
          </cell>
        </row>
        <row r="46">
          <cell r="A46" t="str">
            <v>Пельмени Бульмени с говядиной и свининой Наваристые Горячая штучка ВЕС  ПОКОМ</v>
          </cell>
          <cell r="B46" t="str">
            <v>кг</v>
          </cell>
          <cell r="C46" t="str">
            <v>P003697</v>
          </cell>
          <cell r="D46">
            <v>390</v>
          </cell>
          <cell r="E46">
            <v>725</v>
          </cell>
          <cell r="F46">
            <v>255</v>
          </cell>
          <cell r="G46">
            <v>855</v>
          </cell>
          <cell r="H46">
            <v>1</v>
          </cell>
          <cell r="I46">
            <v>180</v>
          </cell>
          <cell r="J46" t="str">
            <v>матрица</v>
          </cell>
          <cell r="L46">
            <v>260</v>
          </cell>
          <cell r="M46">
            <v>-5</v>
          </cell>
          <cell r="P46">
            <v>660</v>
          </cell>
          <cell r="Q46">
            <v>51</v>
          </cell>
          <cell r="U46">
            <v>29.705882352941178</v>
          </cell>
          <cell r="V46">
            <v>16.764705882352942</v>
          </cell>
          <cell r="W46">
            <v>53</v>
          </cell>
          <cell r="X46">
            <v>71</v>
          </cell>
          <cell r="Y46">
            <v>60</v>
          </cell>
          <cell r="Z46">
            <v>63</v>
          </cell>
          <cell r="AA46">
            <v>0</v>
          </cell>
          <cell r="AB46">
            <v>0</v>
          </cell>
          <cell r="AC46">
            <v>5</v>
          </cell>
          <cell r="AD46">
            <v>0</v>
          </cell>
          <cell r="AE46">
            <v>0</v>
          </cell>
          <cell r="AF46">
            <v>12</v>
          </cell>
          <cell r="AG46">
            <v>144</v>
          </cell>
        </row>
        <row r="47">
          <cell r="A47" t="str">
            <v>Пельмени Бульмени с говядиной и свининой ТМ Горячая штучка  флоу-пак сфера 0,4 кг  Поком</v>
          </cell>
          <cell r="B47" t="str">
            <v>шт</v>
          </cell>
          <cell r="C47" t="str">
            <v>P004474</v>
          </cell>
          <cell r="D47">
            <v>1237</v>
          </cell>
          <cell r="E47">
            <v>18</v>
          </cell>
          <cell r="F47">
            <v>849</v>
          </cell>
          <cell r="G47">
            <v>397</v>
          </cell>
          <cell r="H47">
            <v>0.4</v>
          </cell>
          <cell r="I47">
            <v>180</v>
          </cell>
          <cell r="J47" t="str">
            <v>матрица</v>
          </cell>
          <cell r="L47">
            <v>868</v>
          </cell>
          <cell r="M47">
            <v>-19</v>
          </cell>
          <cell r="P47">
            <v>600</v>
          </cell>
          <cell r="Q47">
            <v>169.8</v>
          </cell>
          <cell r="R47">
            <v>1100</v>
          </cell>
          <cell r="U47">
            <v>12.349823321554769</v>
          </cell>
          <cell r="V47">
            <v>2.3380447585394579</v>
          </cell>
          <cell r="W47">
            <v>44.4</v>
          </cell>
          <cell r="X47">
            <v>36</v>
          </cell>
          <cell r="Y47">
            <v>39.4</v>
          </cell>
          <cell r="Z47">
            <v>112</v>
          </cell>
          <cell r="AA47" t="str">
            <v>Сети</v>
          </cell>
          <cell r="AB47">
            <v>440</v>
          </cell>
          <cell r="AC47">
            <v>16</v>
          </cell>
          <cell r="AD47">
            <v>72</v>
          </cell>
          <cell r="AE47">
            <v>460.8</v>
          </cell>
          <cell r="AF47">
            <v>12</v>
          </cell>
          <cell r="AG47">
            <v>84</v>
          </cell>
        </row>
        <row r="48">
          <cell r="A48" t="str">
            <v>Пельмени Бульмени с говядиной и свининой ТМ Горячая штучка БУЛЬМЕНИ  флоу-пак сфера 0,7 кг.  Поком</v>
          </cell>
          <cell r="B48" t="str">
            <v>шт</v>
          </cell>
          <cell r="C48" t="str">
            <v>P004345</v>
          </cell>
          <cell r="D48">
            <v>862</v>
          </cell>
          <cell r="E48">
            <v>23</v>
          </cell>
          <cell r="F48">
            <v>306</v>
          </cell>
          <cell r="G48">
            <v>556</v>
          </cell>
          <cell r="H48">
            <v>0.7</v>
          </cell>
          <cell r="I48">
            <v>180</v>
          </cell>
          <cell r="J48" t="str">
            <v>матрица</v>
          </cell>
          <cell r="L48">
            <v>329</v>
          </cell>
          <cell r="M48">
            <v>-23</v>
          </cell>
          <cell r="P48">
            <v>400</v>
          </cell>
          <cell r="Q48">
            <v>61.2</v>
          </cell>
          <cell r="U48">
            <v>15.620915032679738</v>
          </cell>
          <cell r="V48">
            <v>9.0849673202614376</v>
          </cell>
          <cell r="W48">
            <v>86.4</v>
          </cell>
          <cell r="X48">
            <v>71.599999999999994</v>
          </cell>
          <cell r="Y48">
            <v>68.8</v>
          </cell>
          <cell r="Z48">
            <v>78.8</v>
          </cell>
          <cell r="AA48">
            <v>0</v>
          </cell>
          <cell r="AB48">
            <v>0</v>
          </cell>
          <cell r="AC48">
            <v>10</v>
          </cell>
          <cell r="AD48">
            <v>0</v>
          </cell>
          <cell r="AE48">
            <v>0</v>
          </cell>
          <cell r="AF48">
            <v>12</v>
          </cell>
          <cell r="AG48">
            <v>84</v>
          </cell>
        </row>
        <row r="49">
          <cell r="A49" t="str">
            <v>Пельмени Бульмени со сливочным маслом ТМ Горячая штучка  флоу-пак сфера 0,4 кг .  Поком</v>
          </cell>
          <cell r="B49" t="str">
            <v>шт</v>
          </cell>
          <cell r="C49" t="str">
            <v>P004444</v>
          </cell>
          <cell r="D49">
            <v>347</v>
          </cell>
          <cell r="F49">
            <v>63</v>
          </cell>
          <cell r="G49">
            <v>284</v>
          </cell>
          <cell r="H49">
            <v>0.4</v>
          </cell>
          <cell r="I49">
            <v>180</v>
          </cell>
          <cell r="J49" t="str">
            <v>матрица</v>
          </cell>
          <cell r="L49">
            <v>73</v>
          </cell>
          <cell r="M49">
            <v>-10</v>
          </cell>
          <cell r="P49">
            <v>80</v>
          </cell>
          <cell r="Q49">
            <v>12.6</v>
          </cell>
          <cell r="U49">
            <v>28.888888888888889</v>
          </cell>
          <cell r="V49">
            <v>22.539682539682541</v>
          </cell>
          <cell r="W49">
            <v>24.8</v>
          </cell>
          <cell r="X49">
            <v>20</v>
          </cell>
          <cell r="Y49">
            <v>24.2</v>
          </cell>
          <cell r="Z49">
            <v>27.2</v>
          </cell>
          <cell r="AA49">
            <v>0</v>
          </cell>
          <cell r="AB49">
            <v>0</v>
          </cell>
          <cell r="AC49">
            <v>16</v>
          </cell>
          <cell r="AD49">
            <v>0</v>
          </cell>
          <cell r="AE49">
            <v>0</v>
          </cell>
          <cell r="AF49">
            <v>12</v>
          </cell>
          <cell r="AG49">
            <v>84</v>
          </cell>
        </row>
        <row r="50">
          <cell r="A50" t="str">
            <v>Пельмени Бульмени со сливочным маслом ТМ Горячая штучка флоу-пак сфера 0,7 кг .  Поком</v>
          </cell>
          <cell r="B50" t="str">
            <v>шт</v>
          </cell>
          <cell r="C50" t="str">
            <v>P004346</v>
          </cell>
          <cell r="D50">
            <v>2049</v>
          </cell>
          <cell r="E50">
            <v>61</v>
          </cell>
          <cell r="F50">
            <v>788</v>
          </cell>
          <cell r="G50">
            <v>1118</v>
          </cell>
          <cell r="H50">
            <v>0.7</v>
          </cell>
          <cell r="I50">
            <v>180</v>
          </cell>
          <cell r="J50" t="str">
            <v>матрица</v>
          </cell>
          <cell r="L50">
            <v>803</v>
          </cell>
          <cell r="M50">
            <v>-15</v>
          </cell>
          <cell r="P50">
            <v>700</v>
          </cell>
          <cell r="Q50">
            <v>157.6</v>
          </cell>
          <cell r="R50">
            <v>400</v>
          </cell>
          <cell r="U50">
            <v>14.073604060913706</v>
          </cell>
          <cell r="V50">
            <v>7.0939086294416249</v>
          </cell>
          <cell r="W50">
            <v>128.6</v>
          </cell>
          <cell r="X50">
            <v>148.4</v>
          </cell>
          <cell r="Y50">
            <v>138.80000000000001</v>
          </cell>
          <cell r="Z50">
            <v>173.6</v>
          </cell>
          <cell r="AA50">
            <v>0</v>
          </cell>
          <cell r="AB50">
            <v>280</v>
          </cell>
          <cell r="AC50">
            <v>10</v>
          </cell>
          <cell r="AD50">
            <v>36</v>
          </cell>
          <cell r="AE50">
            <v>251.99999999999997</v>
          </cell>
          <cell r="AF50">
            <v>12</v>
          </cell>
          <cell r="AG50">
            <v>84</v>
          </cell>
        </row>
        <row r="51">
          <cell r="A51" t="str">
            <v>Пельмени Мясные с говядиной ТМ Стародворье сфера флоу-пак 1 кг  ПОКОМ</v>
          </cell>
          <cell r="B51" t="str">
            <v>шт</v>
          </cell>
          <cell r="C51" t="str">
            <v>P005048</v>
          </cell>
          <cell r="D51">
            <v>1513</v>
          </cell>
          <cell r="E51">
            <v>5</v>
          </cell>
          <cell r="F51">
            <v>516</v>
          </cell>
          <cell r="G51">
            <v>1000</v>
          </cell>
          <cell r="H51">
            <v>1</v>
          </cell>
          <cell r="I51">
            <v>180</v>
          </cell>
          <cell r="J51" t="str">
            <v>матрица</v>
          </cell>
          <cell r="L51">
            <v>518</v>
          </cell>
          <cell r="M51">
            <v>-2</v>
          </cell>
          <cell r="P51">
            <v>0</v>
          </cell>
          <cell r="Q51">
            <v>103.2</v>
          </cell>
          <cell r="R51">
            <v>400</v>
          </cell>
          <cell r="U51">
            <v>13.565891472868216</v>
          </cell>
          <cell r="V51">
            <v>9.6899224806201545</v>
          </cell>
          <cell r="W51">
            <v>70</v>
          </cell>
          <cell r="X51">
            <v>92.2</v>
          </cell>
          <cell r="Y51">
            <v>87.8</v>
          </cell>
          <cell r="Z51">
            <v>81.8</v>
          </cell>
          <cell r="AA51">
            <v>0</v>
          </cell>
          <cell r="AB51">
            <v>400</v>
          </cell>
          <cell r="AC51">
            <v>5</v>
          </cell>
          <cell r="AD51">
            <v>84</v>
          </cell>
          <cell r="AE51">
            <v>420</v>
          </cell>
          <cell r="AF51">
            <v>12</v>
          </cell>
          <cell r="AG51">
            <v>84</v>
          </cell>
        </row>
        <row r="52">
          <cell r="A52" t="str">
            <v>Пельмени Отборные из свинины и говядины 0,9 кг ТМ Стародворье ТС Медвежье ушко  ПОКОМ</v>
          </cell>
          <cell r="B52" t="str">
            <v>шт</v>
          </cell>
          <cell r="C52" t="str">
            <v>P005107</v>
          </cell>
          <cell r="D52">
            <v>200</v>
          </cell>
          <cell r="F52">
            <v>83</v>
          </cell>
          <cell r="G52">
            <v>117</v>
          </cell>
          <cell r="H52">
            <v>0.9</v>
          </cell>
          <cell r="I52">
            <v>180</v>
          </cell>
          <cell r="J52" t="str">
            <v>матрица</v>
          </cell>
          <cell r="L52">
            <v>83</v>
          </cell>
          <cell r="M52">
            <v>0</v>
          </cell>
          <cell r="P52">
            <v>100</v>
          </cell>
          <cell r="Q52">
            <v>16.600000000000001</v>
          </cell>
          <cell r="U52">
            <v>13.072289156626505</v>
          </cell>
          <cell r="V52">
            <v>7.0481927710843371</v>
          </cell>
          <cell r="W52">
            <v>13</v>
          </cell>
          <cell r="X52">
            <v>15.8</v>
          </cell>
          <cell r="Y52">
            <v>16</v>
          </cell>
          <cell r="Z52">
            <v>19.399999999999999</v>
          </cell>
          <cell r="AA52">
            <v>0</v>
          </cell>
          <cell r="AB52">
            <v>0</v>
          </cell>
          <cell r="AC52">
            <v>8</v>
          </cell>
          <cell r="AD52">
            <v>0</v>
          </cell>
          <cell r="AE52">
            <v>0</v>
          </cell>
          <cell r="AF52">
            <v>12</v>
          </cell>
          <cell r="AG52">
            <v>84</v>
          </cell>
        </row>
        <row r="53">
          <cell r="A53" t="str">
            <v>Пельмени С говядиной и свининой, ВЕС, ТМ Славница сфера пуговки  ПОКОМ</v>
          </cell>
          <cell r="B53" t="str">
            <v>кг</v>
          </cell>
          <cell r="C53" t="str">
            <v>P004472</v>
          </cell>
          <cell r="D53">
            <v>370</v>
          </cell>
          <cell r="E53">
            <v>10</v>
          </cell>
          <cell r="F53">
            <v>205</v>
          </cell>
          <cell r="G53">
            <v>165</v>
          </cell>
          <cell r="H53">
            <v>1</v>
          </cell>
          <cell r="I53">
            <v>180</v>
          </cell>
          <cell r="J53" t="str">
            <v>матрица</v>
          </cell>
          <cell r="L53">
            <v>212</v>
          </cell>
          <cell r="M53">
            <v>-7</v>
          </cell>
          <cell r="P53">
            <v>400</v>
          </cell>
          <cell r="Q53">
            <v>41</v>
          </cell>
          <cell r="U53">
            <v>13.780487804878049</v>
          </cell>
          <cell r="V53">
            <v>4.024390243902439</v>
          </cell>
          <cell r="W53">
            <v>49</v>
          </cell>
          <cell r="X53">
            <v>37</v>
          </cell>
          <cell r="Y53">
            <v>39</v>
          </cell>
          <cell r="Z53">
            <v>47</v>
          </cell>
          <cell r="AA53">
            <v>0</v>
          </cell>
          <cell r="AB53">
            <v>0</v>
          </cell>
          <cell r="AC53">
            <v>5</v>
          </cell>
          <cell r="AD53">
            <v>0</v>
          </cell>
          <cell r="AE53">
            <v>0</v>
          </cell>
          <cell r="AF53">
            <v>12</v>
          </cell>
          <cell r="AG53">
            <v>144</v>
          </cell>
        </row>
        <row r="54">
          <cell r="A54" t="str">
            <v>Пельмени Со свининой и говядиной ТМ Особый рецепт Любимая ложка 1,0 кг  ПОКОМ</v>
          </cell>
          <cell r="B54" t="str">
            <v>шт</v>
          </cell>
          <cell r="C54" t="str">
            <v>P004081</v>
          </cell>
          <cell r="D54">
            <v>143</v>
          </cell>
          <cell r="E54">
            <v>4</v>
          </cell>
          <cell r="F54">
            <v>20</v>
          </cell>
          <cell r="G54">
            <v>123</v>
          </cell>
          <cell r="H54">
            <v>1</v>
          </cell>
          <cell r="I54">
            <v>0</v>
          </cell>
          <cell r="J54">
            <v>0</v>
          </cell>
          <cell r="L54">
            <v>20</v>
          </cell>
          <cell r="M54">
            <v>0</v>
          </cell>
          <cell r="P54">
            <v>0</v>
          </cell>
          <cell r="Q54">
            <v>4</v>
          </cell>
          <cell r="U54">
            <v>30.75</v>
          </cell>
          <cell r="V54">
            <v>30.75</v>
          </cell>
          <cell r="W54">
            <v>1.8</v>
          </cell>
          <cell r="X54">
            <v>5.2</v>
          </cell>
          <cell r="Y54">
            <v>10.199999999999999</v>
          </cell>
          <cell r="Z54">
            <v>6.4</v>
          </cell>
          <cell r="AA54">
            <v>0</v>
          </cell>
          <cell r="AB54">
            <v>0</v>
          </cell>
          <cell r="AC54">
            <v>5</v>
          </cell>
          <cell r="AD54">
            <v>0</v>
          </cell>
          <cell r="AE54">
            <v>0</v>
          </cell>
          <cell r="AF54">
            <v>12</v>
          </cell>
          <cell r="AG54">
            <v>84</v>
          </cell>
        </row>
        <row r="55">
          <cell r="A55" t="str">
            <v>Пирожки с мясом 3,7кг ВЕС ТМ Зареченские  ПОКОМ</v>
          </cell>
          <cell r="B55" t="str">
            <v>кг</v>
          </cell>
          <cell r="C55" t="str">
            <v>P004359</v>
          </cell>
          <cell r="D55">
            <v>226</v>
          </cell>
          <cell r="F55">
            <v>196.1</v>
          </cell>
          <cell r="G55">
            <v>26</v>
          </cell>
          <cell r="H55">
            <v>1</v>
          </cell>
          <cell r="I55">
            <v>180</v>
          </cell>
          <cell r="J55" t="str">
            <v>матрица</v>
          </cell>
          <cell r="L55">
            <v>197.4</v>
          </cell>
          <cell r="M55">
            <v>-1.3000000000000114</v>
          </cell>
          <cell r="P55">
            <v>200</v>
          </cell>
          <cell r="Q55">
            <v>39.22</v>
          </cell>
          <cell r="R55">
            <v>330</v>
          </cell>
          <cell r="U55">
            <v>14.176440591534931</v>
          </cell>
          <cell r="V55">
            <v>0.6629270780214177</v>
          </cell>
          <cell r="W55">
            <v>49.6</v>
          </cell>
          <cell r="X55">
            <v>29</v>
          </cell>
          <cell r="Y55">
            <v>13.319999999999999</v>
          </cell>
          <cell r="Z55">
            <v>27.2</v>
          </cell>
          <cell r="AA55">
            <v>0</v>
          </cell>
          <cell r="AB55">
            <v>330</v>
          </cell>
          <cell r="AC55">
            <v>3.7</v>
          </cell>
          <cell r="AD55">
            <v>84</v>
          </cell>
          <cell r="AE55">
            <v>310.8</v>
          </cell>
          <cell r="AF55">
            <v>14</v>
          </cell>
          <cell r="AG55">
            <v>126</v>
          </cell>
        </row>
        <row r="56">
          <cell r="A56" t="str">
            <v>Хотстеры Васаби-чили ТМ Горячая штучка ТС Хотстеры 0,23кг жареные ПОКОМ</v>
          </cell>
          <cell r="B56" t="str">
            <v>шт</v>
          </cell>
          <cell r="C56" t="str">
            <v>P005182</v>
          </cell>
          <cell r="D56">
            <v>939</v>
          </cell>
          <cell r="E56">
            <v>14</v>
          </cell>
          <cell r="F56">
            <v>352</v>
          </cell>
          <cell r="G56">
            <v>599</v>
          </cell>
          <cell r="H56">
            <v>0.23</v>
          </cell>
          <cell r="I56">
            <v>0</v>
          </cell>
          <cell r="J56" t="str">
            <v>Новинка</v>
          </cell>
          <cell r="L56">
            <v>354</v>
          </cell>
          <cell r="M56">
            <v>-2</v>
          </cell>
          <cell r="P56">
            <v>320</v>
          </cell>
          <cell r="Q56">
            <v>70.400000000000006</v>
          </cell>
          <cell r="R56">
            <v>100</v>
          </cell>
          <cell r="U56">
            <v>14.474431818181817</v>
          </cell>
          <cell r="V56">
            <v>8.5085227272727266</v>
          </cell>
          <cell r="W56">
            <v>28.2</v>
          </cell>
          <cell r="X56">
            <v>102.8</v>
          </cell>
          <cell r="Y56">
            <v>13.6</v>
          </cell>
          <cell r="Z56">
            <v>81</v>
          </cell>
          <cell r="AA56">
            <v>0</v>
          </cell>
          <cell r="AB56">
            <v>23</v>
          </cell>
          <cell r="AC56">
            <v>6</v>
          </cell>
          <cell r="AD56">
            <v>14</v>
          </cell>
          <cell r="AE56">
            <v>19.32</v>
          </cell>
          <cell r="AF56">
            <v>14</v>
          </cell>
          <cell r="AG56">
            <v>140</v>
          </cell>
        </row>
        <row r="57">
          <cell r="A57" t="str">
            <v>Хотстеры с сыром ТМ Горячая штучка ТС Хотстеры 0,25кг.  Поком</v>
          </cell>
          <cell r="B57" t="str">
            <v>шт</v>
          </cell>
          <cell r="C57" t="str">
            <v>P005058</v>
          </cell>
          <cell r="D57">
            <v>936</v>
          </cell>
          <cell r="E57">
            <v>43</v>
          </cell>
          <cell r="F57">
            <v>429</v>
          </cell>
          <cell r="G57">
            <v>530</v>
          </cell>
          <cell r="H57">
            <v>0.25</v>
          </cell>
          <cell r="I57">
            <v>180</v>
          </cell>
          <cell r="J57" t="str">
            <v>матрица</v>
          </cell>
          <cell r="L57">
            <v>449</v>
          </cell>
          <cell r="M57">
            <v>-20</v>
          </cell>
          <cell r="P57">
            <v>120</v>
          </cell>
          <cell r="Q57">
            <v>85.8</v>
          </cell>
          <cell r="R57">
            <v>560</v>
          </cell>
          <cell r="U57">
            <v>14.102564102564102</v>
          </cell>
          <cell r="V57">
            <v>6.1771561771561769</v>
          </cell>
          <cell r="W57">
            <v>66.400000000000006</v>
          </cell>
          <cell r="X57">
            <v>65</v>
          </cell>
          <cell r="Y57">
            <v>65.2</v>
          </cell>
          <cell r="Z57">
            <v>69.2</v>
          </cell>
          <cell r="AA57">
            <v>0</v>
          </cell>
          <cell r="AB57">
            <v>140</v>
          </cell>
          <cell r="AC57">
            <v>12</v>
          </cell>
          <cell r="AD57">
            <v>42</v>
          </cell>
          <cell r="AE57">
            <v>126</v>
          </cell>
          <cell r="AF57">
            <v>14</v>
          </cell>
          <cell r="AG57">
            <v>70</v>
          </cell>
        </row>
        <row r="58">
          <cell r="A58" t="str">
            <v>Хотстеры ТМ Горячая штучка ТС Хотстеры 0,25 кг зам  ПОКОМ</v>
          </cell>
          <cell r="B58" t="str">
            <v>шт</v>
          </cell>
          <cell r="C58" t="str">
            <v>P004489</v>
          </cell>
          <cell r="D58">
            <v>1287</v>
          </cell>
          <cell r="E58">
            <v>31</v>
          </cell>
          <cell r="F58">
            <v>464</v>
          </cell>
          <cell r="G58">
            <v>839</v>
          </cell>
          <cell r="H58">
            <v>0.25</v>
          </cell>
          <cell r="I58">
            <v>180</v>
          </cell>
          <cell r="J58" t="str">
            <v>матрица</v>
          </cell>
          <cell r="L58">
            <v>479</v>
          </cell>
          <cell r="M58">
            <v>-15</v>
          </cell>
          <cell r="P58">
            <v>0</v>
          </cell>
          <cell r="Q58">
            <v>92.8</v>
          </cell>
          <cell r="R58">
            <v>500</v>
          </cell>
          <cell r="U58">
            <v>14.428879310344827</v>
          </cell>
          <cell r="V58">
            <v>9.0409482758620694</v>
          </cell>
          <cell r="W58">
            <v>102</v>
          </cell>
          <cell r="X58">
            <v>106.8</v>
          </cell>
          <cell r="Y58">
            <v>64</v>
          </cell>
          <cell r="Z58">
            <v>82.4</v>
          </cell>
          <cell r="AA58">
            <v>0</v>
          </cell>
          <cell r="AB58">
            <v>125</v>
          </cell>
          <cell r="AC58">
            <v>12</v>
          </cell>
          <cell r="AD58">
            <v>42</v>
          </cell>
          <cell r="AE58">
            <v>126</v>
          </cell>
          <cell r="AF58">
            <v>14</v>
          </cell>
          <cell r="AG58">
            <v>70</v>
          </cell>
        </row>
        <row r="59">
          <cell r="A59" t="str">
            <v>Хрустипай апельсин имбирь ТМ Горячая штучка 0,18 кг  ПОКОМ</v>
          </cell>
          <cell r="B59" t="str">
            <v>шт</v>
          </cell>
          <cell r="C59" t="str">
            <v>P005201</v>
          </cell>
          <cell r="D59">
            <v>1066</v>
          </cell>
          <cell r="E59">
            <v>1</v>
          </cell>
          <cell r="F59">
            <v>157</v>
          </cell>
          <cell r="G59">
            <v>909</v>
          </cell>
          <cell r="H59">
            <v>0.18</v>
          </cell>
          <cell r="I59">
            <v>0</v>
          </cell>
          <cell r="J59" t="e">
            <v>#N/A</v>
          </cell>
          <cell r="L59">
            <v>158</v>
          </cell>
          <cell r="M59">
            <v>-1</v>
          </cell>
          <cell r="P59">
            <v>0</v>
          </cell>
          <cell r="Q59">
            <v>31.4</v>
          </cell>
          <cell r="U59">
            <v>28.949044585987263</v>
          </cell>
          <cell r="V59">
            <v>28.949044585987263</v>
          </cell>
          <cell r="W59">
            <v>26</v>
          </cell>
          <cell r="X59">
            <v>69</v>
          </cell>
          <cell r="Y59">
            <v>12.2</v>
          </cell>
          <cell r="Z59">
            <v>23.4</v>
          </cell>
          <cell r="AA59">
            <v>0</v>
          </cell>
          <cell r="AB59">
            <v>0</v>
          </cell>
          <cell r="AC59">
            <v>6</v>
          </cell>
          <cell r="AD59">
            <v>0</v>
          </cell>
          <cell r="AE59">
            <v>0</v>
          </cell>
          <cell r="AF59">
            <v>14</v>
          </cell>
          <cell r="AG59">
            <v>140</v>
          </cell>
        </row>
        <row r="60">
          <cell r="A60" t="str">
            <v>Хрустипай манго маракуйя ТМ Горячая штучка 0,18 кг  ПОКОМ</v>
          </cell>
          <cell r="B60" t="str">
            <v>шт</v>
          </cell>
          <cell r="C60" t="str">
            <v>P005199</v>
          </cell>
          <cell r="D60">
            <v>1316</v>
          </cell>
          <cell r="F60">
            <v>265</v>
          </cell>
          <cell r="G60">
            <v>1039</v>
          </cell>
          <cell r="H60">
            <v>0.18</v>
          </cell>
          <cell r="I60">
            <v>0</v>
          </cell>
          <cell r="J60" t="e">
            <v>#N/A</v>
          </cell>
          <cell r="L60">
            <v>289</v>
          </cell>
          <cell r="M60">
            <v>-24</v>
          </cell>
          <cell r="P60">
            <v>0</v>
          </cell>
          <cell r="Q60">
            <v>53</v>
          </cell>
          <cell r="U60">
            <v>19.60377358490566</v>
          </cell>
          <cell r="V60">
            <v>19.60377358490566</v>
          </cell>
          <cell r="W60">
            <v>37</v>
          </cell>
          <cell r="X60">
            <v>81.8</v>
          </cell>
          <cell r="Y60">
            <v>31</v>
          </cell>
          <cell r="Z60">
            <v>22.6</v>
          </cell>
          <cell r="AA60">
            <v>0</v>
          </cell>
          <cell r="AB60">
            <v>0</v>
          </cell>
          <cell r="AC60">
            <v>6</v>
          </cell>
          <cell r="AD60">
            <v>0</v>
          </cell>
          <cell r="AE60">
            <v>0</v>
          </cell>
          <cell r="AF60">
            <v>14</v>
          </cell>
          <cell r="AG60">
            <v>140</v>
          </cell>
        </row>
        <row r="61">
          <cell r="A61" t="str">
            <v>Хрустипай манго чили ТМ Горячая штучка 0,18кг с начинкой ПОКОМ</v>
          </cell>
          <cell r="B61" t="str">
            <v>шт</v>
          </cell>
          <cell r="C61" t="str">
            <v>P005200</v>
          </cell>
          <cell r="D61">
            <v>97</v>
          </cell>
          <cell r="F61">
            <v>10</v>
          </cell>
          <cell r="G61">
            <v>87</v>
          </cell>
          <cell r="H61">
            <v>0.18</v>
          </cell>
          <cell r="I61">
            <v>0</v>
          </cell>
          <cell r="J61" t="e">
            <v>#N/A</v>
          </cell>
          <cell r="L61">
            <v>10</v>
          </cell>
          <cell r="M61">
            <v>0</v>
          </cell>
          <cell r="P61">
            <v>0</v>
          </cell>
          <cell r="Q61">
            <v>2</v>
          </cell>
          <cell r="U61">
            <v>43.5</v>
          </cell>
          <cell r="V61">
            <v>43.5</v>
          </cell>
          <cell r="W61">
            <v>6.2</v>
          </cell>
          <cell r="X61">
            <v>6.8</v>
          </cell>
          <cell r="Y61">
            <v>2</v>
          </cell>
          <cell r="Z61">
            <v>2</v>
          </cell>
          <cell r="AA61">
            <v>0</v>
          </cell>
          <cell r="AB61">
            <v>0</v>
          </cell>
          <cell r="AC61">
            <v>6</v>
          </cell>
          <cell r="AD61">
            <v>0</v>
          </cell>
          <cell r="AE61">
            <v>0</v>
          </cell>
          <cell r="AF61">
            <v>14</v>
          </cell>
          <cell r="AG61">
            <v>70</v>
          </cell>
        </row>
        <row r="62">
          <cell r="A62" t="str">
            <v>Хрустящие крылышки острые к пиву ТМ Горячая штучка 0,3кг зам  ПОКОМ</v>
          </cell>
          <cell r="B62" t="str">
            <v>шт</v>
          </cell>
          <cell r="C62" t="str">
            <v>P004589</v>
          </cell>
          <cell r="D62">
            <v>1545</v>
          </cell>
          <cell r="E62">
            <v>19</v>
          </cell>
          <cell r="F62">
            <v>354</v>
          </cell>
          <cell r="G62">
            <v>1204</v>
          </cell>
          <cell r="H62">
            <v>0.3</v>
          </cell>
          <cell r="I62">
            <v>180</v>
          </cell>
          <cell r="J62" t="str">
            <v>ВНИМАНИЕ / матрица</v>
          </cell>
          <cell r="L62">
            <v>371</v>
          </cell>
          <cell r="M62">
            <v>-17</v>
          </cell>
          <cell r="P62">
            <v>0</v>
          </cell>
          <cell r="Q62">
            <v>70.8</v>
          </cell>
          <cell r="U62">
            <v>17.005649717514125</v>
          </cell>
          <cell r="V62">
            <v>17.005649717514125</v>
          </cell>
          <cell r="W62">
            <v>60.2</v>
          </cell>
          <cell r="X62">
            <v>85.2</v>
          </cell>
          <cell r="Y62">
            <v>77.599999999999994</v>
          </cell>
          <cell r="Z62">
            <v>92.4</v>
          </cell>
          <cell r="AA62">
            <v>0</v>
          </cell>
          <cell r="AB62">
            <v>0</v>
          </cell>
          <cell r="AC62">
            <v>12</v>
          </cell>
          <cell r="AD62">
            <v>0</v>
          </cell>
          <cell r="AE62">
            <v>0</v>
          </cell>
          <cell r="AF62">
            <v>14</v>
          </cell>
          <cell r="AG62">
            <v>70</v>
          </cell>
        </row>
        <row r="63">
          <cell r="A63" t="str">
            <v>Хрустящие крылышки ТМ Горячая штучка 0,3 кг зам  ПОКОМ</v>
          </cell>
          <cell r="B63" t="str">
            <v>шт</v>
          </cell>
          <cell r="C63" t="str">
            <v>P004588</v>
          </cell>
          <cell r="D63">
            <v>2039</v>
          </cell>
          <cell r="E63">
            <v>53</v>
          </cell>
          <cell r="F63">
            <v>692</v>
          </cell>
          <cell r="G63">
            <v>1381</v>
          </cell>
          <cell r="H63">
            <v>0.3</v>
          </cell>
          <cell r="I63">
            <v>180</v>
          </cell>
          <cell r="J63" t="str">
            <v>матрица</v>
          </cell>
          <cell r="L63">
            <v>711</v>
          </cell>
          <cell r="M63">
            <v>-19</v>
          </cell>
          <cell r="P63">
            <v>560</v>
          </cell>
          <cell r="Q63">
            <v>138.4</v>
          </cell>
          <cell r="U63">
            <v>14.024566473988438</v>
          </cell>
          <cell r="V63">
            <v>9.9783236994219653</v>
          </cell>
          <cell r="W63">
            <v>102.2</v>
          </cell>
          <cell r="X63">
            <v>122.6</v>
          </cell>
          <cell r="Y63">
            <v>161.19999999999999</v>
          </cell>
          <cell r="Z63">
            <v>166.2</v>
          </cell>
          <cell r="AA63">
            <v>0</v>
          </cell>
          <cell r="AB63">
            <v>0</v>
          </cell>
          <cell r="AC63">
            <v>12</v>
          </cell>
          <cell r="AD63">
            <v>0</v>
          </cell>
          <cell r="AE63">
            <v>0</v>
          </cell>
          <cell r="AF63">
            <v>14</v>
          </cell>
          <cell r="AG63">
            <v>70</v>
          </cell>
        </row>
        <row r="64">
          <cell r="A64" t="str">
            <v>Чебупели Курочка гриль Базовый ассортимент Фикс.вес 0,3 Пакет Горячая штучка  Поком</v>
          </cell>
          <cell r="B64" t="str">
            <v>шт</v>
          </cell>
          <cell r="C64" t="str">
            <v>P004113</v>
          </cell>
          <cell r="D64">
            <v>165</v>
          </cell>
          <cell r="E64">
            <v>26</v>
          </cell>
          <cell r="F64">
            <v>184</v>
          </cell>
          <cell r="G64">
            <v>3</v>
          </cell>
          <cell r="H64">
            <v>0.3</v>
          </cell>
          <cell r="I64">
            <v>180</v>
          </cell>
          <cell r="J64" t="str">
            <v>матрица</v>
          </cell>
          <cell r="L64">
            <v>436</v>
          </cell>
          <cell r="M64">
            <v>-252</v>
          </cell>
          <cell r="P64">
            <v>1200</v>
          </cell>
          <cell r="Q64">
            <v>36.799999999999997</v>
          </cell>
          <cell r="U64">
            <v>32.690217391304351</v>
          </cell>
          <cell r="V64">
            <v>8.1521739130434784E-2</v>
          </cell>
          <cell r="W64">
            <v>27.2</v>
          </cell>
          <cell r="X64">
            <v>53.6</v>
          </cell>
          <cell r="Y64">
            <v>0</v>
          </cell>
          <cell r="Z64">
            <v>84.4</v>
          </cell>
          <cell r="AA64">
            <v>0</v>
          </cell>
          <cell r="AB64">
            <v>0</v>
          </cell>
          <cell r="AC64">
            <v>14</v>
          </cell>
          <cell r="AD64">
            <v>0</v>
          </cell>
          <cell r="AE64">
            <v>0</v>
          </cell>
          <cell r="AF64">
            <v>14</v>
          </cell>
          <cell r="AG64">
            <v>70</v>
          </cell>
        </row>
        <row r="65">
          <cell r="A65" t="str">
            <v>Чебупицца курочка по-итальянски Горячая штучка 0,25 кг зам  ПОКОМ</v>
          </cell>
          <cell r="B65" t="str">
            <v>шт</v>
          </cell>
          <cell r="C65" t="str">
            <v>P004484</v>
          </cell>
          <cell r="D65">
            <v>1963</v>
          </cell>
          <cell r="E65">
            <v>1732</v>
          </cell>
          <cell r="F65">
            <v>1051</v>
          </cell>
          <cell r="G65">
            <v>2604</v>
          </cell>
          <cell r="H65">
            <v>0.25</v>
          </cell>
          <cell r="I65">
            <v>180</v>
          </cell>
          <cell r="J65" t="str">
            <v>ВНИМАНИЕ / матрица</v>
          </cell>
          <cell r="L65">
            <v>1077</v>
          </cell>
          <cell r="M65">
            <v>-26</v>
          </cell>
          <cell r="P65">
            <v>1700</v>
          </cell>
          <cell r="Q65">
            <v>210.2</v>
          </cell>
          <cell r="U65">
            <v>20.475737392959086</v>
          </cell>
          <cell r="V65">
            <v>12.388201712654615</v>
          </cell>
          <cell r="W65">
            <v>154.80000000000001</v>
          </cell>
          <cell r="X65">
            <v>166.4</v>
          </cell>
          <cell r="Y65">
            <v>183</v>
          </cell>
          <cell r="Z65">
            <v>214.6</v>
          </cell>
          <cell r="AA65">
            <v>0</v>
          </cell>
          <cell r="AB65">
            <v>0</v>
          </cell>
          <cell r="AC65">
            <v>12</v>
          </cell>
          <cell r="AD65">
            <v>0</v>
          </cell>
          <cell r="AE65">
            <v>0</v>
          </cell>
          <cell r="AF65">
            <v>14</v>
          </cell>
          <cell r="AG65">
            <v>70</v>
          </cell>
        </row>
        <row r="66">
          <cell r="A66" t="str">
            <v>Чебупицца Пепперони ТМ Горячая штучка ТС Чебупицца 0.25кг зам  ПОКОМ</v>
          </cell>
          <cell r="B66" t="str">
            <v>шт</v>
          </cell>
          <cell r="C66" t="str">
            <v>P004486</v>
          </cell>
          <cell r="D66">
            <v>2525</v>
          </cell>
          <cell r="E66">
            <v>711</v>
          </cell>
          <cell r="F66">
            <v>1022</v>
          </cell>
          <cell r="G66">
            <v>2189</v>
          </cell>
          <cell r="H66">
            <v>0.25</v>
          </cell>
          <cell r="I66">
            <v>180</v>
          </cell>
          <cell r="J66" t="str">
            <v>матрица</v>
          </cell>
          <cell r="L66">
            <v>1048</v>
          </cell>
          <cell r="M66">
            <v>-26</v>
          </cell>
          <cell r="P66">
            <v>600</v>
          </cell>
          <cell r="Q66">
            <v>204.4</v>
          </cell>
          <cell r="R66">
            <v>240</v>
          </cell>
          <cell r="U66">
            <v>14.818982387475538</v>
          </cell>
          <cell r="V66">
            <v>10.709393346379647</v>
          </cell>
          <cell r="W66">
            <v>226.6</v>
          </cell>
          <cell r="X66">
            <v>226.4</v>
          </cell>
          <cell r="Y66">
            <v>194.2</v>
          </cell>
          <cell r="Z66">
            <v>184</v>
          </cell>
          <cell r="AA66">
            <v>0</v>
          </cell>
          <cell r="AB66">
            <v>60</v>
          </cell>
          <cell r="AC66">
            <v>12</v>
          </cell>
          <cell r="AD66">
            <v>14</v>
          </cell>
          <cell r="AE66">
            <v>42</v>
          </cell>
          <cell r="AF66">
            <v>14</v>
          </cell>
          <cell r="AG66">
            <v>70</v>
          </cell>
        </row>
        <row r="67">
          <cell r="A67" t="str">
            <v>Чебупицца со вкусом 4 сыра 0,2кг ТМ Горячая штучка ТС Foodgital  ПОКОМ</v>
          </cell>
          <cell r="B67" t="str">
            <v>шт</v>
          </cell>
          <cell r="C67" t="str">
            <v>P004818</v>
          </cell>
          <cell r="D67">
            <v>784</v>
          </cell>
          <cell r="E67">
            <v>11</v>
          </cell>
          <cell r="F67">
            <v>345</v>
          </cell>
          <cell r="G67">
            <v>438</v>
          </cell>
          <cell r="H67">
            <v>0.2</v>
          </cell>
          <cell r="I67">
            <v>0</v>
          </cell>
          <cell r="J67" t="e">
            <v>#N/A</v>
          </cell>
          <cell r="L67">
            <v>357</v>
          </cell>
          <cell r="M67">
            <v>-12</v>
          </cell>
          <cell r="P67">
            <v>0</v>
          </cell>
          <cell r="Q67">
            <v>69</v>
          </cell>
          <cell r="R67">
            <v>500</v>
          </cell>
          <cell r="U67">
            <v>13.594202898550725</v>
          </cell>
          <cell r="V67">
            <v>6.3478260869565215</v>
          </cell>
          <cell r="W67">
            <v>43.6</v>
          </cell>
          <cell r="X67">
            <v>44.2</v>
          </cell>
          <cell r="Y67">
            <v>50.2</v>
          </cell>
          <cell r="Z67">
            <v>48</v>
          </cell>
          <cell r="AA67">
            <v>0</v>
          </cell>
          <cell r="AB67">
            <v>100</v>
          </cell>
          <cell r="AC67">
            <v>6</v>
          </cell>
          <cell r="AD67">
            <v>84</v>
          </cell>
          <cell r="AE67">
            <v>100.80000000000001</v>
          </cell>
          <cell r="AF67">
            <v>14</v>
          </cell>
          <cell r="AG67">
            <v>140</v>
          </cell>
        </row>
        <row r="68">
          <cell r="A68" t="str">
            <v>Чебупицца со вкусом Том ям ТМ Горячая штучка ТС Чебупицца 0,23кг жареные ПОКОМ</v>
          </cell>
          <cell r="B68" t="str">
            <v>шт</v>
          </cell>
          <cell r="C68" t="str">
            <v>P005180</v>
          </cell>
          <cell r="D68">
            <v>2225</v>
          </cell>
          <cell r="E68">
            <v>20</v>
          </cell>
          <cell r="F68">
            <v>570</v>
          </cell>
          <cell r="G68">
            <v>1667</v>
          </cell>
          <cell r="H68">
            <v>0.23</v>
          </cell>
          <cell r="I68">
            <v>0</v>
          </cell>
          <cell r="J68" t="str">
            <v>новинка</v>
          </cell>
          <cell r="L68">
            <v>578</v>
          </cell>
          <cell r="M68">
            <v>-8</v>
          </cell>
          <cell r="P68">
            <v>0</v>
          </cell>
          <cell r="Q68">
            <v>114</v>
          </cell>
          <cell r="U68">
            <v>14.62280701754386</v>
          </cell>
          <cell r="V68">
            <v>14.62280701754386</v>
          </cell>
          <cell r="W68">
            <v>86.2</v>
          </cell>
          <cell r="X68">
            <v>142.19999999999999</v>
          </cell>
          <cell r="Y68">
            <v>94</v>
          </cell>
          <cell r="Z68">
            <v>105.8</v>
          </cell>
          <cell r="AA68">
            <v>0</v>
          </cell>
          <cell r="AB68">
            <v>0</v>
          </cell>
          <cell r="AC68">
            <v>6</v>
          </cell>
          <cell r="AD68">
            <v>0</v>
          </cell>
          <cell r="AE68">
            <v>0</v>
          </cell>
          <cell r="AF68">
            <v>14</v>
          </cell>
          <cell r="AG68">
            <v>140</v>
          </cell>
        </row>
        <row r="69">
          <cell r="A69" t="str">
            <v>Чебуреки Мясные вес 2,7 кг ТМ Зареченские ТС Зареченские продукты   Поком</v>
          </cell>
          <cell r="B69" t="str">
            <v>кг</v>
          </cell>
          <cell r="C69" t="str">
            <v>P003478</v>
          </cell>
          <cell r="D69">
            <v>40.5</v>
          </cell>
          <cell r="E69">
            <v>113.4</v>
          </cell>
          <cell r="F69">
            <v>13.1</v>
          </cell>
          <cell r="G69">
            <v>140.80000000000001</v>
          </cell>
          <cell r="H69">
            <v>1</v>
          </cell>
          <cell r="I69">
            <v>180</v>
          </cell>
          <cell r="J69" t="str">
            <v>матрица</v>
          </cell>
          <cell r="L69">
            <v>18.5</v>
          </cell>
          <cell r="M69">
            <v>-5.4</v>
          </cell>
          <cell r="P69">
            <v>100</v>
          </cell>
          <cell r="Q69">
            <v>2.62</v>
          </cell>
          <cell r="U69">
            <v>91.908396946564892</v>
          </cell>
          <cell r="V69">
            <v>53.74045801526718</v>
          </cell>
          <cell r="W69">
            <v>7.0200000000000005</v>
          </cell>
          <cell r="X69">
            <v>5.9399999999999995</v>
          </cell>
          <cell r="Y69">
            <v>6.4799999999999995</v>
          </cell>
          <cell r="Z69">
            <v>8.64</v>
          </cell>
          <cell r="AA69">
            <v>0</v>
          </cell>
          <cell r="AB69">
            <v>0</v>
          </cell>
          <cell r="AC69">
            <v>2.7</v>
          </cell>
          <cell r="AD69">
            <v>0</v>
          </cell>
          <cell r="AE69">
            <v>0</v>
          </cell>
          <cell r="AF69">
            <v>14</v>
          </cell>
          <cell r="AG69">
            <v>126</v>
          </cell>
        </row>
        <row r="70">
          <cell r="A70" t="str">
            <v>Чебуреки сочные ТМ Зареченские ТС Зареченские продукты.  Поком</v>
          </cell>
          <cell r="B70" t="str">
            <v>кг</v>
          </cell>
          <cell r="C70" t="str">
            <v>P003476</v>
          </cell>
          <cell r="D70">
            <v>470</v>
          </cell>
          <cell r="F70">
            <v>410</v>
          </cell>
          <cell r="G70">
            <v>770</v>
          </cell>
          <cell r="H70">
            <v>1</v>
          </cell>
          <cell r="I70">
            <v>180</v>
          </cell>
          <cell r="J70" t="str">
            <v>матрица</v>
          </cell>
          <cell r="L70">
            <v>240.8</v>
          </cell>
          <cell r="M70">
            <v>169.2</v>
          </cell>
          <cell r="P70">
            <v>0</v>
          </cell>
          <cell r="Q70">
            <v>82</v>
          </cell>
          <cell r="R70">
            <v>480</v>
          </cell>
          <cell r="U70">
            <v>15.24390243902439</v>
          </cell>
          <cell r="V70">
            <v>9.3902439024390247</v>
          </cell>
          <cell r="W70">
            <v>64</v>
          </cell>
          <cell r="X70">
            <v>55</v>
          </cell>
          <cell r="Y70">
            <v>59</v>
          </cell>
          <cell r="Z70">
            <v>17</v>
          </cell>
          <cell r="AA70">
            <v>0</v>
          </cell>
          <cell r="AB70">
            <v>480</v>
          </cell>
          <cell r="AC70">
            <v>5</v>
          </cell>
          <cell r="AD70">
            <v>96</v>
          </cell>
          <cell r="AE70">
            <v>480</v>
          </cell>
          <cell r="AF70">
            <v>12</v>
          </cell>
          <cell r="AG70">
            <v>84</v>
          </cell>
        </row>
        <row r="71">
          <cell r="A71" t="str">
            <v>Чебуреки сочные, ВЕС, куриные жарен. зам  ПОКОМ</v>
          </cell>
          <cell r="B71" t="str">
            <v>кг</v>
          </cell>
          <cell r="C71">
            <v>0</v>
          </cell>
          <cell r="D71">
            <v>525</v>
          </cell>
          <cell r="E71">
            <v>180</v>
          </cell>
          <cell r="F71">
            <v>170</v>
          </cell>
          <cell r="G71">
            <v>535</v>
          </cell>
          <cell r="H71">
            <v>0</v>
          </cell>
          <cell r="I71">
            <v>180</v>
          </cell>
          <cell r="J71" t="str">
            <v>дубль</v>
          </cell>
          <cell r="L71">
            <v>180</v>
          </cell>
          <cell r="M71">
            <v>-10</v>
          </cell>
          <cell r="P71">
            <v>200</v>
          </cell>
          <cell r="Q71">
            <v>34</v>
          </cell>
          <cell r="U71">
            <v>21.617647058823529</v>
          </cell>
          <cell r="V71">
            <v>15.735294117647058</v>
          </cell>
          <cell r="W71">
            <v>3</v>
          </cell>
          <cell r="X71">
            <v>0</v>
          </cell>
          <cell r="Y71">
            <v>6</v>
          </cell>
          <cell r="Z71">
            <v>45</v>
          </cell>
          <cell r="AA71">
            <v>0</v>
          </cell>
          <cell r="AB71">
            <v>0</v>
          </cell>
          <cell r="AC71">
            <v>5</v>
          </cell>
          <cell r="AD71">
            <v>0</v>
          </cell>
          <cell r="AE71">
            <v>0</v>
          </cell>
          <cell r="AF71">
            <v>12</v>
          </cell>
          <cell r="AG71">
            <v>84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Донецк Заморозка</v>
          </cell>
          <cell r="B7">
            <v>26970.9</v>
          </cell>
        </row>
        <row r="8">
          <cell r="A8" t="str">
            <v>ПОКОМ Логистический Партнер</v>
          </cell>
          <cell r="B8">
            <v>26970.9</v>
          </cell>
        </row>
        <row r="9">
          <cell r="A9" t="str">
            <v>Заморозка Зареченские Логистический партнер (кг)</v>
          </cell>
          <cell r="B9">
            <v>1149.4000000000001</v>
          </cell>
        </row>
        <row r="10">
          <cell r="A10" t="str">
            <v>Мини-сосиски в тесте 5кг ВЕС ТМ Зареченские  ПОКОМ</v>
          </cell>
          <cell r="B10">
            <v>195</v>
          </cell>
        </row>
        <row r="11">
          <cell r="A11" t="str">
            <v>Мини-шарики с курочкой и сыром ТМ Зареченские ВЕС ПОКОМ</v>
          </cell>
          <cell r="B11">
            <v>145</v>
          </cell>
        </row>
        <row r="12">
          <cell r="A12" t="str">
            <v>Наггетсы Хрустящие ТМ Зареченские ТС Зареченские продукты. Поком</v>
          </cell>
          <cell r="B12">
            <v>302</v>
          </cell>
        </row>
        <row r="13">
          <cell r="A13" t="str">
            <v>Пирожки с мясом 3,7кг ВЕС ТМ Зареченские  ПОКОМ</v>
          </cell>
          <cell r="B13">
            <v>199.8</v>
          </cell>
        </row>
        <row r="14">
          <cell r="A14" t="str">
            <v>Чебуреки Мясные вес 2,7 кг ТМ Зареченские ТС Зареченские продукты   Поком</v>
          </cell>
          <cell r="B14">
            <v>37.4</v>
          </cell>
        </row>
        <row r="15">
          <cell r="A15" t="str">
            <v>Чебуреки сочные ТМ Зареченские ТС Зареченские продукты.  Поком</v>
          </cell>
          <cell r="B15">
            <v>270.2</v>
          </cell>
        </row>
        <row r="16">
          <cell r="A16" t="str">
            <v>ПОКОМ Логистический Партнер Заморозка</v>
          </cell>
          <cell r="B16">
            <v>25821.5</v>
          </cell>
        </row>
        <row r="17">
          <cell r="A17" t="str">
            <v>БОНУС_Готовые чебупели сочные с мясом ТМ Горячая штучка флоу-пак 0,24 кг  ПОКОМ</v>
          </cell>
          <cell r="B17">
            <v>174</v>
          </cell>
        </row>
        <row r="18">
          <cell r="A18" t="str">
            <v>БОНУС_Пельмени Бульмени со сливочным маслом ТМ Горячая штучка флоу-пак сфера 0,7 кг .  Поком</v>
          </cell>
          <cell r="B18">
            <v>132</v>
          </cell>
        </row>
        <row r="19">
          <cell r="A19" t="str">
            <v>БОНУС_Чебупицца курочка по-итальянски Горячая штучка 0,25 кг зам  ПОКОМ</v>
          </cell>
          <cell r="B19">
            <v>42</v>
          </cell>
        </row>
        <row r="20">
          <cell r="A20" t="str">
            <v>Готовые бельмеши сочные с мясом ТМ Горячая штучка 0,3кг зам  ПОКОМ</v>
          </cell>
          <cell r="B20">
            <v>220</v>
          </cell>
        </row>
        <row r="21">
          <cell r="A21" t="str">
            <v>Готовые чебуманы с говядиной ТМ горячая штучка 0,28 кг.  Поком</v>
          </cell>
          <cell r="B21">
            <v>248</v>
          </cell>
        </row>
        <row r="22">
          <cell r="A22" t="str">
            <v>Готовые чебупели острые с мясом ТМ Горячая штучка флоу-пак 0,24 кг  Поком</v>
          </cell>
          <cell r="B22">
            <v>600</v>
          </cell>
        </row>
        <row r="23">
          <cell r="A23" t="str">
            <v>Готовые чебупели с ветчиной и сыром ТМ Горячая штучка флоу-пак 0,24 кг.  ПОКОМ</v>
          </cell>
          <cell r="B23">
            <v>1459</v>
          </cell>
        </row>
        <row r="24">
          <cell r="A24" t="str">
            <v>Готовые чебупели с мясом ТМ Горячая штучка 0,24 кг  ПОКОМ</v>
          </cell>
          <cell r="B24">
            <v>495</v>
          </cell>
        </row>
        <row r="25">
          <cell r="A25" t="str">
            <v>Готовые чебупели сочные с мясом ТМ Горячая штучка флоу-пак 0,24 кг  ПОКОМ</v>
          </cell>
          <cell r="B25">
            <v>510</v>
          </cell>
        </row>
        <row r="26">
          <cell r="A26" t="str">
            <v>Готовые чебупели сочные с мясом ТМ Горячая штучка флоу-пак 0,48 кг XXL  Поком</v>
          </cell>
          <cell r="B26">
            <v>574</v>
          </cell>
        </row>
        <row r="27">
          <cell r="A27" t="str">
            <v>Готовые чебуреки с мясом ТМ Горячая штучка 0,09 кг флоу-пак ПОКОМ</v>
          </cell>
          <cell r="B27">
            <v>580</v>
          </cell>
        </row>
        <row r="28">
          <cell r="A28" t="str">
            <v>Готовые чебуреки со свининой и говядиной ТМ Горячая штучка ТС Базовый ассортимент 0,36 кг  ПОКОМ</v>
          </cell>
          <cell r="B28">
            <v>151</v>
          </cell>
        </row>
        <row r="29">
          <cell r="A29" t="str">
            <v>ЖАР-ладушки с клубникой и вишней ТМ Стародворье 0,2 кг.  Поком</v>
          </cell>
          <cell r="B29">
            <v>226</v>
          </cell>
        </row>
        <row r="30">
          <cell r="A30" t="str">
            <v>Жареные вареники с картофелем и беконом Добросельские 0,2 кг. ТМ Стародворье  ПОКОМ</v>
          </cell>
          <cell r="B30">
            <v>27</v>
          </cell>
        </row>
        <row r="31">
          <cell r="A31" t="str">
            <v>Жареные вареники с картофелем и беконом ТМ Стародворье 0,2 кг  ПОКОМ</v>
          </cell>
          <cell r="B31">
            <v>221</v>
          </cell>
        </row>
        <row r="32">
          <cell r="A32" t="str">
            <v>Круггетсы с сырным соусом ТМ Горячая штучка ТС Круггетсы флоу-пак 0,2 кг  ПОКОМ</v>
          </cell>
          <cell r="B32">
            <v>1196</v>
          </cell>
        </row>
        <row r="33">
          <cell r="A33" t="str">
            <v>Круггетсы сочные ТМ Горячая штучка ТС Круггетсы флоу-пак  0,2 кг.  ПОКОМ</v>
          </cell>
          <cell r="B33">
            <v>384</v>
          </cell>
        </row>
        <row r="34">
          <cell r="A34" t="str">
            <v>Мини-чебуреки с мясом ТМ Зареченские ТС Зареченские продукты ПОКОМ</v>
          </cell>
          <cell r="B34">
            <v>346.5</v>
          </cell>
        </row>
        <row r="35">
          <cell r="A35" t="str">
            <v>Наггетсы из печи 0,25кг ТМ Вязанка замор.  ПОКОМ</v>
          </cell>
          <cell r="B35">
            <v>944</v>
          </cell>
        </row>
        <row r="36">
          <cell r="A36" t="str">
            <v>Наггетсы Нагетосы Сочная курочка в хрустящей панировке ТМ Горячая штучка флоу-пак 0,25 кг  ПОКОМ</v>
          </cell>
          <cell r="B36">
            <v>3</v>
          </cell>
        </row>
        <row r="37">
          <cell r="A37" t="str">
            <v>Наггетсы Нагетосы Сочная курочка со сметаной и зеленью ТМ Горячая штучка флоу-пак 0,25 кг  Поком</v>
          </cell>
          <cell r="B37">
            <v>503</v>
          </cell>
        </row>
        <row r="38">
          <cell r="A38" t="str">
            <v>Наггетсы Нагетосы Сочная курочка ТМ Горячая штучка 0,25 кг зам  ПОКОМ</v>
          </cell>
          <cell r="B38">
            <v>373</v>
          </cell>
        </row>
        <row r="39">
          <cell r="A39" t="str">
            <v>Наггетсы с индейкой 0,25кг ТМ Вязанка ТС Из печи Сливушки ПОКОМ</v>
          </cell>
          <cell r="B39">
            <v>750</v>
          </cell>
        </row>
        <row r="40">
          <cell r="A40" t="str">
            <v>Наггетсы с куриным филе и сыром ТМ Вязанка ТС Из печи Сливушки 0,25 кг.  Поком</v>
          </cell>
          <cell r="B40">
            <v>574</v>
          </cell>
        </row>
        <row r="41">
          <cell r="A41" t="str">
            <v>Наггетсы Хрустящие ТМ Стародворье с сочной курочкой 0,23 кг  ПОКОМ</v>
          </cell>
          <cell r="B41">
            <v>313</v>
          </cell>
        </row>
        <row r="42">
          <cell r="A42" t="str">
            <v>Пекерсы с индейкой в сливочном соусе ТМ Горячая штучка 0,25 кг зам  ПОКОМ</v>
          </cell>
          <cell r="B42">
            <v>243</v>
          </cell>
        </row>
        <row r="43">
          <cell r="A43" t="str">
            <v>Пельмени Grandmeni с говядиной и свининой ТМ Горячаяштучка флоу-па классическая форма 0,7 кг.  Поком</v>
          </cell>
          <cell r="B43">
            <v>132</v>
          </cell>
        </row>
        <row r="44">
          <cell r="A44" t="str">
            <v>Пельмени Grandmeni с говядиной ТМ Горячаяштучка флоу-пак сфера 0,7 кг.  Поком</v>
          </cell>
          <cell r="B44">
            <v>250</v>
          </cell>
        </row>
        <row r="45">
          <cell r="A45" t="str">
            <v>Пельмени Grandmeni со сливочным маслом  ТМ Горячая штучка флоу-пак сфера 0,7 кг.  Поком</v>
          </cell>
          <cell r="B45">
            <v>237</v>
          </cell>
        </row>
        <row r="46">
          <cell r="A46" t="str">
            <v>Пельмени Бигбули #МЕГАВКУСИЩЕ с сочной грудинкой  ТМ Горячая штучка  флоу-пак сфера 0,7 кг.  Поком</v>
          </cell>
          <cell r="B46">
            <v>218</v>
          </cell>
        </row>
        <row r="47">
          <cell r="A47" t="str">
            <v>Пельмени Бигбули с мясом ТМ Горячая штучка БУЛЬМЕНИ ТС Бигбули ГШ  флоу-пак сфера 0,7.   Поком</v>
          </cell>
          <cell r="B47">
            <v>518</v>
          </cell>
        </row>
        <row r="48">
          <cell r="A48" t="str">
            <v>Пельмени Бигбули с мясом ТМ Горячая штучка. флоу-пак сфера 0,4 кг. ПОКОМ</v>
          </cell>
          <cell r="B48">
            <v>471</v>
          </cell>
        </row>
        <row r="49">
          <cell r="A49" t="str">
            <v>Пельмени Бигбули со сливочным маслом  ТС Бигбули ГШ#МЕГАМАСЛИЩЕ флоу-пак сфера 0,7.  Поком</v>
          </cell>
          <cell r="B49">
            <v>188</v>
          </cell>
        </row>
        <row r="50">
          <cell r="A50" t="str">
            <v>Пельмени Бульмени мини с мясом и оливковым маслом  ТС Бульмени ГШ флоу-пак сфера 0,7кг  Поком</v>
          </cell>
          <cell r="B50">
            <v>394</v>
          </cell>
        </row>
        <row r="51">
          <cell r="A51" t="str">
            <v>Пельмени Бульмени с говядиной и свининой Наваристые Горячая штучка ВЕС  ПОКОМ</v>
          </cell>
          <cell r="B51">
            <v>370</v>
          </cell>
        </row>
        <row r="52">
          <cell r="A52" t="str">
            <v>Пельмени Бульмени с говядиной и свининой ТМ Горячая штучка  флоу-пак сфера 0,4 кг  Поком</v>
          </cell>
          <cell r="B52">
            <v>1126</v>
          </cell>
        </row>
        <row r="53">
          <cell r="A53" t="str">
            <v>Пельмени Бульмени с говядиной и свининой ТМ Горячая штучка БУЛЬМЕНИ  флоу-пак сфера 0,7 кг.  Поком</v>
          </cell>
          <cell r="B53">
            <v>481</v>
          </cell>
        </row>
        <row r="54">
          <cell r="A54" t="str">
            <v>Пельмени Бульмени со сливочным маслом ТМ Горячая штучка  флоу-пак сфера 0,4 кг .  Поком</v>
          </cell>
          <cell r="B54">
            <v>187</v>
          </cell>
        </row>
        <row r="55">
          <cell r="A55" t="str">
            <v>Пельмени Бульмени со сливочным маслом ТМ Горячая штучка флоу-пак сфера 0,7 кг .  Поком</v>
          </cell>
          <cell r="B55">
            <v>900</v>
          </cell>
        </row>
        <row r="56">
          <cell r="A56" t="str">
            <v>Пельмени Мясные с говядиной ТМ Стародворье сфера флоу-пак 1 кг  ПОКОМ</v>
          </cell>
          <cell r="B56">
            <v>641</v>
          </cell>
        </row>
        <row r="57">
          <cell r="A57" t="str">
            <v>Пельмени Отборные из свинины и говядины 0,9 кг ТМ Стародворье ТС Медвежье ушко  ПОКОМ</v>
          </cell>
          <cell r="B57">
            <v>96</v>
          </cell>
        </row>
        <row r="58">
          <cell r="A58" t="str">
            <v>Пельмени Отборные с говядиной и свининой 0,43 кг ТМ Стародворье ТС Медвежье ушко  ПОКОМ</v>
          </cell>
          <cell r="B58">
            <v>14</v>
          </cell>
        </row>
        <row r="59">
          <cell r="A59" t="str">
            <v>Пельмени С говядиной и свининой, ВЕС, ТМ Славница сфера пуговки  ПОКОМ</v>
          </cell>
          <cell r="B59">
            <v>210</v>
          </cell>
        </row>
        <row r="60">
          <cell r="A60" t="str">
            <v>Пельмени Со свининой и говядиной ТМ Особый рецепт Любимая ложка 1,0 кг  ПОКОМ</v>
          </cell>
          <cell r="B60">
            <v>15</v>
          </cell>
        </row>
        <row r="61">
          <cell r="A61" t="str">
            <v>Хотстеры Васаби-чили ТМ Горячая штучка ТС Хотстеры 0,23кг жареные ПОКОМ</v>
          </cell>
          <cell r="B61">
            <v>323</v>
          </cell>
        </row>
        <row r="62">
          <cell r="A62" t="str">
            <v>Хотстеры с сыром ТМ Горячая штучка ТС Хотстеры 0,25кг.  Поком</v>
          </cell>
          <cell r="B62">
            <v>525</v>
          </cell>
        </row>
        <row r="63">
          <cell r="A63" t="str">
            <v>Хотстеры ТМ Горячая штучка ТС Хотстеры 0,25 кг зам  ПОКОМ</v>
          </cell>
          <cell r="B63">
            <v>813</v>
          </cell>
        </row>
        <row r="64">
          <cell r="A64" t="str">
            <v>Хрустипай апельсин имбирь ТМ Горячая штучка 0,18 кг  ПОКОМ</v>
          </cell>
          <cell r="B64">
            <v>110</v>
          </cell>
        </row>
        <row r="65">
          <cell r="A65" t="str">
            <v>Хрустипай манго маракуйя ТМ Горячая штучка 0,18 кг  ПОКОМ</v>
          </cell>
          <cell r="B65">
            <v>156</v>
          </cell>
        </row>
        <row r="66">
          <cell r="A66" t="str">
            <v>Хрустипай манго чили ТМ Горячая штучка 0,18кг с начинкой ПОКОМ</v>
          </cell>
          <cell r="B66">
            <v>16</v>
          </cell>
        </row>
        <row r="67">
          <cell r="A67" t="str">
            <v>Хрустящие крылышки острые к пиву ТМ Горячая штучка 0,3кг зам  ПОКОМ</v>
          </cell>
          <cell r="B67">
            <v>524</v>
          </cell>
        </row>
        <row r="68">
          <cell r="A68" t="str">
            <v>Хрустящие крылышки ТМ Горячая штучка 0,3 кг зам  ПОКОМ</v>
          </cell>
          <cell r="B68">
            <v>759</v>
          </cell>
        </row>
        <row r="69">
          <cell r="A69" t="str">
            <v>Чебупели Курочка гриль Базовый ассортимент Фикс.вес 0,3 Пакет Горячая штучка  Поком</v>
          </cell>
          <cell r="B69">
            <v>586</v>
          </cell>
        </row>
        <row r="70">
          <cell r="A70" t="str">
            <v>Чебупицца курочка по-итальянски Горячая штучка 0,25 кг зам  ПОКОМ</v>
          </cell>
          <cell r="B70">
            <v>1762</v>
          </cell>
        </row>
        <row r="71">
          <cell r="A71" t="str">
            <v>Чебупицца Пепперони ТМ Горячая штучка ТС Чебупицца 0.25кг зам  ПОКОМ</v>
          </cell>
          <cell r="B71">
            <v>1333</v>
          </cell>
        </row>
        <row r="72">
          <cell r="A72" t="str">
            <v>Чебупицца со вкусом 4 сыра 0,2кг ТМ Горячая штучка ТС Foodgital  ПОКОМ</v>
          </cell>
          <cell r="B72">
            <v>311</v>
          </cell>
        </row>
        <row r="73">
          <cell r="A73" t="str">
            <v>Чебупицца со вкусом Том ям ТМ Горячая штучка ТС Чебупицца 0,23кг жареные ПОКОМ</v>
          </cell>
          <cell r="B73">
            <v>633</v>
          </cell>
        </row>
        <row r="74">
          <cell r="A74" t="str">
            <v>Чебуреки сочные, ВЕС, куриные жарен. зам  ПОКОМ</v>
          </cell>
          <cell r="B74">
            <v>190</v>
          </cell>
        </row>
        <row r="75">
          <cell r="A75" t="str">
            <v>Чебуречище горячая штучка 0,14кг Поком</v>
          </cell>
          <cell r="B75">
            <v>44</v>
          </cell>
        </row>
        <row r="76">
          <cell r="A76" t="str">
            <v>АСП Донецк ПОКОМ</v>
          </cell>
          <cell r="B76">
            <v>85369.13</v>
          </cell>
        </row>
        <row r="77">
          <cell r="A77" t="str">
            <v>ПОКОМ Логистический Партнер</v>
          </cell>
          <cell r="B77">
            <v>85369.13</v>
          </cell>
        </row>
        <row r="78">
          <cell r="A78" t="str">
            <v>Вязанка Логистический Партнер(Кг)</v>
          </cell>
          <cell r="B78">
            <v>10357.547</v>
          </cell>
        </row>
        <row r="79">
          <cell r="A79" t="str">
            <v xml:space="preserve"> 005  Колбаса Докторская ГОСТ, Вязанка вектор,ВЕС. ПОКОМ</v>
          </cell>
          <cell r="B79">
            <v>3011.317</v>
          </cell>
        </row>
        <row r="80">
          <cell r="A80" t="str">
            <v xml:space="preserve"> 016  Сосиски Вязанка Молочные, Вязанка вискофан  ВЕС.ПОКОМ</v>
          </cell>
          <cell r="B80">
            <v>940.67399999999998</v>
          </cell>
        </row>
        <row r="81">
          <cell r="A81" t="str">
            <v xml:space="preserve"> 017  Сосиски Вязанка Сливочные, Вязанка амицел ВЕС.ПОКОМ</v>
          </cell>
          <cell r="B81">
            <v>3378.0309999999999</v>
          </cell>
        </row>
        <row r="82">
          <cell r="A82" t="str">
            <v xml:space="preserve"> 312  Ветчина Филейская ВЕС ТМ  Вязанка ТС Столичная  ПОКОМ</v>
          </cell>
          <cell r="B82">
            <v>223.04</v>
          </cell>
        </row>
        <row r="83">
          <cell r="A83" t="str">
            <v xml:space="preserve"> 315  Колбаса вареная Молокуша ТМ Вязанка ВЕС, ПОКОМ</v>
          </cell>
          <cell r="B83">
            <v>594.50300000000004</v>
          </cell>
        </row>
        <row r="84">
          <cell r="A84" t="str">
            <v xml:space="preserve"> 330  Колбаса вареная Филейская ТМ Вязанка ТС Классическая ВЕС  ПОКОМ</v>
          </cell>
          <cell r="B84">
            <v>469.09899999999999</v>
          </cell>
        </row>
        <row r="85">
          <cell r="A85" t="str">
            <v xml:space="preserve"> 335  Колбаса Сливушка ТМ Вязанка. ВЕС.  ПОКОМ </v>
          </cell>
          <cell r="B85">
            <v>678.50199999999995</v>
          </cell>
        </row>
        <row r="86">
          <cell r="A86" t="str">
            <v xml:space="preserve"> 336  Ветчина Сливушка с индейкой ТМ Вязанка. ВЕС  ПОКОМ</v>
          </cell>
          <cell r="B86">
            <v>33.299999999999997</v>
          </cell>
        </row>
        <row r="87">
          <cell r="A87" t="str">
            <v xml:space="preserve"> 364  Сардельки Филейские Вязанка ВЕС NDX ТМ Вязанка  ПОКОМ</v>
          </cell>
          <cell r="B87">
            <v>363.8</v>
          </cell>
        </row>
        <row r="88">
          <cell r="A88" t="str">
            <v xml:space="preserve"> 547  Колбаса Мясная Классическая ТМ Вязанка в оболочке полиамид. ВЕС  ПОКОМ</v>
          </cell>
          <cell r="B88">
            <v>9.1</v>
          </cell>
        </row>
        <row r="89">
          <cell r="A89" t="str">
            <v xml:space="preserve"> 556  Колбаса Сервелат Ореховый ТМ Вязанка в оболочке фиброуз в вакуумной упаковке, ВЕС  ПОКОМ</v>
          </cell>
          <cell r="B89">
            <v>329.7</v>
          </cell>
        </row>
        <row r="90">
          <cell r="A90" t="str">
            <v xml:space="preserve"> 558  Колбаса Балыковая НОВАЯ ВЕС Вязанка фиброуз в/у ПОКОМ</v>
          </cell>
          <cell r="B90">
            <v>255.78100000000001</v>
          </cell>
        </row>
        <row r="91">
          <cell r="A91" t="str">
            <v>503 Колбаса Филейская со шпиком ТМ Вязанка в оболочке полиамид.ПОКОМ</v>
          </cell>
          <cell r="B91">
            <v>70.7</v>
          </cell>
        </row>
        <row r="92">
          <cell r="A92" t="str">
            <v>Вязанка Логистический Партнер(Шт)</v>
          </cell>
          <cell r="B92">
            <v>8380</v>
          </cell>
        </row>
        <row r="93">
          <cell r="A93" t="str">
            <v xml:space="preserve"> 023  Колбаса Докторская ГОСТ, Вязанка вектор, 0,4 кг, ПОКОМ</v>
          </cell>
          <cell r="B93">
            <v>14</v>
          </cell>
        </row>
        <row r="94">
          <cell r="A94" t="str">
            <v xml:space="preserve"> 030  Сосиски Вязанка Молочные, Вязанка вискофан МГС, 0.45кг, ПОКОМ</v>
          </cell>
          <cell r="B94">
            <v>1774</v>
          </cell>
        </row>
        <row r="95">
          <cell r="A95" t="str">
            <v xml:space="preserve"> 032  Сосиски Вязанка Сливочные, Вязанка амицел МГС, 0.45кг, ПОКОМ</v>
          </cell>
          <cell r="B95">
            <v>3108</v>
          </cell>
        </row>
        <row r="96">
          <cell r="A96" t="str">
            <v xml:space="preserve"> 276  Колбаса Сливушка ТМ Вязанка в оболочке полиамид 0,45 кг  ПОКОМ</v>
          </cell>
          <cell r="B96">
            <v>496</v>
          </cell>
        </row>
        <row r="97">
          <cell r="A97" t="str">
            <v xml:space="preserve"> 319  Колбаса вареная Филейская ТМ Вязанка ТС Классическая, 0,45 кг. ПОКОМ</v>
          </cell>
          <cell r="B97">
            <v>574</v>
          </cell>
        </row>
        <row r="98">
          <cell r="A98" t="str">
            <v xml:space="preserve"> 322  Колбаса вареная Молокуша 0,45кг ТМ Вязанка  ПОКОМ</v>
          </cell>
          <cell r="B98">
            <v>616</v>
          </cell>
        </row>
        <row r="99">
          <cell r="A99" t="str">
            <v xml:space="preserve"> 387  Колбаса вареная Мусульманская Халяль ТМ Вязанка, 0,4 кг ПОКОМ</v>
          </cell>
          <cell r="B99">
            <v>2</v>
          </cell>
        </row>
        <row r="100">
          <cell r="A100" t="str">
            <v xml:space="preserve"> 388  Сосиски Восточные Халяль ТМ Вязанка 0,33 кг АК. ПОКОМ</v>
          </cell>
          <cell r="B100">
            <v>2</v>
          </cell>
        </row>
        <row r="101">
          <cell r="A101" t="str">
            <v xml:space="preserve"> 395  Колбаса Докторская ГОСТ ТМ Вязанка в оболочке полиамид 0,37 кг. ПОКОМ</v>
          </cell>
          <cell r="B101">
            <v>142</v>
          </cell>
        </row>
        <row r="102">
          <cell r="A102" t="str">
            <v xml:space="preserve"> 396  Сардельки Филейские Вязанка ТМ Вязанка в оболочке NDX  0,4 кг. ПОКОМ</v>
          </cell>
          <cell r="B102">
            <v>12</v>
          </cell>
        </row>
        <row r="103">
          <cell r="A103" t="str">
            <v xml:space="preserve"> 405  Сардельки Сливушки ТМ Вязанка в оболочке айпил 0,33 кг. ПОКОМ</v>
          </cell>
          <cell r="B103">
            <v>114</v>
          </cell>
        </row>
        <row r="104">
          <cell r="A104" t="str">
            <v xml:space="preserve"> 408  Ветчина Сливушка с индейкой ТМ Вязанка, 0,4кг  ПОКОМ</v>
          </cell>
          <cell r="B104">
            <v>45</v>
          </cell>
        </row>
        <row r="105">
          <cell r="A105" t="str">
            <v xml:space="preserve"> 451 Сосиски Филейские ТМ Вязанка в оболочке целлофан 0,3 кг. ПОКОМ</v>
          </cell>
          <cell r="B105">
            <v>246</v>
          </cell>
        </row>
        <row r="106">
          <cell r="A106" t="str">
            <v xml:space="preserve"> 489  Сосиски Филейские Рубленые 0,3кг ТМ Вязанка  ПОКОМ</v>
          </cell>
          <cell r="B106">
            <v>12</v>
          </cell>
        </row>
        <row r="107">
          <cell r="A107" t="str">
            <v xml:space="preserve"> 551  Колбаса Сливушка ТМ Вязанка в модифицированной газовой среде 0,11 кг нарезка  ПОКОМ</v>
          </cell>
          <cell r="B107">
            <v>32</v>
          </cell>
        </row>
        <row r="108">
          <cell r="A108" t="str">
            <v xml:space="preserve"> 555  Колбаса Молокуша ТМ Вязанка в модифицированной газовой среде 0,17 кг нарезка  ПОКОМ</v>
          </cell>
          <cell r="B108">
            <v>87</v>
          </cell>
        </row>
        <row r="109">
          <cell r="A109" t="str">
            <v xml:space="preserve"> 564  Сосиски Сочные 0,3 кг ТМ Вязанка  ПОКОМ</v>
          </cell>
          <cell r="B109">
            <v>91</v>
          </cell>
        </row>
        <row r="110">
          <cell r="A110" t="str">
            <v xml:space="preserve"> 569  Колбаса Балыковая ТМ Вязанка в оболочке фиброуз в вакуумной упаковке 0,28 кг срез.  ПОКОМ</v>
          </cell>
          <cell r="B110">
            <v>416</v>
          </cell>
        </row>
        <row r="111">
          <cell r="A111" t="str">
            <v xml:space="preserve"> 570  Колбаса Сервелат Финский ТМ Вязанка в оболочке фиброуз в вак. упаковке 0,28 кг срез  ПОКОМ</v>
          </cell>
          <cell r="B111">
            <v>138</v>
          </cell>
        </row>
        <row r="112">
          <cell r="A112" t="str">
            <v xml:space="preserve"> 571  Колбаса Сервелат Ореховый ТМ Вязанка в оболочке фиброуз в вак. упаковке 0,28 кг срез  ПОКОМ</v>
          </cell>
          <cell r="B112">
            <v>459</v>
          </cell>
        </row>
        <row r="113">
          <cell r="A113" t="str">
            <v>Логистический Партнер Кг</v>
          </cell>
          <cell r="B113">
            <v>52619.582999999999</v>
          </cell>
        </row>
        <row r="114">
          <cell r="A114" t="str">
            <v xml:space="preserve"> 200  Ветчина Дугушка ТМ Стародворье, вектор в/у    ПОКОМ</v>
          </cell>
          <cell r="B114">
            <v>4737.1030000000001</v>
          </cell>
        </row>
        <row r="115">
          <cell r="A115" t="str">
            <v xml:space="preserve"> 201  Ветчина Нежная ТМ Особый рецепт, (2,5кг), ПОКОМ</v>
          </cell>
          <cell r="B115">
            <v>5315.51</v>
          </cell>
        </row>
        <row r="116">
          <cell r="A116" t="str">
            <v xml:space="preserve"> 215  Колбаса Докторская ГОСТ Дугушка, ВЕС, ТМ Стародворье ПОКОМ</v>
          </cell>
          <cell r="B116">
            <v>260.75</v>
          </cell>
        </row>
        <row r="117">
          <cell r="A117" t="str">
            <v xml:space="preserve"> 217  Колбаса Докторская Дугушка, ВЕС, НЕ ГОСТ, ТМ Стародворье ПОКОМ</v>
          </cell>
          <cell r="B117">
            <v>1.6</v>
          </cell>
        </row>
        <row r="118">
          <cell r="A118" t="str">
            <v xml:space="preserve"> 219  Колбаса Докторская Особая ТМ Особый рецепт, ВЕС  ПОКОМ</v>
          </cell>
          <cell r="B118">
            <v>1000</v>
          </cell>
        </row>
        <row r="119">
          <cell r="A119" t="str">
            <v xml:space="preserve"> 226  Колбаса Княжеская, с/к белков.обол в термоусад. пакете, ВЕС, ТМ Стародворье ПОКОМ</v>
          </cell>
          <cell r="B119">
            <v>4.7409999999999997</v>
          </cell>
        </row>
        <row r="120">
          <cell r="A120" t="str">
            <v xml:space="preserve"> 229  Колбаса Молочная Дугушка, в/у, ВЕС, ТМ Стародворье   ПОКОМ</v>
          </cell>
          <cell r="B120">
            <v>4229.45</v>
          </cell>
        </row>
        <row r="121">
          <cell r="A121" t="str">
            <v xml:space="preserve"> 230  Колбаса Молочная Особая ТМ Особый рецепт, п/а, ВЕС. ПОКОМ</v>
          </cell>
          <cell r="B121">
            <v>7.5</v>
          </cell>
        </row>
        <row r="122">
          <cell r="A122" t="str">
            <v xml:space="preserve"> 236  Колбаса Рубленая ЗАПЕЧ. Дугушка ТМ Стародворье, вектор, в/к    ПОКОМ</v>
          </cell>
          <cell r="B122">
            <v>486.35</v>
          </cell>
        </row>
        <row r="123">
          <cell r="A123" t="str">
            <v xml:space="preserve"> 239  Колбаса Салями запеч Дугушка, оболочка вектор, ВЕС, ТМ Стародворье  ПОКОМ</v>
          </cell>
          <cell r="B123">
            <v>1652.7270000000001</v>
          </cell>
        </row>
        <row r="124">
          <cell r="A124" t="str">
            <v xml:space="preserve"> 242  Колбаса Сервелат ЗАПЕЧ.Дугушка ТМ Стародворье, вектор, в/к     ПОКОМ</v>
          </cell>
          <cell r="B124">
            <v>2245.88</v>
          </cell>
        </row>
        <row r="125">
          <cell r="A125" t="str">
            <v xml:space="preserve"> 244  Колбаса Сервелат Кремлевский, ВЕС. ПОКОМ</v>
          </cell>
          <cell r="B125">
            <v>55.3</v>
          </cell>
        </row>
        <row r="126">
          <cell r="A126" t="str">
            <v xml:space="preserve"> 250  Сардельки стародворские с говядиной в обол. NDX, ВЕС. ПОКОМ</v>
          </cell>
          <cell r="B126">
            <v>3165.5839999999998</v>
          </cell>
        </row>
        <row r="127">
          <cell r="A127" t="str">
            <v xml:space="preserve"> 253  Сосиски Ганноверские   ПОКОМ</v>
          </cell>
          <cell r="B127">
            <v>21.3</v>
          </cell>
        </row>
        <row r="128">
          <cell r="A128" t="str">
            <v xml:space="preserve"> 255  Сосиски Молочные для завтрака ТМ Особый рецепт, п/а МГС, ВЕС, ТМ Стародворье  ПОКОМ</v>
          </cell>
          <cell r="B128">
            <v>9322.9030000000002</v>
          </cell>
        </row>
        <row r="129">
          <cell r="A129" t="str">
            <v xml:space="preserve"> 283  Сосиски Сочинки, ВЕС, ТМ Стародворье ПОКОМ</v>
          </cell>
          <cell r="B129">
            <v>20</v>
          </cell>
        </row>
        <row r="130">
          <cell r="A130" t="str">
            <v xml:space="preserve"> 297  Колбаса Мясорубская с рубленой грудинкой ВЕС ТМ Стародворье  ПОКОМ</v>
          </cell>
          <cell r="B130">
            <v>18.8</v>
          </cell>
        </row>
        <row r="131">
          <cell r="A131" t="str">
            <v xml:space="preserve"> 305  Колбаса Сервелат Мясорубский с мелкорубленным окороком в/у  ТМ Стародворье ВЕС   ПОКОМ</v>
          </cell>
          <cell r="B131">
            <v>46.9</v>
          </cell>
        </row>
        <row r="132">
          <cell r="A132" t="str">
            <v xml:space="preserve"> 340  Сосиски Сочинки Молочные ТМ Стародворье, ВЕС ПОКОМ</v>
          </cell>
          <cell r="B132">
            <v>172.2</v>
          </cell>
        </row>
        <row r="133">
          <cell r="A133" t="str">
            <v xml:space="preserve"> 341 Сосиски Сочинки Сливочные ТМ Стародворье ВЕС ПОКОМ</v>
          </cell>
          <cell r="B133">
            <v>28.5</v>
          </cell>
        </row>
        <row r="134">
          <cell r="A134" t="str">
            <v xml:space="preserve"> 344  Колбаса Сочинка по-европейски с сочной грудинкой ТМ Стародворье, ВЕС ПОКОМ</v>
          </cell>
          <cell r="B134">
            <v>164.46100000000001</v>
          </cell>
        </row>
        <row r="135">
          <cell r="A135" t="str">
            <v xml:space="preserve"> 345  Колбаса Сочинка по-фински с сочным окроком ТМ Стародворье ВЕС ПОКОМ</v>
          </cell>
          <cell r="B135">
            <v>117.372</v>
          </cell>
        </row>
        <row r="136">
          <cell r="A136" t="str">
            <v xml:space="preserve"> 346  Колбаса Сочинка зернистая с сочной грудинкой ТМ Стародворье.ВЕС ПОКОМ</v>
          </cell>
          <cell r="B136">
            <v>653.1</v>
          </cell>
        </row>
        <row r="137">
          <cell r="A137" t="str">
            <v xml:space="preserve"> 347  Колбаса Сочинка рубленая с сочным окороком ТМ Стародворье ВЕС ПОКОМ</v>
          </cell>
          <cell r="B137">
            <v>139.44900000000001</v>
          </cell>
        </row>
        <row r="138">
          <cell r="A138" t="str">
            <v xml:space="preserve"> 433 Колбаса Стародворская со шпиком  в оболочке полиамид. ТМ Стародворье ВЕС ПОКОМ</v>
          </cell>
          <cell r="B138">
            <v>7.8</v>
          </cell>
        </row>
        <row r="139">
          <cell r="A139" t="str">
            <v xml:space="preserve"> 449  Колбаса Дугушка Стародворская ВЕС ТС Дугушка ПОКОМ</v>
          </cell>
          <cell r="B139">
            <v>4233.58</v>
          </cell>
        </row>
        <row r="140">
          <cell r="A140" t="str">
            <v xml:space="preserve"> 452  Колбаса Со шпиком ВЕС большой батон ТМ Особый рецепт  ПОКОМ</v>
          </cell>
          <cell r="B140">
            <v>1947.943</v>
          </cell>
        </row>
        <row r="141">
          <cell r="A141" t="str">
            <v xml:space="preserve"> 456  Колбаса Филейная ТМ Особый рецепт ВЕС большой батон  ПОКОМ</v>
          </cell>
          <cell r="B141">
            <v>6322.3320000000003</v>
          </cell>
        </row>
        <row r="142">
          <cell r="A142" t="str">
            <v xml:space="preserve"> 457  Колбаса Молочная ТМ Особый рецепт ВЕС большой батон  ПОКОМ</v>
          </cell>
          <cell r="B142">
            <v>5339.9690000000001</v>
          </cell>
        </row>
        <row r="143">
          <cell r="A143" t="str">
            <v xml:space="preserve"> 460  Колбаса Стародворская Традиционная ВЕС ТМ Стародворье в оболочке полиамид. ПОКОМ</v>
          </cell>
          <cell r="B143">
            <v>43.4</v>
          </cell>
        </row>
        <row r="144">
          <cell r="A144" t="str">
            <v xml:space="preserve"> 463  Колбаса Молочная Традиционнаяв оболочке полиамид.ТМ Стародворье. ВЕС ПОКОМ</v>
          </cell>
          <cell r="B144">
            <v>35.746000000000002</v>
          </cell>
        </row>
        <row r="145">
          <cell r="A145" t="str">
            <v xml:space="preserve"> 557  Колбаса Сервелат Финский ТМ Вязанка в оболочке фиброуз в вакуумной упаковке, ВЕС  ПОКОМ</v>
          </cell>
          <cell r="B145">
            <v>56.1</v>
          </cell>
        </row>
        <row r="146">
          <cell r="A146" t="str">
            <v xml:space="preserve"> 579  Колбаса Ветчинно-рубленая ТМ Особый рецепт в оболочке полиамид.ВЕС  ПОКОМ</v>
          </cell>
          <cell r="B146">
            <v>50</v>
          </cell>
        </row>
        <row r="147">
          <cell r="A147" t="str">
            <v xml:space="preserve"> 580  Ветчина Нежная с индейкой ТМ Особый рецепт в оболочке полиамид.ВЕС  ПОКОМ</v>
          </cell>
          <cell r="B147">
            <v>60</v>
          </cell>
        </row>
        <row r="148">
          <cell r="A148" t="str">
            <v xml:space="preserve"> 585  Колбаса Молочная ТМ Стародворье в оболочке вектор НД ВЕС.  ПОКОМ</v>
          </cell>
          <cell r="B148">
            <v>20.100000000000001</v>
          </cell>
        </row>
        <row r="149">
          <cell r="A149" t="str">
            <v xml:space="preserve"> 586  Колбаса Мясная ТМ Стародворье в оболочке вектор НД ВЕС.  ПОКОМ</v>
          </cell>
          <cell r="B149">
            <v>613.58199999999999</v>
          </cell>
        </row>
        <row r="150">
          <cell r="A150" t="str">
            <v xml:space="preserve"> 588 Колбаса Со шпиком ТМ Стародворье в оболочке вектор ВЕС  ПОКОМ</v>
          </cell>
          <cell r="B150">
            <v>21.550999999999998</v>
          </cell>
        </row>
        <row r="151">
          <cell r="A151" t="str">
            <v>Логистический Партнер Шт</v>
          </cell>
          <cell r="B151">
            <v>14012</v>
          </cell>
        </row>
        <row r="152">
          <cell r="A152" t="str">
            <v xml:space="preserve"> 047  Кол Баварская, белков.обол. в термоусад. пакете 0.17 кг, ТМ Стародворье  ПОКОМ</v>
          </cell>
          <cell r="B152">
            <v>86</v>
          </cell>
        </row>
        <row r="153">
          <cell r="A153" t="str">
            <v xml:space="preserve"> 062  Колбаса Кракушка пряная с сальцем, 0.3кг в/у п/к, БАВАРУШКА ПОКОМ</v>
          </cell>
          <cell r="B153">
            <v>62</v>
          </cell>
        </row>
        <row r="154">
          <cell r="A154" t="str">
            <v xml:space="preserve"> 083  Колбаса Швейцарская 0,17 кг., ШТ., сырокопченая   ПОКОМ</v>
          </cell>
          <cell r="B154">
            <v>248</v>
          </cell>
        </row>
        <row r="155">
          <cell r="A155" t="str">
            <v xml:space="preserve"> 273  Сосиски Сочинки с сочной грудинкой, МГС 0.4кг,   ПОКОМ</v>
          </cell>
          <cell r="B155">
            <v>4856</v>
          </cell>
        </row>
        <row r="156">
          <cell r="A156" t="str">
            <v xml:space="preserve"> 278  Сосиски Сочинки с сочным окороком, МГС 0.4кг,   ПОКОМ</v>
          </cell>
          <cell r="B156">
            <v>1200</v>
          </cell>
        </row>
        <row r="157">
          <cell r="A157" t="str">
            <v xml:space="preserve"> 281  Сосиски Молочные для завтрака ТМ Особый рецепт, 0,4кг  ПОКОМ</v>
          </cell>
          <cell r="B157">
            <v>544</v>
          </cell>
        </row>
        <row r="158">
          <cell r="A158" t="str">
            <v xml:space="preserve"> 285  Паштет печеночный со слив.маслом ТМ Стародворье ламистер 0,1 кг  ПОКОМ</v>
          </cell>
          <cell r="B158">
            <v>204</v>
          </cell>
        </row>
        <row r="159">
          <cell r="A159" t="str">
            <v xml:space="preserve"> 296  Колбаса Мясорубская с рубленой грудинкой 0,35кг срез ТМ Стародворье  ПОКОМ</v>
          </cell>
          <cell r="B159">
            <v>107</v>
          </cell>
        </row>
        <row r="160">
          <cell r="A160" t="str">
            <v xml:space="preserve"> 301  Сосиски Сочинки по-баварски с сыром,  0.4кг, ТМ Стародворье  ПОКОМ</v>
          </cell>
          <cell r="B160">
            <v>283</v>
          </cell>
        </row>
        <row r="161">
          <cell r="A161" t="str">
            <v xml:space="preserve"> 302  Сосиски Сочинки по-баварски,  0.4кг, ТМ Стародворье  ПОКОМ</v>
          </cell>
          <cell r="B161">
            <v>216</v>
          </cell>
        </row>
        <row r="162">
          <cell r="A162" t="str">
            <v xml:space="preserve"> 307  Колбаса Сервелат Мясорубский с мелкорубленным окороком 0,35 кг срез ТМ Стародворье   Поком</v>
          </cell>
          <cell r="B162">
            <v>563</v>
          </cell>
        </row>
        <row r="163">
          <cell r="A163" t="str">
            <v xml:space="preserve"> 309  Сосиски Сочинки с сыром 0,4 кг ТМ Стародворье  ПОКОМ</v>
          </cell>
          <cell r="B163">
            <v>458</v>
          </cell>
        </row>
        <row r="164">
          <cell r="A164" t="str">
            <v xml:space="preserve"> 326  Колбаса вареная Сочинка ТМ Стародворье,  0,45 кг. ПОКОМ</v>
          </cell>
          <cell r="B164">
            <v>24</v>
          </cell>
        </row>
        <row r="165">
          <cell r="A165" t="str">
            <v xml:space="preserve"> 329  Сардельки Сочинки с сыром Стародворье ТМ, 0,4 кг. ПОКОМ</v>
          </cell>
          <cell r="B165">
            <v>29</v>
          </cell>
        </row>
        <row r="166">
          <cell r="A166" t="str">
            <v xml:space="preserve"> 334  Паштет Любительский ТМ Стародворье ламистер 0,1 кг  ПОКОМ</v>
          </cell>
          <cell r="B166">
            <v>134</v>
          </cell>
        </row>
        <row r="167">
          <cell r="A167" t="str">
            <v xml:space="preserve"> 338  Паштет печеночный с морковью ТМ Стародворье ламистер 0,1 кг.  ПОКОМ</v>
          </cell>
          <cell r="B167">
            <v>118</v>
          </cell>
        </row>
        <row r="168">
          <cell r="A168" t="str">
            <v xml:space="preserve"> 342 Сосиски Сочинки Молочные ТМ Стародворье 0,4 кг ПОКОМ</v>
          </cell>
          <cell r="B168">
            <v>635</v>
          </cell>
        </row>
        <row r="169">
          <cell r="A169" t="str">
            <v xml:space="preserve"> 343 Сосиски Сочинки Сливочные ТМ Стародворье  0,4 кг ПОКОМ</v>
          </cell>
          <cell r="B169">
            <v>519</v>
          </cell>
        </row>
        <row r="170">
          <cell r="A170" t="str">
            <v xml:space="preserve"> 376  Колбаса Докторская Дугушка 0,6кг ГОСТ ТМ Стародворье  ПОКОМ </v>
          </cell>
          <cell r="B170">
            <v>854</v>
          </cell>
        </row>
        <row r="171">
          <cell r="A171" t="str">
            <v xml:space="preserve"> 377  Колбаса Молочная Дугушка 0,6кг ТМ Стародворье  ПОКОМ</v>
          </cell>
          <cell r="B171">
            <v>627</v>
          </cell>
        </row>
        <row r="172">
          <cell r="A172" t="str">
            <v xml:space="preserve"> 394 Колбаса полукопченая Аль-Ислами халяль ТМ Вязанка оболочка фиброуз в в/у 0,35 кг  ПОКОМ</v>
          </cell>
          <cell r="B172">
            <v>7</v>
          </cell>
        </row>
        <row r="173">
          <cell r="A173" t="str">
            <v xml:space="preserve"> 397  Ветчина Дугушка ТМ Стародворье ТС Дугушка в полиамидной оболочке 0,6 кг. ПОКОМ</v>
          </cell>
          <cell r="B173">
            <v>140</v>
          </cell>
        </row>
        <row r="174">
          <cell r="A174" t="str">
            <v xml:space="preserve"> 410  Сосиски Баварские с сыром ТМ Стародворье 0,35 кг. ПОКОМ</v>
          </cell>
          <cell r="B174">
            <v>174</v>
          </cell>
        </row>
        <row r="175">
          <cell r="A175" t="str">
            <v xml:space="preserve"> 412  Сосиски Баварские ТМ Стародворье 0,35 кг ПОКОМ</v>
          </cell>
          <cell r="B175">
            <v>630</v>
          </cell>
        </row>
        <row r="176">
          <cell r="A176" t="str">
            <v xml:space="preserve"> 430  Колбаса Стародворская с окороком 0,4 кг. ТМ Стародворье в оболочке полиамид  ПОКОМ</v>
          </cell>
          <cell r="B176">
            <v>21</v>
          </cell>
        </row>
        <row r="177">
          <cell r="A177" t="str">
            <v xml:space="preserve"> 498  Колбаса Сочинка рубленая с сочным окороком 0,3кг ТМ Стародворье  ПОКОМ</v>
          </cell>
          <cell r="B177">
            <v>138</v>
          </cell>
        </row>
        <row r="178">
          <cell r="A178" t="str">
            <v xml:space="preserve"> 517  Сосиски С сыром ТМ Ядрена копоть 0,3кг  ПОКОМ</v>
          </cell>
          <cell r="B178">
            <v>30</v>
          </cell>
        </row>
        <row r="179">
          <cell r="A179" t="str">
            <v xml:space="preserve"> 520  Колбаса Мраморная ТМ Стародворье в вакуумной упаковке 0,07 кг нарезка  ПОКОМ</v>
          </cell>
          <cell r="B179">
            <v>12</v>
          </cell>
        </row>
        <row r="180">
          <cell r="A180" t="str">
            <v xml:space="preserve"> 523  Колбаса Сальчичон нарезка 0,07кг ТМ Стародворье  ПОКОМ </v>
          </cell>
          <cell r="B180">
            <v>75</v>
          </cell>
        </row>
        <row r="181">
          <cell r="A181" t="str">
            <v xml:space="preserve"> 524  Колбаса Сервелат Ореховый нарезка 0,07кг ТМ Стародворье  ПОКОМ</v>
          </cell>
          <cell r="B181">
            <v>88</v>
          </cell>
        </row>
        <row r="182">
          <cell r="A182" t="str">
            <v xml:space="preserve"> 525  Колбаса Фуэт нарезка 0,07кг ТМ Стародворье  ПОКОМ</v>
          </cell>
          <cell r="B182">
            <v>64</v>
          </cell>
        </row>
        <row r="183">
          <cell r="A183" t="str">
            <v xml:space="preserve"> 526  Корейка вяленая выдержанная нарезка 0,05кг ТМ Стародворье  ПОКОМ</v>
          </cell>
          <cell r="B183">
            <v>44</v>
          </cell>
        </row>
        <row r="184">
          <cell r="A184" t="str">
            <v xml:space="preserve"> 527  Окорок Прошутто выдержанный нарезка 0,055кг ТМ Стародворье  ПОКОМ</v>
          </cell>
          <cell r="B184">
            <v>39</v>
          </cell>
        </row>
        <row r="185">
          <cell r="A185" t="str">
            <v xml:space="preserve"> 530  Окорок Хамон выдержанный нарезка 0,055кг ТМ Стародворье  ПОКОМ</v>
          </cell>
          <cell r="B185">
            <v>47</v>
          </cell>
        </row>
        <row r="186">
          <cell r="A186" t="str">
            <v xml:space="preserve"> 544  Сосиски Мясные для гриля ТС Ядрена копоть 0,3 кг  ПОКОМ</v>
          </cell>
          <cell r="B186">
            <v>28</v>
          </cell>
        </row>
        <row r="187">
          <cell r="A187" t="str">
            <v xml:space="preserve"> 553  Ассорти колбас Мясорубская коллекция: Сервелат Делюкс, С балыком 0,08 кг нарезка  ПОКОМ</v>
          </cell>
          <cell r="B187">
            <v>167</v>
          </cell>
        </row>
        <row r="188">
          <cell r="A188" t="str">
            <v xml:space="preserve"> 554  Колбаса Сервелат Мясорубский ТМ Стародворье в упаковке скин 0,08 кг нарезка  ПОКОМ</v>
          </cell>
          <cell r="B188">
            <v>143</v>
          </cell>
        </row>
        <row r="189">
          <cell r="A189" t="str">
            <v>495  Колбаса Сочинка по-европейски с сочной грудинкой 0,3кг ТМ Стародворье  ПОКОМ</v>
          </cell>
          <cell r="B189">
            <v>183</v>
          </cell>
        </row>
        <row r="190">
          <cell r="A190" t="str">
            <v>496  Колбаса Сочинка по-фински с сочным окроком 0,3кг ТМ Стародворье  ПОКОМ</v>
          </cell>
          <cell r="B190">
            <v>133</v>
          </cell>
        </row>
        <row r="191">
          <cell r="A191" t="str">
            <v>515  Колбаса Сервелат Мясорубский Делюкс 0,3кг ТМ Стародворье  ПОКОМ</v>
          </cell>
          <cell r="B191">
            <v>52</v>
          </cell>
        </row>
        <row r="192">
          <cell r="A192" t="str">
            <v>519  Грудинка 0,12 кг нарезка ТМ Стародворье  ПОКОМ</v>
          </cell>
          <cell r="B192">
            <v>30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11.06.2026 - 18.06.2026</v>
          </cell>
        </row>
        <row r="6">
          <cell r="A6" t="str">
            <v>Склад В списке "АСП Донецк Заморозка"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Начальный остаток</v>
          </cell>
          <cell r="E8" t="str">
            <v>Приход</v>
          </cell>
          <cell r="F8" t="str">
            <v>Расход</v>
          </cell>
          <cell r="G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 xml:space="preserve">заказ в пути </v>
          </cell>
          <cell r="Q8" t="str">
            <v>ср нов</v>
          </cell>
          <cell r="R8" t="str">
            <v>расчет (потребность)</v>
          </cell>
          <cell r="S8" t="str">
            <v>заказ филиала</v>
          </cell>
          <cell r="T8" t="str">
            <v>Комментарии филиала</v>
          </cell>
        </row>
        <row r="9">
          <cell r="P9" t="str">
            <v>15,06,</v>
          </cell>
          <cell r="Q9" t="str">
            <v>11,06,</v>
          </cell>
          <cell r="R9" t="str">
            <v>22,06,</v>
          </cell>
        </row>
        <row r="10">
          <cell r="D10">
            <v>30143.3</v>
          </cell>
          <cell r="E10">
            <v>30446.9</v>
          </cell>
          <cell r="F10">
            <v>24833.7</v>
          </cell>
          <cell r="G10">
            <v>33394</v>
          </cell>
          <cell r="L10">
            <v>26697.9</v>
          </cell>
          <cell r="M10">
            <v>-1864.1999999999998</v>
          </cell>
          <cell r="N10">
            <v>0</v>
          </cell>
          <cell r="O10">
            <v>0</v>
          </cell>
          <cell r="P10">
            <v>7418</v>
          </cell>
          <cell r="Q10">
            <v>4966.7400000000007</v>
          </cell>
          <cell r="R10">
            <v>30811.42</v>
          </cell>
          <cell r="S10">
            <v>13570</v>
          </cell>
        </row>
        <row r="11">
          <cell r="A11" t="str">
            <v>БОНУС_Готовые чебупели сочные с мясом ТМ Горячая штучка флоу-пак 0,24 кг  ПОКОМ</v>
          </cell>
          <cell r="B11" t="str">
            <v>шт</v>
          </cell>
          <cell r="C11">
            <v>0</v>
          </cell>
          <cell r="D11">
            <v>2</v>
          </cell>
          <cell r="E11">
            <v>285</v>
          </cell>
          <cell r="F11">
            <v>172</v>
          </cell>
          <cell r="G11">
            <v>114</v>
          </cell>
          <cell r="H11">
            <v>0</v>
          </cell>
          <cell r="I11">
            <v>0</v>
          </cell>
          <cell r="J11">
            <v>0</v>
          </cell>
          <cell r="L11">
            <v>174</v>
          </cell>
          <cell r="M11">
            <v>-2</v>
          </cell>
          <cell r="P11">
            <v>227</v>
          </cell>
          <cell r="Q11">
            <v>34.4</v>
          </cell>
          <cell r="R11">
            <v>140.59999999999997</v>
          </cell>
        </row>
        <row r="12">
          <cell r="A12" t="str">
            <v>БОНУС_Пельмени Бульмени со сливочным маслом ТМ Горячая штучка флоу-пак сфера 0,7 кг .  Поком</v>
          </cell>
          <cell r="B12" t="str">
            <v>шт</v>
          </cell>
          <cell r="C12">
            <v>0</v>
          </cell>
          <cell r="D12">
            <v>78</v>
          </cell>
          <cell r="E12">
            <v>186</v>
          </cell>
          <cell r="F12">
            <v>126</v>
          </cell>
          <cell r="G12">
            <v>133</v>
          </cell>
          <cell r="H12">
            <v>0</v>
          </cell>
          <cell r="I12">
            <v>0</v>
          </cell>
          <cell r="J12">
            <v>0</v>
          </cell>
          <cell r="L12">
            <v>132</v>
          </cell>
          <cell r="M12">
            <v>-6</v>
          </cell>
          <cell r="P12">
            <v>311</v>
          </cell>
          <cell r="Q12">
            <v>25.2</v>
          </cell>
        </row>
        <row r="13">
          <cell r="A13" t="str">
            <v>БОНУС_Пирожки с мясом 3,7кг ВЕС ТМ Зареченские  ПОКОМ</v>
          </cell>
          <cell r="B13" t="str">
            <v>кг</v>
          </cell>
          <cell r="C13">
            <v>0</v>
          </cell>
          <cell r="D13">
            <v>13</v>
          </cell>
          <cell r="F13">
            <v>0</v>
          </cell>
          <cell r="G13">
            <v>13</v>
          </cell>
          <cell r="H13">
            <v>0</v>
          </cell>
          <cell r="I13">
            <v>0</v>
          </cell>
          <cell r="J13">
            <v>0</v>
          </cell>
          <cell r="L13">
            <v>0</v>
          </cell>
          <cell r="M13">
            <v>0</v>
          </cell>
          <cell r="P13">
            <v>0</v>
          </cell>
          <cell r="Q13">
            <v>0</v>
          </cell>
        </row>
        <row r="14">
          <cell r="A14" t="str">
            <v>БОНУС_Чебупицца курочка по-итальянски Горячая штучка 0,25 кг зам  ПОКОМ</v>
          </cell>
          <cell r="B14" t="str">
            <v>шт</v>
          </cell>
          <cell r="C14">
            <v>0</v>
          </cell>
          <cell r="D14">
            <v>206</v>
          </cell>
          <cell r="E14">
            <v>5</v>
          </cell>
          <cell r="F14">
            <v>42</v>
          </cell>
          <cell r="G14">
            <v>169</v>
          </cell>
          <cell r="H14">
            <v>0</v>
          </cell>
          <cell r="I14">
            <v>0</v>
          </cell>
          <cell r="J14" t="e">
            <v>#N/A</v>
          </cell>
          <cell r="L14">
            <v>42</v>
          </cell>
          <cell r="M14">
            <v>0</v>
          </cell>
          <cell r="P14">
            <v>0</v>
          </cell>
          <cell r="Q14">
            <v>8.4</v>
          </cell>
        </row>
        <row r="15">
          <cell r="A15" t="str">
            <v>Готовые бельмеши сочные с мясом ТМ Горячая штучка 0,3кг зам  ПОКОМ</v>
          </cell>
          <cell r="B15" t="str">
            <v>шт</v>
          </cell>
          <cell r="C15" t="str">
            <v>P004598</v>
          </cell>
          <cell r="D15">
            <v>209</v>
          </cell>
          <cell r="E15">
            <v>505</v>
          </cell>
          <cell r="F15">
            <v>217</v>
          </cell>
          <cell r="G15">
            <v>496</v>
          </cell>
          <cell r="H15">
            <v>0.3</v>
          </cell>
          <cell r="I15">
            <v>0</v>
          </cell>
          <cell r="J15" t="str">
            <v>матрица</v>
          </cell>
          <cell r="L15">
            <v>220</v>
          </cell>
          <cell r="M15">
            <v>-3</v>
          </cell>
          <cell r="P15">
            <v>0</v>
          </cell>
          <cell r="Q15">
            <v>43.4</v>
          </cell>
          <cell r="R15">
            <v>111.60000000000002</v>
          </cell>
          <cell r="S15">
            <v>250</v>
          </cell>
        </row>
        <row r="16">
          <cell r="A16" t="str">
            <v>Готовые чебуманы с говядиной ТМ горячая штучка 0,28 кг.  Поком</v>
          </cell>
          <cell r="B16" t="str">
            <v>шт</v>
          </cell>
          <cell r="C16" t="str">
            <v>P004597</v>
          </cell>
          <cell r="D16">
            <v>159</v>
          </cell>
          <cell r="E16">
            <v>516</v>
          </cell>
          <cell r="F16">
            <v>228</v>
          </cell>
          <cell r="G16">
            <v>433</v>
          </cell>
          <cell r="H16">
            <v>0.28000000000000003</v>
          </cell>
          <cell r="I16">
            <v>180</v>
          </cell>
          <cell r="J16" t="str">
            <v>матрица</v>
          </cell>
          <cell r="L16">
            <v>248</v>
          </cell>
          <cell r="M16">
            <v>-20</v>
          </cell>
          <cell r="P16">
            <v>0</v>
          </cell>
          <cell r="Q16">
            <v>45.6</v>
          </cell>
          <cell r="R16">
            <v>205.39999999999998</v>
          </cell>
        </row>
        <row r="17">
          <cell r="A17" t="str">
            <v>Готовые чебупели острые с мясом ТМ Горячая штучка флоу-пак 0,24 кг  Поком</v>
          </cell>
          <cell r="B17" t="str">
            <v>шт</v>
          </cell>
          <cell r="C17" t="str">
            <v>P004969</v>
          </cell>
          <cell r="D17">
            <v>334</v>
          </cell>
          <cell r="E17">
            <v>1192</v>
          </cell>
          <cell r="F17">
            <v>579</v>
          </cell>
          <cell r="G17">
            <v>931</v>
          </cell>
          <cell r="H17">
            <v>0.24</v>
          </cell>
          <cell r="I17">
            <v>180</v>
          </cell>
          <cell r="J17" t="str">
            <v>матрица</v>
          </cell>
          <cell r="L17">
            <v>600</v>
          </cell>
          <cell r="M17">
            <v>-21</v>
          </cell>
          <cell r="P17">
            <v>0</v>
          </cell>
          <cell r="Q17">
            <v>115.8</v>
          </cell>
          <cell r="R17">
            <v>690.2</v>
          </cell>
        </row>
        <row r="18">
          <cell r="A18" t="str">
            <v>Готовые чебупели с ветчиной и сыром ТМ Горячая штучка флоу-пак 0,24 кг.  ПОКОМ</v>
          </cell>
          <cell r="B18" t="str">
            <v>шт</v>
          </cell>
          <cell r="C18" t="str">
            <v>P004971</v>
          </cell>
          <cell r="D18">
            <v>667</v>
          </cell>
          <cell r="E18">
            <v>2194</v>
          </cell>
          <cell r="F18">
            <v>1442</v>
          </cell>
          <cell r="G18">
            <v>1410</v>
          </cell>
          <cell r="H18">
            <v>0.24</v>
          </cell>
          <cell r="I18">
            <v>180</v>
          </cell>
          <cell r="J18" t="str">
            <v>матрица</v>
          </cell>
          <cell r="L18">
            <v>1459</v>
          </cell>
          <cell r="M18">
            <v>-17</v>
          </cell>
          <cell r="P18">
            <v>0</v>
          </cell>
          <cell r="Q18">
            <v>288.39999999999998</v>
          </cell>
          <cell r="R18">
            <v>2627.5999999999995</v>
          </cell>
          <cell r="S18">
            <v>1700</v>
          </cell>
          <cell r="T18" t="str">
            <v xml:space="preserve">урезаем </v>
          </cell>
        </row>
        <row r="19">
          <cell r="A19" t="str">
            <v>Готовые чебупели с мясом ТМ Горячая штучка 0,24 кг  ПОКОМ</v>
          </cell>
          <cell r="B19" t="str">
            <v>шт</v>
          </cell>
          <cell r="C19" t="str">
            <v>P004974</v>
          </cell>
          <cell r="D19">
            <v>309</v>
          </cell>
          <cell r="E19">
            <v>1029</v>
          </cell>
          <cell r="F19">
            <v>477</v>
          </cell>
          <cell r="G19">
            <v>848</v>
          </cell>
          <cell r="H19">
            <v>0.24</v>
          </cell>
          <cell r="I19">
            <v>180</v>
          </cell>
          <cell r="J19" t="str">
            <v>матрица</v>
          </cell>
          <cell r="L19">
            <v>495</v>
          </cell>
          <cell r="M19">
            <v>-18</v>
          </cell>
          <cell r="P19">
            <v>0</v>
          </cell>
          <cell r="Q19">
            <v>95.4</v>
          </cell>
          <cell r="R19">
            <v>487.60000000000014</v>
          </cell>
        </row>
        <row r="20">
          <cell r="A20" t="str">
            <v>Готовые чебупели сочные с мясом ТМ Горячая штучка флоу-пак 0,24 кг  ПОКОМ</v>
          </cell>
          <cell r="B20" t="str">
            <v>шт</v>
          </cell>
          <cell r="C20" t="str">
            <v>P004966</v>
          </cell>
          <cell r="D20">
            <v>243</v>
          </cell>
          <cell r="E20">
            <v>2489</v>
          </cell>
          <cell r="F20">
            <v>677</v>
          </cell>
          <cell r="G20">
            <v>1280</v>
          </cell>
          <cell r="H20">
            <v>0.24</v>
          </cell>
          <cell r="I20">
            <v>180</v>
          </cell>
          <cell r="J20" t="str">
            <v>матрица</v>
          </cell>
          <cell r="L20">
            <v>510</v>
          </cell>
          <cell r="M20">
            <v>167</v>
          </cell>
          <cell r="P20">
            <v>0</v>
          </cell>
          <cell r="Q20">
            <v>135.4</v>
          </cell>
          <cell r="R20">
            <v>615.60000000000014</v>
          </cell>
        </row>
        <row r="21">
          <cell r="A21" t="str">
            <v>Готовые чебупели сочные с мясом ТМ Горячая штучка флоу-пак 0,48 кг XXL  Поком</v>
          </cell>
          <cell r="B21" t="str">
            <v>шт</v>
          </cell>
          <cell r="C21" t="str">
            <v>P004595</v>
          </cell>
          <cell r="D21">
            <v>299</v>
          </cell>
          <cell r="E21">
            <v>129</v>
          </cell>
          <cell r="F21">
            <v>525</v>
          </cell>
          <cell r="G21">
            <v>-119</v>
          </cell>
          <cell r="H21">
            <v>0.48</v>
          </cell>
          <cell r="I21">
            <v>0</v>
          </cell>
          <cell r="J21">
            <v>0</v>
          </cell>
          <cell r="L21">
            <v>574</v>
          </cell>
          <cell r="M21">
            <v>-49</v>
          </cell>
          <cell r="P21">
            <v>240</v>
          </cell>
          <cell r="Q21">
            <v>105</v>
          </cell>
          <cell r="R21">
            <v>1349</v>
          </cell>
        </row>
        <row r="22">
          <cell r="A22" t="str">
            <v>Готовые чебуреки с мясом ТМ Горячая штучка 0,09 кг флоу-пак ПОКОМ</v>
          </cell>
          <cell r="B22" t="str">
            <v>шт</v>
          </cell>
          <cell r="C22" t="str">
            <v>P004138</v>
          </cell>
          <cell r="D22">
            <v>63</v>
          </cell>
          <cell r="E22">
            <v>1705</v>
          </cell>
          <cell r="F22">
            <v>542</v>
          </cell>
          <cell r="G22">
            <v>1190</v>
          </cell>
          <cell r="H22">
            <v>0.09</v>
          </cell>
          <cell r="I22">
            <v>180</v>
          </cell>
          <cell r="J22" t="str">
            <v>матрица</v>
          </cell>
          <cell r="L22">
            <v>580</v>
          </cell>
          <cell r="M22">
            <v>-38</v>
          </cell>
          <cell r="P22">
            <v>0</v>
          </cell>
          <cell r="Q22">
            <v>108.4</v>
          </cell>
          <cell r="R22">
            <v>327.60000000000014</v>
          </cell>
        </row>
        <row r="23">
          <cell r="A23" t="str">
            <v>Готовые чебуреки со свининой и говядиной ТМ Горячая штучка ТС Базовый ассортимент 0,36 кг  ПОКОМ</v>
          </cell>
          <cell r="B23" t="str">
            <v>шт</v>
          </cell>
          <cell r="C23" t="str">
            <v>P004583</v>
          </cell>
          <cell r="D23">
            <v>234</v>
          </cell>
          <cell r="E23">
            <v>140</v>
          </cell>
          <cell r="F23">
            <v>142</v>
          </cell>
          <cell r="G23">
            <v>229</v>
          </cell>
          <cell r="H23">
            <v>0.36</v>
          </cell>
          <cell r="I23">
            <v>180</v>
          </cell>
          <cell r="J23" t="str">
            <v>матрица</v>
          </cell>
          <cell r="L23">
            <v>151</v>
          </cell>
          <cell r="M23">
            <v>-9</v>
          </cell>
          <cell r="P23">
            <v>0</v>
          </cell>
          <cell r="Q23">
            <v>28.4</v>
          </cell>
          <cell r="R23">
            <v>168.59999999999997</v>
          </cell>
        </row>
        <row r="24">
          <cell r="A24" t="str">
            <v>Жареные вареники с картофелем и беконом Добросельские 0,2 кг. ТМ Стародворье  ПОКОМ</v>
          </cell>
          <cell r="B24" t="str">
            <v>шт</v>
          </cell>
          <cell r="C24">
            <v>0</v>
          </cell>
          <cell r="D24">
            <v>-82</v>
          </cell>
          <cell r="E24">
            <v>106</v>
          </cell>
          <cell r="F24">
            <v>20</v>
          </cell>
          <cell r="G24">
            <v>-2</v>
          </cell>
          <cell r="H24">
            <v>0</v>
          </cell>
          <cell r="I24" t="e">
            <v>#N/A</v>
          </cell>
          <cell r="J24" t="e">
            <v>#N/A</v>
          </cell>
          <cell r="L24">
            <v>27</v>
          </cell>
          <cell r="M24">
            <v>-7</v>
          </cell>
          <cell r="P24">
            <v>0</v>
          </cell>
          <cell r="Q24">
            <v>4</v>
          </cell>
          <cell r="R24">
            <v>58</v>
          </cell>
          <cell r="S24">
            <v>100</v>
          </cell>
        </row>
        <row r="25">
          <cell r="A25" t="str">
            <v>Жареные вареники с картофелем и беконом ТМ Стародворье 0,2 кг  ПОКОМ</v>
          </cell>
          <cell r="B25" t="str">
            <v>шт</v>
          </cell>
          <cell r="C25" t="str">
            <v>P005129</v>
          </cell>
          <cell r="D25">
            <v>519</v>
          </cell>
          <cell r="E25">
            <v>64</v>
          </cell>
          <cell r="F25">
            <v>221</v>
          </cell>
          <cell r="G25">
            <v>193</v>
          </cell>
          <cell r="H25">
            <v>0.2</v>
          </cell>
          <cell r="I25">
            <v>180</v>
          </cell>
          <cell r="J25" t="e">
            <v>#N/A</v>
          </cell>
          <cell r="L25">
            <v>221</v>
          </cell>
          <cell r="M25">
            <v>0</v>
          </cell>
          <cell r="P25">
            <v>0</v>
          </cell>
          <cell r="Q25">
            <v>44.2</v>
          </cell>
          <cell r="R25">
            <v>425.80000000000007</v>
          </cell>
        </row>
        <row r="26">
          <cell r="A26" t="str">
            <v>Круггетсы с сырным соусом ТМ Горячая штучка ТС Круггетсы флоу-пак 0,2 кг  ПОКОМ</v>
          </cell>
          <cell r="B26" t="str">
            <v>шт</v>
          </cell>
          <cell r="C26" t="str">
            <v>P004956</v>
          </cell>
          <cell r="D26">
            <v>1612</v>
          </cell>
          <cell r="E26">
            <v>1404</v>
          </cell>
          <cell r="F26">
            <v>1134</v>
          </cell>
          <cell r="G26">
            <v>1830</v>
          </cell>
          <cell r="H26">
            <v>0.2</v>
          </cell>
          <cell r="I26">
            <v>180</v>
          </cell>
          <cell r="J26" t="str">
            <v>матрица</v>
          </cell>
          <cell r="L26">
            <v>1196</v>
          </cell>
          <cell r="M26">
            <v>-62</v>
          </cell>
          <cell r="P26">
            <v>0</v>
          </cell>
          <cell r="Q26">
            <v>226.8</v>
          </cell>
          <cell r="R26">
            <v>1345.2000000000003</v>
          </cell>
        </row>
        <row r="27">
          <cell r="A27" t="str">
            <v>Круггетсы сочные ТМ Горячая штучка ТС Круггетсы флоу-пак  0,2 кг.  ПОКОМ</v>
          </cell>
          <cell r="B27" t="str">
            <v>шт</v>
          </cell>
          <cell r="C27" t="str">
            <v>P004953</v>
          </cell>
          <cell r="D27">
            <v>153</v>
          </cell>
          <cell r="E27">
            <v>1146</v>
          </cell>
          <cell r="F27">
            <v>367</v>
          </cell>
          <cell r="G27">
            <v>804</v>
          </cell>
          <cell r="H27">
            <v>0.2</v>
          </cell>
          <cell r="I27">
            <v>180</v>
          </cell>
          <cell r="J27" t="str">
            <v>матрица</v>
          </cell>
          <cell r="L27">
            <v>384</v>
          </cell>
          <cell r="M27">
            <v>-17</v>
          </cell>
          <cell r="P27">
            <v>0</v>
          </cell>
          <cell r="Q27">
            <v>73.400000000000006</v>
          </cell>
          <cell r="R27">
            <v>223.60000000000014</v>
          </cell>
        </row>
        <row r="28">
          <cell r="A28" t="str">
            <v>Мини-сосиски в тесте 5кг ВЕС ТМ Зареченские  ПОКОМ</v>
          </cell>
          <cell r="B28" t="str">
            <v>кг</v>
          </cell>
          <cell r="C28" t="str">
            <v>P005235</v>
          </cell>
          <cell r="D28">
            <v>50</v>
          </cell>
          <cell r="E28">
            <v>365</v>
          </cell>
          <cell r="F28">
            <v>190</v>
          </cell>
          <cell r="G28">
            <v>220</v>
          </cell>
          <cell r="H28">
            <v>1</v>
          </cell>
          <cell r="I28">
            <v>0</v>
          </cell>
          <cell r="J28" t="str">
            <v>не в матрице</v>
          </cell>
          <cell r="L28">
            <v>195</v>
          </cell>
          <cell r="M28">
            <v>-5</v>
          </cell>
          <cell r="P28">
            <v>150</v>
          </cell>
          <cell r="Q28">
            <v>38</v>
          </cell>
          <cell r="R28">
            <v>162</v>
          </cell>
          <cell r="S28">
            <v>220</v>
          </cell>
        </row>
        <row r="29">
          <cell r="A29" t="str">
            <v>Мини-чебуреки с мясом ТМ Зареченские ТС Зареченские продукты ПОКОМ</v>
          </cell>
          <cell r="B29" t="str">
            <v>кг</v>
          </cell>
          <cell r="C29" t="str">
            <v>P004358</v>
          </cell>
          <cell r="D29">
            <v>17.5</v>
          </cell>
          <cell r="E29">
            <v>187</v>
          </cell>
          <cell r="F29">
            <v>159.5</v>
          </cell>
          <cell r="G29">
            <v>-11</v>
          </cell>
          <cell r="H29">
            <v>1</v>
          </cell>
          <cell r="I29">
            <v>180</v>
          </cell>
          <cell r="J29" t="str">
            <v>матрица</v>
          </cell>
          <cell r="L29">
            <v>346.5</v>
          </cell>
          <cell r="M29">
            <v>-187</v>
          </cell>
          <cell r="P29">
            <v>240</v>
          </cell>
          <cell r="Q29">
            <v>31.9</v>
          </cell>
          <cell r="R29">
            <v>217.59999999999997</v>
          </cell>
          <cell r="S29">
            <v>350</v>
          </cell>
        </row>
        <row r="30">
          <cell r="A30" t="str">
            <v>Мини-шарики с курочкой и сыром ТМ Зареченские ВЕС ПОКОМ</v>
          </cell>
          <cell r="B30" t="str">
            <v>кг</v>
          </cell>
          <cell r="C30" t="str">
            <v>P004394</v>
          </cell>
          <cell r="D30">
            <v>84</v>
          </cell>
          <cell r="E30">
            <v>396</v>
          </cell>
          <cell r="F30">
            <v>126</v>
          </cell>
          <cell r="G30">
            <v>336</v>
          </cell>
          <cell r="H30">
            <v>1</v>
          </cell>
          <cell r="I30">
            <v>180</v>
          </cell>
          <cell r="J30" t="str">
            <v>матрица</v>
          </cell>
          <cell r="L30">
            <v>145</v>
          </cell>
          <cell r="M30">
            <v>-19</v>
          </cell>
          <cell r="P30">
            <v>0</v>
          </cell>
          <cell r="Q30">
            <v>25.2</v>
          </cell>
          <cell r="S30">
            <v>100</v>
          </cell>
        </row>
        <row r="31">
          <cell r="A31" t="str">
            <v>Наггетсы из печи 0,25кг ТМ Вязанка замор.  ПОКОМ</v>
          </cell>
          <cell r="B31" t="str">
            <v>шт</v>
          </cell>
          <cell r="C31" t="str">
            <v>P004497</v>
          </cell>
          <cell r="D31">
            <v>914</v>
          </cell>
          <cell r="E31">
            <v>2363</v>
          </cell>
          <cell r="F31">
            <v>906</v>
          </cell>
          <cell r="G31">
            <v>2347</v>
          </cell>
          <cell r="H31">
            <v>0.25</v>
          </cell>
          <cell r="I31">
            <v>365</v>
          </cell>
          <cell r="J31" t="str">
            <v>ВНИМАНИЕ / матрица</v>
          </cell>
          <cell r="L31">
            <v>944</v>
          </cell>
          <cell r="M31">
            <v>-38</v>
          </cell>
          <cell r="P31">
            <v>0</v>
          </cell>
          <cell r="Q31">
            <v>181.2</v>
          </cell>
          <cell r="R31">
            <v>189.79999999999973</v>
          </cell>
        </row>
        <row r="32">
          <cell r="A32" t="str">
            <v>Наггетсы Нагетосы Сочная курочка со сметаной и зеленью ТМ Горячая штучка флоу-пак 0,25 кг  Поком</v>
          </cell>
          <cell r="B32" t="str">
            <v>шт</v>
          </cell>
          <cell r="C32" t="str">
            <v>P004600</v>
          </cell>
          <cell r="D32">
            <v>337</v>
          </cell>
          <cell r="E32">
            <v>1034</v>
          </cell>
          <cell r="F32">
            <v>480</v>
          </cell>
          <cell r="G32">
            <v>868</v>
          </cell>
          <cell r="H32">
            <v>0.25</v>
          </cell>
          <cell r="I32">
            <v>180</v>
          </cell>
          <cell r="J32" t="str">
            <v>матрица</v>
          </cell>
          <cell r="L32">
            <v>503</v>
          </cell>
          <cell r="M32">
            <v>-23</v>
          </cell>
          <cell r="P32">
            <v>0</v>
          </cell>
          <cell r="Q32">
            <v>96</v>
          </cell>
          <cell r="R32">
            <v>476</v>
          </cell>
        </row>
        <row r="33">
          <cell r="A33" t="str">
            <v>Наггетсы Нагетосы Сочная курочка ТМ Горячая штучка 0,25 кг зам  ПОКОМ</v>
          </cell>
          <cell r="B33" t="str">
            <v>шт</v>
          </cell>
          <cell r="C33" t="str">
            <v>P004602</v>
          </cell>
          <cell r="D33">
            <v>336</v>
          </cell>
          <cell r="E33">
            <v>626</v>
          </cell>
          <cell r="F33">
            <v>339</v>
          </cell>
          <cell r="G33">
            <v>591</v>
          </cell>
          <cell r="H33">
            <v>0.25</v>
          </cell>
          <cell r="I33">
            <v>180</v>
          </cell>
          <cell r="J33" t="str">
            <v>матрица</v>
          </cell>
          <cell r="L33">
            <v>373</v>
          </cell>
          <cell r="M33">
            <v>-34</v>
          </cell>
          <cell r="P33">
            <v>0</v>
          </cell>
          <cell r="Q33">
            <v>67.8</v>
          </cell>
          <cell r="R33">
            <v>358.19999999999993</v>
          </cell>
          <cell r="S33">
            <v>400</v>
          </cell>
        </row>
        <row r="34">
          <cell r="A34" t="str">
            <v>Наггетсы с индейкой 0,25кг ТМ Вязанка ТС Из печи Сливушки ПОКОМ</v>
          </cell>
          <cell r="B34" t="str">
            <v>шт</v>
          </cell>
          <cell r="C34" t="str">
            <v>P004496</v>
          </cell>
          <cell r="D34">
            <v>894</v>
          </cell>
          <cell r="E34">
            <v>1692</v>
          </cell>
          <cell r="F34">
            <v>732</v>
          </cell>
          <cell r="G34">
            <v>1845</v>
          </cell>
          <cell r="H34">
            <v>0.25</v>
          </cell>
          <cell r="I34">
            <v>365</v>
          </cell>
          <cell r="J34" t="str">
            <v>ВНИМАНИЕ / матрица</v>
          </cell>
          <cell r="L34">
            <v>750</v>
          </cell>
          <cell r="M34">
            <v>-18</v>
          </cell>
          <cell r="P34">
            <v>0</v>
          </cell>
          <cell r="Q34">
            <v>146.4</v>
          </cell>
          <cell r="R34">
            <v>204.59999999999991</v>
          </cell>
          <cell r="S34">
            <v>400</v>
          </cell>
        </row>
        <row r="35">
          <cell r="A35" t="str">
            <v>Наггетсы с куриным филе и сыром ТМ Вязанка ТС Из печи Сливушки 0,25 кг.  Поком</v>
          </cell>
          <cell r="B35" t="str">
            <v>шт</v>
          </cell>
          <cell r="C35" t="str">
            <v>P004535</v>
          </cell>
          <cell r="D35">
            <v>607</v>
          </cell>
          <cell r="E35">
            <v>1027</v>
          </cell>
          <cell r="F35">
            <v>540</v>
          </cell>
          <cell r="G35">
            <v>1067</v>
          </cell>
          <cell r="H35">
            <v>0.25</v>
          </cell>
          <cell r="I35">
            <v>180</v>
          </cell>
          <cell r="J35" t="str">
            <v>матрица</v>
          </cell>
          <cell r="L35">
            <v>574</v>
          </cell>
          <cell r="M35">
            <v>-34</v>
          </cell>
          <cell r="P35">
            <v>0</v>
          </cell>
          <cell r="Q35">
            <v>108</v>
          </cell>
          <cell r="R35">
            <v>445</v>
          </cell>
          <cell r="S35">
            <v>600</v>
          </cell>
        </row>
        <row r="36">
          <cell r="A36" t="str">
            <v>Наггетсы Хрустящие ТМ Зареченские ТС Зареченские продукты. Поком</v>
          </cell>
          <cell r="B36" t="str">
            <v>кг</v>
          </cell>
          <cell r="C36" t="str">
            <v>P003486</v>
          </cell>
          <cell r="D36">
            <v>220</v>
          </cell>
          <cell r="E36">
            <v>432</v>
          </cell>
          <cell r="F36">
            <v>291</v>
          </cell>
          <cell r="G36">
            <v>354</v>
          </cell>
          <cell r="H36">
            <v>1</v>
          </cell>
          <cell r="I36">
            <v>180</v>
          </cell>
          <cell r="J36" t="str">
            <v>матрица</v>
          </cell>
          <cell r="L36">
            <v>302</v>
          </cell>
          <cell r="M36">
            <v>-11</v>
          </cell>
          <cell r="P36">
            <v>120</v>
          </cell>
          <cell r="Q36">
            <v>58.2</v>
          </cell>
          <cell r="R36">
            <v>340.80000000000007</v>
          </cell>
          <cell r="S36">
            <v>450</v>
          </cell>
        </row>
        <row r="37">
          <cell r="A37" t="str">
            <v>Наггетсы Хрустящие ТМ Стародворье с сочной курочкой 0,23 кг  ПОКОМ</v>
          </cell>
          <cell r="B37" t="str">
            <v>шт</v>
          </cell>
          <cell r="C37" t="str">
            <v>P005043</v>
          </cell>
          <cell r="D37">
            <v>350</v>
          </cell>
          <cell r="E37">
            <v>1028</v>
          </cell>
          <cell r="F37">
            <v>297</v>
          </cell>
          <cell r="G37">
            <v>1069</v>
          </cell>
          <cell r="H37">
            <v>0.23</v>
          </cell>
          <cell r="I37">
            <v>180</v>
          </cell>
          <cell r="J37" t="str">
            <v>ВНИМАНИЕ / матрица</v>
          </cell>
          <cell r="L37">
            <v>313</v>
          </cell>
          <cell r="M37">
            <v>-16</v>
          </cell>
          <cell r="P37">
            <v>0</v>
          </cell>
          <cell r="Q37">
            <v>59.4</v>
          </cell>
        </row>
        <row r="38">
          <cell r="A38" t="str">
            <v>Пекерсы с индейкой в сливочном соусе ТМ Горячая штучка 0,25 кг зам  ПОКОМ</v>
          </cell>
          <cell r="B38" t="str">
            <v>шт</v>
          </cell>
          <cell r="C38" t="str">
            <v>P004594</v>
          </cell>
          <cell r="D38">
            <v>120</v>
          </cell>
          <cell r="E38">
            <v>360</v>
          </cell>
          <cell r="F38">
            <v>223</v>
          </cell>
          <cell r="G38">
            <v>237</v>
          </cell>
          <cell r="H38">
            <v>0.25</v>
          </cell>
          <cell r="I38">
            <v>180</v>
          </cell>
          <cell r="J38" t="str">
            <v>матрица</v>
          </cell>
          <cell r="L38">
            <v>243</v>
          </cell>
          <cell r="M38">
            <v>-20</v>
          </cell>
          <cell r="P38">
            <v>100</v>
          </cell>
          <cell r="Q38">
            <v>44.6</v>
          </cell>
          <cell r="R38">
            <v>287.39999999999998</v>
          </cell>
          <cell r="S38">
            <v>350</v>
          </cell>
        </row>
        <row r="39">
          <cell r="A39" t="str">
            <v>Пельмени Grandmeni с говядиной и свининой ТМ Горячаяштучка флоу-па классическая форма 0,7 кг.  Поком</v>
          </cell>
          <cell r="B39" t="str">
            <v>шт</v>
          </cell>
          <cell r="C39" t="str">
            <v>P004889</v>
          </cell>
          <cell r="D39">
            <v>110</v>
          </cell>
          <cell r="E39">
            <v>192</v>
          </cell>
          <cell r="F39">
            <v>124</v>
          </cell>
          <cell r="G39">
            <v>173</v>
          </cell>
          <cell r="H39">
            <v>0.7</v>
          </cell>
          <cell r="I39">
            <v>180</v>
          </cell>
          <cell r="J39" t="str">
            <v>матрица</v>
          </cell>
          <cell r="L39">
            <v>132</v>
          </cell>
          <cell r="M39">
            <v>-8</v>
          </cell>
          <cell r="P39">
            <v>80</v>
          </cell>
          <cell r="Q39">
            <v>24.8</v>
          </cell>
          <cell r="R39">
            <v>94.199999999999989</v>
          </cell>
        </row>
        <row r="40">
          <cell r="A40" t="str">
            <v>Пельмени Grandmeni с говядиной ТМ Горячаяштучка флоу-пак сфера 0,7 кг.  Поком</v>
          </cell>
          <cell r="B40" t="str">
            <v>шт</v>
          </cell>
          <cell r="C40" t="str">
            <v>P004887</v>
          </cell>
          <cell r="D40">
            <v>156</v>
          </cell>
          <cell r="E40">
            <v>222</v>
          </cell>
          <cell r="F40">
            <v>206</v>
          </cell>
          <cell r="G40">
            <v>136</v>
          </cell>
          <cell r="H40">
            <v>0.7</v>
          </cell>
          <cell r="I40">
            <v>180</v>
          </cell>
          <cell r="J40" t="str">
            <v>матрица</v>
          </cell>
          <cell r="L40">
            <v>250</v>
          </cell>
          <cell r="M40">
            <v>-44</v>
          </cell>
          <cell r="P40">
            <v>120</v>
          </cell>
          <cell r="Q40">
            <v>41.2</v>
          </cell>
          <cell r="R40">
            <v>320.80000000000007</v>
          </cell>
        </row>
        <row r="41">
          <cell r="A41" t="str">
            <v>Пельмени Grandmeni со сливочным маслом  ТМ Горячая штучка флоу-пак сфера 0,7 кг.  Поком</v>
          </cell>
          <cell r="B41" t="str">
            <v>шт</v>
          </cell>
          <cell r="C41" t="str">
            <v>P004888</v>
          </cell>
          <cell r="D41">
            <v>244</v>
          </cell>
          <cell r="E41">
            <v>582</v>
          </cell>
          <cell r="F41">
            <v>221</v>
          </cell>
          <cell r="G41">
            <v>594</v>
          </cell>
          <cell r="H41">
            <v>0.7</v>
          </cell>
          <cell r="I41">
            <v>180</v>
          </cell>
          <cell r="J41" t="str">
            <v>матрица</v>
          </cell>
          <cell r="L41">
            <v>237</v>
          </cell>
          <cell r="M41">
            <v>-16</v>
          </cell>
          <cell r="P41">
            <v>0</v>
          </cell>
          <cell r="Q41">
            <v>44.2</v>
          </cell>
          <cell r="S41">
            <v>150</v>
          </cell>
        </row>
        <row r="42">
          <cell r="A42" t="str">
            <v>Пельмени Бигбули #МЕГАВКУСИЩЕ с сочной грудинкой  ТМ Горячая штучка  флоу-пак сфера 0,7 кг.  Поком</v>
          </cell>
          <cell r="B42" t="str">
            <v>шт</v>
          </cell>
          <cell r="C42" t="str">
            <v>P004440</v>
          </cell>
          <cell r="D42">
            <v>837</v>
          </cell>
          <cell r="E42">
            <v>12</v>
          </cell>
          <cell r="F42">
            <v>206</v>
          </cell>
          <cell r="G42">
            <v>631</v>
          </cell>
          <cell r="H42">
            <v>0.7</v>
          </cell>
          <cell r="I42">
            <v>180</v>
          </cell>
          <cell r="J42" t="str">
            <v>ВНИМАНИЕ / матрица</v>
          </cell>
          <cell r="L42">
            <v>218</v>
          </cell>
          <cell r="M42">
            <v>-12</v>
          </cell>
          <cell r="P42">
            <v>0</v>
          </cell>
          <cell r="Q42">
            <v>41.2</v>
          </cell>
        </row>
        <row r="43">
          <cell r="A43" t="str">
            <v>Пельмени Бигбули с мясом ТМ Горячая штучка БУЛЬМЕНИ ТС Бигбули ГШ  флоу-пак сфера 0,7.   Поком</v>
          </cell>
          <cell r="B43" t="str">
            <v>шт</v>
          </cell>
          <cell r="C43" t="str">
            <v>P004442</v>
          </cell>
          <cell r="D43">
            <v>68</v>
          </cell>
          <cell r="E43">
            <v>38</v>
          </cell>
          <cell r="F43">
            <v>96</v>
          </cell>
          <cell r="G43">
            <v>3</v>
          </cell>
          <cell r="H43">
            <v>0.7</v>
          </cell>
          <cell r="I43">
            <v>0</v>
          </cell>
          <cell r="J43">
            <v>0</v>
          </cell>
          <cell r="L43">
            <v>518</v>
          </cell>
          <cell r="M43">
            <v>-422</v>
          </cell>
          <cell r="P43">
            <v>480</v>
          </cell>
          <cell r="Q43">
            <v>19.2</v>
          </cell>
        </row>
        <row r="44">
          <cell r="A44" t="str">
            <v>Пельмени Бигбули с мясом ТМ Горячая штучка. флоу-пак сфера 0,4 кг. ПОКОМ</v>
          </cell>
          <cell r="B44" t="str">
            <v>шт</v>
          </cell>
          <cell r="C44" t="str">
            <v>P004443</v>
          </cell>
          <cell r="D44">
            <v>140</v>
          </cell>
          <cell r="E44">
            <v>21</v>
          </cell>
          <cell r="F44">
            <v>149</v>
          </cell>
          <cell r="G44">
            <v>-4</v>
          </cell>
          <cell r="H44">
            <v>0.4</v>
          </cell>
          <cell r="I44">
            <v>0</v>
          </cell>
          <cell r="J44" t="e">
            <v>#N/A</v>
          </cell>
          <cell r="L44">
            <v>471</v>
          </cell>
          <cell r="M44">
            <v>-322</v>
          </cell>
          <cell r="P44">
            <v>320</v>
          </cell>
          <cell r="Q44">
            <v>29.8</v>
          </cell>
          <cell r="R44">
            <v>101.19999999999999</v>
          </cell>
        </row>
        <row r="45">
          <cell r="A45" t="str">
            <v>Пельмени Бигбули со сливочным маслом  ТС Бигбули ГШ#МЕГАМАСЛИЩЕ флоу-пак сфера 0,7.  Поком</v>
          </cell>
          <cell r="B45" t="str">
            <v>шт</v>
          </cell>
          <cell r="C45" t="str">
            <v>P004203</v>
          </cell>
          <cell r="D45">
            <v>134</v>
          </cell>
          <cell r="E45">
            <v>372</v>
          </cell>
          <cell r="F45">
            <v>175</v>
          </cell>
          <cell r="G45">
            <v>318</v>
          </cell>
          <cell r="H45">
            <v>0.7</v>
          </cell>
          <cell r="I45">
            <v>180</v>
          </cell>
          <cell r="J45" t="str">
            <v>матрица</v>
          </cell>
          <cell r="L45">
            <v>188</v>
          </cell>
          <cell r="M45">
            <v>-13</v>
          </cell>
          <cell r="P45">
            <v>240</v>
          </cell>
          <cell r="Q45">
            <v>35</v>
          </cell>
        </row>
        <row r="46">
          <cell r="A46" t="str">
            <v>Пельмени Бульмени мини с мясом и оливковым маслом  ТС Бульмени ГШ флоу-пак сфера 0,7кг  Поком</v>
          </cell>
          <cell r="B46" t="str">
            <v>шт</v>
          </cell>
          <cell r="C46" t="str">
            <v>P004819</v>
          </cell>
          <cell r="D46">
            <v>354</v>
          </cell>
          <cell r="E46">
            <v>262</v>
          </cell>
          <cell r="F46">
            <v>385</v>
          </cell>
          <cell r="G46">
            <v>222</v>
          </cell>
          <cell r="H46">
            <v>0.7</v>
          </cell>
          <cell r="I46">
            <v>180</v>
          </cell>
          <cell r="J46" t="str">
            <v>матрица</v>
          </cell>
          <cell r="L46">
            <v>394</v>
          </cell>
          <cell r="M46">
            <v>-9</v>
          </cell>
          <cell r="P46">
            <v>180</v>
          </cell>
          <cell r="Q46">
            <v>77</v>
          </cell>
          <cell r="R46">
            <v>676</v>
          </cell>
        </row>
        <row r="47">
          <cell r="A47" t="str">
            <v>Пельмени Бульмени с говядиной и свининой Наваристые Горячая штучка ВЕС  ПОКОМ</v>
          </cell>
          <cell r="B47" t="str">
            <v>кг</v>
          </cell>
          <cell r="C47" t="str">
            <v>P003697</v>
          </cell>
          <cell r="D47">
            <v>855</v>
          </cell>
          <cell r="E47">
            <v>675</v>
          </cell>
          <cell r="F47">
            <v>355</v>
          </cell>
          <cell r="G47">
            <v>1160</v>
          </cell>
          <cell r="H47">
            <v>1</v>
          </cell>
          <cell r="I47">
            <v>180</v>
          </cell>
          <cell r="J47" t="str">
            <v>матрица</v>
          </cell>
          <cell r="L47">
            <v>370</v>
          </cell>
          <cell r="M47">
            <v>-15</v>
          </cell>
          <cell r="P47">
            <v>0</v>
          </cell>
          <cell r="Q47">
            <v>71</v>
          </cell>
        </row>
        <row r="48">
          <cell r="A48" t="str">
            <v>Пельмени Бульмени с говядиной и свининой ТМ Горячая штучка  флоу-пак сфера 0,4 кг  Поком</v>
          </cell>
          <cell r="B48" t="str">
            <v>шт</v>
          </cell>
          <cell r="C48" t="str">
            <v>P004474</v>
          </cell>
          <cell r="D48">
            <v>461</v>
          </cell>
          <cell r="E48">
            <v>616</v>
          </cell>
          <cell r="F48">
            <v>1003</v>
          </cell>
          <cell r="G48">
            <v>25</v>
          </cell>
          <cell r="H48">
            <v>0.4</v>
          </cell>
          <cell r="I48">
            <v>180</v>
          </cell>
          <cell r="J48" t="str">
            <v>матрица</v>
          </cell>
          <cell r="L48">
            <v>1126</v>
          </cell>
          <cell r="M48">
            <v>-123</v>
          </cell>
          <cell r="P48">
            <v>1100</v>
          </cell>
          <cell r="Q48">
            <v>200.6</v>
          </cell>
          <cell r="R48">
            <v>1683.4</v>
          </cell>
          <cell r="S48">
            <v>2300</v>
          </cell>
        </row>
        <row r="49">
          <cell r="A49" t="str">
            <v>Пельмени Бульмени с говядиной и свининой ТМ Горячая штучка БУЛЬМЕНИ  флоу-пак сфера 0,7 кг.  Поком</v>
          </cell>
          <cell r="B49" t="str">
            <v>шт</v>
          </cell>
          <cell r="C49" t="str">
            <v>P004345</v>
          </cell>
          <cell r="D49">
            <v>556</v>
          </cell>
          <cell r="E49">
            <v>390</v>
          </cell>
          <cell r="F49">
            <v>445</v>
          </cell>
          <cell r="G49">
            <v>465</v>
          </cell>
          <cell r="H49">
            <v>0.7</v>
          </cell>
          <cell r="I49">
            <v>180</v>
          </cell>
          <cell r="J49" t="str">
            <v>матрица</v>
          </cell>
          <cell r="L49">
            <v>481</v>
          </cell>
          <cell r="M49">
            <v>-36</v>
          </cell>
          <cell r="P49">
            <v>0</v>
          </cell>
          <cell r="Q49">
            <v>89</v>
          </cell>
          <cell r="R49">
            <v>781</v>
          </cell>
        </row>
        <row r="50">
          <cell r="A50" t="str">
            <v>Пельмени Бульмени со сливочным маслом ТМ Горячая штучка  флоу-пак сфера 0,4 кг .  Поком</v>
          </cell>
          <cell r="B50" t="str">
            <v>шт</v>
          </cell>
          <cell r="C50" t="str">
            <v>P004444</v>
          </cell>
          <cell r="D50">
            <v>284</v>
          </cell>
          <cell r="E50">
            <v>16</v>
          </cell>
          <cell r="F50">
            <v>159</v>
          </cell>
          <cell r="G50">
            <v>113</v>
          </cell>
          <cell r="H50">
            <v>0.4</v>
          </cell>
          <cell r="I50">
            <v>180</v>
          </cell>
          <cell r="J50" t="str">
            <v>матрица</v>
          </cell>
          <cell r="L50">
            <v>187</v>
          </cell>
          <cell r="M50">
            <v>-28</v>
          </cell>
          <cell r="P50">
            <v>0</v>
          </cell>
          <cell r="Q50">
            <v>31.8</v>
          </cell>
          <cell r="R50">
            <v>332.2</v>
          </cell>
        </row>
        <row r="51">
          <cell r="A51" t="str">
            <v>Пельмени Бульмени со сливочным маслом ТМ Горячая штучка флоу-пак сфера 0,7 кг .  Поком</v>
          </cell>
          <cell r="B51" t="str">
            <v>шт</v>
          </cell>
          <cell r="C51" t="str">
            <v>P004346</v>
          </cell>
          <cell r="D51">
            <v>1118</v>
          </cell>
          <cell r="E51">
            <v>1139</v>
          </cell>
          <cell r="F51">
            <v>985</v>
          </cell>
          <cell r="G51">
            <v>866</v>
          </cell>
          <cell r="H51">
            <v>0.7</v>
          </cell>
          <cell r="I51">
            <v>180</v>
          </cell>
          <cell r="J51" t="str">
            <v>матрица</v>
          </cell>
          <cell r="L51">
            <v>900</v>
          </cell>
          <cell r="M51">
            <v>85</v>
          </cell>
          <cell r="P51">
            <v>400</v>
          </cell>
          <cell r="Q51">
            <v>197</v>
          </cell>
          <cell r="R51">
            <v>1492</v>
          </cell>
        </row>
        <row r="52">
          <cell r="A52" t="str">
            <v>Пельмени Мясные с говядиной ТМ Стародворье сфера флоу-пак 1 кг  ПОКОМ</v>
          </cell>
          <cell r="B52" t="str">
            <v>шт</v>
          </cell>
          <cell r="C52" t="str">
            <v>P005048</v>
          </cell>
          <cell r="D52">
            <v>1008</v>
          </cell>
          <cell r="E52">
            <v>16</v>
          </cell>
          <cell r="F52">
            <v>617</v>
          </cell>
          <cell r="G52">
            <v>387</v>
          </cell>
          <cell r="H52">
            <v>1</v>
          </cell>
          <cell r="I52">
            <v>180</v>
          </cell>
          <cell r="J52" t="str">
            <v>матрица</v>
          </cell>
          <cell r="L52">
            <v>641</v>
          </cell>
          <cell r="M52">
            <v>-24</v>
          </cell>
          <cell r="P52">
            <v>400</v>
          </cell>
          <cell r="Q52">
            <v>123.4</v>
          </cell>
          <cell r="R52">
            <v>940.60000000000014</v>
          </cell>
          <cell r="S52">
            <v>1200</v>
          </cell>
        </row>
        <row r="53">
          <cell r="A53" t="str">
            <v>Пельмени Отборные из свинины и говядины 0,9 кг ТМ Стародворье ТС Медвежье ушко  ПОКОМ</v>
          </cell>
          <cell r="B53" t="str">
            <v>шт</v>
          </cell>
          <cell r="C53" t="str">
            <v>P005107</v>
          </cell>
          <cell r="D53">
            <v>117</v>
          </cell>
          <cell r="F53">
            <v>89</v>
          </cell>
          <cell r="G53">
            <v>25</v>
          </cell>
          <cell r="H53">
            <v>0.9</v>
          </cell>
          <cell r="I53">
            <v>180</v>
          </cell>
          <cell r="J53" t="str">
            <v>матрица</v>
          </cell>
          <cell r="L53">
            <v>96</v>
          </cell>
          <cell r="M53">
            <v>-7</v>
          </cell>
          <cell r="P53">
            <v>0</v>
          </cell>
          <cell r="Q53">
            <v>17.8</v>
          </cell>
          <cell r="R53">
            <v>224.20000000000002</v>
          </cell>
        </row>
        <row r="54">
          <cell r="A54" t="str">
            <v>Пельмени Отборные с говядиной и свининой 0,43 кг ТМ Стародворье ТС Медвежье ушко  ПОКОМ</v>
          </cell>
          <cell r="B54" t="str">
            <v>шт</v>
          </cell>
          <cell r="C54">
            <v>0</v>
          </cell>
          <cell r="E54">
            <v>96</v>
          </cell>
          <cell r="F54">
            <v>2</v>
          </cell>
          <cell r="G54">
            <v>94</v>
          </cell>
          <cell r="H54">
            <v>0.43</v>
          </cell>
          <cell r="I54" t="e">
            <v>#N/A</v>
          </cell>
          <cell r="J54" t="e">
            <v>#N/A</v>
          </cell>
          <cell r="L54">
            <v>14</v>
          </cell>
          <cell r="M54">
            <v>-12</v>
          </cell>
          <cell r="P54">
            <v>0</v>
          </cell>
          <cell r="Q54">
            <v>0.4</v>
          </cell>
        </row>
        <row r="55">
          <cell r="A55" t="str">
            <v>Пельмени С говядиной и свининой, ВЕС, ТМ Славница сфера пуговки  ПОКОМ</v>
          </cell>
          <cell r="B55" t="str">
            <v>кг</v>
          </cell>
          <cell r="C55" t="str">
            <v>P004472</v>
          </cell>
          <cell r="D55">
            <v>165</v>
          </cell>
          <cell r="E55">
            <v>425</v>
          </cell>
          <cell r="F55">
            <v>205</v>
          </cell>
          <cell r="G55">
            <v>380</v>
          </cell>
          <cell r="H55">
            <v>1</v>
          </cell>
          <cell r="I55">
            <v>180</v>
          </cell>
          <cell r="J55" t="str">
            <v>матрица</v>
          </cell>
          <cell r="L55">
            <v>210</v>
          </cell>
          <cell r="M55">
            <v>-5</v>
          </cell>
          <cell r="P55">
            <v>0</v>
          </cell>
          <cell r="Q55">
            <v>41</v>
          </cell>
          <cell r="R55">
            <v>194</v>
          </cell>
        </row>
        <row r="56">
          <cell r="A56" t="str">
            <v>Пельмени Со свининой и говядиной ТМ Особый рецепт Любимая ложка 1,0 кг  ПОКОМ</v>
          </cell>
          <cell r="B56" t="str">
            <v>шт</v>
          </cell>
          <cell r="C56" t="str">
            <v>P004081</v>
          </cell>
          <cell r="D56">
            <v>123</v>
          </cell>
          <cell r="F56">
            <v>15</v>
          </cell>
          <cell r="G56">
            <v>108</v>
          </cell>
          <cell r="H56">
            <v>1</v>
          </cell>
          <cell r="I56">
            <v>0</v>
          </cell>
          <cell r="J56">
            <v>0</v>
          </cell>
          <cell r="L56">
            <v>15</v>
          </cell>
          <cell r="M56">
            <v>0</v>
          </cell>
          <cell r="P56">
            <v>0</v>
          </cell>
          <cell r="Q56">
            <v>3</v>
          </cell>
        </row>
        <row r="57">
          <cell r="A57" t="str">
            <v>Пирожки с мясом 3,7кг ВЕС ТМ Зареченские  ПОКОМ</v>
          </cell>
          <cell r="B57" t="str">
            <v>кг</v>
          </cell>
          <cell r="C57" t="str">
            <v>P004359</v>
          </cell>
          <cell r="D57">
            <v>26</v>
          </cell>
          <cell r="E57">
            <v>244.2</v>
          </cell>
          <cell r="F57">
            <v>188.7</v>
          </cell>
          <cell r="G57">
            <v>74</v>
          </cell>
          <cell r="H57">
            <v>1</v>
          </cell>
          <cell r="I57">
            <v>180</v>
          </cell>
          <cell r="J57" t="str">
            <v>матрица</v>
          </cell>
          <cell r="L57">
            <v>199.8</v>
          </cell>
          <cell r="M57">
            <v>-11.100000000000023</v>
          </cell>
          <cell r="P57">
            <v>330</v>
          </cell>
          <cell r="Q57">
            <v>37.739999999999995</v>
          </cell>
          <cell r="R57">
            <v>124.3599999999999</v>
          </cell>
        </row>
        <row r="58">
          <cell r="A58" t="str">
            <v>Хотстеры Васаби-чили ТМ Горячая штучка ТС Хотстеры 0,23кг жареные ПОКОМ</v>
          </cell>
          <cell r="B58" t="str">
            <v>шт</v>
          </cell>
          <cell r="C58" t="str">
            <v>P005182</v>
          </cell>
          <cell r="D58">
            <v>605</v>
          </cell>
          <cell r="E58">
            <v>370</v>
          </cell>
          <cell r="F58">
            <v>295</v>
          </cell>
          <cell r="G58">
            <v>658</v>
          </cell>
          <cell r="H58">
            <v>0.23</v>
          </cell>
          <cell r="I58">
            <v>0</v>
          </cell>
          <cell r="J58" t="str">
            <v>Новинка</v>
          </cell>
          <cell r="L58">
            <v>323</v>
          </cell>
          <cell r="M58">
            <v>-28</v>
          </cell>
          <cell r="P58">
            <v>100</v>
          </cell>
          <cell r="Q58">
            <v>59</v>
          </cell>
          <cell r="R58">
            <v>68</v>
          </cell>
        </row>
        <row r="59">
          <cell r="A59" t="str">
            <v>Хотстеры с сыром ТМ Горячая штучка ТС Хотстеры 0,25кг.  Поком</v>
          </cell>
          <cell r="B59" t="str">
            <v>шт</v>
          </cell>
          <cell r="C59" t="str">
            <v>P005058</v>
          </cell>
          <cell r="D59">
            <v>530</v>
          </cell>
          <cell r="E59">
            <v>196</v>
          </cell>
          <cell r="F59">
            <v>504</v>
          </cell>
          <cell r="G59">
            <v>206</v>
          </cell>
          <cell r="H59">
            <v>0.25</v>
          </cell>
          <cell r="I59">
            <v>180</v>
          </cell>
          <cell r="J59" t="str">
            <v>матрица</v>
          </cell>
          <cell r="L59">
            <v>525</v>
          </cell>
          <cell r="M59">
            <v>-21</v>
          </cell>
          <cell r="P59">
            <v>560</v>
          </cell>
          <cell r="Q59">
            <v>100.8</v>
          </cell>
          <cell r="R59">
            <v>645.20000000000005</v>
          </cell>
        </row>
        <row r="60">
          <cell r="A60" t="str">
            <v>Хотстеры ТМ Горячая штучка ТС Хотстеры 0,25 кг зам  ПОКОМ</v>
          </cell>
          <cell r="B60" t="str">
            <v>шт</v>
          </cell>
          <cell r="C60" t="str">
            <v>P004489</v>
          </cell>
          <cell r="D60">
            <v>839</v>
          </cell>
          <cell r="E60">
            <v>33</v>
          </cell>
          <cell r="F60">
            <v>783</v>
          </cell>
          <cell r="G60">
            <v>65</v>
          </cell>
          <cell r="H60">
            <v>0.25</v>
          </cell>
          <cell r="I60">
            <v>180</v>
          </cell>
          <cell r="J60" t="str">
            <v>матрица</v>
          </cell>
          <cell r="L60">
            <v>813</v>
          </cell>
          <cell r="M60">
            <v>-30</v>
          </cell>
          <cell r="P60">
            <v>500</v>
          </cell>
          <cell r="Q60">
            <v>156.6</v>
          </cell>
          <cell r="R60">
            <v>1627.4</v>
          </cell>
          <cell r="S60">
            <v>2000</v>
          </cell>
        </row>
        <row r="61">
          <cell r="A61" t="str">
            <v>Хрустипай апельсин имбирь ТМ Горячая штучка 0,18 кг  ПОКОМ</v>
          </cell>
          <cell r="B61" t="str">
            <v>шт</v>
          </cell>
          <cell r="C61" t="str">
            <v>P005201</v>
          </cell>
          <cell r="D61">
            <v>913</v>
          </cell>
          <cell r="E61">
            <v>16</v>
          </cell>
          <cell r="F61">
            <v>100</v>
          </cell>
          <cell r="G61">
            <v>819</v>
          </cell>
          <cell r="H61">
            <v>0.18</v>
          </cell>
          <cell r="I61">
            <v>0</v>
          </cell>
          <cell r="J61" t="e">
            <v>#N/A</v>
          </cell>
          <cell r="L61">
            <v>110</v>
          </cell>
          <cell r="M61">
            <v>-10</v>
          </cell>
          <cell r="P61">
            <v>0</v>
          </cell>
          <cell r="Q61">
            <v>20</v>
          </cell>
        </row>
        <row r="62">
          <cell r="A62" t="str">
            <v>Хрустипай манго маракуйя ТМ Горячая штучка 0,18 кг  ПОКОМ</v>
          </cell>
          <cell r="B62" t="str">
            <v>шт</v>
          </cell>
          <cell r="C62" t="str">
            <v>P005199</v>
          </cell>
          <cell r="D62">
            <v>1043</v>
          </cell>
          <cell r="E62">
            <v>30</v>
          </cell>
          <cell r="F62">
            <v>146</v>
          </cell>
          <cell r="G62">
            <v>917</v>
          </cell>
          <cell r="H62">
            <v>0.18</v>
          </cell>
          <cell r="I62">
            <v>0</v>
          </cell>
          <cell r="J62" t="e">
            <v>#N/A</v>
          </cell>
          <cell r="L62">
            <v>156</v>
          </cell>
          <cell r="M62">
            <v>-10</v>
          </cell>
          <cell r="P62">
            <v>0</v>
          </cell>
          <cell r="Q62">
            <v>29.2</v>
          </cell>
        </row>
        <row r="63">
          <cell r="A63" t="str">
            <v>Хрустипай манго чили ТМ Горячая штучка 0,18кг с начинкой ПОКОМ</v>
          </cell>
          <cell r="B63" t="str">
            <v>шт</v>
          </cell>
          <cell r="C63" t="str">
            <v>P005200</v>
          </cell>
          <cell r="D63">
            <v>87</v>
          </cell>
          <cell r="E63">
            <v>1</v>
          </cell>
          <cell r="F63">
            <v>14</v>
          </cell>
          <cell r="G63">
            <v>73</v>
          </cell>
          <cell r="H63">
            <v>0.18</v>
          </cell>
          <cell r="I63">
            <v>0</v>
          </cell>
          <cell r="J63" t="e">
            <v>#N/A</v>
          </cell>
          <cell r="L63">
            <v>16</v>
          </cell>
          <cell r="M63">
            <v>-2</v>
          </cell>
          <cell r="P63">
            <v>0</v>
          </cell>
          <cell r="Q63">
            <v>2.8</v>
          </cell>
        </row>
        <row r="64">
          <cell r="A64" t="str">
            <v>Хрустящие крылышки острые к пиву ТМ Горячая штучка 0,3кг зам  ПОКОМ</v>
          </cell>
          <cell r="B64" t="str">
            <v>шт</v>
          </cell>
          <cell r="C64" t="str">
            <v>P004589</v>
          </cell>
          <cell r="D64">
            <v>1204</v>
          </cell>
          <cell r="E64">
            <v>12</v>
          </cell>
          <cell r="F64">
            <v>502</v>
          </cell>
          <cell r="G64">
            <v>702</v>
          </cell>
          <cell r="H64">
            <v>0.3</v>
          </cell>
          <cell r="I64">
            <v>180</v>
          </cell>
          <cell r="J64" t="str">
            <v>ВНИМАНИЕ / матрица</v>
          </cell>
          <cell r="L64">
            <v>524</v>
          </cell>
          <cell r="M64">
            <v>-22</v>
          </cell>
          <cell r="P64">
            <v>0</v>
          </cell>
          <cell r="Q64">
            <v>100.4</v>
          </cell>
          <cell r="R64">
            <v>703.60000000000014</v>
          </cell>
        </row>
        <row r="65">
          <cell r="A65" t="str">
            <v>Хрустящие крылышки ТМ Горячая штучка 0,3 кг зам  ПОКОМ</v>
          </cell>
          <cell r="B65" t="str">
            <v>шт</v>
          </cell>
          <cell r="C65" t="str">
            <v>P004588</v>
          </cell>
          <cell r="D65">
            <v>1384</v>
          </cell>
          <cell r="E65">
            <v>517</v>
          </cell>
          <cell r="F65">
            <v>732</v>
          </cell>
          <cell r="G65">
            <v>1156</v>
          </cell>
          <cell r="H65">
            <v>0.3</v>
          </cell>
          <cell r="I65">
            <v>180</v>
          </cell>
          <cell r="J65" t="str">
            <v>матрица</v>
          </cell>
          <cell r="L65">
            <v>759</v>
          </cell>
          <cell r="M65">
            <v>-27</v>
          </cell>
          <cell r="P65">
            <v>0</v>
          </cell>
          <cell r="Q65">
            <v>146.4</v>
          </cell>
          <cell r="R65">
            <v>893.59999999999991</v>
          </cell>
        </row>
        <row r="66">
          <cell r="A66" t="str">
            <v>Чебупели Курочка гриль Базовый ассортимент Фикс.вес 0,3 Пакет Горячая штучка  Поком</v>
          </cell>
          <cell r="B66" t="str">
            <v>шт</v>
          </cell>
          <cell r="C66" t="str">
            <v>P004113</v>
          </cell>
          <cell r="D66">
            <v>3</v>
          </cell>
          <cell r="E66">
            <v>1193</v>
          </cell>
          <cell r="F66">
            <v>459</v>
          </cell>
          <cell r="G66">
            <v>706</v>
          </cell>
          <cell r="H66">
            <v>0.3</v>
          </cell>
          <cell r="I66">
            <v>180</v>
          </cell>
          <cell r="J66" t="str">
            <v>матрица</v>
          </cell>
          <cell r="L66">
            <v>586</v>
          </cell>
          <cell r="M66">
            <v>-127</v>
          </cell>
          <cell r="P66">
            <v>0</v>
          </cell>
          <cell r="Q66">
            <v>91.8</v>
          </cell>
          <cell r="R66">
            <v>579.20000000000005</v>
          </cell>
        </row>
        <row r="67">
          <cell r="A67" t="str">
            <v>Чебупицца курочка по-итальянски Горячая штучка 0,25 кг зам  ПОКОМ</v>
          </cell>
          <cell r="B67" t="str">
            <v>шт</v>
          </cell>
          <cell r="C67" t="str">
            <v>P004484</v>
          </cell>
          <cell r="D67">
            <v>2604</v>
          </cell>
          <cell r="E67">
            <v>15</v>
          </cell>
          <cell r="F67">
            <v>1781</v>
          </cell>
          <cell r="G67">
            <v>828</v>
          </cell>
          <cell r="H67">
            <v>0.25</v>
          </cell>
          <cell r="I67">
            <v>180</v>
          </cell>
          <cell r="J67" t="str">
            <v>ВНИМАНИЕ / матрица</v>
          </cell>
          <cell r="L67">
            <v>1762</v>
          </cell>
          <cell r="M67">
            <v>19</v>
          </cell>
          <cell r="P67">
            <v>0</v>
          </cell>
          <cell r="Q67">
            <v>356.2</v>
          </cell>
          <cell r="R67">
            <v>4158.8</v>
          </cell>
          <cell r="S67">
            <v>3000</v>
          </cell>
          <cell r="T67" t="str">
            <v xml:space="preserve">урезаем </v>
          </cell>
        </row>
        <row r="68">
          <cell r="A68" t="str">
            <v>Чебупицца Пепперони ТМ Горячая штучка ТС Чебупицца 0.25кг зам  ПОКОМ</v>
          </cell>
          <cell r="B68" t="str">
            <v>шт</v>
          </cell>
          <cell r="C68" t="str">
            <v>P004486</v>
          </cell>
          <cell r="D68">
            <v>2202</v>
          </cell>
          <cell r="E68">
            <v>9</v>
          </cell>
          <cell r="F68">
            <v>1314</v>
          </cell>
          <cell r="G68">
            <v>893</v>
          </cell>
          <cell r="H68">
            <v>0.25</v>
          </cell>
          <cell r="I68">
            <v>180</v>
          </cell>
          <cell r="J68" t="str">
            <v>матрица</v>
          </cell>
          <cell r="L68">
            <v>1333</v>
          </cell>
          <cell r="M68">
            <v>-19</v>
          </cell>
          <cell r="P68">
            <v>240</v>
          </cell>
          <cell r="Q68">
            <v>262.8</v>
          </cell>
          <cell r="R68">
            <v>2546.2000000000003</v>
          </cell>
        </row>
        <row r="69">
          <cell r="A69" t="str">
            <v>Чебупицца со вкусом 4 сыра 0,2кг ТМ Горячая штучка ТС Foodgital  ПОКОМ</v>
          </cell>
          <cell r="B69" t="str">
            <v>шт</v>
          </cell>
          <cell r="C69" t="str">
            <v>P004818</v>
          </cell>
          <cell r="D69">
            <v>438</v>
          </cell>
          <cell r="E69">
            <v>24</v>
          </cell>
          <cell r="F69">
            <v>301</v>
          </cell>
          <cell r="G69">
            <v>155</v>
          </cell>
          <cell r="H69">
            <v>0.2</v>
          </cell>
          <cell r="I69">
            <v>0</v>
          </cell>
          <cell r="J69" t="e">
            <v>#N/A</v>
          </cell>
          <cell r="L69">
            <v>311</v>
          </cell>
          <cell r="M69">
            <v>-10</v>
          </cell>
          <cell r="P69">
            <v>500</v>
          </cell>
          <cell r="Q69">
            <v>60.2</v>
          </cell>
          <cell r="R69">
            <v>187.80000000000007</v>
          </cell>
        </row>
        <row r="70">
          <cell r="A70" t="str">
            <v>Чебупицца со вкусом Том ям ТМ Горячая штучка ТС Чебупицца 0,23кг жареные ПОКОМ</v>
          </cell>
          <cell r="B70" t="str">
            <v>шт</v>
          </cell>
          <cell r="C70" t="str">
            <v>P005180</v>
          </cell>
          <cell r="D70">
            <v>1677</v>
          </cell>
          <cell r="E70">
            <v>55</v>
          </cell>
          <cell r="F70">
            <v>607</v>
          </cell>
          <cell r="G70">
            <v>1103</v>
          </cell>
          <cell r="H70">
            <v>0.23</v>
          </cell>
          <cell r="I70">
            <v>0</v>
          </cell>
          <cell r="J70" t="str">
            <v>новинка</v>
          </cell>
          <cell r="L70">
            <v>633</v>
          </cell>
          <cell r="M70">
            <v>-26</v>
          </cell>
          <cell r="P70">
            <v>0</v>
          </cell>
          <cell r="Q70">
            <v>121.4</v>
          </cell>
          <cell r="R70">
            <v>596.60000000000014</v>
          </cell>
        </row>
        <row r="71">
          <cell r="A71" t="str">
            <v>Чебуреки Мясные вес 2,7 кг ТМ Зареченские ТС Зареченские продукты   Поком</v>
          </cell>
          <cell r="B71" t="str">
            <v>кг</v>
          </cell>
          <cell r="C71" t="str">
            <v>P003478</v>
          </cell>
          <cell r="D71">
            <v>140.80000000000001</v>
          </cell>
          <cell r="E71">
            <v>2.7</v>
          </cell>
          <cell r="F71">
            <v>37.799999999999997</v>
          </cell>
          <cell r="G71">
            <v>105.7</v>
          </cell>
          <cell r="H71">
            <v>1</v>
          </cell>
          <cell r="I71">
            <v>180</v>
          </cell>
          <cell r="J71" t="str">
            <v>матрица</v>
          </cell>
          <cell r="L71">
            <v>37.4</v>
          </cell>
          <cell r="M71">
            <v>0.39999999999999858</v>
          </cell>
          <cell r="P71">
            <v>0</v>
          </cell>
          <cell r="Q71">
            <v>7.56</v>
          </cell>
        </row>
        <row r="72">
          <cell r="A72" t="str">
            <v>Чебуреки сочные ТМ Зареченские ТС Зареченские продукты.  Поком</v>
          </cell>
          <cell r="B72" t="str">
            <v>кг</v>
          </cell>
          <cell r="C72" t="str">
            <v>P003476</v>
          </cell>
          <cell r="D72">
            <v>235</v>
          </cell>
          <cell r="E72">
            <v>5</v>
          </cell>
          <cell r="F72">
            <v>262.7</v>
          </cell>
          <cell r="G72">
            <v>-27.7</v>
          </cell>
          <cell r="H72">
            <v>1</v>
          </cell>
          <cell r="I72">
            <v>180</v>
          </cell>
          <cell r="J72" t="str">
            <v>матрица</v>
          </cell>
          <cell r="L72">
            <v>270.2</v>
          </cell>
          <cell r="M72">
            <v>-7.5</v>
          </cell>
          <cell r="P72">
            <v>480</v>
          </cell>
          <cell r="Q72">
            <v>52.54</v>
          </cell>
          <cell r="R72">
            <v>283.26</v>
          </cell>
        </row>
        <row r="73">
          <cell r="A73" t="str">
            <v>Чебуреки сочные, ВЕС, куриные жарен. зам  ПОКОМ</v>
          </cell>
          <cell r="B73" t="str">
            <v>кг</v>
          </cell>
          <cell r="C73">
            <v>0</v>
          </cell>
          <cell r="D73">
            <v>535</v>
          </cell>
          <cell r="E73">
            <v>45</v>
          </cell>
          <cell r="F73">
            <v>175</v>
          </cell>
          <cell r="G73">
            <v>390</v>
          </cell>
          <cell r="H73">
            <v>0</v>
          </cell>
          <cell r="I73">
            <v>180</v>
          </cell>
          <cell r="J73" t="str">
            <v>дубль</v>
          </cell>
          <cell r="L73">
            <v>190</v>
          </cell>
          <cell r="M73">
            <v>-15</v>
          </cell>
          <cell r="P73">
            <v>0</v>
          </cell>
          <cell r="Q73">
            <v>35</v>
          </cell>
          <cell r="R73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DN133"/>
  <sheetViews>
    <sheetView tabSelected="1" zoomScaleNormal="100" workbookViewId="0">
      <pane xSplit="1" ySplit="10" topLeftCell="B48" activePane="bottomRight" state="frozen"/>
      <selection pane="topRight" activeCell="B1" sqref="B1"/>
      <selection pane="bottomLeft" activeCell="A11" sqref="A11"/>
      <selection pane="bottomRight" activeCell="AD6" sqref="AD6"/>
    </sheetView>
  </sheetViews>
  <sheetFormatPr defaultColWidth="10.5" defaultRowHeight="11.45" customHeight="1" outlineLevelRow="1" x14ac:dyDescent="0.2"/>
  <cols>
    <col min="1" max="1" width="54.33203125" style="1" customWidth="1"/>
    <col min="2" max="2" width="4.5" style="1" customWidth="1"/>
    <col min="3" max="3" width="2" style="1" customWidth="1"/>
    <col min="4" max="4" width="7.33203125" style="1" customWidth="1"/>
    <col min="5" max="6" width="9.1640625" style="1" bestFit="1" customWidth="1"/>
    <col min="7" max="7" width="6.6640625" style="1" customWidth="1"/>
    <col min="8" max="8" width="6.33203125" customWidth="1"/>
    <col min="9" max="9" width="6.5" customWidth="1"/>
    <col min="10" max="10" width="3.83203125" customWidth="1"/>
    <col min="11" max="11" width="1.5" customWidth="1"/>
    <col min="13" max="13" width="9.5" customWidth="1"/>
    <col min="14" max="14" width="1.33203125" customWidth="1"/>
    <col min="15" max="15" width="2" customWidth="1"/>
    <col min="16" max="16" width="7.6640625" customWidth="1"/>
    <col min="17" max="17" width="7.33203125" customWidth="1"/>
    <col min="19" max="19" width="8.5" customWidth="1"/>
    <col min="20" max="20" width="5.6640625" customWidth="1"/>
    <col min="21" max="34" width="8" customWidth="1"/>
    <col min="35" max="35" width="1.6640625" customWidth="1"/>
  </cols>
  <sheetData>
    <row r="1" spans="1:118" s="1" customFormat="1" ht="9.9499999999999993" customHeight="1" x14ac:dyDescent="0.2"/>
    <row r="2" spans="1:118" ht="24.95" customHeight="1" x14ac:dyDescent="0.2">
      <c r="A2" s="2" t="s">
        <v>0</v>
      </c>
    </row>
    <row r="3" spans="1:118" s="1" customFormat="1" ht="9.9499999999999993" customHeight="1" x14ac:dyDescent="0.2"/>
    <row r="4" spans="1:118" ht="12.95" customHeight="1" outlineLevel="1" x14ac:dyDescent="0.2">
      <c r="A4" s="3" t="s">
        <v>1</v>
      </c>
      <c r="B4" s="3"/>
      <c r="C4" s="3"/>
      <c r="D4" s="3"/>
    </row>
    <row r="5" spans="1:118" ht="12.95" customHeight="1" outlineLevel="1" x14ac:dyDescent="0.2">
      <c r="B5" s="3"/>
      <c r="C5" s="3"/>
      <c r="D5" s="3"/>
    </row>
    <row r="6" spans="1:118" ht="26.1" customHeight="1" outlineLevel="1" x14ac:dyDescent="0.2">
      <c r="A6" s="4" t="s">
        <v>2</v>
      </c>
      <c r="B6" s="3"/>
      <c r="C6" s="3"/>
      <c r="D6" s="3"/>
      <c r="E6" s="3"/>
      <c r="F6" s="3"/>
      <c r="G6" s="3"/>
    </row>
    <row r="7" spans="1:118" s="1" customFormat="1" ht="9.9499999999999993" customHeight="1" x14ac:dyDescent="0.2"/>
    <row r="8" spans="1:118" ht="12.95" customHeight="1" x14ac:dyDescent="0.25">
      <c r="A8" s="6" t="s">
        <v>3</v>
      </c>
      <c r="B8" s="6" t="s">
        <v>4</v>
      </c>
      <c r="C8" s="6"/>
      <c r="D8" s="5" t="s">
        <v>5</v>
      </c>
      <c r="E8" s="5" t="s">
        <v>6</v>
      </c>
      <c r="F8" s="5" t="s">
        <v>7</v>
      </c>
      <c r="G8" s="5" t="s">
        <v>8</v>
      </c>
      <c r="H8" s="12" t="s">
        <v>74</v>
      </c>
      <c r="I8" s="13" t="s">
        <v>75</v>
      </c>
      <c r="J8" s="13" t="s">
        <v>76</v>
      </c>
      <c r="K8" s="13" t="s">
        <v>77</v>
      </c>
      <c r="L8" s="13" t="s">
        <v>78</v>
      </c>
      <c r="M8" s="13" t="s">
        <v>79</v>
      </c>
      <c r="N8" s="13" t="s">
        <v>80</v>
      </c>
      <c r="O8" s="13" t="s">
        <v>81</v>
      </c>
      <c r="P8" s="13" t="s">
        <v>82</v>
      </c>
      <c r="Q8" s="13" t="s">
        <v>83</v>
      </c>
      <c r="R8" s="14" t="s">
        <v>84</v>
      </c>
      <c r="S8" s="15" t="s">
        <v>85</v>
      </c>
      <c r="T8" s="15" t="s">
        <v>86</v>
      </c>
      <c r="U8" s="13" t="s">
        <v>87</v>
      </c>
      <c r="V8" s="13" t="s">
        <v>88</v>
      </c>
      <c r="W8" s="13" t="s">
        <v>89</v>
      </c>
      <c r="X8" s="13" t="s">
        <v>89</v>
      </c>
      <c r="Y8" s="13" t="s">
        <v>89</v>
      </c>
      <c r="Z8" s="13" t="s">
        <v>89</v>
      </c>
      <c r="AA8" s="13" t="s">
        <v>90</v>
      </c>
      <c r="AB8" s="16" t="s">
        <v>91</v>
      </c>
      <c r="AC8" s="12" t="s">
        <v>92</v>
      </c>
      <c r="AD8" s="17" t="s">
        <v>93</v>
      </c>
      <c r="AE8" s="13" t="s">
        <v>94</v>
      </c>
      <c r="AF8" s="13" t="s">
        <v>95</v>
      </c>
      <c r="AG8" s="13" t="s">
        <v>96</v>
      </c>
      <c r="AH8" s="18" t="s">
        <v>97</v>
      </c>
    </row>
    <row r="9" spans="1:118" ht="12.95" customHeight="1" x14ac:dyDescent="0.2">
      <c r="A9" s="6"/>
      <c r="B9" s="6"/>
      <c r="C9" s="6"/>
      <c r="D9" s="5"/>
      <c r="E9" s="5"/>
      <c r="F9" s="5"/>
      <c r="G9" s="5"/>
      <c r="H9" s="19"/>
      <c r="I9" s="20"/>
      <c r="J9" s="20"/>
      <c r="K9" s="20"/>
      <c r="L9" s="20"/>
      <c r="M9" s="20"/>
      <c r="N9" s="20"/>
      <c r="O9" s="20"/>
      <c r="P9" s="20" t="s">
        <v>99</v>
      </c>
      <c r="Q9" s="35" t="s">
        <v>104</v>
      </c>
      <c r="R9" s="21" t="s">
        <v>103</v>
      </c>
      <c r="S9" s="20"/>
      <c r="T9" s="20"/>
      <c r="U9" s="20"/>
      <c r="V9" s="20"/>
      <c r="W9" s="20" t="s">
        <v>100</v>
      </c>
      <c r="X9" s="20" t="s">
        <v>101</v>
      </c>
      <c r="Y9" s="20" t="s">
        <v>102</v>
      </c>
      <c r="Z9" s="20" t="s">
        <v>98</v>
      </c>
      <c r="AA9" s="20"/>
      <c r="AB9" s="21" t="s">
        <v>103</v>
      </c>
      <c r="AC9" s="19"/>
      <c r="AD9" s="22"/>
      <c r="AE9" s="20"/>
      <c r="AF9" s="20"/>
      <c r="AG9" s="20"/>
      <c r="AH9" s="22"/>
    </row>
    <row r="10" spans="1:118" ht="12.95" customHeight="1" x14ac:dyDescent="0.2">
      <c r="A10" s="6"/>
      <c r="B10" s="6"/>
      <c r="C10" s="6"/>
      <c r="D10" s="23">
        <f t="shared" ref="D10:G10" si="0">SUM(D11:D464)</f>
        <v>30143.3</v>
      </c>
      <c r="E10" s="23">
        <f t="shared" si="0"/>
        <v>30446.9</v>
      </c>
      <c r="F10" s="23">
        <f t="shared" si="0"/>
        <v>24833.7</v>
      </c>
      <c r="G10" s="23">
        <f t="shared" si="0"/>
        <v>33394</v>
      </c>
      <c r="H10" s="19"/>
      <c r="I10" s="20"/>
      <c r="J10" s="20"/>
      <c r="K10" s="20"/>
      <c r="L10" s="23">
        <f t="shared" ref="L10:S10" si="1">SUM(L11:L464)</f>
        <v>26697.9</v>
      </c>
      <c r="M10" s="23">
        <f t="shared" si="1"/>
        <v>-1864.1999999999998</v>
      </c>
      <c r="N10" s="23">
        <f t="shared" si="1"/>
        <v>0</v>
      </c>
      <c r="O10" s="23">
        <f t="shared" si="1"/>
        <v>0</v>
      </c>
      <c r="P10" s="23">
        <f t="shared" si="1"/>
        <v>7418</v>
      </c>
      <c r="Q10" s="23">
        <f t="shared" si="1"/>
        <v>4966.7400000000007</v>
      </c>
      <c r="R10" s="23">
        <f t="shared" si="1"/>
        <v>33504.46</v>
      </c>
      <c r="S10" s="23">
        <f t="shared" si="1"/>
        <v>13570</v>
      </c>
      <c r="T10" s="20"/>
      <c r="U10" s="20"/>
      <c r="V10" s="20"/>
      <c r="W10" s="23">
        <f>SUM(W11:W464)</f>
        <v>3838.1800000000003</v>
      </c>
      <c r="X10" s="23">
        <f>SUM(X11:X464)</f>
        <v>3463.2799999999988</v>
      </c>
      <c r="Y10" s="23">
        <f>SUM(Y11:Y464)</f>
        <v>3954.62</v>
      </c>
      <c r="Z10" s="23">
        <f>SUM(Z11:Z464)</f>
        <v>3959.78</v>
      </c>
      <c r="AA10" s="20"/>
      <c r="AB10" s="23">
        <f>SUM(AB11:AB464)</f>
        <v>13010.588</v>
      </c>
      <c r="AC10" s="19"/>
      <c r="AD10" s="24">
        <f>SUM(AD11:AD464)</f>
        <v>3422</v>
      </c>
      <c r="AE10" s="23">
        <f>SUM(AE11:AE464)</f>
        <v>13005.04</v>
      </c>
      <c r="AF10" s="20"/>
      <c r="AG10" s="20"/>
      <c r="AH10" s="24">
        <f>SUM(AH11:AH464)</f>
        <v>42.7484126984127</v>
      </c>
    </row>
    <row r="11" spans="1:118" ht="21.95" customHeight="1" x14ac:dyDescent="0.2">
      <c r="A11" s="7" t="s">
        <v>9</v>
      </c>
      <c r="B11" s="7" t="s">
        <v>10</v>
      </c>
      <c r="C11" s="7">
        <f>VLOOKUP(A:A,[1]TDSheet!$A:$C,3,0)</f>
        <v>0</v>
      </c>
      <c r="D11" s="8">
        <v>2</v>
      </c>
      <c r="E11" s="8">
        <v>285</v>
      </c>
      <c r="F11" s="8">
        <v>172</v>
      </c>
      <c r="G11" s="8">
        <v>114</v>
      </c>
      <c r="H11" s="25">
        <f>VLOOKUP(A:A,[1]TDSheet!$A:$H,8,0)</f>
        <v>0</v>
      </c>
      <c r="I11" s="9">
        <f>VLOOKUP(A:A,[1]TDSheet!$A:$I,9,0)</f>
        <v>0</v>
      </c>
      <c r="J11" s="9">
        <f>VLOOKUP(A:A,[1]TDSheet!$A:$J,10,0)</f>
        <v>0</v>
      </c>
      <c r="K11" s="9"/>
      <c r="L11" s="9">
        <f>VLOOKUP(A:A,[2]TDSheet!$A:$B,2,0)</f>
        <v>174</v>
      </c>
      <c r="M11" s="9">
        <f>F11-L11</f>
        <v>-2</v>
      </c>
      <c r="N11" s="9"/>
      <c r="O11" s="9"/>
      <c r="P11" s="9">
        <f>VLOOKUP(A:A,[1]TDSheet!$A:$R,18,0)</f>
        <v>227</v>
      </c>
      <c r="Q11" s="9">
        <f>F11/5</f>
        <v>34.4</v>
      </c>
      <c r="R11" s="26">
        <f>Q11*14-G11-P11</f>
        <v>140.59999999999997</v>
      </c>
      <c r="S11" s="26"/>
      <c r="T11" s="9">
        <f>VLOOKUP(A:A,[3]TDSheet!$A:$T,20,0)</f>
        <v>0</v>
      </c>
      <c r="U11" s="9">
        <f>(G11+P11+R11)/Q11</f>
        <v>14</v>
      </c>
      <c r="V11" s="9">
        <f>G11/Q11</f>
        <v>3.3139534883720931</v>
      </c>
      <c r="W11" s="9">
        <f>VLOOKUP(A:A,[1]TDSheet!$A:$X,24,0)</f>
        <v>33</v>
      </c>
      <c r="X11" s="9">
        <f>VLOOKUP(A:A,[1]TDSheet!$A:$Y,25,0)</f>
        <v>28.8</v>
      </c>
      <c r="Y11" s="9">
        <f>VLOOKUP(A:A,[1]TDSheet!$A:$Z,26,0)</f>
        <v>30</v>
      </c>
      <c r="Z11" s="9">
        <f>VLOOKUP(A:A,[1]TDSheet!$A:$Q,17,0)</f>
        <v>35</v>
      </c>
      <c r="AA11" s="9">
        <f>VLOOKUP(A:A,[1]TDSheet!$A:$AA,27,0)</f>
        <v>0</v>
      </c>
      <c r="AB11" s="9">
        <f>R11*H11</f>
        <v>0</v>
      </c>
      <c r="AC11" s="9">
        <f>VLOOKUP(A:A,[1]TDSheet!$A:$AC,29,0)</f>
        <v>0</v>
      </c>
      <c r="AD11" s="9">
        <v>0</v>
      </c>
      <c r="AE11" s="9">
        <f>AD11*AC11*H11</f>
        <v>0</v>
      </c>
      <c r="AF11" s="9">
        <f>VLOOKUP(A:A,[1]TDSheet!$A:$AF,32,0)</f>
        <v>0</v>
      </c>
      <c r="AG11" s="9">
        <f>VLOOKUP(A:A,[1]TDSheet!$A:$AG,33,0)</f>
        <v>0</v>
      </c>
      <c r="AH11" s="9">
        <v>0</v>
      </c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</row>
    <row r="12" spans="1:118" ht="21.95" customHeight="1" x14ac:dyDescent="0.2">
      <c r="A12" s="7" t="s">
        <v>11</v>
      </c>
      <c r="B12" s="7" t="s">
        <v>10</v>
      </c>
      <c r="C12" s="7">
        <f>VLOOKUP(A:A,[1]TDSheet!$A:$C,3,0)</f>
        <v>0</v>
      </c>
      <c r="D12" s="8">
        <v>78</v>
      </c>
      <c r="E12" s="8">
        <v>186</v>
      </c>
      <c r="F12" s="8">
        <v>126</v>
      </c>
      <c r="G12" s="8">
        <v>133</v>
      </c>
      <c r="H12" s="25">
        <f>VLOOKUP(A:A,[1]TDSheet!$A:$H,8,0)</f>
        <v>0</v>
      </c>
      <c r="I12" s="9">
        <f>VLOOKUP(A:A,[1]TDSheet!$A:$I,9,0)</f>
        <v>0</v>
      </c>
      <c r="J12" s="9">
        <f>VLOOKUP(A:A,[1]TDSheet!$A:$J,10,0)</f>
        <v>0</v>
      </c>
      <c r="K12" s="9"/>
      <c r="L12" s="9">
        <f>VLOOKUP(A:A,[2]TDSheet!$A:$B,2,0)</f>
        <v>132</v>
      </c>
      <c r="M12" s="9">
        <f t="shared" ref="M12:M73" si="2">F12-L12</f>
        <v>-6</v>
      </c>
      <c r="N12" s="9"/>
      <c r="O12" s="9"/>
      <c r="P12" s="9">
        <f>VLOOKUP(A:A,[1]TDSheet!$A:$R,18,0)</f>
        <v>311</v>
      </c>
      <c r="Q12" s="9">
        <f t="shared" ref="Q12:Q73" si="3">F12/5</f>
        <v>25.2</v>
      </c>
      <c r="R12" s="26"/>
      <c r="S12" s="26"/>
      <c r="T12" s="9">
        <f>VLOOKUP(A:A,[3]TDSheet!$A:$T,20,0)</f>
        <v>0</v>
      </c>
      <c r="U12" s="9">
        <f t="shared" ref="U12:U73" si="4">(G12+P12+R12)/Q12</f>
        <v>17.61904761904762</v>
      </c>
      <c r="V12" s="9">
        <f t="shared" ref="V12:V73" si="5">G12/Q12</f>
        <v>5.2777777777777777</v>
      </c>
      <c r="W12" s="9">
        <f>VLOOKUP(A:A,[1]TDSheet!$A:$X,24,0)</f>
        <v>24</v>
      </c>
      <c r="X12" s="9">
        <f>VLOOKUP(A:A,[1]TDSheet!$A:$Y,25,0)</f>
        <v>25.6</v>
      </c>
      <c r="Y12" s="9">
        <f>VLOOKUP(A:A,[1]TDSheet!$A:$Z,26,0)</f>
        <v>27.6</v>
      </c>
      <c r="Z12" s="9">
        <f>VLOOKUP(A:A,[1]TDSheet!$A:$Q,17,0)</f>
        <v>38</v>
      </c>
      <c r="AA12" s="9">
        <f>VLOOKUP(A:A,[1]TDSheet!$A:$AA,27,0)</f>
        <v>0</v>
      </c>
      <c r="AB12" s="9">
        <f t="shared" ref="AB12:AB73" si="6">R12*H12</f>
        <v>0</v>
      </c>
      <c r="AC12" s="9">
        <f>VLOOKUP(A:A,[1]TDSheet!$A:$AC,29,0)</f>
        <v>0</v>
      </c>
      <c r="AD12" s="9">
        <v>0</v>
      </c>
      <c r="AE12" s="9">
        <f t="shared" ref="AE12:AE73" si="7">AD12*AC12*H12</f>
        <v>0</v>
      </c>
      <c r="AF12" s="9">
        <f>VLOOKUP(A:A,[1]TDSheet!$A:$AF,32,0)</f>
        <v>0</v>
      </c>
      <c r="AG12" s="9">
        <f>VLOOKUP(A:A,[1]TDSheet!$A:$AG,33,0)</f>
        <v>0</v>
      </c>
      <c r="AH12" s="9">
        <v>0</v>
      </c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</row>
    <row r="13" spans="1:118" ht="11.1" customHeight="1" x14ac:dyDescent="0.2">
      <c r="A13" s="7" t="s">
        <v>12</v>
      </c>
      <c r="B13" s="7" t="s">
        <v>13</v>
      </c>
      <c r="C13" s="7">
        <f>VLOOKUP(A:A,[1]TDSheet!$A:$C,3,0)</f>
        <v>0</v>
      </c>
      <c r="D13" s="8">
        <v>13</v>
      </c>
      <c r="E13" s="8"/>
      <c r="F13" s="8">
        <v>0</v>
      </c>
      <c r="G13" s="8">
        <v>13</v>
      </c>
      <c r="H13" s="25">
        <f>VLOOKUP(A:A,[1]TDSheet!$A:$H,8,0)</f>
        <v>0</v>
      </c>
      <c r="I13" s="9">
        <f>VLOOKUP(A:A,[1]TDSheet!$A:$I,9,0)</f>
        <v>0</v>
      </c>
      <c r="J13" s="9">
        <f>VLOOKUP(A:A,[1]TDSheet!$A:$J,10,0)</f>
        <v>0</v>
      </c>
      <c r="K13" s="9"/>
      <c r="L13" s="9">
        <v>0</v>
      </c>
      <c r="M13" s="9">
        <f t="shared" si="2"/>
        <v>0</v>
      </c>
      <c r="N13" s="9"/>
      <c r="O13" s="9"/>
      <c r="P13" s="9">
        <f>VLOOKUP(A:A,[1]TDSheet!$A:$R,18,0)</f>
        <v>0</v>
      </c>
      <c r="Q13" s="9">
        <f t="shared" si="3"/>
        <v>0</v>
      </c>
      <c r="R13" s="26"/>
      <c r="S13" s="26"/>
      <c r="T13" s="9">
        <f>VLOOKUP(A:A,[3]TDSheet!$A:$T,20,0)</f>
        <v>0</v>
      </c>
      <c r="U13" s="9" t="e">
        <f t="shared" si="4"/>
        <v>#DIV/0!</v>
      </c>
      <c r="V13" s="9" t="e">
        <f t="shared" si="5"/>
        <v>#DIV/0!</v>
      </c>
      <c r="W13" s="9">
        <f>VLOOKUP(A:A,[1]TDSheet!$A:$X,24,0)</f>
        <v>8.14</v>
      </c>
      <c r="X13" s="9">
        <f>VLOOKUP(A:A,[1]TDSheet!$A:$Y,25,0)</f>
        <v>1.48</v>
      </c>
      <c r="Y13" s="9">
        <f>VLOOKUP(A:A,[1]TDSheet!$A:$Z,26,0)</f>
        <v>1.48</v>
      </c>
      <c r="Z13" s="9">
        <f>VLOOKUP(A:A,[1]TDSheet!$A:$Q,17,0)</f>
        <v>0.74</v>
      </c>
      <c r="AA13" s="9">
        <f>VLOOKUP(A:A,[1]TDSheet!$A:$AA,27,0)</f>
        <v>0</v>
      </c>
      <c r="AB13" s="9">
        <f t="shared" si="6"/>
        <v>0</v>
      </c>
      <c r="AC13" s="9">
        <f>VLOOKUP(A:A,[1]TDSheet!$A:$AC,29,0)</f>
        <v>0</v>
      </c>
      <c r="AD13" s="9">
        <v>0</v>
      </c>
      <c r="AE13" s="9">
        <f t="shared" si="7"/>
        <v>0</v>
      </c>
      <c r="AF13" s="9">
        <f>VLOOKUP(A:A,[1]TDSheet!$A:$AF,32,0)</f>
        <v>0</v>
      </c>
      <c r="AG13" s="9">
        <f>VLOOKUP(A:A,[1]TDSheet!$A:$AG,33,0)</f>
        <v>0</v>
      </c>
      <c r="AH13" s="9">
        <v>0</v>
      </c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</row>
    <row r="14" spans="1:118" ht="11.1" customHeight="1" x14ac:dyDescent="0.2">
      <c r="A14" s="27" t="s">
        <v>14</v>
      </c>
      <c r="B14" s="27" t="s">
        <v>10</v>
      </c>
      <c r="C14" s="27">
        <f>VLOOKUP(A:A,[1]TDSheet!$A:$C,3,0)</f>
        <v>0</v>
      </c>
      <c r="D14" s="28">
        <v>206</v>
      </c>
      <c r="E14" s="28">
        <v>5</v>
      </c>
      <c r="F14" s="28">
        <v>42</v>
      </c>
      <c r="G14" s="28">
        <v>169</v>
      </c>
      <c r="H14" s="29">
        <f>VLOOKUP(A:A,[1]TDSheet!$A:$H,8,0)</f>
        <v>0</v>
      </c>
      <c r="I14" s="30">
        <f>VLOOKUP(A:A,[1]TDSheet!$A:$I,9,0)</f>
        <v>0</v>
      </c>
      <c r="J14" s="30" t="e">
        <f>VLOOKUP(A:A,[1]TDSheet!$A:$J,10,0)</f>
        <v>#N/A</v>
      </c>
      <c r="K14" s="9"/>
      <c r="L14" s="9">
        <f>VLOOKUP(A:A,[2]TDSheet!$A:$B,2,0)</f>
        <v>42</v>
      </c>
      <c r="M14" s="9">
        <f t="shared" si="2"/>
        <v>0</v>
      </c>
      <c r="N14" s="9"/>
      <c r="O14" s="9"/>
      <c r="P14" s="9">
        <f>VLOOKUP(A:A,[1]TDSheet!$A:$R,18,0)</f>
        <v>0</v>
      </c>
      <c r="Q14" s="9">
        <f t="shared" si="3"/>
        <v>8.4</v>
      </c>
      <c r="R14" s="26"/>
      <c r="S14" s="26"/>
      <c r="T14" s="9">
        <f>VLOOKUP(A:A,[3]TDSheet!$A:$T,20,0)</f>
        <v>0</v>
      </c>
      <c r="U14" s="9">
        <f t="shared" si="4"/>
        <v>20.119047619047617</v>
      </c>
      <c r="V14" s="9">
        <f t="shared" si="5"/>
        <v>20.119047619047617</v>
      </c>
      <c r="W14" s="9">
        <f>VLOOKUP(A:A,[1]TDSheet!$A:$X,24,0)</f>
        <v>5.8</v>
      </c>
      <c r="X14" s="9">
        <f>VLOOKUP(A:A,[1]TDSheet!$A:$Y,25,0)</f>
        <v>9.6</v>
      </c>
      <c r="Y14" s="9">
        <f>VLOOKUP(A:A,[1]TDSheet!$A:$Z,26,0)</f>
        <v>13.6</v>
      </c>
      <c r="Z14" s="9">
        <f>VLOOKUP(A:A,[1]TDSheet!$A:$Q,17,0)</f>
        <v>3</v>
      </c>
      <c r="AA14" s="9" t="e">
        <f>VLOOKUP(A:A,[1]TDSheet!$A:$AA,27,0)</f>
        <v>#N/A</v>
      </c>
      <c r="AB14" s="9">
        <f t="shared" si="6"/>
        <v>0</v>
      </c>
      <c r="AC14" s="9">
        <f>VLOOKUP(A:A,[1]TDSheet!$A:$AC,29,0)</f>
        <v>0</v>
      </c>
      <c r="AD14" s="9">
        <v>0</v>
      </c>
      <c r="AE14" s="9">
        <f t="shared" si="7"/>
        <v>0</v>
      </c>
      <c r="AF14" s="9">
        <f>VLOOKUP(A:A,[1]TDSheet!$A:$AF,32,0)</f>
        <v>0</v>
      </c>
      <c r="AG14" s="9">
        <f>VLOOKUP(A:A,[1]TDSheet!$A:$AG,33,0)</f>
        <v>0</v>
      </c>
      <c r="AH14" s="9">
        <v>0</v>
      </c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</row>
    <row r="15" spans="1:118" ht="11.1" customHeight="1" x14ac:dyDescent="0.2">
      <c r="A15" s="7" t="s">
        <v>15</v>
      </c>
      <c r="B15" s="7" t="s">
        <v>10</v>
      </c>
      <c r="C15" s="7" t="str">
        <f>VLOOKUP(A:A,[1]TDSheet!$A:$C,3,0)</f>
        <v>P004598</v>
      </c>
      <c r="D15" s="8">
        <v>209</v>
      </c>
      <c r="E15" s="8">
        <v>505</v>
      </c>
      <c r="F15" s="8">
        <v>217</v>
      </c>
      <c r="G15" s="8">
        <v>496</v>
      </c>
      <c r="H15" s="25">
        <f>VLOOKUP(A:A,[1]TDSheet!$A:$H,8,0)</f>
        <v>0.3</v>
      </c>
      <c r="I15" s="9">
        <f>VLOOKUP(A:A,[1]TDSheet!$A:$I,9,0)</f>
        <v>0</v>
      </c>
      <c r="J15" s="9" t="str">
        <f>VLOOKUP(A:A,[1]TDSheet!$A:$J,10,0)</f>
        <v>матрица</v>
      </c>
      <c r="K15" s="9"/>
      <c r="L15" s="9">
        <f>VLOOKUP(A:A,[2]TDSheet!$A:$B,2,0)</f>
        <v>220</v>
      </c>
      <c r="M15" s="9">
        <f t="shared" si="2"/>
        <v>-3</v>
      </c>
      <c r="N15" s="9"/>
      <c r="O15" s="9"/>
      <c r="P15" s="9">
        <f>VLOOKUP(A:A,[1]TDSheet!$A:$R,18,0)</f>
        <v>0</v>
      </c>
      <c r="Q15" s="9">
        <f t="shared" si="3"/>
        <v>43.4</v>
      </c>
      <c r="R15" s="26">
        <v>250</v>
      </c>
      <c r="S15" s="26">
        <f>VLOOKUP(A:A,[3]TDSheet!$A:$S,19,0)</f>
        <v>250</v>
      </c>
      <c r="T15" s="9">
        <f>VLOOKUP(A:A,[3]TDSheet!$A:$T,20,0)</f>
        <v>0</v>
      </c>
      <c r="U15" s="9">
        <f t="shared" si="4"/>
        <v>17.1889400921659</v>
      </c>
      <c r="V15" s="9">
        <f t="shared" si="5"/>
        <v>11.428571428571429</v>
      </c>
      <c r="W15" s="9">
        <f>VLOOKUP(A:A,[1]TDSheet!$A:$X,24,0)</f>
        <v>31.8</v>
      </c>
      <c r="X15" s="9">
        <f>VLOOKUP(A:A,[1]TDSheet!$A:$Y,25,0)</f>
        <v>38.4</v>
      </c>
      <c r="Y15" s="9">
        <f>VLOOKUP(A:A,[1]TDSheet!$A:$Z,26,0)</f>
        <v>47</v>
      </c>
      <c r="Z15" s="9">
        <f>VLOOKUP(A:A,[1]TDSheet!$A:$Q,17,0)</f>
        <v>40.6</v>
      </c>
      <c r="AA15" s="9">
        <f>VLOOKUP(A:A,[1]TDSheet!$A:$AA,27,0)</f>
        <v>0</v>
      </c>
      <c r="AB15" s="9">
        <f t="shared" si="6"/>
        <v>75</v>
      </c>
      <c r="AC15" s="9">
        <f>VLOOKUP(A:A,[1]TDSheet!$A:$AC,29,0)</f>
        <v>12</v>
      </c>
      <c r="AD15" s="9">
        <f t="shared" ref="AD15:AD73" si="8">MROUND(R15,AC15*AF15)/AC15</f>
        <v>14</v>
      </c>
      <c r="AE15" s="9">
        <f t="shared" si="7"/>
        <v>50.4</v>
      </c>
      <c r="AF15" s="9">
        <f>VLOOKUP(A:A,[1]TDSheet!$A:$AF,32,0)</f>
        <v>14</v>
      </c>
      <c r="AG15" s="9">
        <f>VLOOKUP(A:A,[1]TDSheet!$A:$AG,33,0)</f>
        <v>70</v>
      </c>
      <c r="AH15" s="9">
        <f t="shared" ref="AH15:AH73" si="9">AD15/AG15</f>
        <v>0.2</v>
      </c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</row>
    <row r="16" spans="1:118" ht="11.1" customHeight="1" x14ac:dyDescent="0.2">
      <c r="A16" s="7" t="s">
        <v>16</v>
      </c>
      <c r="B16" s="7" t="s">
        <v>10</v>
      </c>
      <c r="C16" s="7" t="str">
        <f>VLOOKUP(A:A,[1]TDSheet!$A:$C,3,0)</f>
        <v>P004597</v>
      </c>
      <c r="D16" s="8">
        <v>159</v>
      </c>
      <c r="E16" s="8">
        <v>516</v>
      </c>
      <c r="F16" s="8">
        <v>228</v>
      </c>
      <c r="G16" s="8">
        <v>433</v>
      </c>
      <c r="H16" s="25">
        <f>VLOOKUP(A:A,[1]TDSheet!$A:$H,8,0)</f>
        <v>0.28000000000000003</v>
      </c>
      <c r="I16" s="9">
        <f>VLOOKUP(A:A,[1]TDSheet!$A:$I,9,0)</f>
        <v>180</v>
      </c>
      <c r="J16" s="9" t="str">
        <f>VLOOKUP(A:A,[1]TDSheet!$A:$J,10,0)</f>
        <v>матрица</v>
      </c>
      <c r="K16" s="9"/>
      <c r="L16" s="9">
        <f>VLOOKUP(A:A,[2]TDSheet!$A:$B,2,0)</f>
        <v>248</v>
      </c>
      <c r="M16" s="9">
        <f t="shared" si="2"/>
        <v>-20</v>
      </c>
      <c r="N16" s="9"/>
      <c r="O16" s="9"/>
      <c r="P16" s="9">
        <f>VLOOKUP(A:A,[1]TDSheet!$A:$R,18,0)</f>
        <v>0</v>
      </c>
      <c r="Q16" s="9">
        <f t="shared" si="3"/>
        <v>45.6</v>
      </c>
      <c r="R16" s="26">
        <v>300</v>
      </c>
      <c r="S16" s="26"/>
      <c r="T16" s="9">
        <f>VLOOKUP(A:A,[3]TDSheet!$A:$T,20,0)</f>
        <v>0</v>
      </c>
      <c r="U16" s="9">
        <f t="shared" si="4"/>
        <v>16.07456140350877</v>
      </c>
      <c r="V16" s="9">
        <f t="shared" si="5"/>
        <v>9.4956140350877192</v>
      </c>
      <c r="W16" s="9">
        <f>VLOOKUP(A:A,[1]TDSheet!$A:$X,24,0)</f>
        <v>40.6</v>
      </c>
      <c r="X16" s="9">
        <f>VLOOKUP(A:A,[1]TDSheet!$A:$Y,25,0)</f>
        <v>30.4</v>
      </c>
      <c r="Y16" s="9">
        <f>VLOOKUP(A:A,[1]TDSheet!$A:$Z,26,0)</f>
        <v>49</v>
      </c>
      <c r="Z16" s="9">
        <f>VLOOKUP(A:A,[1]TDSheet!$A:$Q,17,0)</f>
        <v>25.8</v>
      </c>
      <c r="AA16" s="9">
        <f>VLOOKUP(A:A,[1]TDSheet!$A:$AA,27,0)</f>
        <v>0</v>
      </c>
      <c r="AB16" s="9">
        <f t="shared" si="6"/>
        <v>84.000000000000014</v>
      </c>
      <c r="AC16" s="9">
        <f>VLOOKUP(A:A,[1]TDSheet!$A:$AC,29,0)</f>
        <v>6</v>
      </c>
      <c r="AD16" s="9">
        <f t="shared" si="8"/>
        <v>56</v>
      </c>
      <c r="AE16" s="9">
        <f t="shared" si="7"/>
        <v>94.080000000000013</v>
      </c>
      <c r="AF16" s="9">
        <f>VLOOKUP(A:A,[1]TDSheet!$A:$AF,32,0)</f>
        <v>14</v>
      </c>
      <c r="AG16" s="9">
        <f>VLOOKUP(A:A,[1]TDSheet!$A:$AG,33,0)</f>
        <v>140</v>
      </c>
      <c r="AH16" s="9">
        <f t="shared" si="9"/>
        <v>0.4</v>
      </c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</row>
    <row r="17" spans="1:118" ht="11.1" customHeight="1" x14ac:dyDescent="0.2">
      <c r="A17" s="7" t="s">
        <v>17</v>
      </c>
      <c r="B17" s="7" t="s">
        <v>10</v>
      </c>
      <c r="C17" s="7" t="str">
        <f>VLOOKUP(A:A,[1]TDSheet!$A:$C,3,0)</f>
        <v>P004969</v>
      </c>
      <c r="D17" s="8">
        <v>334</v>
      </c>
      <c r="E17" s="8">
        <v>1192</v>
      </c>
      <c r="F17" s="8">
        <v>579</v>
      </c>
      <c r="G17" s="8">
        <v>931</v>
      </c>
      <c r="H17" s="25">
        <f>VLOOKUP(A:A,[1]TDSheet!$A:$H,8,0)</f>
        <v>0.24</v>
      </c>
      <c r="I17" s="9">
        <f>VLOOKUP(A:A,[1]TDSheet!$A:$I,9,0)</f>
        <v>180</v>
      </c>
      <c r="J17" s="9" t="str">
        <f>VLOOKUP(A:A,[1]TDSheet!$A:$J,10,0)</f>
        <v>матрица</v>
      </c>
      <c r="K17" s="9"/>
      <c r="L17" s="9">
        <f>VLOOKUP(A:A,[2]TDSheet!$A:$B,2,0)</f>
        <v>600</v>
      </c>
      <c r="M17" s="9">
        <f t="shared" si="2"/>
        <v>-21</v>
      </c>
      <c r="N17" s="9"/>
      <c r="O17" s="9"/>
      <c r="P17" s="9">
        <f>VLOOKUP(A:A,[1]TDSheet!$A:$R,18,0)</f>
        <v>0</v>
      </c>
      <c r="Q17" s="9">
        <f t="shared" si="3"/>
        <v>115.8</v>
      </c>
      <c r="R17" s="26">
        <v>800</v>
      </c>
      <c r="S17" s="26"/>
      <c r="T17" s="9">
        <f>VLOOKUP(A:A,[3]TDSheet!$A:$T,20,0)</f>
        <v>0</v>
      </c>
      <c r="U17" s="9">
        <f t="shared" si="4"/>
        <v>14.948186528497409</v>
      </c>
      <c r="V17" s="9">
        <f t="shared" si="5"/>
        <v>8.0397236614853202</v>
      </c>
      <c r="W17" s="9">
        <f>VLOOKUP(A:A,[1]TDSheet!$A:$X,24,0)</f>
        <v>79.8</v>
      </c>
      <c r="X17" s="9">
        <f>VLOOKUP(A:A,[1]TDSheet!$A:$Y,25,0)</f>
        <v>89</v>
      </c>
      <c r="Y17" s="9">
        <f>VLOOKUP(A:A,[1]TDSheet!$A:$Z,26,0)</f>
        <v>91.4</v>
      </c>
      <c r="Z17" s="9">
        <f>VLOOKUP(A:A,[1]TDSheet!$A:$Q,17,0)</f>
        <v>91</v>
      </c>
      <c r="AA17" s="9">
        <f>VLOOKUP(A:A,[1]TDSheet!$A:$AA,27,0)</f>
        <v>0</v>
      </c>
      <c r="AB17" s="9">
        <f t="shared" si="6"/>
        <v>192</v>
      </c>
      <c r="AC17" s="9">
        <f>VLOOKUP(A:A,[1]TDSheet!$A:$AC,29,0)</f>
        <v>12</v>
      </c>
      <c r="AD17" s="9">
        <f t="shared" si="8"/>
        <v>70</v>
      </c>
      <c r="AE17" s="9">
        <f t="shared" si="7"/>
        <v>201.6</v>
      </c>
      <c r="AF17" s="9">
        <f>VLOOKUP(A:A,[1]TDSheet!$A:$AF,32,0)</f>
        <v>14</v>
      </c>
      <c r="AG17" s="9">
        <f>VLOOKUP(A:A,[1]TDSheet!$A:$AG,33,0)</f>
        <v>70</v>
      </c>
      <c r="AH17" s="9">
        <f t="shared" si="9"/>
        <v>1</v>
      </c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</row>
    <row r="18" spans="1:118" ht="11.1" customHeight="1" x14ac:dyDescent="0.2">
      <c r="A18" s="7" t="s">
        <v>18</v>
      </c>
      <c r="B18" s="7" t="s">
        <v>10</v>
      </c>
      <c r="C18" s="7" t="str">
        <f>VLOOKUP(A:A,[1]TDSheet!$A:$C,3,0)</f>
        <v>P004971</v>
      </c>
      <c r="D18" s="8">
        <v>667</v>
      </c>
      <c r="E18" s="8">
        <v>2194</v>
      </c>
      <c r="F18" s="8">
        <v>1442</v>
      </c>
      <c r="G18" s="8">
        <v>1410</v>
      </c>
      <c r="H18" s="25">
        <f>VLOOKUP(A:A,[1]TDSheet!$A:$H,8,0)</f>
        <v>0.24</v>
      </c>
      <c r="I18" s="9">
        <f>VLOOKUP(A:A,[1]TDSheet!$A:$I,9,0)</f>
        <v>180</v>
      </c>
      <c r="J18" s="9" t="str">
        <f>VLOOKUP(A:A,[1]TDSheet!$A:$J,10,0)</f>
        <v>матрица</v>
      </c>
      <c r="K18" s="9"/>
      <c r="L18" s="9">
        <f>VLOOKUP(A:A,[2]TDSheet!$A:$B,2,0)</f>
        <v>1459</v>
      </c>
      <c r="M18" s="9">
        <f t="shared" si="2"/>
        <v>-17</v>
      </c>
      <c r="N18" s="9"/>
      <c r="O18" s="9"/>
      <c r="P18" s="9">
        <f>VLOOKUP(A:A,[1]TDSheet!$A:$R,18,0)</f>
        <v>0</v>
      </c>
      <c r="Q18" s="9">
        <f t="shared" si="3"/>
        <v>288.39999999999998</v>
      </c>
      <c r="R18" s="26">
        <v>1700</v>
      </c>
      <c r="S18" s="26">
        <f>VLOOKUP(A:A,[3]TDSheet!$A:$S,19,0)</f>
        <v>1700</v>
      </c>
      <c r="T18" s="9" t="str">
        <f>VLOOKUP(A:A,[3]TDSheet!$A:$T,20,0)</f>
        <v xml:space="preserve">урезаем </v>
      </c>
      <c r="U18" s="9">
        <f t="shared" si="4"/>
        <v>10.783633841886269</v>
      </c>
      <c r="V18" s="9">
        <f t="shared" si="5"/>
        <v>4.8890429958391124</v>
      </c>
      <c r="W18" s="9">
        <f>VLOOKUP(A:A,[1]TDSheet!$A:$X,24,0)</f>
        <v>122</v>
      </c>
      <c r="X18" s="9">
        <f>VLOOKUP(A:A,[1]TDSheet!$A:$Y,25,0)</f>
        <v>150</v>
      </c>
      <c r="Y18" s="9">
        <f>VLOOKUP(A:A,[1]TDSheet!$A:$Z,26,0)</f>
        <v>156.6</v>
      </c>
      <c r="Z18" s="9">
        <f>VLOOKUP(A:A,[1]TDSheet!$A:$Q,17,0)</f>
        <v>131</v>
      </c>
      <c r="AA18" s="9">
        <f>VLOOKUP(A:A,[1]TDSheet!$A:$AA,27,0)</f>
        <v>0</v>
      </c>
      <c r="AB18" s="9">
        <f t="shared" si="6"/>
        <v>408</v>
      </c>
      <c r="AC18" s="9">
        <f>VLOOKUP(A:A,[1]TDSheet!$A:$AC,29,0)</f>
        <v>12</v>
      </c>
      <c r="AD18" s="9">
        <f t="shared" si="8"/>
        <v>140</v>
      </c>
      <c r="AE18" s="9">
        <f t="shared" si="7"/>
        <v>403.2</v>
      </c>
      <c r="AF18" s="9">
        <f>VLOOKUP(A:A,[1]TDSheet!$A:$AF,32,0)</f>
        <v>14</v>
      </c>
      <c r="AG18" s="9">
        <f>VLOOKUP(A:A,[1]TDSheet!$A:$AG,33,0)</f>
        <v>70</v>
      </c>
      <c r="AH18" s="9">
        <f t="shared" si="9"/>
        <v>2</v>
      </c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</row>
    <row r="19" spans="1:118" ht="11.1" customHeight="1" x14ac:dyDescent="0.2">
      <c r="A19" s="7" t="s">
        <v>19</v>
      </c>
      <c r="B19" s="7" t="s">
        <v>10</v>
      </c>
      <c r="C19" s="7" t="str">
        <f>VLOOKUP(A:A,[1]TDSheet!$A:$C,3,0)</f>
        <v>P004974</v>
      </c>
      <c r="D19" s="8">
        <v>309</v>
      </c>
      <c r="E19" s="8">
        <v>1029</v>
      </c>
      <c r="F19" s="8">
        <v>477</v>
      </c>
      <c r="G19" s="8">
        <v>848</v>
      </c>
      <c r="H19" s="25">
        <f>VLOOKUP(A:A,[1]TDSheet!$A:$H,8,0)</f>
        <v>0.24</v>
      </c>
      <c r="I19" s="9">
        <f>VLOOKUP(A:A,[1]TDSheet!$A:$I,9,0)</f>
        <v>180</v>
      </c>
      <c r="J19" s="9" t="str">
        <f>VLOOKUP(A:A,[1]TDSheet!$A:$J,10,0)</f>
        <v>матрица</v>
      </c>
      <c r="K19" s="9"/>
      <c r="L19" s="9">
        <f>VLOOKUP(A:A,[2]TDSheet!$A:$B,2,0)</f>
        <v>495</v>
      </c>
      <c r="M19" s="9">
        <f t="shared" si="2"/>
        <v>-18</v>
      </c>
      <c r="N19" s="9"/>
      <c r="O19" s="9"/>
      <c r="P19" s="9">
        <f>VLOOKUP(A:A,[1]TDSheet!$A:$R,18,0)</f>
        <v>0</v>
      </c>
      <c r="Q19" s="9">
        <f t="shared" si="3"/>
        <v>95.4</v>
      </c>
      <c r="R19" s="26">
        <v>600</v>
      </c>
      <c r="S19" s="26"/>
      <c r="T19" s="9">
        <f>VLOOKUP(A:A,[3]TDSheet!$A:$T,20,0)</f>
        <v>0</v>
      </c>
      <c r="U19" s="9">
        <f t="shared" si="4"/>
        <v>15.178197064989517</v>
      </c>
      <c r="V19" s="9">
        <f t="shared" si="5"/>
        <v>8.8888888888888875</v>
      </c>
      <c r="W19" s="9">
        <f>VLOOKUP(A:A,[1]TDSheet!$A:$X,24,0)</f>
        <v>110.6</v>
      </c>
      <c r="X19" s="9">
        <f>VLOOKUP(A:A,[1]TDSheet!$A:$Y,25,0)</f>
        <v>78.2</v>
      </c>
      <c r="Y19" s="9">
        <f>VLOOKUP(A:A,[1]TDSheet!$A:$Z,26,0)</f>
        <v>103.2</v>
      </c>
      <c r="Z19" s="9">
        <f>VLOOKUP(A:A,[1]TDSheet!$A:$Q,17,0)</f>
        <v>88.4</v>
      </c>
      <c r="AA19" s="9">
        <f>VLOOKUP(A:A,[1]TDSheet!$A:$AA,27,0)</f>
        <v>0</v>
      </c>
      <c r="AB19" s="9">
        <f t="shared" si="6"/>
        <v>144</v>
      </c>
      <c r="AC19" s="9">
        <f>VLOOKUP(A:A,[1]TDSheet!$A:$AC,29,0)</f>
        <v>12</v>
      </c>
      <c r="AD19" s="9">
        <f t="shared" si="8"/>
        <v>56</v>
      </c>
      <c r="AE19" s="9">
        <f t="shared" si="7"/>
        <v>161.28</v>
      </c>
      <c r="AF19" s="9">
        <f>VLOOKUP(A:A,[1]TDSheet!$A:$AF,32,0)</f>
        <v>14</v>
      </c>
      <c r="AG19" s="9">
        <f>VLOOKUP(A:A,[1]TDSheet!$A:$AG,33,0)</f>
        <v>70</v>
      </c>
      <c r="AH19" s="9">
        <f t="shared" si="9"/>
        <v>0.8</v>
      </c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</row>
    <row r="20" spans="1:118" ht="11.1" customHeight="1" x14ac:dyDescent="0.2">
      <c r="A20" s="31" t="s">
        <v>20</v>
      </c>
      <c r="B20" s="31" t="s">
        <v>10</v>
      </c>
      <c r="C20" s="31" t="str">
        <f>VLOOKUP(A:A,[1]TDSheet!$A:$C,3,0)</f>
        <v>P004966</v>
      </c>
      <c r="D20" s="32">
        <v>243</v>
      </c>
      <c r="E20" s="32">
        <v>2489</v>
      </c>
      <c r="F20" s="32">
        <v>677</v>
      </c>
      <c r="G20" s="32">
        <v>1280</v>
      </c>
      <c r="H20" s="33">
        <f>VLOOKUP(A:A,[1]TDSheet!$A:$H,8,0)</f>
        <v>0.24</v>
      </c>
      <c r="I20" s="34">
        <f>VLOOKUP(A:A,[1]TDSheet!$A:$I,9,0)</f>
        <v>180</v>
      </c>
      <c r="J20" s="34" t="str">
        <f>VLOOKUP(A:A,[1]TDSheet!$A:$J,10,0)</f>
        <v>матрица</v>
      </c>
      <c r="K20" s="9"/>
      <c r="L20" s="9">
        <f>VLOOKUP(A:A,[2]TDSheet!$A:$B,2,0)</f>
        <v>510</v>
      </c>
      <c r="M20" s="9">
        <f t="shared" si="2"/>
        <v>167</v>
      </c>
      <c r="N20" s="9"/>
      <c r="O20" s="9"/>
      <c r="P20" s="9">
        <f>VLOOKUP(A:A,[1]TDSheet!$A:$R,18,0)</f>
        <v>0</v>
      </c>
      <c r="Q20" s="9">
        <f t="shared" si="3"/>
        <v>135.4</v>
      </c>
      <c r="R20" s="26">
        <v>800</v>
      </c>
      <c r="S20" s="26"/>
      <c r="T20" s="9">
        <f>VLOOKUP(A:A,[3]TDSheet!$A:$T,20,0)</f>
        <v>0</v>
      </c>
      <c r="U20" s="9">
        <f t="shared" si="4"/>
        <v>15.361890694239291</v>
      </c>
      <c r="V20" s="9">
        <f t="shared" si="5"/>
        <v>9.4534711964549487</v>
      </c>
      <c r="W20" s="9">
        <f>VLOOKUP(A:A,[1]TDSheet!$A:$X,24,0)</f>
        <v>113.8</v>
      </c>
      <c r="X20" s="9">
        <f>VLOOKUP(A:A,[1]TDSheet!$A:$Y,25,0)</f>
        <v>99.2</v>
      </c>
      <c r="Y20" s="9">
        <f>VLOOKUP(A:A,[1]TDSheet!$A:$Z,26,0)</f>
        <v>128</v>
      </c>
      <c r="Z20" s="9">
        <f>VLOOKUP(A:A,[1]TDSheet!$A:$Q,17,0)</f>
        <v>98.2</v>
      </c>
      <c r="AA20" s="9">
        <f>VLOOKUP(A:A,[1]TDSheet!$A:$AA,27,0)</f>
        <v>0</v>
      </c>
      <c r="AB20" s="9">
        <f t="shared" si="6"/>
        <v>192</v>
      </c>
      <c r="AC20" s="9">
        <f>VLOOKUP(A:A,[1]TDSheet!$A:$AC,29,0)</f>
        <v>12</v>
      </c>
      <c r="AD20" s="9">
        <f t="shared" si="8"/>
        <v>70</v>
      </c>
      <c r="AE20" s="9">
        <f t="shared" si="7"/>
        <v>201.6</v>
      </c>
      <c r="AF20" s="9">
        <f>VLOOKUP(A:A,[1]TDSheet!$A:$AF,32,0)</f>
        <v>14</v>
      </c>
      <c r="AG20" s="9">
        <f>VLOOKUP(A:A,[1]TDSheet!$A:$AG,33,0)</f>
        <v>70</v>
      </c>
      <c r="AH20" s="34">
        <f t="shared" si="9"/>
        <v>1</v>
      </c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</row>
    <row r="21" spans="1:118" ht="11.1" customHeight="1" x14ac:dyDescent="0.2">
      <c r="A21" s="7" t="s">
        <v>21</v>
      </c>
      <c r="B21" s="7" t="s">
        <v>10</v>
      </c>
      <c r="C21" s="7" t="str">
        <f>VLOOKUP(A:A,[1]TDSheet!$A:$C,3,0)</f>
        <v>P004595</v>
      </c>
      <c r="D21" s="8">
        <v>299</v>
      </c>
      <c r="E21" s="8">
        <v>129</v>
      </c>
      <c r="F21" s="8">
        <v>525</v>
      </c>
      <c r="G21" s="8">
        <v>-119</v>
      </c>
      <c r="H21" s="25">
        <f>VLOOKUP(A:A,[1]TDSheet!$A:$H,8,0)</f>
        <v>0.48</v>
      </c>
      <c r="I21" s="9">
        <f>VLOOKUP(A:A,[1]TDSheet!$A:$I,9,0)</f>
        <v>0</v>
      </c>
      <c r="J21" s="9">
        <f>VLOOKUP(A:A,[1]TDSheet!$A:$J,10,0)</f>
        <v>0</v>
      </c>
      <c r="K21" s="9"/>
      <c r="L21" s="9">
        <f>VLOOKUP(A:A,[2]TDSheet!$A:$B,2,0)</f>
        <v>574</v>
      </c>
      <c r="M21" s="9">
        <f t="shared" si="2"/>
        <v>-49</v>
      </c>
      <c r="N21" s="9"/>
      <c r="O21" s="9"/>
      <c r="P21" s="9">
        <f>VLOOKUP(A:A,[1]TDSheet!$A:$R,18,0)</f>
        <v>240</v>
      </c>
      <c r="Q21" s="9">
        <f t="shared" si="3"/>
        <v>105</v>
      </c>
      <c r="R21" s="26">
        <v>1500</v>
      </c>
      <c r="S21" s="26"/>
      <c r="T21" s="9">
        <f>VLOOKUP(A:A,[3]TDSheet!$A:$T,20,0)</f>
        <v>0</v>
      </c>
      <c r="U21" s="9">
        <f t="shared" si="4"/>
        <v>15.438095238095238</v>
      </c>
      <c r="V21" s="9">
        <f t="shared" si="5"/>
        <v>-1.1333333333333333</v>
      </c>
      <c r="W21" s="9">
        <f>VLOOKUP(A:A,[1]TDSheet!$A:$X,24,0)</f>
        <v>63.4</v>
      </c>
      <c r="X21" s="9">
        <f>VLOOKUP(A:A,[1]TDSheet!$A:$Y,25,0)</f>
        <v>24.6</v>
      </c>
      <c r="Y21" s="9">
        <f>VLOOKUP(A:A,[1]TDSheet!$A:$Z,26,0)</f>
        <v>45.8</v>
      </c>
      <c r="Z21" s="9">
        <f>VLOOKUP(A:A,[1]TDSheet!$A:$Q,17,0)</f>
        <v>51.6</v>
      </c>
      <c r="AA21" s="9">
        <f>VLOOKUP(A:A,[1]TDSheet!$A:$AA,27,0)</f>
        <v>0</v>
      </c>
      <c r="AB21" s="9">
        <f t="shared" si="6"/>
        <v>720</v>
      </c>
      <c r="AC21" s="9">
        <f>VLOOKUP(A:A,[1]TDSheet!$A:$AC,29,0)</f>
        <v>8</v>
      </c>
      <c r="AD21" s="9">
        <f t="shared" si="8"/>
        <v>182</v>
      </c>
      <c r="AE21" s="9">
        <f t="shared" si="7"/>
        <v>698.88</v>
      </c>
      <c r="AF21" s="9">
        <f>VLOOKUP(A:A,[1]TDSheet!$A:$AF,32,0)</f>
        <v>14</v>
      </c>
      <c r="AG21" s="9">
        <f>VLOOKUP(A:A,[1]TDSheet!$A:$AG,33,0)</f>
        <v>70</v>
      </c>
      <c r="AH21" s="9">
        <f t="shared" si="9"/>
        <v>2.6</v>
      </c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</row>
    <row r="22" spans="1:118" ht="11.1" customHeight="1" x14ac:dyDescent="0.2">
      <c r="A22" s="7" t="s">
        <v>22</v>
      </c>
      <c r="B22" s="7" t="s">
        <v>10</v>
      </c>
      <c r="C22" s="7" t="str">
        <f>VLOOKUP(A:A,[1]TDSheet!$A:$C,3,0)</f>
        <v>P004138</v>
      </c>
      <c r="D22" s="8">
        <v>63</v>
      </c>
      <c r="E22" s="8">
        <v>1705</v>
      </c>
      <c r="F22" s="8">
        <v>542</v>
      </c>
      <c r="G22" s="8">
        <v>1190</v>
      </c>
      <c r="H22" s="25">
        <f>VLOOKUP(A:A,[1]TDSheet!$A:$H,8,0)</f>
        <v>0.09</v>
      </c>
      <c r="I22" s="9">
        <f>VLOOKUP(A:A,[1]TDSheet!$A:$I,9,0)</f>
        <v>180</v>
      </c>
      <c r="J22" s="9" t="str">
        <f>VLOOKUP(A:A,[1]TDSheet!$A:$J,10,0)</f>
        <v>матрица</v>
      </c>
      <c r="K22" s="9"/>
      <c r="L22" s="9">
        <f>VLOOKUP(A:A,[2]TDSheet!$A:$B,2,0)</f>
        <v>580</v>
      </c>
      <c r="M22" s="9">
        <f t="shared" si="2"/>
        <v>-38</v>
      </c>
      <c r="N22" s="9"/>
      <c r="O22" s="9"/>
      <c r="P22" s="9">
        <f>VLOOKUP(A:A,[1]TDSheet!$A:$R,18,0)</f>
        <v>0</v>
      </c>
      <c r="Q22" s="9">
        <f t="shared" si="3"/>
        <v>108.4</v>
      </c>
      <c r="R22" s="26">
        <v>400</v>
      </c>
      <c r="S22" s="26"/>
      <c r="T22" s="9">
        <f>VLOOKUP(A:A,[3]TDSheet!$A:$T,20,0)</f>
        <v>0</v>
      </c>
      <c r="U22" s="9">
        <f t="shared" si="4"/>
        <v>14.667896678966789</v>
      </c>
      <c r="V22" s="9">
        <f t="shared" si="5"/>
        <v>10.977859778597786</v>
      </c>
      <c r="W22" s="9">
        <f>VLOOKUP(A:A,[1]TDSheet!$A:$X,24,0)</f>
        <v>117.6</v>
      </c>
      <c r="X22" s="9">
        <f>VLOOKUP(A:A,[1]TDSheet!$A:$Y,25,0)</f>
        <v>86.8</v>
      </c>
      <c r="Y22" s="9">
        <f>VLOOKUP(A:A,[1]TDSheet!$A:$Z,26,0)</f>
        <v>140.19999999999999</v>
      </c>
      <c r="Z22" s="9">
        <f>VLOOKUP(A:A,[1]TDSheet!$A:$Q,17,0)</f>
        <v>84</v>
      </c>
      <c r="AA22" s="9">
        <f>VLOOKUP(A:A,[1]TDSheet!$A:$AA,27,0)</f>
        <v>0</v>
      </c>
      <c r="AB22" s="9">
        <f t="shared" si="6"/>
        <v>36</v>
      </c>
      <c r="AC22" s="9">
        <f>VLOOKUP(A:A,[1]TDSheet!$A:$AC,29,0)</f>
        <v>24</v>
      </c>
      <c r="AD22" s="9">
        <f t="shared" si="8"/>
        <v>14</v>
      </c>
      <c r="AE22" s="9">
        <f t="shared" si="7"/>
        <v>30.24</v>
      </c>
      <c r="AF22" s="9">
        <f>VLOOKUP(A:A,[1]TDSheet!$A:$AF,32,0)</f>
        <v>14</v>
      </c>
      <c r="AG22" s="9">
        <f>VLOOKUP(A:A,[1]TDSheet!$A:$AG,33,0)</f>
        <v>126</v>
      </c>
      <c r="AH22" s="9">
        <f t="shared" si="9"/>
        <v>0.1111111111111111</v>
      </c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</row>
    <row r="23" spans="1:118" ht="21.95" customHeight="1" x14ac:dyDescent="0.2">
      <c r="A23" s="7" t="s">
        <v>23</v>
      </c>
      <c r="B23" s="7" t="s">
        <v>10</v>
      </c>
      <c r="C23" s="7" t="str">
        <f>VLOOKUP(A:A,[1]TDSheet!$A:$C,3,0)</f>
        <v>P004583</v>
      </c>
      <c r="D23" s="8">
        <v>234</v>
      </c>
      <c r="E23" s="8">
        <v>140</v>
      </c>
      <c r="F23" s="8">
        <v>142</v>
      </c>
      <c r="G23" s="8">
        <v>229</v>
      </c>
      <c r="H23" s="25">
        <f>VLOOKUP(A:A,[1]TDSheet!$A:$H,8,0)</f>
        <v>0.36</v>
      </c>
      <c r="I23" s="9">
        <f>VLOOKUP(A:A,[1]TDSheet!$A:$I,9,0)</f>
        <v>180</v>
      </c>
      <c r="J23" s="9" t="str">
        <f>VLOOKUP(A:A,[1]TDSheet!$A:$J,10,0)</f>
        <v>матрица</v>
      </c>
      <c r="K23" s="9"/>
      <c r="L23" s="9">
        <f>VLOOKUP(A:A,[2]TDSheet!$A:$B,2,0)</f>
        <v>151</v>
      </c>
      <c r="M23" s="9">
        <f t="shared" si="2"/>
        <v>-9</v>
      </c>
      <c r="N23" s="9"/>
      <c r="O23" s="9"/>
      <c r="P23" s="9">
        <f>VLOOKUP(A:A,[1]TDSheet!$A:$R,18,0)</f>
        <v>0</v>
      </c>
      <c r="Q23" s="9">
        <f t="shared" si="3"/>
        <v>28.4</v>
      </c>
      <c r="R23" s="26">
        <v>160</v>
      </c>
      <c r="S23" s="26"/>
      <c r="T23" s="9">
        <f>VLOOKUP(A:A,[3]TDSheet!$A:$T,20,0)</f>
        <v>0</v>
      </c>
      <c r="U23" s="9">
        <f t="shared" si="4"/>
        <v>13.69718309859155</v>
      </c>
      <c r="V23" s="9">
        <f t="shared" si="5"/>
        <v>8.0633802816901419</v>
      </c>
      <c r="W23" s="9">
        <f>VLOOKUP(A:A,[1]TDSheet!$A:$X,24,0)</f>
        <v>26.2</v>
      </c>
      <c r="X23" s="9">
        <f>VLOOKUP(A:A,[1]TDSheet!$A:$Y,25,0)</f>
        <v>22</v>
      </c>
      <c r="Y23" s="9">
        <f>VLOOKUP(A:A,[1]TDSheet!$A:$Z,26,0)</f>
        <v>20.399999999999999</v>
      </c>
      <c r="Z23" s="9">
        <f>VLOOKUP(A:A,[1]TDSheet!$A:$Q,17,0)</f>
        <v>15.2</v>
      </c>
      <c r="AA23" s="9">
        <f>VLOOKUP(A:A,[1]TDSheet!$A:$AA,27,0)</f>
        <v>0</v>
      </c>
      <c r="AB23" s="9">
        <f t="shared" si="6"/>
        <v>57.599999999999994</v>
      </c>
      <c r="AC23" s="9">
        <f>VLOOKUP(A:A,[1]TDSheet!$A:$AC,29,0)</f>
        <v>10</v>
      </c>
      <c r="AD23" s="9">
        <f t="shared" si="8"/>
        <v>14</v>
      </c>
      <c r="AE23" s="9">
        <f t="shared" si="7"/>
        <v>50.4</v>
      </c>
      <c r="AF23" s="9">
        <f>VLOOKUP(A:A,[1]TDSheet!$A:$AF,32,0)</f>
        <v>14</v>
      </c>
      <c r="AG23" s="9">
        <f>VLOOKUP(A:A,[1]TDSheet!$A:$AG,33,0)</f>
        <v>70</v>
      </c>
      <c r="AH23" s="9">
        <f t="shared" si="9"/>
        <v>0.2</v>
      </c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</row>
    <row r="24" spans="1:118" ht="21.95" customHeight="1" x14ac:dyDescent="0.2">
      <c r="A24" s="7" t="s">
        <v>24</v>
      </c>
      <c r="B24" s="7" t="s">
        <v>10</v>
      </c>
      <c r="C24" s="7">
        <v>0</v>
      </c>
      <c r="D24" s="8">
        <v>-82</v>
      </c>
      <c r="E24" s="8">
        <v>106</v>
      </c>
      <c r="F24" s="8">
        <v>20</v>
      </c>
      <c r="G24" s="8">
        <v>-2</v>
      </c>
      <c r="H24" s="25">
        <v>0</v>
      </c>
      <c r="I24" s="9" t="e">
        <f>VLOOKUP(A:A,[1]TDSheet!$A:$I,9,0)</f>
        <v>#N/A</v>
      </c>
      <c r="J24" s="9" t="e">
        <f>VLOOKUP(A:A,[1]TDSheet!$A:$J,10,0)</f>
        <v>#N/A</v>
      </c>
      <c r="K24" s="9"/>
      <c r="L24" s="9">
        <f>VLOOKUP(A:A,[2]TDSheet!$A:$B,2,0)</f>
        <v>27</v>
      </c>
      <c r="M24" s="9">
        <f t="shared" si="2"/>
        <v>-7</v>
      </c>
      <c r="N24" s="9"/>
      <c r="O24" s="9"/>
      <c r="P24" s="9">
        <v>0</v>
      </c>
      <c r="Q24" s="9">
        <f t="shared" si="3"/>
        <v>4</v>
      </c>
      <c r="R24" s="26">
        <v>100</v>
      </c>
      <c r="S24" s="26">
        <f>VLOOKUP(A:A,[3]TDSheet!$A:$S,19,0)</f>
        <v>100</v>
      </c>
      <c r="T24" s="9">
        <f>VLOOKUP(A:A,[3]TDSheet!$A:$T,20,0)</f>
        <v>0</v>
      </c>
      <c r="U24" s="9">
        <f t="shared" si="4"/>
        <v>24.5</v>
      </c>
      <c r="V24" s="9">
        <f t="shared" si="5"/>
        <v>-0.5</v>
      </c>
      <c r="W24" s="9">
        <v>0</v>
      </c>
      <c r="X24" s="9">
        <v>0</v>
      </c>
      <c r="Y24" s="9">
        <v>0</v>
      </c>
      <c r="Z24" s="9">
        <v>0</v>
      </c>
      <c r="AA24" s="9" t="e">
        <f>VLOOKUP(A:A,[1]TDSheet!$A:$AA,27,0)</f>
        <v>#N/A</v>
      </c>
      <c r="AB24" s="9">
        <f t="shared" si="6"/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</row>
    <row r="25" spans="1:118" ht="11.1" customHeight="1" x14ac:dyDescent="0.2">
      <c r="A25" s="7" t="s">
        <v>25</v>
      </c>
      <c r="B25" s="7" t="s">
        <v>10</v>
      </c>
      <c r="C25" s="7" t="str">
        <f>VLOOKUP(A:A,[1]TDSheet!$A:$C,3,0)</f>
        <v>P005129</v>
      </c>
      <c r="D25" s="8">
        <v>519</v>
      </c>
      <c r="E25" s="8">
        <v>64</v>
      </c>
      <c r="F25" s="8">
        <v>221</v>
      </c>
      <c r="G25" s="8">
        <v>193</v>
      </c>
      <c r="H25" s="25">
        <f>VLOOKUP(A:A,[1]TDSheet!$A:$H,8,0)</f>
        <v>0.2</v>
      </c>
      <c r="I25" s="9">
        <f>VLOOKUP(A:A,[1]TDSheet!$A:$I,9,0)</f>
        <v>180</v>
      </c>
      <c r="J25" s="9" t="e">
        <f>VLOOKUP(A:A,[1]TDSheet!$A:$J,10,0)</f>
        <v>#N/A</v>
      </c>
      <c r="K25" s="9"/>
      <c r="L25" s="9">
        <f>VLOOKUP(A:A,[2]TDSheet!$A:$B,2,0)</f>
        <v>221</v>
      </c>
      <c r="M25" s="9">
        <f t="shared" si="2"/>
        <v>0</v>
      </c>
      <c r="N25" s="9"/>
      <c r="O25" s="9"/>
      <c r="P25" s="9">
        <f>VLOOKUP(A:A,[1]TDSheet!$A:$R,18,0)</f>
        <v>0</v>
      </c>
      <c r="Q25" s="9">
        <f t="shared" si="3"/>
        <v>44.2</v>
      </c>
      <c r="R25" s="26">
        <v>480</v>
      </c>
      <c r="S25" s="26"/>
      <c r="T25" s="9">
        <f>VLOOKUP(A:A,[3]TDSheet!$A:$T,20,0)</f>
        <v>0</v>
      </c>
      <c r="U25" s="9">
        <f t="shared" si="4"/>
        <v>15.226244343891402</v>
      </c>
      <c r="V25" s="9">
        <f t="shared" si="5"/>
        <v>4.366515837104072</v>
      </c>
      <c r="W25" s="9">
        <f>VLOOKUP(A:A,[1]TDSheet!$A:$X,24,0)</f>
        <v>30.4</v>
      </c>
      <c r="X25" s="9">
        <f>VLOOKUP(A:A,[1]TDSheet!$A:$Y,25,0)</f>
        <v>12.6</v>
      </c>
      <c r="Y25" s="9">
        <f>VLOOKUP(A:A,[1]TDSheet!$A:$Z,26,0)</f>
        <v>32.6</v>
      </c>
      <c r="Z25" s="9">
        <f>VLOOKUP(A:A,[1]TDSheet!$A:$Q,17,0)</f>
        <v>37</v>
      </c>
      <c r="AA25" s="9" t="e">
        <f>VLOOKUP(A:A,[1]TDSheet!$A:$AA,27,0)</f>
        <v>#N/A</v>
      </c>
      <c r="AB25" s="9">
        <f t="shared" si="6"/>
        <v>96</v>
      </c>
      <c r="AC25" s="9">
        <f>VLOOKUP(A:A,[1]TDSheet!$A:$AC,29,0)</f>
        <v>6</v>
      </c>
      <c r="AD25" s="9">
        <f t="shared" si="8"/>
        <v>84</v>
      </c>
      <c r="AE25" s="9">
        <f t="shared" si="7"/>
        <v>100.80000000000001</v>
      </c>
      <c r="AF25" s="9">
        <f>VLOOKUP(A:A,[1]TDSheet!$A:$AF,32,0)</f>
        <v>12</v>
      </c>
      <c r="AG25" s="9">
        <f>VLOOKUP(A:A,[1]TDSheet!$A:$AG,33,0)</f>
        <v>84</v>
      </c>
      <c r="AH25" s="9">
        <f t="shared" si="9"/>
        <v>1</v>
      </c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</row>
    <row r="26" spans="1:118" ht="21.95" customHeight="1" x14ac:dyDescent="0.2">
      <c r="A26" s="7" t="s">
        <v>26</v>
      </c>
      <c r="B26" s="7" t="s">
        <v>10</v>
      </c>
      <c r="C26" s="7" t="str">
        <f>VLOOKUP(A:A,[1]TDSheet!$A:$C,3,0)</f>
        <v>P004956</v>
      </c>
      <c r="D26" s="8">
        <v>1612</v>
      </c>
      <c r="E26" s="8">
        <v>1404</v>
      </c>
      <c r="F26" s="8">
        <v>1134</v>
      </c>
      <c r="G26" s="8">
        <v>1830</v>
      </c>
      <c r="H26" s="25">
        <f>VLOOKUP(A:A,[1]TDSheet!$A:$H,8,0)</f>
        <v>0.2</v>
      </c>
      <c r="I26" s="9">
        <f>VLOOKUP(A:A,[1]TDSheet!$A:$I,9,0)</f>
        <v>180</v>
      </c>
      <c r="J26" s="9" t="str">
        <f>VLOOKUP(A:A,[1]TDSheet!$A:$J,10,0)</f>
        <v>матрица</v>
      </c>
      <c r="K26" s="9"/>
      <c r="L26" s="9">
        <f>VLOOKUP(A:A,[2]TDSheet!$A:$B,2,0)</f>
        <v>1196</v>
      </c>
      <c r="M26" s="9">
        <f t="shared" si="2"/>
        <v>-62</v>
      </c>
      <c r="N26" s="9"/>
      <c r="O26" s="9"/>
      <c r="P26" s="9">
        <f>VLOOKUP(A:A,[1]TDSheet!$A:$R,18,0)</f>
        <v>0</v>
      </c>
      <c r="Q26" s="9">
        <f t="shared" si="3"/>
        <v>226.8</v>
      </c>
      <c r="R26" s="26">
        <v>1500</v>
      </c>
      <c r="S26" s="26"/>
      <c r="T26" s="9">
        <f>VLOOKUP(A:A,[3]TDSheet!$A:$T,20,0)</f>
        <v>0</v>
      </c>
      <c r="U26" s="9">
        <f t="shared" si="4"/>
        <v>14.682539682539682</v>
      </c>
      <c r="V26" s="9">
        <f t="shared" si="5"/>
        <v>8.0687830687830679</v>
      </c>
      <c r="W26" s="9">
        <f>VLOOKUP(A:A,[1]TDSheet!$A:$X,24,0)</f>
        <v>179.8</v>
      </c>
      <c r="X26" s="9">
        <f>VLOOKUP(A:A,[1]TDSheet!$A:$Y,25,0)</f>
        <v>222</v>
      </c>
      <c r="Y26" s="9">
        <f>VLOOKUP(A:A,[1]TDSheet!$A:$Z,26,0)</f>
        <v>153.6</v>
      </c>
      <c r="Z26" s="9">
        <f>VLOOKUP(A:A,[1]TDSheet!$A:$Q,17,0)</f>
        <v>155.19999999999999</v>
      </c>
      <c r="AA26" s="9">
        <f>VLOOKUP(A:A,[1]TDSheet!$A:$AA,27,0)</f>
        <v>0</v>
      </c>
      <c r="AB26" s="9">
        <f t="shared" si="6"/>
        <v>300</v>
      </c>
      <c r="AC26" s="9">
        <f>VLOOKUP(A:A,[1]TDSheet!$A:$AC,29,0)</f>
        <v>12</v>
      </c>
      <c r="AD26" s="9">
        <f t="shared" si="8"/>
        <v>126</v>
      </c>
      <c r="AE26" s="9">
        <f t="shared" si="7"/>
        <v>302.40000000000003</v>
      </c>
      <c r="AF26" s="9">
        <f>VLOOKUP(A:A,[1]TDSheet!$A:$AF,32,0)</f>
        <v>14</v>
      </c>
      <c r="AG26" s="9">
        <f>VLOOKUP(A:A,[1]TDSheet!$A:$AG,33,0)</f>
        <v>70</v>
      </c>
      <c r="AH26" s="9">
        <f t="shared" si="9"/>
        <v>1.8</v>
      </c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</row>
    <row r="27" spans="1:118" ht="11.1" customHeight="1" x14ac:dyDescent="0.2">
      <c r="A27" s="7" t="s">
        <v>27</v>
      </c>
      <c r="B27" s="7" t="s">
        <v>10</v>
      </c>
      <c r="C27" s="7" t="str">
        <f>VLOOKUP(A:A,[1]TDSheet!$A:$C,3,0)</f>
        <v>P004953</v>
      </c>
      <c r="D27" s="8">
        <v>153</v>
      </c>
      <c r="E27" s="8">
        <v>1146</v>
      </c>
      <c r="F27" s="8">
        <v>367</v>
      </c>
      <c r="G27" s="8">
        <v>804</v>
      </c>
      <c r="H27" s="25">
        <f>VLOOKUP(A:A,[1]TDSheet!$A:$H,8,0)</f>
        <v>0.2</v>
      </c>
      <c r="I27" s="9">
        <f>VLOOKUP(A:A,[1]TDSheet!$A:$I,9,0)</f>
        <v>180</v>
      </c>
      <c r="J27" s="9" t="str">
        <f>VLOOKUP(A:A,[1]TDSheet!$A:$J,10,0)</f>
        <v>матрица</v>
      </c>
      <c r="K27" s="9"/>
      <c r="L27" s="9">
        <f>VLOOKUP(A:A,[2]TDSheet!$A:$B,2,0)</f>
        <v>384</v>
      </c>
      <c r="M27" s="9">
        <f t="shared" si="2"/>
        <v>-17</v>
      </c>
      <c r="N27" s="9"/>
      <c r="O27" s="9"/>
      <c r="P27" s="9">
        <f>VLOOKUP(A:A,[1]TDSheet!$A:$R,18,0)</f>
        <v>0</v>
      </c>
      <c r="Q27" s="9">
        <f t="shared" si="3"/>
        <v>73.400000000000006</v>
      </c>
      <c r="R27" s="26">
        <v>300</v>
      </c>
      <c r="S27" s="26"/>
      <c r="T27" s="9">
        <f>VLOOKUP(A:A,[3]TDSheet!$A:$T,20,0)</f>
        <v>0</v>
      </c>
      <c r="U27" s="9">
        <f t="shared" si="4"/>
        <v>15.040871934604903</v>
      </c>
      <c r="V27" s="9">
        <f t="shared" si="5"/>
        <v>10.95367847411444</v>
      </c>
      <c r="W27" s="9">
        <f>VLOOKUP(A:A,[1]TDSheet!$A:$X,24,0)</f>
        <v>47</v>
      </c>
      <c r="X27" s="9">
        <f>VLOOKUP(A:A,[1]TDSheet!$A:$Y,25,0)</f>
        <v>58.4</v>
      </c>
      <c r="Y27" s="9">
        <f>VLOOKUP(A:A,[1]TDSheet!$A:$Z,26,0)</f>
        <v>63.4</v>
      </c>
      <c r="Z27" s="9">
        <f>VLOOKUP(A:A,[1]TDSheet!$A:$Q,17,0)</f>
        <v>61.4</v>
      </c>
      <c r="AA27" s="9">
        <f>VLOOKUP(A:A,[1]TDSheet!$A:$AA,27,0)</f>
        <v>0</v>
      </c>
      <c r="AB27" s="9">
        <f t="shared" si="6"/>
        <v>60</v>
      </c>
      <c r="AC27" s="9">
        <f>VLOOKUP(A:A,[1]TDSheet!$A:$AC,29,0)</f>
        <v>12</v>
      </c>
      <c r="AD27" s="9">
        <f t="shared" si="8"/>
        <v>28</v>
      </c>
      <c r="AE27" s="9">
        <f t="shared" si="7"/>
        <v>67.2</v>
      </c>
      <c r="AF27" s="9">
        <f>VLOOKUP(A:A,[1]TDSheet!$A:$AF,32,0)</f>
        <v>14</v>
      </c>
      <c r="AG27" s="9">
        <f>VLOOKUP(A:A,[1]TDSheet!$A:$AG,33,0)</f>
        <v>70</v>
      </c>
      <c r="AH27" s="9">
        <f t="shared" si="9"/>
        <v>0.4</v>
      </c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</row>
    <row r="28" spans="1:118" ht="11.1" customHeight="1" x14ac:dyDescent="0.2">
      <c r="A28" s="7" t="s">
        <v>28</v>
      </c>
      <c r="B28" s="7" t="s">
        <v>13</v>
      </c>
      <c r="C28" s="7" t="str">
        <f>VLOOKUP(A:A,[1]TDSheet!$A:$C,3,0)</f>
        <v>P005235</v>
      </c>
      <c r="D28" s="8">
        <v>50</v>
      </c>
      <c r="E28" s="8">
        <v>365</v>
      </c>
      <c r="F28" s="8">
        <v>190</v>
      </c>
      <c r="G28" s="8">
        <v>220</v>
      </c>
      <c r="H28" s="25">
        <f>VLOOKUP(A:A,[1]TDSheet!$A:$H,8,0)</f>
        <v>1</v>
      </c>
      <c r="I28" s="9">
        <f>VLOOKUP(A:A,[1]TDSheet!$A:$I,9,0)</f>
        <v>0</v>
      </c>
      <c r="J28" s="9" t="str">
        <f>VLOOKUP(A:A,[1]TDSheet!$A:$J,10,0)</f>
        <v>не в матрице</v>
      </c>
      <c r="K28" s="9"/>
      <c r="L28" s="9">
        <f>VLOOKUP(A:A,[2]TDSheet!$A:$B,2,0)</f>
        <v>195</v>
      </c>
      <c r="M28" s="9">
        <f t="shared" si="2"/>
        <v>-5</v>
      </c>
      <c r="N28" s="9"/>
      <c r="O28" s="9"/>
      <c r="P28" s="9">
        <f>VLOOKUP(A:A,[1]TDSheet!$A:$R,18,0)</f>
        <v>150</v>
      </c>
      <c r="Q28" s="9">
        <f t="shared" si="3"/>
        <v>38</v>
      </c>
      <c r="R28" s="26">
        <v>220</v>
      </c>
      <c r="S28" s="26">
        <f>VLOOKUP(A:A,[3]TDSheet!$A:$S,19,0)</f>
        <v>220</v>
      </c>
      <c r="T28" s="9">
        <f>VLOOKUP(A:A,[3]TDSheet!$A:$T,20,0)</f>
        <v>0</v>
      </c>
      <c r="U28" s="9">
        <f t="shared" si="4"/>
        <v>15.526315789473685</v>
      </c>
      <c r="V28" s="9">
        <f t="shared" si="5"/>
        <v>5.7894736842105265</v>
      </c>
      <c r="W28" s="9">
        <f>VLOOKUP(A:A,[1]TDSheet!$A:$X,24,0)</f>
        <v>30</v>
      </c>
      <c r="X28" s="9">
        <f>VLOOKUP(A:A,[1]TDSheet!$A:$Y,25,0)</f>
        <v>23</v>
      </c>
      <c r="Y28" s="9">
        <f>VLOOKUP(A:A,[1]TDSheet!$A:$Z,26,0)</f>
        <v>36</v>
      </c>
      <c r="Z28" s="9">
        <f>VLOOKUP(A:A,[1]TDSheet!$A:$Q,17,0)</f>
        <v>41</v>
      </c>
      <c r="AA28" s="9">
        <f>VLOOKUP(A:A,[1]TDSheet!$A:$AA,27,0)</f>
        <v>0</v>
      </c>
      <c r="AB28" s="9">
        <f t="shared" si="6"/>
        <v>220</v>
      </c>
      <c r="AC28" s="9">
        <f>VLOOKUP(A:A,[1]TDSheet!$A:$AC,29,0)</f>
        <v>5</v>
      </c>
      <c r="AD28" s="9">
        <f t="shared" si="8"/>
        <v>48</v>
      </c>
      <c r="AE28" s="9">
        <f t="shared" si="7"/>
        <v>240</v>
      </c>
      <c r="AF28" s="9">
        <f>VLOOKUP(A:A,[1]TDSheet!$A:$AF,32,0)</f>
        <v>12</v>
      </c>
      <c r="AG28" s="9">
        <f>VLOOKUP(A:A,[1]TDSheet!$A:$AG,33,0)</f>
        <v>84</v>
      </c>
      <c r="AH28" s="9">
        <f t="shared" si="9"/>
        <v>0.5714285714285714</v>
      </c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</row>
    <row r="29" spans="1:118" ht="11.1" customHeight="1" x14ac:dyDescent="0.2">
      <c r="A29" s="7" t="s">
        <v>29</v>
      </c>
      <c r="B29" s="7" t="s">
        <v>13</v>
      </c>
      <c r="C29" s="7" t="str">
        <f>VLOOKUP(A:A,[1]TDSheet!$A:$C,3,0)</f>
        <v>P004358</v>
      </c>
      <c r="D29" s="8">
        <v>17.5</v>
      </c>
      <c r="E29" s="8">
        <v>187</v>
      </c>
      <c r="F29" s="8">
        <v>159.5</v>
      </c>
      <c r="G29" s="8">
        <v>-11</v>
      </c>
      <c r="H29" s="25">
        <f>VLOOKUP(A:A,[1]TDSheet!$A:$H,8,0)</f>
        <v>1</v>
      </c>
      <c r="I29" s="9">
        <f>VLOOKUP(A:A,[1]TDSheet!$A:$I,9,0)</f>
        <v>180</v>
      </c>
      <c r="J29" s="9" t="str">
        <f>VLOOKUP(A:A,[1]TDSheet!$A:$J,10,0)</f>
        <v>матрица</v>
      </c>
      <c r="K29" s="9"/>
      <c r="L29" s="9">
        <f>VLOOKUP(A:A,[2]TDSheet!$A:$B,2,0)</f>
        <v>346.5</v>
      </c>
      <c r="M29" s="9">
        <f t="shared" si="2"/>
        <v>-187</v>
      </c>
      <c r="N29" s="9"/>
      <c r="O29" s="9"/>
      <c r="P29" s="9">
        <f>VLOOKUP(A:A,[1]TDSheet!$A:$R,18,0)</f>
        <v>240</v>
      </c>
      <c r="Q29" s="9">
        <f t="shared" si="3"/>
        <v>31.9</v>
      </c>
      <c r="R29" s="26">
        <v>360</v>
      </c>
      <c r="S29" s="26">
        <f>VLOOKUP(A:A,[3]TDSheet!$A:$S,19,0)</f>
        <v>350</v>
      </c>
      <c r="T29" s="9">
        <f>VLOOKUP(A:A,[3]TDSheet!$A:$T,20,0)</f>
        <v>0</v>
      </c>
      <c r="U29" s="9">
        <f t="shared" si="4"/>
        <v>18.463949843260188</v>
      </c>
      <c r="V29" s="9">
        <f t="shared" si="5"/>
        <v>-0.34482758620689657</v>
      </c>
      <c r="W29" s="9">
        <f>VLOOKUP(A:A,[1]TDSheet!$A:$X,24,0)</f>
        <v>14.3</v>
      </c>
      <c r="X29" s="9">
        <f>VLOOKUP(A:A,[1]TDSheet!$A:$Y,25,0)</f>
        <v>6.6</v>
      </c>
      <c r="Y29" s="9">
        <f>VLOOKUP(A:A,[1]TDSheet!$A:$Z,26,0)</f>
        <v>14.1</v>
      </c>
      <c r="Z29" s="9">
        <f>VLOOKUP(A:A,[1]TDSheet!$A:$Q,17,0)</f>
        <v>24.2</v>
      </c>
      <c r="AA29" s="9">
        <f>VLOOKUP(A:A,[1]TDSheet!$A:$AA,27,0)</f>
        <v>0</v>
      </c>
      <c r="AB29" s="9">
        <f t="shared" si="6"/>
        <v>360</v>
      </c>
      <c r="AC29" s="9">
        <f>VLOOKUP(A:A,[1]TDSheet!$A:$AC,29,0)</f>
        <v>5.5</v>
      </c>
      <c r="AD29" s="9">
        <f t="shared" si="8"/>
        <v>60</v>
      </c>
      <c r="AE29" s="9">
        <f t="shared" si="7"/>
        <v>330</v>
      </c>
      <c r="AF29" s="9">
        <f>VLOOKUP(A:A,[1]TDSheet!$A:$AF,32,0)</f>
        <v>12</v>
      </c>
      <c r="AG29" s="9">
        <f>VLOOKUP(A:A,[1]TDSheet!$A:$AG,33,0)</f>
        <v>84</v>
      </c>
      <c r="AH29" s="9">
        <f t="shared" si="9"/>
        <v>0.7142857142857143</v>
      </c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</row>
    <row r="30" spans="1:118" ht="11.1" customHeight="1" x14ac:dyDescent="0.2">
      <c r="A30" s="7" t="s">
        <v>30</v>
      </c>
      <c r="B30" s="7" t="s">
        <v>13</v>
      </c>
      <c r="C30" s="7" t="str">
        <f>VLOOKUP(A:A,[1]TDSheet!$A:$C,3,0)</f>
        <v>P004394</v>
      </c>
      <c r="D30" s="8">
        <v>84</v>
      </c>
      <c r="E30" s="8">
        <v>396</v>
      </c>
      <c r="F30" s="8">
        <v>126</v>
      </c>
      <c r="G30" s="8">
        <v>336</v>
      </c>
      <c r="H30" s="25">
        <f>VLOOKUP(A:A,[1]TDSheet!$A:$H,8,0)</f>
        <v>1</v>
      </c>
      <c r="I30" s="9">
        <f>VLOOKUP(A:A,[1]TDSheet!$A:$I,9,0)</f>
        <v>180</v>
      </c>
      <c r="J30" s="9" t="str">
        <f>VLOOKUP(A:A,[1]TDSheet!$A:$J,10,0)</f>
        <v>матрица</v>
      </c>
      <c r="K30" s="9"/>
      <c r="L30" s="9">
        <f>VLOOKUP(A:A,[2]TDSheet!$A:$B,2,0)</f>
        <v>145</v>
      </c>
      <c r="M30" s="9">
        <f t="shared" si="2"/>
        <v>-19</v>
      </c>
      <c r="N30" s="9"/>
      <c r="O30" s="9"/>
      <c r="P30" s="9">
        <f>VLOOKUP(A:A,[1]TDSheet!$A:$R,18,0)</f>
        <v>0</v>
      </c>
      <c r="Q30" s="9">
        <f t="shared" si="3"/>
        <v>25.2</v>
      </c>
      <c r="R30" s="26">
        <v>100</v>
      </c>
      <c r="S30" s="26">
        <f>VLOOKUP(A:A,[3]TDSheet!$A:$S,19,0)</f>
        <v>100</v>
      </c>
      <c r="T30" s="9">
        <f>VLOOKUP(A:A,[3]TDSheet!$A:$T,20,0)</f>
        <v>0</v>
      </c>
      <c r="U30" s="9">
        <f t="shared" si="4"/>
        <v>17.301587301587301</v>
      </c>
      <c r="V30" s="9">
        <f t="shared" si="5"/>
        <v>13.333333333333334</v>
      </c>
      <c r="W30" s="9">
        <f>VLOOKUP(A:A,[1]TDSheet!$A:$X,24,0)</f>
        <v>17.399999999999999</v>
      </c>
      <c r="X30" s="9">
        <f>VLOOKUP(A:A,[1]TDSheet!$A:$Y,25,0)</f>
        <v>22.2</v>
      </c>
      <c r="Y30" s="9">
        <f>VLOOKUP(A:A,[1]TDSheet!$A:$Z,26,0)</f>
        <v>24</v>
      </c>
      <c r="Z30" s="9">
        <f>VLOOKUP(A:A,[1]TDSheet!$A:$Q,17,0)</f>
        <v>25.2</v>
      </c>
      <c r="AA30" s="9">
        <f>VLOOKUP(A:A,[1]TDSheet!$A:$AA,27,0)</f>
        <v>0</v>
      </c>
      <c r="AB30" s="9">
        <f t="shared" si="6"/>
        <v>100</v>
      </c>
      <c r="AC30" s="9">
        <f>VLOOKUP(A:A,[1]TDSheet!$A:$AC,29,0)</f>
        <v>3</v>
      </c>
      <c r="AD30" s="9">
        <f t="shared" si="8"/>
        <v>28</v>
      </c>
      <c r="AE30" s="9">
        <f t="shared" si="7"/>
        <v>84</v>
      </c>
      <c r="AF30" s="9">
        <f>VLOOKUP(A:A,[1]TDSheet!$A:$AF,32,0)</f>
        <v>14</v>
      </c>
      <c r="AG30" s="9">
        <f>VLOOKUP(A:A,[1]TDSheet!$A:$AG,33,0)</f>
        <v>126</v>
      </c>
      <c r="AH30" s="9">
        <f t="shared" si="9"/>
        <v>0.22222222222222221</v>
      </c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</row>
    <row r="31" spans="1:118" ht="11.1" customHeight="1" x14ac:dyDescent="0.2">
      <c r="A31" s="7" t="s">
        <v>31</v>
      </c>
      <c r="B31" s="7" t="s">
        <v>10</v>
      </c>
      <c r="C31" s="7" t="str">
        <f>VLOOKUP(A:A,[1]TDSheet!$A:$C,3,0)</f>
        <v>P004497</v>
      </c>
      <c r="D31" s="8">
        <v>914</v>
      </c>
      <c r="E31" s="8">
        <v>2363</v>
      </c>
      <c r="F31" s="8">
        <v>906</v>
      </c>
      <c r="G31" s="8">
        <v>2347</v>
      </c>
      <c r="H31" s="25">
        <f>VLOOKUP(A:A,[1]TDSheet!$A:$H,8,0)</f>
        <v>0.25</v>
      </c>
      <c r="I31" s="9">
        <f>VLOOKUP(A:A,[1]TDSheet!$A:$I,9,0)</f>
        <v>365</v>
      </c>
      <c r="J31" s="9" t="str">
        <f>VLOOKUP(A:A,[1]TDSheet!$A:$J,10,0)</f>
        <v>ВНИМАНИЕ / матрица</v>
      </c>
      <c r="K31" s="9"/>
      <c r="L31" s="9">
        <f>VLOOKUP(A:A,[2]TDSheet!$A:$B,2,0)</f>
        <v>944</v>
      </c>
      <c r="M31" s="9">
        <f t="shared" si="2"/>
        <v>-38</v>
      </c>
      <c r="N31" s="9"/>
      <c r="O31" s="9"/>
      <c r="P31" s="9">
        <f>VLOOKUP(A:A,[1]TDSheet!$A:$R,18,0)</f>
        <v>0</v>
      </c>
      <c r="Q31" s="9">
        <f t="shared" si="3"/>
        <v>181.2</v>
      </c>
      <c r="R31" s="26">
        <v>250</v>
      </c>
      <c r="S31" s="26"/>
      <c r="T31" s="9">
        <f>VLOOKUP(A:A,[3]TDSheet!$A:$T,20,0)</f>
        <v>0</v>
      </c>
      <c r="U31" s="9">
        <f t="shared" si="4"/>
        <v>14.332229580573951</v>
      </c>
      <c r="V31" s="9">
        <f t="shared" si="5"/>
        <v>12.952538631346579</v>
      </c>
      <c r="W31" s="9">
        <f>VLOOKUP(A:A,[1]TDSheet!$A:$X,24,0)</f>
        <v>146.6</v>
      </c>
      <c r="X31" s="9">
        <f>VLOOKUP(A:A,[1]TDSheet!$A:$Y,25,0)</f>
        <v>188.6</v>
      </c>
      <c r="Y31" s="9">
        <f>VLOOKUP(A:A,[1]TDSheet!$A:$Z,26,0)</f>
        <v>175.8</v>
      </c>
      <c r="Z31" s="9">
        <f>VLOOKUP(A:A,[1]TDSheet!$A:$Q,17,0)</f>
        <v>168.8</v>
      </c>
      <c r="AA31" s="9">
        <f>VLOOKUP(A:A,[1]TDSheet!$A:$AA,27,0)</f>
        <v>0</v>
      </c>
      <c r="AB31" s="9">
        <f t="shared" si="6"/>
        <v>62.5</v>
      </c>
      <c r="AC31" s="9">
        <f>VLOOKUP(A:A,[1]TDSheet!$A:$AC,29,0)</f>
        <v>12</v>
      </c>
      <c r="AD31" s="9">
        <f t="shared" si="8"/>
        <v>14</v>
      </c>
      <c r="AE31" s="9">
        <f t="shared" si="7"/>
        <v>42</v>
      </c>
      <c r="AF31" s="9">
        <f>VLOOKUP(A:A,[1]TDSheet!$A:$AF,32,0)</f>
        <v>14</v>
      </c>
      <c r="AG31" s="9">
        <f>VLOOKUP(A:A,[1]TDSheet!$A:$AG,33,0)</f>
        <v>70</v>
      </c>
      <c r="AH31" s="9">
        <f t="shared" si="9"/>
        <v>0.2</v>
      </c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</row>
    <row r="32" spans="1:118" ht="21.95" customHeight="1" x14ac:dyDescent="0.2">
      <c r="A32" s="7" t="s">
        <v>32</v>
      </c>
      <c r="B32" s="7" t="s">
        <v>10</v>
      </c>
      <c r="C32" s="7" t="str">
        <f>VLOOKUP(A:A,[1]TDSheet!$A:$C,3,0)</f>
        <v>P004600</v>
      </c>
      <c r="D32" s="8">
        <v>337</v>
      </c>
      <c r="E32" s="8">
        <v>1034</v>
      </c>
      <c r="F32" s="8">
        <v>480</v>
      </c>
      <c r="G32" s="8">
        <v>868</v>
      </c>
      <c r="H32" s="25">
        <f>VLOOKUP(A:A,[1]TDSheet!$A:$H,8,0)</f>
        <v>0.25</v>
      </c>
      <c r="I32" s="9">
        <f>VLOOKUP(A:A,[1]TDSheet!$A:$I,9,0)</f>
        <v>180</v>
      </c>
      <c r="J32" s="9" t="str">
        <f>VLOOKUP(A:A,[1]TDSheet!$A:$J,10,0)</f>
        <v>матрица</v>
      </c>
      <c r="K32" s="9"/>
      <c r="L32" s="9">
        <f>VLOOKUP(A:A,[2]TDSheet!$A:$B,2,0)</f>
        <v>503</v>
      </c>
      <c r="M32" s="9">
        <f t="shared" si="2"/>
        <v>-23</v>
      </c>
      <c r="N32" s="9"/>
      <c r="O32" s="9"/>
      <c r="P32" s="9">
        <f>VLOOKUP(A:A,[1]TDSheet!$A:$R,18,0)</f>
        <v>0</v>
      </c>
      <c r="Q32" s="9">
        <f t="shared" si="3"/>
        <v>96</v>
      </c>
      <c r="R32" s="26">
        <v>560</v>
      </c>
      <c r="S32" s="26"/>
      <c r="T32" s="9">
        <f>VLOOKUP(A:A,[3]TDSheet!$A:$T,20,0)</f>
        <v>0</v>
      </c>
      <c r="U32" s="9">
        <f t="shared" si="4"/>
        <v>14.875</v>
      </c>
      <c r="V32" s="9">
        <f t="shared" si="5"/>
        <v>9.0416666666666661</v>
      </c>
      <c r="W32" s="9">
        <f>VLOOKUP(A:A,[1]TDSheet!$A:$X,24,0)</f>
        <v>64.8</v>
      </c>
      <c r="X32" s="9">
        <f>VLOOKUP(A:A,[1]TDSheet!$A:$Y,25,0)</f>
        <v>69.8</v>
      </c>
      <c r="Y32" s="9">
        <f>VLOOKUP(A:A,[1]TDSheet!$A:$Z,26,0)</f>
        <v>80</v>
      </c>
      <c r="Z32" s="9">
        <f>VLOOKUP(A:A,[1]TDSheet!$A:$Q,17,0)</f>
        <v>70</v>
      </c>
      <c r="AA32" s="9">
        <f>VLOOKUP(A:A,[1]TDSheet!$A:$AA,27,0)</f>
        <v>0</v>
      </c>
      <c r="AB32" s="9">
        <f t="shared" si="6"/>
        <v>140</v>
      </c>
      <c r="AC32" s="9">
        <f>VLOOKUP(A:A,[1]TDSheet!$A:$AC,29,0)</f>
        <v>6</v>
      </c>
      <c r="AD32" s="9">
        <f t="shared" si="8"/>
        <v>98</v>
      </c>
      <c r="AE32" s="9">
        <f t="shared" si="7"/>
        <v>147</v>
      </c>
      <c r="AF32" s="9">
        <f>VLOOKUP(A:A,[1]TDSheet!$A:$AF,32,0)</f>
        <v>14</v>
      </c>
      <c r="AG32" s="9">
        <f>VLOOKUP(A:A,[1]TDSheet!$A:$AG,33,0)</f>
        <v>140</v>
      </c>
      <c r="AH32" s="9">
        <f t="shared" si="9"/>
        <v>0.7</v>
      </c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</row>
    <row r="33" spans="1:118" ht="11.1" customHeight="1" x14ac:dyDescent="0.2">
      <c r="A33" s="7" t="s">
        <v>33</v>
      </c>
      <c r="B33" s="7" t="s">
        <v>10</v>
      </c>
      <c r="C33" s="7" t="str">
        <f>VLOOKUP(A:A,[1]TDSheet!$A:$C,3,0)</f>
        <v>P004602</v>
      </c>
      <c r="D33" s="8">
        <v>336</v>
      </c>
      <c r="E33" s="8">
        <v>626</v>
      </c>
      <c r="F33" s="8">
        <v>339</v>
      </c>
      <c r="G33" s="8">
        <v>591</v>
      </c>
      <c r="H33" s="25">
        <f>VLOOKUP(A:A,[1]TDSheet!$A:$H,8,0)</f>
        <v>0.25</v>
      </c>
      <c r="I33" s="9">
        <f>VLOOKUP(A:A,[1]TDSheet!$A:$I,9,0)</f>
        <v>180</v>
      </c>
      <c r="J33" s="9" t="str">
        <f>VLOOKUP(A:A,[1]TDSheet!$A:$J,10,0)</f>
        <v>матрица</v>
      </c>
      <c r="K33" s="9"/>
      <c r="L33" s="9">
        <f>VLOOKUP(A:A,[2]TDSheet!$A:$B,2,0)</f>
        <v>373</v>
      </c>
      <c r="M33" s="9">
        <f t="shared" si="2"/>
        <v>-34</v>
      </c>
      <c r="N33" s="9"/>
      <c r="O33" s="9"/>
      <c r="P33" s="9">
        <f>VLOOKUP(A:A,[1]TDSheet!$A:$R,18,0)</f>
        <v>0</v>
      </c>
      <c r="Q33" s="9">
        <f t="shared" si="3"/>
        <v>67.8</v>
      </c>
      <c r="R33" s="26">
        <v>400</v>
      </c>
      <c r="S33" s="26">
        <f>VLOOKUP(A:A,[3]TDSheet!$A:$S,19,0)</f>
        <v>400</v>
      </c>
      <c r="T33" s="9">
        <f>VLOOKUP(A:A,[3]TDSheet!$A:$T,20,0)</f>
        <v>0</v>
      </c>
      <c r="U33" s="9">
        <f t="shared" si="4"/>
        <v>14.616519174041299</v>
      </c>
      <c r="V33" s="9">
        <f t="shared" si="5"/>
        <v>8.716814159292035</v>
      </c>
      <c r="W33" s="9">
        <f>VLOOKUP(A:A,[1]TDSheet!$A:$X,24,0)</f>
        <v>42.4</v>
      </c>
      <c r="X33" s="9">
        <f>VLOOKUP(A:A,[1]TDSheet!$A:$Y,25,0)</f>
        <v>55.4</v>
      </c>
      <c r="Y33" s="9">
        <f>VLOOKUP(A:A,[1]TDSheet!$A:$Z,26,0)</f>
        <v>55.4</v>
      </c>
      <c r="Z33" s="9">
        <f>VLOOKUP(A:A,[1]TDSheet!$A:$Q,17,0)</f>
        <v>47</v>
      </c>
      <c r="AA33" s="9">
        <f>VLOOKUP(A:A,[1]TDSheet!$A:$AA,27,0)</f>
        <v>0</v>
      </c>
      <c r="AB33" s="9">
        <f t="shared" si="6"/>
        <v>100</v>
      </c>
      <c r="AC33" s="9">
        <f>VLOOKUP(A:A,[1]TDSheet!$A:$AC,29,0)</f>
        <v>6</v>
      </c>
      <c r="AD33" s="9">
        <f t="shared" si="8"/>
        <v>70</v>
      </c>
      <c r="AE33" s="9">
        <f t="shared" si="7"/>
        <v>105</v>
      </c>
      <c r="AF33" s="9">
        <f>VLOOKUP(A:A,[1]TDSheet!$A:$AF,32,0)</f>
        <v>14</v>
      </c>
      <c r="AG33" s="9">
        <f>VLOOKUP(A:A,[1]TDSheet!$A:$AG,33,0)</f>
        <v>140</v>
      </c>
      <c r="AH33" s="9">
        <f t="shared" si="9"/>
        <v>0.5</v>
      </c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</row>
    <row r="34" spans="1:118" ht="11.1" customHeight="1" x14ac:dyDescent="0.2">
      <c r="A34" s="7" t="s">
        <v>34</v>
      </c>
      <c r="B34" s="7" t="s">
        <v>10</v>
      </c>
      <c r="C34" s="7" t="str">
        <f>VLOOKUP(A:A,[1]TDSheet!$A:$C,3,0)</f>
        <v>P004496</v>
      </c>
      <c r="D34" s="8">
        <v>894</v>
      </c>
      <c r="E34" s="8">
        <v>1692</v>
      </c>
      <c r="F34" s="8">
        <v>732</v>
      </c>
      <c r="G34" s="8">
        <v>1845</v>
      </c>
      <c r="H34" s="25">
        <f>VLOOKUP(A:A,[1]TDSheet!$A:$H,8,0)</f>
        <v>0.25</v>
      </c>
      <c r="I34" s="9">
        <f>VLOOKUP(A:A,[1]TDSheet!$A:$I,9,0)</f>
        <v>365</v>
      </c>
      <c r="J34" s="9" t="str">
        <f>VLOOKUP(A:A,[1]TDSheet!$A:$J,10,0)</f>
        <v>ВНИМАНИЕ / матрица</v>
      </c>
      <c r="K34" s="9"/>
      <c r="L34" s="9">
        <f>VLOOKUP(A:A,[2]TDSheet!$A:$B,2,0)</f>
        <v>750</v>
      </c>
      <c r="M34" s="9">
        <f t="shared" si="2"/>
        <v>-18</v>
      </c>
      <c r="N34" s="9"/>
      <c r="O34" s="9"/>
      <c r="P34" s="9">
        <f>VLOOKUP(A:A,[1]TDSheet!$A:$R,18,0)</f>
        <v>0</v>
      </c>
      <c r="Q34" s="9">
        <f t="shared" si="3"/>
        <v>146.4</v>
      </c>
      <c r="R34" s="26">
        <v>400</v>
      </c>
      <c r="S34" s="26">
        <f>VLOOKUP(A:A,[3]TDSheet!$A:$S,19,0)</f>
        <v>400</v>
      </c>
      <c r="T34" s="9">
        <f>VLOOKUP(A:A,[3]TDSheet!$A:$T,20,0)</f>
        <v>0</v>
      </c>
      <c r="U34" s="9">
        <f t="shared" si="4"/>
        <v>15.334699453551911</v>
      </c>
      <c r="V34" s="9">
        <f t="shared" si="5"/>
        <v>12.602459016393443</v>
      </c>
      <c r="W34" s="9">
        <f>VLOOKUP(A:A,[1]TDSheet!$A:$X,24,0)</f>
        <v>100.2</v>
      </c>
      <c r="X34" s="9">
        <f>VLOOKUP(A:A,[1]TDSheet!$A:$Y,25,0)</f>
        <v>144.80000000000001</v>
      </c>
      <c r="Y34" s="9">
        <f>VLOOKUP(A:A,[1]TDSheet!$A:$Z,26,0)</f>
        <v>126.2</v>
      </c>
      <c r="Z34" s="9">
        <f>VLOOKUP(A:A,[1]TDSheet!$A:$Q,17,0)</f>
        <v>113.2</v>
      </c>
      <c r="AA34" s="9">
        <f>VLOOKUP(A:A,[1]TDSheet!$A:$AA,27,0)</f>
        <v>0</v>
      </c>
      <c r="AB34" s="9">
        <f t="shared" si="6"/>
        <v>100</v>
      </c>
      <c r="AC34" s="9">
        <f>VLOOKUP(A:A,[1]TDSheet!$A:$AC,29,0)</f>
        <v>12</v>
      </c>
      <c r="AD34" s="9">
        <f t="shared" si="8"/>
        <v>28</v>
      </c>
      <c r="AE34" s="9">
        <f t="shared" si="7"/>
        <v>84</v>
      </c>
      <c r="AF34" s="9">
        <f>VLOOKUP(A:A,[1]TDSheet!$A:$AF,32,0)</f>
        <v>14</v>
      </c>
      <c r="AG34" s="9">
        <f>VLOOKUP(A:A,[1]TDSheet!$A:$AG,33,0)</f>
        <v>70</v>
      </c>
      <c r="AH34" s="9">
        <f t="shared" si="9"/>
        <v>0.4</v>
      </c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</row>
    <row r="35" spans="1:118" ht="11.1" customHeight="1" x14ac:dyDescent="0.2">
      <c r="A35" s="7" t="s">
        <v>35</v>
      </c>
      <c r="B35" s="7" t="s">
        <v>10</v>
      </c>
      <c r="C35" s="7" t="str">
        <f>VLOOKUP(A:A,[1]TDSheet!$A:$C,3,0)</f>
        <v>P004535</v>
      </c>
      <c r="D35" s="8">
        <v>607</v>
      </c>
      <c r="E35" s="8">
        <v>1027</v>
      </c>
      <c r="F35" s="8">
        <v>540</v>
      </c>
      <c r="G35" s="8">
        <v>1067</v>
      </c>
      <c r="H35" s="25">
        <f>VLOOKUP(A:A,[1]TDSheet!$A:$H,8,0)</f>
        <v>0.25</v>
      </c>
      <c r="I35" s="9">
        <f>VLOOKUP(A:A,[1]TDSheet!$A:$I,9,0)</f>
        <v>180</v>
      </c>
      <c r="J35" s="9" t="str">
        <f>VLOOKUP(A:A,[1]TDSheet!$A:$J,10,0)</f>
        <v>матрица</v>
      </c>
      <c r="K35" s="9"/>
      <c r="L35" s="9">
        <f>VLOOKUP(A:A,[2]TDSheet!$A:$B,2,0)</f>
        <v>574</v>
      </c>
      <c r="M35" s="9">
        <f t="shared" si="2"/>
        <v>-34</v>
      </c>
      <c r="N35" s="9"/>
      <c r="O35" s="9"/>
      <c r="P35" s="9">
        <f>VLOOKUP(A:A,[1]TDSheet!$A:$R,18,0)</f>
        <v>0</v>
      </c>
      <c r="Q35" s="9">
        <f t="shared" si="3"/>
        <v>108</v>
      </c>
      <c r="R35" s="26">
        <v>600</v>
      </c>
      <c r="S35" s="26">
        <f>VLOOKUP(A:A,[3]TDSheet!$A:$S,19,0)</f>
        <v>600</v>
      </c>
      <c r="T35" s="9">
        <f>VLOOKUP(A:A,[3]TDSheet!$A:$T,20,0)</f>
        <v>0</v>
      </c>
      <c r="U35" s="9">
        <f t="shared" si="4"/>
        <v>15.435185185185185</v>
      </c>
      <c r="V35" s="9">
        <f t="shared" si="5"/>
        <v>9.8796296296296298</v>
      </c>
      <c r="W35" s="9">
        <f>VLOOKUP(A:A,[1]TDSheet!$A:$X,24,0)</f>
        <v>78.400000000000006</v>
      </c>
      <c r="X35" s="9">
        <f>VLOOKUP(A:A,[1]TDSheet!$A:$Y,25,0)</f>
        <v>106.8</v>
      </c>
      <c r="Y35" s="9">
        <f>VLOOKUP(A:A,[1]TDSheet!$A:$Z,26,0)</f>
        <v>75.8</v>
      </c>
      <c r="Z35" s="9">
        <f>VLOOKUP(A:A,[1]TDSheet!$A:$Q,17,0)</f>
        <v>84.6</v>
      </c>
      <c r="AA35" s="9">
        <f>VLOOKUP(A:A,[1]TDSheet!$A:$AA,27,0)</f>
        <v>0</v>
      </c>
      <c r="AB35" s="9">
        <f t="shared" si="6"/>
        <v>150</v>
      </c>
      <c r="AC35" s="9">
        <f>VLOOKUP(A:A,[1]TDSheet!$A:$AC,29,0)</f>
        <v>12</v>
      </c>
      <c r="AD35" s="9">
        <f t="shared" si="8"/>
        <v>56</v>
      </c>
      <c r="AE35" s="9">
        <f t="shared" si="7"/>
        <v>168</v>
      </c>
      <c r="AF35" s="9">
        <f>VLOOKUP(A:A,[1]TDSheet!$A:$AF,32,0)</f>
        <v>14</v>
      </c>
      <c r="AG35" s="9">
        <f>VLOOKUP(A:A,[1]TDSheet!$A:$AG,33,0)</f>
        <v>70</v>
      </c>
      <c r="AH35" s="9">
        <f t="shared" si="9"/>
        <v>0.8</v>
      </c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</row>
    <row r="36" spans="1:118" ht="11.1" customHeight="1" x14ac:dyDescent="0.2">
      <c r="A36" s="7" t="s">
        <v>36</v>
      </c>
      <c r="B36" s="7" t="s">
        <v>13</v>
      </c>
      <c r="C36" s="7" t="str">
        <f>VLOOKUP(A:A,[1]TDSheet!$A:$C,3,0)</f>
        <v>P003486</v>
      </c>
      <c r="D36" s="8">
        <v>220</v>
      </c>
      <c r="E36" s="8">
        <v>432</v>
      </c>
      <c r="F36" s="8">
        <v>291</v>
      </c>
      <c r="G36" s="8">
        <v>354</v>
      </c>
      <c r="H36" s="25">
        <f>VLOOKUP(A:A,[1]TDSheet!$A:$H,8,0)</f>
        <v>1</v>
      </c>
      <c r="I36" s="9">
        <f>VLOOKUP(A:A,[1]TDSheet!$A:$I,9,0)</f>
        <v>180</v>
      </c>
      <c r="J36" s="9" t="str">
        <f>VLOOKUP(A:A,[1]TDSheet!$A:$J,10,0)</f>
        <v>матрица</v>
      </c>
      <c r="K36" s="9"/>
      <c r="L36" s="9">
        <f>VLOOKUP(A:A,[2]TDSheet!$A:$B,2,0)</f>
        <v>302</v>
      </c>
      <c r="M36" s="9">
        <f t="shared" si="2"/>
        <v>-11</v>
      </c>
      <c r="N36" s="9"/>
      <c r="O36" s="9"/>
      <c r="P36" s="9">
        <f>VLOOKUP(A:A,[1]TDSheet!$A:$R,18,0)</f>
        <v>120</v>
      </c>
      <c r="Q36" s="9">
        <f t="shared" si="3"/>
        <v>58.2</v>
      </c>
      <c r="R36" s="26">
        <v>450</v>
      </c>
      <c r="S36" s="26">
        <f>VLOOKUP(A:A,[3]TDSheet!$A:$S,19,0)</f>
        <v>450</v>
      </c>
      <c r="T36" s="9">
        <f>VLOOKUP(A:A,[3]TDSheet!$A:$T,20,0)</f>
        <v>0</v>
      </c>
      <c r="U36" s="9">
        <f t="shared" si="4"/>
        <v>15.876288659793813</v>
      </c>
      <c r="V36" s="9">
        <f t="shared" si="5"/>
        <v>6.0824742268041234</v>
      </c>
      <c r="W36" s="9">
        <f>VLOOKUP(A:A,[1]TDSheet!$A:$X,24,0)</f>
        <v>48</v>
      </c>
      <c r="X36" s="9">
        <f>VLOOKUP(A:A,[1]TDSheet!$A:$Y,25,0)</f>
        <v>45</v>
      </c>
      <c r="Y36" s="9">
        <f>VLOOKUP(A:A,[1]TDSheet!$A:$Z,26,0)</f>
        <v>42</v>
      </c>
      <c r="Z36" s="9">
        <f>VLOOKUP(A:A,[1]TDSheet!$A:$Q,17,0)</f>
        <v>51.4</v>
      </c>
      <c r="AA36" s="9">
        <f>VLOOKUP(A:A,[1]TDSheet!$A:$AA,27,0)</f>
        <v>0</v>
      </c>
      <c r="AB36" s="9">
        <f t="shared" si="6"/>
        <v>450</v>
      </c>
      <c r="AC36" s="9">
        <f>VLOOKUP(A:A,[1]TDSheet!$A:$AC,29,0)</f>
        <v>6</v>
      </c>
      <c r="AD36" s="9">
        <f t="shared" si="8"/>
        <v>72</v>
      </c>
      <c r="AE36" s="9">
        <f t="shared" si="7"/>
        <v>432</v>
      </c>
      <c r="AF36" s="9">
        <f>VLOOKUP(A:A,[1]TDSheet!$A:$AF,32,0)</f>
        <v>12</v>
      </c>
      <c r="AG36" s="9">
        <f>VLOOKUP(A:A,[1]TDSheet!$A:$AG,33,0)</f>
        <v>84</v>
      </c>
      <c r="AH36" s="9">
        <f t="shared" si="9"/>
        <v>0.8571428571428571</v>
      </c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</row>
    <row r="37" spans="1:118" ht="11.1" customHeight="1" x14ac:dyDescent="0.2">
      <c r="A37" s="7" t="s">
        <v>37</v>
      </c>
      <c r="B37" s="7" t="s">
        <v>10</v>
      </c>
      <c r="C37" s="7" t="str">
        <f>VLOOKUP(A:A,[1]TDSheet!$A:$C,3,0)</f>
        <v>P005043</v>
      </c>
      <c r="D37" s="8">
        <v>350</v>
      </c>
      <c r="E37" s="8">
        <v>1028</v>
      </c>
      <c r="F37" s="8">
        <v>297</v>
      </c>
      <c r="G37" s="8">
        <v>1069</v>
      </c>
      <c r="H37" s="25">
        <f>VLOOKUP(A:A,[1]TDSheet!$A:$H,8,0)</f>
        <v>0.23</v>
      </c>
      <c r="I37" s="9">
        <f>VLOOKUP(A:A,[1]TDSheet!$A:$I,9,0)</f>
        <v>180</v>
      </c>
      <c r="J37" s="9" t="str">
        <f>VLOOKUP(A:A,[1]TDSheet!$A:$J,10,0)</f>
        <v>ВНИМАНИЕ / матрица</v>
      </c>
      <c r="K37" s="9"/>
      <c r="L37" s="9">
        <f>VLOOKUP(A:A,[2]TDSheet!$A:$B,2,0)</f>
        <v>313</v>
      </c>
      <c r="M37" s="9">
        <f t="shared" si="2"/>
        <v>-16</v>
      </c>
      <c r="N37" s="9"/>
      <c r="O37" s="9"/>
      <c r="P37" s="9">
        <f>VLOOKUP(A:A,[1]TDSheet!$A:$R,18,0)</f>
        <v>0</v>
      </c>
      <c r="Q37" s="9">
        <f t="shared" si="3"/>
        <v>59.4</v>
      </c>
      <c r="R37" s="26"/>
      <c r="S37" s="26"/>
      <c r="T37" s="9">
        <f>VLOOKUP(A:A,[3]TDSheet!$A:$T,20,0)</f>
        <v>0</v>
      </c>
      <c r="U37" s="9">
        <f t="shared" si="4"/>
        <v>17.996632996632997</v>
      </c>
      <c r="V37" s="9">
        <f t="shared" si="5"/>
        <v>17.996632996632997</v>
      </c>
      <c r="W37" s="9">
        <f>VLOOKUP(A:A,[1]TDSheet!$A:$X,24,0)</f>
        <v>48.8</v>
      </c>
      <c r="X37" s="9">
        <f>VLOOKUP(A:A,[1]TDSheet!$A:$Y,25,0)</f>
        <v>57.2</v>
      </c>
      <c r="Y37" s="9">
        <f>VLOOKUP(A:A,[1]TDSheet!$A:$Z,26,0)</f>
        <v>63.8</v>
      </c>
      <c r="Z37" s="9">
        <f>VLOOKUP(A:A,[1]TDSheet!$A:$Q,17,0)</f>
        <v>47.2</v>
      </c>
      <c r="AA37" s="9" t="str">
        <f>VLOOKUP(A:A,[1]TDSheet!$A:$AA,27,0)</f>
        <v>Сети</v>
      </c>
      <c r="AB37" s="9">
        <f t="shared" si="6"/>
        <v>0</v>
      </c>
      <c r="AC37" s="9">
        <f>VLOOKUP(A:A,[1]TDSheet!$A:$AC,29,0)</f>
        <v>12</v>
      </c>
      <c r="AD37" s="9">
        <f t="shared" si="8"/>
        <v>0</v>
      </c>
      <c r="AE37" s="9">
        <f t="shared" si="7"/>
        <v>0</v>
      </c>
      <c r="AF37" s="9">
        <f>VLOOKUP(A:A,[1]TDSheet!$A:$AF,32,0)</f>
        <v>14</v>
      </c>
      <c r="AG37" s="9">
        <f>VLOOKUP(A:A,[1]TDSheet!$A:$AG,33,0)</f>
        <v>70</v>
      </c>
      <c r="AH37" s="9">
        <f t="shared" si="9"/>
        <v>0</v>
      </c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</row>
    <row r="38" spans="1:118" ht="11.1" customHeight="1" x14ac:dyDescent="0.2">
      <c r="A38" s="7" t="s">
        <v>38</v>
      </c>
      <c r="B38" s="7" t="s">
        <v>10</v>
      </c>
      <c r="C38" s="7" t="str">
        <f>VLOOKUP(A:A,[1]TDSheet!$A:$C,3,0)</f>
        <v>P004594</v>
      </c>
      <c r="D38" s="8">
        <v>120</v>
      </c>
      <c r="E38" s="8">
        <v>360</v>
      </c>
      <c r="F38" s="8">
        <v>223</v>
      </c>
      <c r="G38" s="8">
        <v>237</v>
      </c>
      <c r="H38" s="25">
        <f>VLOOKUP(A:A,[1]TDSheet!$A:$H,8,0)</f>
        <v>0.25</v>
      </c>
      <c r="I38" s="9">
        <f>VLOOKUP(A:A,[1]TDSheet!$A:$I,9,0)</f>
        <v>180</v>
      </c>
      <c r="J38" s="9" t="str">
        <f>VLOOKUP(A:A,[1]TDSheet!$A:$J,10,0)</f>
        <v>матрица</v>
      </c>
      <c r="K38" s="9"/>
      <c r="L38" s="9">
        <f>VLOOKUP(A:A,[2]TDSheet!$A:$B,2,0)</f>
        <v>243</v>
      </c>
      <c r="M38" s="9">
        <f t="shared" si="2"/>
        <v>-20</v>
      </c>
      <c r="N38" s="9"/>
      <c r="O38" s="9"/>
      <c r="P38" s="9">
        <f>VLOOKUP(A:A,[1]TDSheet!$A:$R,18,0)</f>
        <v>100</v>
      </c>
      <c r="Q38" s="9">
        <f t="shared" si="3"/>
        <v>44.6</v>
      </c>
      <c r="R38" s="26">
        <v>350</v>
      </c>
      <c r="S38" s="26">
        <f>VLOOKUP(A:A,[3]TDSheet!$A:$S,19,0)</f>
        <v>350</v>
      </c>
      <c r="T38" s="9">
        <f>VLOOKUP(A:A,[3]TDSheet!$A:$T,20,0)</f>
        <v>0</v>
      </c>
      <c r="U38" s="9">
        <f t="shared" si="4"/>
        <v>15.403587443946188</v>
      </c>
      <c r="V38" s="9">
        <f t="shared" si="5"/>
        <v>5.3139013452914794</v>
      </c>
      <c r="W38" s="9">
        <f>VLOOKUP(A:A,[1]TDSheet!$A:$X,24,0)</f>
        <v>19</v>
      </c>
      <c r="X38" s="9">
        <f>VLOOKUP(A:A,[1]TDSheet!$A:$Y,25,0)</f>
        <v>18.2</v>
      </c>
      <c r="Y38" s="9">
        <f>VLOOKUP(A:A,[1]TDSheet!$A:$Z,26,0)</f>
        <v>36</v>
      </c>
      <c r="Z38" s="9">
        <f>VLOOKUP(A:A,[1]TDSheet!$A:$Q,17,0)</f>
        <v>33</v>
      </c>
      <c r="AA38" s="9">
        <f>VLOOKUP(A:A,[1]TDSheet!$A:$AA,27,0)</f>
        <v>0</v>
      </c>
      <c r="AB38" s="9">
        <f t="shared" si="6"/>
        <v>87.5</v>
      </c>
      <c r="AC38" s="9">
        <f>VLOOKUP(A:A,[1]TDSheet!$A:$AC,29,0)</f>
        <v>12</v>
      </c>
      <c r="AD38" s="9">
        <f t="shared" si="8"/>
        <v>28</v>
      </c>
      <c r="AE38" s="9">
        <f t="shared" si="7"/>
        <v>84</v>
      </c>
      <c r="AF38" s="9">
        <f>VLOOKUP(A:A,[1]TDSheet!$A:$AF,32,0)</f>
        <v>14</v>
      </c>
      <c r="AG38" s="9">
        <f>VLOOKUP(A:A,[1]TDSheet!$A:$AG,33,0)</f>
        <v>70</v>
      </c>
      <c r="AH38" s="9">
        <f t="shared" si="9"/>
        <v>0.4</v>
      </c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</row>
    <row r="39" spans="1:118" ht="21.95" customHeight="1" x14ac:dyDescent="0.2">
      <c r="A39" s="7" t="s">
        <v>39</v>
      </c>
      <c r="B39" s="7" t="s">
        <v>10</v>
      </c>
      <c r="C39" s="7" t="str">
        <f>VLOOKUP(A:A,[1]TDSheet!$A:$C,3,0)</f>
        <v>P004889</v>
      </c>
      <c r="D39" s="8">
        <v>110</v>
      </c>
      <c r="E39" s="8">
        <v>192</v>
      </c>
      <c r="F39" s="8">
        <v>124</v>
      </c>
      <c r="G39" s="8">
        <v>173</v>
      </c>
      <c r="H39" s="25">
        <f>VLOOKUP(A:A,[1]TDSheet!$A:$H,8,0)</f>
        <v>0.7</v>
      </c>
      <c r="I39" s="9">
        <f>VLOOKUP(A:A,[1]TDSheet!$A:$I,9,0)</f>
        <v>180</v>
      </c>
      <c r="J39" s="9" t="str">
        <f>VLOOKUP(A:A,[1]TDSheet!$A:$J,10,0)</f>
        <v>матрица</v>
      </c>
      <c r="K39" s="9"/>
      <c r="L39" s="9">
        <f>VLOOKUP(A:A,[2]TDSheet!$A:$B,2,0)</f>
        <v>132</v>
      </c>
      <c r="M39" s="9">
        <f t="shared" si="2"/>
        <v>-8</v>
      </c>
      <c r="N39" s="9"/>
      <c r="O39" s="9"/>
      <c r="P39" s="9">
        <f>VLOOKUP(A:A,[1]TDSheet!$A:$R,18,0)</f>
        <v>80</v>
      </c>
      <c r="Q39" s="9">
        <f t="shared" si="3"/>
        <v>24.8</v>
      </c>
      <c r="R39" s="26">
        <v>120</v>
      </c>
      <c r="S39" s="26"/>
      <c r="T39" s="9">
        <f>VLOOKUP(A:A,[3]TDSheet!$A:$T,20,0)</f>
        <v>0</v>
      </c>
      <c r="U39" s="9">
        <f t="shared" si="4"/>
        <v>15.04032258064516</v>
      </c>
      <c r="V39" s="9">
        <f t="shared" si="5"/>
        <v>6.975806451612903</v>
      </c>
      <c r="W39" s="9">
        <f>VLOOKUP(A:A,[1]TDSheet!$A:$X,24,0)</f>
        <v>34.799999999999997</v>
      </c>
      <c r="X39" s="9">
        <f>VLOOKUP(A:A,[1]TDSheet!$A:$Y,25,0)</f>
        <v>24.8</v>
      </c>
      <c r="Y39" s="9">
        <f>VLOOKUP(A:A,[1]TDSheet!$A:$Z,26,0)</f>
        <v>28</v>
      </c>
      <c r="Z39" s="9">
        <f>VLOOKUP(A:A,[1]TDSheet!$A:$Q,17,0)</f>
        <v>26</v>
      </c>
      <c r="AA39" s="9">
        <f>VLOOKUP(A:A,[1]TDSheet!$A:$AA,27,0)</f>
        <v>0</v>
      </c>
      <c r="AB39" s="9">
        <f t="shared" si="6"/>
        <v>84</v>
      </c>
      <c r="AC39" s="9">
        <f>VLOOKUP(A:A,[1]TDSheet!$A:$AC,29,0)</f>
        <v>8</v>
      </c>
      <c r="AD39" s="9">
        <f t="shared" si="8"/>
        <v>12</v>
      </c>
      <c r="AE39" s="9">
        <f t="shared" si="7"/>
        <v>67.199999999999989</v>
      </c>
      <c r="AF39" s="9">
        <f>VLOOKUP(A:A,[1]TDSheet!$A:$AF,32,0)</f>
        <v>12</v>
      </c>
      <c r="AG39" s="9">
        <f>VLOOKUP(A:A,[1]TDSheet!$A:$AG,33,0)</f>
        <v>84</v>
      </c>
      <c r="AH39" s="9">
        <f t="shared" si="9"/>
        <v>0.14285714285714285</v>
      </c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</row>
    <row r="40" spans="1:118" ht="11.1" customHeight="1" x14ac:dyDescent="0.2">
      <c r="A40" s="7" t="s">
        <v>40</v>
      </c>
      <c r="B40" s="7" t="s">
        <v>10</v>
      </c>
      <c r="C40" s="7" t="str">
        <f>VLOOKUP(A:A,[1]TDSheet!$A:$C,3,0)</f>
        <v>P004887</v>
      </c>
      <c r="D40" s="8">
        <v>156</v>
      </c>
      <c r="E40" s="8">
        <v>222</v>
      </c>
      <c r="F40" s="8">
        <v>206</v>
      </c>
      <c r="G40" s="8">
        <v>136</v>
      </c>
      <c r="H40" s="25">
        <f>VLOOKUP(A:A,[1]TDSheet!$A:$H,8,0)</f>
        <v>0.7</v>
      </c>
      <c r="I40" s="9">
        <f>VLOOKUP(A:A,[1]TDSheet!$A:$I,9,0)</f>
        <v>180</v>
      </c>
      <c r="J40" s="9" t="str">
        <f>VLOOKUP(A:A,[1]TDSheet!$A:$J,10,0)</f>
        <v>матрица</v>
      </c>
      <c r="K40" s="9"/>
      <c r="L40" s="9">
        <f>VLOOKUP(A:A,[2]TDSheet!$A:$B,2,0)</f>
        <v>250</v>
      </c>
      <c r="M40" s="9">
        <f t="shared" si="2"/>
        <v>-44</v>
      </c>
      <c r="N40" s="9"/>
      <c r="O40" s="9"/>
      <c r="P40" s="9">
        <f>VLOOKUP(A:A,[1]TDSheet!$A:$R,18,0)</f>
        <v>120</v>
      </c>
      <c r="Q40" s="9">
        <f t="shared" si="3"/>
        <v>41.2</v>
      </c>
      <c r="R40" s="26">
        <v>320</v>
      </c>
      <c r="S40" s="26"/>
      <c r="T40" s="9">
        <f>VLOOKUP(A:A,[3]TDSheet!$A:$T,20,0)</f>
        <v>0</v>
      </c>
      <c r="U40" s="9">
        <f t="shared" si="4"/>
        <v>13.980582524271844</v>
      </c>
      <c r="V40" s="9">
        <f t="shared" si="5"/>
        <v>3.3009708737864076</v>
      </c>
      <c r="W40" s="9">
        <f>VLOOKUP(A:A,[1]TDSheet!$A:$X,24,0)</f>
        <v>31.4</v>
      </c>
      <c r="X40" s="9">
        <f>VLOOKUP(A:A,[1]TDSheet!$A:$Y,25,0)</f>
        <v>26.4</v>
      </c>
      <c r="Y40" s="9">
        <f>VLOOKUP(A:A,[1]TDSheet!$A:$Z,26,0)</f>
        <v>22.8</v>
      </c>
      <c r="Z40" s="9">
        <f>VLOOKUP(A:A,[1]TDSheet!$A:$Q,17,0)</f>
        <v>30.8</v>
      </c>
      <c r="AA40" s="9">
        <f>VLOOKUP(A:A,[1]TDSheet!$A:$AA,27,0)</f>
        <v>0</v>
      </c>
      <c r="AB40" s="9">
        <f t="shared" si="6"/>
        <v>224</v>
      </c>
      <c r="AC40" s="9">
        <f>VLOOKUP(A:A,[1]TDSheet!$A:$AC,29,0)</f>
        <v>8</v>
      </c>
      <c r="AD40" s="9">
        <f t="shared" si="8"/>
        <v>36</v>
      </c>
      <c r="AE40" s="9">
        <f t="shared" si="7"/>
        <v>201.6</v>
      </c>
      <c r="AF40" s="9">
        <f>VLOOKUP(A:A,[1]TDSheet!$A:$AF,32,0)</f>
        <v>12</v>
      </c>
      <c r="AG40" s="9">
        <f>VLOOKUP(A:A,[1]TDSheet!$A:$AG,33,0)</f>
        <v>84</v>
      </c>
      <c r="AH40" s="9">
        <f t="shared" si="9"/>
        <v>0.42857142857142855</v>
      </c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</row>
    <row r="41" spans="1:118" ht="21.95" customHeight="1" x14ac:dyDescent="0.2">
      <c r="A41" s="7" t="s">
        <v>41</v>
      </c>
      <c r="B41" s="7" t="s">
        <v>10</v>
      </c>
      <c r="C41" s="7" t="str">
        <f>VLOOKUP(A:A,[1]TDSheet!$A:$C,3,0)</f>
        <v>P004888</v>
      </c>
      <c r="D41" s="8">
        <v>244</v>
      </c>
      <c r="E41" s="8">
        <v>582</v>
      </c>
      <c r="F41" s="8">
        <v>221</v>
      </c>
      <c r="G41" s="8">
        <v>594</v>
      </c>
      <c r="H41" s="25">
        <f>VLOOKUP(A:A,[1]TDSheet!$A:$H,8,0)</f>
        <v>0.7</v>
      </c>
      <c r="I41" s="9">
        <f>VLOOKUP(A:A,[1]TDSheet!$A:$I,9,0)</f>
        <v>180</v>
      </c>
      <c r="J41" s="9" t="str">
        <f>VLOOKUP(A:A,[1]TDSheet!$A:$J,10,0)</f>
        <v>матрица</v>
      </c>
      <c r="K41" s="9"/>
      <c r="L41" s="9">
        <f>VLOOKUP(A:A,[2]TDSheet!$A:$B,2,0)</f>
        <v>237</v>
      </c>
      <c r="M41" s="9">
        <f t="shared" si="2"/>
        <v>-16</v>
      </c>
      <c r="N41" s="9"/>
      <c r="O41" s="9"/>
      <c r="P41" s="9">
        <f>VLOOKUP(A:A,[1]TDSheet!$A:$R,18,0)</f>
        <v>0</v>
      </c>
      <c r="Q41" s="9">
        <f t="shared" si="3"/>
        <v>44.2</v>
      </c>
      <c r="R41" s="26">
        <v>150</v>
      </c>
      <c r="S41" s="26">
        <f>VLOOKUP(A:A,[3]TDSheet!$A:$S,19,0)</f>
        <v>150</v>
      </c>
      <c r="T41" s="9">
        <f>VLOOKUP(A:A,[3]TDSheet!$A:$T,20,0)</f>
        <v>0</v>
      </c>
      <c r="U41" s="9">
        <f t="shared" si="4"/>
        <v>16.832579185520363</v>
      </c>
      <c r="V41" s="9">
        <f t="shared" si="5"/>
        <v>13.43891402714932</v>
      </c>
      <c r="W41" s="9">
        <f>VLOOKUP(A:A,[1]TDSheet!$A:$X,24,0)</f>
        <v>44</v>
      </c>
      <c r="X41" s="9">
        <f>VLOOKUP(A:A,[1]TDSheet!$A:$Y,25,0)</f>
        <v>44.6</v>
      </c>
      <c r="Y41" s="9">
        <f>VLOOKUP(A:A,[1]TDSheet!$A:$Z,26,0)</f>
        <v>51.2</v>
      </c>
      <c r="Z41" s="9">
        <f>VLOOKUP(A:A,[1]TDSheet!$A:$Q,17,0)</f>
        <v>47.8</v>
      </c>
      <c r="AA41" s="9">
        <f>VLOOKUP(A:A,[1]TDSheet!$A:$AA,27,0)</f>
        <v>0</v>
      </c>
      <c r="AB41" s="9">
        <f t="shared" si="6"/>
        <v>105</v>
      </c>
      <c r="AC41" s="9">
        <f>VLOOKUP(A:A,[1]TDSheet!$A:$AC,29,0)</f>
        <v>8</v>
      </c>
      <c r="AD41" s="9">
        <f t="shared" si="8"/>
        <v>24</v>
      </c>
      <c r="AE41" s="9">
        <f t="shared" si="7"/>
        <v>134.39999999999998</v>
      </c>
      <c r="AF41" s="9">
        <f>VLOOKUP(A:A,[1]TDSheet!$A:$AF,32,0)</f>
        <v>12</v>
      </c>
      <c r="AG41" s="9">
        <f>VLOOKUP(A:A,[1]TDSheet!$A:$AG,33,0)</f>
        <v>84</v>
      </c>
      <c r="AH41" s="9">
        <f t="shared" si="9"/>
        <v>0.2857142857142857</v>
      </c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</row>
    <row r="42" spans="1:118" ht="21.95" customHeight="1" x14ac:dyDescent="0.2">
      <c r="A42" s="7" t="s">
        <v>42</v>
      </c>
      <c r="B42" s="7" t="s">
        <v>10</v>
      </c>
      <c r="C42" s="7" t="str">
        <f>VLOOKUP(A:A,[1]TDSheet!$A:$C,3,0)</f>
        <v>P004440</v>
      </c>
      <c r="D42" s="8">
        <v>837</v>
      </c>
      <c r="E42" s="8">
        <v>12</v>
      </c>
      <c r="F42" s="8">
        <v>206</v>
      </c>
      <c r="G42" s="8">
        <v>631</v>
      </c>
      <c r="H42" s="25">
        <f>VLOOKUP(A:A,[1]TDSheet!$A:$H,8,0)</f>
        <v>0.7</v>
      </c>
      <c r="I42" s="9">
        <f>VLOOKUP(A:A,[1]TDSheet!$A:$I,9,0)</f>
        <v>180</v>
      </c>
      <c r="J42" s="9" t="str">
        <f>VLOOKUP(A:A,[1]TDSheet!$A:$J,10,0)</f>
        <v>ВНИМАНИЕ / матрица</v>
      </c>
      <c r="K42" s="9"/>
      <c r="L42" s="9">
        <f>VLOOKUP(A:A,[2]TDSheet!$A:$B,2,0)</f>
        <v>218</v>
      </c>
      <c r="M42" s="9">
        <f t="shared" si="2"/>
        <v>-12</v>
      </c>
      <c r="N42" s="9"/>
      <c r="O42" s="9"/>
      <c r="P42" s="9">
        <f>VLOOKUP(A:A,[1]TDSheet!$A:$R,18,0)</f>
        <v>0</v>
      </c>
      <c r="Q42" s="9">
        <f t="shared" si="3"/>
        <v>41.2</v>
      </c>
      <c r="R42" s="26"/>
      <c r="S42" s="26"/>
      <c r="T42" s="9">
        <f>VLOOKUP(A:A,[3]TDSheet!$A:$T,20,0)</f>
        <v>0</v>
      </c>
      <c r="U42" s="9">
        <f t="shared" si="4"/>
        <v>15.315533980582524</v>
      </c>
      <c r="V42" s="9">
        <f t="shared" si="5"/>
        <v>15.315533980582524</v>
      </c>
      <c r="W42" s="9">
        <f>VLOOKUP(A:A,[1]TDSheet!$A:$X,24,0)</f>
        <v>129.80000000000001</v>
      </c>
      <c r="X42" s="9">
        <f>VLOOKUP(A:A,[1]TDSheet!$A:$Y,25,0)</f>
        <v>46</v>
      </c>
      <c r="Y42" s="9">
        <f>VLOOKUP(A:A,[1]TDSheet!$A:$Z,26,0)</f>
        <v>39</v>
      </c>
      <c r="Z42" s="9">
        <f>VLOOKUP(A:A,[1]TDSheet!$A:$Q,17,0)</f>
        <v>57.2</v>
      </c>
      <c r="AA42" s="9">
        <f>VLOOKUP(A:A,[1]TDSheet!$A:$AA,27,0)</f>
        <v>0</v>
      </c>
      <c r="AB42" s="9">
        <f t="shared" si="6"/>
        <v>0</v>
      </c>
      <c r="AC42" s="9">
        <f>VLOOKUP(A:A,[1]TDSheet!$A:$AC,29,0)</f>
        <v>10</v>
      </c>
      <c r="AD42" s="9">
        <f t="shared" si="8"/>
        <v>0</v>
      </c>
      <c r="AE42" s="9">
        <f t="shared" si="7"/>
        <v>0</v>
      </c>
      <c r="AF42" s="9">
        <f>VLOOKUP(A:A,[1]TDSheet!$A:$AF,32,0)</f>
        <v>12</v>
      </c>
      <c r="AG42" s="9">
        <f>VLOOKUP(A:A,[1]TDSheet!$A:$AG,33,0)</f>
        <v>84</v>
      </c>
      <c r="AH42" s="9">
        <f t="shared" si="9"/>
        <v>0</v>
      </c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</row>
    <row r="43" spans="1:118" ht="21.95" customHeight="1" x14ac:dyDescent="0.2">
      <c r="A43" s="7" t="s">
        <v>43</v>
      </c>
      <c r="B43" s="7" t="s">
        <v>10</v>
      </c>
      <c r="C43" s="7" t="str">
        <f>VLOOKUP(A:A,[1]TDSheet!$A:$C,3,0)</f>
        <v>P004442</v>
      </c>
      <c r="D43" s="8">
        <v>68</v>
      </c>
      <c r="E43" s="8">
        <v>38</v>
      </c>
      <c r="F43" s="8">
        <v>96</v>
      </c>
      <c r="G43" s="8">
        <v>3</v>
      </c>
      <c r="H43" s="25">
        <f>VLOOKUP(A:A,[1]TDSheet!$A:$H,8,0)</f>
        <v>0.7</v>
      </c>
      <c r="I43" s="9">
        <f>VLOOKUP(A:A,[1]TDSheet!$A:$I,9,0)</f>
        <v>0</v>
      </c>
      <c r="J43" s="9">
        <f>VLOOKUP(A:A,[1]TDSheet!$A:$J,10,0)</f>
        <v>0</v>
      </c>
      <c r="K43" s="9"/>
      <c r="L43" s="9">
        <f>VLOOKUP(A:A,[2]TDSheet!$A:$B,2,0)</f>
        <v>518</v>
      </c>
      <c r="M43" s="9">
        <f t="shared" si="2"/>
        <v>-422</v>
      </c>
      <c r="N43" s="9"/>
      <c r="O43" s="9"/>
      <c r="P43" s="9">
        <f>VLOOKUP(A:A,[1]TDSheet!$A:$R,18,0)</f>
        <v>480</v>
      </c>
      <c r="Q43" s="9">
        <f t="shared" si="3"/>
        <v>19.2</v>
      </c>
      <c r="R43" s="26"/>
      <c r="S43" s="26"/>
      <c r="T43" s="9">
        <f>VLOOKUP(A:A,[3]TDSheet!$A:$T,20,0)</f>
        <v>0</v>
      </c>
      <c r="U43" s="9">
        <f t="shared" si="4"/>
        <v>25.15625</v>
      </c>
      <c r="V43" s="9">
        <f t="shared" si="5"/>
        <v>0.15625</v>
      </c>
      <c r="W43" s="9">
        <f>VLOOKUP(A:A,[1]TDSheet!$A:$X,24,0)</f>
        <v>0.4</v>
      </c>
      <c r="X43" s="9">
        <f>VLOOKUP(A:A,[1]TDSheet!$A:$Y,25,0)</f>
        <v>6</v>
      </c>
      <c r="Y43" s="9">
        <f>VLOOKUP(A:A,[1]TDSheet!$A:$Z,26,0)</f>
        <v>9.4</v>
      </c>
      <c r="Z43" s="9">
        <f>VLOOKUP(A:A,[1]TDSheet!$A:$Q,17,0)</f>
        <v>40.200000000000003</v>
      </c>
      <c r="AA43" s="9">
        <f>VLOOKUP(A:A,[1]TDSheet!$A:$AA,27,0)</f>
        <v>0</v>
      </c>
      <c r="AB43" s="9">
        <f t="shared" si="6"/>
        <v>0</v>
      </c>
      <c r="AC43" s="9">
        <f>VLOOKUP(A:A,[1]TDSheet!$A:$AC,29,0)</f>
        <v>8</v>
      </c>
      <c r="AD43" s="9">
        <f t="shared" si="8"/>
        <v>0</v>
      </c>
      <c r="AE43" s="9">
        <f t="shared" si="7"/>
        <v>0</v>
      </c>
      <c r="AF43" s="9">
        <f>VLOOKUP(A:A,[1]TDSheet!$A:$AF,32,0)</f>
        <v>12</v>
      </c>
      <c r="AG43" s="9">
        <f>VLOOKUP(A:A,[1]TDSheet!$A:$AG,33,0)</f>
        <v>84</v>
      </c>
      <c r="AH43" s="9">
        <f t="shared" si="9"/>
        <v>0</v>
      </c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</row>
    <row r="44" spans="1:118" ht="11.1" customHeight="1" x14ac:dyDescent="0.2">
      <c r="A44" s="7" t="s">
        <v>44</v>
      </c>
      <c r="B44" s="7" t="s">
        <v>10</v>
      </c>
      <c r="C44" s="7" t="str">
        <f>VLOOKUP(A:A,[1]TDSheet!$A:$C,3,0)</f>
        <v>P004443</v>
      </c>
      <c r="D44" s="8">
        <v>140</v>
      </c>
      <c r="E44" s="8">
        <v>21</v>
      </c>
      <c r="F44" s="8">
        <v>149</v>
      </c>
      <c r="G44" s="8">
        <v>-4</v>
      </c>
      <c r="H44" s="25">
        <f>VLOOKUP(A:A,[1]TDSheet!$A:$H,8,0)</f>
        <v>0.4</v>
      </c>
      <c r="I44" s="9">
        <f>VLOOKUP(A:A,[1]TDSheet!$A:$I,9,0)</f>
        <v>0</v>
      </c>
      <c r="J44" s="9" t="e">
        <f>VLOOKUP(A:A,[1]TDSheet!$A:$J,10,0)</f>
        <v>#N/A</v>
      </c>
      <c r="K44" s="9"/>
      <c r="L44" s="9">
        <f>VLOOKUP(A:A,[2]TDSheet!$A:$B,2,0)</f>
        <v>471</v>
      </c>
      <c r="M44" s="9">
        <f t="shared" si="2"/>
        <v>-322</v>
      </c>
      <c r="N44" s="9"/>
      <c r="O44" s="9"/>
      <c r="P44" s="9">
        <f>VLOOKUP(A:A,[1]TDSheet!$A:$R,18,0)</f>
        <v>320</v>
      </c>
      <c r="Q44" s="9">
        <f t="shared" si="3"/>
        <v>29.8</v>
      </c>
      <c r="R44" s="26">
        <v>100</v>
      </c>
      <c r="S44" s="26"/>
      <c r="T44" s="9">
        <f>VLOOKUP(A:A,[3]TDSheet!$A:$T,20,0)</f>
        <v>0</v>
      </c>
      <c r="U44" s="9">
        <f t="shared" si="4"/>
        <v>13.95973154362416</v>
      </c>
      <c r="V44" s="9">
        <f t="shared" si="5"/>
        <v>-0.13422818791946309</v>
      </c>
      <c r="W44" s="9">
        <f>VLOOKUP(A:A,[1]TDSheet!$A:$X,24,0)</f>
        <v>0.4</v>
      </c>
      <c r="X44" s="9">
        <f>VLOOKUP(A:A,[1]TDSheet!$A:$Y,25,0)</f>
        <v>4.4000000000000004</v>
      </c>
      <c r="Y44" s="9">
        <f>VLOOKUP(A:A,[1]TDSheet!$A:$Z,26,0)</f>
        <v>7</v>
      </c>
      <c r="Z44" s="9">
        <f>VLOOKUP(A:A,[1]TDSheet!$A:$Q,17,0)</f>
        <v>34.4</v>
      </c>
      <c r="AA44" s="9" t="e">
        <f>VLOOKUP(A:A,[1]TDSheet!$A:$AA,27,0)</f>
        <v>#N/A</v>
      </c>
      <c r="AB44" s="9">
        <f t="shared" si="6"/>
        <v>40</v>
      </c>
      <c r="AC44" s="9">
        <f>VLOOKUP(A:A,[1]TDSheet!$A:$AC,29,0)</f>
        <v>16</v>
      </c>
      <c r="AD44" s="9">
        <f t="shared" si="8"/>
        <v>12</v>
      </c>
      <c r="AE44" s="9">
        <f t="shared" si="7"/>
        <v>76.800000000000011</v>
      </c>
      <c r="AF44" s="9">
        <f>VLOOKUP(A:A,[1]TDSheet!$A:$AF,32,0)</f>
        <v>12</v>
      </c>
      <c r="AG44" s="9">
        <f>VLOOKUP(A:A,[1]TDSheet!$A:$AG,33,0)</f>
        <v>84</v>
      </c>
      <c r="AH44" s="9">
        <f t="shared" si="9"/>
        <v>0.14285714285714285</v>
      </c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</row>
    <row r="45" spans="1:118" ht="21.95" customHeight="1" x14ac:dyDescent="0.2">
      <c r="A45" s="7" t="s">
        <v>45</v>
      </c>
      <c r="B45" s="7" t="s">
        <v>10</v>
      </c>
      <c r="C45" s="7" t="str">
        <f>VLOOKUP(A:A,[1]TDSheet!$A:$C,3,0)</f>
        <v>P004203</v>
      </c>
      <c r="D45" s="8">
        <v>134</v>
      </c>
      <c r="E45" s="8">
        <v>372</v>
      </c>
      <c r="F45" s="8">
        <v>175</v>
      </c>
      <c r="G45" s="8">
        <v>318</v>
      </c>
      <c r="H45" s="25">
        <f>VLOOKUP(A:A,[1]TDSheet!$A:$H,8,0)</f>
        <v>0.7</v>
      </c>
      <c r="I45" s="9">
        <f>VLOOKUP(A:A,[1]TDSheet!$A:$I,9,0)</f>
        <v>180</v>
      </c>
      <c r="J45" s="9" t="str">
        <f>VLOOKUP(A:A,[1]TDSheet!$A:$J,10,0)</f>
        <v>матрица</v>
      </c>
      <c r="K45" s="9"/>
      <c r="L45" s="9">
        <f>VLOOKUP(A:A,[2]TDSheet!$A:$B,2,0)</f>
        <v>188</v>
      </c>
      <c r="M45" s="9">
        <f t="shared" si="2"/>
        <v>-13</v>
      </c>
      <c r="N45" s="9"/>
      <c r="O45" s="9"/>
      <c r="P45" s="9">
        <f>VLOOKUP(A:A,[1]TDSheet!$A:$R,18,0)</f>
        <v>240</v>
      </c>
      <c r="Q45" s="9">
        <f t="shared" si="3"/>
        <v>35</v>
      </c>
      <c r="R45" s="26"/>
      <c r="S45" s="26"/>
      <c r="T45" s="9">
        <f>VLOOKUP(A:A,[3]TDSheet!$A:$T,20,0)</f>
        <v>0</v>
      </c>
      <c r="U45" s="9">
        <f t="shared" si="4"/>
        <v>15.942857142857143</v>
      </c>
      <c r="V45" s="9">
        <f t="shared" si="5"/>
        <v>9.0857142857142854</v>
      </c>
      <c r="W45" s="9">
        <f>VLOOKUP(A:A,[1]TDSheet!$A:$X,24,0)</f>
        <v>35.799999999999997</v>
      </c>
      <c r="X45" s="9">
        <f>VLOOKUP(A:A,[1]TDSheet!$A:$Y,25,0)</f>
        <v>39.6</v>
      </c>
      <c r="Y45" s="9">
        <f>VLOOKUP(A:A,[1]TDSheet!$A:$Z,26,0)</f>
        <v>34.200000000000003</v>
      </c>
      <c r="Z45" s="9">
        <f>VLOOKUP(A:A,[1]TDSheet!$A:$Q,17,0)</f>
        <v>51.6</v>
      </c>
      <c r="AA45" s="9">
        <f>VLOOKUP(A:A,[1]TDSheet!$A:$AA,27,0)</f>
        <v>0</v>
      </c>
      <c r="AB45" s="9">
        <f t="shared" si="6"/>
        <v>0</v>
      </c>
      <c r="AC45" s="9">
        <f>VLOOKUP(A:A,[1]TDSheet!$A:$AC,29,0)</f>
        <v>10</v>
      </c>
      <c r="AD45" s="9">
        <f t="shared" si="8"/>
        <v>0</v>
      </c>
      <c r="AE45" s="9">
        <f t="shared" si="7"/>
        <v>0</v>
      </c>
      <c r="AF45" s="9">
        <f>VLOOKUP(A:A,[1]TDSheet!$A:$AF,32,0)</f>
        <v>12</v>
      </c>
      <c r="AG45" s="9">
        <f>VLOOKUP(A:A,[1]TDSheet!$A:$AG,33,0)</f>
        <v>84</v>
      </c>
      <c r="AH45" s="9">
        <f t="shared" si="9"/>
        <v>0</v>
      </c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</row>
    <row r="46" spans="1:118" ht="21.95" customHeight="1" x14ac:dyDescent="0.2">
      <c r="A46" s="7" t="s">
        <v>46</v>
      </c>
      <c r="B46" s="7" t="s">
        <v>10</v>
      </c>
      <c r="C46" s="7" t="str">
        <f>VLOOKUP(A:A,[1]TDSheet!$A:$C,3,0)</f>
        <v>P004819</v>
      </c>
      <c r="D46" s="8">
        <v>354</v>
      </c>
      <c r="E46" s="8">
        <v>262</v>
      </c>
      <c r="F46" s="8">
        <v>385</v>
      </c>
      <c r="G46" s="8">
        <v>222</v>
      </c>
      <c r="H46" s="25">
        <f>VLOOKUP(A:A,[1]TDSheet!$A:$H,8,0)</f>
        <v>0.7</v>
      </c>
      <c r="I46" s="9">
        <f>VLOOKUP(A:A,[1]TDSheet!$A:$I,9,0)</f>
        <v>180</v>
      </c>
      <c r="J46" s="9" t="str">
        <f>VLOOKUP(A:A,[1]TDSheet!$A:$J,10,0)</f>
        <v>матрица</v>
      </c>
      <c r="K46" s="9"/>
      <c r="L46" s="9">
        <f>VLOOKUP(A:A,[2]TDSheet!$A:$B,2,0)</f>
        <v>394</v>
      </c>
      <c r="M46" s="9">
        <f t="shared" si="2"/>
        <v>-9</v>
      </c>
      <c r="N46" s="9"/>
      <c r="O46" s="9"/>
      <c r="P46" s="9">
        <f>VLOOKUP(A:A,[1]TDSheet!$A:$R,18,0)</f>
        <v>180</v>
      </c>
      <c r="Q46" s="9">
        <f t="shared" si="3"/>
        <v>77</v>
      </c>
      <c r="R46" s="26">
        <v>720</v>
      </c>
      <c r="S46" s="26"/>
      <c r="T46" s="9">
        <f>VLOOKUP(A:A,[3]TDSheet!$A:$T,20,0)</f>
        <v>0</v>
      </c>
      <c r="U46" s="9">
        <f t="shared" si="4"/>
        <v>14.571428571428571</v>
      </c>
      <c r="V46" s="9">
        <f t="shared" si="5"/>
        <v>2.883116883116883</v>
      </c>
      <c r="W46" s="9">
        <f>VLOOKUP(A:A,[1]TDSheet!$A:$X,24,0)</f>
        <v>57.8</v>
      </c>
      <c r="X46" s="9">
        <f>VLOOKUP(A:A,[1]TDSheet!$A:$Y,25,0)</f>
        <v>39.6</v>
      </c>
      <c r="Y46" s="9">
        <f>VLOOKUP(A:A,[1]TDSheet!$A:$Z,26,0)</f>
        <v>47</v>
      </c>
      <c r="Z46" s="9">
        <f>VLOOKUP(A:A,[1]TDSheet!$A:$Q,17,0)</f>
        <v>56.2</v>
      </c>
      <c r="AA46" s="9" t="str">
        <f>VLOOKUP(A:A,[1]TDSheet!$A:$AA,27,0)</f>
        <v>Сети</v>
      </c>
      <c r="AB46" s="9">
        <f t="shared" si="6"/>
        <v>503.99999999999994</v>
      </c>
      <c r="AC46" s="9">
        <f>VLOOKUP(A:A,[1]TDSheet!$A:$AC,29,0)</f>
        <v>10</v>
      </c>
      <c r="AD46" s="9">
        <f t="shared" si="8"/>
        <v>72</v>
      </c>
      <c r="AE46" s="9">
        <f t="shared" si="7"/>
        <v>503.99999999999994</v>
      </c>
      <c r="AF46" s="9">
        <f>VLOOKUP(A:A,[1]TDSheet!$A:$AF,32,0)</f>
        <v>12</v>
      </c>
      <c r="AG46" s="9">
        <f>VLOOKUP(A:A,[1]TDSheet!$A:$AG,33,0)</f>
        <v>84</v>
      </c>
      <c r="AH46" s="9">
        <f t="shared" si="9"/>
        <v>0.8571428571428571</v>
      </c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</row>
    <row r="47" spans="1:118" ht="21.95" customHeight="1" x14ac:dyDescent="0.2">
      <c r="A47" s="7" t="s">
        <v>47</v>
      </c>
      <c r="B47" s="7" t="s">
        <v>13</v>
      </c>
      <c r="C47" s="7" t="str">
        <f>VLOOKUP(A:A,[1]TDSheet!$A:$C,3,0)</f>
        <v>P003697</v>
      </c>
      <c r="D47" s="8">
        <v>855</v>
      </c>
      <c r="E47" s="8">
        <v>675</v>
      </c>
      <c r="F47" s="8">
        <v>355</v>
      </c>
      <c r="G47" s="8">
        <v>1160</v>
      </c>
      <c r="H47" s="25">
        <f>VLOOKUP(A:A,[1]TDSheet!$A:$H,8,0)</f>
        <v>1</v>
      </c>
      <c r="I47" s="9">
        <f>VLOOKUP(A:A,[1]TDSheet!$A:$I,9,0)</f>
        <v>180</v>
      </c>
      <c r="J47" s="9" t="str">
        <f>VLOOKUP(A:A,[1]TDSheet!$A:$J,10,0)</f>
        <v>матрица</v>
      </c>
      <c r="K47" s="9"/>
      <c r="L47" s="9">
        <f>VLOOKUP(A:A,[2]TDSheet!$A:$B,2,0)</f>
        <v>370</v>
      </c>
      <c r="M47" s="9">
        <f t="shared" si="2"/>
        <v>-15</v>
      </c>
      <c r="N47" s="9"/>
      <c r="O47" s="9"/>
      <c r="P47" s="9">
        <f>VLOOKUP(A:A,[1]TDSheet!$A:$R,18,0)</f>
        <v>0</v>
      </c>
      <c r="Q47" s="9">
        <f t="shared" si="3"/>
        <v>71</v>
      </c>
      <c r="R47" s="26"/>
      <c r="S47" s="26"/>
      <c r="T47" s="9">
        <f>VLOOKUP(A:A,[3]TDSheet!$A:$T,20,0)</f>
        <v>0</v>
      </c>
      <c r="U47" s="9">
        <f t="shared" si="4"/>
        <v>16.338028169014084</v>
      </c>
      <c r="V47" s="9">
        <f t="shared" si="5"/>
        <v>16.338028169014084</v>
      </c>
      <c r="W47" s="9">
        <f>VLOOKUP(A:A,[1]TDSheet!$A:$X,24,0)</f>
        <v>71</v>
      </c>
      <c r="X47" s="9">
        <f>VLOOKUP(A:A,[1]TDSheet!$A:$Y,25,0)</f>
        <v>60</v>
      </c>
      <c r="Y47" s="9">
        <f>VLOOKUP(A:A,[1]TDSheet!$A:$Z,26,0)</f>
        <v>63</v>
      </c>
      <c r="Z47" s="9">
        <f>VLOOKUP(A:A,[1]TDSheet!$A:$Q,17,0)</f>
        <v>51</v>
      </c>
      <c r="AA47" s="9">
        <f>VLOOKUP(A:A,[1]TDSheet!$A:$AA,27,0)</f>
        <v>0</v>
      </c>
      <c r="AB47" s="9">
        <f t="shared" si="6"/>
        <v>0</v>
      </c>
      <c r="AC47" s="9">
        <f>VLOOKUP(A:A,[1]TDSheet!$A:$AC,29,0)</f>
        <v>5</v>
      </c>
      <c r="AD47" s="9">
        <f t="shared" si="8"/>
        <v>0</v>
      </c>
      <c r="AE47" s="9">
        <f t="shared" si="7"/>
        <v>0</v>
      </c>
      <c r="AF47" s="9">
        <f>VLOOKUP(A:A,[1]TDSheet!$A:$AF,32,0)</f>
        <v>12</v>
      </c>
      <c r="AG47" s="9">
        <f>VLOOKUP(A:A,[1]TDSheet!$A:$AG,33,0)</f>
        <v>144</v>
      </c>
      <c r="AH47" s="9">
        <f t="shared" si="9"/>
        <v>0</v>
      </c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</row>
    <row r="48" spans="1:118" ht="21.95" customHeight="1" x14ac:dyDescent="0.2">
      <c r="A48" s="7" t="s">
        <v>48</v>
      </c>
      <c r="B48" s="7" t="s">
        <v>10</v>
      </c>
      <c r="C48" s="7" t="str">
        <f>VLOOKUP(A:A,[1]TDSheet!$A:$C,3,0)</f>
        <v>P004474</v>
      </c>
      <c r="D48" s="8">
        <v>461</v>
      </c>
      <c r="E48" s="8">
        <v>616</v>
      </c>
      <c r="F48" s="8">
        <v>1003</v>
      </c>
      <c r="G48" s="8">
        <v>25</v>
      </c>
      <c r="H48" s="25">
        <f>VLOOKUP(A:A,[1]TDSheet!$A:$H,8,0)</f>
        <v>0.4</v>
      </c>
      <c r="I48" s="9">
        <f>VLOOKUP(A:A,[1]TDSheet!$A:$I,9,0)</f>
        <v>180</v>
      </c>
      <c r="J48" s="9" t="str">
        <f>VLOOKUP(A:A,[1]TDSheet!$A:$J,10,0)</f>
        <v>матрица</v>
      </c>
      <c r="K48" s="9"/>
      <c r="L48" s="9">
        <f>VLOOKUP(A:A,[2]TDSheet!$A:$B,2,0)</f>
        <v>1126</v>
      </c>
      <c r="M48" s="9">
        <f t="shared" si="2"/>
        <v>-123</v>
      </c>
      <c r="N48" s="9"/>
      <c r="O48" s="9"/>
      <c r="P48" s="9">
        <f>VLOOKUP(A:A,[1]TDSheet!$A:$R,18,0)</f>
        <v>1100</v>
      </c>
      <c r="Q48" s="9">
        <f t="shared" si="3"/>
        <v>200.6</v>
      </c>
      <c r="R48" s="26">
        <v>2300</v>
      </c>
      <c r="S48" s="26">
        <f>VLOOKUP(A:A,[3]TDSheet!$A:$S,19,0)</f>
        <v>2300</v>
      </c>
      <c r="T48" s="9">
        <f>VLOOKUP(A:A,[3]TDSheet!$A:$T,20,0)</f>
        <v>0</v>
      </c>
      <c r="U48" s="9">
        <f t="shared" si="4"/>
        <v>17.073778664007978</v>
      </c>
      <c r="V48" s="9">
        <f t="shared" si="5"/>
        <v>0.12462612163509472</v>
      </c>
      <c r="W48" s="9">
        <f>VLOOKUP(A:A,[1]TDSheet!$A:$X,24,0)</f>
        <v>36</v>
      </c>
      <c r="X48" s="9">
        <f>VLOOKUP(A:A,[1]TDSheet!$A:$Y,25,0)</f>
        <v>39.4</v>
      </c>
      <c r="Y48" s="9">
        <f>VLOOKUP(A:A,[1]TDSheet!$A:$Z,26,0)</f>
        <v>112</v>
      </c>
      <c r="Z48" s="9">
        <f>VLOOKUP(A:A,[1]TDSheet!$A:$Q,17,0)</f>
        <v>169.8</v>
      </c>
      <c r="AA48" s="9" t="str">
        <f>VLOOKUP(A:A,[1]TDSheet!$A:$AA,27,0)</f>
        <v>Сети</v>
      </c>
      <c r="AB48" s="9">
        <f t="shared" si="6"/>
        <v>920</v>
      </c>
      <c r="AC48" s="9">
        <f>VLOOKUP(A:A,[1]TDSheet!$A:$AC,29,0)</f>
        <v>16</v>
      </c>
      <c r="AD48" s="9">
        <f t="shared" si="8"/>
        <v>144</v>
      </c>
      <c r="AE48" s="9">
        <f t="shared" si="7"/>
        <v>921.6</v>
      </c>
      <c r="AF48" s="9">
        <f>VLOOKUP(A:A,[1]TDSheet!$A:$AF,32,0)</f>
        <v>12</v>
      </c>
      <c r="AG48" s="9">
        <f>VLOOKUP(A:A,[1]TDSheet!$A:$AG,33,0)</f>
        <v>84</v>
      </c>
      <c r="AH48" s="9">
        <f t="shared" si="9"/>
        <v>1.7142857142857142</v>
      </c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</row>
    <row r="49" spans="1:118" ht="21.95" customHeight="1" x14ac:dyDescent="0.2">
      <c r="A49" s="7" t="s">
        <v>49</v>
      </c>
      <c r="B49" s="7" t="s">
        <v>10</v>
      </c>
      <c r="C49" s="7" t="str">
        <f>VLOOKUP(A:A,[1]TDSheet!$A:$C,3,0)</f>
        <v>P004345</v>
      </c>
      <c r="D49" s="8">
        <v>556</v>
      </c>
      <c r="E49" s="8">
        <v>390</v>
      </c>
      <c r="F49" s="8">
        <v>445</v>
      </c>
      <c r="G49" s="8">
        <v>465</v>
      </c>
      <c r="H49" s="25">
        <f>VLOOKUP(A:A,[1]TDSheet!$A:$H,8,0)</f>
        <v>0.7</v>
      </c>
      <c r="I49" s="9">
        <f>VLOOKUP(A:A,[1]TDSheet!$A:$I,9,0)</f>
        <v>180</v>
      </c>
      <c r="J49" s="9" t="str">
        <f>VLOOKUP(A:A,[1]TDSheet!$A:$J,10,0)</f>
        <v>матрица</v>
      </c>
      <c r="K49" s="9"/>
      <c r="L49" s="9">
        <f>VLOOKUP(A:A,[2]TDSheet!$A:$B,2,0)</f>
        <v>481</v>
      </c>
      <c r="M49" s="9">
        <f t="shared" si="2"/>
        <v>-36</v>
      </c>
      <c r="N49" s="9"/>
      <c r="O49" s="9"/>
      <c r="P49" s="9">
        <f>VLOOKUP(A:A,[1]TDSheet!$A:$R,18,0)</f>
        <v>0</v>
      </c>
      <c r="Q49" s="9">
        <f t="shared" si="3"/>
        <v>89</v>
      </c>
      <c r="R49" s="26">
        <v>840</v>
      </c>
      <c r="S49" s="26"/>
      <c r="T49" s="9">
        <f>VLOOKUP(A:A,[3]TDSheet!$A:$T,20,0)</f>
        <v>0</v>
      </c>
      <c r="U49" s="9">
        <f t="shared" si="4"/>
        <v>14.662921348314606</v>
      </c>
      <c r="V49" s="9">
        <f t="shared" si="5"/>
        <v>5.2247191011235952</v>
      </c>
      <c r="W49" s="9">
        <f>VLOOKUP(A:A,[1]TDSheet!$A:$X,24,0)</f>
        <v>71.599999999999994</v>
      </c>
      <c r="X49" s="9">
        <f>VLOOKUP(A:A,[1]TDSheet!$A:$Y,25,0)</f>
        <v>68.8</v>
      </c>
      <c r="Y49" s="9">
        <f>VLOOKUP(A:A,[1]TDSheet!$A:$Z,26,0)</f>
        <v>78.8</v>
      </c>
      <c r="Z49" s="9">
        <f>VLOOKUP(A:A,[1]TDSheet!$A:$Q,17,0)</f>
        <v>61.2</v>
      </c>
      <c r="AA49" s="9">
        <f>VLOOKUP(A:A,[1]TDSheet!$A:$AA,27,0)</f>
        <v>0</v>
      </c>
      <c r="AB49" s="9">
        <f t="shared" si="6"/>
        <v>588</v>
      </c>
      <c r="AC49" s="9">
        <f>VLOOKUP(A:A,[1]TDSheet!$A:$AC,29,0)</f>
        <v>10</v>
      </c>
      <c r="AD49" s="9">
        <f t="shared" si="8"/>
        <v>84</v>
      </c>
      <c r="AE49" s="9">
        <f t="shared" si="7"/>
        <v>588</v>
      </c>
      <c r="AF49" s="9">
        <f>VLOOKUP(A:A,[1]TDSheet!$A:$AF,32,0)</f>
        <v>12</v>
      </c>
      <c r="AG49" s="9">
        <f>VLOOKUP(A:A,[1]TDSheet!$A:$AG,33,0)</f>
        <v>84</v>
      </c>
      <c r="AH49" s="9">
        <f t="shared" si="9"/>
        <v>1</v>
      </c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</row>
    <row r="50" spans="1:118" ht="21.95" customHeight="1" x14ac:dyDescent="0.2">
      <c r="A50" s="7" t="s">
        <v>50</v>
      </c>
      <c r="B50" s="7" t="s">
        <v>10</v>
      </c>
      <c r="C50" s="7" t="str">
        <f>VLOOKUP(A:A,[1]TDSheet!$A:$C,3,0)</f>
        <v>P004444</v>
      </c>
      <c r="D50" s="8">
        <v>284</v>
      </c>
      <c r="E50" s="8">
        <v>16</v>
      </c>
      <c r="F50" s="8">
        <v>159</v>
      </c>
      <c r="G50" s="8">
        <v>113</v>
      </c>
      <c r="H50" s="25">
        <f>VLOOKUP(A:A,[1]TDSheet!$A:$H,8,0)</f>
        <v>0.4</v>
      </c>
      <c r="I50" s="9">
        <f>VLOOKUP(A:A,[1]TDSheet!$A:$I,9,0)</f>
        <v>180</v>
      </c>
      <c r="J50" s="9" t="str">
        <f>VLOOKUP(A:A,[1]TDSheet!$A:$J,10,0)</f>
        <v>матрица</v>
      </c>
      <c r="K50" s="9"/>
      <c r="L50" s="9">
        <f>VLOOKUP(A:A,[2]TDSheet!$A:$B,2,0)</f>
        <v>187</v>
      </c>
      <c r="M50" s="9">
        <f t="shared" si="2"/>
        <v>-28</v>
      </c>
      <c r="N50" s="9"/>
      <c r="O50" s="9"/>
      <c r="P50" s="9">
        <f>VLOOKUP(A:A,[1]TDSheet!$A:$R,18,0)</f>
        <v>0</v>
      </c>
      <c r="Q50" s="9">
        <f t="shared" si="3"/>
        <v>31.8</v>
      </c>
      <c r="R50" s="26">
        <v>360</v>
      </c>
      <c r="S50" s="26"/>
      <c r="T50" s="9">
        <f>VLOOKUP(A:A,[3]TDSheet!$A:$T,20,0)</f>
        <v>0</v>
      </c>
      <c r="U50" s="9">
        <f t="shared" si="4"/>
        <v>14.874213836477987</v>
      </c>
      <c r="V50" s="9">
        <f t="shared" si="5"/>
        <v>3.5534591194968552</v>
      </c>
      <c r="W50" s="9">
        <f>VLOOKUP(A:A,[1]TDSheet!$A:$X,24,0)</f>
        <v>20</v>
      </c>
      <c r="X50" s="9">
        <f>VLOOKUP(A:A,[1]TDSheet!$A:$Y,25,0)</f>
        <v>24.2</v>
      </c>
      <c r="Y50" s="9">
        <f>VLOOKUP(A:A,[1]TDSheet!$A:$Z,26,0)</f>
        <v>27.2</v>
      </c>
      <c r="Z50" s="9">
        <f>VLOOKUP(A:A,[1]TDSheet!$A:$Q,17,0)</f>
        <v>12.6</v>
      </c>
      <c r="AA50" s="9">
        <f>VLOOKUP(A:A,[1]TDSheet!$A:$AA,27,0)</f>
        <v>0</v>
      </c>
      <c r="AB50" s="9">
        <f t="shared" si="6"/>
        <v>144</v>
      </c>
      <c r="AC50" s="9">
        <f>VLOOKUP(A:A,[1]TDSheet!$A:$AC,29,0)</f>
        <v>16</v>
      </c>
      <c r="AD50" s="9">
        <f t="shared" si="8"/>
        <v>24</v>
      </c>
      <c r="AE50" s="9">
        <f t="shared" si="7"/>
        <v>153.60000000000002</v>
      </c>
      <c r="AF50" s="9">
        <f>VLOOKUP(A:A,[1]TDSheet!$A:$AF,32,0)</f>
        <v>12</v>
      </c>
      <c r="AG50" s="9">
        <f>VLOOKUP(A:A,[1]TDSheet!$A:$AG,33,0)</f>
        <v>84</v>
      </c>
      <c r="AH50" s="9">
        <f t="shared" si="9"/>
        <v>0.2857142857142857</v>
      </c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</row>
    <row r="51" spans="1:118" ht="21.95" customHeight="1" x14ac:dyDescent="0.2">
      <c r="A51" s="31" t="s">
        <v>51</v>
      </c>
      <c r="B51" s="31" t="s">
        <v>10</v>
      </c>
      <c r="C51" s="31" t="str">
        <f>VLOOKUP(A:A,[1]TDSheet!$A:$C,3,0)</f>
        <v>P004346</v>
      </c>
      <c r="D51" s="32">
        <v>1118</v>
      </c>
      <c r="E51" s="32">
        <v>1139</v>
      </c>
      <c r="F51" s="32">
        <v>985</v>
      </c>
      <c r="G51" s="32">
        <v>866</v>
      </c>
      <c r="H51" s="33">
        <f>VLOOKUP(A:A,[1]TDSheet!$A:$H,8,0)</f>
        <v>0.7</v>
      </c>
      <c r="I51" s="34">
        <f>VLOOKUP(A:A,[1]TDSheet!$A:$I,9,0)</f>
        <v>180</v>
      </c>
      <c r="J51" s="34" t="str">
        <f>VLOOKUP(A:A,[1]TDSheet!$A:$J,10,0)</f>
        <v>матрица</v>
      </c>
      <c r="K51" s="9"/>
      <c r="L51" s="9">
        <f>VLOOKUP(A:A,[2]TDSheet!$A:$B,2,0)</f>
        <v>900</v>
      </c>
      <c r="M51" s="9">
        <f t="shared" si="2"/>
        <v>85</v>
      </c>
      <c r="N51" s="9"/>
      <c r="O51" s="9"/>
      <c r="P51" s="9">
        <f>VLOOKUP(A:A,[1]TDSheet!$A:$R,18,0)</f>
        <v>400</v>
      </c>
      <c r="Q51" s="9">
        <f t="shared" si="3"/>
        <v>197</v>
      </c>
      <c r="R51" s="26">
        <v>1600</v>
      </c>
      <c r="S51" s="26"/>
      <c r="T51" s="9">
        <f>VLOOKUP(A:A,[3]TDSheet!$A:$T,20,0)</f>
        <v>0</v>
      </c>
      <c r="U51" s="9">
        <f t="shared" si="4"/>
        <v>14.548223350253807</v>
      </c>
      <c r="V51" s="9">
        <f t="shared" si="5"/>
        <v>4.3959390862944163</v>
      </c>
      <c r="W51" s="9">
        <f>VLOOKUP(A:A,[1]TDSheet!$A:$X,24,0)</f>
        <v>148.4</v>
      </c>
      <c r="X51" s="9">
        <f>VLOOKUP(A:A,[1]TDSheet!$A:$Y,25,0)</f>
        <v>138.80000000000001</v>
      </c>
      <c r="Y51" s="9">
        <f>VLOOKUP(A:A,[1]TDSheet!$A:$Z,26,0)</f>
        <v>173.6</v>
      </c>
      <c r="Z51" s="9">
        <f>VLOOKUP(A:A,[1]TDSheet!$A:$Q,17,0)</f>
        <v>157.6</v>
      </c>
      <c r="AA51" s="9">
        <f>VLOOKUP(A:A,[1]TDSheet!$A:$AA,27,0)</f>
        <v>0</v>
      </c>
      <c r="AB51" s="9">
        <f t="shared" si="6"/>
        <v>1120</v>
      </c>
      <c r="AC51" s="9">
        <f>VLOOKUP(A:A,[1]TDSheet!$A:$AC,29,0)</f>
        <v>10</v>
      </c>
      <c r="AD51" s="9">
        <f t="shared" si="8"/>
        <v>156</v>
      </c>
      <c r="AE51" s="9">
        <f t="shared" si="7"/>
        <v>1092</v>
      </c>
      <c r="AF51" s="9">
        <f>VLOOKUP(A:A,[1]TDSheet!$A:$AF,32,0)</f>
        <v>12</v>
      </c>
      <c r="AG51" s="9">
        <f>VLOOKUP(A:A,[1]TDSheet!$A:$AG,33,0)</f>
        <v>84</v>
      </c>
      <c r="AH51" s="34">
        <f t="shared" si="9"/>
        <v>1.8571428571428572</v>
      </c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</row>
    <row r="52" spans="1:118" ht="11.1" customHeight="1" x14ac:dyDescent="0.2">
      <c r="A52" s="7" t="s">
        <v>52</v>
      </c>
      <c r="B52" s="7" t="s">
        <v>10</v>
      </c>
      <c r="C52" s="7" t="str">
        <f>VLOOKUP(A:A,[1]TDSheet!$A:$C,3,0)</f>
        <v>P005048</v>
      </c>
      <c r="D52" s="8">
        <v>1008</v>
      </c>
      <c r="E52" s="8">
        <v>16</v>
      </c>
      <c r="F52" s="8">
        <v>617</v>
      </c>
      <c r="G52" s="8">
        <v>387</v>
      </c>
      <c r="H52" s="25">
        <f>VLOOKUP(A:A,[1]TDSheet!$A:$H,8,0)</f>
        <v>1</v>
      </c>
      <c r="I52" s="9">
        <f>VLOOKUP(A:A,[1]TDSheet!$A:$I,9,0)</f>
        <v>180</v>
      </c>
      <c r="J52" s="9" t="str">
        <f>VLOOKUP(A:A,[1]TDSheet!$A:$J,10,0)</f>
        <v>матрица</v>
      </c>
      <c r="K52" s="9"/>
      <c r="L52" s="9">
        <f>VLOOKUP(A:A,[2]TDSheet!$A:$B,2,0)</f>
        <v>641</v>
      </c>
      <c r="M52" s="9">
        <f t="shared" si="2"/>
        <v>-24</v>
      </c>
      <c r="N52" s="9"/>
      <c r="O52" s="9"/>
      <c r="P52" s="9">
        <f>VLOOKUP(A:A,[1]TDSheet!$A:$R,18,0)</f>
        <v>400</v>
      </c>
      <c r="Q52" s="9">
        <f t="shared" si="3"/>
        <v>123.4</v>
      </c>
      <c r="R52" s="26">
        <v>1200</v>
      </c>
      <c r="S52" s="26">
        <f>VLOOKUP(A:A,[3]TDSheet!$A:$S,19,0)</f>
        <v>1200</v>
      </c>
      <c r="T52" s="9">
        <f>VLOOKUP(A:A,[3]TDSheet!$A:$T,20,0)</f>
        <v>0</v>
      </c>
      <c r="U52" s="9">
        <f t="shared" si="4"/>
        <v>16.102106969205835</v>
      </c>
      <c r="V52" s="9">
        <f t="shared" si="5"/>
        <v>3.1361426256077793</v>
      </c>
      <c r="W52" s="9">
        <f>VLOOKUP(A:A,[1]TDSheet!$A:$X,24,0)</f>
        <v>92.2</v>
      </c>
      <c r="X52" s="9">
        <f>VLOOKUP(A:A,[1]TDSheet!$A:$Y,25,0)</f>
        <v>87.8</v>
      </c>
      <c r="Y52" s="9">
        <f>VLOOKUP(A:A,[1]TDSheet!$A:$Z,26,0)</f>
        <v>81.8</v>
      </c>
      <c r="Z52" s="9">
        <f>VLOOKUP(A:A,[1]TDSheet!$A:$Q,17,0)</f>
        <v>103.2</v>
      </c>
      <c r="AA52" s="9">
        <f>VLOOKUP(A:A,[1]TDSheet!$A:$AA,27,0)</f>
        <v>0</v>
      </c>
      <c r="AB52" s="9">
        <f t="shared" si="6"/>
        <v>1200</v>
      </c>
      <c r="AC52" s="9">
        <f>VLOOKUP(A:A,[1]TDSheet!$A:$AC,29,0)</f>
        <v>5</v>
      </c>
      <c r="AD52" s="9">
        <f t="shared" si="8"/>
        <v>240</v>
      </c>
      <c r="AE52" s="9">
        <f t="shared" si="7"/>
        <v>1200</v>
      </c>
      <c r="AF52" s="9">
        <f>VLOOKUP(A:A,[1]TDSheet!$A:$AF,32,0)</f>
        <v>12</v>
      </c>
      <c r="AG52" s="9">
        <f>VLOOKUP(A:A,[1]TDSheet!$A:$AG,33,0)</f>
        <v>84</v>
      </c>
      <c r="AH52" s="9">
        <f t="shared" si="9"/>
        <v>2.8571428571428572</v>
      </c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</row>
    <row r="53" spans="1:118" ht="21.95" customHeight="1" x14ac:dyDescent="0.2">
      <c r="A53" s="7" t="s">
        <v>53</v>
      </c>
      <c r="B53" s="7" t="s">
        <v>10</v>
      </c>
      <c r="C53" s="7" t="str">
        <f>VLOOKUP(A:A,[1]TDSheet!$A:$C,3,0)</f>
        <v>P005107</v>
      </c>
      <c r="D53" s="8">
        <v>117</v>
      </c>
      <c r="E53" s="8"/>
      <c r="F53" s="8">
        <v>89</v>
      </c>
      <c r="G53" s="8">
        <v>25</v>
      </c>
      <c r="H53" s="25">
        <f>VLOOKUP(A:A,[1]TDSheet!$A:$H,8,0)</f>
        <v>0.9</v>
      </c>
      <c r="I53" s="9">
        <f>VLOOKUP(A:A,[1]TDSheet!$A:$I,9,0)</f>
        <v>180</v>
      </c>
      <c r="J53" s="9" t="str">
        <f>VLOOKUP(A:A,[1]TDSheet!$A:$J,10,0)</f>
        <v>матрица</v>
      </c>
      <c r="K53" s="9"/>
      <c r="L53" s="9">
        <f>VLOOKUP(A:A,[2]TDSheet!$A:$B,2,0)</f>
        <v>96</v>
      </c>
      <c r="M53" s="9">
        <f t="shared" si="2"/>
        <v>-7</v>
      </c>
      <c r="N53" s="9"/>
      <c r="O53" s="9"/>
      <c r="P53" s="9">
        <f>VLOOKUP(A:A,[1]TDSheet!$A:$R,18,0)</f>
        <v>0</v>
      </c>
      <c r="Q53" s="9">
        <f t="shared" si="3"/>
        <v>17.8</v>
      </c>
      <c r="R53" s="26">
        <v>240</v>
      </c>
      <c r="S53" s="26"/>
      <c r="T53" s="9">
        <f>VLOOKUP(A:A,[3]TDSheet!$A:$T,20,0)</f>
        <v>0</v>
      </c>
      <c r="U53" s="9">
        <f t="shared" si="4"/>
        <v>14.887640449438202</v>
      </c>
      <c r="V53" s="9">
        <f t="shared" si="5"/>
        <v>1.4044943820224718</v>
      </c>
      <c r="W53" s="9">
        <f>VLOOKUP(A:A,[1]TDSheet!$A:$X,24,0)</f>
        <v>15.8</v>
      </c>
      <c r="X53" s="9">
        <f>VLOOKUP(A:A,[1]TDSheet!$A:$Y,25,0)</f>
        <v>16</v>
      </c>
      <c r="Y53" s="9">
        <f>VLOOKUP(A:A,[1]TDSheet!$A:$Z,26,0)</f>
        <v>19.399999999999999</v>
      </c>
      <c r="Z53" s="9">
        <f>VLOOKUP(A:A,[1]TDSheet!$A:$Q,17,0)</f>
        <v>16.600000000000001</v>
      </c>
      <c r="AA53" s="9">
        <f>VLOOKUP(A:A,[1]TDSheet!$A:$AA,27,0)</f>
        <v>0</v>
      </c>
      <c r="AB53" s="9">
        <f t="shared" si="6"/>
        <v>216</v>
      </c>
      <c r="AC53" s="9">
        <f>VLOOKUP(A:A,[1]TDSheet!$A:$AC,29,0)</f>
        <v>8</v>
      </c>
      <c r="AD53" s="9">
        <f t="shared" si="8"/>
        <v>36</v>
      </c>
      <c r="AE53" s="9">
        <f t="shared" si="7"/>
        <v>259.2</v>
      </c>
      <c r="AF53" s="9">
        <f>VLOOKUP(A:A,[1]TDSheet!$A:$AF,32,0)</f>
        <v>12</v>
      </c>
      <c r="AG53" s="9">
        <f>VLOOKUP(A:A,[1]TDSheet!$A:$AG,33,0)</f>
        <v>84</v>
      </c>
      <c r="AH53" s="9">
        <f t="shared" si="9"/>
        <v>0.42857142857142855</v>
      </c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</row>
    <row r="54" spans="1:118" ht="21.95" customHeight="1" x14ac:dyDescent="0.2">
      <c r="A54" s="7" t="s">
        <v>54</v>
      </c>
      <c r="B54" s="7" t="s">
        <v>10</v>
      </c>
      <c r="C54" s="7">
        <v>0</v>
      </c>
      <c r="D54" s="10"/>
      <c r="E54" s="8">
        <v>96</v>
      </c>
      <c r="F54" s="8">
        <v>2</v>
      </c>
      <c r="G54" s="8">
        <v>94</v>
      </c>
      <c r="H54" s="25">
        <v>0.43</v>
      </c>
      <c r="I54" s="9" t="e">
        <f>VLOOKUP(A:A,[1]TDSheet!$A:$I,9,0)</f>
        <v>#N/A</v>
      </c>
      <c r="J54" s="9" t="e">
        <f>VLOOKUP(A:A,[1]TDSheet!$A:$J,10,0)</f>
        <v>#N/A</v>
      </c>
      <c r="K54" s="9"/>
      <c r="L54" s="9">
        <f>VLOOKUP(A:A,[2]TDSheet!$A:$B,2,0)</f>
        <v>14</v>
      </c>
      <c r="M54" s="9">
        <f t="shared" si="2"/>
        <v>-12</v>
      </c>
      <c r="N54" s="9"/>
      <c r="O54" s="9"/>
      <c r="P54" s="9">
        <v>0</v>
      </c>
      <c r="Q54" s="9">
        <f t="shared" si="3"/>
        <v>0.4</v>
      </c>
      <c r="R54" s="26"/>
      <c r="S54" s="26"/>
      <c r="T54" s="9">
        <f>VLOOKUP(A:A,[3]TDSheet!$A:$T,20,0)</f>
        <v>0</v>
      </c>
      <c r="U54" s="9">
        <f t="shared" si="4"/>
        <v>235</v>
      </c>
      <c r="V54" s="9">
        <f t="shared" si="5"/>
        <v>235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f t="shared" si="6"/>
        <v>0</v>
      </c>
      <c r="AC54" s="9">
        <v>0</v>
      </c>
      <c r="AD54" s="9">
        <v>0</v>
      </c>
      <c r="AE54" s="9">
        <f t="shared" si="7"/>
        <v>0</v>
      </c>
      <c r="AF54" s="9">
        <v>0</v>
      </c>
      <c r="AG54" s="9">
        <v>0</v>
      </c>
      <c r="AH54" s="9">
        <v>0</v>
      </c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</row>
    <row r="55" spans="1:118" ht="11.1" customHeight="1" x14ac:dyDescent="0.2">
      <c r="A55" s="7" t="s">
        <v>55</v>
      </c>
      <c r="B55" s="7" t="s">
        <v>13</v>
      </c>
      <c r="C55" s="7" t="str">
        <f>VLOOKUP(A:A,[1]TDSheet!$A:$C,3,0)</f>
        <v>P004472</v>
      </c>
      <c r="D55" s="8">
        <v>165</v>
      </c>
      <c r="E55" s="8">
        <v>425</v>
      </c>
      <c r="F55" s="8">
        <v>205</v>
      </c>
      <c r="G55" s="8">
        <v>380</v>
      </c>
      <c r="H55" s="25">
        <f>VLOOKUP(A:A,[1]TDSheet!$A:$H,8,0)</f>
        <v>1</v>
      </c>
      <c r="I55" s="9">
        <f>VLOOKUP(A:A,[1]TDSheet!$A:$I,9,0)</f>
        <v>180</v>
      </c>
      <c r="J55" s="9" t="str">
        <f>VLOOKUP(A:A,[1]TDSheet!$A:$J,10,0)</f>
        <v>матрица</v>
      </c>
      <c r="K55" s="9"/>
      <c r="L55" s="9">
        <f>VLOOKUP(A:A,[2]TDSheet!$A:$B,2,0)</f>
        <v>210</v>
      </c>
      <c r="M55" s="9">
        <f t="shared" si="2"/>
        <v>-5</v>
      </c>
      <c r="N55" s="9"/>
      <c r="O55" s="9"/>
      <c r="P55" s="9">
        <f>VLOOKUP(A:A,[1]TDSheet!$A:$R,18,0)</f>
        <v>0</v>
      </c>
      <c r="Q55" s="9">
        <f t="shared" si="3"/>
        <v>41</v>
      </c>
      <c r="R55" s="26">
        <v>200</v>
      </c>
      <c r="S55" s="26"/>
      <c r="T55" s="9">
        <f>VLOOKUP(A:A,[3]TDSheet!$A:$T,20,0)</f>
        <v>0</v>
      </c>
      <c r="U55" s="9">
        <f t="shared" si="4"/>
        <v>14.146341463414634</v>
      </c>
      <c r="V55" s="9">
        <f t="shared" si="5"/>
        <v>9.2682926829268286</v>
      </c>
      <c r="W55" s="9">
        <f>VLOOKUP(A:A,[1]TDSheet!$A:$X,24,0)</f>
        <v>37</v>
      </c>
      <c r="X55" s="9">
        <f>VLOOKUP(A:A,[1]TDSheet!$A:$Y,25,0)</f>
        <v>39</v>
      </c>
      <c r="Y55" s="9">
        <f>VLOOKUP(A:A,[1]TDSheet!$A:$Z,26,0)</f>
        <v>47</v>
      </c>
      <c r="Z55" s="9">
        <f>VLOOKUP(A:A,[1]TDSheet!$A:$Q,17,0)</f>
        <v>41</v>
      </c>
      <c r="AA55" s="9">
        <f>VLOOKUP(A:A,[1]TDSheet!$A:$AA,27,0)</f>
        <v>0</v>
      </c>
      <c r="AB55" s="9">
        <f t="shared" si="6"/>
        <v>200</v>
      </c>
      <c r="AC55" s="9">
        <f>VLOOKUP(A:A,[1]TDSheet!$A:$AC,29,0)</f>
        <v>5</v>
      </c>
      <c r="AD55" s="9">
        <f t="shared" si="8"/>
        <v>36</v>
      </c>
      <c r="AE55" s="9">
        <f t="shared" si="7"/>
        <v>180</v>
      </c>
      <c r="AF55" s="9">
        <f>VLOOKUP(A:A,[1]TDSheet!$A:$AF,32,0)</f>
        <v>12</v>
      </c>
      <c r="AG55" s="9">
        <f>VLOOKUP(A:A,[1]TDSheet!$A:$AG,33,0)</f>
        <v>144</v>
      </c>
      <c r="AH55" s="9">
        <f t="shared" si="9"/>
        <v>0.25</v>
      </c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</row>
    <row r="56" spans="1:118" ht="11.1" customHeight="1" x14ac:dyDescent="0.2">
      <c r="A56" s="27" t="s">
        <v>56</v>
      </c>
      <c r="B56" s="27" t="s">
        <v>10</v>
      </c>
      <c r="C56" s="27" t="str">
        <f>VLOOKUP(A:A,[1]TDSheet!$A:$C,3,0)</f>
        <v>P004081</v>
      </c>
      <c r="D56" s="28">
        <v>123</v>
      </c>
      <c r="E56" s="28"/>
      <c r="F56" s="28">
        <v>15</v>
      </c>
      <c r="G56" s="28">
        <v>108</v>
      </c>
      <c r="H56" s="29">
        <f>VLOOKUP(A:A,[1]TDSheet!$A:$H,8,0)</f>
        <v>1</v>
      </c>
      <c r="I56" s="30">
        <f>VLOOKUP(A:A,[1]TDSheet!$A:$I,9,0)</f>
        <v>0</v>
      </c>
      <c r="J56" s="30">
        <f>VLOOKUP(A:A,[1]TDSheet!$A:$J,10,0)</f>
        <v>0</v>
      </c>
      <c r="K56" s="9"/>
      <c r="L56" s="9">
        <f>VLOOKUP(A:A,[2]TDSheet!$A:$B,2,0)</f>
        <v>15</v>
      </c>
      <c r="M56" s="9">
        <f t="shared" si="2"/>
        <v>0</v>
      </c>
      <c r="N56" s="9"/>
      <c r="O56" s="9"/>
      <c r="P56" s="9">
        <f>VLOOKUP(A:A,[1]TDSheet!$A:$R,18,0)</f>
        <v>0</v>
      </c>
      <c r="Q56" s="9">
        <f t="shared" si="3"/>
        <v>3</v>
      </c>
      <c r="R56" s="26"/>
      <c r="S56" s="26"/>
      <c r="T56" s="9">
        <f>VLOOKUP(A:A,[3]TDSheet!$A:$T,20,0)</f>
        <v>0</v>
      </c>
      <c r="U56" s="9">
        <f t="shared" si="4"/>
        <v>36</v>
      </c>
      <c r="V56" s="9">
        <f t="shared" si="5"/>
        <v>36</v>
      </c>
      <c r="W56" s="9">
        <f>VLOOKUP(A:A,[1]TDSheet!$A:$X,24,0)</f>
        <v>5.2</v>
      </c>
      <c r="X56" s="9">
        <f>VLOOKUP(A:A,[1]TDSheet!$A:$Y,25,0)</f>
        <v>10.199999999999999</v>
      </c>
      <c r="Y56" s="9">
        <f>VLOOKUP(A:A,[1]TDSheet!$A:$Z,26,0)</f>
        <v>6.4</v>
      </c>
      <c r="Z56" s="9">
        <f>VLOOKUP(A:A,[1]TDSheet!$A:$Q,17,0)</f>
        <v>4</v>
      </c>
      <c r="AA56" s="9">
        <f>VLOOKUP(A:A,[1]TDSheet!$A:$AA,27,0)</f>
        <v>0</v>
      </c>
      <c r="AB56" s="9">
        <f t="shared" si="6"/>
        <v>0</v>
      </c>
      <c r="AC56" s="9">
        <f>VLOOKUP(A:A,[1]TDSheet!$A:$AC,29,0)</f>
        <v>5</v>
      </c>
      <c r="AD56" s="9">
        <f t="shared" si="8"/>
        <v>0</v>
      </c>
      <c r="AE56" s="9">
        <f t="shared" si="7"/>
        <v>0</v>
      </c>
      <c r="AF56" s="9">
        <f>VLOOKUP(A:A,[1]TDSheet!$A:$AF,32,0)</f>
        <v>12</v>
      </c>
      <c r="AG56" s="9">
        <f>VLOOKUP(A:A,[1]TDSheet!$A:$AG,33,0)</f>
        <v>84</v>
      </c>
      <c r="AH56" s="30">
        <f t="shared" si="9"/>
        <v>0</v>
      </c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</row>
    <row r="57" spans="1:118" ht="11.1" customHeight="1" x14ac:dyDescent="0.2">
      <c r="A57" s="31" t="s">
        <v>57</v>
      </c>
      <c r="B57" s="31" t="s">
        <v>13</v>
      </c>
      <c r="C57" s="31" t="str">
        <f>VLOOKUP(A:A,[1]TDSheet!$A:$C,3,0)</f>
        <v>P004359</v>
      </c>
      <c r="D57" s="32">
        <v>26</v>
      </c>
      <c r="E57" s="32">
        <v>244.2</v>
      </c>
      <c r="F57" s="32">
        <v>188.7</v>
      </c>
      <c r="G57" s="32">
        <v>74</v>
      </c>
      <c r="H57" s="33">
        <f>VLOOKUP(A:A,[1]TDSheet!$A:$H,8,0)</f>
        <v>1</v>
      </c>
      <c r="I57" s="34">
        <f>VLOOKUP(A:A,[1]TDSheet!$A:$I,9,0)</f>
        <v>180</v>
      </c>
      <c r="J57" s="34" t="str">
        <f>VLOOKUP(A:A,[1]TDSheet!$A:$J,10,0)</f>
        <v>матрица</v>
      </c>
      <c r="K57" s="9"/>
      <c r="L57" s="9">
        <f>VLOOKUP(A:A,[2]TDSheet!$A:$B,2,0)</f>
        <v>199.8</v>
      </c>
      <c r="M57" s="9">
        <f t="shared" si="2"/>
        <v>-11.100000000000023</v>
      </c>
      <c r="N57" s="9"/>
      <c r="O57" s="9"/>
      <c r="P57" s="9">
        <f>VLOOKUP(A:A,[1]TDSheet!$A:$R,18,0)</f>
        <v>330</v>
      </c>
      <c r="Q57" s="9">
        <f t="shared" si="3"/>
        <v>37.739999999999995</v>
      </c>
      <c r="R57" s="26">
        <v>120</v>
      </c>
      <c r="S57" s="26"/>
      <c r="T57" s="9">
        <f>VLOOKUP(A:A,[3]TDSheet!$A:$T,20,0)</f>
        <v>0</v>
      </c>
      <c r="U57" s="9">
        <f t="shared" si="4"/>
        <v>13.884472708002122</v>
      </c>
      <c r="V57" s="9">
        <f t="shared" si="5"/>
        <v>1.9607843137254906</v>
      </c>
      <c r="W57" s="9">
        <f>VLOOKUP(A:A,[1]TDSheet!$A:$X,24,0)</f>
        <v>29</v>
      </c>
      <c r="X57" s="9">
        <f>VLOOKUP(A:A,[1]TDSheet!$A:$Y,25,0)</f>
        <v>13.319999999999999</v>
      </c>
      <c r="Y57" s="9">
        <f>VLOOKUP(A:A,[1]TDSheet!$A:$Z,26,0)</f>
        <v>27.2</v>
      </c>
      <c r="Z57" s="9">
        <f>VLOOKUP(A:A,[1]TDSheet!$A:$Q,17,0)</f>
        <v>39.22</v>
      </c>
      <c r="AA57" s="9">
        <f>VLOOKUP(A:A,[1]TDSheet!$A:$AA,27,0)</f>
        <v>0</v>
      </c>
      <c r="AB57" s="9">
        <f t="shared" si="6"/>
        <v>120</v>
      </c>
      <c r="AC57" s="9">
        <f>VLOOKUP(A:A,[1]TDSheet!$A:$AC,29,0)</f>
        <v>3.7</v>
      </c>
      <c r="AD57" s="9">
        <f t="shared" si="8"/>
        <v>28</v>
      </c>
      <c r="AE57" s="9">
        <f t="shared" si="7"/>
        <v>103.60000000000001</v>
      </c>
      <c r="AF57" s="9">
        <f>VLOOKUP(A:A,[1]TDSheet!$A:$AF,32,0)</f>
        <v>14</v>
      </c>
      <c r="AG57" s="9">
        <f>VLOOKUP(A:A,[1]TDSheet!$A:$AG,33,0)</f>
        <v>126</v>
      </c>
      <c r="AH57" s="34">
        <f t="shared" si="9"/>
        <v>0.22222222222222221</v>
      </c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</row>
    <row r="58" spans="1:118" ht="11.1" customHeight="1" x14ac:dyDescent="0.2">
      <c r="A58" s="7" t="s">
        <v>58</v>
      </c>
      <c r="B58" s="7" t="s">
        <v>10</v>
      </c>
      <c r="C58" s="7" t="str">
        <f>VLOOKUP(A:A,[1]TDSheet!$A:$C,3,0)</f>
        <v>P005182</v>
      </c>
      <c r="D58" s="8">
        <v>605</v>
      </c>
      <c r="E58" s="8">
        <v>370</v>
      </c>
      <c r="F58" s="8">
        <v>295</v>
      </c>
      <c r="G58" s="8">
        <v>658</v>
      </c>
      <c r="H58" s="25">
        <f>VLOOKUP(A:A,[1]TDSheet!$A:$H,8,0)</f>
        <v>0.23</v>
      </c>
      <c r="I58" s="9">
        <f>VLOOKUP(A:A,[1]TDSheet!$A:$I,9,0)</f>
        <v>0</v>
      </c>
      <c r="J58" s="9" t="str">
        <f>VLOOKUP(A:A,[1]TDSheet!$A:$J,10,0)</f>
        <v>Новинка</v>
      </c>
      <c r="K58" s="9"/>
      <c r="L58" s="9">
        <f>VLOOKUP(A:A,[2]TDSheet!$A:$B,2,0)</f>
        <v>323</v>
      </c>
      <c r="M58" s="9">
        <f t="shared" si="2"/>
        <v>-28</v>
      </c>
      <c r="N58" s="9"/>
      <c r="O58" s="9"/>
      <c r="P58" s="9">
        <f>VLOOKUP(A:A,[1]TDSheet!$A:$R,18,0)</f>
        <v>100</v>
      </c>
      <c r="Q58" s="9">
        <f t="shared" si="3"/>
        <v>59</v>
      </c>
      <c r="R58" s="26">
        <v>80</v>
      </c>
      <c r="S58" s="26"/>
      <c r="T58" s="9">
        <f>VLOOKUP(A:A,[3]TDSheet!$A:$T,20,0)</f>
        <v>0</v>
      </c>
      <c r="U58" s="9">
        <f t="shared" si="4"/>
        <v>14.203389830508474</v>
      </c>
      <c r="V58" s="9">
        <f t="shared" si="5"/>
        <v>11.152542372881356</v>
      </c>
      <c r="W58" s="9">
        <f>VLOOKUP(A:A,[1]TDSheet!$A:$X,24,0)</f>
        <v>102.8</v>
      </c>
      <c r="X58" s="9">
        <f>VLOOKUP(A:A,[1]TDSheet!$A:$Y,25,0)</f>
        <v>13.6</v>
      </c>
      <c r="Y58" s="9">
        <f>VLOOKUP(A:A,[1]TDSheet!$A:$Z,26,0)</f>
        <v>81</v>
      </c>
      <c r="Z58" s="9">
        <f>VLOOKUP(A:A,[1]TDSheet!$A:$Q,17,0)</f>
        <v>70.400000000000006</v>
      </c>
      <c r="AA58" s="9">
        <f>VLOOKUP(A:A,[1]TDSheet!$A:$AA,27,0)</f>
        <v>0</v>
      </c>
      <c r="AB58" s="9">
        <f t="shared" si="6"/>
        <v>18.400000000000002</v>
      </c>
      <c r="AC58" s="9">
        <f>VLOOKUP(A:A,[1]TDSheet!$A:$AC,29,0)</f>
        <v>6</v>
      </c>
      <c r="AD58" s="9">
        <f t="shared" si="8"/>
        <v>14</v>
      </c>
      <c r="AE58" s="9">
        <f t="shared" si="7"/>
        <v>19.32</v>
      </c>
      <c r="AF58" s="9">
        <f>VLOOKUP(A:A,[1]TDSheet!$A:$AF,32,0)</f>
        <v>14</v>
      </c>
      <c r="AG58" s="9">
        <f>VLOOKUP(A:A,[1]TDSheet!$A:$AG,33,0)</f>
        <v>140</v>
      </c>
      <c r="AH58" s="9">
        <f t="shared" si="9"/>
        <v>0.1</v>
      </c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</row>
    <row r="59" spans="1:118" ht="11.1" customHeight="1" x14ac:dyDescent="0.2">
      <c r="A59" s="7" t="s">
        <v>59</v>
      </c>
      <c r="B59" s="7" t="s">
        <v>10</v>
      </c>
      <c r="C59" s="7" t="str">
        <f>VLOOKUP(A:A,[1]TDSheet!$A:$C,3,0)</f>
        <v>P005058</v>
      </c>
      <c r="D59" s="8">
        <v>530</v>
      </c>
      <c r="E59" s="8">
        <v>196</v>
      </c>
      <c r="F59" s="8">
        <v>504</v>
      </c>
      <c r="G59" s="8">
        <v>206</v>
      </c>
      <c r="H59" s="25">
        <f>VLOOKUP(A:A,[1]TDSheet!$A:$H,8,0)</f>
        <v>0.25</v>
      </c>
      <c r="I59" s="9">
        <f>VLOOKUP(A:A,[1]TDSheet!$A:$I,9,0)</f>
        <v>180</v>
      </c>
      <c r="J59" s="9" t="str">
        <f>VLOOKUP(A:A,[1]TDSheet!$A:$J,10,0)</f>
        <v>матрица</v>
      </c>
      <c r="K59" s="9"/>
      <c r="L59" s="9">
        <f>VLOOKUP(A:A,[2]TDSheet!$A:$B,2,0)</f>
        <v>525</v>
      </c>
      <c r="M59" s="9">
        <f t="shared" si="2"/>
        <v>-21</v>
      </c>
      <c r="N59" s="9"/>
      <c r="O59" s="9"/>
      <c r="P59" s="9">
        <f>VLOOKUP(A:A,[1]TDSheet!$A:$R,18,0)</f>
        <v>560</v>
      </c>
      <c r="Q59" s="9">
        <f t="shared" si="3"/>
        <v>100.8</v>
      </c>
      <c r="R59" s="26">
        <v>760</v>
      </c>
      <c r="S59" s="26"/>
      <c r="T59" s="9">
        <f>VLOOKUP(A:A,[3]TDSheet!$A:$T,20,0)</f>
        <v>0</v>
      </c>
      <c r="U59" s="9">
        <f t="shared" si="4"/>
        <v>15.138888888888889</v>
      </c>
      <c r="V59" s="9">
        <f t="shared" si="5"/>
        <v>2.0436507936507935</v>
      </c>
      <c r="W59" s="9">
        <f>VLOOKUP(A:A,[1]TDSheet!$A:$X,24,0)</f>
        <v>65</v>
      </c>
      <c r="X59" s="9">
        <f>VLOOKUP(A:A,[1]TDSheet!$A:$Y,25,0)</f>
        <v>65.2</v>
      </c>
      <c r="Y59" s="9">
        <f>VLOOKUP(A:A,[1]TDSheet!$A:$Z,26,0)</f>
        <v>69.2</v>
      </c>
      <c r="Z59" s="9">
        <f>VLOOKUP(A:A,[1]TDSheet!$A:$Q,17,0)</f>
        <v>85.8</v>
      </c>
      <c r="AA59" s="9">
        <f>VLOOKUP(A:A,[1]TDSheet!$A:$AA,27,0)</f>
        <v>0</v>
      </c>
      <c r="AB59" s="9">
        <f t="shared" si="6"/>
        <v>190</v>
      </c>
      <c r="AC59" s="9">
        <f>VLOOKUP(A:A,[1]TDSheet!$A:$AC,29,0)</f>
        <v>12</v>
      </c>
      <c r="AD59" s="9">
        <f t="shared" si="8"/>
        <v>70</v>
      </c>
      <c r="AE59" s="9">
        <f t="shared" si="7"/>
        <v>210</v>
      </c>
      <c r="AF59" s="9">
        <f>VLOOKUP(A:A,[1]TDSheet!$A:$AF,32,0)</f>
        <v>14</v>
      </c>
      <c r="AG59" s="9">
        <f>VLOOKUP(A:A,[1]TDSheet!$A:$AG,33,0)</f>
        <v>70</v>
      </c>
      <c r="AH59" s="9">
        <f t="shared" si="9"/>
        <v>1</v>
      </c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</row>
    <row r="60" spans="1:118" ht="11.1" customHeight="1" x14ac:dyDescent="0.2">
      <c r="A60" s="7" t="s">
        <v>60</v>
      </c>
      <c r="B60" s="7" t="s">
        <v>10</v>
      </c>
      <c r="C60" s="7" t="str">
        <f>VLOOKUP(A:A,[1]TDSheet!$A:$C,3,0)</f>
        <v>P004489</v>
      </c>
      <c r="D60" s="8">
        <v>839</v>
      </c>
      <c r="E60" s="8">
        <v>33</v>
      </c>
      <c r="F60" s="8">
        <v>783</v>
      </c>
      <c r="G60" s="8">
        <v>65</v>
      </c>
      <c r="H60" s="25">
        <f>VLOOKUP(A:A,[1]TDSheet!$A:$H,8,0)</f>
        <v>0.25</v>
      </c>
      <c r="I60" s="9">
        <f>VLOOKUP(A:A,[1]TDSheet!$A:$I,9,0)</f>
        <v>180</v>
      </c>
      <c r="J60" s="9" t="str">
        <f>VLOOKUP(A:A,[1]TDSheet!$A:$J,10,0)</f>
        <v>матрица</v>
      </c>
      <c r="K60" s="9"/>
      <c r="L60" s="9">
        <f>VLOOKUP(A:A,[2]TDSheet!$A:$B,2,0)</f>
        <v>813</v>
      </c>
      <c r="M60" s="9">
        <f t="shared" si="2"/>
        <v>-30</v>
      </c>
      <c r="N60" s="9"/>
      <c r="O60" s="9"/>
      <c r="P60" s="9">
        <f>VLOOKUP(A:A,[1]TDSheet!$A:$R,18,0)</f>
        <v>500</v>
      </c>
      <c r="Q60" s="9">
        <f t="shared" si="3"/>
        <v>156.6</v>
      </c>
      <c r="R60" s="26">
        <v>2000</v>
      </c>
      <c r="S60" s="26">
        <f>VLOOKUP(A:A,[3]TDSheet!$A:$S,19,0)</f>
        <v>2000</v>
      </c>
      <c r="T60" s="9">
        <f>VLOOKUP(A:A,[3]TDSheet!$A:$T,20,0)</f>
        <v>0</v>
      </c>
      <c r="U60" s="9">
        <f t="shared" si="4"/>
        <v>16.379310344827587</v>
      </c>
      <c r="V60" s="9">
        <f t="shared" si="5"/>
        <v>0.4150702426564496</v>
      </c>
      <c r="W60" s="9">
        <f>VLOOKUP(A:A,[1]TDSheet!$A:$X,24,0)</f>
        <v>106.8</v>
      </c>
      <c r="X60" s="9">
        <f>VLOOKUP(A:A,[1]TDSheet!$A:$Y,25,0)</f>
        <v>64</v>
      </c>
      <c r="Y60" s="9">
        <f>VLOOKUP(A:A,[1]TDSheet!$A:$Z,26,0)</f>
        <v>82.4</v>
      </c>
      <c r="Z60" s="9">
        <f>VLOOKUP(A:A,[1]TDSheet!$A:$Q,17,0)</f>
        <v>92.8</v>
      </c>
      <c r="AA60" s="9">
        <f>VLOOKUP(A:A,[1]TDSheet!$A:$AA,27,0)</f>
        <v>0</v>
      </c>
      <c r="AB60" s="9">
        <f t="shared" si="6"/>
        <v>500</v>
      </c>
      <c r="AC60" s="9">
        <f>VLOOKUP(A:A,[1]TDSheet!$A:$AC,29,0)</f>
        <v>12</v>
      </c>
      <c r="AD60" s="9">
        <f t="shared" si="8"/>
        <v>168</v>
      </c>
      <c r="AE60" s="9">
        <f t="shared" si="7"/>
        <v>504</v>
      </c>
      <c r="AF60" s="9">
        <f>VLOOKUP(A:A,[1]TDSheet!$A:$AF,32,0)</f>
        <v>14</v>
      </c>
      <c r="AG60" s="9">
        <f>VLOOKUP(A:A,[1]TDSheet!$A:$AG,33,0)</f>
        <v>70</v>
      </c>
      <c r="AH60" s="9">
        <f t="shared" si="9"/>
        <v>2.4</v>
      </c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</row>
    <row r="61" spans="1:118" ht="11.1" customHeight="1" x14ac:dyDescent="0.2">
      <c r="A61" s="27" t="s">
        <v>61</v>
      </c>
      <c r="B61" s="27" t="s">
        <v>10</v>
      </c>
      <c r="C61" s="27" t="str">
        <f>VLOOKUP(A:A,[1]TDSheet!$A:$C,3,0)</f>
        <v>P005201</v>
      </c>
      <c r="D61" s="28">
        <v>913</v>
      </c>
      <c r="E61" s="28">
        <v>16</v>
      </c>
      <c r="F61" s="28">
        <v>100</v>
      </c>
      <c r="G61" s="28">
        <v>819</v>
      </c>
      <c r="H61" s="29">
        <f>VLOOKUP(A:A,[1]TDSheet!$A:$H,8,0)</f>
        <v>0.18</v>
      </c>
      <c r="I61" s="30">
        <f>VLOOKUP(A:A,[1]TDSheet!$A:$I,9,0)</f>
        <v>0</v>
      </c>
      <c r="J61" s="30" t="e">
        <f>VLOOKUP(A:A,[1]TDSheet!$A:$J,10,0)</f>
        <v>#N/A</v>
      </c>
      <c r="K61" s="9"/>
      <c r="L61" s="9">
        <f>VLOOKUP(A:A,[2]TDSheet!$A:$B,2,0)</f>
        <v>110</v>
      </c>
      <c r="M61" s="9">
        <f t="shared" si="2"/>
        <v>-10</v>
      </c>
      <c r="N61" s="9"/>
      <c r="O61" s="9"/>
      <c r="P61" s="9">
        <f>VLOOKUP(A:A,[1]TDSheet!$A:$R,18,0)</f>
        <v>0</v>
      </c>
      <c r="Q61" s="9">
        <f t="shared" si="3"/>
        <v>20</v>
      </c>
      <c r="R61" s="26"/>
      <c r="S61" s="26"/>
      <c r="T61" s="9">
        <f>VLOOKUP(A:A,[3]TDSheet!$A:$T,20,0)</f>
        <v>0</v>
      </c>
      <c r="U61" s="9">
        <f t="shared" si="4"/>
        <v>40.950000000000003</v>
      </c>
      <c r="V61" s="9">
        <f t="shared" si="5"/>
        <v>40.950000000000003</v>
      </c>
      <c r="W61" s="9">
        <f>VLOOKUP(A:A,[1]TDSheet!$A:$X,24,0)</f>
        <v>69</v>
      </c>
      <c r="X61" s="9">
        <f>VLOOKUP(A:A,[1]TDSheet!$A:$Y,25,0)</f>
        <v>12.2</v>
      </c>
      <c r="Y61" s="9">
        <f>VLOOKUP(A:A,[1]TDSheet!$A:$Z,26,0)</f>
        <v>23.4</v>
      </c>
      <c r="Z61" s="9">
        <f>VLOOKUP(A:A,[1]TDSheet!$A:$Q,17,0)</f>
        <v>31.4</v>
      </c>
      <c r="AA61" s="9">
        <f>VLOOKUP(A:A,[1]TDSheet!$A:$AA,27,0)</f>
        <v>0</v>
      </c>
      <c r="AB61" s="9">
        <f t="shared" si="6"/>
        <v>0</v>
      </c>
      <c r="AC61" s="9">
        <f>VLOOKUP(A:A,[1]TDSheet!$A:$AC,29,0)</f>
        <v>6</v>
      </c>
      <c r="AD61" s="9">
        <f t="shared" si="8"/>
        <v>0</v>
      </c>
      <c r="AE61" s="9">
        <f t="shared" si="7"/>
        <v>0</v>
      </c>
      <c r="AF61" s="9">
        <f>VLOOKUP(A:A,[1]TDSheet!$A:$AF,32,0)</f>
        <v>14</v>
      </c>
      <c r="AG61" s="9">
        <f>VLOOKUP(A:A,[1]TDSheet!$A:$AG,33,0)</f>
        <v>140</v>
      </c>
      <c r="AH61" s="30">
        <f t="shared" si="9"/>
        <v>0</v>
      </c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</row>
    <row r="62" spans="1:118" ht="11.1" customHeight="1" x14ac:dyDescent="0.2">
      <c r="A62" s="27" t="s">
        <v>62</v>
      </c>
      <c r="B62" s="27" t="s">
        <v>10</v>
      </c>
      <c r="C62" s="27" t="str">
        <f>VLOOKUP(A:A,[1]TDSheet!$A:$C,3,0)</f>
        <v>P005199</v>
      </c>
      <c r="D62" s="28">
        <v>1043</v>
      </c>
      <c r="E62" s="28">
        <v>30</v>
      </c>
      <c r="F62" s="28">
        <v>146</v>
      </c>
      <c r="G62" s="28">
        <v>917</v>
      </c>
      <c r="H62" s="29">
        <f>VLOOKUP(A:A,[1]TDSheet!$A:$H,8,0)</f>
        <v>0.18</v>
      </c>
      <c r="I62" s="30">
        <f>VLOOKUP(A:A,[1]TDSheet!$A:$I,9,0)</f>
        <v>0</v>
      </c>
      <c r="J62" s="30" t="e">
        <f>VLOOKUP(A:A,[1]TDSheet!$A:$J,10,0)</f>
        <v>#N/A</v>
      </c>
      <c r="K62" s="9"/>
      <c r="L62" s="9">
        <f>VLOOKUP(A:A,[2]TDSheet!$A:$B,2,0)</f>
        <v>156</v>
      </c>
      <c r="M62" s="9">
        <f t="shared" si="2"/>
        <v>-10</v>
      </c>
      <c r="N62" s="9"/>
      <c r="O62" s="9"/>
      <c r="P62" s="9">
        <f>VLOOKUP(A:A,[1]TDSheet!$A:$R,18,0)</f>
        <v>0</v>
      </c>
      <c r="Q62" s="9">
        <f t="shared" si="3"/>
        <v>29.2</v>
      </c>
      <c r="R62" s="26"/>
      <c r="S62" s="26"/>
      <c r="T62" s="9">
        <f>VLOOKUP(A:A,[3]TDSheet!$A:$T,20,0)</f>
        <v>0</v>
      </c>
      <c r="U62" s="9">
        <f t="shared" si="4"/>
        <v>31.404109589041095</v>
      </c>
      <c r="V62" s="9">
        <f t="shared" si="5"/>
        <v>31.404109589041095</v>
      </c>
      <c r="W62" s="9">
        <f>VLOOKUP(A:A,[1]TDSheet!$A:$X,24,0)</f>
        <v>81.8</v>
      </c>
      <c r="X62" s="9">
        <f>VLOOKUP(A:A,[1]TDSheet!$A:$Y,25,0)</f>
        <v>31</v>
      </c>
      <c r="Y62" s="9">
        <f>VLOOKUP(A:A,[1]TDSheet!$A:$Z,26,0)</f>
        <v>22.6</v>
      </c>
      <c r="Z62" s="9">
        <f>VLOOKUP(A:A,[1]TDSheet!$A:$Q,17,0)</f>
        <v>53</v>
      </c>
      <c r="AA62" s="9">
        <f>VLOOKUP(A:A,[1]TDSheet!$A:$AA,27,0)</f>
        <v>0</v>
      </c>
      <c r="AB62" s="9">
        <f t="shared" si="6"/>
        <v>0</v>
      </c>
      <c r="AC62" s="9">
        <f>VLOOKUP(A:A,[1]TDSheet!$A:$AC,29,0)</f>
        <v>6</v>
      </c>
      <c r="AD62" s="9">
        <f t="shared" si="8"/>
        <v>0</v>
      </c>
      <c r="AE62" s="9">
        <f t="shared" si="7"/>
        <v>0</v>
      </c>
      <c r="AF62" s="9">
        <f>VLOOKUP(A:A,[1]TDSheet!$A:$AF,32,0)</f>
        <v>14</v>
      </c>
      <c r="AG62" s="9">
        <f>VLOOKUP(A:A,[1]TDSheet!$A:$AG,33,0)</f>
        <v>140</v>
      </c>
      <c r="AH62" s="30">
        <f t="shared" si="9"/>
        <v>0</v>
      </c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</row>
    <row r="63" spans="1:118" ht="11.1" customHeight="1" x14ac:dyDescent="0.2">
      <c r="A63" s="27" t="s">
        <v>63</v>
      </c>
      <c r="B63" s="27" t="s">
        <v>10</v>
      </c>
      <c r="C63" s="27" t="str">
        <f>VLOOKUP(A:A,[1]TDSheet!$A:$C,3,0)</f>
        <v>P005200</v>
      </c>
      <c r="D63" s="28">
        <v>87</v>
      </c>
      <c r="E63" s="28">
        <v>1</v>
      </c>
      <c r="F63" s="28">
        <v>14</v>
      </c>
      <c r="G63" s="28">
        <v>73</v>
      </c>
      <c r="H63" s="29">
        <f>VLOOKUP(A:A,[1]TDSheet!$A:$H,8,0)</f>
        <v>0.18</v>
      </c>
      <c r="I63" s="30">
        <f>VLOOKUP(A:A,[1]TDSheet!$A:$I,9,0)</f>
        <v>0</v>
      </c>
      <c r="J63" s="30" t="e">
        <f>VLOOKUP(A:A,[1]TDSheet!$A:$J,10,0)</f>
        <v>#N/A</v>
      </c>
      <c r="K63" s="9"/>
      <c r="L63" s="9">
        <f>VLOOKUP(A:A,[2]TDSheet!$A:$B,2,0)</f>
        <v>16</v>
      </c>
      <c r="M63" s="9">
        <f t="shared" si="2"/>
        <v>-2</v>
      </c>
      <c r="N63" s="9"/>
      <c r="O63" s="9"/>
      <c r="P63" s="9">
        <f>VLOOKUP(A:A,[1]TDSheet!$A:$R,18,0)</f>
        <v>0</v>
      </c>
      <c r="Q63" s="9">
        <f t="shared" si="3"/>
        <v>2.8</v>
      </c>
      <c r="R63" s="26"/>
      <c r="S63" s="26"/>
      <c r="T63" s="9">
        <f>VLOOKUP(A:A,[3]TDSheet!$A:$T,20,0)</f>
        <v>0</v>
      </c>
      <c r="U63" s="9">
        <f t="shared" si="4"/>
        <v>26.071428571428573</v>
      </c>
      <c r="V63" s="9">
        <f t="shared" si="5"/>
        <v>26.071428571428573</v>
      </c>
      <c r="W63" s="9">
        <f>VLOOKUP(A:A,[1]TDSheet!$A:$X,24,0)</f>
        <v>6.8</v>
      </c>
      <c r="X63" s="9">
        <f>VLOOKUP(A:A,[1]TDSheet!$A:$Y,25,0)</f>
        <v>2</v>
      </c>
      <c r="Y63" s="9">
        <f>VLOOKUP(A:A,[1]TDSheet!$A:$Z,26,0)</f>
        <v>2</v>
      </c>
      <c r="Z63" s="9">
        <f>VLOOKUP(A:A,[1]TDSheet!$A:$Q,17,0)</f>
        <v>2</v>
      </c>
      <c r="AA63" s="9">
        <f>VLOOKUP(A:A,[1]TDSheet!$A:$AA,27,0)</f>
        <v>0</v>
      </c>
      <c r="AB63" s="9">
        <f t="shared" si="6"/>
        <v>0</v>
      </c>
      <c r="AC63" s="9">
        <f>VLOOKUP(A:A,[1]TDSheet!$A:$AC,29,0)</f>
        <v>6</v>
      </c>
      <c r="AD63" s="9">
        <f t="shared" si="8"/>
        <v>0</v>
      </c>
      <c r="AE63" s="9">
        <f t="shared" si="7"/>
        <v>0</v>
      </c>
      <c r="AF63" s="9">
        <f>VLOOKUP(A:A,[1]TDSheet!$A:$AF,32,0)</f>
        <v>14</v>
      </c>
      <c r="AG63" s="9">
        <f>VLOOKUP(A:A,[1]TDSheet!$A:$AG,33,0)</f>
        <v>70</v>
      </c>
      <c r="AH63" s="30">
        <f t="shared" si="9"/>
        <v>0</v>
      </c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</row>
    <row r="64" spans="1:118" ht="11.1" customHeight="1" x14ac:dyDescent="0.2">
      <c r="A64" s="7" t="s">
        <v>64</v>
      </c>
      <c r="B64" s="7" t="s">
        <v>10</v>
      </c>
      <c r="C64" s="7" t="str">
        <f>VLOOKUP(A:A,[1]TDSheet!$A:$C,3,0)</f>
        <v>P004589</v>
      </c>
      <c r="D64" s="8">
        <v>1204</v>
      </c>
      <c r="E64" s="8">
        <v>12</v>
      </c>
      <c r="F64" s="8">
        <v>502</v>
      </c>
      <c r="G64" s="8">
        <v>702</v>
      </c>
      <c r="H64" s="25">
        <f>VLOOKUP(A:A,[1]TDSheet!$A:$H,8,0)</f>
        <v>0.3</v>
      </c>
      <c r="I64" s="9">
        <f>VLOOKUP(A:A,[1]TDSheet!$A:$I,9,0)</f>
        <v>180</v>
      </c>
      <c r="J64" s="9" t="str">
        <f>VLOOKUP(A:A,[1]TDSheet!$A:$J,10,0)</f>
        <v>ВНИМАНИЕ / матрица</v>
      </c>
      <c r="K64" s="9"/>
      <c r="L64" s="9">
        <f>VLOOKUP(A:A,[2]TDSheet!$A:$B,2,0)</f>
        <v>524</v>
      </c>
      <c r="M64" s="9">
        <f t="shared" si="2"/>
        <v>-22</v>
      </c>
      <c r="N64" s="9"/>
      <c r="O64" s="9"/>
      <c r="P64" s="9">
        <f>VLOOKUP(A:A,[1]TDSheet!$A:$R,18,0)</f>
        <v>0</v>
      </c>
      <c r="Q64" s="9">
        <f t="shared" si="3"/>
        <v>100.4</v>
      </c>
      <c r="R64" s="26">
        <v>800</v>
      </c>
      <c r="S64" s="26"/>
      <c r="T64" s="9">
        <f>VLOOKUP(A:A,[3]TDSheet!$A:$T,20,0)</f>
        <v>0</v>
      </c>
      <c r="U64" s="9">
        <f t="shared" si="4"/>
        <v>14.960159362549801</v>
      </c>
      <c r="V64" s="9">
        <f t="shared" si="5"/>
        <v>6.9920318725099602</v>
      </c>
      <c r="W64" s="9">
        <f>VLOOKUP(A:A,[1]TDSheet!$A:$X,24,0)</f>
        <v>85.2</v>
      </c>
      <c r="X64" s="9">
        <f>VLOOKUP(A:A,[1]TDSheet!$A:$Y,25,0)</f>
        <v>77.599999999999994</v>
      </c>
      <c r="Y64" s="9">
        <f>VLOOKUP(A:A,[1]TDSheet!$A:$Z,26,0)</f>
        <v>92.4</v>
      </c>
      <c r="Z64" s="9">
        <f>VLOOKUP(A:A,[1]TDSheet!$A:$Q,17,0)</f>
        <v>70.8</v>
      </c>
      <c r="AA64" s="9">
        <f>VLOOKUP(A:A,[1]TDSheet!$A:$AA,27,0)</f>
        <v>0</v>
      </c>
      <c r="AB64" s="9">
        <f t="shared" si="6"/>
        <v>240</v>
      </c>
      <c r="AC64" s="9">
        <f>VLOOKUP(A:A,[1]TDSheet!$A:$AC,29,0)</f>
        <v>12</v>
      </c>
      <c r="AD64" s="9">
        <f t="shared" si="8"/>
        <v>70</v>
      </c>
      <c r="AE64" s="9">
        <f t="shared" si="7"/>
        <v>252</v>
      </c>
      <c r="AF64" s="9">
        <f>VLOOKUP(A:A,[1]TDSheet!$A:$AF,32,0)</f>
        <v>14</v>
      </c>
      <c r="AG64" s="9">
        <f>VLOOKUP(A:A,[1]TDSheet!$A:$AG,33,0)</f>
        <v>70</v>
      </c>
      <c r="AH64" s="9">
        <f t="shared" si="9"/>
        <v>1</v>
      </c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</row>
    <row r="65" spans="1:118" ht="11.1" customHeight="1" x14ac:dyDescent="0.2">
      <c r="A65" s="7" t="s">
        <v>65</v>
      </c>
      <c r="B65" s="7" t="s">
        <v>10</v>
      </c>
      <c r="C65" s="7" t="str">
        <f>VLOOKUP(A:A,[1]TDSheet!$A:$C,3,0)</f>
        <v>P004588</v>
      </c>
      <c r="D65" s="8">
        <v>1384</v>
      </c>
      <c r="E65" s="8">
        <v>517</v>
      </c>
      <c r="F65" s="8">
        <v>732</v>
      </c>
      <c r="G65" s="8">
        <v>1156</v>
      </c>
      <c r="H65" s="25">
        <f>VLOOKUP(A:A,[1]TDSheet!$A:$H,8,0)</f>
        <v>0.3</v>
      </c>
      <c r="I65" s="9">
        <f>VLOOKUP(A:A,[1]TDSheet!$A:$I,9,0)</f>
        <v>180</v>
      </c>
      <c r="J65" s="9" t="str">
        <f>VLOOKUP(A:A,[1]TDSheet!$A:$J,10,0)</f>
        <v>матрица</v>
      </c>
      <c r="K65" s="9"/>
      <c r="L65" s="9">
        <f>VLOOKUP(A:A,[2]TDSheet!$A:$B,2,0)</f>
        <v>759</v>
      </c>
      <c r="M65" s="9">
        <f t="shared" si="2"/>
        <v>-27</v>
      </c>
      <c r="N65" s="9"/>
      <c r="O65" s="9"/>
      <c r="P65" s="9">
        <f>VLOOKUP(A:A,[1]TDSheet!$A:$R,18,0)</f>
        <v>0</v>
      </c>
      <c r="Q65" s="9">
        <f t="shared" si="3"/>
        <v>146.4</v>
      </c>
      <c r="R65" s="26">
        <v>960</v>
      </c>
      <c r="S65" s="26"/>
      <c r="T65" s="9">
        <f>VLOOKUP(A:A,[3]TDSheet!$A:$T,20,0)</f>
        <v>0</v>
      </c>
      <c r="U65" s="9">
        <f t="shared" si="4"/>
        <v>14.453551912568306</v>
      </c>
      <c r="V65" s="9">
        <f t="shared" si="5"/>
        <v>7.8961748633879782</v>
      </c>
      <c r="W65" s="9">
        <f>VLOOKUP(A:A,[1]TDSheet!$A:$X,24,0)</f>
        <v>122.6</v>
      </c>
      <c r="X65" s="9">
        <f>VLOOKUP(A:A,[1]TDSheet!$A:$Y,25,0)</f>
        <v>161.19999999999999</v>
      </c>
      <c r="Y65" s="9">
        <f>VLOOKUP(A:A,[1]TDSheet!$A:$Z,26,0)</f>
        <v>166.2</v>
      </c>
      <c r="Z65" s="9">
        <f>VLOOKUP(A:A,[1]TDSheet!$A:$Q,17,0)</f>
        <v>138.4</v>
      </c>
      <c r="AA65" s="9">
        <f>VLOOKUP(A:A,[1]TDSheet!$A:$AA,27,0)</f>
        <v>0</v>
      </c>
      <c r="AB65" s="9">
        <f t="shared" si="6"/>
        <v>288</v>
      </c>
      <c r="AC65" s="9">
        <f>VLOOKUP(A:A,[1]TDSheet!$A:$AC,29,0)</f>
        <v>12</v>
      </c>
      <c r="AD65" s="9">
        <f t="shared" si="8"/>
        <v>84</v>
      </c>
      <c r="AE65" s="9">
        <f t="shared" si="7"/>
        <v>302.39999999999998</v>
      </c>
      <c r="AF65" s="9">
        <f>VLOOKUP(A:A,[1]TDSheet!$A:$AF,32,0)</f>
        <v>14</v>
      </c>
      <c r="AG65" s="9">
        <f>VLOOKUP(A:A,[1]TDSheet!$A:$AG,33,0)</f>
        <v>70</v>
      </c>
      <c r="AH65" s="9">
        <f t="shared" si="9"/>
        <v>1.2</v>
      </c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</row>
    <row r="66" spans="1:118" ht="21.95" customHeight="1" x14ac:dyDescent="0.2">
      <c r="A66" s="7" t="s">
        <v>66</v>
      </c>
      <c r="B66" s="7" t="s">
        <v>10</v>
      </c>
      <c r="C66" s="7" t="str">
        <f>VLOOKUP(A:A,[1]TDSheet!$A:$C,3,0)</f>
        <v>P004113</v>
      </c>
      <c r="D66" s="8">
        <v>3</v>
      </c>
      <c r="E66" s="8">
        <v>1193</v>
      </c>
      <c r="F66" s="8">
        <v>459</v>
      </c>
      <c r="G66" s="8">
        <v>706</v>
      </c>
      <c r="H66" s="25">
        <f>VLOOKUP(A:A,[1]TDSheet!$A:$H,8,0)</f>
        <v>0.3</v>
      </c>
      <c r="I66" s="9">
        <f>VLOOKUP(A:A,[1]TDSheet!$A:$I,9,0)</f>
        <v>180</v>
      </c>
      <c r="J66" s="9" t="str">
        <f>VLOOKUP(A:A,[1]TDSheet!$A:$J,10,0)</f>
        <v>матрица</v>
      </c>
      <c r="K66" s="9"/>
      <c r="L66" s="9">
        <f>VLOOKUP(A:A,[2]TDSheet!$A:$B,2,0)</f>
        <v>586</v>
      </c>
      <c r="M66" s="9">
        <f t="shared" si="2"/>
        <v>-127</v>
      </c>
      <c r="N66" s="9"/>
      <c r="O66" s="9"/>
      <c r="P66" s="9">
        <f>VLOOKUP(A:A,[1]TDSheet!$A:$R,18,0)</f>
        <v>0</v>
      </c>
      <c r="Q66" s="9">
        <f t="shared" si="3"/>
        <v>91.8</v>
      </c>
      <c r="R66" s="26">
        <v>600</v>
      </c>
      <c r="S66" s="26"/>
      <c r="T66" s="9">
        <f>VLOOKUP(A:A,[3]TDSheet!$A:$T,20,0)</f>
        <v>0</v>
      </c>
      <c r="U66" s="9">
        <f t="shared" si="4"/>
        <v>14.226579520697168</v>
      </c>
      <c r="V66" s="9">
        <f t="shared" si="5"/>
        <v>7.6906318082788676</v>
      </c>
      <c r="W66" s="9">
        <f>VLOOKUP(A:A,[1]TDSheet!$A:$X,24,0)</f>
        <v>53.6</v>
      </c>
      <c r="X66" s="9">
        <f>VLOOKUP(A:A,[1]TDSheet!$A:$Y,25,0)</f>
        <v>0</v>
      </c>
      <c r="Y66" s="9">
        <f>VLOOKUP(A:A,[1]TDSheet!$A:$Z,26,0)</f>
        <v>84.4</v>
      </c>
      <c r="Z66" s="9">
        <f>VLOOKUP(A:A,[1]TDSheet!$A:$Q,17,0)</f>
        <v>36.799999999999997</v>
      </c>
      <c r="AA66" s="9">
        <f>VLOOKUP(A:A,[1]TDSheet!$A:$AA,27,0)</f>
        <v>0</v>
      </c>
      <c r="AB66" s="9">
        <f t="shared" si="6"/>
        <v>180</v>
      </c>
      <c r="AC66" s="9">
        <f>VLOOKUP(A:A,[1]TDSheet!$A:$AC,29,0)</f>
        <v>14</v>
      </c>
      <c r="AD66" s="9">
        <f t="shared" si="8"/>
        <v>42</v>
      </c>
      <c r="AE66" s="9">
        <f t="shared" si="7"/>
        <v>176.4</v>
      </c>
      <c r="AF66" s="9">
        <f>VLOOKUP(A:A,[1]TDSheet!$A:$AF,32,0)</f>
        <v>14</v>
      </c>
      <c r="AG66" s="9">
        <f>VLOOKUP(A:A,[1]TDSheet!$A:$AG,33,0)</f>
        <v>70</v>
      </c>
      <c r="AH66" s="9">
        <f t="shared" si="9"/>
        <v>0.6</v>
      </c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</row>
    <row r="67" spans="1:118" ht="11.1" customHeight="1" x14ac:dyDescent="0.2">
      <c r="A67" s="31" t="s">
        <v>67</v>
      </c>
      <c r="B67" s="31" t="s">
        <v>10</v>
      </c>
      <c r="C67" s="31" t="str">
        <f>VLOOKUP(A:A,[1]TDSheet!$A:$C,3,0)</f>
        <v>P004484</v>
      </c>
      <c r="D67" s="32">
        <v>2604</v>
      </c>
      <c r="E67" s="32">
        <v>15</v>
      </c>
      <c r="F67" s="32">
        <v>1781</v>
      </c>
      <c r="G67" s="32">
        <v>828</v>
      </c>
      <c r="H67" s="33">
        <f>VLOOKUP(A:A,[1]TDSheet!$A:$H,8,0)</f>
        <v>0.25</v>
      </c>
      <c r="I67" s="34">
        <f>VLOOKUP(A:A,[1]TDSheet!$A:$I,9,0)</f>
        <v>180</v>
      </c>
      <c r="J67" s="34" t="str">
        <f>VLOOKUP(A:A,[1]TDSheet!$A:$J,10,0)</f>
        <v>ВНИМАНИЕ / матрица</v>
      </c>
      <c r="K67" s="9"/>
      <c r="L67" s="9">
        <f>VLOOKUP(A:A,[2]TDSheet!$A:$B,2,0)</f>
        <v>1762</v>
      </c>
      <c r="M67" s="9">
        <f t="shared" si="2"/>
        <v>19</v>
      </c>
      <c r="N67" s="9"/>
      <c r="O67" s="9"/>
      <c r="P67" s="9">
        <f>VLOOKUP(A:A,[1]TDSheet!$A:$R,18,0)</f>
        <v>0</v>
      </c>
      <c r="Q67" s="9">
        <f t="shared" si="3"/>
        <v>356.2</v>
      </c>
      <c r="R67" s="26">
        <v>3600</v>
      </c>
      <c r="S67" s="26">
        <f>VLOOKUP(A:A,[3]TDSheet!$A:$S,19,0)</f>
        <v>3000</v>
      </c>
      <c r="T67" s="9" t="str">
        <f>VLOOKUP(A:A,[3]TDSheet!$A:$T,20,0)</f>
        <v xml:space="preserve">урезаем </v>
      </c>
      <c r="U67" s="9">
        <f t="shared" si="4"/>
        <v>12.431218416619878</v>
      </c>
      <c r="V67" s="9">
        <f t="shared" si="5"/>
        <v>2.3245367770915215</v>
      </c>
      <c r="W67" s="9">
        <f>VLOOKUP(A:A,[1]TDSheet!$A:$X,24,0)</f>
        <v>166.4</v>
      </c>
      <c r="X67" s="9">
        <f>VLOOKUP(A:A,[1]TDSheet!$A:$Y,25,0)</f>
        <v>183</v>
      </c>
      <c r="Y67" s="9">
        <f>VLOOKUP(A:A,[1]TDSheet!$A:$Z,26,0)</f>
        <v>214.6</v>
      </c>
      <c r="Z67" s="9">
        <f>VLOOKUP(A:A,[1]TDSheet!$A:$Q,17,0)</f>
        <v>210.2</v>
      </c>
      <c r="AA67" s="9">
        <f>VLOOKUP(A:A,[1]TDSheet!$A:$AA,27,0)</f>
        <v>0</v>
      </c>
      <c r="AB67" s="9">
        <f t="shared" si="6"/>
        <v>900</v>
      </c>
      <c r="AC67" s="9">
        <f>VLOOKUP(A:A,[1]TDSheet!$A:$AC,29,0)</f>
        <v>12</v>
      </c>
      <c r="AD67" s="9">
        <f t="shared" si="8"/>
        <v>294</v>
      </c>
      <c r="AE67" s="9">
        <f t="shared" si="7"/>
        <v>882</v>
      </c>
      <c r="AF67" s="9">
        <f>VLOOKUP(A:A,[1]TDSheet!$A:$AF,32,0)</f>
        <v>14</v>
      </c>
      <c r="AG67" s="9">
        <f>VLOOKUP(A:A,[1]TDSheet!$A:$AG,33,0)</f>
        <v>70</v>
      </c>
      <c r="AH67" s="34">
        <f t="shared" si="9"/>
        <v>4.2</v>
      </c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</row>
    <row r="68" spans="1:118" ht="11.1" customHeight="1" x14ac:dyDescent="0.2">
      <c r="A68" s="7" t="s">
        <v>68</v>
      </c>
      <c r="B68" s="7" t="s">
        <v>10</v>
      </c>
      <c r="C68" s="7" t="str">
        <f>VLOOKUP(A:A,[1]TDSheet!$A:$C,3,0)</f>
        <v>P004486</v>
      </c>
      <c r="D68" s="8">
        <v>2202</v>
      </c>
      <c r="E68" s="8">
        <v>9</v>
      </c>
      <c r="F68" s="8">
        <v>1314</v>
      </c>
      <c r="G68" s="8">
        <v>893</v>
      </c>
      <c r="H68" s="25">
        <f>VLOOKUP(A:A,[1]TDSheet!$A:$H,8,0)</f>
        <v>0.25</v>
      </c>
      <c r="I68" s="9">
        <f>VLOOKUP(A:A,[1]TDSheet!$A:$I,9,0)</f>
        <v>180</v>
      </c>
      <c r="J68" s="9" t="str">
        <f>VLOOKUP(A:A,[1]TDSheet!$A:$J,10,0)</f>
        <v>матрица</v>
      </c>
      <c r="K68" s="9"/>
      <c r="L68" s="9">
        <f>VLOOKUP(A:A,[2]TDSheet!$A:$B,2,0)</f>
        <v>1333</v>
      </c>
      <c r="M68" s="9">
        <f t="shared" si="2"/>
        <v>-19</v>
      </c>
      <c r="N68" s="9"/>
      <c r="O68" s="9"/>
      <c r="P68" s="9">
        <f>VLOOKUP(A:A,[1]TDSheet!$A:$R,18,0)</f>
        <v>240</v>
      </c>
      <c r="Q68" s="9">
        <f t="shared" si="3"/>
        <v>262.8</v>
      </c>
      <c r="R68" s="26">
        <f t="shared" ref="R68:R73" si="10">Q68*14-G68-P68</f>
        <v>2546.2000000000003</v>
      </c>
      <c r="S68" s="26"/>
      <c r="T68" s="9">
        <f>VLOOKUP(A:A,[3]TDSheet!$A:$T,20,0)</f>
        <v>0</v>
      </c>
      <c r="U68" s="9">
        <f t="shared" si="4"/>
        <v>14</v>
      </c>
      <c r="V68" s="9">
        <f t="shared" si="5"/>
        <v>3.3980213089802129</v>
      </c>
      <c r="W68" s="9">
        <f>VLOOKUP(A:A,[1]TDSheet!$A:$X,24,0)</f>
        <v>226.4</v>
      </c>
      <c r="X68" s="9">
        <f>VLOOKUP(A:A,[1]TDSheet!$A:$Y,25,0)</f>
        <v>194.2</v>
      </c>
      <c r="Y68" s="9">
        <f>VLOOKUP(A:A,[1]TDSheet!$A:$Z,26,0)</f>
        <v>184</v>
      </c>
      <c r="Z68" s="9">
        <f>VLOOKUP(A:A,[1]TDSheet!$A:$Q,17,0)</f>
        <v>204.4</v>
      </c>
      <c r="AA68" s="9">
        <f>VLOOKUP(A:A,[1]TDSheet!$A:$AA,27,0)</f>
        <v>0</v>
      </c>
      <c r="AB68" s="9">
        <f t="shared" si="6"/>
        <v>636.55000000000007</v>
      </c>
      <c r="AC68" s="9">
        <f>VLOOKUP(A:A,[1]TDSheet!$A:$AC,29,0)</f>
        <v>12</v>
      </c>
      <c r="AD68" s="9">
        <f t="shared" si="8"/>
        <v>210</v>
      </c>
      <c r="AE68" s="9">
        <f t="shared" si="7"/>
        <v>630</v>
      </c>
      <c r="AF68" s="9">
        <f>VLOOKUP(A:A,[1]TDSheet!$A:$AF,32,0)</f>
        <v>14</v>
      </c>
      <c r="AG68" s="9">
        <f>VLOOKUP(A:A,[1]TDSheet!$A:$AG,33,0)</f>
        <v>70</v>
      </c>
      <c r="AH68" s="9">
        <f t="shared" si="9"/>
        <v>3</v>
      </c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</row>
    <row r="69" spans="1:118" ht="11.1" customHeight="1" x14ac:dyDescent="0.2">
      <c r="A69" s="7" t="s">
        <v>69</v>
      </c>
      <c r="B69" s="7" t="s">
        <v>10</v>
      </c>
      <c r="C69" s="7" t="str">
        <f>VLOOKUP(A:A,[1]TDSheet!$A:$C,3,0)</f>
        <v>P004818</v>
      </c>
      <c r="D69" s="8">
        <v>438</v>
      </c>
      <c r="E69" s="8">
        <v>24</v>
      </c>
      <c r="F69" s="8">
        <v>301</v>
      </c>
      <c r="G69" s="8">
        <v>155</v>
      </c>
      <c r="H69" s="25">
        <f>VLOOKUP(A:A,[1]TDSheet!$A:$H,8,0)</f>
        <v>0.2</v>
      </c>
      <c r="I69" s="9">
        <f>VLOOKUP(A:A,[1]TDSheet!$A:$I,9,0)</f>
        <v>0</v>
      </c>
      <c r="J69" s="9" t="e">
        <f>VLOOKUP(A:A,[1]TDSheet!$A:$J,10,0)</f>
        <v>#N/A</v>
      </c>
      <c r="K69" s="9"/>
      <c r="L69" s="9">
        <f>VLOOKUP(A:A,[2]TDSheet!$A:$B,2,0)</f>
        <v>311</v>
      </c>
      <c r="M69" s="9">
        <f t="shared" si="2"/>
        <v>-10</v>
      </c>
      <c r="N69" s="9"/>
      <c r="O69" s="9"/>
      <c r="P69" s="9">
        <f>VLOOKUP(A:A,[1]TDSheet!$A:$R,18,0)</f>
        <v>500</v>
      </c>
      <c r="Q69" s="9">
        <f t="shared" si="3"/>
        <v>60.2</v>
      </c>
      <c r="R69" s="26">
        <f t="shared" si="10"/>
        <v>187.80000000000007</v>
      </c>
      <c r="S69" s="26"/>
      <c r="T69" s="9">
        <f>VLOOKUP(A:A,[3]TDSheet!$A:$T,20,0)</f>
        <v>0</v>
      </c>
      <c r="U69" s="9">
        <f t="shared" si="4"/>
        <v>14</v>
      </c>
      <c r="V69" s="9">
        <f t="shared" si="5"/>
        <v>2.5747508305647839</v>
      </c>
      <c r="W69" s="9">
        <f>VLOOKUP(A:A,[1]TDSheet!$A:$X,24,0)</f>
        <v>44.2</v>
      </c>
      <c r="X69" s="9">
        <f>VLOOKUP(A:A,[1]TDSheet!$A:$Y,25,0)</f>
        <v>50.2</v>
      </c>
      <c r="Y69" s="9">
        <f>VLOOKUP(A:A,[1]TDSheet!$A:$Z,26,0)</f>
        <v>48</v>
      </c>
      <c r="Z69" s="9">
        <f>VLOOKUP(A:A,[1]TDSheet!$A:$Q,17,0)</f>
        <v>69</v>
      </c>
      <c r="AA69" s="9">
        <f>VLOOKUP(A:A,[1]TDSheet!$A:$AA,27,0)</f>
        <v>0</v>
      </c>
      <c r="AB69" s="9">
        <f t="shared" si="6"/>
        <v>37.560000000000016</v>
      </c>
      <c r="AC69" s="9">
        <f>VLOOKUP(A:A,[1]TDSheet!$A:$AC,29,0)</f>
        <v>6</v>
      </c>
      <c r="AD69" s="9">
        <f t="shared" si="8"/>
        <v>28</v>
      </c>
      <c r="AE69" s="9">
        <f t="shared" si="7"/>
        <v>33.6</v>
      </c>
      <c r="AF69" s="9">
        <f>VLOOKUP(A:A,[1]TDSheet!$A:$AF,32,0)</f>
        <v>14</v>
      </c>
      <c r="AG69" s="9">
        <f>VLOOKUP(A:A,[1]TDSheet!$A:$AG,33,0)</f>
        <v>140</v>
      </c>
      <c r="AH69" s="9">
        <f t="shared" si="9"/>
        <v>0.2</v>
      </c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</row>
    <row r="70" spans="1:118" ht="21.95" customHeight="1" x14ac:dyDescent="0.2">
      <c r="A70" s="7" t="s">
        <v>70</v>
      </c>
      <c r="B70" s="7" t="s">
        <v>10</v>
      </c>
      <c r="C70" s="7" t="str">
        <f>VLOOKUP(A:A,[1]TDSheet!$A:$C,3,0)</f>
        <v>P005180</v>
      </c>
      <c r="D70" s="8">
        <v>1677</v>
      </c>
      <c r="E70" s="8">
        <v>55</v>
      </c>
      <c r="F70" s="8">
        <v>607</v>
      </c>
      <c r="G70" s="8">
        <v>1103</v>
      </c>
      <c r="H70" s="25">
        <f>VLOOKUP(A:A,[1]TDSheet!$A:$H,8,0)</f>
        <v>0.23</v>
      </c>
      <c r="I70" s="9">
        <f>VLOOKUP(A:A,[1]TDSheet!$A:$I,9,0)</f>
        <v>0</v>
      </c>
      <c r="J70" s="9" t="str">
        <f>VLOOKUP(A:A,[1]TDSheet!$A:$J,10,0)</f>
        <v>новинка</v>
      </c>
      <c r="K70" s="9"/>
      <c r="L70" s="9">
        <f>VLOOKUP(A:A,[2]TDSheet!$A:$B,2,0)</f>
        <v>633</v>
      </c>
      <c r="M70" s="9">
        <f t="shared" si="2"/>
        <v>-26</v>
      </c>
      <c r="N70" s="9"/>
      <c r="O70" s="9"/>
      <c r="P70" s="9">
        <f>VLOOKUP(A:A,[1]TDSheet!$A:$R,18,0)</f>
        <v>0</v>
      </c>
      <c r="Q70" s="9">
        <f t="shared" si="3"/>
        <v>121.4</v>
      </c>
      <c r="R70" s="26">
        <f t="shared" si="10"/>
        <v>596.60000000000014</v>
      </c>
      <c r="S70" s="26"/>
      <c r="T70" s="9">
        <f>VLOOKUP(A:A,[3]TDSheet!$A:$T,20,0)</f>
        <v>0</v>
      </c>
      <c r="U70" s="9">
        <f t="shared" si="4"/>
        <v>14</v>
      </c>
      <c r="V70" s="9">
        <f t="shared" si="5"/>
        <v>9.0856672158154854</v>
      </c>
      <c r="W70" s="9">
        <f>VLOOKUP(A:A,[1]TDSheet!$A:$X,24,0)</f>
        <v>142.19999999999999</v>
      </c>
      <c r="X70" s="9">
        <f>VLOOKUP(A:A,[1]TDSheet!$A:$Y,25,0)</f>
        <v>94</v>
      </c>
      <c r="Y70" s="9">
        <f>VLOOKUP(A:A,[1]TDSheet!$A:$Z,26,0)</f>
        <v>105.8</v>
      </c>
      <c r="Z70" s="9">
        <f>VLOOKUP(A:A,[1]TDSheet!$A:$Q,17,0)</f>
        <v>114</v>
      </c>
      <c r="AA70" s="9">
        <f>VLOOKUP(A:A,[1]TDSheet!$A:$AA,27,0)</f>
        <v>0</v>
      </c>
      <c r="AB70" s="9">
        <f t="shared" si="6"/>
        <v>137.21800000000005</v>
      </c>
      <c r="AC70" s="9">
        <f>VLOOKUP(A:A,[1]TDSheet!$A:$AC,29,0)</f>
        <v>6</v>
      </c>
      <c r="AD70" s="9">
        <f t="shared" si="8"/>
        <v>98</v>
      </c>
      <c r="AE70" s="9">
        <f t="shared" si="7"/>
        <v>135.24</v>
      </c>
      <c r="AF70" s="9">
        <f>VLOOKUP(A:A,[1]TDSheet!$A:$AF,32,0)</f>
        <v>14</v>
      </c>
      <c r="AG70" s="9">
        <f>VLOOKUP(A:A,[1]TDSheet!$A:$AG,33,0)</f>
        <v>140</v>
      </c>
      <c r="AH70" s="9">
        <f t="shared" si="9"/>
        <v>0.7</v>
      </c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</row>
    <row r="71" spans="1:118" ht="11.1" customHeight="1" x14ac:dyDescent="0.2">
      <c r="A71" s="7" t="s">
        <v>71</v>
      </c>
      <c r="B71" s="7" t="s">
        <v>13</v>
      </c>
      <c r="C71" s="7" t="str">
        <f>VLOOKUP(A:A,[1]TDSheet!$A:$C,3,0)</f>
        <v>P003478</v>
      </c>
      <c r="D71" s="8">
        <v>140.80000000000001</v>
      </c>
      <c r="E71" s="8">
        <v>2.7</v>
      </c>
      <c r="F71" s="8">
        <v>37.799999999999997</v>
      </c>
      <c r="G71" s="8">
        <v>105.7</v>
      </c>
      <c r="H71" s="25">
        <f>VLOOKUP(A:A,[1]TDSheet!$A:$H,8,0)</f>
        <v>1</v>
      </c>
      <c r="I71" s="9">
        <f>VLOOKUP(A:A,[1]TDSheet!$A:$I,9,0)</f>
        <v>180</v>
      </c>
      <c r="J71" s="9" t="str">
        <f>VLOOKUP(A:A,[1]TDSheet!$A:$J,10,0)</f>
        <v>матрица</v>
      </c>
      <c r="K71" s="9"/>
      <c r="L71" s="9">
        <f>VLOOKUP(A:A,[2]TDSheet!$A:$B,2,0)</f>
        <v>37.4</v>
      </c>
      <c r="M71" s="9">
        <f t="shared" si="2"/>
        <v>0.39999999999999858</v>
      </c>
      <c r="N71" s="9"/>
      <c r="O71" s="9"/>
      <c r="P71" s="9">
        <f>VLOOKUP(A:A,[1]TDSheet!$A:$R,18,0)</f>
        <v>0</v>
      </c>
      <c r="Q71" s="9">
        <f t="shared" si="3"/>
        <v>7.56</v>
      </c>
      <c r="R71" s="26"/>
      <c r="S71" s="26"/>
      <c r="T71" s="9">
        <f>VLOOKUP(A:A,[3]TDSheet!$A:$T,20,0)</f>
        <v>0</v>
      </c>
      <c r="U71" s="9">
        <f t="shared" si="4"/>
        <v>13.981481481481483</v>
      </c>
      <c r="V71" s="9">
        <f t="shared" si="5"/>
        <v>13.981481481481483</v>
      </c>
      <c r="W71" s="9">
        <f>VLOOKUP(A:A,[1]TDSheet!$A:$X,24,0)</f>
        <v>5.9399999999999995</v>
      </c>
      <c r="X71" s="9">
        <f>VLOOKUP(A:A,[1]TDSheet!$A:$Y,25,0)</f>
        <v>6.4799999999999995</v>
      </c>
      <c r="Y71" s="9">
        <f>VLOOKUP(A:A,[1]TDSheet!$A:$Z,26,0)</f>
        <v>8.64</v>
      </c>
      <c r="Z71" s="9">
        <f>VLOOKUP(A:A,[1]TDSheet!$A:$Q,17,0)</f>
        <v>2.62</v>
      </c>
      <c r="AA71" s="9">
        <f>VLOOKUP(A:A,[1]TDSheet!$A:$AA,27,0)</f>
        <v>0</v>
      </c>
      <c r="AB71" s="9">
        <f t="shared" si="6"/>
        <v>0</v>
      </c>
      <c r="AC71" s="9">
        <f>VLOOKUP(A:A,[1]TDSheet!$A:$AC,29,0)</f>
        <v>2.7</v>
      </c>
      <c r="AD71" s="9">
        <f t="shared" si="8"/>
        <v>0</v>
      </c>
      <c r="AE71" s="9">
        <f t="shared" si="7"/>
        <v>0</v>
      </c>
      <c r="AF71" s="9">
        <f>VLOOKUP(A:A,[1]TDSheet!$A:$AF,32,0)</f>
        <v>14</v>
      </c>
      <c r="AG71" s="9">
        <f>VLOOKUP(A:A,[1]TDSheet!$A:$AG,33,0)</f>
        <v>126</v>
      </c>
      <c r="AH71" s="9">
        <f t="shared" si="9"/>
        <v>0</v>
      </c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</row>
    <row r="72" spans="1:118" ht="11.1" customHeight="1" x14ac:dyDescent="0.2">
      <c r="A72" s="7" t="s">
        <v>72</v>
      </c>
      <c r="B72" s="7" t="s">
        <v>13</v>
      </c>
      <c r="C72" s="7" t="str">
        <f>VLOOKUP(A:A,[1]TDSheet!$A:$C,3,0)</f>
        <v>P003476</v>
      </c>
      <c r="D72" s="8">
        <v>235</v>
      </c>
      <c r="E72" s="8">
        <v>5</v>
      </c>
      <c r="F72" s="8">
        <v>262.7</v>
      </c>
      <c r="G72" s="8">
        <v>-27.7</v>
      </c>
      <c r="H72" s="25">
        <f>VLOOKUP(A:A,[1]TDSheet!$A:$H,8,0)</f>
        <v>1</v>
      </c>
      <c r="I72" s="9">
        <f>VLOOKUP(A:A,[1]TDSheet!$A:$I,9,0)</f>
        <v>180</v>
      </c>
      <c r="J72" s="9" t="str">
        <f>VLOOKUP(A:A,[1]TDSheet!$A:$J,10,0)</f>
        <v>матрица</v>
      </c>
      <c r="K72" s="9"/>
      <c r="L72" s="9">
        <f>VLOOKUP(A:A,[2]TDSheet!$A:$B,2,0)</f>
        <v>270.2</v>
      </c>
      <c r="M72" s="9">
        <f t="shared" si="2"/>
        <v>-7.5</v>
      </c>
      <c r="N72" s="9"/>
      <c r="O72" s="9"/>
      <c r="P72" s="9">
        <f>VLOOKUP(A:A,[1]TDSheet!$A:$R,18,0)</f>
        <v>480</v>
      </c>
      <c r="Q72" s="9">
        <f t="shared" si="3"/>
        <v>52.54</v>
      </c>
      <c r="R72" s="26">
        <f t="shared" si="10"/>
        <v>283.26</v>
      </c>
      <c r="S72" s="26"/>
      <c r="T72" s="9">
        <f>VLOOKUP(A:A,[3]TDSheet!$A:$T,20,0)</f>
        <v>0</v>
      </c>
      <c r="U72" s="9">
        <f t="shared" si="4"/>
        <v>14</v>
      </c>
      <c r="V72" s="9">
        <f t="shared" si="5"/>
        <v>-0.52721735820327364</v>
      </c>
      <c r="W72" s="9">
        <f>VLOOKUP(A:A,[1]TDSheet!$A:$X,24,0)</f>
        <v>55</v>
      </c>
      <c r="X72" s="9">
        <f>VLOOKUP(A:A,[1]TDSheet!$A:$Y,25,0)</f>
        <v>59</v>
      </c>
      <c r="Y72" s="9">
        <f>VLOOKUP(A:A,[1]TDSheet!$A:$Z,26,0)</f>
        <v>17</v>
      </c>
      <c r="Z72" s="9">
        <f>VLOOKUP(A:A,[1]TDSheet!$A:$Q,17,0)</f>
        <v>82</v>
      </c>
      <c r="AA72" s="9">
        <f>VLOOKUP(A:A,[1]TDSheet!$A:$AA,27,0)</f>
        <v>0</v>
      </c>
      <c r="AB72" s="9">
        <f t="shared" si="6"/>
        <v>283.26</v>
      </c>
      <c r="AC72" s="9">
        <f>VLOOKUP(A:A,[1]TDSheet!$A:$AC,29,0)</f>
        <v>5</v>
      </c>
      <c r="AD72" s="9">
        <f t="shared" si="8"/>
        <v>60</v>
      </c>
      <c r="AE72" s="9">
        <f t="shared" si="7"/>
        <v>300</v>
      </c>
      <c r="AF72" s="9">
        <f>VLOOKUP(A:A,[1]TDSheet!$A:$AF,32,0)</f>
        <v>12</v>
      </c>
      <c r="AG72" s="9">
        <f>VLOOKUP(A:A,[1]TDSheet!$A:$AG,33,0)</f>
        <v>84</v>
      </c>
      <c r="AH72" s="9">
        <f t="shared" si="9"/>
        <v>0.7142857142857143</v>
      </c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</row>
    <row r="73" spans="1:118" ht="11.1" customHeight="1" x14ac:dyDescent="0.2">
      <c r="A73" s="7" t="s">
        <v>73</v>
      </c>
      <c r="B73" s="7" t="s">
        <v>13</v>
      </c>
      <c r="C73" s="7">
        <f>VLOOKUP(A:A,[1]TDSheet!$A:$C,3,0)</f>
        <v>0</v>
      </c>
      <c r="D73" s="8">
        <v>535</v>
      </c>
      <c r="E73" s="8">
        <v>45</v>
      </c>
      <c r="F73" s="8">
        <v>175</v>
      </c>
      <c r="G73" s="8">
        <v>390</v>
      </c>
      <c r="H73" s="25">
        <f>VLOOKUP(A:A,[1]TDSheet!$A:$H,8,0)</f>
        <v>0</v>
      </c>
      <c r="I73" s="9">
        <f>VLOOKUP(A:A,[1]TDSheet!$A:$I,9,0)</f>
        <v>180</v>
      </c>
      <c r="J73" s="9" t="str">
        <f>VLOOKUP(A:A,[1]TDSheet!$A:$J,10,0)</f>
        <v>дубль</v>
      </c>
      <c r="K73" s="9"/>
      <c r="L73" s="9">
        <f>VLOOKUP(A:A,[2]TDSheet!$A:$B,2,0)</f>
        <v>190</v>
      </c>
      <c r="M73" s="9">
        <f t="shared" si="2"/>
        <v>-15</v>
      </c>
      <c r="N73" s="9"/>
      <c r="O73" s="9"/>
      <c r="P73" s="9">
        <f>VLOOKUP(A:A,[1]TDSheet!$A:$R,18,0)</f>
        <v>0</v>
      </c>
      <c r="Q73" s="9">
        <f t="shared" si="3"/>
        <v>35</v>
      </c>
      <c r="R73" s="26">
        <f t="shared" si="10"/>
        <v>100</v>
      </c>
      <c r="S73" s="26"/>
      <c r="T73" s="9">
        <f>VLOOKUP(A:A,[3]TDSheet!$A:$T,20,0)</f>
        <v>0</v>
      </c>
      <c r="U73" s="9">
        <f t="shared" si="4"/>
        <v>14</v>
      </c>
      <c r="V73" s="9">
        <f t="shared" si="5"/>
        <v>11.142857142857142</v>
      </c>
      <c r="W73" s="9">
        <f>VLOOKUP(A:A,[1]TDSheet!$A:$X,24,0)</f>
        <v>0</v>
      </c>
      <c r="X73" s="9">
        <f>VLOOKUP(A:A,[1]TDSheet!$A:$Y,25,0)</f>
        <v>6</v>
      </c>
      <c r="Y73" s="9">
        <f>VLOOKUP(A:A,[1]TDSheet!$A:$Z,26,0)</f>
        <v>45</v>
      </c>
      <c r="Z73" s="9">
        <f>VLOOKUP(A:A,[1]TDSheet!$A:$Q,17,0)</f>
        <v>34</v>
      </c>
      <c r="AA73" s="9">
        <f>VLOOKUP(A:A,[1]TDSheet!$A:$AA,27,0)</f>
        <v>0</v>
      </c>
      <c r="AB73" s="9">
        <f t="shared" si="6"/>
        <v>0</v>
      </c>
      <c r="AC73" s="9">
        <f>VLOOKUP(A:A,[1]TDSheet!$A:$AC,29,0)</f>
        <v>5</v>
      </c>
      <c r="AD73" s="9">
        <f t="shared" si="8"/>
        <v>24</v>
      </c>
      <c r="AE73" s="9">
        <f t="shared" si="7"/>
        <v>0</v>
      </c>
      <c r="AF73" s="9">
        <f>VLOOKUP(A:A,[1]TDSheet!$A:$AF,32,0)</f>
        <v>12</v>
      </c>
      <c r="AG73" s="9">
        <f>VLOOKUP(A:A,[1]TDSheet!$A:$AG,33,0)</f>
        <v>84</v>
      </c>
      <c r="AH73" s="9">
        <f t="shared" si="9"/>
        <v>0.2857142857142857</v>
      </c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</row>
    <row r="74" spans="1:118" ht="11.45" customHeight="1" x14ac:dyDescent="0.2">
      <c r="D74" s="11"/>
      <c r="E74" s="11"/>
      <c r="F74" s="11"/>
      <c r="G74" s="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</row>
    <row r="75" spans="1:118" ht="11.45" customHeight="1" x14ac:dyDescent="0.2">
      <c r="D75" s="11"/>
      <c r="E75" s="11"/>
      <c r="F75" s="11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</row>
    <row r="76" spans="1:118" ht="11.45" customHeight="1" x14ac:dyDescent="0.2">
      <c r="D76" s="11"/>
      <c r="E76" s="11"/>
      <c r="F76" s="11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</row>
    <row r="77" spans="1:118" ht="11.45" customHeight="1" x14ac:dyDescent="0.2">
      <c r="D77" s="11"/>
      <c r="E77" s="11"/>
      <c r="F77" s="11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</row>
    <row r="78" spans="1:118" ht="11.45" customHeight="1" x14ac:dyDescent="0.2">
      <c r="D78" s="11"/>
      <c r="E78" s="11"/>
      <c r="F78" s="11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</row>
    <row r="79" spans="1:118" ht="11.45" customHeight="1" x14ac:dyDescent="0.2">
      <c r="D79" s="11"/>
      <c r="E79" s="11"/>
      <c r="F79" s="11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</row>
    <row r="80" spans="1:118" ht="11.45" customHeight="1" x14ac:dyDescent="0.2">
      <c r="D80" s="11"/>
      <c r="E80" s="11"/>
      <c r="F80" s="11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</row>
    <row r="81" spans="4:118" ht="11.45" customHeight="1" x14ac:dyDescent="0.2">
      <c r="D81" s="11"/>
      <c r="E81" s="11"/>
      <c r="F81" s="11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</row>
    <row r="82" spans="4:118" ht="11.45" customHeight="1" x14ac:dyDescent="0.2">
      <c r="D82" s="11"/>
      <c r="E82" s="11"/>
      <c r="F82" s="11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</row>
    <row r="83" spans="4:118" ht="11.45" customHeight="1" x14ac:dyDescent="0.2">
      <c r="D83" s="11"/>
      <c r="E83" s="11"/>
      <c r="F83" s="11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</row>
    <row r="84" spans="4:118" ht="11.45" customHeight="1" x14ac:dyDescent="0.2">
      <c r="D84" s="11"/>
      <c r="E84" s="11"/>
      <c r="F84" s="11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</row>
    <row r="85" spans="4:118" ht="11.45" customHeight="1" x14ac:dyDescent="0.2">
      <c r="D85" s="11"/>
      <c r="E85" s="11"/>
      <c r="F85" s="11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</row>
    <row r="86" spans="4:118" ht="11.45" customHeight="1" x14ac:dyDescent="0.2">
      <c r="D86" s="11"/>
      <c r="E86" s="11"/>
      <c r="F86" s="11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</row>
    <row r="87" spans="4:118" ht="11.45" customHeight="1" x14ac:dyDescent="0.2">
      <c r="D87" s="11"/>
      <c r="E87" s="11"/>
      <c r="F87" s="11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</row>
    <row r="88" spans="4:118" ht="11.45" customHeight="1" x14ac:dyDescent="0.2">
      <c r="D88" s="11"/>
      <c r="E88" s="11"/>
      <c r="F88" s="11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</row>
    <row r="89" spans="4:118" ht="11.45" customHeight="1" x14ac:dyDescent="0.2">
      <c r="D89" s="11"/>
      <c r="E89" s="11"/>
      <c r="F89" s="11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</row>
    <row r="90" spans="4:118" ht="11.45" customHeight="1" x14ac:dyDescent="0.2">
      <c r="D90" s="11"/>
      <c r="E90" s="11"/>
      <c r="F90" s="11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</row>
    <row r="91" spans="4:118" ht="11.45" customHeight="1" x14ac:dyDescent="0.2">
      <c r="D91" s="11"/>
      <c r="E91" s="11"/>
      <c r="F91" s="11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</row>
    <row r="92" spans="4:118" ht="11.45" customHeight="1" x14ac:dyDescent="0.2">
      <c r="D92" s="11"/>
      <c r="E92" s="11"/>
      <c r="F92" s="11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</row>
    <row r="93" spans="4:118" ht="11.45" customHeight="1" x14ac:dyDescent="0.2">
      <c r="D93" s="11"/>
      <c r="E93" s="11"/>
      <c r="F93" s="11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</row>
    <row r="94" spans="4:118" ht="11.45" customHeight="1" x14ac:dyDescent="0.2">
      <c r="D94" s="11"/>
      <c r="E94" s="11"/>
      <c r="F94" s="11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</row>
    <row r="95" spans="4:118" ht="11.45" customHeight="1" x14ac:dyDescent="0.2">
      <c r="D95" s="11"/>
      <c r="E95" s="11"/>
      <c r="F95" s="11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</row>
    <row r="96" spans="4:118" ht="11.45" customHeight="1" x14ac:dyDescent="0.2">
      <c r="D96" s="11"/>
      <c r="E96" s="11"/>
      <c r="F96" s="11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</row>
    <row r="97" spans="4:118" ht="11.45" customHeight="1" x14ac:dyDescent="0.2">
      <c r="D97" s="11"/>
      <c r="E97" s="11"/>
      <c r="F97" s="11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</row>
    <row r="98" spans="4:118" ht="11.45" customHeight="1" x14ac:dyDescent="0.2">
      <c r="D98" s="11"/>
      <c r="E98" s="11"/>
      <c r="F98" s="11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</row>
    <row r="99" spans="4:118" ht="11.45" customHeight="1" x14ac:dyDescent="0.2">
      <c r="D99" s="11"/>
      <c r="E99" s="11"/>
      <c r="F99" s="11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</row>
    <row r="100" spans="4:118" ht="11.45" customHeight="1" x14ac:dyDescent="0.2">
      <c r="D100" s="11"/>
      <c r="E100" s="11"/>
      <c r="F100" s="11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</row>
    <row r="101" spans="4:118" ht="11.45" customHeight="1" x14ac:dyDescent="0.2">
      <c r="D101" s="11"/>
      <c r="E101" s="11"/>
      <c r="F101" s="11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</row>
    <row r="102" spans="4:118" ht="11.45" customHeight="1" x14ac:dyDescent="0.2">
      <c r="D102" s="11"/>
      <c r="E102" s="11"/>
      <c r="F102" s="11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</row>
    <row r="103" spans="4:118" ht="11.45" customHeight="1" x14ac:dyDescent="0.2">
      <c r="D103" s="11"/>
      <c r="E103" s="11"/>
      <c r="F103" s="11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</row>
    <row r="104" spans="4:118" ht="11.45" customHeight="1" x14ac:dyDescent="0.2">
      <c r="D104" s="11"/>
      <c r="E104" s="11"/>
      <c r="F104" s="11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</row>
    <row r="105" spans="4:118" ht="11.45" customHeight="1" x14ac:dyDescent="0.2">
      <c r="D105" s="11"/>
      <c r="E105" s="11"/>
      <c r="F105" s="11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</row>
    <row r="106" spans="4:118" ht="11.45" customHeight="1" x14ac:dyDescent="0.2">
      <c r="D106" s="11"/>
      <c r="E106" s="11"/>
      <c r="F106" s="11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</row>
    <row r="107" spans="4:118" ht="11.45" customHeight="1" x14ac:dyDescent="0.2">
      <c r="D107" s="11"/>
      <c r="E107" s="11"/>
      <c r="F107" s="11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</row>
    <row r="108" spans="4:118" ht="11.45" customHeight="1" x14ac:dyDescent="0.2">
      <c r="D108" s="11"/>
      <c r="E108" s="11"/>
      <c r="F108" s="11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</row>
    <row r="109" spans="4:118" ht="11.45" customHeight="1" x14ac:dyDescent="0.2">
      <c r="D109" s="11"/>
      <c r="E109" s="11"/>
      <c r="F109" s="11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</row>
    <row r="110" spans="4:118" ht="11.45" customHeight="1" x14ac:dyDescent="0.2">
      <c r="D110" s="11"/>
      <c r="E110" s="11"/>
      <c r="F110" s="11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</row>
    <row r="111" spans="4:118" ht="11.45" customHeight="1" x14ac:dyDescent="0.2">
      <c r="D111" s="11"/>
      <c r="E111" s="11"/>
      <c r="F111" s="11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</row>
    <row r="112" spans="4:118" ht="11.45" customHeight="1" x14ac:dyDescent="0.2">
      <c r="D112" s="11"/>
      <c r="E112" s="11"/>
      <c r="F112" s="11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</row>
    <row r="113" spans="4:118" ht="11.45" customHeight="1" x14ac:dyDescent="0.2">
      <c r="D113" s="11"/>
      <c r="E113" s="11"/>
      <c r="F113" s="11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</row>
    <row r="114" spans="4:118" ht="11.45" customHeight="1" x14ac:dyDescent="0.2">
      <c r="D114" s="11"/>
      <c r="E114" s="11"/>
      <c r="F114" s="11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</row>
    <row r="115" spans="4:118" ht="11.45" customHeight="1" x14ac:dyDescent="0.2">
      <c r="D115" s="11"/>
      <c r="E115" s="11"/>
      <c r="F115" s="11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</row>
    <row r="116" spans="4:118" ht="11.45" customHeight="1" x14ac:dyDescent="0.2">
      <c r="D116" s="11"/>
      <c r="E116" s="11"/>
      <c r="F116" s="11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</row>
    <row r="117" spans="4:118" ht="11.45" customHeight="1" x14ac:dyDescent="0.2">
      <c r="D117" s="11"/>
      <c r="E117" s="11"/>
      <c r="F117" s="11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</row>
    <row r="118" spans="4:118" ht="11.45" customHeight="1" x14ac:dyDescent="0.2">
      <c r="D118" s="11"/>
      <c r="E118" s="11"/>
      <c r="F118" s="11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</row>
    <row r="119" spans="4:118" ht="11.45" customHeight="1" x14ac:dyDescent="0.2">
      <c r="D119" s="11"/>
      <c r="E119" s="11"/>
      <c r="F119" s="11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</row>
    <row r="120" spans="4:118" ht="11.45" customHeight="1" x14ac:dyDescent="0.2">
      <c r="D120" s="11"/>
      <c r="E120" s="11"/>
      <c r="F120" s="11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</row>
    <row r="121" spans="4:118" ht="11.45" customHeight="1" x14ac:dyDescent="0.2">
      <c r="D121" s="11"/>
      <c r="E121" s="11"/>
      <c r="F121" s="11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</row>
    <row r="122" spans="4:118" ht="11.45" customHeight="1" x14ac:dyDescent="0.2">
      <c r="D122" s="11"/>
      <c r="E122" s="11"/>
      <c r="F122" s="11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</row>
    <row r="123" spans="4:118" ht="11.45" customHeight="1" x14ac:dyDescent="0.2">
      <c r="D123" s="11"/>
      <c r="E123" s="11"/>
      <c r="F123" s="11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</row>
    <row r="124" spans="4:118" ht="11.45" customHeight="1" x14ac:dyDescent="0.2">
      <c r="D124" s="11"/>
      <c r="E124" s="11"/>
      <c r="F124" s="11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</row>
    <row r="125" spans="4:118" ht="11.45" customHeight="1" x14ac:dyDescent="0.2">
      <c r="D125" s="11"/>
      <c r="E125" s="11"/>
      <c r="F125" s="11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</row>
    <row r="126" spans="4:118" ht="11.45" customHeight="1" x14ac:dyDescent="0.2">
      <c r="D126" s="11"/>
      <c r="E126" s="11"/>
      <c r="F126" s="11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</row>
    <row r="127" spans="4:118" ht="11.45" customHeight="1" x14ac:dyDescent="0.2">
      <c r="D127" s="11"/>
      <c r="E127" s="11"/>
      <c r="F127" s="11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</row>
    <row r="128" spans="4:118" ht="11.45" customHeight="1" x14ac:dyDescent="0.2">
      <c r="D128" s="11"/>
      <c r="E128" s="11"/>
      <c r="F128" s="11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</row>
    <row r="129" spans="4:118" ht="11.45" customHeight="1" x14ac:dyDescent="0.2">
      <c r="D129" s="11"/>
      <c r="E129" s="11"/>
      <c r="F129" s="11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</row>
    <row r="130" spans="4:118" ht="11.45" customHeight="1" x14ac:dyDescent="0.2">
      <c r="D130" s="11"/>
      <c r="E130" s="11"/>
      <c r="F130" s="11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</row>
    <row r="131" spans="4:118" ht="11.45" customHeight="1" x14ac:dyDescent="0.2">
      <c r="D131" s="11"/>
      <c r="E131" s="11"/>
      <c r="F131" s="11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</row>
    <row r="132" spans="4:118" ht="11.45" customHeight="1" x14ac:dyDescent="0.2">
      <c r="D132" s="11"/>
      <c r="E132" s="11"/>
      <c r="F132" s="11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</row>
    <row r="133" spans="4:118" ht="11.45" customHeight="1" x14ac:dyDescent="0.2">
      <c r="D133" s="11"/>
      <c r="E133" s="11"/>
      <c r="F133" s="11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</row>
  </sheetData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2026-06-25T14:34:50Z</dcterms:modified>
</cp:coreProperties>
</file>