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6,26\26,06,26 ПОКОМ ЗПФ\"/>
    </mc:Choice>
  </mc:AlternateContent>
  <xr:revisionPtr revIDLastSave="0" documentId="13_ncr:1_{33E7C5B2-D7E1-4888-BEEB-1EF9811E21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1" l="1"/>
  <c r="O4" i="1"/>
  <c r="N5" i="1"/>
  <c r="O5" i="1"/>
  <c r="N6" i="1"/>
  <c r="O6" i="1"/>
  <c r="N7" i="1"/>
  <c r="O7" i="1"/>
  <c r="N8" i="1"/>
  <c r="O8" i="1"/>
  <c r="N9" i="1"/>
  <c r="O9" i="1"/>
  <c r="O3" i="1"/>
  <c r="N3" i="1"/>
  <c r="K10" i="1"/>
  <c r="J10" i="1"/>
  <c r="M10" i="1" l="1"/>
  <c r="L10" i="1"/>
  <c r="C10" i="1" l="1"/>
  <c r="E10" i="1" l="1"/>
  <c r="F10" i="1"/>
  <c r="G10" i="1"/>
  <c r="H10" i="1"/>
  <c r="I10" i="1"/>
  <c r="O10" i="1" l="1"/>
  <c r="D10" i="1"/>
  <c r="B10" i="1"/>
  <c r="N10" i="1" l="1"/>
</calcChain>
</file>

<file path=xl/sharedStrings.xml><?xml version="1.0" encoding="utf-8"?>
<sst xmlns="http://schemas.openxmlformats.org/spreadsheetml/2006/main" count="34" uniqueCount="22">
  <si>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</si>
  <si>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</si>
  <si>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</si>
  <si>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</si>
  <si>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</si>
  <si>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</si>
  <si>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</si>
  <si>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</si>
  <si>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</si>
  <si>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</si>
  <si>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</si>
  <si>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паллеты</t>
  </si>
  <si>
    <t>Аист</t>
  </si>
  <si>
    <t>Горняк</t>
  </si>
  <si>
    <t>Остаток, вес</t>
  </si>
  <si>
    <t>Остаток, пал.</t>
  </si>
  <si>
    <t>КОЛ-ВО ПАЛЛЕТ</t>
  </si>
  <si>
    <t>4 машина</t>
  </si>
  <si>
    <t>Коныгин</t>
  </si>
  <si>
    <t>29,06,</t>
  </si>
  <si>
    <t>30,06,</t>
  </si>
  <si>
    <t>отмена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</si>
</sst>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7" xfId="0" applyFont="1" applyBorder="1"/>
    <xf numFmtId="0" fontId="1" fillId="0" borderId="18" xfId="0" applyFont="1" applyBorder="1"/>
    <xf numFmtId="0" fontId="0" fillId="0" borderId="22" xfId="0" applyBorder="1"/>
    <xf numFmtId="0" fontId="0" fillId="0" borderId="1" xfId="0" applyBorder="1"/>
    <xf numFmtId="0" fontId="0" fillId="0" borderId="24" xfId="0" applyBorder="1"/>
    <xf numFmtId="0" fontId="0" fillId="0" borderId="11" xfId="0" applyBorder="1"/>
    <xf numFmtId="0" fontId="1" fillId="0" borderId="25" xfId="0" applyFont="1" applyBorder="1"/>
    <xf numFmtId="0" fontId="1" fillId="2" borderId="27" xfId="0" applyFont="1" applyFill="1" applyBorder="1"/>
    <xf numFmtId="0" fontId="0" fillId="3" borderId="3" xfId="0" applyFill="1" applyBorder="1"/>
    <xf numFmtId="0" fontId="0" fillId="4" borderId="13" xfId="0" applyFill="1" applyBorder="1"/>
    <xf numFmtId="0" fontId="0" fillId="4" borderId="3" xfId="0" applyFill="1" applyBorder="1"/>
    <xf numFmtId="0" fontId="0" fillId="0" borderId="28" xfId="0" applyBorder="1"/>
    <xf numFmtId="0" fontId="0" fillId="0" borderId="29" xfId="0" applyBorder="1"/>
    <xf numFmtId="0" fontId="0" fillId="0" borderId="17" xfId="0" applyBorder="1"/>
    <xf numFmtId="0" fontId="0" fillId="0" borderId="18" xfId="0" applyBorder="1"/>
    <xf numFmtId="0" fontId="0" fillId="0" borderId="30" xfId="0" applyBorder="1"/>
    <xf numFmtId="0" fontId="0" fillId="5" borderId="3" xfId="0" applyFill="1" applyBorder="1"/>
    <xf numFmtId="0" fontId="0" fillId="5" borderId="22" xfId="0" applyFill="1" applyBorder="1"/>
    <xf numFmtId="0" fontId="0" fillId="5" borderId="12" xfId="0" applyFill="1" applyBorder="1"/>
    <xf numFmtId="0" fontId="0" fillId="5" borderId="10" xfId="0" applyFill="1" applyBorder="1"/>
    <xf numFmtId="0" fontId="0" fillId="5" borderId="0" xfId="0" applyFill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zoomScale="115" zoomScaleNormal="115" workbookViewId="0">
      <selection activeCell="T12" sqref="T12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3" width="9.85546875" customWidth="1"/>
    <col min="14" max="15" width="8.140625" bestFit="1" customWidth="1"/>
  </cols>
  <sheetData>
    <row r="1" spans="1:16" x14ac:dyDescent="0.25">
      <c r="A1" s="42" t="s">
        <v>4</v>
      </c>
      <c r="B1" s="44" t="s">
        <v>5</v>
      </c>
      <c r="C1" s="38" t="s">
        <v>16</v>
      </c>
      <c r="D1" s="46" t="s">
        <v>6</v>
      </c>
      <c r="E1" s="47"/>
      <c r="F1" s="46" t="s">
        <v>7</v>
      </c>
      <c r="G1" s="47"/>
      <c r="H1" s="46" t="s">
        <v>8</v>
      </c>
      <c r="I1" s="47"/>
      <c r="J1" s="46" t="s">
        <v>17</v>
      </c>
      <c r="K1" s="48"/>
      <c r="L1" s="46" t="s">
        <v>17</v>
      </c>
      <c r="M1" s="48"/>
      <c r="N1" s="40" t="s">
        <v>14</v>
      </c>
      <c r="O1" s="36" t="s">
        <v>15</v>
      </c>
    </row>
    <row r="2" spans="1:16" ht="15.75" thickBot="1" x14ac:dyDescent="0.3">
      <c r="A2" s="43"/>
      <c r="B2" s="45"/>
      <c r="C2" s="39"/>
      <c r="D2" s="8" t="s">
        <v>10</v>
      </c>
      <c r="E2" s="9" t="s">
        <v>11</v>
      </c>
      <c r="F2" s="8" t="s">
        <v>10</v>
      </c>
      <c r="G2" s="9" t="s">
        <v>11</v>
      </c>
      <c r="H2" s="8" t="s">
        <v>10</v>
      </c>
      <c r="I2" s="9" t="s">
        <v>11</v>
      </c>
      <c r="J2" s="8" t="s">
        <v>10</v>
      </c>
      <c r="K2" s="22" t="s">
        <v>11</v>
      </c>
      <c r="L2" s="8" t="s">
        <v>10</v>
      </c>
      <c r="M2" s="22" t="s">
        <v>11</v>
      </c>
      <c r="N2" s="41"/>
      <c r="O2" s="37"/>
    </row>
    <row r="3" spans="1:16" x14ac:dyDescent="0.25">
      <c r="A3" s="18" t="s">
        <v>0</v>
      </c>
      <c r="B3" s="19">
        <v>7253</v>
      </c>
      <c r="C3" s="20">
        <v>20</v>
      </c>
      <c r="D3" s="4"/>
      <c r="E3" s="5"/>
      <c r="F3" s="4"/>
      <c r="G3" s="5"/>
      <c r="H3" s="4"/>
      <c r="I3" s="6"/>
      <c r="J3" s="19">
        <v>7253</v>
      </c>
      <c r="K3" s="20">
        <v>20</v>
      </c>
      <c r="L3" s="4"/>
      <c r="M3" s="6"/>
      <c r="N3" s="4">
        <f>B3-D3-F3-H3-J3-L3</f>
        <v>0</v>
      </c>
      <c r="O3" s="5">
        <f>C3-E3-G3-I3-K3-M3</f>
        <v>0</v>
      </c>
    </row>
    <row r="4" spans="1:16" x14ac:dyDescent="0.25">
      <c r="A4" s="11" t="s">
        <v>1</v>
      </c>
      <c r="B4" s="17">
        <v>11482</v>
      </c>
      <c r="C4" s="10">
        <v>36</v>
      </c>
      <c r="D4" s="2"/>
      <c r="E4" s="3"/>
      <c r="F4" s="2">
        <v>11482</v>
      </c>
      <c r="G4" s="3">
        <v>36</v>
      </c>
      <c r="H4" s="2"/>
      <c r="I4" s="7"/>
      <c r="J4" s="2"/>
      <c r="K4" s="7"/>
      <c r="L4" s="2"/>
      <c r="M4" s="7"/>
      <c r="N4" s="4">
        <f t="shared" ref="N4:N9" si="0">B4-D4-F4-H4-J4-L4</f>
        <v>0</v>
      </c>
      <c r="O4" s="5">
        <f t="shared" ref="O4:O9" si="1">C4-E4-G4-I4-K4-M4</f>
        <v>0</v>
      </c>
    </row>
    <row r="5" spans="1:16" x14ac:dyDescent="0.25">
      <c r="A5" s="25" t="s">
        <v>2</v>
      </c>
      <c r="B5" s="17">
        <v>10359</v>
      </c>
      <c r="C5" s="10">
        <v>31</v>
      </c>
      <c r="D5" s="2"/>
      <c r="E5" s="3"/>
      <c r="F5" s="2"/>
      <c r="G5" s="3"/>
      <c r="H5" s="2">
        <v>10359</v>
      </c>
      <c r="I5" s="7">
        <v>31</v>
      </c>
      <c r="J5" s="2"/>
      <c r="K5" s="7"/>
      <c r="L5" s="2"/>
      <c r="M5" s="7"/>
      <c r="N5" s="4">
        <f t="shared" si="0"/>
        <v>0</v>
      </c>
      <c r="O5" s="5">
        <f t="shared" si="1"/>
        <v>0</v>
      </c>
    </row>
    <row r="6" spans="1:16" x14ac:dyDescent="0.25">
      <c r="A6" s="31" t="s">
        <v>3</v>
      </c>
      <c r="B6" s="32">
        <v>6328</v>
      </c>
      <c r="C6" s="33">
        <v>17</v>
      </c>
      <c r="D6" s="2"/>
      <c r="E6" s="3"/>
      <c r="F6" s="2"/>
      <c r="G6" s="3"/>
      <c r="H6" s="2"/>
      <c r="I6" s="7"/>
      <c r="J6" s="31"/>
      <c r="K6" s="34"/>
      <c r="L6" s="2"/>
      <c r="M6" s="7"/>
      <c r="N6" s="4">
        <f t="shared" si="0"/>
        <v>6328</v>
      </c>
      <c r="O6" s="5">
        <f t="shared" si="1"/>
        <v>17</v>
      </c>
      <c r="P6" s="35" t="s">
        <v>21</v>
      </c>
    </row>
    <row r="7" spans="1:16" x14ac:dyDescent="0.25">
      <c r="A7" s="23" t="s">
        <v>12</v>
      </c>
      <c r="B7" s="17">
        <v>4942</v>
      </c>
      <c r="C7" s="14">
        <v>16</v>
      </c>
      <c r="D7" s="2"/>
      <c r="E7" s="3"/>
      <c r="F7" s="2"/>
      <c r="G7" s="3"/>
      <c r="H7" s="2"/>
      <c r="I7" s="7"/>
      <c r="J7" s="2">
        <v>4942</v>
      </c>
      <c r="K7" s="7">
        <v>16</v>
      </c>
      <c r="L7" s="2"/>
      <c r="M7" s="7"/>
      <c r="N7" s="4">
        <f t="shared" si="0"/>
        <v>0</v>
      </c>
      <c r="O7" s="5">
        <f t="shared" si="1"/>
        <v>0</v>
      </c>
    </row>
    <row r="8" spans="1:16" x14ac:dyDescent="0.25">
      <c r="A8" s="24" t="s">
        <v>18</v>
      </c>
      <c r="B8" s="17">
        <v>2163</v>
      </c>
      <c r="C8" s="14">
        <v>5</v>
      </c>
      <c r="D8" s="11"/>
      <c r="E8" s="13"/>
      <c r="F8" s="11"/>
      <c r="G8" s="13"/>
      <c r="H8" s="11">
        <v>2163</v>
      </c>
      <c r="I8" s="12">
        <v>5</v>
      </c>
      <c r="J8" s="11"/>
      <c r="K8" s="12"/>
      <c r="L8" s="11"/>
      <c r="M8" s="12"/>
      <c r="N8" s="4">
        <f t="shared" si="0"/>
        <v>0</v>
      </c>
      <c r="O8" s="5">
        <f t="shared" si="1"/>
        <v>0</v>
      </c>
    </row>
    <row r="9" spans="1:16" ht="15.75" thickBot="1" x14ac:dyDescent="0.3">
      <c r="A9" s="11" t="s">
        <v>13</v>
      </c>
      <c r="B9" s="30">
        <v>11669</v>
      </c>
      <c r="C9" s="14">
        <v>34</v>
      </c>
      <c r="D9" s="11"/>
      <c r="E9" s="13"/>
      <c r="F9" s="11"/>
      <c r="G9" s="13"/>
      <c r="H9" s="11"/>
      <c r="I9" s="12"/>
      <c r="J9" s="11"/>
      <c r="K9" s="12"/>
      <c r="L9" s="11">
        <v>11669</v>
      </c>
      <c r="M9" s="12">
        <v>34</v>
      </c>
      <c r="N9" s="26">
        <f t="shared" si="0"/>
        <v>0</v>
      </c>
      <c r="O9" s="27">
        <f t="shared" si="1"/>
        <v>0</v>
      </c>
    </row>
    <row r="10" spans="1:16" s="1" customFormat="1" ht="15.75" thickBot="1" x14ac:dyDescent="0.3">
      <c r="A10" s="15" t="s">
        <v>9</v>
      </c>
      <c r="B10" s="21">
        <f t="shared" ref="B10:M10" si="2">SUM(B3:B9)</f>
        <v>54196</v>
      </c>
      <c r="C10" s="21">
        <f t="shared" si="2"/>
        <v>159</v>
      </c>
      <c r="D10" s="15">
        <f t="shared" si="2"/>
        <v>0</v>
      </c>
      <c r="E10" s="16">
        <f t="shared" si="2"/>
        <v>0</v>
      </c>
      <c r="F10" s="15">
        <f t="shared" si="2"/>
        <v>11482</v>
      </c>
      <c r="G10" s="16">
        <f t="shared" si="2"/>
        <v>36</v>
      </c>
      <c r="H10" s="15">
        <f t="shared" si="2"/>
        <v>12522</v>
      </c>
      <c r="I10" s="16">
        <f t="shared" si="2"/>
        <v>36</v>
      </c>
      <c r="J10" s="15">
        <f t="shared" si="2"/>
        <v>12195</v>
      </c>
      <c r="K10" s="21">
        <f t="shared" si="2"/>
        <v>36</v>
      </c>
      <c r="L10" s="15">
        <f t="shared" si="2"/>
        <v>11669</v>
      </c>
      <c r="M10" s="21">
        <f t="shared" si="2"/>
        <v>34</v>
      </c>
      <c r="N10" s="28">
        <f t="shared" ref="N10" si="3">B10-D10-F10-H10-L10</f>
        <v>18523</v>
      </c>
      <c r="O10" s="29">
        <f>C10-E10-G10-I10-M10</f>
        <v>53</v>
      </c>
    </row>
    <row r="11" spans="1:16" x14ac:dyDescent="0.25">
      <c r="D11" t="s">
        <v>19</v>
      </c>
      <c r="F11" t="s">
        <v>19</v>
      </c>
      <c r="H11" t="s">
        <v>19</v>
      </c>
      <c r="J11" t="s">
        <v>20</v>
      </c>
      <c r="L11" t="s">
        <v>20</v>
      </c>
    </row>
  </sheetData>
  <mergeCells count="10">
    <mergeCell ref="O1:O2"/>
    <mergeCell ref="C1:C2"/>
    <mergeCell ref="N1:N2"/>
    <mergeCell ref="A1:A2"/>
    <mergeCell ref="B1:B2"/>
    <mergeCell ref="D1:E1"/>
    <mergeCell ref="F1:G1"/>
    <mergeCell ref="H1:I1"/>
    <mergeCell ref="L1:M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User</cp:lastModifiedBy>
  <dcterms:created xsi:type="dcterms:W3CDTF">2015-06-05T18:19:34Z</dcterms:created>
  <dcterms:modified xsi:type="dcterms:W3CDTF">2026-06-27T08:03:50Z</dcterms:modified>
</cp:coreProperties>
</file>