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437691D4-989B-4C27-9965-B137F0ADC41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5" i="2" l="1"/>
  <c r="X524" i="2"/>
  <c r="BO523" i="2"/>
  <c r="BM523" i="2"/>
  <c r="Y523" i="2"/>
  <c r="AB536" i="2" s="1"/>
  <c r="P523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N513" i="2" s="1"/>
  <c r="P513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X506" i="2"/>
  <c r="X505" i="2"/>
  <c r="BO504" i="2"/>
  <c r="BM504" i="2"/>
  <c r="Y504" i="2"/>
  <c r="Z504" i="2" s="1"/>
  <c r="Z505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P484" i="2"/>
  <c r="BO483" i="2"/>
  <c r="BM483" i="2"/>
  <c r="Y483" i="2"/>
  <c r="BN483" i="2" s="1"/>
  <c r="P483" i="2"/>
  <c r="BO482" i="2"/>
  <c r="BM482" i="2"/>
  <c r="Y482" i="2"/>
  <c r="Z482" i="2" s="1"/>
  <c r="P482" i="2"/>
  <c r="X480" i="2"/>
  <c r="X479" i="2"/>
  <c r="BO478" i="2"/>
  <c r="BM478" i="2"/>
  <c r="Y478" i="2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P453" i="2"/>
  <c r="BO452" i="2"/>
  <c r="BM452" i="2"/>
  <c r="Y452" i="2"/>
  <c r="Z452" i="2" s="1"/>
  <c r="P452" i="2"/>
  <c r="X450" i="2"/>
  <c r="X449" i="2"/>
  <c r="BO448" i="2"/>
  <c r="BM448" i="2"/>
  <c r="Y448" i="2"/>
  <c r="BN448" i="2" s="1"/>
  <c r="P448" i="2"/>
  <c r="BO447" i="2"/>
  <c r="BM447" i="2"/>
  <c r="Y447" i="2"/>
  <c r="BP447" i="2" s="1"/>
  <c r="P447" i="2"/>
  <c r="BO446" i="2"/>
  <c r="BM446" i="2"/>
  <c r="Y446" i="2"/>
  <c r="BN446" i="2" s="1"/>
  <c r="P446" i="2"/>
  <c r="BO445" i="2"/>
  <c r="BM445" i="2"/>
  <c r="Y445" i="2"/>
  <c r="BN445" i="2" s="1"/>
  <c r="P445" i="2"/>
  <c r="BO444" i="2"/>
  <c r="BM444" i="2"/>
  <c r="Y444" i="2"/>
  <c r="BN444" i="2" s="1"/>
  <c r="P444" i="2"/>
  <c r="BO443" i="2"/>
  <c r="BM443" i="2"/>
  <c r="Y443" i="2"/>
  <c r="Y450" i="2" s="1"/>
  <c r="P443" i="2"/>
  <c r="X439" i="2"/>
  <c r="X438" i="2"/>
  <c r="BO437" i="2"/>
  <c r="BM437" i="2"/>
  <c r="Y437" i="2"/>
  <c r="BN437" i="2" s="1"/>
  <c r="P437" i="2"/>
  <c r="BO436" i="2"/>
  <c r="BM436" i="2"/>
  <c r="Y436" i="2"/>
  <c r="P436" i="2"/>
  <c r="BO435" i="2"/>
  <c r="BM435" i="2"/>
  <c r="Y435" i="2"/>
  <c r="BP435" i="2" s="1"/>
  <c r="P435" i="2"/>
  <c r="X433" i="2"/>
  <c r="X432" i="2"/>
  <c r="BO431" i="2"/>
  <c r="BM431" i="2"/>
  <c r="Y431" i="2"/>
  <c r="Y433" i="2" s="1"/>
  <c r="P431" i="2"/>
  <c r="X429" i="2"/>
  <c r="X428" i="2"/>
  <c r="BO427" i="2"/>
  <c r="BM427" i="2"/>
  <c r="Y427" i="2"/>
  <c r="BP427" i="2" s="1"/>
  <c r="P427" i="2"/>
  <c r="BO426" i="2"/>
  <c r="BM426" i="2"/>
  <c r="Y426" i="2"/>
  <c r="Y428" i="2" s="1"/>
  <c r="P426" i="2"/>
  <c r="X423" i="2"/>
  <c r="X422" i="2"/>
  <c r="BO421" i="2"/>
  <c r="BM421" i="2"/>
  <c r="Y421" i="2"/>
  <c r="Y422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X414" i="2"/>
  <c r="X413" i="2"/>
  <c r="BO412" i="2"/>
  <c r="BM412" i="2"/>
  <c r="Y412" i="2"/>
  <c r="BN412" i="2" s="1"/>
  <c r="P412" i="2"/>
  <c r="BO411" i="2"/>
  <c r="BM411" i="2"/>
  <c r="Y411" i="2"/>
  <c r="P411" i="2"/>
  <c r="BO410" i="2"/>
  <c r="BM410" i="2"/>
  <c r="Y410" i="2"/>
  <c r="Z410" i="2" s="1"/>
  <c r="P410" i="2"/>
  <c r="X408" i="2"/>
  <c r="X407" i="2"/>
  <c r="BO406" i="2"/>
  <c r="BM406" i="2"/>
  <c r="Y406" i="2"/>
  <c r="P406" i="2"/>
  <c r="BO405" i="2"/>
  <c r="BM405" i="2"/>
  <c r="Y405" i="2"/>
  <c r="BN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BO399" i="2"/>
  <c r="BM399" i="2"/>
  <c r="Y399" i="2"/>
  <c r="P399" i="2"/>
  <c r="X395" i="2"/>
  <c r="X394" i="2"/>
  <c r="BO393" i="2"/>
  <c r="BM393" i="2"/>
  <c r="Y393" i="2"/>
  <c r="Z393" i="2" s="1"/>
  <c r="P393" i="2"/>
  <c r="BO392" i="2"/>
  <c r="BM392" i="2"/>
  <c r="Y392" i="2"/>
  <c r="BN392" i="2" s="1"/>
  <c r="P392" i="2"/>
  <c r="BO391" i="2"/>
  <c r="BM391" i="2"/>
  <c r="Y391" i="2"/>
  <c r="P391" i="2"/>
  <c r="X388" i="2"/>
  <c r="X387" i="2"/>
  <c r="BO386" i="2"/>
  <c r="BM386" i="2"/>
  <c r="Y386" i="2"/>
  <c r="BP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Y375" i="2" s="1"/>
  <c r="P371" i="2"/>
  <c r="X369" i="2"/>
  <c r="X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Z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BP340" i="2" s="1"/>
  <c r="P340" i="2"/>
  <c r="BO339" i="2"/>
  <c r="BM339" i="2"/>
  <c r="Y339" i="2"/>
  <c r="Z339" i="2" s="1"/>
  <c r="P339" i="2"/>
  <c r="X336" i="2"/>
  <c r="X335" i="2"/>
  <c r="BO334" i="2"/>
  <c r="BM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P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Y306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BN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BN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Y237" i="2" s="1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Y227" i="2" s="1"/>
  <c r="P225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X206" i="2"/>
  <c r="X205" i="2"/>
  <c r="BO204" i="2"/>
  <c r="BM204" i="2"/>
  <c r="Y204" i="2"/>
  <c r="BP204" i="2" s="1"/>
  <c r="P204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3" i="2"/>
  <c r="X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X177" i="2"/>
  <c r="X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BN158" i="2" s="1"/>
  <c r="P158" i="2"/>
  <c r="BO157" i="2"/>
  <c r="BM157" i="2"/>
  <c r="Y157" i="2"/>
  <c r="Y159" i="2" s="1"/>
  <c r="P157" i="2"/>
  <c r="X154" i="2"/>
  <c r="X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P77" i="2"/>
  <c r="BO76" i="2"/>
  <c r="BM76" i="2"/>
  <c r="Y76" i="2"/>
  <c r="BN76" i="2" s="1"/>
  <c r="P76" i="2"/>
  <c r="X74" i="2"/>
  <c r="X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BN43" i="2" s="1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405" i="2" l="1"/>
  <c r="X526" i="2"/>
  <c r="Z190" i="2"/>
  <c r="Z191" i="2" s="1"/>
  <c r="Z150" i="2"/>
  <c r="BN150" i="2"/>
  <c r="Z297" i="2"/>
  <c r="Z298" i="2" s="1"/>
  <c r="BN297" i="2"/>
  <c r="BP297" i="2"/>
  <c r="Z471" i="2"/>
  <c r="Z231" i="2"/>
  <c r="BN231" i="2"/>
  <c r="Y238" i="2"/>
  <c r="Z447" i="2"/>
  <c r="BN447" i="2"/>
  <c r="Z29" i="2"/>
  <c r="BN29" i="2"/>
  <c r="Z166" i="2"/>
  <c r="BN166" i="2"/>
  <c r="Z198" i="2"/>
  <c r="Z272" i="2"/>
  <c r="BP359" i="2"/>
  <c r="BP392" i="2"/>
  <c r="Z446" i="2"/>
  <c r="Z472" i="2"/>
  <c r="BN472" i="2"/>
  <c r="BN30" i="2"/>
  <c r="BN61" i="2"/>
  <c r="Y154" i="2"/>
  <c r="BN157" i="2"/>
  <c r="BN246" i="2"/>
  <c r="BN287" i="2"/>
  <c r="BN319" i="2"/>
  <c r="BN354" i="2"/>
  <c r="BN364" i="2"/>
  <c r="BN379" i="2"/>
  <c r="BN400" i="2"/>
  <c r="BN410" i="2"/>
  <c r="BP421" i="2"/>
  <c r="BN435" i="2"/>
  <c r="BN458" i="2"/>
  <c r="BN464" i="2"/>
  <c r="BN474" i="2"/>
  <c r="BP482" i="2"/>
  <c r="BN492" i="2"/>
  <c r="BN509" i="2"/>
  <c r="Y74" i="2"/>
  <c r="BN71" i="2"/>
  <c r="Z90" i="2"/>
  <c r="BN94" i="2"/>
  <c r="Z96" i="2"/>
  <c r="BN121" i="2"/>
  <c r="Z134" i="2"/>
  <c r="BN134" i="2"/>
  <c r="BN138" i="2"/>
  <c r="BP151" i="2"/>
  <c r="Z186" i="2"/>
  <c r="BN186" i="2"/>
  <c r="Y188" i="2"/>
  <c r="BN211" i="2"/>
  <c r="BN251" i="2"/>
  <c r="BN256" i="2"/>
  <c r="Z285" i="2"/>
  <c r="BN285" i="2"/>
  <c r="Y299" i="2"/>
  <c r="BN310" i="2"/>
  <c r="BN320" i="2"/>
  <c r="BN327" i="2"/>
  <c r="Z334" i="2"/>
  <c r="BN346" i="2"/>
  <c r="BN365" i="2"/>
  <c r="Z371" i="2"/>
  <c r="BN371" i="2"/>
  <c r="BP371" i="2"/>
  <c r="Z386" i="2"/>
  <c r="BN386" i="2"/>
  <c r="U536" i="2"/>
  <c r="BN401" i="2"/>
  <c r="BN416" i="2"/>
  <c r="Z421" i="2"/>
  <c r="Z422" i="2" s="1"/>
  <c r="Z444" i="2"/>
  <c r="BP446" i="2"/>
  <c r="Y459" i="2"/>
  <c r="BP471" i="2"/>
  <c r="BN476" i="2"/>
  <c r="Z483" i="2"/>
  <c r="Y496" i="2"/>
  <c r="BN489" i="2"/>
  <c r="BN491" i="2"/>
  <c r="BN494" i="2"/>
  <c r="Y506" i="2"/>
  <c r="BN508" i="2"/>
  <c r="BN517" i="2"/>
  <c r="BN144" i="2"/>
  <c r="BN208" i="2"/>
  <c r="BN212" i="2"/>
  <c r="BN255" i="2"/>
  <c r="BN264" i="2"/>
  <c r="BN325" i="2"/>
  <c r="X528" i="2"/>
  <c r="BP36" i="2"/>
  <c r="Y46" i="2"/>
  <c r="BP42" i="2"/>
  <c r="BP43" i="2"/>
  <c r="Z43" i="2"/>
  <c r="Y56" i="2"/>
  <c r="BN51" i="2"/>
  <c r="BN54" i="2"/>
  <c r="BP54" i="2"/>
  <c r="Z63" i="2"/>
  <c r="Z82" i="2"/>
  <c r="Z89" i="2"/>
  <c r="Z115" i="2"/>
  <c r="BN115" i="2"/>
  <c r="Z133" i="2"/>
  <c r="Z135" i="2" s="1"/>
  <c r="BN143" i="2"/>
  <c r="BP254" i="2"/>
  <c r="BN254" i="2"/>
  <c r="Z254" i="2"/>
  <c r="Y336" i="2"/>
  <c r="BN333" i="2"/>
  <c r="Y335" i="2"/>
  <c r="BP333" i="2"/>
  <c r="Z333" i="2"/>
  <c r="BP380" i="2"/>
  <c r="BN380" i="2"/>
  <c r="BN436" i="2"/>
  <c r="Z436" i="2"/>
  <c r="Y485" i="2"/>
  <c r="BN484" i="2"/>
  <c r="Y519" i="2"/>
  <c r="F9" i="2"/>
  <c r="BN44" i="2"/>
  <c r="BP44" i="2"/>
  <c r="Z45" i="2"/>
  <c r="BN45" i="2"/>
  <c r="BP96" i="2"/>
  <c r="Z105" i="2"/>
  <c r="BN105" i="2"/>
  <c r="BN107" i="2"/>
  <c r="Z107" i="2"/>
  <c r="Y129" i="2"/>
  <c r="Y130" i="2"/>
  <c r="BP158" i="2"/>
  <c r="Z158" i="2"/>
  <c r="Z162" i="2"/>
  <c r="Z163" i="2" s="1"/>
  <c r="BN162" i="2"/>
  <c r="BP167" i="2"/>
  <c r="Z167" i="2"/>
  <c r="Y191" i="2"/>
  <c r="BN190" i="2"/>
  <c r="BP190" i="2"/>
  <c r="Z265" i="2"/>
  <c r="BN265" i="2"/>
  <c r="Z355" i="2"/>
  <c r="BN355" i="2"/>
  <c r="BN402" i="2"/>
  <c r="Z402" i="2"/>
  <c r="BP462" i="2"/>
  <c r="Y466" i="2"/>
  <c r="BN462" i="2"/>
  <c r="Y465" i="2"/>
  <c r="Y486" i="2"/>
  <c r="H9" i="2"/>
  <c r="BP28" i="2"/>
  <c r="Z28" i="2"/>
  <c r="Y79" i="2"/>
  <c r="BP76" i="2"/>
  <c r="Z76" i="2"/>
  <c r="Y84" i="2"/>
  <c r="Y83" i="2"/>
  <c r="BP81" i="2"/>
  <c r="Z81" i="2"/>
  <c r="Z83" i="2" s="1"/>
  <c r="BP143" i="2"/>
  <c r="Y146" i="2"/>
  <c r="Z143" i="2"/>
  <c r="Z213" i="2"/>
  <c r="BN213" i="2"/>
  <c r="BP366" i="2"/>
  <c r="BN366" i="2"/>
  <c r="BN378" i="2"/>
  <c r="Z378" i="2"/>
  <c r="BP411" i="2"/>
  <c r="BN411" i="2"/>
  <c r="BP475" i="2"/>
  <c r="BN475" i="2"/>
  <c r="Y495" i="2"/>
  <c r="Z488" i="2"/>
  <c r="BN493" i="2"/>
  <c r="Z493" i="2"/>
  <c r="A10" i="2"/>
  <c r="X527" i="2"/>
  <c r="X529" i="2" s="1"/>
  <c r="Y25" i="2"/>
  <c r="BP63" i="2"/>
  <c r="BP77" i="2"/>
  <c r="BN77" i="2"/>
  <c r="Y78" i="2"/>
  <c r="BP82" i="2"/>
  <c r="BP89" i="2"/>
  <c r="H536" i="2"/>
  <c r="BN133" i="2"/>
  <c r="Y135" i="2"/>
  <c r="BP133" i="2"/>
  <c r="I536" i="2"/>
  <c r="BN149" i="2"/>
  <c r="BP149" i="2"/>
  <c r="Z172" i="2"/>
  <c r="BN172" i="2"/>
  <c r="BN174" i="2"/>
  <c r="Z174" i="2"/>
  <c r="BP220" i="2"/>
  <c r="Z220" i="2"/>
  <c r="Y408" i="2"/>
  <c r="BN399" i="2"/>
  <c r="Z399" i="2"/>
  <c r="BP406" i="2"/>
  <c r="Z406" i="2"/>
  <c r="BP436" i="2"/>
  <c r="Y439" i="2"/>
  <c r="BP453" i="2"/>
  <c r="Z453" i="2"/>
  <c r="Z454" i="2" s="1"/>
  <c r="BP478" i="2"/>
  <c r="BN478" i="2"/>
  <c r="BN490" i="2"/>
  <c r="Z490" i="2"/>
  <c r="Y223" i="2"/>
  <c r="BP221" i="2"/>
  <c r="BP236" i="2"/>
  <c r="BP273" i="2"/>
  <c r="Y322" i="2"/>
  <c r="Y381" i="2"/>
  <c r="BP385" i="2"/>
  <c r="BP412" i="2"/>
  <c r="BP445" i="2"/>
  <c r="BP448" i="2"/>
  <c r="Z536" i="2"/>
  <c r="BP470" i="2"/>
  <c r="BP473" i="2"/>
  <c r="BP23" i="2"/>
  <c r="BP52" i="2"/>
  <c r="BP65" i="2"/>
  <c r="F536" i="2"/>
  <c r="BP88" i="2"/>
  <c r="BP117" i="2"/>
  <c r="J536" i="2"/>
  <c r="Y160" i="2"/>
  <c r="Z199" i="2"/>
  <c r="Z211" i="2"/>
  <c r="BP219" i="2"/>
  <c r="Z221" i="2"/>
  <c r="BP242" i="2"/>
  <c r="Z251" i="2"/>
  <c r="Z273" i="2"/>
  <c r="Z319" i="2"/>
  <c r="Y331" i="2"/>
  <c r="Z340" i="2"/>
  <c r="BP341" i="2"/>
  <c r="BP349" i="2"/>
  <c r="Z364" i="2"/>
  <c r="Z377" i="2"/>
  <c r="BP377" i="2"/>
  <c r="BP379" i="2"/>
  <c r="Z385" i="2"/>
  <c r="Z387" i="2" s="1"/>
  <c r="BP405" i="2"/>
  <c r="Z412" i="2"/>
  <c r="BN421" i="2"/>
  <c r="Z435" i="2"/>
  <c r="Y438" i="2"/>
  <c r="X536" i="2"/>
  <c r="Z445" i="2"/>
  <c r="Z448" i="2"/>
  <c r="Y455" i="2"/>
  <c r="BP452" i="2"/>
  <c r="Y460" i="2"/>
  <c r="Z470" i="2"/>
  <c r="Z473" i="2"/>
  <c r="Z476" i="2"/>
  <c r="BN482" i="2"/>
  <c r="BP483" i="2"/>
  <c r="Z489" i="2"/>
  <c r="Z492" i="2"/>
  <c r="AA536" i="2"/>
  <c r="Y505" i="2"/>
  <c r="BP513" i="2"/>
  <c r="X530" i="2"/>
  <c r="Y34" i="2"/>
  <c r="BP27" i="2"/>
  <c r="Z52" i="2"/>
  <c r="Y67" i="2"/>
  <c r="Z65" i="2"/>
  <c r="Z88" i="2"/>
  <c r="BP90" i="2"/>
  <c r="Z117" i="2"/>
  <c r="Z157" i="2"/>
  <c r="BP157" i="2"/>
  <c r="Y177" i="2"/>
  <c r="BP198" i="2"/>
  <c r="Z208" i="2"/>
  <c r="Z219" i="2"/>
  <c r="BN232" i="2"/>
  <c r="Y234" i="2"/>
  <c r="BN236" i="2"/>
  <c r="Z242" i="2"/>
  <c r="Z264" i="2"/>
  <c r="BN266" i="2"/>
  <c r="Z271" i="2"/>
  <c r="BP272" i="2"/>
  <c r="BN286" i="2"/>
  <c r="Z304" i="2"/>
  <c r="BN309" i="2"/>
  <c r="BP325" i="2"/>
  <c r="BN326" i="2"/>
  <c r="Z327" i="2"/>
  <c r="BP334" i="2"/>
  <c r="Z341" i="2"/>
  <c r="Z354" i="2"/>
  <c r="BN356" i="2"/>
  <c r="Y387" i="2"/>
  <c r="BP384" i="2"/>
  <c r="Y388" i="2"/>
  <c r="Y413" i="2"/>
  <c r="Z416" i="2"/>
  <c r="Y423" i="2"/>
  <c r="Z443" i="2"/>
  <c r="BP444" i="2"/>
  <c r="BN463" i="2"/>
  <c r="Z464" i="2"/>
  <c r="Z491" i="2"/>
  <c r="Z500" i="2"/>
  <c r="Z501" i="2" s="1"/>
  <c r="BN504" i="2"/>
  <c r="Z513" i="2"/>
  <c r="Z514" i="2" s="1"/>
  <c r="Y183" i="2"/>
  <c r="BN196" i="2"/>
  <c r="BP209" i="2"/>
  <c r="BN217" i="2"/>
  <c r="Y228" i="2"/>
  <c r="Y243" i="2"/>
  <c r="BP252" i="2"/>
  <c r="BP262" i="2"/>
  <c r="BN270" i="2"/>
  <c r="BP283" i="2"/>
  <c r="BP293" i="2"/>
  <c r="BN303" i="2"/>
  <c r="Y315" i="2"/>
  <c r="Z326" i="2"/>
  <c r="BP328" i="2"/>
  <c r="BN339" i="2"/>
  <c r="Y342" i="2"/>
  <c r="BN350" i="2"/>
  <c r="BN360" i="2"/>
  <c r="BP372" i="2"/>
  <c r="Z380" i="2"/>
  <c r="BN393" i="2"/>
  <c r="BP417" i="2"/>
  <c r="Y429" i="2"/>
  <c r="BN452" i="2"/>
  <c r="Z463" i="2"/>
  <c r="Z475" i="2"/>
  <c r="BP477" i="2"/>
  <c r="Z509" i="2"/>
  <c r="Y514" i="2"/>
  <c r="Z97" i="2"/>
  <c r="Y368" i="2"/>
  <c r="K536" i="2"/>
  <c r="Z175" i="2"/>
  <c r="Y205" i="2"/>
  <c r="Z22" i="2"/>
  <c r="Z32" i="2"/>
  <c r="Y37" i="2"/>
  <c r="Y47" i="2"/>
  <c r="Z59" i="2"/>
  <c r="BP61" i="2"/>
  <c r="Z69" i="2"/>
  <c r="BP71" i="2"/>
  <c r="BP94" i="2"/>
  <c r="Z103" i="2"/>
  <c r="BP105" i="2"/>
  <c r="Z113" i="2"/>
  <c r="BP115" i="2"/>
  <c r="Z123" i="2"/>
  <c r="BP138" i="2"/>
  <c r="BP162" i="2"/>
  <c r="Z170" i="2"/>
  <c r="BP172" i="2"/>
  <c r="Z180" i="2"/>
  <c r="BP196" i="2"/>
  <c r="Z215" i="2"/>
  <c r="BP217" i="2"/>
  <c r="Z225" i="2"/>
  <c r="Z258" i="2"/>
  <c r="Z268" i="2"/>
  <c r="BP270" i="2"/>
  <c r="Z278" i="2"/>
  <c r="Z289" i="2"/>
  <c r="Y294" i="2"/>
  <c r="Z301" i="2"/>
  <c r="BP303" i="2"/>
  <c r="Z312" i="2"/>
  <c r="BP339" i="2"/>
  <c r="Z348" i="2"/>
  <c r="BP350" i="2"/>
  <c r="Z358" i="2"/>
  <c r="BP360" i="2"/>
  <c r="Z391" i="2"/>
  <c r="BP393" i="2"/>
  <c r="Z403" i="2"/>
  <c r="Y418" i="2"/>
  <c r="Z426" i="2"/>
  <c r="L536" i="2"/>
  <c r="BN64" i="2"/>
  <c r="BN87" i="2"/>
  <c r="BN97" i="2"/>
  <c r="BN108" i="2"/>
  <c r="Y119" i="2"/>
  <c r="Z128" i="2"/>
  <c r="Z129" i="2" s="1"/>
  <c r="Z152" i="2"/>
  <c r="BN175" i="2"/>
  <c r="Z185" i="2"/>
  <c r="BN199" i="2"/>
  <c r="Z210" i="2"/>
  <c r="BP212" i="2"/>
  <c r="BN220" i="2"/>
  <c r="Z230" i="2"/>
  <c r="Z233" i="2" s="1"/>
  <c r="BP232" i="2"/>
  <c r="Y244" i="2"/>
  <c r="Z253" i="2"/>
  <c r="BP255" i="2"/>
  <c r="Z263" i="2"/>
  <c r="BP265" i="2"/>
  <c r="Z284" i="2"/>
  <c r="BP286" i="2"/>
  <c r="BP309" i="2"/>
  <c r="Z318" i="2"/>
  <c r="BP320" i="2"/>
  <c r="Z329" i="2"/>
  <c r="Y343" i="2"/>
  <c r="BP355" i="2"/>
  <c r="BP365" i="2"/>
  <c r="Z373" i="2"/>
  <c r="BP400" i="2"/>
  <c r="BP410" i="2"/>
  <c r="Z431" i="2"/>
  <c r="Z432" i="2" s="1"/>
  <c r="BP458" i="2"/>
  <c r="BN470" i="2"/>
  <c r="Z478" i="2"/>
  <c r="BP504" i="2"/>
  <c r="Y515" i="2"/>
  <c r="M536" i="2"/>
  <c r="BN123" i="2"/>
  <c r="Y163" i="2"/>
  <c r="BN170" i="2"/>
  <c r="BN180" i="2"/>
  <c r="Y206" i="2"/>
  <c r="BN215" i="2"/>
  <c r="BN225" i="2"/>
  <c r="Y249" i="2"/>
  <c r="BN258" i="2"/>
  <c r="BN268" i="2"/>
  <c r="BN278" i="2"/>
  <c r="BN289" i="2"/>
  <c r="BN301" i="2"/>
  <c r="BN312" i="2"/>
  <c r="BN348" i="2"/>
  <c r="Y351" i="2"/>
  <c r="BN358" i="2"/>
  <c r="Y361" i="2"/>
  <c r="Y369" i="2"/>
  <c r="BN391" i="2"/>
  <c r="Y394" i="2"/>
  <c r="BN403" i="2"/>
  <c r="Y414" i="2"/>
  <c r="BN426" i="2"/>
  <c r="Y520" i="2"/>
  <c r="O536" i="2"/>
  <c r="BN22" i="2"/>
  <c r="BN59" i="2"/>
  <c r="BN69" i="2"/>
  <c r="BN103" i="2"/>
  <c r="BN113" i="2"/>
  <c r="BN27" i="2"/>
  <c r="Z51" i="2"/>
  <c r="BP53" i="2"/>
  <c r="Z62" i="2"/>
  <c r="Z72" i="2"/>
  <c r="BP87" i="2"/>
  <c r="Z95" i="2"/>
  <c r="Z106" i="2"/>
  <c r="BP108" i="2"/>
  <c r="Z116" i="2"/>
  <c r="BN128" i="2"/>
  <c r="Z139" i="2"/>
  <c r="Z140" i="2" s="1"/>
  <c r="BN152" i="2"/>
  <c r="Z173" i="2"/>
  <c r="BN185" i="2"/>
  <c r="Z197" i="2"/>
  <c r="BN210" i="2"/>
  <c r="Z218" i="2"/>
  <c r="BN230" i="2"/>
  <c r="Y233" i="2"/>
  <c r="Z241" i="2"/>
  <c r="BN253" i="2"/>
  <c r="BN263" i="2"/>
  <c r="BN284" i="2"/>
  <c r="Y295" i="2"/>
  <c r="BN318" i="2"/>
  <c r="Y321" i="2"/>
  <c r="BN329" i="2"/>
  <c r="BN373" i="2"/>
  <c r="Y419" i="2"/>
  <c r="BN431" i="2"/>
  <c r="P536" i="2"/>
  <c r="Z53" i="2"/>
  <c r="Y248" i="2"/>
  <c r="BN32" i="2"/>
  <c r="Z44" i="2"/>
  <c r="Y38" i="2"/>
  <c r="BP64" i="2"/>
  <c r="BP22" i="2"/>
  <c r="Z30" i="2"/>
  <c r="BP59" i="2"/>
  <c r="BP69" i="2"/>
  <c r="Z77" i="2"/>
  <c r="Z121" i="2"/>
  <c r="Z144" i="2"/>
  <c r="Z145" i="2" s="1"/>
  <c r="Z168" i="2"/>
  <c r="BP225" i="2"/>
  <c r="Z246" i="2"/>
  <c r="Z256" i="2"/>
  <c r="Z266" i="2"/>
  <c r="Z287" i="2"/>
  <c r="BP301" i="2"/>
  <c r="Z310" i="2"/>
  <c r="Z346" i="2"/>
  <c r="Z356" i="2"/>
  <c r="Z366" i="2"/>
  <c r="BP391" i="2"/>
  <c r="Z401" i="2"/>
  <c r="Z411" i="2"/>
  <c r="BP426" i="2"/>
  <c r="Y510" i="2"/>
  <c r="Z517" i="2"/>
  <c r="Q536" i="2"/>
  <c r="BN62" i="2"/>
  <c r="BN72" i="2"/>
  <c r="BN95" i="2"/>
  <c r="Y98" i="2"/>
  <c r="BN106" i="2"/>
  <c r="Y109" i="2"/>
  <c r="BN116" i="2"/>
  <c r="BP128" i="2"/>
  <c r="BN139" i="2"/>
  <c r="Y164" i="2"/>
  <c r="BN173" i="2"/>
  <c r="Y176" i="2"/>
  <c r="BP185" i="2"/>
  <c r="BN197" i="2"/>
  <c r="Y200" i="2"/>
  <c r="BN218" i="2"/>
  <c r="BN241" i="2"/>
  <c r="BN271" i="2"/>
  <c r="Y274" i="2"/>
  <c r="BN304" i="2"/>
  <c r="BN340" i="2"/>
  <c r="Y352" i="2"/>
  <c r="Y362" i="2"/>
  <c r="Y395" i="2"/>
  <c r="BN406" i="2"/>
  <c r="BP431" i="2"/>
  <c r="BN443" i="2"/>
  <c r="BN453" i="2"/>
  <c r="BN488" i="2"/>
  <c r="BN500" i="2"/>
  <c r="Z523" i="2"/>
  <c r="Z524" i="2" s="1"/>
  <c r="R536" i="2"/>
  <c r="Z54" i="2"/>
  <c r="Y259" i="2"/>
  <c r="Y290" i="2"/>
  <c r="S536" i="2"/>
  <c r="Y118" i="2"/>
  <c r="Y126" i="2"/>
  <c r="Y279" i="2"/>
  <c r="Z23" i="2"/>
  <c r="BP51" i="2"/>
  <c r="Z60" i="2"/>
  <c r="Z70" i="2"/>
  <c r="Z104" i="2"/>
  <c r="Z114" i="2"/>
  <c r="Z124" i="2"/>
  <c r="Y153" i="2"/>
  <c r="Z171" i="2"/>
  <c r="Z181" i="2"/>
  <c r="Z216" i="2"/>
  <c r="Z226" i="2"/>
  <c r="Z269" i="2"/>
  <c r="Z302" i="2"/>
  <c r="Z313" i="2"/>
  <c r="Y330" i="2"/>
  <c r="Z349" i="2"/>
  <c r="Z359" i="2"/>
  <c r="Y374" i="2"/>
  <c r="Y382" i="2"/>
  <c r="Z392" i="2"/>
  <c r="Z404" i="2"/>
  <c r="Z427" i="2"/>
  <c r="Y432" i="2"/>
  <c r="BP443" i="2"/>
  <c r="Y479" i="2"/>
  <c r="BP488" i="2"/>
  <c r="BP500" i="2"/>
  <c r="Y511" i="2"/>
  <c r="BN523" i="2"/>
  <c r="T536" i="2"/>
  <c r="Y33" i="2"/>
  <c r="BN42" i="2"/>
  <c r="Y91" i="2"/>
  <c r="Y99" i="2"/>
  <c r="Y110" i="2"/>
  <c r="BP168" i="2"/>
  <c r="Y201" i="2"/>
  <c r="Y275" i="2"/>
  <c r="Y449" i="2"/>
  <c r="B536" i="2"/>
  <c r="Z87" i="2"/>
  <c r="Z42" i="2"/>
  <c r="BN60" i="2"/>
  <c r="BN70" i="2"/>
  <c r="Y73" i="2"/>
  <c r="BN104" i="2"/>
  <c r="BN114" i="2"/>
  <c r="BN124" i="2"/>
  <c r="Y140" i="2"/>
  <c r="BN171" i="2"/>
  <c r="BN181" i="2"/>
  <c r="BN216" i="2"/>
  <c r="BN226" i="2"/>
  <c r="Z236" i="2"/>
  <c r="Z237" i="2" s="1"/>
  <c r="Y260" i="2"/>
  <c r="BN269" i="2"/>
  <c r="Y280" i="2"/>
  <c r="Y291" i="2"/>
  <c r="BN302" i="2"/>
  <c r="Y305" i="2"/>
  <c r="BN313" i="2"/>
  <c r="BN404" i="2"/>
  <c r="Y407" i="2"/>
  <c r="BN427" i="2"/>
  <c r="Z437" i="2"/>
  <c r="Y454" i="2"/>
  <c r="Z462" i="2"/>
  <c r="Z465" i="2" s="1"/>
  <c r="Z474" i="2"/>
  <c r="Z484" i="2"/>
  <c r="Z494" i="2"/>
  <c r="Y501" i="2"/>
  <c r="Z508" i="2"/>
  <c r="BP523" i="2"/>
  <c r="C536" i="2"/>
  <c r="V536" i="2"/>
  <c r="Y480" i="2"/>
  <c r="D536" i="2"/>
  <c r="W536" i="2"/>
  <c r="Y92" i="2"/>
  <c r="Z102" i="2"/>
  <c r="Z169" i="2"/>
  <c r="Z179" i="2"/>
  <c r="Z214" i="2"/>
  <c r="Z247" i="2"/>
  <c r="Z357" i="2"/>
  <c r="Z518" i="2"/>
  <c r="Y524" i="2"/>
  <c r="E536" i="2"/>
  <c r="Z31" i="2"/>
  <c r="Z112" i="2"/>
  <c r="Z122" i="2"/>
  <c r="Z204" i="2"/>
  <c r="Z205" i="2" s="1"/>
  <c r="Z257" i="2"/>
  <c r="Z267" i="2"/>
  <c r="Z277" i="2"/>
  <c r="Z288" i="2"/>
  <c r="Z311" i="2"/>
  <c r="Z347" i="2"/>
  <c r="Z367" i="2"/>
  <c r="J9" i="2"/>
  <c r="Z36" i="2"/>
  <c r="Z37" i="2" s="1"/>
  <c r="Y55" i="2"/>
  <c r="Y66" i="2"/>
  <c r="Y141" i="2"/>
  <c r="Z151" i="2"/>
  <c r="Z209" i="2"/>
  <c r="Y222" i="2"/>
  <c r="Z252" i="2"/>
  <c r="Z262" i="2"/>
  <c r="Z283" i="2"/>
  <c r="Z293" i="2"/>
  <c r="Z294" i="2" s="1"/>
  <c r="Z328" i="2"/>
  <c r="Z372" i="2"/>
  <c r="BN384" i="2"/>
  <c r="BP399" i="2"/>
  <c r="Z417" i="2"/>
  <c r="Z418" i="2" s="1"/>
  <c r="Z477" i="2"/>
  <c r="Y502" i="2"/>
  <c r="Y536" i="2"/>
  <c r="BN31" i="2"/>
  <c r="BN102" i="2"/>
  <c r="BN112" i="2"/>
  <c r="BN122" i="2"/>
  <c r="Y125" i="2"/>
  <c r="BN169" i="2"/>
  <c r="BN179" i="2"/>
  <c r="Y182" i="2"/>
  <c r="BN204" i="2"/>
  <c r="BN214" i="2"/>
  <c r="BN247" i="2"/>
  <c r="BN257" i="2"/>
  <c r="BN267" i="2"/>
  <c r="Y314" i="2"/>
  <c r="BN347" i="2"/>
  <c r="BN357" i="2"/>
  <c r="BN367" i="2"/>
  <c r="BP437" i="2"/>
  <c r="BP484" i="2"/>
  <c r="BN518" i="2"/>
  <c r="G536" i="2"/>
  <c r="BN277" i="2"/>
  <c r="BN288" i="2"/>
  <c r="BN311" i="2"/>
  <c r="BN209" i="2"/>
  <c r="Y525" i="2"/>
  <c r="Z495" i="2" l="1"/>
  <c r="Z413" i="2"/>
  <c r="Z78" i="2"/>
  <c r="Z243" i="2"/>
  <c r="Z98" i="2"/>
  <c r="Z187" i="2"/>
  <c r="Z321" i="2"/>
  <c r="Z159" i="2"/>
  <c r="Z342" i="2"/>
  <c r="Z381" i="2"/>
  <c r="Z335" i="2"/>
  <c r="Z374" i="2"/>
  <c r="Z153" i="2"/>
  <c r="Z361" i="2"/>
  <c r="Z485" i="2"/>
  <c r="Z438" i="2"/>
  <c r="Z91" i="2"/>
  <c r="Z368" i="2"/>
  <c r="Z200" i="2"/>
  <c r="Z479" i="2"/>
  <c r="Y530" i="2"/>
  <c r="Z407" i="2"/>
  <c r="Z176" i="2"/>
  <c r="Z330" i="2"/>
  <c r="Z449" i="2"/>
  <c r="Z259" i="2"/>
  <c r="Z222" i="2"/>
  <c r="Z182" i="2"/>
  <c r="Z46" i="2"/>
  <c r="Z314" i="2"/>
  <c r="Y526" i="2"/>
  <c r="Z125" i="2"/>
  <c r="Z33" i="2"/>
  <c r="Z519" i="2"/>
  <c r="Z305" i="2"/>
  <c r="Y528" i="2"/>
  <c r="Z55" i="2"/>
  <c r="Z73" i="2"/>
  <c r="Z428" i="2"/>
  <c r="Z351" i="2"/>
  <c r="Z227" i="2"/>
  <c r="Z66" i="2"/>
  <c r="Z109" i="2"/>
  <c r="Z279" i="2"/>
  <c r="Z394" i="2"/>
  <c r="Y527" i="2"/>
  <c r="Y529" i="2" s="1"/>
  <c r="Z24" i="2"/>
  <c r="Z290" i="2"/>
  <c r="Z274" i="2"/>
  <c r="Z118" i="2"/>
  <c r="Z510" i="2"/>
  <c r="Z248" i="2"/>
  <c r="Z531" i="2" l="1"/>
</calcChain>
</file>

<file path=xl/sharedStrings.xml><?xml version="1.0" encoding="utf-8"?>
<sst xmlns="http://schemas.openxmlformats.org/spreadsheetml/2006/main" count="3974" uniqueCount="857">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</sst>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503" zoomScaleNormal="100" zoomScaleSheetLayoutView="100" workbookViewId="0">
      <selection activeCell="X532" sqref="X5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0" t="s">
        <v>26</v>
      </c>
      <c r="E1" s="600"/>
      <c r="F1" s="600"/>
      <c r="G1" s="14" t="s">
        <v>67</v>
      </c>
      <c r="H1" s="600" t="s">
        <v>47</v>
      </c>
      <c r="I1" s="600"/>
      <c r="J1" s="600"/>
      <c r="K1" s="600"/>
      <c r="L1" s="600"/>
      <c r="M1" s="600"/>
      <c r="N1" s="600"/>
      <c r="O1" s="600"/>
      <c r="P1" s="600"/>
      <c r="Q1" s="600"/>
      <c r="R1" s="601" t="s">
        <v>68</v>
      </c>
      <c r="S1" s="602"/>
      <c r="T1" s="60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3"/>
      <c r="R2" s="603"/>
      <c r="S2" s="603"/>
      <c r="T2" s="603"/>
      <c r="U2" s="603"/>
      <c r="V2" s="603"/>
      <c r="W2" s="60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3"/>
      <c r="Q3" s="603"/>
      <c r="R3" s="603"/>
      <c r="S3" s="603"/>
      <c r="T3" s="603"/>
      <c r="U3" s="603"/>
      <c r="V3" s="603"/>
      <c r="W3" s="60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04" t="s">
        <v>8</v>
      </c>
      <c r="B5" s="604"/>
      <c r="C5" s="604"/>
      <c r="D5" s="605"/>
      <c r="E5" s="605"/>
      <c r="F5" s="606" t="s">
        <v>14</v>
      </c>
      <c r="G5" s="606"/>
      <c r="H5" s="605"/>
      <c r="I5" s="605"/>
      <c r="J5" s="605"/>
      <c r="K5" s="605"/>
      <c r="L5" s="605"/>
      <c r="M5" s="605"/>
      <c r="N5" s="72"/>
      <c r="P5" s="27" t="s">
        <v>4</v>
      </c>
      <c r="Q5" s="607">
        <v>46202</v>
      </c>
      <c r="R5" s="607"/>
      <c r="T5" s="608" t="s">
        <v>3</v>
      </c>
      <c r="U5" s="609"/>
      <c r="V5" s="610" t="s">
        <v>817</v>
      </c>
      <c r="W5" s="611"/>
      <c r="AB5" s="59"/>
      <c r="AC5" s="59"/>
      <c r="AD5" s="59"/>
      <c r="AE5" s="59"/>
    </row>
    <row r="6" spans="1:32" s="17" customFormat="1" ht="24" customHeight="1" x14ac:dyDescent="0.2">
      <c r="A6" s="604" t="s">
        <v>1</v>
      </c>
      <c r="B6" s="604"/>
      <c r="C6" s="604"/>
      <c r="D6" s="612"/>
      <c r="E6" s="612"/>
      <c r="F6" s="612"/>
      <c r="G6" s="612"/>
      <c r="H6" s="612"/>
      <c r="I6" s="612"/>
      <c r="J6" s="612"/>
      <c r="K6" s="612"/>
      <c r="L6" s="612"/>
      <c r="M6" s="612"/>
      <c r="N6" s="73"/>
      <c r="P6" s="27" t="s">
        <v>27</v>
      </c>
      <c r="Q6" s="613" t="str">
        <f>IF(Q5=0," ",CHOOSE(WEEKDAY(Q5,2),"Понедельник","Вторник","Среда","Четверг","Пятница","Суббота","Воскресенье"))</f>
        <v>Понедельник</v>
      </c>
      <c r="R6" s="613"/>
      <c r="T6" s="614" t="s">
        <v>5</v>
      </c>
      <c r="U6" s="615"/>
      <c r="V6" s="616" t="s">
        <v>70</v>
      </c>
      <c r="W6" s="61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2">
        <f>IFERROR(VLOOKUP(DeliveryAddress,Table,3,0),1)</f>
        <v>1</v>
      </c>
      <c r="E7" s="623"/>
      <c r="F7" s="623"/>
      <c r="G7" s="623"/>
      <c r="H7" s="623"/>
      <c r="I7" s="623"/>
      <c r="J7" s="623"/>
      <c r="K7" s="623"/>
      <c r="L7" s="623"/>
      <c r="M7" s="624"/>
      <c r="N7" s="74"/>
      <c r="P7" s="29"/>
      <c r="Q7" s="48"/>
      <c r="R7" s="48"/>
      <c r="T7" s="614"/>
      <c r="U7" s="615"/>
      <c r="V7" s="618"/>
      <c r="W7" s="619"/>
      <c r="AB7" s="59"/>
      <c r="AC7" s="59"/>
      <c r="AD7" s="59"/>
      <c r="AE7" s="59"/>
    </row>
    <row r="8" spans="1:32" s="17" customFormat="1" ht="25.5" customHeight="1" x14ac:dyDescent="0.2">
      <c r="A8" s="625" t="s">
        <v>58</v>
      </c>
      <c r="B8" s="625"/>
      <c r="C8" s="625"/>
      <c r="D8" s="626"/>
      <c r="E8" s="626"/>
      <c r="F8" s="626"/>
      <c r="G8" s="626"/>
      <c r="H8" s="626"/>
      <c r="I8" s="626"/>
      <c r="J8" s="626"/>
      <c r="K8" s="626"/>
      <c r="L8" s="626"/>
      <c r="M8" s="626"/>
      <c r="N8" s="75"/>
      <c r="P8" s="27" t="s">
        <v>11</v>
      </c>
      <c r="Q8" s="627">
        <v>0.41666666666666669</v>
      </c>
      <c r="R8" s="627"/>
      <c r="T8" s="614"/>
      <c r="U8" s="615"/>
      <c r="V8" s="618"/>
      <c r="W8" s="619"/>
      <c r="AB8" s="59"/>
      <c r="AC8" s="59"/>
      <c r="AD8" s="59"/>
      <c r="AE8" s="59"/>
    </row>
    <row r="9" spans="1:32" s="17" customFormat="1" ht="39.950000000000003" customHeight="1" x14ac:dyDescent="0.2">
      <c r="A9" s="6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8"/>
      <c r="C9" s="628"/>
      <c r="D9" s="629" t="s">
        <v>46</v>
      </c>
      <c r="E9" s="630"/>
      <c r="F9" s="6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8"/>
      <c r="H9" s="631" t="str">
        <f>IF(AND($A$9="Тип доверенности/получателя при получении в адресе перегруза:",$D$9="Разовая доверенность"),"Введите ФИО","")</f>
        <v/>
      </c>
      <c r="I9" s="631"/>
      <c r="J9" s="63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1"/>
      <c r="L9" s="631"/>
      <c r="M9" s="631"/>
      <c r="N9" s="70"/>
      <c r="P9" s="31" t="s">
        <v>15</v>
      </c>
      <c r="Q9" s="632"/>
      <c r="R9" s="632"/>
      <c r="T9" s="614"/>
      <c r="U9" s="615"/>
      <c r="V9" s="620"/>
      <c r="W9" s="62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8"/>
      <c r="C10" s="628"/>
      <c r="D10" s="629"/>
      <c r="E10" s="630"/>
      <c r="F10" s="6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8"/>
      <c r="H10" s="633" t="str">
        <f>IFERROR(VLOOKUP($D$10,Proxy,2,FALSE),"")</f>
        <v/>
      </c>
      <c r="I10" s="633"/>
      <c r="J10" s="633"/>
      <c r="K10" s="633"/>
      <c r="L10" s="633"/>
      <c r="M10" s="633"/>
      <c r="N10" s="71"/>
      <c r="P10" s="31" t="s">
        <v>32</v>
      </c>
      <c r="Q10" s="634"/>
      <c r="R10" s="634"/>
      <c r="U10" s="29" t="s">
        <v>12</v>
      </c>
      <c r="V10" s="635" t="s">
        <v>71</v>
      </c>
      <c r="W10" s="6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37"/>
      <c r="R11" s="637"/>
      <c r="U11" s="29" t="s">
        <v>28</v>
      </c>
      <c r="V11" s="638" t="s">
        <v>55</v>
      </c>
      <c r="W11" s="63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39" t="s">
        <v>72</v>
      </c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76"/>
      <c r="P12" s="27" t="s">
        <v>30</v>
      </c>
      <c r="Q12" s="627"/>
      <c r="R12" s="627"/>
      <c r="S12" s="28"/>
      <c r="T12"/>
      <c r="U12" s="29" t="s">
        <v>46</v>
      </c>
      <c r="V12" s="640"/>
      <c r="W12" s="640"/>
      <c r="X12"/>
      <c r="AB12" s="59"/>
      <c r="AC12" s="59"/>
      <c r="AD12" s="59"/>
      <c r="AE12" s="59"/>
    </row>
    <row r="13" spans="1:32" s="17" customFormat="1" ht="23.25" customHeight="1" x14ac:dyDescent="0.2">
      <c r="A13" s="639" t="s">
        <v>73</v>
      </c>
      <c r="B13" s="639"/>
      <c r="C13" s="639"/>
      <c r="D13" s="639"/>
      <c r="E13" s="639"/>
      <c r="F13" s="639"/>
      <c r="G13" s="639"/>
      <c r="H13" s="639"/>
      <c r="I13" s="639"/>
      <c r="J13" s="639"/>
      <c r="K13" s="639"/>
      <c r="L13" s="639"/>
      <c r="M13" s="639"/>
      <c r="N13" s="76"/>
      <c r="O13" s="31"/>
      <c r="P13" s="31" t="s">
        <v>31</v>
      </c>
      <c r="Q13" s="638"/>
      <c r="R13" s="63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39" t="s">
        <v>74</v>
      </c>
      <c r="B14" s="639"/>
      <c r="C14" s="639"/>
      <c r="D14" s="639"/>
      <c r="E14" s="639"/>
      <c r="F14" s="639"/>
      <c r="G14" s="639"/>
      <c r="H14" s="639"/>
      <c r="I14" s="639"/>
      <c r="J14" s="639"/>
      <c r="K14" s="639"/>
      <c r="L14" s="639"/>
      <c r="M14" s="63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1" t="s">
        <v>75</v>
      </c>
      <c r="B15" s="641"/>
      <c r="C15" s="641"/>
      <c r="D15" s="641"/>
      <c r="E15" s="641"/>
      <c r="F15" s="641"/>
      <c r="G15" s="641"/>
      <c r="H15" s="641"/>
      <c r="I15" s="641"/>
      <c r="J15" s="641"/>
      <c r="K15" s="641"/>
      <c r="L15" s="641"/>
      <c r="M15" s="641"/>
      <c r="N15" s="77"/>
      <c r="O15"/>
      <c r="P15" s="642" t="s">
        <v>61</v>
      </c>
      <c r="Q15" s="642"/>
      <c r="R15" s="642"/>
      <c r="S15" s="642"/>
      <c r="T15" s="64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3"/>
      <c r="Q16" s="643"/>
      <c r="R16" s="643"/>
      <c r="S16" s="643"/>
      <c r="T16" s="6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6" t="s">
        <v>59</v>
      </c>
      <c r="B17" s="646" t="s">
        <v>49</v>
      </c>
      <c r="C17" s="648" t="s">
        <v>48</v>
      </c>
      <c r="D17" s="650" t="s">
        <v>50</v>
      </c>
      <c r="E17" s="651"/>
      <c r="F17" s="646" t="s">
        <v>21</v>
      </c>
      <c r="G17" s="646" t="s">
        <v>24</v>
      </c>
      <c r="H17" s="646" t="s">
        <v>22</v>
      </c>
      <c r="I17" s="646" t="s">
        <v>23</v>
      </c>
      <c r="J17" s="646" t="s">
        <v>16</v>
      </c>
      <c r="K17" s="646" t="s">
        <v>66</v>
      </c>
      <c r="L17" s="646" t="s">
        <v>64</v>
      </c>
      <c r="M17" s="646" t="s">
        <v>2</v>
      </c>
      <c r="N17" s="646" t="s">
        <v>63</v>
      </c>
      <c r="O17" s="646" t="s">
        <v>25</v>
      </c>
      <c r="P17" s="650" t="s">
        <v>17</v>
      </c>
      <c r="Q17" s="654"/>
      <c r="R17" s="654"/>
      <c r="S17" s="654"/>
      <c r="T17" s="651"/>
      <c r="U17" s="644" t="s">
        <v>56</v>
      </c>
      <c r="V17" s="645"/>
      <c r="W17" s="646" t="s">
        <v>6</v>
      </c>
      <c r="X17" s="646" t="s">
        <v>41</v>
      </c>
      <c r="Y17" s="656" t="s">
        <v>54</v>
      </c>
      <c r="Z17" s="658" t="s">
        <v>18</v>
      </c>
      <c r="AA17" s="660" t="s">
        <v>60</v>
      </c>
      <c r="AB17" s="660" t="s">
        <v>19</v>
      </c>
      <c r="AC17" s="660" t="s">
        <v>65</v>
      </c>
      <c r="AD17" s="662" t="s">
        <v>57</v>
      </c>
      <c r="AE17" s="663"/>
      <c r="AF17" s="664"/>
      <c r="AG17" s="82"/>
      <c r="BD17" s="81" t="s">
        <v>62</v>
      </c>
    </row>
    <row r="18" spans="1:68" ht="14.25" customHeight="1" x14ac:dyDescent="0.2">
      <c r="A18" s="647"/>
      <c r="B18" s="647"/>
      <c r="C18" s="649"/>
      <c r="D18" s="652"/>
      <c r="E18" s="653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2"/>
      <c r="Q18" s="655"/>
      <c r="R18" s="655"/>
      <c r="S18" s="655"/>
      <c r="T18" s="653"/>
      <c r="U18" s="83" t="s">
        <v>44</v>
      </c>
      <c r="V18" s="83" t="s">
        <v>43</v>
      </c>
      <c r="W18" s="647"/>
      <c r="X18" s="647"/>
      <c r="Y18" s="657"/>
      <c r="Z18" s="659"/>
      <c r="AA18" s="661"/>
      <c r="AB18" s="661"/>
      <c r="AC18" s="661"/>
      <c r="AD18" s="665"/>
      <c r="AE18" s="666"/>
      <c r="AF18" s="667"/>
      <c r="AG18" s="82"/>
      <c r="BD18" s="81"/>
    </row>
    <row r="19" spans="1:68" ht="27.75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7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79"/>
      <c r="B24" s="679"/>
      <c r="C24" s="679"/>
      <c r="D24" s="679"/>
      <c r="E24" s="679"/>
      <c r="F24" s="679"/>
      <c r="G24" s="679"/>
      <c r="H24" s="679"/>
      <c r="I24" s="679"/>
      <c r="J24" s="679"/>
      <c r="K24" s="679"/>
      <c r="L24" s="679"/>
      <c r="M24" s="679"/>
      <c r="N24" s="679"/>
      <c r="O24" s="680"/>
      <c r="P24" s="676" t="s">
        <v>40</v>
      </c>
      <c r="Q24" s="677"/>
      <c r="R24" s="677"/>
      <c r="S24" s="677"/>
      <c r="T24" s="677"/>
      <c r="U24" s="677"/>
      <c r="V24" s="6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79"/>
      <c r="B25" s="679"/>
      <c r="C25" s="679"/>
      <c r="D25" s="679"/>
      <c r="E25" s="679"/>
      <c r="F25" s="679"/>
      <c r="G25" s="679"/>
      <c r="H25" s="679"/>
      <c r="I25" s="679"/>
      <c r="J25" s="679"/>
      <c r="K25" s="679"/>
      <c r="L25" s="679"/>
      <c r="M25" s="679"/>
      <c r="N25" s="679"/>
      <c r="O25" s="680"/>
      <c r="P25" s="676" t="s">
        <v>40</v>
      </c>
      <c r="Q25" s="677"/>
      <c r="R25" s="677"/>
      <c r="S25" s="677"/>
      <c r="T25" s="677"/>
      <c r="U25" s="677"/>
      <c r="V25" s="6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1">
        <v>4680115887657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8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1">
        <v>4680115887619</v>
      </c>
      <c r="E32" s="67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8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3"/>
      <c r="R32" s="673"/>
      <c r="S32" s="673"/>
      <c r="T32" s="67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76" t="s">
        <v>40</v>
      </c>
      <c r="Q33" s="677"/>
      <c r="R33" s="677"/>
      <c r="S33" s="677"/>
      <c r="T33" s="677"/>
      <c r="U33" s="677"/>
      <c r="V33" s="678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79"/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80"/>
      <c r="P34" s="676" t="s">
        <v>40</v>
      </c>
      <c r="Q34" s="677"/>
      <c r="R34" s="677"/>
      <c r="S34" s="677"/>
      <c r="T34" s="677"/>
      <c r="U34" s="677"/>
      <c r="V34" s="678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0" t="s">
        <v>107</v>
      </c>
      <c r="B35" s="670"/>
      <c r="C35" s="670"/>
      <c r="D35" s="670"/>
      <c r="E35" s="670"/>
      <c r="F35" s="670"/>
      <c r="G35" s="670"/>
      <c r="H35" s="670"/>
      <c r="I35" s="670"/>
      <c r="J35" s="670"/>
      <c r="K35" s="670"/>
      <c r="L35" s="670"/>
      <c r="M35" s="670"/>
      <c r="N35" s="670"/>
      <c r="O35" s="670"/>
      <c r="P35" s="670"/>
      <c r="Q35" s="670"/>
      <c r="R35" s="670"/>
      <c r="S35" s="670"/>
      <c r="T35" s="670"/>
      <c r="U35" s="670"/>
      <c r="V35" s="670"/>
      <c r="W35" s="670"/>
      <c r="X35" s="670"/>
      <c r="Y35" s="670"/>
      <c r="Z35" s="67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1">
        <v>4607091388503</v>
      </c>
      <c r="E36" s="67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3"/>
      <c r="R36" s="673"/>
      <c r="S36" s="673"/>
      <c r="T36" s="67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79"/>
      <c r="B37" s="679"/>
      <c r="C37" s="679"/>
      <c r="D37" s="679"/>
      <c r="E37" s="679"/>
      <c r="F37" s="679"/>
      <c r="G37" s="679"/>
      <c r="H37" s="679"/>
      <c r="I37" s="679"/>
      <c r="J37" s="679"/>
      <c r="K37" s="679"/>
      <c r="L37" s="679"/>
      <c r="M37" s="679"/>
      <c r="N37" s="679"/>
      <c r="O37" s="680"/>
      <c r="P37" s="676" t="s">
        <v>40</v>
      </c>
      <c r="Q37" s="677"/>
      <c r="R37" s="677"/>
      <c r="S37" s="677"/>
      <c r="T37" s="677"/>
      <c r="U37" s="677"/>
      <c r="V37" s="678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79"/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80"/>
      <c r="P38" s="676" t="s">
        <v>40</v>
      </c>
      <c r="Q38" s="677"/>
      <c r="R38" s="677"/>
      <c r="S38" s="677"/>
      <c r="T38" s="677"/>
      <c r="U38" s="677"/>
      <c r="V38" s="678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68" t="s">
        <v>45</v>
      </c>
      <c r="B39" s="668"/>
      <c r="C39" s="668"/>
      <c r="D39" s="668"/>
      <c r="E39" s="668"/>
      <c r="F39" s="668"/>
      <c r="G39" s="668"/>
      <c r="H39" s="668"/>
      <c r="I39" s="668"/>
      <c r="J39" s="668"/>
      <c r="K39" s="668"/>
      <c r="L39" s="668"/>
      <c r="M39" s="668"/>
      <c r="N39" s="668"/>
      <c r="O39" s="668"/>
      <c r="P39" s="668"/>
      <c r="Q39" s="668"/>
      <c r="R39" s="668"/>
      <c r="S39" s="668"/>
      <c r="T39" s="668"/>
      <c r="U39" s="668"/>
      <c r="V39" s="668"/>
      <c r="W39" s="668"/>
      <c r="X39" s="668"/>
      <c r="Y39" s="668"/>
      <c r="Z39" s="668"/>
      <c r="AA39" s="54"/>
      <c r="AB39" s="54"/>
      <c r="AC39" s="54"/>
    </row>
    <row r="40" spans="1:68" ht="16.5" customHeight="1" x14ac:dyDescent="0.25">
      <c r="A40" s="669" t="s">
        <v>113</v>
      </c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5"/>
      <c r="AB40" s="65"/>
      <c r="AC40" s="79"/>
    </row>
    <row r="41" spans="1:68" ht="14.25" customHeight="1" x14ac:dyDescent="0.25">
      <c r="A41" s="670" t="s">
        <v>86</v>
      </c>
      <c r="B41" s="670"/>
      <c r="C41" s="670"/>
      <c r="D41" s="670"/>
      <c r="E41" s="670"/>
      <c r="F41" s="670"/>
      <c r="G41" s="670"/>
      <c r="H41" s="670"/>
      <c r="I41" s="670"/>
      <c r="J41" s="670"/>
      <c r="K41" s="670"/>
      <c r="L41" s="670"/>
      <c r="M41" s="670"/>
      <c r="N41" s="670"/>
      <c r="O41" s="670"/>
      <c r="P41" s="670"/>
      <c r="Q41" s="670"/>
      <c r="R41" s="670"/>
      <c r="S41" s="670"/>
      <c r="T41" s="670"/>
      <c r="U41" s="670"/>
      <c r="V41" s="670"/>
      <c r="W41" s="670"/>
      <c r="X41" s="670"/>
      <c r="Y41" s="670"/>
      <c r="Z41" s="67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1">
        <v>4680115888463</v>
      </c>
      <c r="E42" s="67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3"/>
      <c r="R42" s="673"/>
      <c r="S42" s="673"/>
      <c r="T42" s="67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1">
        <v>4680115888494</v>
      </c>
      <c r="E43" s="67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8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3"/>
      <c r="R43" s="673"/>
      <c r="S43" s="673"/>
      <c r="T43" s="67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1">
        <v>4680115888272</v>
      </c>
      <c r="E44" s="67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3"/>
      <c r="R44" s="673"/>
      <c r="S44" s="673"/>
      <c r="T44" s="67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1">
        <v>4680115888364</v>
      </c>
      <c r="E45" s="67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3"/>
      <c r="R45" s="673"/>
      <c r="S45" s="673"/>
      <c r="T45" s="67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76" t="s">
        <v>40</v>
      </c>
      <c r="Q46" s="677"/>
      <c r="R46" s="677"/>
      <c r="S46" s="677"/>
      <c r="T46" s="677"/>
      <c r="U46" s="677"/>
      <c r="V46" s="678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79"/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80"/>
      <c r="P47" s="676" t="s">
        <v>40</v>
      </c>
      <c r="Q47" s="677"/>
      <c r="R47" s="677"/>
      <c r="S47" s="677"/>
      <c r="T47" s="677"/>
      <c r="U47" s="677"/>
      <c r="V47" s="678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68" t="s">
        <v>126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54"/>
      <c r="AB48" s="54"/>
      <c r="AC48" s="54"/>
    </row>
    <row r="49" spans="1:68" ht="16.5" customHeight="1" x14ac:dyDescent="0.25">
      <c r="A49" s="669" t="s">
        <v>127</v>
      </c>
      <c r="B49" s="669"/>
      <c r="C49" s="669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69"/>
      <c r="O49" s="669"/>
      <c r="P49" s="669"/>
      <c r="Q49" s="669"/>
      <c r="R49" s="669"/>
      <c r="S49" s="669"/>
      <c r="T49" s="669"/>
      <c r="U49" s="669"/>
      <c r="V49" s="669"/>
      <c r="W49" s="669"/>
      <c r="X49" s="669"/>
      <c r="Y49" s="669"/>
      <c r="Z49" s="669"/>
      <c r="AA49" s="65"/>
      <c r="AB49" s="65"/>
      <c r="AC49" s="79"/>
    </row>
    <row r="50" spans="1:68" ht="14.25" customHeight="1" x14ac:dyDescent="0.25">
      <c r="A50" s="670" t="s">
        <v>128</v>
      </c>
      <c r="B50" s="670"/>
      <c r="C50" s="670"/>
      <c r="D50" s="670"/>
      <c r="E50" s="670"/>
      <c r="F50" s="670"/>
      <c r="G50" s="670"/>
      <c r="H50" s="670"/>
      <c r="I50" s="670"/>
      <c r="J50" s="670"/>
      <c r="K50" s="670"/>
      <c r="L50" s="670"/>
      <c r="M50" s="670"/>
      <c r="N50" s="670"/>
      <c r="O50" s="670"/>
      <c r="P50" s="670"/>
      <c r="Q50" s="670"/>
      <c r="R50" s="670"/>
      <c r="S50" s="670"/>
      <c r="T50" s="670"/>
      <c r="U50" s="670"/>
      <c r="V50" s="670"/>
      <c r="W50" s="670"/>
      <c r="X50" s="670"/>
      <c r="Y50" s="670"/>
      <c r="Z50" s="67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1">
        <v>4607091385670</v>
      </c>
      <c r="E51" s="67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3"/>
      <c r="R51" s="673"/>
      <c r="S51" s="673"/>
      <c r="T51" s="67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1">
        <v>4680115887725</v>
      </c>
      <c r="E52" s="67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3"/>
      <c r="R52" s="673"/>
      <c r="S52" s="673"/>
      <c r="T52" s="67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1">
        <v>4607091385687</v>
      </c>
      <c r="E53" s="67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6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3"/>
      <c r="R53" s="673"/>
      <c r="S53" s="673"/>
      <c r="T53" s="67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1">
        <v>4680115882539</v>
      </c>
      <c r="E54" s="67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69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3"/>
      <c r="R54" s="673"/>
      <c r="S54" s="673"/>
      <c r="T54" s="67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79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76" t="s">
        <v>40</v>
      </c>
      <c r="Q55" s="677"/>
      <c r="R55" s="677"/>
      <c r="S55" s="677"/>
      <c r="T55" s="677"/>
      <c r="U55" s="677"/>
      <c r="V55" s="67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76" t="s">
        <v>40</v>
      </c>
      <c r="Q56" s="677"/>
      <c r="R56" s="677"/>
      <c r="S56" s="677"/>
      <c r="T56" s="677"/>
      <c r="U56" s="677"/>
      <c r="V56" s="67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69" t="s">
        <v>143</v>
      </c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5"/>
      <c r="AB57" s="65"/>
      <c r="AC57" s="79"/>
    </row>
    <row r="58" spans="1:68" ht="14.25" customHeight="1" x14ac:dyDescent="0.25">
      <c r="A58" s="670" t="s">
        <v>128</v>
      </c>
      <c r="B58" s="670"/>
      <c r="C58" s="670"/>
      <c r="D58" s="670"/>
      <c r="E58" s="670"/>
      <c r="F58" s="670"/>
      <c r="G58" s="670"/>
      <c r="H58" s="670"/>
      <c r="I58" s="670"/>
      <c r="J58" s="670"/>
      <c r="K58" s="670"/>
      <c r="L58" s="670"/>
      <c r="M58" s="670"/>
      <c r="N58" s="670"/>
      <c r="O58" s="670"/>
      <c r="P58" s="670"/>
      <c r="Q58" s="670"/>
      <c r="R58" s="670"/>
      <c r="S58" s="670"/>
      <c r="T58" s="670"/>
      <c r="U58" s="670"/>
      <c r="V58" s="670"/>
      <c r="W58" s="670"/>
      <c r="X58" s="670"/>
      <c r="Y58" s="670"/>
      <c r="Z58" s="670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1">
        <v>4680115885882</v>
      </c>
      <c r="E59" s="67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6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1">
        <v>4680115885882</v>
      </c>
      <c r="E60" s="67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6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1">
        <v>4680115881426</v>
      </c>
      <c r="E61" s="67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69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3"/>
      <c r="R61" s="673"/>
      <c r="S61" s="673"/>
      <c r="T61" s="67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1">
        <v>4680115880283</v>
      </c>
      <c r="E62" s="67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69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3"/>
      <c r="R62" s="673"/>
      <c r="S62" s="673"/>
      <c r="T62" s="67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1">
        <v>4680115881525</v>
      </c>
      <c r="E63" s="671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3"/>
      <c r="R63" s="673"/>
      <c r="S63" s="673"/>
      <c r="T63" s="67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1">
        <v>4680115885899</v>
      </c>
      <c r="E64" s="671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1">
        <v>4680115881419</v>
      </c>
      <c r="E65" s="671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79"/>
      <c r="B66" s="679"/>
      <c r="C66" s="679"/>
      <c r="D66" s="679"/>
      <c r="E66" s="679"/>
      <c r="F66" s="679"/>
      <c r="G66" s="679"/>
      <c r="H66" s="679"/>
      <c r="I66" s="679"/>
      <c r="J66" s="679"/>
      <c r="K66" s="679"/>
      <c r="L66" s="679"/>
      <c r="M66" s="679"/>
      <c r="N66" s="679"/>
      <c r="O66" s="680"/>
      <c r="P66" s="676" t="s">
        <v>40</v>
      </c>
      <c r="Q66" s="677"/>
      <c r="R66" s="677"/>
      <c r="S66" s="677"/>
      <c r="T66" s="677"/>
      <c r="U66" s="677"/>
      <c r="V66" s="678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79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80"/>
      <c r="P67" s="676" t="s">
        <v>40</v>
      </c>
      <c r="Q67" s="677"/>
      <c r="R67" s="677"/>
      <c r="S67" s="677"/>
      <c r="T67" s="677"/>
      <c r="U67" s="677"/>
      <c r="V67" s="678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customHeight="1" x14ac:dyDescent="0.25">
      <c r="A68" s="670" t="s">
        <v>163</v>
      </c>
      <c r="B68" s="670"/>
      <c r="C68" s="670"/>
      <c r="D68" s="670"/>
      <c r="E68" s="670"/>
      <c r="F68" s="670"/>
      <c r="G68" s="670"/>
      <c r="H68" s="670"/>
      <c r="I68" s="670"/>
      <c r="J68" s="670"/>
      <c r="K68" s="670"/>
      <c r="L68" s="670"/>
      <c r="M68" s="670"/>
      <c r="N68" s="670"/>
      <c r="O68" s="670"/>
      <c r="P68" s="670"/>
      <c r="Q68" s="670"/>
      <c r="R68" s="670"/>
      <c r="S68" s="670"/>
      <c r="T68" s="670"/>
      <c r="U68" s="670"/>
      <c r="V68" s="670"/>
      <c r="W68" s="670"/>
      <c r="X68" s="670"/>
      <c r="Y68" s="670"/>
      <c r="Z68" s="670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1">
        <v>4680115881440</v>
      </c>
      <c r="E69" s="671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3"/>
      <c r="R69" s="673"/>
      <c r="S69" s="673"/>
      <c r="T69" s="674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1">
        <v>4680115885950</v>
      </c>
      <c r="E70" s="671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3"/>
      <c r="R70" s="673"/>
      <c r="S70" s="673"/>
      <c r="T70" s="67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1">
        <v>4680115887688</v>
      </c>
      <c r="E71" s="671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1">
        <v>4680115881433</v>
      </c>
      <c r="E72" s="671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79"/>
      <c r="B73" s="679"/>
      <c r="C73" s="679"/>
      <c r="D73" s="679"/>
      <c r="E73" s="679"/>
      <c r="F73" s="679"/>
      <c r="G73" s="679"/>
      <c r="H73" s="679"/>
      <c r="I73" s="679"/>
      <c r="J73" s="679"/>
      <c r="K73" s="679"/>
      <c r="L73" s="679"/>
      <c r="M73" s="679"/>
      <c r="N73" s="679"/>
      <c r="O73" s="680"/>
      <c r="P73" s="676" t="s">
        <v>40</v>
      </c>
      <c r="Q73" s="677"/>
      <c r="R73" s="677"/>
      <c r="S73" s="677"/>
      <c r="T73" s="677"/>
      <c r="U73" s="677"/>
      <c r="V73" s="678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679"/>
      <c r="B74" s="679"/>
      <c r="C74" s="679"/>
      <c r="D74" s="679"/>
      <c r="E74" s="679"/>
      <c r="F74" s="679"/>
      <c r="G74" s="679"/>
      <c r="H74" s="679"/>
      <c r="I74" s="679"/>
      <c r="J74" s="679"/>
      <c r="K74" s="679"/>
      <c r="L74" s="679"/>
      <c r="M74" s="679"/>
      <c r="N74" s="679"/>
      <c r="O74" s="680"/>
      <c r="P74" s="676" t="s">
        <v>40</v>
      </c>
      <c r="Q74" s="677"/>
      <c r="R74" s="677"/>
      <c r="S74" s="677"/>
      <c r="T74" s="677"/>
      <c r="U74" s="677"/>
      <c r="V74" s="678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1">
        <v>4680115884311</v>
      </c>
      <c r="E76" s="671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3"/>
      <c r="R76" s="673"/>
      <c r="S76" s="673"/>
      <c r="T76" s="674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1">
        <v>4680115884403</v>
      </c>
      <c r="E77" s="671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76" t="s">
        <v>40</v>
      </c>
      <c r="Q78" s="677"/>
      <c r="R78" s="677"/>
      <c r="S78" s="677"/>
      <c r="T78" s="677"/>
      <c r="U78" s="677"/>
      <c r="V78" s="67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79"/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80"/>
      <c r="P79" s="676" t="s">
        <v>40</v>
      </c>
      <c r="Q79" s="677"/>
      <c r="R79" s="677"/>
      <c r="S79" s="677"/>
      <c r="T79" s="677"/>
      <c r="U79" s="677"/>
      <c r="V79" s="67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0" t="s">
        <v>180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1">
        <v>4680115881532</v>
      </c>
      <c r="E81" s="671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3"/>
      <c r="R81" s="673"/>
      <c r="S81" s="673"/>
      <c r="T81" s="674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1">
        <v>4680115881464</v>
      </c>
      <c r="E82" s="671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79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76" t="s">
        <v>40</v>
      </c>
      <c r="Q83" s="677"/>
      <c r="R83" s="677"/>
      <c r="S83" s="677"/>
      <c r="T83" s="677"/>
      <c r="U83" s="677"/>
      <c r="V83" s="678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76" t="s">
        <v>40</v>
      </c>
      <c r="Q84" s="677"/>
      <c r="R84" s="677"/>
      <c r="S84" s="677"/>
      <c r="T84" s="677"/>
      <c r="U84" s="677"/>
      <c r="V84" s="678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69" t="s">
        <v>187</v>
      </c>
      <c r="B85" s="669"/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5"/>
      <c r="AB85" s="65"/>
      <c r="AC85" s="79"/>
    </row>
    <row r="86" spans="1:68" ht="14.25" customHeight="1" x14ac:dyDescent="0.25">
      <c r="A86" s="670" t="s">
        <v>128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1">
        <v>4680115881327</v>
      </c>
      <c r="E87" s="671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1">
        <v>4680115887732</v>
      </c>
      <c r="E88" s="671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1">
        <v>4680115881518</v>
      </c>
      <c r="E89" s="671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1">
        <v>4680115881303</v>
      </c>
      <c r="E90" s="67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3"/>
      <c r="R90" s="673"/>
      <c r="S90" s="673"/>
      <c r="T90" s="67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76" t="s">
        <v>40</v>
      </c>
      <c r="Q91" s="677"/>
      <c r="R91" s="677"/>
      <c r="S91" s="677"/>
      <c r="T91" s="677"/>
      <c r="U91" s="677"/>
      <c r="V91" s="678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79"/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80"/>
      <c r="P92" s="676" t="s">
        <v>40</v>
      </c>
      <c r="Q92" s="677"/>
      <c r="R92" s="677"/>
      <c r="S92" s="677"/>
      <c r="T92" s="677"/>
      <c r="U92" s="677"/>
      <c r="V92" s="678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70" t="s">
        <v>86</v>
      </c>
      <c r="B93" s="670"/>
      <c r="C93" s="670"/>
      <c r="D93" s="670"/>
      <c r="E93" s="670"/>
      <c r="F93" s="670"/>
      <c r="G93" s="670"/>
      <c r="H93" s="670"/>
      <c r="I93" s="670"/>
      <c r="J93" s="670"/>
      <c r="K93" s="670"/>
      <c r="L93" s="670"/>
      <c r="M93" s="670"/>
      <c r="N93" s="670"/>
      <c r="O93" s="670"/>
      <c r="P93" s="670"/>
      <c r="Q93" s="670"/>
      <c r="R93" s="670"/>
      <c r="S93" s="670"/>
      <c r="T93" s="670"/>
      <c r="U93" s="670"/>
      <c r="V93" s="670"/>
      <c r="W93" s="670"/>
      <c r="X93" s="670"/>
      <c r="Y93" s="670"/>
      <c r="Z93" s="670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1">
        <v>4607091385731</v>
      </c>
      <c r="E96" s="67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1">
        <v>4680115880894</v>
      </c>
      <c r="E97" s="67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1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79"/>
      <c r="B98" s="679"/>
      <c r="C98" s="679"/>
      <c r="D98" s="679"/>
      <c r="E98" s="679"/>
      <c r="F98" s="679"/>
      <c r="G98" s="679"/>
      <c r="H98" s="679"/>
      <c r="I98" s="679"/>
      <c r="J98" s="679"/>
      <c r="K98" s="679"/>
      <c r="L98" s="679"/>
      <c r="M98" s="679"/>
      <c r="N98" s="679"/>
      <c r="O98" s="680"/>
      <c r="P98" s="676" t="s">
        <v>40</v>
      </c>
      <c r="Q98" s="677"/>
      <c r="R98" s="677"/>
      <c r="S98" s="677"/>
      <c r="T98" s="677"/>
      <c r="U98" s="677"/>
      <c r="V98" s="678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79"/>
      <c r="B99" s="679"/>
      <c r="C99" s="679"/>
      <c r="D99" s="679"/>
      <c r="E99" s="679"/>
      <c r="F99" s="679"/>
      <c r="G99" s="679"/>
      <c r="H99" s="679"/>
      <c r="I99" s="679"/>
      <c r="J99" s="679"/>
      <c r="K99" s="679"/>
      <c r="L99" s="679"/>
      <c r="M99" s="679"/>
      <c r="N99" s="679"/>
      <c r="O99" s="680"/>
      <c r="P99" s="676" t="s">
        <v>40</v>
      </c>
      <c r="Q99" s="677"/>
      <c r="R99" s="677"/>
      <c r="S99" s="677"/>
      <c r="T99" s="677"/>
      <c r="U99" s="677"/>
      <c r="V99" s="678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69" t="s">
        <v>208</v>
      </c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69"/>
      <c r="P100" s="669"/>
      <c r="Q100" s="669"/>
      <c r="R100" s="669"/>
      <c r="S100" s="669"/>
      <c r="T100" s="669"/>
      <c r="U100" s="669"/>
      <c r="V100" s="669"/>
      <c r="W100" s="669"/>
      <c r="X100" s="669"/>
      <c r="Y100" s="669"/>
      <c r="Z100" s="669"/>
      <c r="AA100" s="65"/>
      <c r="AB100" s="65"/>
      <c r="AC100" s="79"/>
    </row>
    <row r="101" spans="1:68" ht="14.25" customHeight="1" x14ac:dyDescent="0.25">
      <c r="A101" s="670" t="s">
        <v>128</v>
      </c>
      <c r="B101" s="670"/>
      <c r="C101" s="670"/>
      <c r="D101" s="670"/>
      <c r="E101" s="670"/>
      <c r="F101" s="670"/>
      <c r="G101" s="670"/>
      <c r="H101" s="670"/>
      <c r="I101" s="670"/>
      <c r="J101" s="670"/>
      <c r="K101" s="670"/>
      <c r="L101" s="670"/>
      <c r="M101" s="670"/>
      <c r="N101" s="670"/>
      <c r="O101" s="670"/>
      <c r="P101" s="670"/>
      <c r="Q101" s="670"/>
      <c r="R101" s="670"/>
      <c r="S101" s="670"/>
      <c r="T101" s="670"/>
      <c r="U101" s="670"/>
      <c r="V101" s="670"/>
      <c r="W101" s="670"/>
      <c r="X101" s="670"/>
      <c r="Y101" s="670"/>
      <c r="Z101" s="670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1">
        <v>4680115882133</v>
      </c>
      <c r="E102" s="67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3"/>
      <c r="R102" s="673"/>
      <c r="S102" s="673"/>
      <c r="T102" s="67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1">
        <v>4680115887718</v>
      </c>
      <c r="E103" s="671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3"/>
      <c r="R103" s="673"/>
      <c r="S103" s="673"/>
      <c r="T103" s="67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1">
        <v>4680115887718</v>
      </c>
      <c r="E104" s="671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1">
        <v>4680115887749</v>
      </c>
      <c r="E105" s="671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1">
        <v>4680115880269</v>
      </c>
      <c r="E106" s="67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1">
        <v>4680115880429</v>
      </c>
      <c r="E107" s="67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2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1">
        <v>4680115881457</v>
      </c>
      <c r="E108" s="67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79"/>
      <c r="B109" s="679"/>
      <c r="C109" s="679"/>
      <c r="D109" s="679"/>
      <c r="E109" s="679"/>
      <c r="F109" s="679"/>
      <c r="G109" s="679"/>
      <c r="H109" s="679"/>
      <c r="I109" s="679"/>
      <c r="J109" s="679"/>
      <c r="K109" s="679"/>
      <c r="L109" s="679"/>
      <c r="M109" s="679"/>
      <c r="N109" s="679"/>
      <c r="O109" s="680"/>
      <c r="P109" s="676" t="s">
        <v>40</v>
      </c>
      <c r="Q109" s="677"/>
      <c r="R109" s="677"/>
      <c r="S109" s="677"/>
      <c r="T109" s="677"/>
      <c r="U109" s="677"/>
      <c r="V109" s="678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79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76" t="s">
        <v>40</v>
      </c>
      <c r="Q110" s="677"/>
      <c r="R110" s="677"/>
      <c r="S110" s="677"/>
      <c r="T110" s="677"/>
      <c r="U110" s="677"/>
      <c r="V110" s="678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70" t="s">
        <v>163</v>
      </c>
      <c r="B111" s="670"/>
      <c r="C111" s="670"/>
      <c r="D111" s="670"/>
      <c r="E111" s="670"/>
      <c r="F111" s="670"/>
      <c r="G111" s="670"/>
      <c r="H111" s="670"/>
      <c r="I111" s="670"/>
      <c r="J111" s="670"/>
      <c r="K111" s="670"/>
      <c r="L111" s="670"/>
      <c r="M111" s="670"/>
      <c r="N111" s="670"/>
      <c r="O111" s="670"/>
      <c r="P111" s="670"/>
      <c r="Q111" s="670"/>
      <c r="R111" s="670"/>
      <c r="S111" s="670"/>
      <c r="T111" s="670"/>
      <c r="U111" s="670"/>
      <c r="V111" s="670"/>
      <c r="W111" s="670"/>
      <c r="X111" s="670"/>
      <c r="Y111" s="670"/>
      <c r="Z111" s="670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1">
        <v>4680115881488</v>
      </c>
      <c r="E112" s="67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3"/>
      <c r="R112" s="673"/>
      <c r="S112" s="673"/>
      <c r="T112" s="67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7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7" si="17">IFERROR(X112*I112/H112,"0")</f>
        <v>0</v>
      </c>
      <c r="BN112" s="78">
        <f t="shared" ref="BN112:BN117" si="18">IFERROR(Y112*I112/H112,"0")</f>
        <v>0</v>
      </c>
      <c r="BO112" s="78">
        <f t="shared" ref="BO112:BO117" si="19">IFERROR(1/J112*(X112/H112),"0")</f>
        <v>0</v>
      </c>
      <c r="BP112" s="78">
        <f t="shared" ref="BP112:BP117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1">
        <v>4680115881488</v>
      </c>
      <c r="E113" s="67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3"/>
      <c r="R113" s="673"/>
      <c r="S113" s="673"/>
      <c r="T113" s="67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1">
        <v>4680115887664</v>
      </c>
      <c r="E114" s="67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2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3"/>
      <c r="R114" s="673"/>
      <c r="S114" s="673"/>
      <c r="T114" s="67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1">
        <v>4680115887664</v>
      </c>
      <c r="E115" s="67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2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1">
        <v>4680115882775</v>
      </c>
      <c r="E116" s="67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1">
        <v>4680115880658</v>
      </c>
      <c r="E117" s="67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x14ac:dyDescent="0.2">
      <c r="A118" s="679"/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80"/>
      <c r="P118" s="676" t="s">
        <v>40</v>
      </c>
      <c r="Q118" s="677"/>
      <c r="R118" s="677"/>
      <c r="S118" s="677"/>
      <c r="T118" s="677"/>
      <c r="U118" s="677"/>
      <c r="V118" s="678"/>
      <c r="W118" s="42" t="s">
        <v>39</v>
      </c>
      <c r="X118" s="43">
        <f>IFERROR(X112/H112,"0")+IFERROR(X113/H113,"0")+IFERROR(X114/H114,"0")+IFERROR(X115/H115,"0")+IFERROR(X116/H116,"0")+IFERROR(X117/H117,"0")</f>
        <v>0</v>
      </c>
      <c r="Y118" s="43">
        <f>IFERROR(Y112/H112,"0")+IFERROR(Y113/H113,"0")+IFERROR(Y114/H114,"0")+IFERROR(Y115/H115,"0")+IFERROR(Y116/H116,"0")+IFERROR(Y117/H117,"0")</f>
        <v>0</v>
      </c>
      <c r="Z118" s="43">
        <f>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79"/>
      <c r="B119" s="679"/>
      <c r="C119" s="679"/>
      <c r="D119" s="679"/>
      <c r="E119" s="679"/>
      <c r="F119" s="679"/>
      <c r="G119" s="679"/>
      <c r="H119" s="679"/>
      <c r="I119" s="679"/>
      <c r="J119" s="679"/>
      <c r="K119" s="679"/>
      <c r="L119" s="679"/>
      <c r="M119" s="679"/>
      <c r="N119" s="679"/>
      <c r="O119" s="680"/>
      <c r="P119" s="676" t="s">
        <v>40</v>
      </c>
      <c r="Q119" s="677"/>
      <c r="R119" s="677"/>
      <c r="S119" s="677"/>
      <c r="T119" s="677"/>
      <c r="U119" s="677"/>
      <c r="V119" s="678"/>
      <c r="W119" s="42" t="s">
        <v>0</v>
      </c>
      <c r="X119" s="43">
        <f>IFERROR(SUM(X112:X117),"0")</f>
        <v>0</v>
      </c>
      <c r="Y119" s="43">
        <f>IFERROR(SUM(Y112:Y117),"0")</f>
        <v>0</v>
      </c>
      <c r="Z119" s="42"/>
      <c r="AA119" s="67"/>
      <c r="AB119" s="67"/>
      <c r="AC119" s="67"/>
    </row>
    <row r="120" spans="1:68" ht="14.25" customHeight="1" x14ac:dyDescent="0.25">
      <c r="A120" s="670" t="s">
        <v>86</v>
      </c>
      <c r="B120" s="670"/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0"/>
      <c r="P120" s="670"/>
      <c r="Q120" s="670"/>
      <c r="R120" s="670"/>
      <c r="S120" s="670"/>
      <c r="T120" s="670"/>
      <c r="U120" s="670"/>
      <c r="V120" s="670"/>
      <c r="W120" s="670"/>
      <c r="X120" s="670"/>
      <c r="Y120" s="670"/>
      <c r="Z120" s="670"/>
      <c r="AA120" s="66"/>
      <c r="AB120" s="66"/>
      <c r="AC120" s="80"/>
    </row>
    <row r="121" spans="1:68" ht="27" customHeight="1" x14ac:dyDescent="0.25">
      <c r="A121" s="63" t="s">
        <v>238</v>
      </c>
      <c r="B121" s="63" t="s">
        <v>239</v>
      </c>
      <c r="C121" s="36">
        <v>4301051724</v>
      </c>
      <c r="D121" s="671">
        <v>4607091385168</v>
      </c>
      <c r="E121" s="671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133</v>
      </c>
      <c r="L121" s="37" t="s">
        <v>46</v>
      </c>
      <c r="M121" s="38" t="s">
        <v>97</v>
      </c>
      <c r="N121" s="38"/>
      <c r="O121" s="37">
        <v>45</v>
      </c>
      <c r="P121" s="73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3"/>
      <c r="R121" s="673"/>
      <c r="S121" s="673"/>
      <c r="T121" s="674"/>
      <c r="U121" s="39" t="s">
        <v>46</v>
      </c>
      <c r="V121" s="39" t="s">
        <v>46</v>
      </c>
      <c r="W121" s="40" t="s">
        <v>0</v>
      </c>
      <c r="X121" s="58">
        <v>220</v>
      </c>
      <c r="Y121" s="55">
        <f>IFERROR(IF(X121="",0,CEILING((X121/$H121),1)*$H121),"")</f>
        <v>226.79999999999998</v>
      </c>
      <c r="Z121" s="41">
        <f>IFERROR(IF(Y121=0,"",ROUNDUP(Y121/H121,0)*0.01898),"")</f>
        <v>0.53144000000000002</v>
      </c>
      <c r="AA121" s="68" t="s">
        <v>46</v>
      </c>
      <c r="AB121" s="69" t="s">
        <v>46</v>
      </c>
      <c r="AC121" s="192" t="s">
        <v>240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233.25432098765432</v>
      </c>
      <c r="BN121" s="78">
        <f>IFERROR(Y121*I121/H121,"0")</f>
        <v>240.46399999999997</v>
      </c>
      <c r="BO121" s="78">
        <f>IFERROR(1/J121*(X121/H121),"0")</f>
        <v>0.42438271604938271</v>
      </c>
      <c r="BP121" s="78">
        <f>IFERROR(1/J121*(Y121/H121),"0")</f>
        <v>0.4375</v>
      </c>
    </row>
    <row r="122" spans="1:68" ht="27" customHeight="1" x14ac:dyDescent="0.25">
      <c r="A122" s="63" t="s">
        <v>241</v>
      </c>
      <c r="B122" s="63" t="s">
        <v>242</v>
      </c>
      <c r="C122" s="36">
        <v>4301051730</v>
      </c>
      <c r="D122" s="671">
        <v>4607091383256</v>
      </c>
      <c r="E122" s="671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3"/>
      <c r="R122" s="673"/>
      <c r="S122" s="673"/>
      <c r="T122" s="67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4301051721</v>
      </c>
      <c r="D123" s="671">
        <v>4607091385748</v>
      </c>
      <c r="E123" s="671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245</v>
      </c>
      <c r="B124" s="63" t="s">
        <v>246</v>
      </c>
      <c r="C124" s="36">
        <v>4301051740</v>
      </c>
      <c r="D124" s="671">
        <v>4680115884533</v>
      </c>
      <c r="E124" s="671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79"/>
      <c r="B125" s="679"/>
      <c r="C125" s="679"/>
      <c r="D125" s="679"/>
      <c r="E125" s="679"/>
      <c r="F125" s="679"/>
      <c r="G125" s="679"/>
      <c r="H125" s="679"/>
      <c r="I125" s="679"/>
      <c r="J125" s="679"/>
      <c r="K125" s="679"/>
      <c r="L125" s="679"/>
      <c r="M125" s="679"/>
      <c r="N125" s="679"/>
      <c r="O125" s="680"/>
      <c r="P125" s="676" t="s">
        <v>40</v>
      </c>
      <c r="Q125" s="677"/>
      <c r="R125" s="677"/>
      <c r="S125" s="677"/>
      <c r="T125" s="677"/>
      <c r="U125" s="677"/>
      <c r="V125" s="678"/>
      <c r="W125" s="42" t="s">
        <v>39</v>
      </c>
      <c r="X125" s="43">
        <f>IFERROR(X121/H121,"0")+IFERROR(X122/H122,"0")+IFERROR(X123/H123,"0")+IFERROR(X124/H124,"0")</f>
        <v>27.160493827160494</v>
      </c>
      <c r="Y125" s="43">
        <f>IFERROR(Y121/H121,"0")+IFERROR(Y122/H122,"0")+IFERROR(Y123/H123,"0")+IFERROR(Y124/H124,"0")</f>
        <v>28</v>
      </c>
      <c r="Z125" s="43">
        <f>IFERROR(IF(Z121="",0,Z121),"0")+IFERROR(IF(Z122="",0,Z122),"0")+IFERROR(IF(Z123="",0,Z123),"0")+IFERROR(IF(Z124="",0,Z124),"0")</f>
        <v>0.53144000000000002</v>
      </c>
      <c r="AA125" s="67"/>
      <c r="AB125" s="67"/>
      <c r="AC125" s="67"/>
    </row>
    <row r="126" spans="1:68" x14ac:dyDescent="0.2">
      <c r="A126" s="679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76" t="s">
        <v>40</v>
      </c>
      <c r="Q126" s="677"/>
      <c r="R126" s="677"/>
      <c r="S126" s="677"/>
      <c r="T126" s="677"/>
      <c r="U126" s="677"/>
      <c r="V126" s="678"/>
      <c r="W126" s="42" t="s">
        <v>0</v>
      </c>
      <c r="X126" s="43">
        <f>IFERROR(SUM(X121:X124),"0")</f>
        <v>220</v>
      </c>
      <c r="Y126" s="43">
        <f>IFERROR(SUM(Y121:Y124),"0")</f>
        <v>226.79999999999998</v>
      </c>
      <c r="Z126" s="42"/>
      <c r="AA126" s="67"/>
      <c r="AB126" s="67"/>
      <c r="AC126" s="67"/>
    </row>
    <row r="127" spans="1:68" ht="14.25" customHeight="1" x14ac:dyDescent="0.25">
      <c r="A127" s="670" t="s">
        <v>180</v>
      </c>
      <c r="B127" s="670"/>
      <c r="C127" s="670"/>
      <c r="D127" s="670"/>
      <c r="E127" s="670"/>
      <c r="F127" s="670"/>
      <c r="G127" s="670"/>
      <c r="H127" s="670"/>
      <c r="I127" s="670"/>
      <c r="J127" s="670"/>
      <c r="K127" s="670"/>
      <c r="L127" s="670"/>
      <c r="M127" s="670"/>
      <c r="N127" s="670"/>
      <c r="O127" s="670"/>
      <c r="P127" s="670"/>
      <c r="Q127" s="670"/>
      <c r="R127" s="670"/>
      <c r="S127" s="670"/>
      <c r="T127" s="670"/>
      <c r="U127" s="670"/>
      <c r="V127" s="670"/>
      <c r="W127" s="670"/>
      <c r="X127" s="670"/>
      <c r="Y127" s="670"/>
      <c r="Z127" s="670"/>
      <c r="AA127" s="66"/>
      <c r="AB127" s="66"/>
      <c r="AC127" s="80"/>
    </row>
    <row r="128" spans="1:68" ht="16.5" customHeight="1" x14ac:dyDescent="0.25">
      <c r="A128" s="63" t="s">
        <v>248</v>
      </c>
      <c r="B128" s="63" t="s">
        <v>249</v>
      </c>
      <c r="C128" s="36">
        <v>4301060317</v>
      </c>
      <c r="D128" s="671">
        <v>4680115880238</v>
      </c>
      <c r="E128" s="671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3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0" t="s">
        <v>250</v>
      </c>
      <c r="AG128" s="78"/>
      <c r="AJ128" s="84" t="s">
        <v>46</v>
      </c>
      <c r="AK128" s="84">
        <v>0</v>
      </c>
      <c r="BB128" s="201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76" t="s">
        <v>40</v>
      </c>
      <c r="Q129" s="677"/>
      <c r="R129" s="677"/>
      <c r="S129" s="677"/>
      <c r="T129" s="677"/>
      <c r="U129" s="677"/>
      <c r="V129" s="678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679"/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80"/>
      <c r="P130" s="676" t="s">
        <v>40</v>
      </c>
      <c r="Q130" s="677"/>
      <c r="R130" s="677"/>
      <c r="S130" s="677"/>
      <c r="T130" s="677"/>
      <c r="U130" s="677"/>
      <c r="V130" s="678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669" t="s">
        <v>251</v>
      </c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69"/>
      <c r="P131" s="669"/>
      <c r="Q131" s="669"/>
      <c r="R131" s="669"/>
      <c r="S131" s="669"/>
      <c r="T131" s="669"/>
      <c r="U131" s="669"/>
      <c r="V131" s="669"/>
      <c r="W131" s="669"/>
      <c r="X131" s="669"/>
      <c r="Y131" s="669"/>
      <c r="Z131" s="669"/>
      <c r="AA131" s="65"/>
      <c r="AB131" s="65"/>
      <c r="AC131" s="79"/>
    </row>
    <row r="132" spans="1:68" ht="14.25" customHeight="1" x14ac:dyDescent="0.25">
      <c r="A132" s="670" t="s">
        <v>128</v>
      </c>
      <c r="B132" s="670"/>
      <c r="C132" s="670"/>
      <c r="D132" s="670"/>
      <c r="E132" s="670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  <c r="AA132" s="66"/>
      <c r="AB132" s="66"/>
      <c r="AC132" s="80"/>
    </row>
    <row r="133" spans="1:68" ht="27" customHeight="1" x14ac:dyDescent="0.25">
      <c r="A133" s="63" t="s">
        <v>252</v>
      </c>
      <c r="B133" s="63" t="s">
        <v>253</v>
      </c>
      <c r="C133" s="36">
        <v>4301011562</v>
      </c>
      <c r="D133" s="671">
        <v>4680115882577</v>
      </c>
      <c r="E133" s="67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112</v>
      </c>
      <c r="N133" s="38"/>
      <c r="O133" s="37">
        <v>90</v>
      </c>
      <c r="P133" s="7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3"/>
      <c r="R133" s="673"/>
      <c r="S133" s="673"/>
      <c r="T133" s="67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254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252</v>
      </c>
      <c r="B134" s="63" t="s">
        <v>255</v>
      </c>
      <c r="C134" s="36">
        <v>4301011564</v>
      </c>
      <c r="D134" s="671">
        <v>4680115882577</v>
      </c>
      <c r="E134" s="67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3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79"/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80"/>
      <c r="P135" s="676" t="s">
        <v>40</v>
      </c>
      <c r="Q135" s="677"/>
      <c r="R135" s="677"/>
      <c r="S135" s="677"/>
      <c r="T135" s="677"/>
      <c r="U135" s="677"/>
      <c r="V135" s="678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79"/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80"/>
      <c r="P136" s="676" t="s">
        <v>40</v>
      </c>
      <c r="Q136" s="677"/>
      <c r="R136" s="677"/>
      <c r="S136" s="677"/>
      <c r="T136" s="677"/>
      <c r="U136" s="677"/>
      <c r="V136" s="678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70" t="s">
        <v>77</v>
      </c>
      <c r="B137" s="670"/>
      <c r="C137" s="670"/>
      <c r="D137" s="670"/>
      <c r="E137" s="670"/>
      <c r="F137" s="670"/>
      <c r="G137" s="670"/>
      <c r="H137" s="670"/>
      <c r="I137" s="670"/>
      <c r="J137" s="670"/>
      <c r="K137" s="670"/>
      <c r="L137" s="670"/>
      <c r="M137" s="670"/>
      <c r="N137" s="670"/>
      <c r="O137" s="670"/>
      <c r="P137" s="670"/>
      <c r="Q137" s="670"/>
      <c r="R137" s="670"/>
      <c r="S137" s="670"/>
      <c r="T137" s="670"/>
      <c r="U137" s="670"/>
      <c r="V137" s="670"/>
      <c r="W137" s="670"/>
      <c r="X137" s="670"/>
      <c r="Y137" s="670"/>
      <c r="Z137" s="670"/>
      <c r="AA137" s="66"/>
      <c r="AB137" s="66"/>
      <c r="AC137" s="80"/>
    </row>
    <row r="138" spans="1:68" ht="27" customHeight="1" x14ac:dyDescent="0.25">
      <c r="A138" s="63" t="s">
        <v>256</v>
      </c>
      <c r="B138" s="63" t="s">
        <v>257</v>
      </c>
      <c r="C138" s="36">
        <v>4301031234</v>
      </c>
      <c r="D138" s="671">
        <v>4680115883444</v>
      </c>
      <c r="E138" s="67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112</v>
      </c>
      <c r="N138" s="38"/>
      <c r="O138" s="37">
        <v>90</v>
      </c>
      <c r="P138" s="7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3"/>
      <c r="R138" s="673"/>
      <c r="S138" s="673"/>
      <c r="T138" s="67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258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256</v>
      </c>
      <c r="B139" s="63" t="s">
        <v>259</v>
      </c>
      <c r="C139" s="36">
        <v>4301031235</v>
      </c>
      <c r="D139" s="671">
        <v>4680115883444</v>
      </c>
      <c r="E139" s="67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3"/>
      <c r="R139" s="673"/>
      <c r="S139" s="673"/>
      <c r="T139" s="67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76" t="s">
        <v>40</v>
      </c>
      <c r="Q140" s="677"/>
      <c r="R140" s="677"/>
      <c r="S140" s="677"/>
      <c r="T140" s="677"/>
      <c r="U140" s="677"/>
      <c r="V140" s="678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79"/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80"/>
      <c r="P141" s="676" t="s">
        <v>40</v>
      </c>
      <c r="Q141" s="677"/>
      <c r="R141" s="677"/>
      <c r="S141" s="677"/>
      <c r="T141" s="677"/>
      <c r="U141" s="677"/>
      <c r="V141" s="678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70" t="s">
        <v>86</v>
      </c>
      <c r="B142" s="670"/>
      <c r="C142" s="670"/>
      <c r="D142" s="670"/>
      <c r="E142" s="670"/>
      <c r="F142" s="670"/>
      <c r="G142" s="670"/>
      <c r="H142" s="670"/>
      <c r="I142" s="670"/>
      <c r="J142" s="670"/>
      <c r="K142" s="670"/>
      <c r="L142" s="670"/>
      <c r="M142" s="670"/>
      <c r="N142" s="670"/>
      <c r="O142" s="670"/>
      <c r="P142" s="670"/>
      <c r="Q142" s="670"/>
      <c r="R142" s="670"/>
      <c r="S142" s="670"/>
      <c r="T142" s="670"/>
      <c r="U142" s="670"/>
      <c r="V142" s="670"/>
      <c r="W142" s="670"/>
      <c r="X142" s="670"/>
      <c r="Y142" s="670"/>
      <c r="Z142" s="670"/>
      <c r="AA142" s="66"/>
      <c r="AB142" s="66"/>
      <c r="AC142" s="80"/>
    </row>
    <row r="143" spans="1:68" ht="16.5" customHeight="1" x14ac:dyDescent="0.25">
      <c r="A143" s="63" t="s">
        <v>260</v>
      </c>
      <c r="B143" s="63" t="s">
        <v>261</v>
      </c>
      <c r="C143" s="36">
        <v>4301051476</v>
      </c>
      <c r="D143" s="671">
        <v>4680115882584</v>
      </c>
      <c r="E143" s="67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112</v>
      </c>
      <c r="N143" s="38"/>
      <c r="O143" s="37">
        <v>60</v>
      </c>
      <c r="P143" s="7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3"/>
      <c r="R143" s="673"/>
      <c r="S143" s="673"/>
      <c r="T143" s="67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254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260</v>
      </c>
      <c r="B144" s="63" t="s">
        <v>262</v>
      </c>
      <c r="C144" s="36">
        <v>4301051477</v>
      </c>
      <c r="D144" s="671">
        <v>4680115882584</v>
      </c>
      <c r="E144" s="67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3"/>
      <c r="R144" s="673"/>
      <c r="S144" s="673"/>
      <c r="T144" s="67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76" t="s">
        <v>40</v>
      </c>
      <c r="Q145" s="677"/>
      <c r="R145" s="677"/>
      <c r="S145" s="677"/>
      <c r="T145" s="677"/>
      <c r="U145" s="677"/>
      <c r="V145" s="678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79"/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80"/>
      <c r="P146" s="676" t="s">
        <v>40</v>
      </c>
      <c r="Q146" s="677"/>
      <c r="R146" s="677"/>
      <c r="S146" s="677"/>
      <c r="T146" s="677"/>
      <c r="U146" s="677"/>
      <c r="V146" s="678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669" t="s">
        <v>263</v>
      </c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5"/>
      <c r="AB147" s="65"/>
      <c r="AC147" s="79"/>
    </row>
    <row r="148" spans="1:68" ht="14.25" customHeight="1" x14ac:dyDescent="0.25">
      <c r="A148" s="670" t="s">
        <v>86</v>
      </c>
      <c r="B148" s="670"/>
      <c r="C148" s="670"/>
      <c r="D148" s="670"/>
      <c r="E148" s="670"/>
      <c r="F148" s="670"/>
      <c r="G148" s="670"/>
      <c r="H148" s="670"/>
      <c r="I148" s="670"/>
      <c r="J148" s="670"/>
      <c r="K148" s="670"/>
      <c r="L148" s="670"/>
      <c r="M148" s="670"/>
      <c r="N148" s="670"/>
      <c r="O148" s="670"/>
      <c r="P148" s="670"/>
      <c r="Q148" s="670"/>
      <c r="R148" s="670"/>
      <c r="S148" s="670"/>
      <c r="T148" s="670"/>
      <c r="U148" s="670"/>
      <c r="V148" s="670"/>
      <c r="W148" s="670"/>
      <c r="X148" s="670"/>
      <c r="Y148" s="670"/>
      <c r="Z148" s="670"/>
      <c r="AA148" s="66"/>
      <c r="AB148" s="66"/>
      <c r="AC148" s="80"/>
    </row>
    <row r="149" spans="1:68" ht="27" customHeight="1" x14ac:dyDescent="0.25">
      <c r="A149" s="63" t="s">
        <v>264</v>
      </c>
      <c r="B149" s="63" t="s">
        <v>265</v>
      </c>
      <c r="C149" s="36">
        <v>4301052174</v>
      </c>
      <c r="D149" s="671">
        <v>4680115888203</v>
      </c>
      <c r="E149" s="67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4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3"/>
      <c r="R149" s="673"/>
      <c r="S149" s="673"/>
      <c r="T149" s="67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4301052172</v>
      </c>
      <c r="D150" s="671">
        <v>4680115888180</v>
      </c>
      <c r="E150" s="67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4301052173</v>
      </c>
      <c r="D151" s="671">
        <v>4680115888197</v>
      </c>
      <c r="E151" s="67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4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273</v>
      </c>
      <c r="B152" s="63" t="s">
        <v>274</v>
      </c>
      <c r="C152" s="36">
        <v>4301052175</v>
      </c>
      <c r="D152" s="671">
        <v>4680115888210</v>
      </c>
      <c r="E152" s="67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4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3"/>
      <c r="R152" s="673"/>
      <c r="S152" s="673"/>
      <c r="T152" s="67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76" t="s">
        <v>40</v>
      </c>
      <c r="Q153" s="677"/>
      <c r="R153" s="677"/>
      <c r="S153" s="677"/>
      <c r="T153" s="677"/>
      <c r="U153" s="677"/>
      <c r="V153" s="678"/>
      <c r="W153" s="42" t="s">
        <v>39</v>
      </c>
      <c r="X153" s="43">
        <f>IFERROR(X149/H149,"0")+IFERROR(X150/H150,"0")+IFERROR(X151/H151,"0")+IFERROR(X152/H152,"0")</f>
        <v>0</v>
      </c>
      <c r="Y153" s="43">
        <f>IFERROR(Y149/H149,"0")+IFERROR(Y150/H150,"0")+IFERROR(Y151/H151,"0")+IFERROR(Y152/H152,"0")</f>
        <v>0</v>
      </c>
      <c r="Z153" s="43">
        <f>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79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76" t="s">
        <v>40</v>
      </c>
      <c r="Q154" s="677"/>
      <c r="R154" s="677"/>
      <c r="S154" s="677"/>
      <c r="T154" s="677"/>
      <c r="U154" s="677"/>
      <c r="V154" s="678"/>
      <c r="W154" s="42" t="s">
        <v>0</v>
      </c>
      <c r="X154" s="43">
        <f>IFERROR(SUM(X149:X152),"0")</f>
        <v>0</v>
      </c>
      <c r="Y154" s="43">
        <f>IFERROR(SUM(Y149:Y152),"0")</f>
        <v>0</v>
      </c>
      <c r="Z154" s="42"/>
      <c r="AA154" s="67"/>
      <c r="AB154" s="67"/>
      <c r="AC154" s="67"/>
    </row>
    <row r="155" spans="1:68" ht="16.5" customHeight="1" x14ac:dyDescent="0.25">
      <c r="A155" s="669" t="s">
        <v>126</v>
      </c>
      <c r="B155" s="669"/>
      <c r="C155" s="669"/>
      <c r="D155" s="669"/>
      <c r="E155" s="669"/>
      <c r="F155" s="669"/>
      <c r="G155" s="669"/>
      <c r="H155" s="669"/>
      <c r="I155" s="669"/>
      <c r="J155" s="669"/>
      <c r="K155" s="669"/>
      <c r="L155" s="669"/>
      <c r="M155" s="669"/>
      <c r="N155" s="669"/>
      <c r="O155" s="669"/>
      <c r="P155" s="669"/>
      <c r="Q155" s="669"/>
      <c r="R155" s="669"/>
      <c r="S155" s="669"/>
      <c r="T155" s="669"/>
      <c r="U155" s="669"/>
      <c r="V155" s="669"/>
      <c r="W155" s="669"/>
      <c r="X155" s="669"/>
      <c r="Y155" s="669"/>
      <c r="Z155" s="669"/>
      <c r="AA155" s="65"/>
      <c r="AB155" s="65"/>
      <c r="AC155" s="79"/>
    </row>
    <row r="156" spans="1:68" ht="14.25" customHeight="1" x14ac:dyDescent="0.25">
      <c r="A156" s="670" t="s">
        <v>128</v>
      </c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4301012244</v>
      </c>
      <c r="D157" s="671">
        <v>4680115887374</v>
      </c>
      <c r="E157" s="67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279</v>
      </c>
      <c r="B158" s="63" t="s">
        <v>280</v>
      </c>
      <c r="C158" s="36">
        <v>4301011705</v>
      </c>
      <c r="D158" s="671">
        <v>4607091384604</v>
      </c>
      <c r="E158" s="67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76" t="s">
        <v>40</v>
      </c>
      <c r="Q159" s="677"/>
      <c r="R159" s="677"/>
      <c r="S159" s="677"/>
      <c r="T159" s="677"/>
      <c r="U159" s="677"/>
      <c r="V159" s="678"/>
      <c r="W159" s="42" t="s">
        <v>39</v>
      </c>
      <c r="X159" s="43">
        <f>IFERROR(X157/H157,"0")+IFERROR(X158/H158,"0")</f>
        <v>0</v>
      </c>
      <c r="Y159" s="43">
        <f>IFERROR(Y157/H157,"0")+IFERROR(Y158/H158,"0")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679"/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80"/>
      <c r="P160" s="676" t="s">
        <v>40</v>
      </c>
      <c r="Q160" s="677"/>
      <c r="R160" s="677"/>
      <c r="S160" s="677"/>
      <c r="T160" s="677"/>
      <c r="U160" s="677"/>
      <c r="V160" s="678"/>
      <c r="W160" s="42" t="s">
        <v>0</v>
      </c>
      <c r="X160" s="43">
        <f>IFERROR(SUM(X157:X158),"0")</f>
        <v>0</v>
      </c>
      <c r="Y160" s="43">
        <f>IFERROR(SUM(Y157:Y158),"0")</f>
        <v>0</v>
      </c>
      <c r="Z160" s="42"/>
      <c r="AA160" s="67"/>
      <c r="AB160" s="67"/>
      <c r="AC160" s="67"/>
    </row>
    <row r="161" spans="1:68" ht="14.25" customHeight="1" x14ac:dyDescent="0.25">
      <c r="A161" s="670" t="s">
        <v>163</v>
      </c>
      <c r="B161" s="670"/>
      <c r="C161" s="670"/>
      <c r="D161" s="670"/>
      <c r="E161" s="670"/>
      <c r="F161" s="670"/>
      <c r="G161" s="670"/>
      <c r="H161" s="670"/>
      <c r="I161" s="670"/>
      <c r="J161" s="670"/>
      <c r="K161" s="670"/>
      <c r="L161" s="670"/>
      <c r="M161" s="670"/>
      <c r="N161" s="670"/>
      <c r="O161" s="670"/>
      <c r="P161" s="670"/>
      <c r="Q161" s="670"/>
      <c r="R161" s="670"/>
      <c r="S161" s="670"/>
      <c r="T161" s="670"/>
      <c r="U161" s="670"/>
      <c r="V161" s="670"/>
      <c r="W161" s="670"/>
      <c r="X161" s="670"/>
      <c r="Y161" s="670"/>
      <c r="Z161" s="670"/>
      <c r="AA161" s="66"/>
      <c r="AB161" s="66"/>
      <c r="AC161" s="80"/>
    </row>
    <row r="162" spans="1:68" ht="16.5" customHeight="1" x14ac:dyDescent="0.25">
      <c r="A162" s="63" t="s">
        <v>282</v>
      </c>
      <c r="B162" s="63" t="s">
        <v>283</v>
      </c>
      <c r="C162" s="36">
        <v>4301020410</v>
      </c>
      <c r="D162" s="671">
        <v>4680115887695</v>
      </c>
      <c r="E162" s="67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76" t="s">
        <v>40</v>
      </c>
      <c r="Q163" s="677"/>
      <c r="R163" s="677"/>
      <c r="S163" s="677"/>
      <c r="T163" s="677"/>
      <c r="U163" s="677"/>
      <c r="V163" s="678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79"/>
      <c r="B164" s="679"/>
      <c r="C164" s="679"/>
      <c r="D164" s="679"/>
      <c r="E164" s="679"/>
      <c r="F164" s="679"/>
      <c r="G164" s="679"/>
      <c r="H164" s="679"/>
      <c r="I164" s="679"/>
      <c r="J164" s="679"/>
      <c r="K164" s="679"/>
      <c r="L164" s="679"/>
      <c r="M164" s="679"/>
      <c r="N164" s="679"/>
      <c r="O164" s="680"/>
      <c r="P164" s="676" t="s">
        <v>40</v>
      </c>
      <c r="Q164" s="677"/>
      <c r="R164" s="677"/>
      <c r="S164" s="677"/>
      <c r="T164" s="677"/>
      <c r="U164" s="677"/>
      <c r="V164" s="678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70" t="s">
        <v>77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customHeight="1" x14ac:dyDescent="0.25">
      <c r="A166" s="63" t="s">
        <v>285</v>
      </c>
      <c r="B166" s="63" t="s">
        <v>286</v>
      </c>
      <c r="C166" s="36">
        <v>4301031496</v>
      </c>
      <c r="D166" s="671">
        <v>4680115887428</v>
      </c>
      <c r="E166" s="67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5" si="21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5" si="22">IFERROR(X166*I166/H166,"0")</f>
        <v>0</v>
      </c>
      <c r="BN166" s="78">
        <f t="shared" ref="BN166:BN175" si="23">IFERROR(Y166*I166/H166,"0")</f>
        <v>0</v>
      </c>
      <c r="BO166" s="78">
        <f t="shared" ref="BO166:BO175" si="24">IFERROR(1/J166*(X166/H166),"0")</f>
        <v>0</v>
      </c>
      <c r="BP166" s="78">
        <f t="shared" ref="BP166:BP175" si="25">IFERROR(1/J166*(Y166/H166),"0")</f>
        <v>0</v>
      </c>
    </row>
    <row r="167" spans="1:68" ht="27" customHeight="1" x14ac:dyDescent="0.25">
      <c r="A167" s="63" t="s">
        <v>288</v>
      </c>
      <c r="B167" s="63" t="s">
        <v>289</v>
      </c>
      <c r="C167" s="36">
        <v>4301030963</v>
      </c>
      <c r="D167" s="671">
        <v>4607091382426</v>
      </c>
      <c r="E167" s="67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3"/>
      <c r="R167" s="673"/>
      <c r="S167" s="673"/>
      <c r="T167" s="67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21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67</v>
      </c>
      <c r="BM167" s="78">
        <f t="shared" si="22"/>
        <v>0</v>
      </c>
      <c r="BN167" s="78">
        <f t="shared" si="23"/>
        <v>0</v>
      </c>
      <c r="BO167" s="78">
        <f t="shared" si="24"/>
        <v>0</v>
      </c>
      <c r="BP167" s="78">
        <f t="shared" si="25"/>
        <v>0</v>
      </c>
    </row>
    <row r="168" spans="1:68" ht="27" customHeight="1" x14ac:dyDescent="0.25">
      <c r="A168" s="63" t="s">
        <v>291</v>
      </c>
      <c r="B168" s="63" t="s">
        <v>292</v>
      </c>
      <c r="C168" s="36">
        <v>4301031498</v>
      </c>
      <c r="D168" s="671">
        <v>4680115887398</v>
      </c>
      <c r="E168" s="67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40</v>
      </c>
      <c r="P168" s="7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3"/>
      <c r="R168" s="673"/>
      <c r="S168" s="673"/>
      <c r="T168" s="67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294</v>
      </c>
      <c r="B169" s="63" t="s">
        <v>295</v>
      </c>
      <c r="C169" s="36">
        <v>4301031497</v>
      </c>
      <c r="D169" s="671">
        <v>4680115887336</v>
      </c>
      <c r="E169" s="67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3"/>
      <c r="R169" s="673"/>
      <c r="S169" s="673"/>
      <c r="T169" s="67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16.5" customHeight="1" x14ac:dyDescent="0.25">
      <c r="A170" s="63" t="s">
        <v>297</v>
      </c>
      <c r="B170" s="63" t="s">
        <v>298</v>
      </c>
      <c r="C170" s="36">
        <v>4301032049</v>
      </c>
      <c r="D170" s="671">
        <v>4680115887787</v>
      </c>
      <c r="E170" s="671"/>
      <c r="F170" s="62">
        <v>0.09</v>
      </c>
      <c r="G170" s="37">
        <v>10</v>
      </c>
      <c r="H170" s="62">
        <v>0.9</v>
      </c>
      <c r="I170" s="62">
        <v>1.1100000000000001</v>
      </c>
      <c r="J170" s="37">
        <v>336</v>
      </c>
      <c r="K170" s="37" t="s">
        <v>137</v>
      </c>
      <c r="L170" s="37" t="s">
        <v>46</v>
      </c>
      <c r="M170" s="38" t="s">
        <v>81</v>
      </c>
      <c r="N170" s="38"/>
      <c r="O170" s="37">
        <v>45</v>
      </c>
      <c r="P170" s="7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3"/>
      <c r="R170" s="673"/>
      <c r="S170" s="673"/>
      <c r="T170" s="67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IFERROR(IF(Y170=0,"",ROUNDUP(Y170/H170,0)*0.00417),"")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300</v>
      </c>
      <c r="B171" s="63" t="s">
        <v>301</v>
      </c>
      <c r="C171" s="36">
        <v>4301031448</v>
      </c>
      <c r="D171" s="671">
        <v>4680115887503</v>
      </c>
      <c r="E171" s="671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40</v>
      </c>
      <c r="P171" s="7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287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4301031389</v>
      </c>
      <c r="D172" s="671">
        <v>4680115887763</v>
      </c>
      <c r="E172" s="67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137</v>
      </c>
      <c r="L172" s="37" t="s">
        <v>46</v>
      </c>
      <c r="M172" s="38" t="s">
        <v>81</v>
      </c>
      <c r="N172" s="38"/>
      <c r="O172" s="37">
        <v>45</v>
      </c>
      <c r="P172" s="7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4301031454</v>
      </c>
      <c r="D173" s="671">
        <v>4680115887480</v>
      </c>
      <c r="E173" s="67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4301031434</v>
      </c>
      <c r="D174" s="671">
        <v>4680115888067</v>
      </c>
      <c r="E174" s="671"/>
      <c r="F174" s="62">
        <v>0.09</v>
      </c>
      <c r="G174" s="37">
        <v>10</v>
      </c>
      <c r="H174" s="62">
        <v>0.9</v>
      </c>
      <c r="I174" s="62">
        <v>1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3"/>
      <c r="R174" s="673"/>
      <c r="S174" s="673"/>
      <c r="T174" s="67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4301031451</v>
      </c>
      <c r="D175" s="671">
        <v>4680115887435</v>
      </c>
      <c r="E175" s="67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5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3"/>
      <c r="R175" s="673"/>
      <c r="S175" s="673"/>
      <c r="T175" s="67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x14ac:dyDescent="0.2">
      <c r="A176" s="679"/>
      <c r="B176" s="679"/>
      <c r="C176" s="679"/>
      <c r="D176" s="679"/>
      <c r="E176" s="679"/>
      <c r="F176" s="679"/>
      <c r="G176" s="679"/>
      <c r="H176" s="679"/>
      <c r="I176" s="679"/>
      <c r="J176" s="679"/>
      <c r="K176" s="679"/>
      <c r="L176" s="679"/>
      <c r="M176" s="679"/>
      <c r="N176" s="679"/>
      <c r="O176" s="680"/>
      <c r="P176" s="676" t="s">
        <v>40</v>
      </c>
      <c r="Q176" s="677"/>
      <c r="R176" s="677"/>
      <c r="S176" s="677"/>
      <c r="T176" s="677"/>
      <c r="U176" s="677"/>
      <c r="V176" s="678"/>
      <c r="W176" s="42" t="s">
        <v>39</v>
      </c>
      <c r="X176" s="43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3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7"/>
      <c r="AB176" s="67"/>
      <c r="AC176" s="67"/>
    </row>
    <row r="177" spans="1:68" x14ac:dyDescent="0.2">
      <c r="A177" s="679"/>
      <c r="B177" s="679"/>
      <c r="C177" s="679"/>
      <c r="D177" s="679"/>
      <c r="E177" s="679"/>
      <c r="F177" s="679"/>
      <c r="G177" s="679"/>
      <c r="H177" s="679"/>
      <c r="I177" s="679"/>
      <c r="J177" s="679"/>
      <c r="K177" s="679"/>
      <c r="L177" s="679"/>
      <c r="M177" s="679"/>
      <c r="N177" s="679"/>
      <c r="O177" s="680"/>
      <c r="P177" s="676" t="s">
        <v>40</v>
      </c>
      <c r="Q177" s="677"/>
      <c r="R177" s="677"/>
      <c r="S177" s="677"/>
      <c r="T177" s="677"/>
      <c r="U177" s="677"/>
      <c r="V177" s="678"/>
      <c r="W177" s="42" t="s">
        <v>0</v>
      </c>
      <c r="X177" s="43">
        <f>IFERROR(SUM(X166:X175),"0")</f>
        <v>0</v>
      </c>
      <c r="Y177" s="43">
        <f>IFERROR(SUM(Y166:Y175),"0")</f>
        <v>0</v>
      </c>
      <c r="Z177" s="42"/>
      <c r="AA177" s="67"/>
      <c r="AB177" s="67"/>
      <c r="AC177" s="67"/>
    </row>
    <row r="178" spans="1:68" ht="14.25" customHeight="1" x14ac:dyDescent="0.25">
      <c r="A178" s="670" t="s">
        <v>86</v>
      </c>
      <c r="B178" s="670"/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0"/>
      <c r="S178" s="670"/>
      <c r="T178" s="670"/>
      <c r="U178" s="670"/>
      <c r="V178" s="670"/>
      <c r="W178" s="670"/>
      <c r="X178" s="670"/>
      <c r="Y178" s="670"/>
      <c r="Z178" s="670"/>
      <c r="AA178" s="66"/>
      <c r="AB178" s="66"/>
      <c r="AC178" s="80"/>
    </row>
    <row r="179" spans="1:68" ht="16.5" customHeight="1" x14ac:dyDescent="0.25">
      <c r="A179" s="63" t="s">
        <v>312</v>
      </c>
      <c r="B179" s="63" t="s">
        <v>313</v>
      </c>
      <c r="C179" s="36">
        <v>4301052193</v>
      </c>
      <c r="D179" s="671">
        <v>4680115888395</v>
      </c>
      <c r="E179" s="671"/>
      <c r="F179" s="62">
        <v>0.42</v>
      </c>
      <c r="G179" s="37">
        <v>6</v>
      </c>
      <c r="H179" s="62">
        <v>2.52</v>
      </c>
      <c r="I179" s="62">
        <v>2.766</v>
      </c>
      <c r="J179" s="37">
        <v>182</v>
      </c>
      <c r="K179" s="37" t="s">
        <v>91</v>
      </c>
      <c r="L179" s="37" t="s">
        <v>46</v>
      </c>
      <c r="M179" s="38" t="s">
        <v>97</v>
      </c>
      <c r="N179" s="38"/>
      <c r="O179" s="37">
        <v>40</v>
      </c>
      <c r="P179" s="7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3"/>
      <c r="R179" s="673"/>
      <c r="S179" s="673"/>
      <c r="T179" s="674"/>
      <c r="U179" s="39" t="s">
        <v>46</v>
      </c>
      <c r="V179" s="39" t="s">
        <v>46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16.5" customHeight="1" x14ac:dyDescent="0.25">
      <c r="A180" s="63" t="s">
        <v>315</v>
      </c>
      <c r="B180" s="63" t="s">
        <v>316</v>
      </c>
      <c r="C180" s="36">
        <v>4301052191</v>
      </c>
      <c r="D180" s="671">
        <v>4680115888371</v>
      </c>
      <c r="E180" s="671"/>
      <c r="F180" s="62">
        <v>0.42</v>
      </c>
      <c r="G180" s="37">
        <v>6</v>
      </c>
      <c r="H180" s="62">
        <v>2.52</v>
      </c>
      <c r="I180" s="62">
        <v>2.766</v>
      </c>
      <c r="J180" s="37">
        <v>182</v>
      </c>
      <c r="K180" s="37" t="s">
        <v>91</v>
      </c>
      <c r="L180" s="37" t="s">
        <v>46</v>
      </c>
      <c r="M180" s="38" t="s">
        <v>97</v>
      </c>
      <c r="N180" s="38"/>
      <c r="O180" s="37">
        <v>40</v>
      </c>
      <c r="P180" s="7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3"/>
      <c r="R180" s="673"/>
      <c r="S180" s="673"/>
      <c r="T180" s="674"/>
      <c r="U180" s="39" t="s">
        <v>46</v>
      </c>
      <c r="V180" s="39" t="s">
        <v>46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IFERROR(IF(Y180=0,"",ROUNDUP(Y180/H180,0)*0.00651),"")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318</v>
      </c>
      <c r="B181" s="63" t="s">
        <v>319</v>
      </c>
      <c r="C181" s="36">
        <v>4301052064</v>
      </c>
      <c r="D181" s="671">
        <v>4680115887459</v>
      </c>
      <c r="E181" s="671"/>
      <c r="F181" s="62">
        <v>0.3</v>
      </c>
      <c r="G181" s="37">
        <v>6</v>
      </c>
      <c r="H181" s="62">
        <v>1.8</v>
      </c>
      <c r="I181" s="62">
        <v>2.0579999999999998</v>
      </c>
      <c r="J181" s="37">
        <v>182</v>
      </c>
      <c r="K181" s="37" t="s">
        <v>91</v>
      </c>
      <c r="L181" s="37" t="s">
        <v>46</v>
      </c>
      <c r="M181" s="38" t="s">
        <v>90</v>
      </c>
      <c r="N181" s="38"/>
      <c r="O181" s="37">
        <v>45</v>
      </c>
      <c r="P181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3"/>
      <c r="R181" s="673"/>
      <c r="S181" s="673"/>
      <c r="T181" s="67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79"/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80"/>
      <c r="P182" s="676" t="s">
        <v>40</v>
      </c>
      <c r="Q182" s="677"/>
      <c r="R182" s="677"/>
      <c r="S182" s="677"/>
      <c r="T182" s="677"/>
      <c r="U182" s="677"/>
      <c r="V182" s="678"/>
      <c r="W182" s="42" t="s">
        <v>39</v>
      </c>
      <c r="X182" s="43">
        <f>IFERROR(X179/H179,"0")+IFERROR(X180/H180,"0")+IFERROR(X181/H181,"0")</f>
        <v>0</v>
      </c>
      <c r="Y182" s="43">
        <f>IFERROR(Y179/H179,"0")+IFERROR(Y180/H180,"0")+IFERROR(Y181/H181,"0")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79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76" t="s">
        <v>40</v>
      </c>
      <c r="Q183" s="677"/>
      <c r="R183" s="677"/>
      <c r="S183" s="677"/>
      <c r="T183" s="677"/>
      <c r="U183" s="677"/>
      <c r="V183" s="678"/>
      <c r="W183" s="42" t="s">
        <v>0</v>
      </c>
      <c r="X183" s="43">
        <f>IFERROR(SUM(X179:X181),"0")</f>
        <v>0</v>
      </c>
      <c r="Y183" s="43">
        <f>IFERROR(SUM(Y179:Y181),"0")</f>
        <v>0</v>
      </c>
      <c r="Z183" s="42"/>
      <c r="AA183" s="67"/>
      <c r="AB183" s="67"/>
      <c r="AC183" s="67"/>
    </row>
    <row r="184" spans="1:68" ht="14.25" customHeight="1" x14ac:dyDescent="0.25">
      <c r="A184" s="670" t="s">
        <v>107</v>
      </c>
      <c r="B184" s="670"/>
      <c r="C184" s="670"/>
      <c r="D184" s="670"/>
      <c r="E184" s="670"/>
      <c r="F184" s="670"/>
      <c r="G184" s="670"/>
      <c r="H184" s="670"/>
      <c r="I184" s="670"/>
      <c r="J184" s="670"/>
      <c r="K184" s="670"/>
      <c r="L184" s="670"/>
      <c r="M184" s="670"/>
      <c r="N184" s="670"/>
      <c r="O184" s="670"/>
      <c r="P184" s="670"/>
      <c r="Q184" s="670"/>
      <c r="R184" s="670"/>
      <c r="S184" s="670"/>
      <c r="T184" s="670"/>
      <c r="U184" s="670"/>
      <c r="V184" s="670"/>
      <c r="W184" s="670"/>
      <c r="X184" s="670"/>
      <c r="Y184" s="670"/>
      <c r="Z184" s="670"/>
      <c r="AA184" s="66"/>
      <c r="AB184" s="66"/>
      <c r="AC184" s="80"/>
    </row>
    <row r="185" spans="1:68" ht="16.5" customHeight="1" x14ac:dyDescent="0.25">
      <c r="A185" s="63" t="s">
        <v>321</v>
      </c>
      <c r="B185" s="63" t="s">
        <v>322</v>
      </c>
      <c r="C185" s="36">
        <v>4301032058</v>
      </c>
      <c r="D185" s="671">
        <v>4680115889026</v>
      </c>
      <c r="E185" s="671"/>
      <c r="F185" s="62">
        <v>0.06</v>
      </c>
      <c r="G185" s="37">
        <v>18</v>
      </c>
      <c r="H185" s="62">
        <v>1.08</v>
      </c>
      <c r="I185" s="62">
        <v>1.36</v>
      </c>
      <c r="J185" s="37">
        <v>216</v>
      </c>
      <c r="K185" s="37" t="s">
        <v>325</v>
      </c>
      <c r="L185" s="37" t="s">
        <v>46</v>
      </c>
      <c r="M185" s="38" t="s">
        <v>324</v>
      </c>
      <c r="N185" s="38"/>
      <c r="O185" s="37">
        <v>60</v>
      </c>
      <c r="P185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46</v>
      </c>
      <c r="AB185" s="69" t="s">
        <v>46</v>
      </c>
      <c r="AC185" s="254" t="s">
        <v>323</v>
      </c>
      <c r="AG185" s="78"/>
      <c r="AJ185" s="84" t="s">
        <v>46</v>
      </c>
      <c r="AK185" s="84">
        <v>0</v>
      </c>
      <c r="BB185" s="255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4301032057</v>
      </c>
      <c r="D186" s="671">
        <v>4680115889088</v>
      </c>
      <c r="E186" s="671"/>
      <c r="F186" s="62">
        <v>0.06</v>
      </c>
      <c r="G186" s="37">
        <v>18</v>
      </c>
      <c r="H186" s="62">
        <v>1.08</v>
      </c>
      <c r="I186" s="62">
        <v>1.36</v>
      </c>
      <c r="J186" s="37">
        <v>216</v>
      </c>
      <c r="K186" s="37" t="s">
        <v>325</v>
      </c>
      <c r="L186" s="37" t="s">
        <v>46</v>
      </c>
      <c r="M186" s="38" t="s">
        <v>324</v>
      </c>
      <c r="N186" s="38"/>
      <c r="O186" s="37">
        <v>45</v>
      </c>
      <c r="P186" s="76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46</v>
      </c>
      <c r="AB186" s="69" t="s">
        <v>46</v>
      </c>
      <c r="AC186" s="256" t="s">
        <v>328</v>
      </c>
      <c r="AG186" s="78"/>
      <c r="AJ186" s="84" t="s">
        <v>46</v>
      </c>
      <c r="AK186" s="84">
        <v>0</v>
      </c>
      <c r="BB186" s="257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76" t="s">
        <v>40</v>
      </c>
      <c r="Q187" s="677"/>
      <c r="R187" s="677"/>
      <c r="S187" s="677"/>
      <c r="T187" s="677"/>
      <c r="U187" s="677"/>
      <c r="V187" s="678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76" t="s">
        <v>40</v>
      </c>
      <c r="Q188" s="677"/>
      <c r="R188" s="677"/>
      <c r="S188" s="677"/>
      <c r="T188" s="677"/>
      <c r="U188" s="677"/>
      <c r="V188" s="678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70" t="s">
        <v>329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27" customHeight="1" x14ac:dyDescent="0.25">
      <c r="A190" s="63" t="s">
        <v>330</v>
      </c>
      <c r="B190" s="63" t="s">
        <v>331</v>
      </c>
      <c r="C190" s="36">
        <v>4301041009</v>
      </c>
      <c r="D190" s="671">
        <v>4680115889033</v>
      </c>
      <c r="E190" s="671"/>
      <c r="F190" s="62">
        <v>0.11</v>
      </c>
      <c r="G190" s="37">
        <v>15</v>
      </c>
      <c r="H190" s="62">
        <v>1.65</v>
      </c>
      <c r="I190" s="62">
        <v>1.9</v>
      </c>
      <c r="J190" s="37">
        <v>216</v>
      </c>
      <c r="K190" s="37" t="s">
        <v>325</v>
      </c>
      <c r="L190" s="37" t="s">
        <v>46</v>
      </c>
      <c r="M190" s="38" t="s">
        <v>324</v>
      </c>
      <c r="N190" s="38"/>
      <c r="O190" s="37">
        <v>60</v>
      </c>
      <c r="P190" s="7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46</v>
      </c>
      <c r="AB190" s="69" t="s">
        <v>46</v>
      </c>
      <c r="AC190" s="258" t="s">
        <v>332</v>
      </c>
      <c r="AG190" s="78"/>
      <c r="AJ190" s="84" t="s">
        <v>46</v>
      </c>
      <c r="AK190" s="84">
        <v>0</v>
      </c>
      <c r="BB190" s="259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76" t="s">
        <v>40</v>
      </c>
      <c r="Q191" s="677"/>
      <c r="R191" s="677"/>
      <c r="S191" s="677"/>
      <c r="T191" s="677"/>
      <c r="U191" s="677"/>
      <c r="V191" s="678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79"/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80"/>
      <c r="P192" s="676" t="s">
        <v>40</v>
      </c>
      <c r="Q192" s="677"/>
      <c r="R192" s="677"/>
      <c r="S192" s="677"/>
      <c r="T192" s="677"/>
      <c r="U192" s="677"/>
      <c r="V192" s="678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27.75" customHeight="1" x14ac:dyDescent="0.2">
      <c r="A193" s="668" t="s">
        <v>333</v>
      </c>
      <c r="B193" s="668"/>
      <c r="C193" s="668"/>
      <c r="D193" s="668"/>
      <c r="E193" s="668"/>
      <c r="F193" s="668"/>
      <c r="G193" s="668"/>
      <c r="H193" s="668"/>
      <c r="I193" s="668"/>
      <c r="J193" s="668"/>
      <c r="K193" s="668"/>
      <c r="L193" s="668"/>
      <c r="M193" s="668"/>
      <c r="N193" s="668"/>
      <c r="O193" s="668"/>
      <c r="P193" s="668"/>
      <c r="Q193" s="668"/>
      <c r="R193" s="668"/>
      <c r="S193" s="668"/>
      <c r="T193" s="668"/>
      <c r="U193" s="668"/>
      <c r="V193" s="668"/>
      <c r="W193" s="668"/>
      <c r="X193" s="668"/>
      <c r="Y193" s="668"/>
      <c r="Z193" s="668"/>
      <c r="AA193" s="54"/>
      <c r="AB193" s="54"/>
      <c r="AC193" s="54"/>
    </row>
    <row r="194" spans="1:68" ht="16.5" customHeight="1" x14ac:dyDescent="0.25">
      <c r="A194" s="669" t="s">
        <v>334</v>
      </c>
      <c r="B194" s="669"/>
      <c r="C194" s="669"/>
      <c r="D194" s="669"/>
      <c r="E194" s="669"/>
      <c r="F194" s="669"/>
      <c r="G194" s="669"/>
      <c r="H194" s="669"/>
      <c r="I194" s="669"/>
      <c r="J194" s="669"/>
      <c r="K194" s="669"/>
      <c r="L194" s="669"/>
      <c r="M194" s="669"/>
      <c r="N194" s="669"/>
      <c r="O194" s="669"/>
      <c r="P194" s="669"/>
      <c r="Q194" s="669"/>
      <c r="R194" s="669"/>
      <c r="S194" s="669"/>
      <c r="T194" s="669"/>
      <c r="U194" s="669"/>
      <c r="V194" s="669"/>
      <c r="W194" s="669"/>
      <c r="X194" s="669"/>
      <c r="Y194" s="669"/>
      <c r="Z194" s="669"/>
      <c r="AA194" s="65"/>
      <c r="AB194" s="65"/>
      <c r="AC194" s="79"/>
    </row>
    <row r="195" spans="1:68" ht="14.25" customHeight="1" x14ac:dyDescent="0.25">
      <c r="A195" s="670" t="s">
        <v>128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4301011223</v>
      </c>
      <c r="D196" s="671">
        <v>4607091383423</v>
      </c>
      <c r="E196" s="671"/>
      <c r="F196" s="62">
        <v>1.35</v>
      </c>
      <c r="G196" s="37">
        <v>8</v>
      </c>
      <c r="H196" s="62">
        <v>10.8</v>
      </c>
      <c r="I196" s="62">
        <v>11.305999999999999</v>
      </c>
      <c r="J196" s="37">
        <v>64</v>
      </c>
      <c r="K196" s="37" t="s">
        <v>133</v>
      </c>
      <c r="L196" s="37" t="s">
        <v>46</v>
      </c>
      <c r="M196" s="38" t="s">
        <v>90</v>
      </c>
      <c r="N196" s="38"/>
      <c r="O196" s="37">
        <v>35</v>
      </c>
      <c r="P196" s="76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3"/>
      <c r="R196" s="673"/>
      <c r="S196" s="673"/>
      <c r="T196" s="674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46</v>
      </c>
      <c r="AB196" s="69" t="s">
        <v>46</v>
      </c>
      <c r="AC196" s="260" t="s">
        <v>131</v>
      </c>
      <c r="AG196" s="78"/>
      <c r="AJ196" s="84" t="s">
        <v>46</v>
      </c>
      <c r="AK196" s="84">
        <v>0</v>
      </c>
      <c r="BB196" s="261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customHeight="1" x14ac:dyDescent="0.25">
      <c r="A197" s="63" t="s">
        <v>337</v>
      </c>
      <c r="B197" s="63" t="s">
        <v>338</v>
      </c>
      <c r="C197" s="36">
        <v>4301012199</v>
      </c>
      <c r="D197" s="671">
        <v>4680115886957</v>
      </c>
      <c r="E197" s="67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133</v>
      </c>
      <c r="L197" s="37" t="s">
        <v>46</v>
      </c>
      <c r="M197" s="38" t="s">
        <v>90</v>
      </c>
      <c r="N197" s="38"/>
      <c r="O197" s="37">
        <v>30</v>
      </c>
      <c r="P197" s="76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3"/>
      <c r="R197" s="673"/>
      <c r="S197" s="673"/>
      <c r="T197" s="67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46</v>
      </c>
      <c r="AB197" s="69" t="s">
        <v>46</v>
      </c>
      <c r="AC197" s="262" t="s">
        <v>339</v>
      </c>
      <c r="AG197" s="78"/>
      <c r="AJ197" s="84" t="s">
        <v>46</v>
      </c>
      <c r="AK197" s="84">
        <v>0</v>
      </c>
      <c r="BB197" s="26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340</v>
      </c>
      <c r="B198" s="63" t="s">
        <v>341</v>
      </c>
      <c r="C198" s="36">
        <v>4301012098</v>
      </c>
      <c r="D198" s="671">
        <v>4680115885660</v>
      </c>
      <c r="E198" s="671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6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3"/>
      <c r="R198" s="673"/>
      <c r="S198" s="673"/>
      <c r="T198" s="67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342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343</v>
      </c>
      <c r="B199" s="63" t="s">
        <v>344</v>
      </c>
      <c r="C199" s="36">
        <v>4301012176</v>
      </c>
      <c r="D199" s="671">
        <v>4680115886773</v>
      </c>
      <c r="E199" s="671"/>
      <c r="F199" s="62">
        <v>0.9</v>
      </c>
      <c r="G199" s="37">
        <v>10</v>
      </c>
      <c r="H199" s="62">
        <v>9</v>
      </c>
      <c r="I199" s="62">
        <v>9.41</v>
      </c>
      <c r="J199" s="37">
        <v>64</v>
      </c>
      <c r="K199" s="37" t="s">
        <v>133</v>
      </c>
      <c r="L199" s="37" t="s">
        <v>46</v>
      </c>
      <c r="M199" s="38" t="s">
        <v>132</v>
      </c>
      <c r="N199" s="38"/>
      <c r="O199" s="37">
        <v>31</v>
      </c>
      <c r="P199" s="769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79"/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80"/>
      <c r="P200" s="676" t="s">
        <v>40</v>
      </c>
      <c r="Q200" s="677"/>
      <c r="R200" s="677"/>
      <c r="S200" s="677"/>
      <c r="T200" s="677"/>
      <c r="U200" s="677"/>
      <c r="V200" s="678"/>
      <c r="W200" s="42" t="s">
        <v>39</v>
      </c>
      <c r="X200" s="43">
        <f>IFERROR(X196/H196,"0")+IFERROR(X197/H197,"0")+IFERROR(X198/H198,"0")+IFERROR(X199/H199,"0")</f>
        <v>0</v>
      </c>
      <c r="Y200" s="43">
        <f>IFERROR(Y196/H196,"0")+IFERROR(Y197/H197,"0")+IFERROR(Y198/H198,"0")+IFERROR(Y199/H199,"0")</f>
        <v>0</v>
      </c>
      <c r="Z200" s="43">
        <f>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679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76" t="s">
        <v>40</v>
      </c>
      <c r="Q201" s="677"/>
      <c r="R201" s="677"/>
      <c r="S201" s="677"/>
      <c r="T201" s="677"/>
      <c r="U201" s="677"/>
      <c r="V201" s="678"/>
      <c r="W201" s="42" t="s">
        <v>0</v>
      </c>
      <c r="X201" s="43">
        <f>IFERROR(SUM(X196:X199),"0")</f>
        <v>0</v>
      </c>
      <c r="Y201" s="43">
        <f>IFERROR(SUM(Y196:Y199),"0")</f>
        <v>0</v>
      </c>
      <c r="Z201" s="42"/>
      <c r="AA201" s="67"/>
      <c r="AB201" s="67"/>
      <c r="AC201" s="67"/>
    </row>
    <row r="202" spans="1:68" ht="16.5" customHeight="1" x14ac:dyDescent="0.25">
      <c r="A202" s="669" t="s">
        <v>346</v>
      </c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69"/>
      <c r="P202" s="669"/>
      <c r="Q202" s="669"/>
      <c r="R202" s="669"/>
      <c r="S202" s="669"/>
      <c r="T202" s="669"/>
      <c r="U202" s="669"/>
      <c r="V202" s="669"/>
      <c r="W202" s="669"/>
      <c r="X202" s="669"/>
      <c r="Y202" s="669"/>
      <c r="Z202" s="669"/>
      <c r="AA202" s="65"/>
      <c r="AB202" s="65"/>
      <c r="AC202" s="79"/>
    </row>
    <row r="203" spans="1:68" ht="14.25" customHeight="1" x14ac:dyDescent="0.25">
      <c r="A203" s="670" t="s">
        <v>163</v>
      </c>
      <c r="B203" s="670"/>
      <c r="C203" s="670"/>
      <c r="D203" s="670"/>
      <c r="E203" s="670"/>
      <c r="F203" s="670"/>
      <c r="G203" s="670"/>
      <c r="H203" s="670"/>
      <c r="I203" s="670"/>
      <c r="J203" s="670"/>
      <c r="K203" s="670"/>
      <c r="L203" s="670"/>
      <c r="M203" s="670"/>
      <c r="N203" s="670"/>
      <c r="O203" s="670"/>
      <c r="P203" s="670"/>
      <c r="Q203" s="670"/>
      <c r="R203" s="670"/>
      <c r="S203" s="670"/>
      <c r="T203" s="670"/>
      <c r="U203" s="670"/>
      <c r="V203" s="670"/>
      <c r="W203" s="670"/>
      <c r="X203" s="670"/>
      <c r="Y203" s="670"/>
      <c r="Z203" s="670"/>
      <c r="AA203" s="66"/>
      <c r="AB203" s="66"/>
      <c r="AC203" s="80"/>
    </row>
    <row r="204" spans="1:68" ht="27" customHeight="1" x14ac:dyDescent="0.25">
      <c r="A204" s="63" t="s">
        <v>347</v>
      </c>
      <c r="B204" s="63" t="s">
        <v>348</v>
      </c>
      <c r="C204" s="36">
        <v>4301020323</v>
      </c>
      <c r="D204" s="671">
        <v>4680115886223</v>
      </c>
      <c r="E204" s="671"/>
      <c r="F204" s="62">
        <v>0.33</v>
      </c>
      <c r="G204" s="37">
        <v>6</v>
      </c>
      <c r="H204" s="62">
        <v>1.98</v>
      </c>
      <c r="I204" s="62">
        <v>2.08</v>
      </c>
      <c r="J204" s="37">
        <v>234</v>
      </c>
      <c r="K204" s="37" t="s">
        <v>82</v>
      </c>
      <c r="L204" s="37" t="s">
        <v>46</v>
      </c>
      <c r="M204" s="38" t="s">
        <v>81</v>
      </c>
      <c r="N204" s="38"/>
      <c r="O204" s="37">
        <v>40</v>
      </c>
      <c r="P204" s="7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3"/>
      <c r="R204" s="673"/>
      <c r="S204" s="673"/>
      <c r="T204" s="674"/>
      <c r="U204" s="39" t="s">
        <v>46</v>
      </c>
      <c r="V204" s="39" t="s">
        <v>46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IFERROR(IF(Y204=0,"",ROUNDUP(Y204/H204,0)*0.00502),"")</f>
        <v/>
      </c>
      <c r="AA204" s="68" t="s">
        <v>46</v>
      </c>
      <c r="AB204" s="69" t="s">
        <v>46</v>
      </c>
      <c r="AC204" s="268" t="s">
        <v>349</v>
      </c>
      <c r="AG204" s="78"/>
      <c r="AJ204" s="84" t="s">
        <v>46</v>
      </c>
      <c r="AK204" s="84">
        <v>0</v>
      </c>
      <c r="BB204" s="269" t="s">
        <v>67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">
      <c r="A205" s="679"/>
      <c r="B205" s="679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80"/>
      <c r="P205" s="676" t="s">
        <v>40</v>
      </c>
      <c r="Q205" s="677"/>
      <c r="R205" s="677"/>
      <c r="S205" s="677"/>
      <c r="T205" s="677"/>
      <c r="U205" s="677"/>
      <c r="V205" s="678"/>
      <c r="W205" s="42" t="s">
        <v>39</v>
      </c>
      <c r="X205" s="43">
        <f>IFERROR(X204/H204,"0")</f>
        <v>0</v>
      </c>
      <c r="Y205" s="43">
        <f>IFERROR(Y204/H204,"0")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679"/>
      <c r="B206" s="679"/>
      <c r="C206" s="679"/>
      <c r="D206" s="679"/>
      <c r="E206" s="679"/>
      <c r="F206" s="679"/>
      <c r="G206" s="679"/>
      <c r="H206" s="679"/>
      <c r="I206" s="679"/>
      <c r="J206" s="679"/>
      <c r="K206" s="679"/>
      <c r="L206" s="679"/>
      <c r="M206" s="679"/>
      <c r="N206" s="679"/>
      <c r="O206" s="680"/>
      <c r="P206" s="676" t="s">
        <v>40</v>
      </c>
      <c r="Q206" s="677"/>
      <c r="R206" s="677"/>
      <c r="S206" s="677"/>
      <c r="T206" s="677"/>
      <c r="U206" s="677"/>
      <c r="V206" s="678"/>
      <c r="W206" s="42" t="s">
        <v>0</v>
      </c>
      <c r="X206" s="43">
        <f>IFERROR(SUM(X204:X204),"0")</f>
        <v>0</v>
      </c>
      <c r="Y206" s="43">
        <f>IFERROR(SUM(Y204:Y204),"0")</f>
        <v>0</v>
      </c>
      <c r="Z206" s="42"/>
      <c r="AA206" s="67"/>
      <c r="AB206" s="67"/>
      <c r="AC206" s="67"/>
    </row>
    <row r="207" spans="1:68" ht="14.25" customHeight="1" x14ac:dyDescent="0.25">
      <c r="A207" s="670" t="s">
        <v>77</v>
      </c>
      <c r="B207" s="670"/>
      <c r="C207" s="670"/>
      <c r="D207" s="670"/>
      <c r="E207" s="670"/>
      <c r="F207" s="670"/>
      <c r="G207" s="670"/>
      <c r="H207" s="670"/>
      <c r="I207" s="670"/>
      <c r="J207" s="670"/>
      <c r="K207" s="670"/>
      <c r="L207" s="670"/>
      <c r="M207" s="670"/>
      <c r="N207" s="670"/>
      <c r="O207" s="670"/>
      <c r="P207" s="670"/>
      <c r="Q207" s="670"/>
      <c r="R207" s="670"/>
      <c r="S207" s="670"/>
      <c r="T207" s="670"/>
      <c r="U207" s="670"/>
      <c r="V207" s="670"/>
      <c r="W207" s="670"/>
      <c r="X207" s="670"/>
      <c r="Y207" s="670"/>
      <c r="Z207" s="670"/>
      <c r="AA207" s="66"/>
      <c r="AB207" s="66"/>
      <c r="AC207" s="80"/>
    </row>
    <row r="208" spans="1:68" ht="27" customHeight="1" x14ac:dyDescent="0.25">
      <c r="A208" s="63" t="s">
        <v>350</v>
      </c>
      <c r="B208" s="63" t="s">
        <v>351</v>
      </c>
      <c r="C208" s="36">
        <v>4301031191</v>
      </c>
      <c r="D208" s="671">
        <v>4680115880993</v>
      </c>
      <c r="E208" s="671"/>
      <c r="F208" s="62">
        <v>0.7</v>
      </c>
      <c r="G208" s="37">
        <v>6</v>
      </c>
      <c r="H208" s="62">
        <v>4.2</v>
      </c>
      <c r="I208" s="62">
        <v>4.45</v>
      </c>
      <c r="J208" s="37">
        <v>132</v>
      </c>
      <c r="K208" s="37" t="s">
        <v>140</v>
      </c>
      <c r="L208" s="37" t="s">
        <v>46</v>
      </c>
      <c r="M208" s="38" t="s">
        <v>81</v>
      </c>
      <c r="N208" s="38"/>
      <c r="O208" s="37">
        <v>40</v>
      </c>
      <c r="P208" s="7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3"/>
      <c r="R208" s="673"/>
      <c r="S208" s="673"/>
      <c r="T208" s="67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21" si="26">IFERROR(IF(X208="",0,CEILING((X208/$H208),1)*$H208),"")</f>
        <v>0</v>
      </c>
      <c r="Z208" s="41" t="str">
        <f>IFERROR(IF(Y208=0,"",ROUNDUP(Y208/H208,0)*0.00902),"")</f>
        <v/>
      </c>
      <c r="AA208" s="68" t="s">
        <v>46</v>
      </c>
      <c r="AB208" s="69" t="s">
        <v>46</v>
      </c>
      <c r="AC208" s="270" t="s">
        <v>352</v>
      </c>
      <c r="AG208" s="78"/>
      <c r="AJ208" s="84" t="s">
        <v>46</v>
      </c>
      <c r="AK208" s="84">
        <v>0</v>
      </c>
      <c r="BB208" s="271" t="s">
        <v>67</v>
      </c>
      <c r="BM208" s="78">
        <f t="shared" ref="BM208:BM221" si="27">IFERROR(X208*I208/H208,"0")</f>
        <v>0</v>
      </c>
      <c r="BN208" s="78">
        <f t="shared" ref="BN208:BN221" si="28">IFERROR(Y208*I208/H208,"0")</f>
        <v>0</v>
      </c>
      <c r="BO208" s="78">
        <f t="shared" ref="BO208:BO221" si="29">IFERROR(1/J208*(X208/H208),"0")</f>
        <v>0</v>
      </c>
      <c r="BP208" s="78">
        <f t="shared" ref="BP208:BP221" si="30">IFERROR(1/J208*(Y208/H208),"0")</f>
        <v>0</v>
      </c>
    </row>
    <row r="209" spans="1:68" ht="27" customHeight="1" x14ac:dyDescent="0.25">
      <c r="A209" s="63" t="s">
        <v>353</v>
      </c>
      <c r="B209" s="63" t="s">
        <v>354</v>
      </c>
      <c r="C209" s="36">
        <v>4301031204</v>
      </c>
      <c r="D209" s="671">
        <v>4680115881761</v>
      </c>
      <c r="E209" s="671"/>
      <c r="F209" s="62">
        <v>0.7</v>
      </c>
      <c r="G209" s="37">
        <v>6</v>
      </c>
      <c r="H209" s="62">
        <v>4.2</v>
      </c>
      <c r="I209" s="62">
        <v>4.45</v>
      </c>
      <c r="J209" s="37">
        <v>132</v>
      </c>
      <c r="K209" s="37" t="s">
        <v>140</v>
      </c>
      <c r="L209" s="37" t="s">
        <v>46</v>
      </c>
      <c r="M209" s="38" t="s">
        <v>81</v>
      </c>
      <c r="N209" s="38"/>
      <c r="O209" s="37">
        <v>40</v>
      </c>
      <c r="P209" s="7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>IFERROR(IF(Y209=0,"",ROUNDUP(Y209/H209,0)*0.00902),"")</f>
        <v/>
      </c>
      <c r="AA209" s="68" t="s">
        <v>46</v>
      </c>
      <c r="AB209" s="69" t="s">
        <v>46</v>
      </c>
      <c r="AC209" s="272" t="s">
        <v>355</v>
      </c>
      <c r="AG209" s="78"/>
      <c r="AJ209" s="84" t="s">
        <v>46</v>
      </c>
      <c r="AK209" s="84">
        <v>0</v>
      </c>
      <c r="BB209" s="273" t="s">
        <v>67</v>
      </c>
      <c r="BM209" s="78">
        <f t="shared" si="27"/>
        <v>0</v>
      </c>
      <c r="BN209" s="78">
        <f t="shared" si="28"/>
        <v>0</v>
      </c>
      <c r="BO209" s="78">
        <f t="shared" si="29"/>
        <v>0</v>
      </c>
      <c r="BP209" s="78">
        <f t="shared" si="30"/>
        <v>0</v>
      </c>
    </row>
    <row r="210" spans="1:68" ht="27" customHeight="1" x14ac:dyDescent="0.25">
      <c r="A210" s="63" t="s">
        <v>356</v>
      </c>
      <c r="B210" s="63" t="s">
        <v>357</v>
      </c>
      <c r="C210" s="36">
        <v>4301031201</v>
      </c>
      <c r="D210" s="671">
        <v>4680115881563</v>
      </c>
      <c r="E210" s="671"/>
      <c r="F210" s="62">
        <v>0.7</v>
      </c>
      <c r="G210" s="37">
        <v>6</v>
      </c>
      <c r="H210" s="62">
        <v>4.2</v>
      </c>
      <c r="I210" s="62">
        <v>4.3899999999999997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3"/>
      <c r="R210" s="673"/>
      <c r="S210" s="673"/>
      <c r="T210" s="67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358</v>
      </c>
      <c r="AG210" s="78"/>
      <c r="AJ210" s="84" t="s">
        <v>46</v>
      </c>
      <c r="AK210" s="84">
        <v>0</v>
      </c>
      <c r="BB210" s="275" t="s">
        <v>67</v>
      </c>
      <c r="BM210" s="78">
        <f t="shared" si="27"/>
        <v>0</v>
      </c>
      <c r="BN210" s="78">
        <f t="shared" si="28"/>
        <v>0</v>
      </c>
      <c r="BO210" s="78">
        <f t="shared" si="29"/>
        <v>0</v>
      </c>
      <c r="BP210" s="78">
        <f t="shared" si="30"/>
        <v>0</v>
      </c>
    </row>
    <row r="211" spans="1:68" ht="37.5" customHeight="1" x14ac:dyDescent="0.25">
      <c r="A211" s="63" t="s">
        <v>359</v>
      </c>
      <c r="B211" s="63" t="s">
        <v>360</v>
      </c>
      <c r="C211" s="36">
        <v>4301031447</v>
      </c>
      <c r="D211" s="671">
        <v>4680115887565</v>
      </c>
      <c r="E211" s="671"/>
      <c r="F211" s="62">
        <v>0.08</v>
      </c>
      <c r="G211" s="37">
        <v>10</v>
      </c>
      <c r="H211" s="62">
        <v>0.8</v>
      </c>
      <c r="I211" s="62">
        <v>0.93</v>
      </c>
      <c r="J211" s="37">
        <v>252</v>
      </c>
      <c r="K211" s="37" t="s">
        <v>82</v>
      </c>
      <c r="L211" s="37" t="s">
        <v>46</v>
      </c>
      <c r="M211" s="38" t="s">
        <v>81</v>
      </c>
      <c r="N211" s="38"/>
      <c r="O211" s="37">
        <v>45</v>
      </c>
      <c r="P211" s="7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3"/>
      <c r="R211" s="673"/>
      <c r="S211" s="673"/>
      <c r="T211" s="67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IFERROR(IF(Y211=0,"",ROUNDUP(Y211/H211,0)*0.00556),"")</f>
        <v/>
      </c>
      <c r="AA211" s="68" t="s">
        <v>46</v>
      </c>
      <c r="AB211" s="69" t="s">
        <v>46</v>
      </c>
      <c r="AC211" s="276" t="s">
        <v>361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362</v>
      </c>
      <c r="B212" s="63" t="s">
        <v>363</v>
      </c>
      <c r="C212" s="36">
        <v>4301031199</v>
      </c>
      <c r="D212" s="671">
        <v>4680115880986</v>
      </c>
      <c r="E212" s="671"/>
      <c r="F212" s="62">
        <v>0.35</v>
      </c>
      <c r="G212" s="37">
        <v>6</v>
      </c>
      <c r="H212" s="62">
        <v>2.1</v>
      </c>
      <c r="I212" s="62">
        <v>2.23</v>
      </c>
      <c r="J212" s="37">
        <v>234</v>
      </c>
      <c r="K212" s="37" t="s">
        <v>82</v>
      </c>
      <c r="L212" s="37" t="s">
        <v>46</v>
      </c>
      <c r="M212" s="38" t="s">
        <v>81</v>
      </c>
      <c r="N212" s="38"/>
      <c r="O212" s="37">
        <v>40</v>
      </c>
      <c r="P212" s="7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3"/>
      <c r="R212" s="673"/>
      <c r="S212" s="673"/>
      <c r="T212" s="67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ref="Z212:Z217" si="31">IFERROR(IF(Y212=0,"",ROUNDUP(Y212/H212,0)*0.00502),"")</f>
        <v/>
      </c>
      <c r="AA212" s="68" t="s">
        <v>46</v>
      </c>
      <c r="AB212" s="69" t="s">
        <v>46</v>
      </c>
      <c r="AC212" s="278" t="s">
        <v>352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27" customHeight="1" x14ac:dyDescent="0.25">
      <c r="A213" s="63" t="s">
        <v>364</v>
      </c>
      <c r="B213" s="63" t="s">
        <v>365</v>
      </c>
      <c r="C213" s="36">
        <v>4301031443</v>
      </c>
      <c r="D213" s="671">
        <v>4680115887213</v>
      </c>
      <c r="E213" s="671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3"/>
      <c r="R213" s="673"/>
      <c r="S213" s="673"/>
      <c r="T213" s="67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 t="shared" si="31"/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4301031205</v>
      </c>
      <c r="D214" s="671">
        <v>4680115881785</v>
      </c>
      <c r="E214" s="671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3"/>
      <c r="R214" s="673"/>
      <c r="S214" s="673"/>
      <c r="T214" s="67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si="31"/>
        <v/>
      </c>
      <c r="AA214" s="68" t="s">
        <v>46</v>
      </c>
      <c r="AB214" s="69" t="s">
        <v>46</v>
      </c>
      <c r="AC214" s="282" t="s">
        <v>355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4301031499</v>
      </c>
      <c r="D215" s="671">
        <v>4680115888432</v>
      </c>
      <c r="E215" s="671"/>
      <c r="F215" s="62">
        <v>0.3</v>
      </c>
      <c r="G215" s="37">
        <v>6</v>
      </c>
      <c r="H215" s="62">
        <v>1.8</v>
      </c>
      <c r="I215" s="62">
        <v>1.93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4301031427</v>
      </c>
      <c r="D216" s="671">
        <v>4680115888104</v>
      </c>
      <c r="E216" s="671"/>
      <c r="F216" s="62">
        <v>0.35</v>
      </c>
      <c r="G216" s="37">
        <v>6</v>
      </c>
      <c r="H216" s="62">
        <v>2.1</v>
      </c>
      <c r="I216" s="62">
        <v>2.2000000000000002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4301031399</v>
      </c>
      <c r="D217" s="671">
        <v>4680115886537</v>
      </c>
      <c r="E217" s="671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4301031279</v>
      </c>
      <c r="D218" s="671">
        <v>4680115887596</v>
      </c>
      <c r="E218" s="671"/>
      <c r="F218" s="62">
        <v>0.08</v>
      </c>
      <c r="G218" s="37">
        <v>10</v>
      </c>
      <c r="H218" s="62">
        <v>0.8</v>
      </c>
      <c r="I218" s="62">
        <v>1.01</v>
      </c>
      <c r="J218" s="37">
        <v>336</v>
      </c>
      <c r="K218" s="37" t="s">
        <v>137</v>
      </c>
      <c r="L218" s="37" t="s">
        <v>46</v>
      </c>
      <c r="M218" s="38" t="s">
        <v>81</v>
      </c>
      <c r="N218" s="38"/>
      <c r="O218" s="37">
        <v>45</v>
      </c>
      <c r="P218" s="7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IFERROR(IF(Y218=0,"",ROUNDUP(Y218/H218,0)*0.00417),"")</f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37.5" customHeight="1" x14ac:dyDescent="0.25">
      <c r="A219" s="63" t="s">
        <v>381</v>
      </c>
      <c r="B219" s="63" t="s">
        <v>382</v>
      </c>
      <c r="C219" s="36">
        <v>4301031202</v>
      </c>
      <c r="D219" s="671">
        <v>4680115881679</v>
      </c>
      <c r="E219" s="671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358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4301031158</v>
      </c>
      <c r="D220" s="671">
        <v>4680115880191</v>
      </c>
      <c r="E220" s="671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91</v>
      </c>
      <c r="L220" s="37" t="s">
        <v>46</v>
      </c>
      <c r="M220" s="38" t="s">
        <v>81</v>
      </c>
      <c r="N220" s="38"/>
      <c r="O220" s="37">
        <v>40</v>
      </c>
      <c r="P220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IFERROR(IF(Y220=0,"",ROUNDUP(Y220/H220,0)*0.00651),"")</f>
        <v/>
      </c>
      <c r="AA220" s="68" t="s">
        <v>46</v>
      </c>
      <c r="AB220" s="69" t="s">
        <v>46</v>
      </c>
      <c r="AC220" s="294" t="s">
        <v>358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4301031245</v>
      </c>
      <c r="D221" s="671">
        <v>4680115883963</v>
      </c>
      <c r="E221" s="671"/>
      <c r="F221" s="62">
        <v>0.28000000000000003</v>
      </c>
      <c r="G221" s="37">
        <v>6</v>
      </c>
      <c r="H221" s="62">
        <v>1.68</v>
      </c>
      <c r="I221" s="62">
        <v>1.78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76" t="s">
        <v>40</v>
      </c>
      <c r="Q222" s="677"/>
      <c r="R222" s="677"/>
      <c r="S222" s="677"/>
      <c r="T222" s="677"/>
      <c r="U222" s="677"/>
      <c r="V222" s="678"/>
      <c r="W222" s="42" t="s">
        <v>39</v>
      </c>
      <c r="X222" s="4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79"/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80"/>
      <c r="P223" s="676" t="s">
        <v>40</v>
      </c>
      <c r="Q223" s="677"/>
      <c r="R223" s="677"/>
      <c r="S223" s="677"/>
      <c r="T223" s="677"/>
      <c r="U223" s="677"/>
      <c r="V223" s="678"/>
      <c r="W223" s="42" t="s">
        <v>0</v>
      </c>
      <c r="X223" s="43">
        <f>IFERROR(SUM(X208:X221),"0")</f>
        <v>0</v>
      </c>
      <c r="Y223" s="43">
        <f>IFERROR(SUM(Y208:Y221),"0")</f>
        <v>0</v>
      </c>
      <c r="Z223" s="42"/>
      <c r="AA223" s="67"/>
      <c r="AB223" s="67"/>
      <c r="AC223" s="67"/>
    </row>
    <row r="224" spans="1:68" ht="14.25" customHeight="1" x14ac:dyDescent="0.25">
      <c r="A224" s="670" t="s">
        <v>86</v>
      </c>
      <c r="B224" s="670"/>
      <c r="C224" s="670"/>
      <c r="D224" s="670"/>
      <c r="E224" s="670"/>
      <c r="F224" s="670"/>
      <c r="G224" s="670"/>
      <c r="H224" s="670"/>
      <c r="I224" s="670"/>
      <c r="J224" s="670"/>
      <c r="K224" s="670"/>
      <c r="L224" s="670"/>
      <c r="M224" s="670"/>
      <c r="N224" s="670"/>
      <c r="O224" s="670"/>
      <c r="P224" s="670"/>
      <c r="Q224" s="670"/>
      <c r="R224" s="670"/>
      <c r="S224" s="670"/>
      <c r="T224" s="670"/>
      <c r="U224" s="670"/>
      <c r="V224" s="670"/>
      <c r="W224" s="670"/>
      <c r="X224" s="670"/>
      <c r="Y224" s="670"/>
      <c r="Z224" s="670"/>
      <c r="AA224" s="66"/>
      <c r="AB224" s="66"/>
      <c r="AC224" s="80"/>
    </row>
    <row r="225" spans="1:68" ht="27" customHeight="1" x14ac:dyDescent="0.25">
      <c r="A225" s="63" t="s">
        <v>388</v>
      </c>
      <c r="B225" s="63" t="s">
        <v>389</v>
      </c>
      <c r="C225" s="36">
        <v>4301052177</v>
      </c>
      <c r="D225" s="671">
        <v>4680115888951</v>
      </c>
      <c r="E225" s="671"/>
      <c r="F225" s="62">
        <v>0.36</v>
      </c>
      <c r="G225" s="37">
        <v>6</v>
      </c>
      <c r="H225" s="62">
        <v>2.16</v>
      </c>
      <c r="I225" s="62">
        <v>2.4220000000000002</v>
      </c>
      <c r="J225" s="37">
        <v>132</v>
      </c>
      <c r="K225" s="37" t="s">
        <v>140</v>
      </c>
      <c r="L225" s="37" t="s">
        <v>46</v>
      </c>
      <c r="M225" s="38" t="s">
        <v>97</v>
      </c>
      <c r="N225" s="38"/>
      <c r="O225" s="37">
        <v>35</v>
      </c>
      <c r="P225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3"/>
      <c r="R225" s="673"/>
      <c r="S225" s="673"/>
      <c r="T225" s="674"/>
      <c r="U225" s="39" t="s">
        <v>46</v>
      </c>
      <c r="V225" s="39" t="s">
        <v>46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4301052176</v>
      </c>
      <c r="D226" s="671">
        <v>4680115888982</v>
      </c>
      <c r="E226" s="671"/>
      <c r="F226" s="62">
        <v>0.36</v>
      </c>
      <c r="G226" s="37">
        <v>6</v>
      </c>
      <c r="H226" s="62">
        <v>2.16</v>
      </c>
      <c r="I226" s="62">
        <v>2.4220000000000002</v>
      </c>
      <c r="J226" s="37">
        <v>132</v>
      </c>
      <c r="K226" s="37" t="s">
        <v>140</v>
      </c>
      <c r="L226" s="37" t="s">
        <v>46</v>
      </c>
      <c r="M226" s="38" t="s">
        <v>97</v>
      </c>
      <c r="N226" s="38"/>
      <c r="O226" s="37">
        <v>35</v>
      </c>
      <c r="P226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0" t="s">
        <v>393</v>
      </c>
      <c r="AG226" s="78"/>
      <c r="AJ226" s="84" t="s">
        <v>46</v>
      </c>
      <c r="AK226" s="84">
        <v>0</v>
      </c>
      <c r="BB226" s="301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76" t="s">
        <v>40</v>
      </c>
      <c r="Q227" s="677"/>
      <c r="R227" s="677"/>
      <c r="S227" s="677"/>
      <c r="T227" s="677"/>
      <c r="U227" s="677"/>
      <c r="V227" s="67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79"/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80"/>
      <c r="P228" s="676" t="s">
        <v>40</v>
      </c>
      <c r="Q228" s="677"/>
      <c r="R228" s="677"/>
      <c r="S228" s="677"/>
      <c r="T228" s="677"/>
      <c r="U228" s="677"/>
      <c r="V228" s="67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4.25" customHeight="1" x14ac:dyDescent="0.25">
      <c r="A229" s="670" t="s">
        <v>107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customHeight="1" x14ac:dyDescent="0.25">
      <c r="A230" s="63" t="s">
        <v>394</v>
      </c>
      <c r="B230" s="63" t="s">
        <v>395</v>
      </c>
      <c r="C230" s="36">
        <v>4301032053</v>
      </c>
      <c r="D230" s="671">
        <v>4680115886780</v>
      </c>
      <c r="E230" s="671"/>
      <c r="F230" s="62">
        <v>7.0000000000000007E-2</v>
      </c>
      <c r="G230" s="37">
        <v>18</v>
      </c>
      <c r="H230" s="62">
        <v>1.26</v>
      </c>
      <c r="I230" s="62">
        <v>1.45</v>
      </c>
      <c r="J230" s="37">
        <v>216</v>
      </c>
      <c r="K230" s="37" t="s">
        <v>325</v>
      </c>
      <c r="L230" s="37" t="s">
        <v>46</v>
      </c>
      <c r="M230" s="38" t="s">
        <v>324</v>
      </c>
      <c r="N230" s="38"/>
      <c r="O230" s="37">
        <v>60</v>
      </c>
      <c r="P230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46</v>
      </c>
      <c r="AB230" s="69" t="s">
        <v>46</v>
      </c>
      <c r="AC230" s="302" t="s">
        <v>396</v>
      </c>
      <c r="AG230" s="78"/>
      <c r="AJ230" s="84" t="s">
        <v>46</v>
      </c>
      <c r="AK230" s="84">
        <v>0</v>
      </c>
      <c r="BB230" s="303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397</v>
      </c>
      <c r="B231" s="63" t="s">
        <v>398</v>
      </c>
      <c r="C231" s="36">
        <v>4301032051</v>
      </c>
      <c r="D231" s="671">
        <v>4680115886742</v>
      </c>
      <c r="E231" s="671"/>
      <c r="F231" s="62">
        <v>7.0000000000000007E-2</v>
      </c>
      <c r="G231" s="37">
        <v>18</v>
      </c>
      <c r="H231" s="62">
        <v>1.26</v>
      </c>
      <c r="I231" s="62">
        <v>1.45</v>
      </c>
      <c r="J231" s="37">
        <v>216</v>
      </c>
      <c r="K231" s="37" t="s">
        <v>325</v>
      </c>
      <c r="L231" s="37" t="s">
        <v>46</v>
      </c>
      <c r="M231" s="38" t="s">
        <v>324</v>
      </c>
      <c r="N231" s="38"/>
      <c r="O231" s="37">
        <v>90</v>
      </c>
      <c r="P231" s="78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46</v>
      </c>
      <c r="AB231" s="69" t="s">
        <v>46</v>
      </c>
      <c r="AC231" s="304" t="s">
        <v>399</v>
      </c>
      <c r="AG231" s="78"/>
      <c r="AJ231" s="84" t="s">
        <v>46</v>
      </c>
      <c r="AK231" s="84">
        <v>0</v>
      </c>
      <c r="BB231" s="305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400</v>
      </c>
      <c r="B232" s="63" t="s">
        <v>401</v>
      </c>
      <c r="C232" s="36">
        <v>4301032052</v>
      </c>
      <c r="D232" s="671">
        <v>4680115886766</v>
      </c>
      <c r="E232" s="671"/>
      <c r="F232" s="62">
        <v>7.0000000000000007E-2</v>
      </c>
      <c r="G232" s="37">
        <v>18</v>
      </c>
      <c r="H232" s="62">
        <v>1.26</v>
      </c>
      <c r="I232" s="62">
        <v>1.45</v>
      </c>
      <c r="J232" s="37">
        <v>216</v>
      </c>
      <c r="K232" s="37" t="s">
        <v>325</v>
      </c>
      <c r="L232" s="37" t="s">
        <v>46</v>
      </c>
      <c r="M232" s="38" t="s">
        <v>324</v>
      </c>
      <c r="N232" s="38"/>
      <c r="O232" s="37">
        <v>90</v>
      </c>
      <c r="P232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46</v>
      </c>
      <c r="AB232" s="69" t="s">
        <v>46</v>
      </c>
      <c r="AC232" s="306" t="s">
        <v>399</v>
      </c>
      <c r="AG232" s="78"/>
      <c r="AJ232" s="84" t="s">
        <v>46</v>
      </c>
      <c r="AK232" s="84">
        <v>0</v>
      </c>
      <c r="BB232" s="307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">
      <c r="A233" s="679"/>
      <c r="B233" s="679"/>
      <c r="C233" s="679"/>
      <c r="D233" s="679"/>
      <c r="E233" s="679"/>
      <c r="F233" s="679"/>
      <c r="G233" s="679"/>
      <c r="H233" s="679"/>
      <c r="I233" s="679"/>
      <c r="J233" s="679"/>
      <c r="K233" s="679"/>
      <c r="L233" s="679"/>
      <c r="M233" s="679"/>
      <c r="N233" s="679"/>
      <c r="O233" s="680"/>
      <c r="P233" s="676" t="s">
        <v>40</v>
      </c>
      <c r="Q233" s="677"/>
      <c r="R233" s="677"/>
      <c r="S233" s="677"/>
      <c r="T233" s="677"/>
      <c r="U233" s="677"/>
      <c r="V233" s="678"/>
      <c r="W233" s="42" t="s">
        <v>39</v>
      </c>
      <c r="X233" s="43">
        <f>IFERROR(X230/H230,"0")+IFERROR(X231/H231,"0")+IFERROR(X232/H232,"0")</f>
        <v>0</v>
      </c>
      <c r="Y233" s="43">
        <f>IFERROR(Y230/H230,"0")+IFERROR(Y231/H231,"0")+IFERROR(Y232/H232,"0")</f>
        <v>0</v>
      </c>
      <c r="Z233" s="43">
        <f>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79"/>
      <c r="B234" s="679"/>
      <c r="C234" s="679"/>
      <c r="D234" s="679"/>
      <c r="E234" s="679"/>
      <c r="F234" s="679"/>
      <c r="G234" s="679"/>
      <c r="H234" s="679"/>
      <c r="I234" s="679"/>
      <c r="J234" s="679"/>
      <c r="K234" s="679"/>
      <c r="L234" s="679"/>
      <c r="M234" s="679"/>
      <c r="N234" s="679"/>
      <c r="O234" s="680"/>
      <c r="P234" s="676" t="s">
        <v>40</v>
      </c>
      <c r="Q234" s="677"/>
      <c r="R234" s="677"/>
      <c r="S234" s="677"/>
      <c r="T234" s="677"/>
      <c r="U234" s="677"/>
      <c r="V234" s="678"/>
      <c r="W234" s="42" t="s">
        <v>0</v>
      </c>
      <c r="X234" s="43">
        <f>IFERROR(SUM(X230:X232),"0")</f>
        <v>0</v>
      </c>
      <c r="Y234" s="43">
        <f>IFERROR(SUM(Y230:Y232),"0")</f>
        <v>0</v>
      </c>
      <c r="Z234" s="42"/>
      <c r="AA234" s="67"/>
      <c r="AB234" s="67"/>
      <c r="AC234" s="67"/>
    </row>
    <row r="235" spans="1:68" ht="14.25" customHeight="1" x14ac:dyDescent="0.25">
      <c r="A235" s="670" t="s">
        <v>402</v>
      </c>
      <c r="B235" s="670"/>
      <c r="C235" s="670"/>
      <c r="D235" s="670"/>
      <c r="E235" s="670"/>
      <c r="F235" s="670"/>
      <c r="G235" s="670"/>
      <c r="H235" s="670"/>
      <c r="I235" s="670"/>
      <c r="J235" s="670"/>
      <c r="K235" s="670"/>
      <c r="L235" s="670"/>
      <c r="M235" s="670"/>
      <c r="N235" s="670"/>
      <c r="O235" s="670"/>
      <c r="P235" s="670"/>
      <c r="Q235" s="670"/>
      <c r="R235" s="670"/>
      <c r="S235" s="670"/>
      <c r="T235" s="670"/>
      <c r="U235" s="670"/>
      <c r="V235" s="670"/>
      <c r="W235" s="670"/>
      <c r="X235" s="670"/>
      <c r="Y235" s="670"/>
      <c r="Z235" s="670"/>
      <c r="AA235" s="66"/>
      <c r="AB235" s="66"/>
      <c r="AC235" s="80"/>
    </row>
    <row r="236" spans="1:68" ht="27" customHeight="1" x14ac:dyDescent="0.25">
      <c r="A236" s="63" t="s">
        <v>403</v>
      </c>
      <c r="B236" s="63" t="s">
        <v>404</v>
      </c>
      <c r="C236" s="36">
        <v>4301170013</v>
      </c>
      <c r="D236" s="671">
        <v>4680115886797</v>
      </c>
      <c r="E236" s="671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325</v>
      </c>
      <c r="L236" s="37" t="s">
        <v>46</v>
      </c>
      <c r="M236" s="38" t="s">
        <v>324</v>
      </c>
      <c r="N236" s="38"/>
      <c r="O236" s="37">
        <v>90</v>
      </c>
      <c r="P236" s="79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08" t="s">
        <v>399</v>
      </c>
      <c r="AG236" s="78"/>
      <c r="AJ236" s="84" t="s">
        <v>46</v>
      </c>
      <c r="AK236" s="84">
        <v>0</v>
      </c>
      <c r="BB236" s="309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79"/>
      <c r="B237" s="679"/>
      <c r="C237" s="679"/>
      <c r="D237" s="679"/>
      <c r="E237" s="679"/>
      <c r="F237" s="679"/>
      <c r="G237" s="679"/>
      <c r="H237" s="679"/>
      <c r="I237" s="679"/>
      <c r="J237" s="679"/>
      <c r="K237" s="679"/>
      <c r="L237" s="679"/>
      <c r="M237" s="679"/>
      <c r="N237" s="679"/>
      <c r="O237" s="680"/>
      <c r="P237" s="676" t="s">
        <v>40</v>
      </c>
      <c r="Q237" s="677"/>
      <c r="R237" s="677"/>
      <c r="S237" s="677"/>
      <c r="T237" s="677"/>
      <c r="U237" s="677"/>
      <c r="V237" s="678"/>
      <c r="W237" s="42" t="s">
        <v>39</v>
      </c>
      <c r="X237" s="43">
        <f>IFERROR(X236/H236,"0")</f>
        <v>0</v>
      </c>
      <c r="Y237" s="43">
        <f>IFERROR(Y236/H236,"0")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679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76" t="s">
        <v>40</v>
      </c>
      <c r="Q238" s="677"/>
      <c r="R238" s="677"/>
      <c r="S238" s="677"/>
      <c r="T238" s="677"/>
      <c r="U238" s="677"/>
      <c r="V238" s="678"/>
      <c r="W238" s="42" t="s">
        <v>0</v>
      </c>
      <c r="X238" s="43">
        <f>IFERROR(SUM(X236:X236),"0")</f>
        <v>0</v>
      </c>
      <c r="Y238" s="43">
        <f>IFERROR(SUM(Y236:Y236),"0")</f>
        <v>0</v>
      </c>
      <c r="Z238" s="42"/>
      <c r="AA238" s="67"/>
      <c r="AB238" s="67"/>
      <c r="AC238" s="67"/>
    </row>
    <row r="239" spans="1:68" ht="16.5" customHeight="1" x14ac:dyDescent="0.25">
      <c r="A239" s="669" t="s">
        <v>405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5"/>
      <c r="AB239" s="65"/>
      <c r="AC239" s="79"/>
    </row>
    <row r="240" spans="1:68" ht="14.25" customHeight="1" x14ac:dyDescent="0.25">
      <c r="A240" s="670" t="s">
        <v>128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  <c r="AA240" s="66"/>
      <c r="AB240" s="66"/>
      <c r="AC240" s="80"/>
    </row>
    <row r="241" spans="1:68" ht="27" customHeight="1" x14ac:dyDescent="0.25">
      <c r="A241" s="63" t="s">
        <v>406</v>
      </c>
      <c r="B241" s="63" t="s">
        <v>407</v>
      </c>
      <c r="C241" s="36">
        <v>4301011450</v>
      </c>
      <c r="D241" s="671">
        <v>4680115881402</v>
      </c>
      <c r="E241" s="671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133</v>
      </c>
      <c r="L241" s="37" t="s">
        <v>46</v>
      </c>
      <c r="M241" s="38" t="s">
        <v>132</v>
      </c>
      <c r="N241" s="38"/>
      <c r="O241" s="37">
        <v>55</v>
      </c>
      <c r="P241" s="7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46</v>
      </c>
      <c r="AB241" s="69" t="s">
        <v>46</v>
      </c>
      <c r="AC241" s="310" t="s">
        <v>408</v>
      </c>
      <c r="AG241" s="78"/>
      <c r="AJ241" s="84" t="s">
        <v>46</v>
      </c>
      <c r="AK241" s="84">
        <v>0</v>
      </c>
      <c r="BB241" s="31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409</v>
      </c>
      <c r="B242" s="63" t="s">
        <v>410</v>
      </c>
      <c r="C242" s="36">
        <v>4301011768</v>
      </c>
      <c r="D242" s="671">
        <v>4680115881396</v>
      </c>
      <c r="E242" s="671"/>
      <c r="F242" s="62">
        <v>0.45</v>
      </c>
      <c r="G242" s="37">
        <v>6</v>
      </c>
      <c r="H242" s="62">
        <v>2.7</v>
      </c>
      <c r="I242" s="62">
        <v>2.88</v>
      </c>
      <c r="J242" s="37">
        <v>182</v>
      </c>
      <c r="K242" s="37" t="s">
        <v>91</v>
      </c>
      <c r="L242" s="37" t="s">
        <v>46</v>
      </c>
      <c r="M242" s="38" t="s">
        <v>132</v>
      </c>
      <c r="N242" s="38"/>
      <c r="O242" s="37">
        <v>55</v>
      </c>
      <c r="P242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12" t="s">
        <v>408</v>
      </c>
      <c r="AG242" s="78"/>
      <c r="AJ242" s="84" t="s">
        <v>46</v>
      </c>
      <c r="AK242" s="84">
        <v>0</v>
      </c>
      <c r="BB242" s="31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79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76" t="s">
        <v>40</v>
      </c>
      <c r="Q243" s="677"/>
      <c r="R243" s="677"/>
      <c r="S243" s="677"/>
      <c r="T243" s="677"/>
      <c r="U243" s="677"/>
      <c r="V243" s="678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76" t="s">
        <v>40</v>
      </c>
      <c r="Q244" s="677"/>
      <c r="R244" s="677"/>
      <c r="S244" s="677"/>
      <c r="T244" s="677"/>
      <c r="U244" s="677"/>
      <c r="V244" s="678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customHeight="1" x14ac:dyDescent="0.25">
      <c r="A245" s="670" t="s">
        <v>163</v>
      </c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  <c r="AA245" s="66"/>
      <c r="AB245" s="66"/>
      <c r="AC245" s="80"/>
    </row>
    <row r="246" spans="1:68" ht="16.5" customHeight="1" x14ac:dyDescent="0.25">
      <c r="A246" s="63" t="s">
        <v>411</v>
      </c>
      <c r="B246" s="63" t="s">
        <v>412</v>
      </c>
      <c r="C246" s="36">
        <v>4301020261</v>
      </c>
      <c r="D246" s="671">
        <v>4680115882935</v>
      </c>
      <c r="E246" s="671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133</v>
      </c>
      <c r="L246" s="37" t="s">
        <v>46</v>
      </c>
      <c r="M246" s="38" t="s">
        <v>132</v>
      </c>
      <c r="N246" s="38"/>
      <c r="O246" s="37">
        <v>50</v>
      </c>
      <c r="P246" s="7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3"/>
      <c r="R246" s="673"/>
      <c r="S246" s="673"/>
      <c r="T246" s="67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4" t="s">
        <v>413</v>
      </c>
      <c r="AG246" s="78"/>
      <c r="AJ246" s="84" t="s">
        <v>46</v>
      </c>
      <c r="AK246" s="84">
        <v>0</v>
      </c>
      <c r="BB246" s="31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16.5" customHeight="1" x14ac:dyDescent="0.25">
      <c r="A247" s="63" t="s">
        <v>414</v>
      </c>
      <c r="B247" s="63" t="s">
        <v>415</v>
      </c>
      <c r="C247" s="36">
        <v>4301020220</v>
      </c>
      <c r="D247" s="671">
        <v>4680115880764</v>
      </c>
      <c r="E247" s="671"/>
      <c r="F247" s="62">
        <v>0.35</v>
      </c>
      <c r="G247" s="37">
        <v>6</v>
      </c>
      <c r="H247" s="62">
        <v>2.1</v>
      </c>
      <c r="I247" s="62">
        <v>2.2799999999999998</v>
      </c>
      <c r="J247" s="37">
        <v>182</v>
      </c>
      <c r="K247" s="37" t="s">
        <v>91</v>
      </c>
      <c r="L247" s="37" t="s">
        <v>46</v>
      </c>
      <c r="M247" s="38" t="s">
        <v>132</v>
      </c>
      <c r="N247" s="38"/>
      <c r="O247" s="37">
        <v>50</v>
      </c>
      <c r="P247" s="7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IFERROR(IF(Y247=0,"",ROUNDUP(Y247/H247,0)*0.00651),"")</f>
        <v/>
      </c>
      <c r="AA247" s="68" t="s">
        <v>46</v>
      </c>
      <c r="AB247" s="69" t="s">
        <v>46</v>
      </c>
      <c r="AC247" s="316" t="s">
        <v>413</v>
      </c>
      <c r="AG247" s="78"/>
      <c r="AJ247" s="84" t="s">
        <v>46</v>
      </c>
      <c r="AK247" s="84">
        <v>0</v>
      </c>
      <c r="BB247" s="31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76" t="s">
        <v>40</v>
      </c>
      <c r="Q248" s="677"/>
      <c r="R248" s="677"/>
      <c r="S248" s="677"/>
      <c r="T248" s="677"/>
      <c r="U248" s="677"/>
      <c r="V248" s="678"/>
      <c r="W248" s="42" t="s">
        <v>39</v>
      </c>
      <c r="X248" s="43">
        <f>IFERROR(X246/H246,"0")+IFERROR(X247/H247,"0")</f>
        <v>0</v>
      </c>
      <c r="Y248" s="43">
        <f>IFERROR(Y246/H246,"0")+IFERROR(Y247/H247,"0")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679"/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80"/>
      <c r="P249" s="676" t="s">
        <v>40</v>
      </c>
      <c r="Q249" s="677"/>
      <c r="R249" s="677"/>
      <c r="S249" s="677"/>
      <c r="T249" s="677"/>
      <c r="U249" s="677"/>
      <c r="V249" s="678"/>
      <c r="W249" s="42" t="s">
        <v>0</v>
      </c>
      <c r="X249" s="43">
        <f>IFERROR(SUM(X246:X247),"0")</f>
        <v>0</v>
      </c>
      <c r="Y249" s="43">
        <f>IFERROR(SUM(Y246:Y247),"0")</f>
        <v>0</v>
      </c>
      <c r="Z249" s="42"/>
      <c r="AA249" s="67"/>
      <c r="AB249" s="67"/>
      <c r="AC249" s="67"/>
    </row>
    <row r="250" spans="1:68" ht="14.25" customHeight="1" x14ac:dyDescent="0.25">
      <c r="A250" s="670" t="s">
        <v>77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customHeight="1" x14ac:dyDescent="0.25">
      <c r="A251" s="63" t="s">
        <v>416</v>
      </c>
      <c r="B251" s="63" t="s">
        <v>417</v>
      </c>
      <c r="C251" s="36">
        <v>4301031224</v>
      </c>
      <c r="D251" s="671">
        <v>4680115882683</v>
      </c>
      <c r="E251" s="671"/>
      <c r="F251" s="62">
        <v>0.9</v>
      </c>
      <c r="G251" s="37">
        <v>6</v>
      </c>
      <c r="H251" s="62">
        <v>5.4</v>
      </c>
      <c r="I251" s="62">
        <v>5.59</v>
      </c>
      <c r="J251" s="37">
        <v>132</v>
      </c>
      <c r="K251" s="37" t="s">
        <v>140</v>
      </c>
      <c r="L251" s="37" t="s">
        <v>46</v>
      </c>
      <c r="M251" s="38" t="s">
        <v>81</v>
      </c>
      <c r="N251" s="38"/>
      <c r="O251" s="37">
        <v>40</v>
      </c>
      <c r="P25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ref="Y251:Y258" si="32"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18" t="s">
        <v>418</v>
      </c>
      <c r="AG251" s="78"/>
      <c r="AJ251" s="84" t="s">
        <v>46</v>
      </c>
      <c r="AK251" s="84">
        <v>0</v>
      </c>
      <c r="BB251" s="319" t="s">
        <v>67</v>
      </c>
      <c r="BM251" s="78">
        <f t="shared" ref="BM251:BM258" si="33">IFERROR(X251*I251/H251,"0")</f>
        <v>0</v>
      </c>
      <c r="BN251" s="78">
        <f t="shared" ref="BN251:BN258" si="34">IFERROR(Y251*I251/H251,"0")</f>
        <v>0</v>
      </c>
      <c r="BO251" s="78">
        <f t="shared" ref="BO251:BO258" si="35">IFERROR(1/J251*(X251/H251),"0")</f>
        <v>0</v>
      </c>
      <c r="BP251" s="78">
        <f t="shared" ref="BP251:BP258" si="36">IFERROR(1/J251*(Y251/H251),"0")</f>
        <v>0</v>
      </c>
    </row>
    <row r="252" spans="1:68" ht="27" customHeight="1" x14ac:dyDescent="0.25">
      <c r="A252" s="63" t="s">
        <v>419</v>
      </c>
      <c r="B252" s="63" t="s">
        <v>420</v>
      </c>
      <c r="C252" s="36">
        <v>4301031230</v>
      </c>
      <c r="D252" s="671">
        <v>4680115882690</v>
      </c>
      <c r="E252" s="671"/>
      <c r="F252" s="62">
        <v>0.9</v>
      </c>
      <c r="G252" s="37">
        <v>6</v>
      </c>
      <c r="H252" s="62">
        <v>5.4</v>
      </c>
      <c r="I252" s="62">
        <v>5.59</v>
      </c>
      <c r="J252" s="37">
        <v>132</v>
      </c>
      <c r="K252" s="37" t="s">
        <v>140</v>
      </c>
      <c r="L252" s="37" t="s">
        <v>46</v>
      </c>
      <c r="M252" s="38" t="s">
        <v>81</v>
      </c>
      <c r="N252" s="38"/>
      <c r="O252" s="37">
        <v>40</v>
      </c>
      <c r="P252" s="79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3"/>
      <c r="R252" s="673"/>
      <c r="S252" s="673"/>
      <c r="T252" s="674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2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0" t="s">
        <v>421</v>
      </c>
      <c r="AG252" s="78"/>
      <c r="AJ252" s="84" t="s">
        <v>46</v>
      </c>
      <c r="AK252" s="84">
        <v>0</v>
      </c>
      <c r="BB252" s="321" t="s">
        <v>67</v>
      </c>
      <c r="BM252" s="78">
        <f t="shared" si="33"/>
        <v>0</v>
      </c>
      <c r="BN252" s="78">
        <f t="shared" si="34"/>
        <v>0</v>
      </c>
      <c r="BO252" s="78">
        <f t="shared" si="35"/>
        <v>0</v>
      </c>
      <c r="BP252" s="78">
        <f t="shared" si="36"/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4301031220</v>
      </c>
      <c r="D253" s="671">
        <v>4680115882669</v>
      </c>
      <c r="E253" s="671"/>
      <c r="F253" s="62">
        <v>0.9</v>
      </c>
      <c r="G253" s="37">
        <v>6</v>
      </c>
      <c r="H253" s="62">
        <v>5.4</v>
      </c>
      <c r="I253" s="62">
        <v>5.59</v>
      </c>
      <c r="J253" s="37">
        <v>132</v>
      </c>
      <c r="K253" s="37" t="s">
        <v>140</v>
      </c>
      <c r="L253" s="37" t="s">
        <v>46</v>
      </c>
      <c r="M253" s="38" t="s">
        <v>81</v>
      </c>
      <c r="N253" s="38"/>
      <c r="O253" s="37">
        <v>40</v>
      </c>
      <c r="P253" s="7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3"/>
      <c r="R253" s="673"/>
      <c r="S253" s="673"/>
      <c r="T253" s="674"/>
      <c r="U253" s="39" t="s">
        <v>46</v>
      </c>
      <c r="V253" s="39" t="s">
        <v>46</v>
      </c>
      <c r="W253" s="40" t="s">
        <v>0</v>
      </c>
      <c r="X253" s="58">
        <v>0</v>
      </c>
      <c r="Y253" s="55">
        <f t="shared" si="32"/>
        <v>0</v>
      </c>
      <c r="Z253" s="41" t="str">
        <f>IFERROR(IF(Y253=0,"",ROUNDUP(Y253/H253,0)*0.00902),"")</f>
        <v/>
      </c>
      <c r="AA253" s="68" t="s">
        <v>46</v>
      </c>
      <c r="AB253" s="69" t="s">
        <v>46</v>
      </c>
      <c r="AC253" s="322" t="s">
        <v>424</v>
      </c>
      <c r="AG253" s="78"/>
      <c r="AJ253" s="84" t="s">
        <v>46</v>
      </c>
      <c r="AK253" s="84">
        <v>0</v>
      </c>
      <c r="BB253" s="323" t="s">
        <v>67</v>
      </c>
      <c r="BM253" s="78">
        <f t="shared" si="33"/>
        <v>0</v>
      </c>
      <c r="BN253" s="78">
        <f t="shared" si="34"/>
        <v>0</v>
      </c>
      <c r="BO253" s="78">
        <f t="shared" si="35"/>
        <v>0</v>
      </c>
      <c r="BP253" s="78">
        <f t="shared" si="36"/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4301031221</v>
      </c>
      <c r="D254" s="671">
        <v>4680115882676</v>
      </c>
      <c r="E254" s="671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140</v>
      </c>
      <c r="L254" s="37" t="s">
        <v>46</v>
      </c>
      <c r="M254" s="38" t="s">
        <v>81</v>
      </c>
      <c r="N254" s="38"/>
      <c r="O254" s="37">
        <v>40</v>
      </c>
      <c r="P254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3"/>
      <c r="R254" s="673"/>
      <c r="S254" s="673"/>
      <c r="T254" s="674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si="32"/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427</v>
      </c>
      <c r="AG254" s="78"/>
      <c r="AJ254" s="84" t="s">
        <v>46</v>
      </c>
      <c r="AK254" s="84">
        <v>0</v>
      </c>
      <c r="BB254" s="325" t="s">
        <v>67</v>
      </c>
      <c r="BM254" s="78">
        <f t="shared" si="33"/>
        <v>0</v>
      </c>
      <c r="BN254" s="78">
        <f t="shared" si="34"/>
        <v>0</v>
      </c>
      <c r="BO254" s="78">
        <f t="shared" si="35"/>
        <v>0</v>
      </c>
      <c r="BP254" s="78">
        <f t="shared" si="36"/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4301031223</v>
      </c>
      <c r="D255" s="671">
        <v>4680115884014</v>
      </c>
      <c r="E255" s="671"/>
      <c r="F255" s="62">
        <v>0.3</v>
      </c>
      <c r="G255" s="37">
        <v>6</v>
      </c>
      <c r="H255" s="62">
        <v>1.8</v>
      </c>
      <c r="I255" s="62">
        <v>1.93</v>
      </c>
      <c r="J255" s="37">
        <v>234</v>
      </c>
      <c r="K255" s="37" t="s">
        <v>82</v>
      </c>
      <c r="L255" s="37" t="s">
        <v>46</v>
      </c>
      <c r="M255" s="38" t="s">
        <v>81</v>
      </c>
      <c r="N255" s="38"/>
      <c r="O255" s="37">
        <v>40</v>
      </c>
      <c r="P25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32"/>
        <v>0</v>
      </c>
      <c r="Z255" s="41" t="str">
        <f>IFERROR(IF(Y255=0,"",ROUNDUP(Y255/H255,0)*0.00502),"")</f>
        <v/>
      </c>
      <c r="AA255" s="68" t="s">
        <v>46</v>
      </c>
      <c r="AB255" s="69" t="s">
        <v>46</v>
      </c>
      <c r="AC255" s="326" t="s">
        <v>418</v>
      </c>
      <c r="AG255" s="78"/>
      <c r="AJ255" s="84" t="s">
        <v>46</v>
      </c>
      <c r="AK255" s="84">
        <v>0</v>
      </c>
      <c r="BB255" s="327" t="s">
        <v>67</v>
      </c>
      <c r="BM255" s="78">
        <f t="shared" si="33"/>
        <v>0</v>
      </c>
      <c r="BN255" s="78">
        <f t="shared" si="34"/>
        <v>0</v>
      </c>
      <c r="BO255" s="78">
        <f t="shared" si="35"/>
        <v>0</v>
      </c>
      <c r="BP255" s="78">
        <f t="shared" si="36"/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4301031222</v>
      </c>
      <c r="D256" s="671">
        <v>4680115884007</v>
      </c>
      <c r="E256" s="671"/>
      <c r="F256" s="62">
        <v>0.3</v>
      </c>
      <c r="G256" s="37">
        <v>6</v>
      </c>
      <c r="H256" s="62">
        <v>1.8</v>
      </c>
      <c r="I256" s="62">
        <v>1.9</v>
      </c>
      <c r="J256" s="37">
        <v>234</v>
      </c>
      <c r="K256" s="37" t="s">
        <v>82</v>
      </c>
      <c r="L256" s="37" t="s">
        <v>46</v>
      </c>
      <c r="M256" s="38" t="s">
        <v>81</v>
      </c>
      <c r="N256" s="38"/>
      <c r="O256" s="37">
        <v>40</v>
      </c>
      <c r="P256" s="8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28" t="s">
        <v>421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4301031229</v>
      </c>
      <c r="D257" s="671">
        <v>4680115884038</v>
      </c>
      <c r="E257" s="671"/>
      <c r="F257" s="62">
        <v>0.3</v>
      </c>
      <c r="G257" s="37">
        <v>6</v>
      </c>
      <c r="H257" s="62">
        <v>1.8</v>
      </c>
      <c r="I257" s="62">
        <v>1.9</v>
      </c>
      <c r="J257" s="37">
        <v>234</v>
      </c>
      <c r="K257" s="37" t="s">
        <v>82</v>
      </c>
      <c r="L257" s="37" t="s">
        <v>46</v>
      </c>
      <c r="M257" s="38" t="s">
        <v>81</v>
      </c>
      <c r="N257" s="38"/>
      <c r="O257" s="37">
        <v>40</v>
      </c>
      <c r="P257" s="8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IFERROR(IF(Y257=0,"",ROUNDUP(Y257/H257,0)*0.00502),"")</f>
        <v/>
      </c>
      <c r="AA257" s="68" t="s">
        <v>46</v>
      </c>
      <c r="AB257" s="69" t="s">
        <v>46</v>
      </c>
      <c r="AC257" s="330" t="s">
        <v>424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434</v>
      </c>
      <c r="B258" s="63" t="s">
        <v>435</v>
      </c>
      <c r="C258" s="36">
        <v>4301031225</v>
      </c>
      <c r="D258" s="671">
        <v>4680115884021</v>
      </c>
      <c r="E258" s="671"/>
      <c r="F258" s="62">
        <v>0.3</v>
      </c>
      <c r="G258" s="37">
        <v>6</v>
      </c>
      <c r="H258" s="62">
        <v>1.8</v>
      </c>
      <c r="I258" s="62">
        <v>1.9</v>
      </c>
      <c r="J258" s="37">
        <v>234</v>
      </c>
      <c r="K258" s="37" t="s">
        <v>82</v>
      </c>
      <c r="L258" s="37" t="s">
        <v>46</v>
      </c>
      <c r="M258" s="38" t="s">
        <v>81</v>
      </c>
      <c r="N258" s="38"/>
      <c r="O258" s="37">
        <v>40</v>
      </c>
      <c r="P258" s="80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3"/>
      <c r="R258" s="673"/>
      <c r="S258" s="673"/>
      <c r="T258" s="674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76" t="s">
        <v>40</v>
      </c>
      <c r="Q259" s="677"/>
      <c r="R259" s="677"/>
      <c r="S259" s="677"/>
      <c r="T259" s="677"/>
      <c r="U259" s="677"/>
      <c r="V259" s="678"/>
      <c r="W259" s="42" t="s">
        <v>39</v>
      </c>
      <c r="X259" s="43">
        <f>IFERROR(X251/H251,"0")+IFERROR(X252/H252,"0")+IFERROR(X253/H253,"0")+IFERROR(X254/H254,"0")+IFERROR(X255/H255,"0")+IFERROR(X256/H256,"0")+IFERROR(X257/H257,"0")+IFERROR(X258/H258,"0")</f>
        <v>0</v>
      </c>
      <c r="Y259" s="43">
        <f>IFERROR(Y251/H251,"0")+IFERROR(Y252/H252,"0")+IFERROR(Y253/H253,"0")+IFERROR(Y254/H254,"0")+IFERROR(Y255/H255,"0")+IFERROR(Y256/H256,"0")+IFERROR(Y257/H257,"0")+IFERROR(Y258/H258,"0")</f>
        <v>0</v>
      </c>
      <c r="Z259" s="4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79"/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80"/>
      <c r="P260" s="676" t="s">
        <v>40</v>
      </c>
      <c r="Q260" s="677"/>
      <c r="R260" s="677"/>
      <c r="S260" s="677"/>
      <c r="T260" s="677"/>
      <c r="U260" s="677"/>
      <c r="V260" s="678"/>
      <c r="W260" s="42" t="s">
        <v>0</v>
      </c>
      <c r="X260" s="43">
        <f>IFERROR(SUM(X251:X258),"0")</f>
        <v>0</v>
      </c>
      <c r="Y260" s="43">
        <f>IFERROR(SUM(Y251:Y258),"0")</f>
        <v>0</v>
      </c>
      <c r="Z260" s="42"/>
      <c r="AA260" s="67"/>
      <c r="AB260" s="67"/>
      <c r="AC260" s="67"/>
    </row>
    <row r="261" spans="1:68" ht="14.25" customHeight="1" x14ac:dyDescent="0.25">
      <c r="A261" s="670" t="s">
        <v>86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37.5" customHeight="1" x14ac:dyDescent="0.25">
      <c r="A262" s="63" t="s">
        <v>436</v>
      </c>
      <c r="B262" s="63" t="s">
        <v>437</v>
      </c>
      <c r="C262" s="36">
        <v>4301051408</v>
      </c>
      <c r="D262" s="671">
        <v>4680115881594</v>
      </c>
      <c r="E262" s="671"/>
      <c r="F262" s="62">
        <v>1.35</v>
      </c>
      <c r="G262" s="37">
        <v>6</v>
      </c>
      <c r="H262" s="62">
        <v>8.1</v>
      </c>
      <c r="I262" s="62">
        <v>8.5939999999999994</v>
      </c>
      <c r="J262" s="37">
        <v>64</v>
      </c>
      <c r="K262" s="37" t="s">
        <v>133</v>
      </c>
      <c r="L262" s="37" t="s">
        <v>46</v>
      </c>
      <c r="M262" s="38" t="s">
        <v>90</v>
      </c>
      <c r="N262" s="38"/>
      <c r="O262" s="37">
        <v>40</v>
      </c>
      <c r="P26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3"/>
      <c r="R262" s="673"/>
      <c r="S262" s="673"/>
      <c r="T262" s="67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ref="Y262:Y273" si="37"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34" t="s">
        <v>438</v>
      </c>
      <c r="AG262" s="78"/>
      <c r="AJ262" s="84" t="s">
        <v>46</v>
      </c>
      <c r="AK262" s="84">
        <v>0</v>
      </c>
      <c r="BB262" s="335" t="s">
        <v>67</v>
      </c>
      <c r="BM262" s="78">
        <f t="shared" ref="BM262:BM273" si="38">IFERROR(X262*I262/H262,"0")</f>
        <v>0</v>
      </c>
      <c r="BN262" s="78">
        <f t="shared" ref="BN262:BN273" si="39">IFERROR(Y262*I262/H262,"0")</f>
        <v>0</v>
      </c>
      <c r="BO262" s="78">
        <f t="shared" ref="BO262:BO273" si="40">IFERROR(1/J262*(X262/H262),"0")</f>
        <v>0</v>
      </c>
      <c r="BP262" s="78">
        <f t="shared" ref="BP262:BP273" si="41">IFERROR(1/J262*(Y262/H262),"0")</f>
        <v>0</v>
      </c>
    </row>
    <row r="263" spans="1:68" ht="37.5" customHeight="1" x14ac:dyDescent="0.25">
      <c r="A263" s="63" t="s">
        <v>439</v>
      </c>
      <c r="B263" s="63" t="s">
        <v>440</v>
      </c>
      <c r="C263" s="36">
        <v>4301051411</v>
      </c>
      <c r="D263" s="671">
        <v>4680115881617</v>
      </c>
      <c r="E263" s="671"/>
      <c r="F263" s="62">
        <v>1.35</v>
      </c>
      <c r="G263" s="37">
        <v>6</v>
      </c>
      <c r="H263" s="62">
        <v>8.1</v>
      </c>
      <c r="I263" s="62">
        <v>8.5760000000000005</v>
      </c>
      <c r="J263" s="37">
        <v>64</v>
      </c>
      <c r="K263" s="37" t="s">
        <v>133</v>
      </c>
      <c r="L263" s="37" t="s">
        <v>46</v>
      </c>
      <c r="M263" s="38" t="s">
        <v>90</v>
      </c>
      <c r="N263" s="38"/>
      <c r="O263" s="37">
        <v>40</v>
      </c>
      <c r="P26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3"/>
      <c r="R263" s="673"/>
      <c r="S263" s="673"/>
      <c r="T263" s="67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7"/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36" t="s">
        <v>441</v>
      </c>
      <c r="AG263" s="78"/>
      <c r="AJ263" s="84" t="s">
        <v>46</v>
      </c>
      <c r="AK263" s="84">
        <v>0</v>
      </c>
      <c r="BB263" s="337" t="s">
        <v>67</v>
      </c>
      <c r="BM263" s="78">
        <f t="shared" si="38"/>
        <v>0</v>
      </c>
      <c r="BN263" s="78">
        <f t="shared" si="39"/>
        <v>0</v>
      </c>
      <c r="BO263" s="78">
        <f t="shared" si="40"/>
        <v>0</v>
      </c>
      <c r="BP263" s="78">
        <f t="shared" si="41"/>
        <v>0</v>
      </c>
    </row>
    <row r="264" spans="1:68" ht="27" customHeight="1" x14ac:dyDescent="0.25">
      <c r="A264" s="63" t="s">
        <v>442</v>
      </c>
      <c r="B264" s="63" t="s">
        <v>443</v>
      </c>
      <c r="C264" s="36">
        <v>4301051656</v>
      </c>
      <c r="D264" s="671">
        <v>4680115880573</v>
      </c>
      <c r="E264" s="671"/>
      <c r="F264" s="62">
        <v>1.45</v>
      </c>
      <c r="G264" s="37">
        <v>6</v>
      </c>
      <c r="H264" s="62">
        <v>8.6999999999999993</v>
      </c>
      <c r="I264" s="62">
        <v>9.1940000000000008</v>
      </c>
      <c r="J264" s="37">
        <v>64</v>
      </c>
      <c r="K264" s="37" t="s">
        <v>133</v>
      </c>
      <c r="L264" s="37" t="s">
        <v>46</v>
      </c>
      <c r="M264" s="38" t="s">
        <v>90</v>
      </c>
      <c r="N264" s="38"/>
      <c r="O264" s="37">
        <v>45</v>
      </c>
      <c r="P26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3"/>
      <c r="R264" s="673"/>
      <c r="S264" s="673"/>
      <c r="T264" s="67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7"/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38" t="s">
        <v>444</v>
      </c>
      <c r="AG264" s="78"/>
      <c r="AJ264" s="84" t="s">
        <v>46</v>
      </c>
      <c r="AK264" s="84">
        <v>0</v>
      </c>
      <c r="BB264" s="339" t="s">
        <v>67</v>
      </c>
      <c r="BM264" s="78">
        <f t="shared" si="38"/>
        <v>0</v>
      </c>
      <c r="BN264" s="78">
        <f t="shared" si="39"/>
        <v>0</v>
      </c>
      <c r="BO264" s="78">
        <f t="shared" si="40"/>
        <v>0</v>
      </c>
      <c r="BP264" s="78">
        <f t="shared" si="41"/>
        <v>0</v>
      </c>
    </row>
    <row r="265" spans="1:68" ht="37.5" customHeight="1" x14ac:dyDescent="0.25">
      <c r="A265" s="63" t="s">
        <v>445</v>
      </c>
      <c r="B265" s="63" t="s">
        <v>446</v>
      </c>
      <c r="C265" s="36">
        <v>4301051407</v>
      </c>
      <c r="D265" s="671">
        <v>4680115882195</v>
      </c>
      <c r="E265" s="671"/>
      <c r="F265" s="62">
        <v>0.4</v>
      </c>
      <c r="G265" s="37">
        <v>6</v>
      </c>
      <c r="H265" s="62">
        <v>2.4</v>
      </c>
      <c r="I265" s="62">
        <v>2.67</v>
      </c>
      <c r="J265" s="37">
        <v>182</v>
      </c>
      <c r="K265" s="37" t="s">
        <v>91</v>
      </c>
      <c r="L265" s="37" t="s">
        <v>46</v>
      </c>
      <c r="M265" s="38" t="s">
        <v>90</v>
      </c>
      <c r="N265" s="38"/>
      <c r="O265" s="37">
        <v>40</v>
      </c>
      <c r="P26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3"/>
      <c r="R265" s="673"/>
      <c r="S265" s="673"/>
      <c r="T265" s="67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7"/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0" t="s">
        <v>438</v>
      </c>
      <c r="AG265" s="78"/>
      <c r="AJ265" s="84" t="s">
        <v>46</v>
      </c>
      <c r="AK265" s="84">
        <v>0</v>
      </c>
      <c r="BB265" s="341" t="s">
        <v>67</v>
      </c>
      <c r="BM265" s="78">
        <f t="shared" si="38"/>
        <v>0</v>
      </c>
      <c r="BN265" s="78">
        <f t="shared" si="39"/>
        <v>0</v>
      </c>
      <c r="BO265" s="78">
        <f t="shared" si="40"/>
        <v>0</v>
      </c>
      <c r="BP265" s="78">
        <f t="shared" si="41"/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4301051752</v>
      </c>
      <c r="D266" s="671">
        <v>4680115882607</v>
      </c>
      <c r="E266" s="671"/>
      <c r="F266" s="62">
        <v>0.3</v>
      </c>
      <c r="G266" s="37">
        <v>6</v>
      </c>
      <c r="H266" s="62">
        <v>1.8</v>
      </c>
      <c r="I266" s="62">
        <v>2.052</v>
      </c>
      <c r="J266" s="37">
        <v>182</v>
      </c>
      <c r="K266" s="37" t="s">
        <v>91</v>
      </c>
      <c r="L266" s="37" t="s">
        <v>46</v>
      </c>
      <c r="M266" s="38" t="s">
        <v>97</v>
      </c>
      <c r="N266" s="38"/>
      <c r="O266" s="37">
        <v>45</v>
      </c>
      <c r="P26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7"/>
        <v>0</v>
      </c>
      <c r="Z266" s="41" t="str">
        <f>IFERROR(IF(Y266=0,"",ROUNDUP(Y266/H266,0)*0.00651),"")</f>
        <v/>
      </c>
      <c r="AA266" s="68" t="s">
        <v>46</v>
      </c>
      <c r="AB266" s="69" t="s">
        <v>46</v>
      </c>
      <c r="AC266" s="342" t="s">
        <v>444</v>
      </c>
      <c r="AG266" s="78"/>
      <c r="AJ266" s="84" t="s">
        <v>46</v>
      </c>
      <c r="AK266" s="84">
        <v>0</v>
      </c>
      <c r="BB266" s="343" t="s">
        <v>67</v>
      </c>
      <c r="BM266" s="78">
        <f t="shared" si="38"/>
        <v>0</v>
      </c>
      <c r="BN266" s="78">
        <f t="shared" si="39"/>
        <v>0</v>
      </c>
      <c r="BO266" s="78">
        <f t="shared" si="40"/>
        <v>0</v>
      </c>
      <c r="BP266" s="78">
        <f t="shared" si="41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4301052143</v>
      </c>
      <c r="D267" s="671">
        <v>4680115882607</v>
      </c>
      <c r="E267" s="671"/>
      <c r="F267" s="62">
        <v>0.3</v>
      </c>
      <c r="G267" s="37">
        <v>6</v>
      </c>
      <c r="H267" s="62">
        <v>1.8</v>
      </c>
      <c r="I267" s="62">
        <v>2.0619999999999998</v>
      </c>
      <c r="J267" s="37">
        <v>132</v>
      </c>
      <c r="K267" s="37" t="s">
        <v>140</v>
      </c>
      <c r="L267" s="37" t="s">
        <v>46</v>
      </c>
      <c r="M267" s="38" t="s">
        <v>90</v>
      </c>
      <c r="N267" s="38"/>
      <c r="O267" s="37">
        <v>45</v>
      </c>
      <c r="P267" s="80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4301051666</v>
      </c>
      <c r="D268" s="671">
        <v>4680115880092</v>
      </c>
      <c r="E268" s="671"/>
      <c r="F268" s="62">
        <v>0.4</v>
      </c>
      <c r="G268" s="37">
        <v>6</v>
      </c>
      <c r="H268" s="62">
        <v>2.4</v>
      </c>
      <c r="I268" s="62">
        <v>2.6520000000000001</v>
      </c>
      <c r="J268" s="37">
        <v>182</v>
      </c>
      <c r="K268" s="37" t="s">
        <v>91</v>
      </c>
      <c r="L268" s="37" t="s">
        <v>46</v>
      </c>
      <c r="M268" s="38" t="s">
        <v>90</v>
      </c>
      <c r="N268" s="38"/>
      <c r="O268" s="37">
        <v>45</v>
      </c>
      <c r="P268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3"/>
      <c r="R268" s="673"/>
      <c r="S268" s="673"/>
      <c r="T268" s="674"/>
      <c r="U268" s="39" t="s">
        <v>46</v>
      </c>
      <c r="V268" s="39" t="s">
        <v>46</v>
      </c>
      <c r="W268" s="40" t="s">
        <v>0</v>
      </c>
      <c r="X268" s="58">
        <v>120</v>
      </c>
      <c r="Y268" s="55">
        <f t="shared" si="37"/>
        <v>120</v>
      </c>
      <c r="Z268" s="41">
        <f>IFERROR(IF(Y268=0,"",ROUNDUP(Y268/H268,0)*0.00651),"")</f>
        <v>0.32550000000000001</v>
      </c>
      <c r="AA268" s="68" t="s">
        <v>46</v>
      </c>
      <c r="AB268" s="69" t="s">
        <v>46</v>
      </c>
      <c r="AC268" s="346" t="s">
        <v>444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132.60000000000002</v>
      </c>
      <c r="BN268" s="78">
        <f t="shared" si="39"/>
        <v>132.60000000000002</v>
      </c>
      <c r="BO268" s="78">
        <f t="shared" si="40"/>
        <v>0.27472527472527475</v>
      </c>
      <c r="BP268" s="78">
        <f t="shared" si="41"/>
        <v>0.27472527472527475</v>
      </c>
    </row>
    <row r="269" spans="1:68" ht="27" customHeight="1" x14ac:dyDescent="0.25">
      <c r="A269" s="63" t="s">
        <v>454</v>
      </c>
      <c r="B269" s="63" t="s">
        <v>455</v>
      </c>
      <c r="C269" s="36">
        <v>4301052214</v>
      </c>
      <c r="D269" s="671">
        <v>4680115889064</v>
      </c>
      <c r="E269" s="671"/>
      <c r="F269" s="62">
        <v>0.7</v>
      </c>
      <c r="G269" s="37">
        <v>6</v>
      </c>
      <c r="H269" s="62">
        <v>4.2</v>
      </c>
      <c r="I269" s="62">
        <v>4.6159999999999997</v>
      </c>
      <c r="J269" s="37">
        <v>104</v>
      </c>
      <c r="K269" s="37" t="s">
        <v>133</v>
      </c>
      <c r="L269" s="37" t="s">
        <v>46</v>
      </c>
      <c r="M269" s="38" t="s">
        <v>90</v>
      </c>
      <c r="N269" s="38"/>
      <c r="O269" s="37">
        <v>45</v>
      </c>
      <c r="P269" s="81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3"/>
      <c r="R269" s="673"/>
      <c r="S269" s="673"/>
      <c r="T269" s="67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IFERROR(IF(Y269=0,"",ROUNDUP(Y269/H269,0)*0.01196),"")</f>
        <v/>
      </c>
      <c r="AA269" s="68" t="s">
        <v>46</v>
      </c>
      <c r="AB269" s="69" t="s">
        <v>46</v>
      </c>
      <c r="AC269" s="348" t="s">
        <v>451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4301051668</v>
      </c>
      <c r="D270" s="671">
        <v>4680115880221</v>
      </c>
      <c r="E270" s="671"/>
      <c r="F270" s="62">
        <v>0.4</v>
      </c>
      <c r="G270" s="37">
        <v>6</v>
      </c>
      <c r="H270" s="62">
        <v>2.4</v>
      </c>
      <c r="I270" s="62">
        <v>2.6520000000000001</v>
      </c>
      <c r="J270" s="37">
        <v>182</v>
      </c>
      <c r="K270" s="37" t="s">
        <v>91</v>
      </c>
      <c r="L270" s="37" t="s">
        <v>46</v>
      </c>
      <c r="M270" s="38" t="s">
        <v>90</v>
      </c>
      <c r="N270" s="38"/>
      <c r="O270" s="37">
        <v>45</v>
      </c>
      <c r="P270" s="8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3"/>
      <c r="R270" s="673"/>
      <c r="S270" s="673"/>
      <c r="T270" s="674"/>
      <c r="U270" s="39" t="s">
        <v>46</v>
      </c>
      <c r="V270" s="39" t="s">
        <v>46</v>
      </c>
      <c r="W270" s="40" t="s">
        <v>0</v>
      </c>
      <c r="X270" s="58">
        <v>56</v>
      </c>
      <c r="Y270" s="55">
        <f t="shared" si="37"/>
        <v>57.599999999999994</v>
      </c>
      <c r="Z270" s="41">
        <f>IFERROR(IF(Y270=0,"",ROUNDUP(Y270/H270,0)*0.00651),"")</f>
        <v>0.15623999999999999</v>
      </c>
      <c r="AA270" s="68" t="s">
        <v>46</v>
      </c>
      <c r="AB270" s="69" t="s">
        <v>46</v>
      </c>
      <c r="AC270" s="350" t="s">
        <v>444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61.88</v>
      </c>
      <c r="BN270" s="78">
        <f t="shared" si="39"/>
        <v>63.648000000000003</v>
      </c>
      <c r="BO270" s="78">
        <f t="shared" si="40"/>
        <v>0.12820512820512822</v>
      </c>
      <c r="BP270" s="78">
        <f t="shared" si="41"/>
        <v>0.13186813186813187</v>
      </c>
    </row>
    <row r="271" spans="1:68" ht="27" customHeight="1" x14ac:dyDescent="0.25">
      <c r="A271" s="63" t="s">
        <v>458</v>
      </c>
      <c r="B271" s="63" t="s">
        <v>459</v>
      </c>
      <c r="C271" s="36">
        <v>4301051945</v>
      </c>
      <c r="D271" s="671">
        <v>4680115880504</v>
      </c>
      <c r="E271" s="671"/>
      <c r="F271" s="62">
        <v>0.4</v>
      </c>
      <c r="G271" s="37">
        <v>6</v>
      </c>
      <c r="H271" s="62">
        <v>2.4</v>
      </c>
      <c r="I271" s="62">
        <v>2.6520000000000001</v>
      </c>
      <c r="J271" s="37">
        <v>182</v>
      </c>
      <c r="K271" s="37" t="s">
        <v>91</v>
      </c>
      <c r="L271" s="37" t="s">
        <v>46</v>
      </c>
      <c r="M271" s="38" t="s">
        <v>97</v>
      </c>
      <c r="N271" s="38"/>
      <c r="O271" s="37">
        <v>40</v>
      </c>
      <c r="P271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IFERROR(IF(Y271=0,"",ROUNDUP(Y271/H271,0)*0.00651),"")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461</v>
      </c>
      <c r="B272" s="63" t="s">
        <v>462</v>
      </c>
      <c r="C272" s="36">
        <v>4301051410</v>
      </c>
      <c r="D272" s="671">
        <v>4680115882164</v>
      </c>
      <c r="E272" s="671"/>
      <c r="F272" s="62">
        <v>0.4</v>
      </c>
      <c r="G272" s="37">
        <v>6</v>
      </c>
      <c r="H272" s="62">
        <v>2.4</v>
      </c>
      <c r="I272" s="62">
        <v>2.6579999999999999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40</v>
      </c>
      <c r="P272" s="81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4301052180</v>
      </c>
      <c r="D273" s="671">
        <v>4680115888340</v>
      </c>
      <c r="E273" s="67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45</v>
      </c>
      <c r="P273" s="81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3"/>
      <c r="R273" s="673"/>
      <c r="S273" s="673"/>
      <c r="T273" s="67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466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76" t="s">
        <v>40</v>
      </c>
      <c r="Q274" s="677"/>
      <c r="R274" s="677"/>
      <c r="S274" s="677"/>
      <c r="T274" s="677"/>
      <c r="U274" s="677"/>
      <c r="V274" s="678"/>
      <c r="W274" s="42" t="s">
        <v>39</v>
      </c>
      <c r="X274" s="4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73.333333333333343</v>
      </c>
      <c r="Y274" s="4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74</v>
      </c>
      <c r="Z274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0.48174</v>
      </c>
      <c r="AA274" s="67"/>
      <c r="AB274" s="67"/>
      <c r="AC274" s="67"/>
    </row>
    <row r="275" spans="1:68" x14ac:dyDescent="0.2">
      <c r="A275" s="679"/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80"/>
      <c r="P275" s="676" t="s">
        <v>40</v>
      </c>
      <c r="Q275" s="677"/>
      <c r="R275" s="677"/>
      <c r="S275" s="677"/>
      <c r="T275" s="677"/>
      <c r="U275" s="677"/>
      <c r="V275" s="678"/>
      <c r="W275" s="42" t="s">
        <v>0</v>
      </c>
      <c r="X275" s="43">
        <f>IFERROR(SUM(X262:X273),"0")</f>
        <v>176</v>
      </c>
      <c r="Y275" s="43">
        <f>IFERROR(SUM(Y262:Y273),"0")</f>
        <v>177.6</v>
      </c>
      <c r="Z275" s="42"/>
      <c r="AA275" s="67"/>
      <c r="AB275" s="67"/>
      <c r="AC275" s="67"/>
    </row>
    <row r="276" spans="1:68" ht="14.25" customHeight="1" x14ac:dyDescent="0.25">
      <c r="A276" s="670" t="s">
        <v>180</v>
      </c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  <c r="AA276" s="66"/>
      <c r="AB276" s="66"/>
      <c r="AC276" s="80"/>
    </row>
    <row r="277" spans="1:68" ht="27" customHeight="1" x14ac:dyDescent="0.25">
      <c r="A277" s="63" t="s">
        <v>467</v>
      </c>
      <c r="B277" s="63" t="s">
        <v>468</v>
      </c>
      <c r="C277" s="36">
        <v>4301060463</v>
      </c>
      <c r="D277" s="671">
        <v>4680115880818</v>
      </c>
      <c r="E277" s="671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97</v>
      </c>
      <c r="N277" s="38"/>
      <c r="O277" s="37">
        <v>40</v>
      </c>
      <c r="P277" s="8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37.5" customHeight="1" x14ac:dyDescent="0.25">
      <c r="A278" s="63" t="s">
        <v>470</v>
      </c>
      <c r="B278" s="63" t="s">
        <v>471</v>
      </c>
      <c r="C278" s="36">
        <v>4301060389</v>
      </c>
      <c r="D278" s="671">
        <v>4680115880801</v>
      </c>
      <c r="E278" s="67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40</v>
      </c>
      <c r="P278" s="8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67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79"/>
      <c r="B279" s="679"/>
      <c r="C279" s="679"/>
      <c r="D279" s="679"/>
      <c r="E279" s="679"/>
      <c r="F279" s="679"/>
      <c r="G279" s="679"/>
      <c r="H279" s="679"/>
      <c r="I279" s="679"/>
      <c r="J279" s="679"/>
      <c r="K279" s="679"/>
      <c r="L279" s="679"/>
      <c r="M279" s="679"/>
      <c r="N279" s="679"/>
      <c r="O279" s="680"/>
      <c r="P279" s="676" t="s">
        <v>40</v>
      </c>
      <c r="Q279" s="677"/>
      <c r="R279" s="677"/>
      <c r="S279" s="677"/>
      <c r="T279" s="677"/>
      <c r="U279" s="677"/>
      <c r="V279" s="678"/>
      <c r="W279" s="42" t="s">
        <v>39</v>
      </c>
      <c r="X279" s="43">
        <f>IFERROR(X277/H277,"0")+IFERROR(X278/H278,"0")</f>
        <v>0</v>
      </c>
      <c r="Y279" s="43">
        <f>IFERROR(Y277/H277,"0")+IFERROR(Y278/H278,"0")</f>
        <v>0</v>
      </c>
      <c r="Z279" s="43">
        <f>IFERROR(IF(Z277="",0,Z277),"0")+IFERROR(IF(Z278="",0,Z278),"0")</f>
        <v>0</v>
      </c>
      <c r="AA279" s="67"/>
      <c r="AB279" s="67"/>
      <c r="AC279" s="67"/>
    </row>
    <row r="280" spans="1:68" x14ac:dyDescent="0.2">
      <c r="A280" s="679"/>
      <c r="B280" s="679"/>
      <c r="C280" s="679"/>
      <c r="D280" s="679"/>
      <c r="E280" s="679"/>
      <c r="F280" s="679"/>
      <c r="G280" s="679"/>
      <c r="H280" s="679"/>
      <c r="I280" s="679"/>
      <c r="J280" s="679"/>
      <c r="K280" s="679"/>
      <c r="L280" s="679"/>
      <c r="M280" s="679"/>
      <c r="N280" s="679"/>
      <c r="O280" s="680"/>
      <c r="P280" s="676" t="s">
        <v>40</v>
      </c>
      <c r="Q280" s="677"/>
      <c r="R280" s="677"/>
      <c r="S280" s="677"/>
      <c r="T280" s="677"/>
      <c r="U280" s="677"/>
      <c r="V280" s="678"/>
      <c r="W280" s="42" t="s">
        <v>0</v>
      </c>
      <c r="X280" s="43">
        <f>IFERROR(SUM(X277:X278),"0")</f>
        <v>0</v>
      </c>
      <c r="Y280" s="43">
        <f>IFERROR(SUM(Y277:Y278),"0")</f>
        <v>0</v>
      </c>
      <c r="Z280" s="42"/>
      <c r="AA280" s="67"/>
      <c r="AB280" s="67"/>
      <c r="AC280" s="67"/>
    </row>
    <row r="281" spans="1:68" ht="16.5" customHeight="1" x14ac:dyDescent="0.25">
      <c r="A281" s="669" t="s">
        <v>473</v>
      </c>
      <c r="B281" s="669"/>
      <c r="C281" s="669"/>
      <c r="D281" s="669"/>
      <c r="E281" s="669"/>
      <c r="F281" s="669"/>
      <c r="G281" s="669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5"/>
      <c r="AB281" s="65"/>
      <c r="AC281" s="79"/>
    </row>
    <row r="282" spans="1:68" ht="14.25" customHeight="1" x14ac:dyDescent="0.25">
      <c r="A282" s="670" t="s">
        <v>128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customHeight="1" x14ac:dyDescent="0.25">
      <c r="A283" s="63" t="s">
        <v>474</v>
      </c>
      <c r="B283" s="63" t="s">
        <v>475</v>
      </c>
      <c r="C283" s="36">
        <v>4301011826</v>
      </c>
      <c r="D283" s="671">
        <v>4680115884137</v>
      </c>
      <c r="E283" s="671"/>
      <c r="F283" s="62">
        <v>1.45</v>
      </c>
      <c r="G283" s="37">
        <v>8</v>
      </c>
      <c r="H283" s="62">
        <v>11.6</v>
      </c>
      <c r="I283" s="62">
        <v>12.01</v>
      </c>
      <c r="J283" s="37">
        <v>64</v>
      </c>
      <c r="K283" s="37" t="s">
        <v>133</v>
      </c>
      <c r="L283" s="37" t="s">
        <v>46</v>
      </c>
      <c r="M283" s="38" t="s">
        <v>132</v>
      </c>
      <c r="N283" s="38"/>
      <c r="O283" s="37">
        <v>55</v>
      </c>
      <c r="P283" s="8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89" si="42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62" t="s">
        <v>476</v>
      </c>
      <c r="AG283" s="78"/>
      <c r="AJ283" s="84" t="s">
        <v>46</v>
      </c>
      <c r="AK283" s="84">
        <v>0</v>
      </c>
      <c r="BB283" s="363" t="s">
        <v>67</v>
      </c>
      <c r="BM283" s="78">
        <f t="shared" ref="BM283:BM289" si="43">IFERROR(X283*I283/H283,"0")</f>
        <v>0</v>
      </c>
      <c r="BN283" s="78">
        <f t="shared" ref="BN283:BN289" si="44">IFERROR(Y283*I283/H283,"0")</f>
        <v>0</v>
      </c>
      <c r="BO283" s="78">
        <f t="shared" ref="BO283:BO289" si="45">IFERROR(1/J283*(X283/H283),"0")</f>
        <v>0</v>
      </c>
      <c r="BP283" s="78">
        <f t="shared" ref="BP283:BP289" si="46">IFERROR(1/J283*(Y283/H283),"0")</f>
        <v>0</v>
      </c>
    </row>
    <row r="284" spans="1:68" ht="27" customHeight="1" x14ac:dyDescent="0.25">
      <c r="A284" s="63" t="s">
        <v>477</v>
      </c>
      <c r="B284" s="63" t="s">
        <v>478</v>
      </c>
      <c r="C284" s="36">
        <v>4301011724</v>
      </c>
      <c r="D284" s="671">
        <v>4680115884236</v>
      </c>
      <c r="E284" s="671"/>
      <c r="F284" s="62">
        <v>1.45</v>
      </c>
      <c r="G284" s="37">
        <v>8</v>
      </c>
      <c r="H284" s="62">
        <v>11.6</v>
      </c>
      <c r="I284" s="62">
        <v>12.01</v>
      </c>
      <c r="J284" s="37">
        <v>64</v>
      </c>
      <c r="K284" s="37" t="s">
        <v>133</v>
      </c>
      <c r="L284" s="37" t="s">
        <v>46</v>
      </c>
      <c r="M284" s="38" t="s">
        <v>132</v>
      </c>
      <c r="N284" s="38"/>
      <c r="O284" s="37">
        <v>55</v>
      </c>
      <c r="P284" s="8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3"/>
      <c r="R284" s="673"/>
      <c r="S284" s="673"/>
      <c r="T284" s="67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2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64" t="s">
        <v>479</v>
      </c>
      <c r="AG284" s="78"/>
      <c r="AJ284" s="84" t="s">
        <v>46</v>
      </c>
      <c r="AK284" s="84">
        <v>0</v>
      </c>
      <c r="BB284" s="365" t="s">
        <v>67</v>
      </c>
      <c r="BM284" s="78">
        <f t="shared" si="43"/>
        <v>0</v>
      </c>
      <c r="BN284" s="78">
        <f t="shared" si="44"/>
        <v>0</v>
      </c>
      <c r="BO284" s="78">
        <f t="shared" si="45"/>
        <v>0</v>
      </c>
      <c r="BP284" s="78">
        <f t="shared" si="46"/>
        <v>0</v>
      </c>
    </row>
    <row r="285" spans="1:68" ht="27" customHeight="1" x14ac:dyDescent="0.25">
      <c r="A285" s="63" t="s">
        <v>480</v>
      </c>
      <c r="B285" s="63" t="s">
        <v>481</v>
      </c>
      <c r="C285" s="36">
        <v>4301011721</v>
      </c>
      <c r="D285" s="671">
        <v>4680115884175</v>
      </c>
      <c r="E285" s="671"/>
      <c r="F285" s="62">
        <v>1.45</v>
      </c>
      <c r="G285" s="37">
        <v>8</v>
      </c>
      <c r="H285" s="62">
        <v>11.6</v>
      </c>
      <c r="I285" s="62">
        <v>12.01</v>
      </c>
      <c r="J285" s="37">
        <v>64</v>
      </c>
      <c r="K285" s="37" t="s">
        <v>133</v>
      </c>
      <c r="L285" s="37" t="s">
        <v>46</v>
      </c>
      <c r="M285" s="38" t="s">
        <v>132</v>
      </c>
      <c r="N285" s="38"/>
      <c r="O285" s="37">
        <v>55</v>
      </c>
      <c r="P285" s="81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3"/>
      <c r="R285" s="673"/>
      <c r="S285" s="673"/>
      <c r="T285" s="67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2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6" t="s">
        <v>342</v>
      </c>
      <c r="AG285" s="78"/>
      <c r="AJ285" s="84" t="s">
        <v>46</v>
      </c>
      <c r="AK285" s="84">
        <v>0</v>
      </c>
      <c r="BB285" s="367" t="s">
        <v>67</v>
      </c>
      <c r="BM285" s="78">
        <f t="shared" si="43"/>
        <v>0</v>
      </c>
      <c r="BN285" s="78">
        <f t="shared" si="44"/>
        <v>0</v>
      </c>
      <c r="BO285" s="78">
        <f t="shared" si="45"/>
        <v>0</v>
      </c>
      <c r="BP285" s="78">
        <f t="shared" si="46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4301011824</v>
      </c>
      <c r="D286" s="671">
        <v>4680115884144</v>
      </c>
      <c r="E286" s="671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140</v>
      </c>
      <c r="L286" s="37" t="s">
        <v>46</v>
      </c>
      <c r="M286" s="38" t="s">
        <v>132</v>
      </c>
      <c r="N286" s="38"/>
      <c r="O286" s="37">
        <v>55</v>
      </c>
      <c r="P286" s="8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3"/>
      <c r="R286" s="673"/>
      <c r="S286" s="673"/>
      <c r="T286" s="67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2"/>
        <v>0</v>
      </c>
      <c r="Z286" s="41" t="str">
        <f>IFERROR(IF(Y286=0,"",ROUNDUP(Y286/H286,0)*0.00902),"")</f>
        <v/>
      </c>
      <c r="AA286" s="68" t="s">
        <v>46</v>
      </c>
      <c r="AB286" s="69" t="s">
        <v>46</v>
      </c>
      <c r="AC286" s="368" t="s">
        <v>476</v>
      </c>
      <c r="AG286" s="78"/>
      <c r="AJ286" s="84" t="s">
        <v>46</v>
      </c>
      <c r="AK286" s="84">
        <v>0</v>
      </c>
      <c r="BB286" s="369" t="s">
        <v>67</v>
      </c>
      <c r="BM286" s="78">
        <f t="shared" si="43"/>
        <v>0</v>
      </c>
      <c r="BN286" s="78">
        <f t="shared" si="44"/>
        <v>0</v>
      </c>
      <c r="BO286" s="78">
        <f t="shared" si="45"/>
        <v>0</v>
      </c>
      <c r="BP286" s="78">
        <f t="shared" si="46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4301012149</v>
      </c>
      <c r="D287" s="671">
        <v>4680115886551</v>
      </c>
      <c r="E287" s="671"/>
      <c r="F287" s="62">
        <v>0.4</v>
      </c>
      <c r="G287" s="37">
        <v>10</v>
      </c>
      <c r="H287" s="62">
        <v>4</v>
      </c>
      <c r="I287" s="62">
        <v>4.1900000000000004</v>
      </c>
      <c r="J287" s="37">
        <v>132</v>
      </c>
      <c r="K287" s="37" t="s">
        <v>140</v>
      </c>
      <c r="L287" s="37" t="s">
        <v>46</v>
      </c>
      <c r="M287" s="38" t="s">
        <v>132</v>
      </c>
      <c r="N287" s="38"/>
      <c r="O287" s="37">
        <v>55</v>
      </c>
      <c r="P287" s="8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2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si="43"/>
        <v>0</v>
      </c>
      <c r="BN287" s="78">
        <f t="shared" si="44"/>
        <v>0</v>
      </c>
      <c r="BO287" s="78">
        <f t="shared" si="45"/>
        <v>0</v>
      </c>
      <c r="BP287" s="78">
        <f t="shared" si="46"/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4301012228</v>
      </c>
      <c r="D288" s="671">
        <v>4680115887282</v>
      </c>
      <c r="E288" s="671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91</v>
      </c>
      <c r="L288" s="37" t="s">
        <v>46</v>
      </c>
      <c r="M288" s="38" t="s">
        <v>132</v>
      </c>
      <c r="N288" s="38"/>
      <c r="O288" s="37">
        <v>55</v>
      </c>
      <c r="P288" s="82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4301011722</v>
      </c>
      <c r="D289" s="671">
        <v>4680115884205</v>
      </c>
      <c r="E289" s="671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140</v>
      </c>
      <c r="L289" s="37" t="s">
        <v>46</v>
      </c>
      <c r="M289" s="38" t="s">
        <v>132</v>
      </c>
      <c r="N289" s="38"/>
      <c r="O289" s="37">
        <v>55</v>
      </c>
      <c r="P289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342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x14ac:dyDescent="0.2">
      <c r="A290" s="679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76" t="s">
        <v>40</v>
      </c>
      <c r="Q290" s="677"/>
      <c r="R290" s="677"/>
      <c r="S290" s="677"/>
      <c r="T290" s="677"/>
      <c r="U290" s="677"/>
      <c r="V290" s="678"/>
      <c r="W290" s="42" t="s">
        <v>39</v>
      </c>
      <c r="X290" s="43">
        <f>IFERROR(X283/H283,"0")+IFERROR(X284/H284,"0")+IFERROR(X285/H285,"0")+IFERROR(X286/H286,"0")+IFERROR(X287/H287,"0")+IFERROR(X288/H288,"0")+IFERROR(X289/H289,"0")</f>
        <v>0</v>
      </c>
      <c r="Y290" s="43">
        <f>IFERROR(Y283/H283,"0")+IFERROR(Y284/H284,"0")+IFERROR(Y285/H285,"0")+IFERROR(Y286/H286,"0")+IFERROR(Y287/H287,"0")+IFERROR(Y288/H288,"0")+IFERROR(Y289/H289,"0")</f>
        <v>0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76" t="s">
        <v>40</v>
      </c>
      <c r="Q291" s="677"/>
      <c r="R291" s="677"/>
      <c r="S291" s="677"/>
      <c r="T291" s="677"/>
      <c r="U291" s="677"/>
      <c r="V291" s="678"/>
      <c r="W291" s="42" t="s">
        <v>0</v>
      </c>
      <c r="X291" s="43">
        <f>IFERROR(SUM(X283:X289),"0")</f>
        <v>0</v>
      </c>
      <c r="Y291" s="43">
        <f>IFERROR(SUM(Y283:Y289),"0")</f>
        <v>0</v>
      </c>
      <c r="Z291" s="42"/>
      <c r="AA291" s="67"/>
      <c r="AB291" s="67"/>
      <c r="AC291" s="67"/>
    </row>
    <row r="292" spans="1:68" ht="14.25" customHeight="1" x14ac:dyDescent="0.25">
      <c r="A292" s="670" t="s">
        <v>163</v>
      </c>
      <c r="B292" s="670"/>
      <c r="C292" s="670"/>
      <c r="D292" s="670"/>
      <c r="E292" s="670"/>
      <c r="F292" s="670"/>
      <c r="G292" s="670"/>
      <c r="H292" s="670"/>
      <c r="I292" s="670"/>
      <c r="J292" s="670"/>
      <c r="K292" s="670"/>
      <c r="L292" s="670"/>
      <c r="M292" s="670"/>
      <c r="N292" s="670"/>
      <c r="O292" s="670"/>
      <c r="P292" s="670"/>
      <c r="Q292" s="670"/>
      <c r="R292" s="670"/>
      <c r="S292" s="670"/>
      <c r="T292" s="670"/>
      <c r="U292" s="670"/>
      <c r="V292" s="670"/>
      <c r="W292" s="670"/>
      <c r="X292" s="670"/>
      <c r="Y292" s="670"/>
      <c r="Z292" s="670"/>
      <c r="AA292" s="66"/>
      <c r="AB292" s="66"/>
      <c r="AC292" s="80"/>
    </row>
    <row r="293" spans="1:68" ht="27" customHeight="1" x14ac:dyDescent="0.25">
      <c r="A293" s="63" t="s">
        <v>492</v>
      </c>
      <c r="B293" s="63" t="s">
        <v>493</v>
      </c>
      <c r="C293" s="36">
        <v>4301020377</v>
      </c>
      <c r="D293" s="671">
        <v>4680115885981</v>
      </c>
      <c r="E293" s="671"/>
      <c r="F293" s="62">
        <v>0.33</v>
      </c>
      <c r="G293" s="37">
        <v>6</v>
      </c>
      <c r="H293" s="62">
        <v>1.98</v>
      </c>
      <c r="I293" s="62">
        <v>2.08</v>
      </c>
      <c r="J293" s="37">
        <v>234</v>
      </c>
      <c r="K293" s="37" t="s">
        <v>82</v>
      </c>
      <c r="L293" s="37" t="s">
        <v>46</v>
      </c>
      <c r="M293" s="38" t="s">
        <v>90</v>
      </c>
      <c r="N293" s="38"/>
      <c r="O293" s="37">
        <v>50</v>
      </c>
      <c r="P293" s="8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IFERROR(IF(Y293=0,"",ROUNDUP(Y293/H293,0)*0.00502),"")</f>
        <v/>
      </c>
      <c r="AA293" s="68" t="s">
        <v>46</v>
      </c>
      <c r="AB293" s="69" t="s">
        <v>46</v>
      </c>
      <c r="AC293" s="376" t="s">
        <v>494</v>
      </c>
      <c r="AG293" s="78"/>
      <c r="AJ293" s="84" t="s">
        <v>46</v>
      </c>
      <c r="AK293" s="84">
        <v>0</v>
      </c>
      <c r="BB293" s="37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79"/>
      <c r="B294" s="679"/>
      <c r="C294" s="679"/>
      <c r="D294" s="679"/>
      <c r="E294" s="679"/>
      <c r="F294" s="679"/>
      <c r="G294" s="679"/>
      <c r="H294" s="679"/>
      <c r="I294" s="679"/>
      <c r="J294" s="679"/>
      <c r="K294" s="679"/>
      <c r="L294" s="679"/>
      <c r="M294" s="679"/>
      <c r="N294" s="679"/>
      <c r="O294" s="680"/>
      <c r="P294" s="676" t="s">
        <v>40</v>
      </c>
      <c r="Q294" s="677"/>
      <c r="R294" s="677"/>
      <c r="S294" s="677"/>
      <c r="T294" s="677"/>
      <c r="U294" s="677"/>
      <c r="V294" s="678"/>
      <c r="W294" s="42" t="s">
        <v>39</v>
      </c>
      <c r="X294" s="43">
        <f>IFERROR(X293/H293,"0")</f>
        <v>0</v>
      </c>
      <c r="Y294" s="43">
        <f>IFERROR(Y293/H293,"0")</f>
        <v>0</v>
      </c>
      <c r="Z294" s="43">
        <f>IFERROR(IF(Z293="",0,Z293),"0")</f>
        <v>0</v>
      </c>
      <c r="AA294" s="67"/>
      <c r="AB294" s="67"/>
      <c r="AC294" s="67"/>
    </row>
    <row r="295" spans="1:68" x14ac:dyDescent="0.2">
      <c r="A295" s="679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76" t="s">
        <v>40</v>
      </c>
      <c r="Q295" s="677"/>
      <c r="R295" s="677"/>
      <c r="S295" s="677"/>
      <c r="T295" s="677"/>
      <c r="U295" s="677"/>
      <c r="V295" s="678"/>
      <c r="W295" s="42" t="s">
        <v>0</v>
      </c>
      <c r="X295" s="43">
        <f>IFERROR(SUM(X293:X293),"0")</f>
        <v>0</v>
      </c>
      <c r="Y295" s="43">
        <f>IFERROR(SUM(Y293:Y293),"0")</f>
        <v>0</v>
      </c>
      <c r="Z295" s="42"/>
      <c r="AA295" s="67"/>
      <c r="AB295" s="67"/>
      <c r="AC295" s="67"/>
    </row>
    <row r="296" spans="1:68" ht="14.25" customHeight="1" x14ac:dyDescent="0.25">
      <c r="A296" s="670" t="s">
        <v>495</v>
      </c>
      <c r="B296" s="670"/>
      <c r="C296" s="670"/>
      <c r="D296" s="670"/>
      <c r="E296" s="670"/>
      <c r="F296" s="670"/>
      <c r="G296" s="670"/>
      <c r="H296" s="670"/>
      <c r="I296" s="670"/>
      <c r="J296" s="670"/>
      <c r="K296" s="670"/>
      <c r="L296" s="670"/>
      <c r="M296" s="670"/>
      <c r="N296" s="670"/>
      <c r="O296" s="670"/>
      <c r="P296" s="670"/>
      <c r="Q296" s="670"/>
      <c r="R296" s="670"/>
      <c r="S296" s="670"/>
      <c r="T296" s="670"/>
      <c r="U296" s="670"/>
      <c r="V296" s="670"/>
      <c r="W296" s="670"/>
      <c r="X296" s="670"/>
      <c r="Y296" s="670"/>
      <c r="Z296" s="670"/>
      <c r="AA296" s="66"/>
      <c r="AB296" s="66"/>
      <c r="AC296" s="80"/>
    </row>
    <row r="297" spans="1:68" ht="27" customHeight="1" x14ac:dyDescent="0.25">
      <c r="A297" s="63" t="s">
        <v>496</v>
      </c>
      <c r="B297" s="63" t="s">
        <v>497</v>
      </c>
      <c r="C297" s="36">
        <v>4301040362</v>
      </c>
      <c r="D297" s="671">
        <v>4680115886803</v>
      </c>
      <c r="E297" s="671"/>
      <c r="F297" s="62">
        <v>0.12</v>
      </c>
      <c r="G297" s="37">
        <v>15</v>
      </c>
      <c r="H297" s="62">
        <v>1.8</v>
      </c>
      <c r="I297" s="62">
        <v>1.9750000000000001</v>
      </c>
      <c r="J297" s="37">
        <v>216</v>
      </c>
      <c r="K297" s="37" t="s">
        <v>325</v>
      </c>
      <c r="L297" s="37" t="s">
        <v>46</v>
      </c>
      <c r="M297" s="38" t="s">
        <v>324</v>
      </c>
      <c r="N297" s="38"/>
      <c r="O297" s="37">
        <v>45</v>
      </c>
      <c r="P297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IFERROR(IF(Y297=0,"",ROUNDUP(Y297/H297,0)*0.0059),"")</f>
        <v/>
      </c>
      <c r="AA297" s="68" t="s">
        <v>46</v>
      </c>
      <c r="AB297" s="69" t="s">
        <v>46</v>
      </c>
      <c r="AC297" s="378" t="s">
        <v>498</v>
      </c>
      <c r="AG297" s="78"/>
      <c r="AJ297" s="84" t="s">
        <v>46</v>
      </c>
      <c r="AK297" s="84">
        <v>0</v>
      </c>
      <c r="BB297" s="37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79"/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80"/>
      <c r="P298" s="676" t="s">
        <v>40</v>
      </c>
      <c r="Q298" s="677"/>
      <c r="R298" s="677"/>
      <c r="S298" s="677"/>
      <c r="T298" s="677"/>
      <c r="U298" s="677"/>
      <c r="V298" s="678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79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76" t="s">
        <v>40</v>
      </c>
      <c r="Q299" s="677"/>
      <c r="R299" s="677"/>
      <c r="S299" s="677"/>
      <c r="T299" s="677"/>
      <c r="U299" s="677"/>
      <c r="V299" s="678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0" t="s">
        <v>329</v>
      </c>
      <c r="B300" s="670"/>
      <c r="C300" s="670"/>
      <c r="D300" s="670"/>
      <c r="E300" s="670"/>
      <c r="F300" s="670"/>
      <c r="G300" s="670"/>
      <c r="H300" s="670"/>
      <c r="I300" s="670"/>
      <c r="J300" s="670"/>
      <c r="K300" s="670"/>
      <c r="L300" s="670"/>
      <c r="M300" s="670"/>
      <c r="N300" s="670"/>
      <c r="O300" s="670"/>
      <c r="P300" s="670"/>
      <c r="Q300" s="670"/>
      <c r="R300" s="670"/>
      <c r="S300" s="670"/>
      <c r="T300" s="670"/>
      <c r="U300" s="670"/>
      <c r="V300" s="670"/>
      <c r="W300" s="670"/>
      <c r="X300" s="670"/>
      <c r="Y300" s="670"/>
      <c r="Z300" s="670"/>
      <c r="AA300" s="66"/>
      <c r="AB300" s="66"/>
      <c r="AC300" s="80"/>
    </row>
    <row r="301" spans="1:68" ht="27" customHeight="1" x14ac:dyDescent="0.25">
      <c r="A301" s="63" t="s">
        <v>499</v>
      </c>
      <c r="B301" s="63" t="s">
        <v>500</v>
      </c>
      <c r="C301" s="36">
        <v>4301041004</v>
      </c>
      <c r="D301" s="671">
        <v>4680115886704</v>
      </c>
      <c r="E301" s="671"/>
      <c r="F301" s="62">
        <v>5.5E-2</v>
      </c>
      <c r="G301" s="37">
        <v>18</v>
      </c>
      <c r="H301" s="62">
        <v>0.99</v>
      </c>
      <c r="I301" s="62">
        <v>1.18</v>
      </c>
      <c r="J301" s="37">
        <v>216</v>
      </c>
      <c r="K301" s="37" t="s">
        <v>325</v>
      </c>
      <c r="L301" s="37" t="s">
        <v>46</v>
      </c>
      <c r="M301" s="38" t="s">
        <v>324</v>
      </c>
      <c r="N301" s="38"/>
      <c r="O301" s="37">
        <v>90</v>
      </c>
      <c r="P301" s="82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3"/>
      <c r="R301" s="673"/>
      <c r="S301" s="673"/>
      <c r="T301" s="67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0" t="s">
        <v>501</v>
      </c>
      <c r="AG301" s="78"/>
      <c r="AJ301" s="84" t="s">
        <v>46</v>
      </c>
      <c r="AK301" s="84">
        <v>0</v>
      </c>
      <c r="BB301" s="381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502</v>
      </c>
      <c r="B302" s="63" t="s">
        <v>503</v>
      </c>
      <c r="C302" s="36">
        <v>4301041008</v>
      </c>
      <c r="D302" s="671">
        <v>4680115886681</v>
      </c>
      <c r="E302" s="671"/>
      <c r="F302" s="62">
        <v>0.12</v>
      </c>
      <c r="G302" s="37">
        <v>15</v>
      </c>
      <c r="H302" s="62">
        <v>1.8</v>
      </c>
      <c r="I302" s="62">
        <v>1.9750000000000001</v>
      </c>
      <c r="J302" s="37">
        <v>216</v>
      </c>
      <c r="K302" s="37" t="s">
        <v>325</v>
      </c>
      <c r="L302" s="37" t="s">
        <v>46</v>
      </c>
      <c r="M302" s="38" t="s">
        <v>324</v>
      </c>
      <c r="N302" s="38"/>
      <c r="O302" s="37">
        <v>90</v>
      </c>
      <c r="P302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IFERROR(IF(Y302=0,"",ROUNDUP(Y302/H302,0)*0.0059),"")</f>
        <v/>
      </c>
      <c r="AA302" s="68" t="s">
        <v>46</v>
      </c>
      <c r="AB302" s="69" t="s">
        <v>46</v>
      </c>
      <c r="AC302" s="382" t="s">
        <v>501</v>
      </c>
      <c r="AG302" s="78"/>
      <c r="AJ302" s="84" t="s">
        <v>46</v>
      </c>
      <c r="AK302" s="84">
        <v>0</v>
      </c>
      <c r="BB302" s="383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504</v>
      </c>
      <c r="B303" s="63" t="s">
        <v>505</v>
      </c>
      <c r="C303" s="36">
        <v>4301041007</v>
      </c>
      <c r="D303" s="671">
        <v>4680115886735</v>
      </c>
      <c r="E303" s="671"/>
      <c r="F303" s="62">
        <v>0.05</v>
      </c>
      <c r="G303" s="37">
        <v>18</v>
      </c>
      <c r="H303" s="62">
        <v>0.9</v>
      </c>
      <c r="I303" s="62">
        <v>1.0900000000000001</v>
      </c>
      <c r="J303" s="37">
        <v>216</v>
      </c>
      <c r="K303" s="37" t="s">
        <v>325</v>
      </c>
      <c r="L303" s="37" t="s">
        <v>46</v>
      </c>
      <c r="M303" s="38" t="s">
        <v>324</v>
      </c>
      <c r="N303" s="38"/>
      <c r="O303" s="37">
        <v>90</v>
      </c>
      <c r="P303" s="82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IFERROR(IF(Y303=0,"",ROUNDUP(Y303/H303,0)*0.0059),"")</f>
        <v/>
      </c>
      <c r="AA303" s="68" t="s">
        <v>46</v>
      </c>
      <c r="AB303" s="69" t="s">
        <v>46</v>
      </c>
      <c r="AC303" s="384" t="s">
        <v>501</v>
      </c>
      <c r="AG303" s="78"/>
      <c r="AJ303" s="84" t="s">
        <v>46</v>
      </c>
      <c r="AK303" s="84">
        <v>0</v>
      </c>
      <c r="BB303" s="385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customHeight="1" x14ac:dyDescent="0.25">
      <c r="A304" s="63" t="s">
        <v>507</v>
      </c>
      <c r="B304" s="63" t="s">
        <v>508</v>
      </c>
      <c r="C304" s="36">
        <v>4301041005</v>
      </c>
      <c r="D304" s="671">
        <v>4680115886711</v>
      </c>
      <c r="E304" s="671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325</v>
      </c>
      <c r="L304" s="37" t="s">
        <v>46</v>
      </c>
      <c r="M304" s="38" t="s">
        <v>324</v>
      </c>
      <c r="N304" s="38"/>
      <c r="O304" s="37">
        <v>90</v>
      </c>
      <c r="P304" s="82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3"/>
      <c r="R304" s="673"/>
      <c r="S304" s="673"/>
      <c r="T304" s="674"/>
      <c r="U304" s="39" t="s">
        <v>46</v>
      </c>
      <c r="V304" s="39" t="s">
        <v>506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501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">
      <c r="A305" s="679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76" t="s">
        <v>40</v>
      </c>
      <c r="Q305" s="677"/>
      <c r="R305" s="677"/>
      <c r="S305" s="677"/>
      <c r="T305" s="677"/>
      <c r="U305" s="677"/>
      <c r="V305" s="678"/>
      <c r="W305" s="42" t="s">
        <v>39</v>
      </c>
      <c r="X305" s="43">
        <f>IFERROR(X301/H301,"0")+IFERROR(X302/H302,"0")+IFERROR(X303/H303,"0")+IFERROR(X304/H304,"0")</f>
        <v>0</v>
      </c>
      <c r="Y305" s="43">
        <f>IFERROR(Y301/H301,"0")+IFERROR(Y302/H302,"0")+IFERROR(Y303/H303,"0")+IFERROR(Y304/H304,"0")</f>
        <v>0</v>
      </c>
      <c r="Z305" s="43">
        <f>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76" t="s">
        <v>40</v>
      </c>
      <c r="Q306" s="677"/>
      <c r="R306" s="677"/>
      <c r="S306" s="677"/>
      <c r="T306" s="677"/>
      <c r="U306" s="677"/>
      <c r="V306" s="678"/>
      <c r="W306" s="42" t="s">
        <v>0</v>
      </c>
      <c r="X306" s="43">
        <f>IFERROR(SUM(X301:X304),"0")</f>
        <v>0</v>
      </c>
      <c r="Y306" s="43">
        <f>IFERROR(SUM(Y301:Y304),"0")</f>
        <v>0</v>
      </c>
      <c r="Z306" s="42"/>
      <c r="AA306" s="67"/>
      <c r="AB306" s="67"/>
      <c r="AC306" s="67"/>
    </row>
    <row r="307" spans="1:68" ht="16.5" customHeight="1" x14ac:dyDescent="0.25">
      <c r="A307" s="669" t="s">
        <v>509</v>
      </c>
      <c r="B307" s="669"/>
      <c r="C307" s="669"/>
      <c r="D307" s="669"/>
      <c r="E307" s="669"/>
      <c r="F307" s="669"/>
      <c r="G307" s="669"/>
      <c r="H307" s="669"/>
      <c r="I307" s="669"/>
      <c r="J307" s="669"/>
      <c r="K307" s="669"/>
      <c r="L307" s="669"/>
      <c r="M307" s="669"/>
      <c r="N307" s="669"/>
      <c r="O307" s="669"/>
      <c r="P307" s="669"/>
      <c r="Q307" s="669"/>
      <c r="R307" s="669"/>
      <c r="S307" s="669"/>
      <c r="T307" s="669"/>
      <c r="U307" s="669"/>
      <c r="V307" s="669"/>
      <c r="W307" s="669"/>
      <c r="X307" s="669"/>
      <c r="Y307" s="669"/>
      <c r="Z307" s="669"/>
      <c r="AA307" s="65"/>
      <c r="AB307" s="65"/>
      <c r="AC307" s="79"/>
    </row>
    <row r="308" spans="1:68" ht="14.25" customHeight="1" x14ac:dyDescent="0.25">
      <c r="A308" s="670" t="s">
        <v>128</v>
      </c>
      <c r="B308" s="670"/>
      <c r="C308" s="670"/>
      <c r="D308" s="670"/>
      <c r="E308" s="670"/>
      <c r="F308" s="670"/>
      <c r="G308" s="670"/>
      <c r="H308" s="670"/>
      <c r="I308" s="670"/>
      <c r="J308" s="670"/>
      <c r="K308" s="670"/>
      <c r="L308" s="670"/>
      <c r="M308" s="670"/>
      <c r="N308" s="670"/>
      <c r="O308" s="670"/>
      <c r="P308" s="670"/>
      <c r="Q308" s="670"/>
      <c r="R308" s="670"/>
      <c r="S308" s="670"/>
      <c r="T308" s="670"/>
      <c r="U308" s="670"/>
      <c r="V308" s="670"/>
      <c r="W308" s="670"/>
      <c r="X308" s="670"/>
      <c r="Y308" s="670"/>
      <c r="Z308" s="670"/>
      <c r="AA308" s="66"/>
      <c r="AB308" s="66"/>
      <c r="AC308" s="80"/>
    </row>
    <row r="309" spans="1:68" ht="27" customHeight="1" x14ac:dyDescent="0.25">
      <c r="A309" s="63" t="s">
        <v>510</v>
      </c>
      <c r="B309" s="63" t="s">
        <v>511</v>
      </c>
      <c r="C309" s="36">
        <v>4301011855</v>
      </c>
      <c r="D309" s="671">
        <v>4680115885837</v>
      </c>
      <c r="E309" s="671"/>
      <c r="F309" s="62">
        <v>1.35</v>
      </c>
      <c r="G309" s="37">
        <v>8</v>
      </c>
      <c r="H309" s="62">
        <v>10.8</v>
      </c>
      <c r="I309" s="62">
        <v>11.21</v>
      </c>
      <c r="J309" s="37">
        <v>64</v>
      </c>
      <c r="K309" s="37" t="s">
        <v>133</v>
      </c>
      <c r="L309" s="37" t="s">
        <v>46</v>
      </c>
      <c r="M309" s="38" t="s">
        <v>132</v>
      </c>
      <c r="N309" s="38"/>
      <c r="O309" s="37">
        <v>55</v>
      </c>
      <c r="P309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388" t="s">
        <v>512</v>
      </c>
      <c r="AG309" s="78"/>
      <c r="AJ309" s="84" t="s">
        <v>46</v>
      </c>
      <c r="AK309" s="84">
        <v>0</v>
      </c>
      <c r="BB309" s="38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37.5" customHeight="1" x14ac:dyDescent="0.25">
      <c r="A310" s="63" t="s">
        <v>513</v>
      </c>
      <c r="B310" s="63" t="s">
        <v>514</v>
      </c>
      <c r="C310" s="36">
        <v>4301012234</v>
      </c>
      <c r="D310" s="671">
        <v>4680115887237</v>
      </c>
      <c r="E310" s="671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133</v>
      </c>
      <c r="L310" s="37" t="s">
        <v>46</v>
      </c>
      <c r="M310" s="38" t="s">
        <v>132</v>
      </c>
      <c r="N310" s="38"/>
      <c r="O310" s="37">
        <v>55</v>
      </c>
      <c r="P310" s="83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90" t="s">
        <v>515</v>
      </c>
      <c r="AG310" s="78"/>
      <c r="AJ310" s="84" t="s">
        <v>46</v>
      </c>
      <c r="AK310" s="84">
        <v>0</v>
      </c>
      <c r="BB310" s="391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516</v>
      </c>
      <c r="B311" s="63" t="s">
        <v>517</v>
      </c>
      <c r="C311" s="36">
        <v>4301011850</v>
      </c>
      <c r="D311" s="671">
        <v>4680115885806</v>
      </c>
      <c r="E311" s="671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133</v>
      </c>
      <c r="L311" s="37" t="s">
        <v>46</v>
      </c>
      <c r="M311" s="38" t="s">
        <v>132</v>
      </c>
      <c r="N311" s="38"/>
      <c r="O311" s="37">
        <v>55</v>
      </c>
      <c r="P311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92" t="s">
        <v>518</v>
      </c>
      <c r="AG311" s="78"/>
      <c r="AJ311" s="84" t="s">
        <v>46</v>
      </c>
      <c r="AK311" s="84">
        <v>0</v>
      </c>
      <c r="BB311" s="39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519</v>
      </c>
      <c r="B312" s="63" t="s">
        <v>520</v>
      </c>
      <c r="C312" s="36">
        <v>4301011852</v>
      </c>
      <c r="D312" s="671">
        <v>4680115885844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140</v>
      </c>
      <c r="L312" s="37" t="s">
        <v>46</v>
      </c>
      <c r="M312" s="38" t="s">
        <v>132</v>
      </c>
      <c r="N312" s="38"/>
      <c r="O312" s="37">
        <v>55</v>
      </c>
      <c r="P312" s="8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394" t="s">
        <v>521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522</v>
      </c>
      <c r="B313" s="63" t="s">
        <v>523</v>
      </c>
      <c r="C313" s="36">
        <v>4301011851</v>
      </c>
      <c r="D313" s="671">
        <v>4680115885820</v>
      </c>
      <c r="E313" s="671"/>
      <c r="F313" s="62">
        <v>0.4</v>
      </c>
      <c r="G313" s="37">
        <v>10</v>
      </c>
      <c r="H313" s="62">
        <v>4</v>
      </c>
      <c r="I313" s="62">
        <v>4.1900000000000004</v>
      </c>
      <c r="J313" s="37">
        <v>132</v>
      </c>
      <c r="K313" s="37" t="s">
        <v>140</v>
      </c>
      <c r="L313" s="37" t="s">
        <v>46</v>
      </c>
      <c r="M313" s="38" t="s">
        <v>132</v>
      </c>
      <c r="N313" s="38"/>
      <c r="O313" s="37">
        <v>55</v>
      </c>
      <c r="P313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76" t="s">
        <v>40</v>
      </c>
      <c r="Q314" s="677"/>
      <c r="R314" s="677"/>
      <c r="S314" s="677"/>
      <c r="T314" s="677"/>
      <c r="U314" s="677"/>
      <c r="V314" s="678"/>
      <c r="W314" s="42" t="s">
        <v>39</v>
      </c>
      <c r="X314" s="43">
        <f>IFERROR(X309/H309,"0")+IFERROR(X310/H310,"0")+IFERROR(X311/H311,"0")+IFERROR(X312/H312,"0")+IFERROR(X313/H313,"0")</f>
        <v>0</v>
      </c>
      <c r="Y314" s="43">
        <f>IFERROR(Y309/H309,"0")+IFERROR(Y310/H310,"0")+IFERROR(Y311/H311,"0")+IFERROR(Y312/H312,"0")+IFERROR(Y313/H313,"0")</f>
        <v>0</v>
      </c>
      <c r="Z314" s="43">
        <f>IFERROR(IF(Z309="",0,Z309),"0")+IFERROR(IF(Z310="",0,Z310),"0")+IFERROR(IF(Z311="",0,Z311),"0")+IFERROR(IF(Z312="",0,Z312),"0")+IFERROR(IF(Z313="",0,Z313),"0")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">
      <c r="A315" s="679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76" t="s">
        <v>40</v>
      </c>
      <c r="Q315" s="677"/>
      <c r="R315" s="677"/>
      <c r="S315" s="677"/>
      <c r="T315" s="677"/>
      <c r="U315" s="677"/>
      <c r="V315" s="678"/>
      <c r="W315" s="42" t="s">
        <v>0</v>
      </c>
      <c r="X315" s="43">
        <f>IFERROR(SUM(X309:X313),"0")</f>
        <v>0</v>
      </c>
      <c r="Y315" s="43">
        <f>IFERROR(SUM(Y309:Y313),"0")</f>
        <v>0</v>
      </c>
      <c r="Z315" s="42"/>
      <c r="AA315" s="67"/>
      <c r="AB315" s="67"/>
      <c r="AC315" s="67"/>
    </row>
    <row r="316" spans="1:68" ht="16.5" customHeight="1" x14ac:dyDescent="0.25">
      <c r="A316" s="669" t="s">
        <v>525</v>
      </c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69"/>
      <c r="P316" s="669"/>
      <c r="Q316" s="669"/>
      <c r="R316" s="669"/>
      <c r="S316" s="669"/>
      <c r="T316" s="669"/>
      <c r="U316" s="669"/>
      <c r="V316" s="669"/>
      <c r="W316" s="669"/>
      <c r="X316" s="669"/>
      <c r="Y316" s="669"/>
      <c r="Z316" s="669"/>
      <c r="AA316" s="65"/>
      <c r="AB316" s="65"/>
      <c r="AC316" s="79"/>
    </row>
    <row r="317" spans="1:68" ht="14.25" customHeight="1" x14ac:dyDescent="0.25">
      <c r="A317" s="670" t="s">
        <v>86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customHeight="1" x14ac:dyDescent="0.25">
      <c r="A318" s="63" t="s">
        <v>526</v>
      </c>
      <c r="B318" s="63" t="s">
        <v>527</v>
      </c>
      <c r="C318" s="36">
        <v>4301051893</v>
      </c>
      <c r="D318" s="671">
        <v>4680115886186</v>
      </c>
      <c r="E318" s="671"/>
      <c r="F318" s="62">
        <v>0.3</v>
      </c>
      <c r="G318" s="37">
        <v>6</v>
      </c>
      <c r="H318" s="62">
        <v>1.8</v>
      </c>
      <c r="I318" s="62">
        <v>1.98</v>
      </c>
      <c r="J318" s="37">
        <v>182</v>
      </c>
      <c r="K318" s="37" t="s">
        <v>91</v>
      </c>
      <c r="L318" s="37" t="s">
        <v>46</v>
      </c>
      <c r="M318" s="38" t="s">
        <v>90</v>
      </c>
      <c r="N318" s="38"/>
      <c r="O318" s="37">
        <v>45</v>
      </c>
      <c r="P318" s="8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46</v>
      </c>
      <c r="AB318" s="69" t="s">
        <v>46</v>
      </c>
      <c r="AC318" s="398" t="s">
        <v>528</v>
      </c>
      <c r="AG318" s="78"/>
      <c r="AJ318" s="84" t="s">
        <v>46</v>
      </c>
      <c r="AK318" s="84">
        <v>0</v>
      </c>
      <c r="BB318" s="39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529</v>
      </c>
      <c r="B319" s="63" t="s">
        <v>530</v>
      </c>
      <c r="C319" s="36">
        <v>4301051795</v>
      </c>
      <c r="D319" s="671">
        <v>4680115881228</v>
      </c>
      <c r="E319" s="671"/>
      <c r="F319" s="62">
        <v>0.4</v>
      </c>
      <c r="G319" s="37">
        <v>6</v>
      </c>
      <c r="H319" s="62">
        <v>2.4</v>
      </c>
      <c r="I319" s="62">
        <v>2.6520000000000001</v>
      </c>
      <c r="J319" s="37">
        <v>182</v>
      </c>
      <c r="K319" s="37" t="s">
        <v>91</v>
      </c>
      <c r="L319" s="37" t="s">
        <v>46</v>
      </c>
      <c r="M319" s="38" t="s">
        <v>97</v>
      </c>
      <c r="N319" s="38"/>
      <c r="O319" s="37">
        <v>40</v>
      </c>
      <c r="P319" s="8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3"/>
      <c r="R319" s="673"/>
      <c r="S319" s="673"/>
      <c r="T319" s="674"/>
      <c r="U319" s="39" t="s">
        <v>46</v>
      </c>
      <c r="V319" s="39" t="s">
        <v>46</v>
      </c>
      <c r="W319" s="40" t="s">
        <v>0</v>
      </c>
      <c r="X319" s="58">
        <v>16</v>
      </c>
      <c r="Y319" s="55">
        <f>IFERROR(IF(X319="",0,CEILING((X319/$H319),1)*$H319),"")</f>
        <v>16.8</v>
      </c>
      <c r="Z319" s="41">
        <f>IFERROR(IF(Y319=0,"",ROUNDUP(Y319/H319,0)*0.00651),"")</f>
        <v>4.5569999999999999E-2</v>
      </c>
      <c r="AA319" s="68" t="s">
        <v>46</v>
      </c>
      <c r="AB319" s="69" t="s">
        <v>46</v>
      </c>
      <c r="AC319" s="400" t="s">
        <v>531</v>
      </c>
      <c r="AG319" s="78"/>
      <c r="AJ319" s="84" t="s">
        <v>46</v>
      </c>
      <c r="AK319" s="84">
        <v>0</v>
      </c>
      <c r="BB319" s="401" t="s">
        <v>67</v>
      </c>
      <c r="BM319" s="78">
        <f>IFERROR(X319*I319/H319,"0")</f>
        <v>17.680000000000003</v>
      </c>
      <c r="BN319" s="78">
        <f>IFERROR(Y319*I319/H319,"0")</f>
        <v>18.564000000000004</v>
      </c>
      <c r="BO319" s="78">
        <f>IFERROR(1/J319*(X319/H319),"0")</f>
        <v>3.6630036630036632E-2</v>
      </c>
      <c r="BP319" s="78">
        <f>IFERROR(1/J319*(Y319/H319),"0")</f>
        <v>3.8461538461538471E-2</v>
      </c>
    </row>
    <row r="320" spans="1:68" ht="27" customHeight="1" x14ac:dyDescent="0.25">
      <c r="A320" s="63" t="s">
        <v>532</v>
      </c>
      <c r="B320" s="63" t="s">
        <v>533</v>
      </c>
      <c r="C320" s="36">
        <v>4301051388</v>
      </c>
      <c r="D320" s="671">
        <v>4680115881211</v>
      </c>
      <c r="E320" s="671"/>
      <c r="F320" s="62">
        <v>0.4</v>
      </c>
      <c r="G320" s="37">
        <v>6</v>
      </c>
      <c r="H320" s="62">
        <v>2.4</v>
      </c>
      <c r="I320" s="62">
        <v>2.58</v>
      </c>
      <c r="J320" s="37">
        <v>182</v>
      </c>
      <c r="K320" s="37" t="s">
        <v>91</v>
      </c>
      <c r="L320" s="37" t="s">
        <v>46</v>
      </c>
      <c r="M320" s="38" t="s">
        <v>90</v>
      </c>
      <c r="N320" s="38"/>
      <c r="O320" s="37">
        <v>45</v>
      </c>
      <c r="P320" s="8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3"/>
      <c r="R320" s="673"/>
      <c r="S320" s="673"/>
      <c r="T320" s="67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46</v>
      </c>
      <c r="AB320" s="69" t="s">
        <v>46</v>
      </c>
      <c r="AC320" s="402" t="s">
        <v>528</v>
      </c>
      <c r="AG320" s="78"/>
      <c r="AJ320" s="84" t="s">
        <v>46</v>
      </c>
      <c r="AK320" s="84">
        <v>0</v>
      </c>
      <c r="BB320" s="40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79"/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80"/>
      <c r="P321" s="676" t="s">
        <v>40</v>
      </c>
      <c r="Q321" s="677"/>
      <c r="R321" s="677"/>
      <c r="S321" s="677"/>
      <c r="T321" s="677"/>
      <c r="U321" s="677"/>
      <c r="V321" s="678"/>
      <c r="W321" s="42" t="s">
        <v>39</v>
      </c>
      <c r="X321" s="43">
        <f>IFERROR(X318/H318,"0")+IFERROR(X319/H319,"0")+IFERROR(X320/H320,"0")</f>
        <v>6.666666666666667</v>
      </c>
      <c r="Y321" s="43">
        <f>IFERROR(Y318/H318,"0")+IFERROR(Y319/H319,"0")+IFERROR(Y320/H320,"0")</f>
        <v>7.0000000000000009</v>
      </c>
      <c r="Z321" s="43">
        <f>IFERROR(IF(Z318="",0,Z318),"0")+IFERROR(IF(Z319="",0,Z319),"0")+IFERROR(IF(Z320="",0,Z320),"0")</f>
        <v>4.5569999999999999E-2</v>
      </c>
      <c r="AA321" s="67"/>
      <c r="AB321" s="67"/>
      <c r="AC321" s="67"/>
    </row>
    <row r="322" spans="1:68" x14ac:dyDescent="0.2">
      <c r="A322" s="679"/>
      <c r="B322" s="679"/>
      <c r="C322" s="679"/>
      <c r="D322" s="679"/>
      <c r="E322" s="679"/>
      <c r="F322" s="679"/>
      <c r="G322" s="679"/>
      <c r="H322" s="679"/>
      <c r="I322" s="679"/>
      <c r="J322" s="679"/>
      <c r="K322" s="679"/>
      <c r="L322" s="679"/>
      <c r="M322" s="679"/>
      <c r="N322" s="679"/>
      <c r="O322" s="680"/>
      <c r="P322" s="676" t="s">
        <v>40</v>
      </c>
      <c r="Q322" s="677"/>
      <c r="R322" s="677"/>
      <c r="S322" s="677"/>
      <c r="T322" s="677"/>
      <c r="U322" s="677"/>
      <c r="V322" s="678"/>
      <c r="W322" s="42" t="s">
        <v>0</v>
      </c>
      <c r="X322" s="43">
        <f>IFERROR(SUM(X318:X320),"0")</f>
        <v>16</v>
      </c>
      <c r="Y322" s="43">
        <f>IFERROR(SUM(Y318:Y320),"0")</f>
        <v>16.8</v>
      </c>
      <c r="Z322" s="42"/>
      <c r="AA322" s="67"/>
      <c r="AB322" s="67"/>
      <c r="AC322" s="67"/>
    </row>
    <row r="323" spans="1:68" ht="16.5" customHeight="1" x14ac:dyDescent="0.25">
      <c r="A323" s="669" t="s">
        <v>534</v>
      </c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5"/>
      <c r="AB323" s="65"/>
      <c r="AC323" s="79"/>
    </row>
    <row r="324" spans="1:68" ht="14.25" customHeight="1" x14ac:dyDescent="0.25">
      <c r="A324" s="670" t="s">
        <v>77</v>
      </c>
      <c r="B324" s="670"/>
      <c r="C324" s="670"/>
      <c r="D324" s="670"/>
      <c r="E324" s="670"/>
      <c r="F324" s="670"/>
      <c r="G324" s="670"/>
      <c r="H324" s="670"/>
      <c r="I324" s="670"/>
      <c r="J324" s="670"/>
      <c r="K324" s="670"/>
      <c r="L324" s="670"/>
      <c r="M324" s="670"/>
      <c r="N324" s="670"/>
      <c r="O324" s="670"/>
      <c r="P324" s="670"/>
      <c r="Q324" s="670"/>
      <c r="R324" s="670"/>
      <c r="S324" s="670"/>
      <c r="T324" s="670"/>
      <c r="U324" s="670"/>
      <c r="V324" s="670"/>
      <c r="W324" s="670"/>
      <c r="X324" s="670"/>
      <c r="Y324" s="670"/>
      <c r="Z324" s="670"/>
      <c r="AA324" s="66"/>
      <c r="AB324" s="66"/>
      <c r="AC324" s="80"/>
    </row>
    <row r="325" spans="1:68" ht="27" customHeight="1" x14ac:dyDescent="0.25">
      <c r="A325" s="63" t="s">
        <v>535</v>
      </c>
      <c r="B325" s="63" t="s">
        <v>536</v>
      </c>
      <c r="C325" s="36">
        <v>4301031445</v>
      </c>
      <c r="D325" s="671">
        <v>4680115888319</v>
      </c>
      <c r="E325" s="671"/>
      <c r="F325" s="62">
        <v>0.35</v>
      </c>
      <c r="G325" s="37">
        <v>6</v>
      </c>
      <c r="H325" s="62">
        <v>2.1</v>
      </c>
      <c r="I325" s="62">
        <v>2.23</v>
      </c>
      <c r="J325" s="37">
        <v>234</v>
      </c>
      <c r="K325" s="37" t="s">
        <v>82</v>
      </c>
      <c r="L325" s="37" t="s">
        <v>46</v>
      </c>
      <c r="M325" s="38" t="s">
        <v>81</v>
      </c>
      <c r="N325" s="38"/>
      <c r="O325" s="37">
        <v>45</v>
      </c>
      <c r="P325" s="83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3"/>
      <c r="R325" s="673"/>
      <c r="S325" s="673"/>
      <c r="T325" s="67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374</v>
      </c>
      <c r="AG325" s="78"/>
      <c r="AJ325" s="84" t="s">
        <v>46</v>
      </c>
      <c r="AK325" s="84">
        <v>0</v>
      </c>
      <c r="BB325" s="405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537</v>
      </c>
      <c r="B326" s="63" t="s">
        <v>538</v>
      </c>
      <c r="C326" s="36">
        <v>4301031502</v>
      </c>
      <c r="D326" s="671">
        <v>4680115884700</v>
      </c>
      <c r="E326" s="671"/>
      <c r="F326" s="62">
        <v>0.57999999999999996</v>
      </c>
      <c r="G326" s="37">
        <v>4</v>
      </c>
      <c r="H326" s="62">
        <v>2.3199999999999998</v>
      </c>
      <c r="I326" s="62">
        <v>2.42</v>
      </c>
      <c r="J326" s="37">
        <v>234</v>
      </c>
      <c r="K326" s="37" t="s">
        <v>82</v>
      </c>
      <c r="L326" s="37" t="s">
        <v>46</v>
      </c>
      <c r="M326" s="38" t="s">
        <v>81</v>
      </c>
      <c r="N326" s="38"/>
      <c r="O326" s="37">
        <v>40</v>
      </c>
      <c r="P326" s="83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IFERROR(IF(Y326=0,"",ROUNDUP(Y326/H326,0)*0.00502),"")</f>
        <v/>
      </c>
      <c r="AA326" s="68" t="s">
        <v>46</v>
      </c>
      <c r="AB326" s="69" t="s">
        <v>46</v>
      </c>
      <c r="AC326" s="406" t="s">
        <v>539</v>
      </c>
      <c r="AG326" s="78"/>
      <c r="AJ326" s="84" t="s">
        <v>46</v>
      </c>
      <c r="AK326" s="84">
        <v>0</v>
      </c>
      <c r="BB326" s="40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540</v>
      </c>
      <c r="B327" s="63" t="s">
        <v>541</v>
      </c>
      <c r="C327" s="36">
        <v>4301031307</v>
      </c>
      <c r="D327" s="671">
        <v>4680115880344</v>
      </c>
      <c r="E327" s="671"/>
      <c r="F327" s="62">
        <v>0.28000000000000003</v>
      </c>
      <c r="G327" s="37">
        <v>6</v>
      </c>
      <c r="H327" s="62">
        <v>1.68</v>
      </c>
      <c r="I327" s="62">
        <v>1.78</v>
      </c>
      <c r="J327" s="37">
        <v>234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4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IFERROR(IF(Y327=0,"",ROUNDUP(Y327/H327,0)*0.00502),"")</f>
        <v/>
      </c>
      <c r="AA327" s="68" t="s">
        <v>46</v>
      </c>
      <c r="AB327" s="69" t="s">
        <v>46</v>
      </c>
      <c r="AC327" s="408" t="s">
        <v>542</v>
      </c>
      <c r="AG327" s="78"/>
      <c r="AJ327" s="84" t="s">
        <v>46</v>
      </c>
      <c r="AK327" s="84">
        <v>0</v>
      </c>
      <c r="BB327" s="40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543</v>
      </c>
      <c r="B328" s="63" t="s">
        <v>544</v>
      </c>
      <c r="C328" s="36">
        <v>4301031501</v>
      </c>
      <c r="D328" s="671">
        <v>4680115886919</v>
      </c>
      <c r="E328" s="671"/>
      <c r="F328" s="62">
        <v>0.4</v>
      </c>
      <c r="G328" s="37">
        <v>6</v>
      </c>
      <c r="H328" s="62">
        <v>2.4</v>
      </c>
      <c r="I328" s="62">
        <v>2.58</v>
      </c>
      <c r="J328" s="37">
        <v>182</v>
      </c>
      <c r="K328" s="37" t="s">
        <v>91</v>
      </c>
      <c r="L328" s="37" t="s">
        <v>46</v>
      </c>
      <c r="M328" s="38" t="s">
        <v>81</v>
      </c>
      <c r="N328" s="38"/>
      <c r="O328" s="37">
        <v>40</v>
      </c>
      <c r="P328" s="8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46</v>
      </c>
      <c r="AB328" s="69" t="s">
        <v>46</v>
      </c>
      <c r="AC328" s="410" t="s">
        <v>545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546</v>
      </c>
      <c r="B329" s="63" t="s">
        <v>547</v>
      </c>
      <c r="C329" s="36">
        <v>4301031246</v>
      </c>
      <c r="D329" s="671">
        <v>4680115883970</v>
      </c>
      <c r="E329" s="671"/>
      <c r="F329" s="62">
        <v>0.28000000000000003</v>
      </c>
      <c r="G329" s="37">
        <v>6</v>
      </c>
      <c r="H329" s="62">
        <v>1.68</v>
      </c>
      <c r="I329" s="62">
        <v>2.5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3"/>
      <c r="R329" s="673"/>
      <c r="S329" s="673"/>
      <c r="T329" s="67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548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79"/>
      <c r="B330" s="679"/>
      <c r="C330" s="679"/>
      <c r="D330" s="679"/>
      <c r="E330" s="679"/>
      <c r="F330" s="679"/>
      <c r="G330" s="679"/>
      <c r="H330" s="679"/>
      <c r="I330" s="679"/>
      <c r="J330" s="679"/>
      <c r="K330" s="679"/>
      <c r="L330" s="679"/>
      <c r="M330" s="679"/>
      <c r="N330" s="679"/>
      <c r="O330" s="680"/>
      <c r="P330" s="676" t="s">
        <v>40</v>
      </c>
      <c r="Q330" s="677"/>
      <c r="R330" s="677"/>
      <c r="S330" s="677"/>
      <c r="T330" s="677"/>
      <c r="U330" s="677"/>
      <c r="V330" s="678"/>
      <c r="W330" s="42" t="s">
        <v>39</v>
      </c>
      <c r="X330" s="43">
        <f>IFERROR(X325/H325,"0")+IFERROR(X326/H326,"0")+IFERROR(X327/H327,"0")+IFERROR(X328/H328,"0")+IFERROR(X329/H329,"0")</f>
        <v>0</v>
      </c>
      <c r="Y330" s="43">
        <f>IFERROR(Y325/H325,"0")+IFERROR(Y326/H326,"0")+IFERROR(Y327/H327,"0")+IFERROR(Y328/H328,"0")+IFERROR(Y329/H329,"0")</f>
        <v>0</v>
      </c>
      <c r="Z330" s="43">
        <f>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79"/>
      <c r="B331" s="679"/>
      <c r="C331" s="679"/>
      <c r="D331" s="679"/>
      <c r="E331" s="679"/>
      <c r="F331" s="679"/>
      <c r="G331" s="679"/>
      <c r="H331" s="679"/>
      <c r="I331" s="679"/>
      <c r="J331" s="679"/>
      <c r="K331" s="679"/>
      <c r="L331" s="679"/>
      <c r="M331" s="679"/>
      <c r="N331" s="679"/>
      <c r="O331" s="680"/>
      <c r="P331" s="676" t="s">
        <v>40</v>
      </c>
      <c r="Q331" s="677"/>
      <c r="R331" s="677"/>
      <c r="S331" s="677"/>
      <c r="T331" s="677"/>
      <c r="U331" s="677"/>
      <c r="V331" s="678"/>
      <c r="W331" s="42" t="s">
        <v>0</v>
      </c>
      <c r="X331" s="43">
        <f>IFERROR(SUM(X325:X329),"0")</f>
        <v>0</v>
      </c>
      <c r="Y331" s="43">
        <f>IFERROR(SUM(Y325:Y329),"0")</f>
        <v>0</v>
      </c>
      <c r="Z331" s="42"/>
      <c r="AA331" s="67"/>
      <c r="AB331" s="67"/>
      <c r="AC331" s="67"/>
    </row>
    <row r="332" spans="1:68" ht="14.25" customHeight="1" x14ac:dyDescent="0.25">
      <c r="A332" s="670" t="s">
        <v>86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37.5" customHeight="1" x14ac:dyDescent="0.25">
      <c r="A333" s="63" t="s">
        <v>549</v>
      </c>
      <c r="B333" s="63" t="s">
        <v>550</v>
      </c>
      <c r="C333" s="36">
        <v>4301051782</v>
      </c>
      <c r="D333" s="671">
        <v>4680115884618</v>
      </c>
      <c r="E333" s="671"/>
      <c r="F333" s="62">
        <v>0.6</v>
      </c>
      <c r="G333" s="37">
        <v>6</v>
      </c>
      <c r="H333" s="62">
        <v>3.6</v>
      </c>
      <c r="I333" s="62">
        <v>3.79</v>
      </c>
      <c r="J333" s="37">
        <v>132</v>
      </c>
      <c r="K333" s="37" t="s">
        <v>140</v>
      </c>
      <c r="L333" s="37" t="s">
        <v>46</v>
      </c>
      <c r="M333" s="38" t="s">
        <v>90</v>
      </c>
      <c r="N333" s="38"/>
      <c r="O333" s="37">
        <v>45</v>
      </c>
      <c r="P333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14" t="s">
        <v>551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552</v>
      </c>
      <c r="B334" s="63" t="s">
        <v>553</v>
      </c>
      <c r="C334" s="36">
        <v>4301052057</v>
      </c>
      <c r="D334" s="671">
        <v>4680115887114</v>
      </c>
      <c r="E334" s="671"/>
      <c r="F334" s="62">
        <v>0.55000000000000004</v>
      </c>
      <c r="G334" s="37">
        <v>6</v>
      </c>
      <c r="H334" s="62">
        <v>3.3</v>
      </c>
      <c r="I334" s="62">
        <v>3.49</v>
      </c>
      <c r="J334" s="37">
        <v>132</v>
      </c>
      <c r="K334" s="37" t="s">
        <v>140</v>
      </c>
      <c r="L334" s="37" t="s">
        <v>46</v>
      </c>
      <c r="M334" s="38" t="s">
        <v>90</v>
      </c>
      <c r="N334" s="38"/>
      <c r="O334" s="37">
        <v>45</v>
      </c>
      <c r="P334" s="8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IFERROR(IF(Y334=0,"",ROUNDUP(Y334/H334,0)*0.00902),"")</f>
        <v/>
      </c>
      <c r="AA334" s="68" t="s">
        <v>46</v>
      </c>
      <c r="AB334" s="69" t="s">
        <v>46</v>
      </c>
      <c r="AC334" s="416" t="s">
        <v>554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79"/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80"/>
      <c r="P335" s="676" t="s">
        <v>40</v>
      </c>
      <c r="Q335" s="677"/>
      <c r="R335" s="677"/>
      <c r="S335" s="677"/>
      <c r="T335" s="677"/>
      <c r="U335" s="677"/>
      <c r="V335" s="678"/>
      <c r="W335" s="42" t="s">
        <v>39</v>
      </c>
      <c r="X335" s="43">
        <f>IFERROR(X333/H333,"0")+IFERROR(X334/H334,"0")</f>
        <v>0</v>
      </c>
      <c r="Y335" s="43">
        <f>IFERROR(Y333/H333,"0")+IFERROR(Y334/H334,"0")</f>
        <v>0</v>
      </c>
      <c r="Z335" s="43">
        <f>IFERROR(IF(Z333="",0,Z333),"0")+IFERROR(IF(Z334="",0,Z334),"0")</f>
        <v>0</v>
      </c>
      <c r="AA335" s="67"/>
      <c r="AB335" s="67"/>
      <c r="AC335" s="67"/>
    </row>
    <row r="336" spans="1:68" x14ac:dyDescent="0.2">
      <c r="A336" s="679"/>
      <c r="B336" s="679"/>
      <c r="C336" s="679"/>
      <c r="D336" s="679"/>
      <c r="E336" s="679"/>
      <c r="F336" s="679"/>
      <c r="G336" s="679"/>
      <c r="H336" s="679"/>
      <c r="I336" s="679"/>
      <c r="J336" s="679"/>
      <c r="K336" s="679"/>
      <c r="L336" s="679"/>
      <c r="M336" s="679"/>
      <c r="N336" s="679"/>
      <c r="O336" s="680"/>
      <c r="P336" s="676" t="s">
        <v>40</v>
      </c>
      <c r="Q336" s="677"/>
      <c r="R336" s="677"/>
      <c r="S336" s="677"/>
      <c r="T336" s="677"/>
      <c r="U336" s="677"/>
      <c r="V336" s="678"/>
      <c r="W336" s="42" t="s">
        <v>0</v>
      </c>
      <c r="X336" s="43">
        <f>IFERROR(SUM(X333:X334),"0")</f>
        <v>0</v>
      </c>
      <c r="Y336" s="43">
        <f>IFERROR(SUM(Y333:Y334),"0")</f>
        <v>0</v>
      </c>
      <c r="Z336" s="42"/>
      <c r="AA336" s="67"/>
      <c r="AB336" s="67"/>
      <c r="AC336" s="67"/>
    </row>
    <row r="337" spans="1:68" ht="16.5" customHeight="1" x14ac:dyDescent="0.25">
      <c r="A337" s="669" t="s">
        <v>555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5"/>
      <c r="AB337" s="65"/>
      <c r="AC337" s="79"/>
    </row>
    <row r="338" spans="1:68" ht="14.25" customHeight="1" x14ac:dyDescent="0.25">
      <c r="A338" s="670" t="s">
        <v>128</v>
      </c>
      <c r="B338" s="670"/>
      <c r="C338" s="670"/>
      <c r="D338" s="670"/>
      <c r="E338" s="670"/>
      <c r="F338" s="670"/>
      <c r="G338" s="670"/>
      <c r="H338" s="670"/>
      <c r="I338" s="670"/>
      <c r="J338" s="670"/>
      <c r="K338" s="670"/>
      <c r="L338" s="670"/>
      <c r="M338" s="670"/>
      <c r="N338" s="670"/>
      <c r="O338" s="670"/>
      <c r="P338" s="670"/>
      <c r="Q338" s="670"/>
      <c r="R338" s="670"/>
      <c r="S338" s="670"/>
      <c r="T338" s="670"/>
      <c r="U338" s="670"/>
      <c r="V338" s="670"/>
      <c r="W338" s="670"/>
      <c r="X338" s="670"/>
      <c r="Y338" s="670"/>
      <c r="Z338" s="670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4301012324</v>
      </c>
      <c r="D339" s="671">
        <v>4680115887947</v>
      </c>
      <c r="E339" s="671"/>
      <c r="F339" s="62">
        <v>1.3</v>
      </c>
      <c r="G339" s="37">
        <v>6</v>
      </c>
      <c r="H339" s="62">
        <v>7.8</v>
      </c>
      <c r="I339" s="62">
        <v>8.2100000000000009</v>
      </c>
      <c r="J339" s="37">
        <v>64</v>
      </c>
      <c r="K339" s="37" t="s">
        <v>133</v>
      </c>
      <c r="L339" s="37" t="s">
        <v>46</v>
      </c>
      <c r="M339" s="38" t="s">
        <v>90</v>
      </c>
      <c r="N339" s="38"/>
      <c r="O339" s="37">
        <v>60</v>
      </c>
      <c r="P339" s="8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3"/>
      <c r="R339" s="673"/>
      <c r="S339" s="673"/>
      <c r="T339" s="67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46</v>
      </c>
      <c r="AB339" s="69" t="s">
        <v>46</v>
      </c>
      <c r="AC339" s="418" t="s">
        <v>558</v>
      </c>
      <c r="AG339" s="78"/>
      <c r="AJ339" s="84" t="s">
        <v>46</v>
      </c>
      <c r="AK339" s="84">
        <v>0</v>
      </c>
      <c r="BB339" s="41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4301012325</v>
      </c>
      <c r="D340" s="671">
        <v>4680115887978</v>
      </c>
      <c r="E340" s="671"/>
      <c r="F340" s="62">
        <v>1.3</v>
      </c>
      <c r="G340" s="37">
        <v>6</v>
      </c>
      <c r="H340" s="62">
        <v>7.8</v>
      </c>
      <c r="I340" s="62">
        <v>8.2100000000000009</v>
      </c>
      <c r="J340" s="37">
        <v>64</v>
      </c>
      <c r="K340" s="37" t="s">
        <v>133</v>
      </c>
      <c r="L340" s="37" t="s">
        <v>46</v>
      </c>
      <c r="M340" s="38" t="s">
        <v>90</v>
      </c>
      <c r="N340" s="38"/>
      <c r="O340" s="37">
        <v>60</v>
      </c>
      <c r="P340" s="84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3"/>
      <c r="R340" s="673"/>
      <c r="S340" s="673"/>
      <c r="T340" s="67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0" t="s">
        <v>561</v>
      </c>
      <c r="AG340" s="78"/>
      <c r="AJ340" s="84" t="s">
        <v>46</v>
      </c>
      <c r="AK340" s="84">
        <v>0</v>
      </c>
      <c r="BB340" s="42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562</v>
      </c>
      <c r="B341" s="63" t="s">
        <v>563</v>
      </c>
      <c r="C341" s="36">
        <v>4301012327</v>
      </c>
      <c r="D341" s="671">
        <v>4680115887992</v>
      </c>
      <c r="E341" s="671"/>
      <c r="F341" s="62">
        <v>1.3</v>
      </c>
      <c r="G341" s="37">
        <v>6</v>
      </c>
      <c r="H341" s="62">
        <v>7.8</v>
      </c>
      <c r="I341" s="62">
        <v>8.2100000000000009</v>
      </c>
      <c r="J341" s="37">
        <v>64</v>
      </c>
      <c r="K341" s="37" t="s">
        <v>133</v>
      </c>
      <c r="L341" s="37" t="s">
        <v>46</v>
      </c>
      <c r="M341" s="38" t="s">
        <v>90</v>
      </c>
      <c r="N341" s="38"/>
      <c r="O341" s="37">
        <v>60</v>
      </c>
      <c r="P341" s="8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3"/>
      <c r="R341" s="673"/>
      <c r="S341" s="673"/>
      <c r="T341" s="67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46</v>
      </c>
      <c r="AB341" s="69" t="s">
        <v>46</v>
      </c>
      <c r="AC341" s="422" t="s">
        <v>564</v>
      </c>
      <c r="AG341" s="78"/>
      <c r="AJ341" s="84" t="s">
        <v>46</v>
      </c>
      <c r="AK341" s="84">
        <v>0</v>
      </c>
      <c r="BB341" s="42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79"/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80"/>
      <c r="P342" s="676" t="s">
        <v>40</v>
      </c>
      <c r="Q342" s="677"/>
      <c r="R342" s="677"/>
      <c r="S342" s="677"/>
      <c r="T342" s="677"/>
      <c r="U342" s="677"/>
      <c r="V342" s="67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79"/>
      <c r="B343" s="679"/>
      <c r="C343" s="679"/>
      <c r="D343" s="679"/>
      <c r="E343" s="679"/>
      <c r="F343" s="679"/>
      <c r="G343" s="679"/>
      <c r="H343" s="679"/>
      <c r="I343" s="679"/>
      <c r="J343" s="679"/>
      <c r="K343" s="679"/>
      <c r="L343" s="679"/>
      <c r="M343" s="679"/>
      <c r="N343" s="679"/>
      <c r="O343" s="680"/>
      <c r="P343" s="676" t="s">
        <v>40</v>
      </c>
      <c r="Q343" s="677"/>
      <c r="R343" s="677"/>
      <c r="S343" s="677"/>
      <c r="T343" s="677"/>
      <c r="U343" s="677"/>
      <c r="V343" s="67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69" t="s">
        <v>565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5"/>
      <c r="AB344" s="65"/>
      <c r="AC344" s="79"/>
    </row>
    <row r="345" spans="1:68" ht="14.25" customHeight="1" x14ac:dyDescent="0.25">
      <c r="A345" s="670" t="s">
        <v>128</v>
      </c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0"/>
      <c r="S345" s="670"/>
      <c r="T345" s="670"/>
      <c r="U345" s="670"/>
      <c r="V345" s="670"/>
      <c r="W345" s="670"/>
      <c r="X345" s="670"/>
      <c r="Y345" s="670"/>
      <c r="Z345" s="670"/>
      <c r="AA345" s="66"/>
      <c r="AB345" s="66"/>
      <c r="AC345" s="80"/>
    </row>
    <row r="346" spans="1:68" ht="27" customHeight="1" x14ac:dyDescent="0.25">
      <c r="A346" s="63" t="s">
        <v>566</v>
      </c>
      <c r="B346" s="63" t="s">
        <v>567</v>
      </c>
      <c r="C346" s="36">
        <v>4301012235</v>
      </c>
      <c r="D346" s="671">
        <v>4680115887190</v>
      </c>
      <c r="E346" s="671"/>
      <c r="F346" s="62">
        <v>1.35</v>
      </c>
      <c r="G346" s="37">
        <v>8</v>
      </c>
      <c r="H346" s="62">
        <v>10.8</v>
      </c>
      <c r="I346" s="62">
        <v>11.21</v>
      </c>
      <c r="J346" s="37">
        <v>64</v>
      </c>
      <c r="K346" s="37" t="s">
        <v>133</v>
      </c>
      <c r="L346" s="37" t="s">
        <v>46</v>
      </c>
      <c r="M346" s="38" t="s">
        <v>132</v>
      </c>
      <c r="N346" s="38"/>
      <c r="O346" s="37">
        <v>55</v>
      </c>
      <c r="P346" s="8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73"/>
      <c r="R346" s="673"/>
      <c r="S346" s="673"/>
      <c r="T346" s="67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24" t="s">
        <v>568</v>
      </c>
      <c r="AG346" s="78"/>
      <c r="AJ346" s="84" t="s">
        <v>46</v>
      </c>
      <c r="AK346" s="84">
        <v>0</v>
      </c>
      <c r="BB346" s="42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37.5" customHeight="1" x14ac:dyDescent="0.25">
      <c r="A347" s="63" t="s">
        <v>569</v>
      </c>
      <c r="B347" s="63" t="s">
        <v>570</v>
      </c>
      <c r="C347" s="36">
        <v>4301012233</v>
      </c>
      <c r="D347" s="671">
        <v>4680115887138</v>
      </c>
      <c r="E347" s="671"/>
      <c r="F347" s="62">
        <v>1.35</v>
      </c>
      <c r="G347" s="37">
        <v>8</v>
      </c>
      <c r="H347" s="62">
        <v>10.8</v>
      </c>
      <c r="I347" s="62">
        <v>11.21</v>
      </c>
      <c r="J347" s="37">
        <v>64</v>
      </c>
      <c r="K347" s="37" t="s">
        <v>133</v>
      </c>
      <c r="L347" s="37" t="s">
        <v>46</v>
      </c>
      <c r="M347" s="38" t="s">
        <v>132</v>
      </c>
      <c r="N347" s="38"/>
      <c r="O347" s="37">
        <v>55</v>
      </c>
      <c r="P347" s="8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73"/>
      <c r="R347" s="673"/>
      <c r="S347" s="673"/>
      <c r="T347" s="67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26" t="s">
        <v>571</v>
      </c>
      <c r="AG347" s="78"/>
      <c r="AJ347" s="84" t="s">
        <v>46</v>
      </c>
      <c r="AK347" s="84">
        <v>0</v>
      </c>
      <c r="BB347" s="42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572</v>
      </c>
      <c r="B348" s="63" t="s">
        <v>573</v>
      </c>
      <c r="C348" s="36">
        <v>4301012016</v>
      </c>
      <c r="D348" s="671">
        <v>4680115885554</v>
      </c>
      <c r="E348" s="671"/>
      <c r="F348" s="62">
        <v>1.35</v>
      </c>
      <c r="G348" s="37">
        <v>8</v>
      </c>
      <c r="H348" s="62">
        <v>10.8</v>
      </c>
      <c r="I348" s="62">
        <v>11.21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55</v>
      </c>
      <c r="P348" s="8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73"/>
      <c r="R348" s="673"/>
      <c r="S348" s="673"/>
      <c r="T348" s="67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28" t="s">
        <v>574</v>
      </c>
      <c r="AG348" s="78"/>
      <c r="AJ348" s="84" t="s">
        <v>46</v>
      </c>
      <c r="AK348" s="84">
        <v>0</v>
      </c>
      <c r="BB348" s="42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575</v>
      </c>
      <c r="B349" s="63" t="s">
        <v>576</v>
      </c>
      <c r="C349" s="36">
        <v>4301012236</v>
      </c>
      <c r="D349" s="671">
        <v>4680115887220</v>
      </c>
      <c r="E349" s="671"/>
      <c r="F349" s="62">
        <v>0.4</v>
      </c>
      <c r="G349" s="37">
        <v>10</v>
      </c>
      <c r="H349" s="62">
        <v>4</v>
      </c>
      <c r="I349" s="62">
        <v>4.1900000000000004</v>
      </c>
      <c r="J349" s="37">
        <v>132</v>
      </c>
      <c r="K349" s="37" t="s">
        <v>140</v>
      </c>
      <c r="L349" s="37" t="s">
        <v>46</v>
      </c>
      <c r="M349" s="38" t="s">
        <v>132</v>
      </c>
      <c r="N349" s="38"/>
      <c r="O349" s="37">
        <v>55</v>
      </c>
      <c r="P349" s="8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30" t="s">
        <v>568</v>
      </c>
      <c r="AG349" s="78"/>
      <c r="AJ349" s="84" t="s">
        <v>46</v>
      </c>
      <c r="AK349" s="84">
        <v>0</v>
      </c>
      <c r="BB349" s="43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577</v>
      </c>
      <c r="B350" s="63" t="s">
        <v>578</v>
      </c>
      <c r="C350" s="36">
        <v>4301011859</v>
      </c>
      <c r="D350" s="671">
        <v>4680115885608</v>
      </c>
      <c r="E350" s="671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140</v>
      </c>
      <c r="L350" s="37" t="s">
        <v>46</v>
      </c>
      <c r="M350" s="38" t="s">
        <v>132</v>
      </c>
      <c r="N350" s="38"/>
      <c r="O350" s="37">
        <v>55</v>
      </c>
      <c r="P350" s="8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32" t="s">
        <v>579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">
      <c r="A351" s="679"/>
      <c r="B351" s="679"/>
      <c r="C351" s="679"/>
      <c r="D351" s="679"/>
      <c r="E351" s="679"/>
      <c r="F351" s="679"/>
      <c r="G351" s="679"/>
      <c r="H351" s="679"/>
      <c r="I351" s="679"/>
      <c r="J351" s="679"/>
      <c r="K351" s="679"/>
      <c r="L351" s="679"/>
      <c r="M351" s="679"/>
      <c r="N351" s="679"/>
      <c r="O351" s="680"/>
      <c r="P351" s="676" t="s">
        <v>40</v>
      </c>
      <c r="Q351" s="677"/>
      <c r="R351" s="677"/>
      <c r="S351" s="677"/>
      <c r="T351" s="677"/>
      <c r="U351" s="677"/>
      <c r="V351" s="678"/>
      <c r="W351" s="42" t="s">
        <v>39</v>
      </c>
      <c r="X351" s="43">
        <f>IFERROR(X346/H346,"0")+IFERROR(X347/H347,"0")+IFERROR(X348/H348,"0")+IFERROR(X349/H349,"0")+IFERROR(X350/H350,"0")</f>
        <v>0</v>
      </c>
      <c r="Y351" s="43">
        <f>IFERROR(Y346/H346,"0")+IFERROR(Y347/H347,"0")+IFERROR(Y348/H348,"0")+IFERROR(Y349/H349,"0")+IFERROR(Y350/H350,"0")</f>
        <v>0</v>
      </c>
      <c r="Z351" s="43">
        <f>IFERROR(IF(Z346="",0,Z346),"0")+IFERROR(IF(Z347="",0,Z347),"0")+IFERROR(IF(Z348="",0,Z348),"0")+IFERROR(IF(Z349="",0,Z349),"0")+IFERROR(IF(Z350="",0,Z350),"0")</f>
        <v>0</v>
      </c>
      <c r="AA351" s="67"/>
      <c r="AB351" s="67"/>
      <c r="AC351" s="67"/>
    </row>
    <row r="352" spans="1:68" x14ac:dyDescent="0.2">
      <c r="A352" s="679"/>
      <c r="B352" s="679"/>
      <c r="C352" s="679"/>
      <c r="D352" s="679"/>
      <c r="E352" s="679"/>
      <c r="F352" s="679"/>
      <c r="G352" s="679"/>
      <c r="H352" s="679"/>
      <c r="I352" s="679"/>
      <c r="J352" s="679"/>
      <c r="K352" s="679"/>
      <c r="L352" s="679"/>
      <c r="M352" s="679"/>
      <c r="N352" s="679"/>
      <c r="O352" s="680"/>
      <c r="P352" s="676" t="s">
        <v>40</v>
      </c>
      <c r="Q352" s="677"/>
      <c r="R352" s="677"/>
      <c r="S352" s="677"/>
      <c r="T352" s="677"/>
      <c r="U352" s="677"/>
      <c r="V352" s="678"/>
      <c r="W352" s="42" t="s">
        <v>0</v>
      </c>
      <c r="X352" s="43">
        <f>IFERROR(SUM(X346:X350),"0")</f>
        <v>0</v>
      </c>
      <c r="Y352" s="43">
        <f>IFERROR(SUM(Y346:Y350),"0")</f>
        <v>0</v>
      </c>
      <c r="Z352" s="42"/>
      <c r="AA352" s="67"/>
      <c r="AB352" s="67"/>
      <c r="AC352" s="67"/>
    </row>
    <row r="353" spans="1:68" ht="14.25" customHeight="1" x14ac:dyDescent="0.25">
      <c r="A353" s="670" t="s">
        <v>77</v>
      </c>
      <c r="B353" s="670"/>
      <c r="C353" s="670"/>
      <c r="D353" s="670"/>
      <c r="E353" s="670"/>
      <c r="F353" s="670"/>
      <c r="G353" s="670"/>
      <c r="H353" s="670"/>
      <c r="I353" s="670"/>
      <c r="J353" s="670"/>
      <c r="K353" s="670"/>
      <c r="L353" s="670"/>
      <c r="M353" s="670"/>
      <c r="N353" s="670"/>
      <c r="O353" s="670"/>
      <c r="P353" s="670"/>
      <c r="Q353" s="670"/>
      <c r="R353" s="670"/>
      <c r="S353" s="670"/>
      <c r="T353" s="670"/>
      <c r="U353" s="670"/>
      <c r="V353" s="670"/>
      <c r="W353" s="670"/>
      <c r="X353" s="670"/>
      <c r="Y353" s="670"/>
      <c r="Z353" s="670"/>
      <c r="AA353" s="66"/>
      <c r="AB353" s="66"/>
      <c r="AC353" s="80"/>
    </row>
    <row r="354" spans="1:68" ht="27" customHeight="1" x14ac:dyDescent="0.25">
      <c r="A354" s="63" t="s">
        <v>580</v>
      </c>
      <c r="B354" s="63" t="s">
        <v>581</v>
      </c>
      <c r="C354" s="36">
        <v>4301030878</v>
      </c>
      <c r="D354" s="671">
        <v>4607091387193</v>
      </c>
      <c r="E354" s="671"/>
      <c r="F354" s="62">
        <v>0.7</v>
      </c>
      <c r="G354" s="37">
        <v>6</v>
      </c>
      <c r="H354" s="62">
        <v>4.2</v>
      </c>
      <c r="I354" s="62">
        <v>4.45</v>
      </c>
      <c r="J354" s="37">
        <v>132</v>
      </c>
      <c r="K354" s="37" t="s">
        <v>140</v>
      </c>
      <c r="L354" s="37" t="s">
        <v>46</v>
      </c>
      <c r="M354" s="38" t="s">
        <v>81</v>
      </c>
      <c r="N354" s="38"/>
      <c r="O354" s="37">
        <v>35</v>
      </c>
      <c r="P354" s="8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73"/>
      <c r="R354" s="673"/>
      <c r="S354" s="673"/>
      <c r="T354" s="67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ref="Y354:Y360" si="47"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34" t="s">
        <v>582</v>
      </c>
      <c r="AG354" s="78"/>
      <c r="AJ354" s="84" t="s">
        <v>46</v>
      </c>
      <c r="AK354" s="84">
        <v>0</v>
      </c>
      <c r="BB354" s="435" t="s">
        <v>67</v>
      </c>
      <c r="BM354" s="78">
        <f t="shared" ref="BM354:BM360" si="48">IFERROR(X354*I354/H354,"0")</f>
        <v>0</v>
      </c>
      <c r="BN354" s="78">
        <f t="shared" ref="BN354:BN360" si="49">IFERROR(Y354*I354/H354,"0")</f>
        <v>0</v>
      </c>
      <c r="BO354" s="78">
        <f t="shared" ref="BO354:BO360" si="50">IFERROR(1/J354*(X354/H354),"0")</f>
        <v>0</v>
      </c>
      <c r="BP354" s="78">
        <f t="shared" ref="BP354:BP360" si="51">IFERROR(1/J354*(Y354/H354),"0")</f>
        <v>0</v>
      </c>
    </row>
    <row r="355" spans="1:68" ht="27" customHeight="1" x14ac:dyDescent="0.25">
      <c r="A355" s="63" t="s">
        <v>583</v>
      </c>
      <c r="B355" s="63" t="s">
        <v>584</v>
      </c>
      <c r="C355" s="36">
        <v>4301031153</v>
      </c>
      <c r="D355" s="671">
        <v>4607091387230</v>
      </c>
      <c r="E355" s="671"/>
      <c r="F355" s="62">
        <v>0.7</v>
      </c>
      <c r="G355" s="37">
        <v>6</v>
      </c>
      <c r="H355" s="62">
        <v>4.2</v>
      </c>
      <c r="I355" s="62">
        <v>4.45</v>
      </c>
      <c r="J355" s="37">
        <v>132</v>
      </c>
      <c r="K355" s="37" t="s">
        <v>140</v>
      </c>
      <c r="L355" s="37" t="s">
        <v>46</v>
      </c>
      <c r="M355" s="38" t="s">
        <v>81</v>
      </c>
      <c r="N355" s="38"/>
      <c r="O355" s="37">
        <v>40</v>
      </c>
      <c r="P355" s="8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73"/>
      <c r="R355" s="673"/>
      <c r="S355" s="673"/>
      <c r="T355" s="67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36" t="s">
        <v>585</v>
      </c>
      <c r="AG355" s="78"/>
      <c r="AJ355" s="84" t="s">
        <v>46</v>
      </c>
      <c r="AK355" s="84">
        <v>0</v>
      </c>
      <c r="BB355" s="437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586</v>
      </c>
      <c r="B356" s="63" t="s">
        <v>587</v>
      </c>
      <c r="C356" s="36">
        <v>4301031154</v>
      </c>
      <c r="D356" s="671">
        <v>4607091387292</v>
      </c>
      <c r="E356" s="671"/>
      <c r="F356" s="62">
        <v>0.73</v>
      </c>
      <c r="G356" s="37">
        <v>6</v>
      </c>
      <c r="H356" s="62">
        <v>4.38</v>
      </c>
      <c r="I356" s="62">
        <v>4.63</v>
      </c>
      <c r="J356" s="37">
        <v>132</v>
      </c>
      <c r="K356" s="37" t="s">
        <v>140</v>
      </c>
      <c r="L356" s="37" t="s">
        <v>46</v>
      </c>
      <c r="M356" s="38" t="s">
        <v>81</v>
      </c>
      <c r="N356" s="38"/>
      <c r="O356" s="37">
        <v>45</v>
      </c>
      <c r="P356" s="8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73"/>
      <c r="R356" s="673"/>
      <c r="S356" s="673"/>
      <c r="T356" s="67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38" t="s">
        <v>588</v>
      </c>
      <c r="AG356" s="78"/>
      <c r="AJ356" s="84" t="s">
        <v>46</v>
      </c>
      <c r="AK356" s="84">
        <v>0</v>
      </c>
      <c r="BB356" s="439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589</v>
      </c>
      <c r="B357" s="63" t="s">
        <v>590</v>
      </c>
      <c r="C357" s="36">
        <v>4301031152</v>
      </c>
      <c r="D357" s="671">
        <v>4607091387285</v>
      </c>
      <c r="E357" s="671"/>
      <c r="F357" s="62">
        <v>0.35</v>
      </c>
      <c r="G357" s="37">
        <v>6</v>
      </c>
      <c r="H357" s="62">
        <v>2.1</v>
      </c>
      <c r="I357" s="62">
        <v>2.23</v>
      </c>
      <c r="J357" s="37">
        <v>234</v>
      </c>
      <c r="K357" s="37" t="s">
        <v>82</v>
      </c>
      <c r="L357" s="37" t="s">
        <v>46</v>
      </c>
      <c r="M357" s="38" t="s">
        <v>81</v>
      </c>
      <c r="N357" s="38"/>
      <c r="O357" s="37">
        <v>40</v>
      </c>
      <c r="P357" s="8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IFERROR(IF(Y357=0,"",ROUNDUP(Y357/H357,0)*0.00502),"")</f>
        <v/>
      </c>
      <c r="AA357" s="68" t="s">
        <v>46</v>
      </c>
      <c r="AB357" s="69" t="s">
        <v>46</v>
      </c>
      <c r="AC357" s="440" t="s">
        <v>585</v>
      </c>
      <c r="AG357" s="78"/>
      <c r="AJ357" s="84" t="s">
        <v>46</v>
      </c>
      <c r="AK357" s="84">
        <v>0</v>
      </c>
      <c r="BB357" s="441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591</v>
      </c>
      <c r="B358" s="63" t="s">
        <v>592</v>
      </c>
      <c r="C358" s="36">
        <v>4301031305</v>
      </c>
      <c r="D358" s="671">
        <v>4607091389845</v>
      </c>
      <c r="E358" s="671"/>
      <c r="F358" s="62">
        <v>0.35</v>
      </c>
      <c r="G358" s="37">
        <v>6</v>
      </c>
      <c r="H358" s="62">
        <v>2.1</v>
      </c>
      <c r="I358" s="62">
        <v>2.2000000000000002</v>
      </c>
      <c r="J358" s="37">
        <v>234</v>
      </c>
      <c r="K358" s="37" t="s">
        <v>82</v>
      </c>
      <c r="L358" s="37" t="s">
        <v>46</v>
      </c>
      <c r="M358" s="38" t="s">
        <v>81</v>
      </c>
      <c r="N358" s="38"/>
      <c r="O358" s="37">
        <v>40</v>
      </c>
      <c r="P358" s="8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IFERROR(IF(Y358=0,"",ROUNDUP(Y358/H358,0)*0.00502),"")</f>
        <v/>
      </c>
      <c r="AA358" s="68" t="s">
        <v>46</v>
      </c>
      <c r="AB358" s="69" t="s">
        <v>46</v>
      </c>
      <c r="AC358" s="442" t="s">
        <v>593</v>
      </c>
      <c r="AG358" s="78"/>
      <c r="AJ358" s="84" t="s">
        <v>46</v>
      </c>
      <c r="AK358" s="84">
        <v>0</v>
      </c>
      <c r="BB358" s="443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4301031460</v>
      </c>
      <c r="D359" s="671">
        <v>4680115887442</v>
      </c>
      <c r="E359" s="671"/>
      <c r="F359" s="62">
        <v>0.73</v>
      </c>
      <c r="G359" s="37">
        <v>6</v>
      </c>
      <c r="H359" s="62">
        <v>4.38</v>
      </c>
      <c r="I359" s="62">
        <v>4.63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45</v>
      </c>
      <c r="P359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73"/>
      <c r="R359" s="673"/>
      <c r="S359" s="673"/>
      <c r="T359" s="67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7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588</v>
      </c>
      <c r="AG359" s="78"/>
      <c r="AJ359" s="84" t="s">
        <v>46</v>
      </c>
      <c r="AK359" s="84">
        <v>0</v>
      </c>
      <c r="BB359" s="445" t="s">
        <v>67</v>
      </c>
      <c r="BM359" s="78">
        <f t="shared" si="48"/>
        <v>0</v>
      </c>
      <c r="BN359" s="78">
        <f t="shared" si="49"/>
        <v>0</v>
      </c>
      <c r="BO359" s="78">
        <f t="shared" si="50"/>
        <v>0</v>
      </c>
      <c r="BP359" s="78">
        <f t="shared" si="51"/>
        <v>0</v>
      </c>
    </row>
    <row r="360" spans="1:68" ht="27" customHeight="1" x14ac:dyDescent="0.25">
      <c r="A360" s="63" t="s">
        <v>596</v>
      </c>
      <c r="B360" s="63" t="s">
        <v>597</v>
      </c>
      <c r="C360" s="36">
        <v>4301031066</v>
      </c>
      <c r="D360" s="671">
        <v>4607091383836</v>
      </c>
      <c r="E360" s="671"/>
      <c r="F360" s="62">
        <v>0.3</v>
      </c>
      <c r="G360" s="37">
        <v>6</v>
      </c>
      <c r="H360" s="62">
        <v>1.8</v>
      </c>
      <c r="I360" s="62">
        <v>2.028</v>
      </c>
      <c r="J360" s="37">
        <v>182</v>
      </c>
      <c r="K360" s="37" t="s">
        <v>91</v>
      </c>
      <c r="L360" s="37" t="s">
        <v>46</v>
      </c>
      <c r="M360" s="38" t="s">
        <v>81</v>
      </c>
      <c r="N360" s="38"/>
      <c r="O360" s="37">
        <v>40</v>
      </c>
      <c r="P360" s="8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73"/>
      <c r="R360" s="673"/>
      <c r="S360" s="673"/>
      <c r="T360" s="67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IFERROR(IF(Y360=0,"",ROUNDUP(Y360/H360,0)*0.00651),"")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x14ac:dyDescent="0.2">
      <c r="A361" s="679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76" t="s">
        <v>40</v>
      </c>
      <c r="Q361" s="677"/>
      <c r="R361" s="677"/>
      <c r="S361" s="677"/>
      <c r="T361" s="677"/>
      <c r="U361" s="677"/>
      <c r="V361" s="678"/>
      <c r="W361" s="42" t="s">
        <v>39</v>
      </c>
      <c r="X361" s="43">
        <f>IFERROR(X354/H354,"0")+IFERROR(X355/H355,"0")+IFERROR(X356/H356,"0")+IFERROR(X357/H357,"0")+IFERROR(X358/H358,"0")+IFERROR(X359/H359,"0")+IFERROR(X360/H360,"0")</f>
        <v>0</v>
      </c>
      <c r="Y361" s="43">
        <f>IFERROR(Y354/H354,"0")+IFERROR(Y355/H355,"0")+IFERROR(Y356/H356,"0")+IFERROR(Y357/H357,"0")+IFERROR(Y358/H358,"0")+IFERROR(Y359/H359,"0")+IFERROR(Y360/H360,"0")</f>
        <v>0</v>
      </c>
      <c r="Z361" s="43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7"/>
      <c r="AB361" s="67"/>
      <c r="AC361" s="67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76" t="s">
        <v>40</v>
      </c>
      <c r="Q362" s="677"/>
      <c r="R362" s="677"/>
      <c r="S362" s="677"/>
      <c r="T362" s="677"/>
      <c r="U362" s="677"/>
      <c r="V362" s="678"/>
      <c r="W362" s="42" t="s">
        <v>0</v>
      </c>
      <c r="X362" s="43">
        <f>IFERROR(SUM(X354:X360),"0")</f>
        <v>0</v>
      </c>
      <c r="Y362" s="43">
        <f>IFERROR(SUM(Y354:Y360),"0")</f>
        <v>0</v>
      </c>
      <c r="Z362" s="42"/>
      <c r="AA362" s="67"/>
      <c r="AB362" s="67"/>
      <c r="AC362" s="67"/>
    </row>
    <row r="363" spans="1:68" ht="14.25" customHeight="1" x14ac:dyDescent="0.25">
      <c r="A363" s="670" t="s">
        <v>86</v>
      </c>
      <c r="B363" s="670"/>
      <c r="C363" s="670"/>
      <c r="D363" s="670"/>
      <c r="E363" s="670"/>
      <c r="F363" s="670"/>
      <c r="G363" s="670"/>
      <c r="H363" s="670"/>
      <c r="I363" s="670"/>
      <c r="J363" s="670"/>
      <c r="K363" s="670"/>
      <c r="L363" s="670"/>
      <c r="M363" s="670"/>
      <c r="N363" s="670"/>
      <c r="O363" s="670"/>
      <c r="P363" s="670"/>
      <c r="Q363" s="670"/>
      <c r="R363" s="670"/>
      <c r="S363" s="670"/>
      <c r="T363" s="670"/>
      <c r="U363" s="670"/>
      <c r="V363" s="670"/>
      <c r="W363" s="670"/>
      <c r="X363" s="670"/>
      <c r="Y363" s="670"/>
      <c r="Z363" s="670"/>
      <c r="AA363" s="66"/>
      <c r="AB363" s="66"/>
      <c r="AC363" s="80"/>
    </row>
    <row r="364" spans="1:68" ht="27" customHeight="1" x14ac:dyDescent="0.25">
      <c r="A364" s="63" t="s">
        <v>599</v>
      </c>
      <c r="B364" s="63" t="s">
        <v>600</v>
      </c>
      <c r="C364" s="36">
        <v>4301051100</v>
      </c>
      <c r="D364" s="671">
        <v>4607091387766</v>
      </c>
      <c r="E364" s="671"/>
      <c r="F364" s="62">
        <v>1.3</v>
      </c>
      <c r="G364" s="37">
        <v>6</v>
      </c>
      <c r="H364" s="62">
        <v>7.8</v>
      </c>
      <c r="I364" s="62">
        <v>8.2880000000000003</v>
      </c>
      <c r="J364" s="37">
        <v>64</v>
      </c>
      <c r="K364" s="37" t="s">
        <v>133</v>
      </c>
      <c r="L364" s="37" t="s">
        <v>46</v>
      </c>
      <c r="M364" s="38" t="s">
        <v>90</v>
      </c>
      <c r="N364" s="38"/>
      <c r="O364" s="37">
        <v>40</v>
      </c>
      <c r="P364" s="8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601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602</v>
      </c>
      <c r="B365" s="63" t="s">
        <v>603</v>
      </c>
      <c r="C365" s="36">
        <v>4301051818</v>
      </c>
      <c r="D365" s="671">
        <v>4607091387957</v>
      </c>
      <c r="E365" s="671"/>
      <c r="F365" s="62">
        <v>1.3</v>
      </c>
      <c r="G365" s="37">
        <v>6</v>
      </c>
      <c r="H365" s="62">
        <v>7.8</v>
      </c>
      <c r="I365" s="62">
        <v>8.2940000000000005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40</v>
      </c>
      <c r="P365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604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37.5" customHeight="1" x14ac:dyDescent="0.25">
      <c r="A366" s="63" t="s">
        <v>605</v>
      </c>
      <c r="B366" s="63" t="s">
        <v>606</v>
      </c>
      <c r="C366" s="36">
        <v>4301051819</v>
      </c>
      <c r="D366" s="671">
        <v>4607091387964</v>
      </c>
      <c r="E366" s="671"/>
      <c r="F366" s="62">
        <v>1.35</v>
      </c>
      <c r="G366" s="37">
        <v>6</v>
      </c>
      <c r="H366" s="62">
        <v>8.1</v>
      </c>
      <c r="I366" s="62">
        <v>8.5760000000000005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40</v>
      </c>
      <c r="P366" s="8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73"/>
      <c r="R366" s="673"/>
      <c r="S366" s="673"/>
      <c r="T366" s="674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607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608</v>
      </c>
      <c r="B367" s="63" t="s">
        <v>609</v>
      </c>
      <c r="C367" s="36">
        <v>4301051734</v>
      </c>
      <c r="D367" s="671">
        <v>4680115884588</v>
      </c>
      <c r="E367" s="671"/>
      <c r="F367" s="62">
        <v>0.5</v>
      </c>
      <c r="G367" s="37">
        <v>6</v>
      </c>
      <c r="H367" s="62">
        <v>3</v>
      </c>
      <c r="I367" s="62">
        <v>3.246</v>
      </c>
      <c r="J367" s="37">
        <v>182</v>
      </c>
      <c r="K367" s="37" t="s">
        <v>91</v>
      </c>
      <c r="L367" s="37" t="s">
        <v>46</v>
      </c>
      <c r="M367" s="38" t="s">
        <v>90</v>
      </c>
      <c r="N367" s="38"/>
      <c r="O367" s="37">
        <v>40</v>
      </c>
      <c r="P367" s="8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73"/>
      <c r="R367" s="673"/>
      <c r="S367" s="673"/>
      <c r="T367" s="674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54" t="s">
        <v>601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76" t="s">
        <v>40</v>
      </c>
      <c r="Q368" s="677"/>
      <c r="R368" s="677"/>
      <c r="S368" s="677"/>
      <c r="T368" s="677"/>
      <c r="U368" s="677"/>
      <c r="V368" s="678"/>
      <c r="W368" s="42" t="s">
        <v>39</v>
      </c>
      <c r="X368" s="43">
        <f>IFERROR(X364/H364,"0")+IFERROR(X365/H365,"0")+IFERROR(X366/H366,"0")+IFERROR(X367/H367,"0")</f>
        <v>0</v>
      </c>
      <c r="Y368" s="43">
        <f>IFERROR(Y364/H364,"0")+IFERROR(Y365/H365,"0")+IFERROR(Y366/H366,"0")+IFERROR(Y367/H367,"0")</f>
        <v>0</v>
      </c>
      <c r="Z368" s="43">
        <f>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79"/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80"/>
      <c r="P369" s="676" t="s">
        <v>40</v>
      </c>
      <c r="Q369" s="677"/>
      <c r="R369" s="677"/>
      <c r="S369" s="677"/>
      <c r="T369" s="677"/>
      <c r="U369" s="677"/>
      <c r="V369" s="678"/>
      <c r="W369" s="42" t="s">
        <v>0</v>
      </c>
      <c r="X369" s="43">
        <f>IFERROR(SUM(X364:X367),"0")</f>
        <v>0</v>
      </c>
      <c r="Y369" s="43">
        <f>IFERROR(SUM(Y364:Y367),"0")</f>
        <v>0</v>
      </c>
      <c r="Z369" s="42"/>
      <c r="AA369" s="67"/>
      <c r="AB369" s="67"/>
      <c r="AC369" s="67"/>
    </row>
    <row r="370" spans="1:68" ht="14.25" customHeight="1" x14ac:dyDescent="0.25">
      <c r="A370" s="670" t="s">
        <v>180</v>
      </c>
      <c r="B370" s="670"/>
      <c r="C370" s="670"/>
      <c r="D370" s="670"/>
      <c r="E370" s="670"/>
      <c r="F370" s="670"/>
      <c r="G370" s="670"/>
      <c r="H370" s="670"/>
      <c r="I370" s="670"/>
      <c r="J370" s="670"/>
      <c r="K370" s="670"/>
      <c r="L370" s="670"/>
      <c r="M370" s="670"/>
      <c r="N370" s="670"/>
      <c r="O370" s="670"/>
      <c r="P370" s="670"/>
      <c r="Q370" s="670"/>
      <c r="R370" s="670"/>
      <c r="S370" s="670"/>
      <c r="T370" s="670"/>
      <c r="U370" s="670"/>
      <c r="V370" s="670"/>
      <c r="W370" s="670"/>
      <c r="X370" s="670"/>
      <c r="Y370" s="670"/>
      <c r="Z370" s="670"/>
      <c r="AA370" s="66"/>
      <c r="AB370" s="66"/>
      <c r="AC370" s="80"/>
    </row>
    <row r="371" spans="1:68" ht="27" customHeight="1" x14ac:dyDescent="0.25">
      <c r="A371" s="63" t="s">
        <v>610</v>
      </c>
      <c r="B371" s="63" t="s">
        <v>611</v>
      </c>
      <c r="C371" s="36">
        <v>4301060387</v>
      </c>
      <c r="D371" s="671">
        <v>4607091380880</v>
      </c>
      <c r="E371" s="671"/>
      <c r="F371" s="62">
        <v>1.4</v>
      </c>
      <c r="G371" s="37">
        <v>6</v>
      </c>
      <c r="H371" s="62">
        <v>8.4</v>
      </c>
      <c r="I371" s="62">
        <v>8.8940000000000001</v>
      </c>
      <c r="J371" s="37">
        <v>64</v>
      </c>
      <c r="K371" s="37" t="s">
        <v>133</v>
      </c>
      <c r="L371" s="37" t="s">
        <v>46</v>
      </c>
      <c r="M371" s="38" t="s">
        <v>90</v>
      </c>
      <c r="N371" s="38"/>
      <c r="O371" s="37">
        <v>30</v>
      </c>
      <c r="P371" s="8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6" t="s">
        <v>612</v>
      </c>
      <c r="AG371" s="78"/>
      <c r="AJ371" s="84" t="s">
        <v>46</v>
      </c>
      <c r="AK371" s="84">
        <v>0</v>
      </c>
      <c r="BB371" s="457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613</v>
      </c>
      <c r="B372" s="63" t="s">
        <v>614</v>
      </c>
      <c r="C372" s="36">
        <v>4301060406</v>
      </c>
      <c r="D372" s="671">
        <v>4607091384482</v>
      </c>
      <c r="E372" s="671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30</v>
      </c>
      <c r="P372" s="8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8" t="s">
        <v>615</v>
      </c>
      <c r="AG372" s="78"/>
      <c r="AJ372" s="84" t="s">
        <v>46</v>
      </c>
      <c r="AK372" s="84">
        <v>0</v>
      </c>
      <c r="BB372" s="459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16.5" customHeight="1" x14ac:dyDescent="0.25">
      <c r="A373" s="63" t="s">
        <v>616</v>
      </c>
      <c r="B373" s="63" t="s">
        <v>617</v>
      </c>
      <c r="C373" s="36">
        <v>4301060484</v>
      </c>
      <c r="D373" s="671">
        <v>4607091380897</v>
      </c>
      <c r="E373" s="671"/>
      <c r="F373" s="62">
        <v>1.4</v>
      </c>
      <c r="G373" s="37">
        <v>6</v>
      </c>
      <c r="H373" s="62">
        <v>8.4</v>
      </c>
      <c r="I373" s="62">
        <v>8.8940000000000001</v>
      </c>
      <c r="J373" s="37">
        <v>64</v>
      </c>
      <c r="K373" s="37" t="s">
        <v>133</v>
      </c>
      <c r="L373" s="37" t="s">
        <v>46</v>
      </c>
      <c r="M373" s="38" t="s">
        <v>97</v>
      </c>
      <c r="N373" s="38"/>
      <c r="O373" s="37">
        <v>30</v>
      </c>
      <c r="P373" s="86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0" t="s">
        <v>618</v>
      </c>
      <c r="AG373" s="78"/>
      <c r="AJ373" s="84" t="s">
        <v>46</v>
      </c>
      <c r="AK373" s="84">
        <v>0</v>
      </c>
      <c r="BB373" s="461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79"/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80"/>
      <c r="P374" s="676" t="s">
        <v>40</v>
      </c>
      <c r="Q374" s="677"/>
      <c r="R374" s="677"/>
      <c r="S374" s="677"/>
      <c r="T374" s="677"/>
      <c r="U374" s="677"/>
      <c r="V374" s="678"/>
      <c r="W374" s="42" t="s">
        <v>39</v>
      </c>
      <c r="X374" s="43">
        <f>IFERROR(X371/H371,"0")+IFERROR(X372/H372,"0")+IFERROR(X373/H373,"0")</f>
        <v>0</v>
      </c>
      <c r="Y374" s="43">
        <f>IFERROR(Y371/H371,"0")+IFERROR(Y372/H372,"0")+IFERROR(Y373/H373,"0")</f>
        <v>0</v>
      </c>
      <c r="Z374" s="43">
        <f>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679"/>
      <c r="B375" s="679"/>
      <c r="C375" s="679"/>
      <c r="D375" s="679"/>
      <c r="E375" s="679"/>
      <c r="F375" s="679"/>
      <c r="G375" s="679"/>
      <c r="H375" s="679"/>
      <c r="I375" s="679"/>
      <c r="J375" s="679"/>
      <c r="K375" s="679"/>
      <c r="L375" s="679"/>
      <c r="M375" s="679"/>
      <c r="N375" s="679"/>
      <c r="O375" s="680"/>
      <c r="P375" s="676" t="s">
        <v>40</v>
      </c>
      <c r="Q375" s="677"/>
      <c r="R375" s="677"/>
      <c r="S375" s="677"/>
      <c r="T375" s="677"/>
      <c r="U375" s="677"/>
      <c r="V375" s="678"/>
      <c r="W375" s="42" t="s">
        <v>0</v>
      </c>
      <c r="X375" s="43">
        <f>IFERROR(SUM(X371:X373),"0")</f>
        <v>0</v>
      </c>
      <c r="Y375" s="43">
        <f>IFERROR(SUM(Y371:Y373),"0")</f>
        <v>0</v>
      </c>
      <c r="Z375" s="42"/>
      <c r="AA375" s="67"/>
      <c r="AB375" s="67"/>
      <c r="AC375" s="67"/>
    </row>
    <row r="376" spans="1:68" ht="14.25" customHeight="1" x14ac:dyDescent="0.25">
      <c r="A376" s="670" t="s">
        <v>107</v>
      </c>
      <c r="B376" s="670"/>
      <c r="C376" s="670"/>
      <c r="D376" s="670"/>
      <c r="E376" s="670"/>
      <c r="F376" s="670"/>
      <c r="G376" s="670"/>
      <c r="H376" s="670"/>
      <c r="I376" s="670"/>
      <c r="J376" s="670"/>
      <c r="K376" s="670"/>
      <c r="L376" s="670"/>
      <c r="M376" s="670"/>
      <c r="N376" s="670"/>
      <c r="O376" s="670"/>
      <c r="P376" s="670"/>
      <c r="Q376" s="670"/>
      <c r="R376" s="670"/>
      <c r="S376" s="670"/>
      <c r="T376" s="670"/>
      <c r="U376" s="670"/>
      <c r="V376" s="670"/>
      <c r="W376" s="670"/>
      <c r="X376" s="670"/>
      <c r="Y376" s="670"/>
      <c r="Z376" s="670"/>
      <c r="AA376" s="66"/>
      <c r="AB376" s="66"/>
      <c r="AC376" s="80"/>
    </row>
    <row r="377" spans="1:68" ht="27" customHeight="1" x14ac:dyDescent="0.25">
      <c r="A377" s="63" t="s">
        <v>619</v>
      </c>
      <c r="B377" s="63" t="s">
        <v>620</v>
      </c>
      <c r="C377" s="36">
        <v>4301030235</v>
      </c>
      <c r="D377" s="671">
        <v>4607091388381</v>
      </c>
      <c r="E377" s="671"/>
      <c r="F377" s="62">
        <v>0.38</v>
      </c>
      <c r="G377" s="37">
        <v>8</v>
      </c>
      <c r="H377" s="62">
        <v>3.04</v>
      </c>
      <c r="I377" s="62">
        <v>3.31</v>
      </c>
      <c r="J377" s="37">
        <v>132</v>
      </c>
      <c r="K377" s="37" t="s">
        <v>140</v>
      </c>
      <c r="L377" s="37" t="s">
        <v>46</v>
      </c>
      <c r="M377" s="38" t="s">
        <v>112</v>
      </c>
      <c r="N377" s="38"/>
      <c r="O377" s="37">
        <v>180</v>
      </c>
      <c r="P377" s="86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73"/>
      <c r="R377" s="673"/>
      <c r="S377" s="673"/>
      <c r="T377" s="67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2" t="s">
        <v>621</v>
      </c>
      <c r="AG377" s="78"/>
      <c r="AJ377" s="84" t="s">
        <v>46</v>
      </c>
      <c r="AK377" s="84">
        <v>0</v>
      </c>
      <c r="BB377" s="463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622</v>
      </c>
      <c r="B378" s="63" t="s">
        <v>623</v>
      </c>
      <c r="C378" s="36">
        <v>4301030232</v>
      </c>
      <c r="D378" s="671">
        <v>4607091388374</v>
      </c>
      <c r="E378" s="671"/>
      <c r="F378" s="62">
        <v>0.38</v>
      </c>
      <c r="G378" s="37">
        <v>8</v>
      </c>
      <c r="H378" s="62">
        <v>3.04</v>
      </c>
      <c r="I378" s="62">
        <v>3.27</v>
      </c>
      <c r="J378" s="37">
        <v>132</v>
      </c>
      <c r="K378" s="37" t="s">
        <v>140</v>
      </c>
      <c r="L378" s="37" t="s">
        <v>46</v>
      </c>
      <c r="M378" s="38" t="s">
        <v>112</v>
      </c>
      <c r="N378" s="38"/>
      <c r="O378" s="37">
        <v>180</v>
      </c>
      <c r="P378" s="8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4" t="s">
        <v>621</v>
      </c>
      <c r="AG378" s="78"/>
      <c r="AJ378" s="84" t="s">
        <v>46</v>
      </c>
      <c r="AK378" s="84">
        <v>0</v>
      </c>
      <c r="BB378" s="465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624</v>
      </c>
      <c r="B379" s="63" t="s">
        <v>625</v>
      </c>
      <c r="C379" s="36">
        <v>4301032015</v>
      </c>
      <c r="D379" s="671">
        <v>4607091383102</v>
      </c>
      <c r="E379" s="671"/>
      <c r="F379" s="62">
        <v>0.17</v>
      </c>
      <c r="G379" s="37">
        <v>15</v>
      </c>
      <c r="H379" s="62">
        <v>2.5499999999999998</v>
      </c>
      <c r="I379" s="62">
        <v>2.9550000000000001</v>
      </c>
      <c r="J379" s="37">
        <v>182</v>
      </c>
      <c r="K379" s="37" t="s">
        <v>91</v>
      </c>
      <c r="L379" s="37" t="s">
        <v>46</v>
      </c>
      <c r="M379" s="38" t="s">
        <v>112</v>
      </c>
      <c r="N379" s="38"/>
      <c r="O379" s="37">
        <v>180</v>
      </c>
      <c r="P379" s="8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46</v>
      </c>
      <c r="AB379" s="69" t="s">
        <v>46</v>
      </c>
      <c r="AC379" s="466" t="s">
        <v>621</v>
      </c>
      <c r="AG379" s="78"/>
      <c r="AJ379" s="84" t="s">
        <v>46</v>
      </c>
      <c r="AK379" s="84">
        <v>0</v>
      </c>
      <c r="BB379" s="467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626</v>
      </c>
      <c r="B380" s="63" t="s">
        <v>627</v>
      </c>
      <c r="C380" s="36">
        <v>4301030233</v>
      </c>
      <c r="D380" s="671">
        <v>4607091388404</v>
      </c>
      <c r="E380" s="671"/>
      <c r="F380" s="62">
        <v>0.17</v>
      </c>
      <c r="G380" s="37">
        <v>15</v>
      </c>
      <c r="H380" s="62">
        <v>2.5499999999999998</v>
      </c>
      <c r="I380" s="62">
        <v>2.88</v>
      </c>
      <c r="J380" s="37">
        <v>182</v>
      </c>
      <c r="K380" s="37" t="s">
        <v>91</v>
      </c>
      <c r="L380" s="37" t="s">
        <v>46</v>
      </c>
      <c r="M380" s="38" t="s">
        <v>112</v>
      </c>
      <c r="N380" s="38"/>
      <c r="O380" s="37">
        <v>180</v>
      </c>
      <c r="P380" s="87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68" t="s">
        <v>621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79"/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80"/>
      <c r="P381" s="676" t="s">
        <v>40</v>
      </c>
      <c r="Q381" s="677"/>
      <c r="R381" s="677"/>
      <c r="S381" s="677"/>
      <c r="T381" s="677"/>
      <c r="U381" s="677"/>
      <c r="V381" s="678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79"/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80"/>
      <c r="P382" s="676" t="s">
        <v>40</v>
      </c>
      <c r="Q382" s="677"/>
      <c r="R382" s="677"/>
      <c r="S382" s="677"/>
      <c r="T382" s="677"/>
      <c r="U382" s="677"/>
      <c r="V382" s="678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customHeight="1" x14ac:dyDescent="0.25">
      <c r="A383" s="670" t="s">
        <v>628</v>
      </c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/>
      <c r="O383" s="670"/>
      <c r="P383" s="670"/>
      <c r="Q383" s="670"/>
      <c r="R383" s="670"/>
      <c r="S383" s="670"/>
      <c r="T383" s="670"/>
      <c r="U383" s="670"/>
      <c r="V383" s="670"/>
      <c r="W383" s="670"/>
      <c r="X383" s="670"/>
      <c r="Y383" s="670"/>
      <c r="Z383" s="670"/>
      <c r="AA383" s="66"/>
      <c r="AB383" s="66"/>
      <c r="AC383" s="80"/>
    </row>
    <row r="384" spans="1:68" ht="16.5" customHeight="1" x14ac:dyDescent="0.25">
      <c r="A384" s="63" t="s">
        <v>629</v>
      </c>
      <c r="B384" s="63" t="s">
        <v>630</v>
      </c>
      <c r="C384" s="36">
        <v>4301180007</v>
      </c>
      <c r="D384" s="671">
        <v>4680115881808</v>
      </c>
      <c r="E384" s="671"/>
      <c r="F384" s="62">
        <v>0.1</v>
      </c>
      <c r="G384" s="37">
        <v>20</v>
      </c>
      <c r="H384" s="62">
        <v>2</v>
      </c>
      <c r="I384" s="62">
        <v>2.2400000000000002</v>
      </c>
      <c r="J384" s="37">
        <v>238</v>
      </c>
      <c r="K384" s="37" t="s">
        <v>91</v>
      </c>
      <c r="L384" s="37" t="s">
        <v>46</v>
      </c>
      <c r="M384" s="38" t="s">
        <v>632</v>
      </c>
      <c r="N384" s="38"/>
      <c r="O384" s="37">
        <v>731</v>
      </c>
      <c r="P384" s="8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IFERROR(IF(Y384=0,"",ROUNDUP(Y384/H384,0)*0.00474),"")</f>
        <v/>
      </c>
      <c r="AA384" s="68" t="s">
        <v>46</v>
      </c>
      <c r="AB384" s="69" t="s">
        <v>46</v>
      </c>
      <c r="AC384" s="470" t="s">
        <v>631</v>
      </c>
      <c r="AG384" s="78"/>
      <c r="AJ384" s="84" t="s">
        <v>46</v>
      </c>
      <c r="AK384" s="84">
        <v>0</v>
      </c>
      <c r="BB384" s="471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633</v>
      </c>
      <c r="B385" s="63" t="s">
        <v>634</v>
      </c>
      <c r="C385" s="36">
        <v>4301180006</v>
      </c>
      <c r="D385" s="671">
        <v>4680115881822</v>
      </c>
      <c r="E385" s="671"/>
      <c r="F385" s="62">
        <v>0.1</v>
      </c>
      <c r="G385" s="37">
        <v>20</v>
      </c>
      <c r="H385" s="62">
        <v>2</v>
      </c>
      <c r="I385" s="62">
        <v>2.2400000000000002</v>
      </c>
      <c r="J385" s="37">
        <v>238</v>
      </c>
      <c r="K385" s="37" t="s">
        <v>91</v>
      </c>
      <c r="L385" s="37" t="s">
        <v>46</v>
      </c>
      <c r="M385" s="38" t="s">
        <v>632</v>
      </c>
      <c r="N385" s="38"/>
      <c r="O385" s="37">
        <v>731</v>
      </c>
      <c r="P385" s="87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73"/>
      <c r="R385" s="673"/>
      <c r="S385" s="673"/>
      <c r="T385" s="67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IFERROR(IF(Y385=0,"",ROUNDUP(Y385/H385,0)*0.00474),"")</f>
        <v/>
      </c>
      <c r="AA385" s="68" t="s">
        <v>46</v>
      </c>
      <c r="AB385" s="69" t="s">
        <v>46</v>
      </c>
      <c r="AC385" s="472" t="s">
        <v>631</v>
      </c>
      <c r="AG385" s="78"/>
      <c r="AJ385" s="84" t="s">
        <v>46</v>
      </c>
      <c r="AK385" s="84">
        <v>0</v>
      </c>
      <c r="BB385" s="473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635</v>
      </c>
      <c r="B386" s="63" t="s">
        <v>636</v>
      </c>
      <c r="C386" s="36">
        <v>4301180001</v>
      </c>
      <c r="D386" s="671">
        <v>4680115880016</v>
      </c>
      <c r="E386" s="671"/>
      <c r="F386" s="62">
        <v>0.1</v>
      </c>
      <c r="G386" s="37">
        <v>20</v>
      </c>
      <c r="H386" s="62">
        <v>2</v>
      </c>
      <c r="I386" s="62">
        <v>2.2400000000000002</v>
      </c>
      <c r="J386" s="37">
        <v>238</v>
      </c>
      <c r="K386" s="37" t="s">
        <v>91</v>
      </c>
      <c r="L386" s="37" t="s">
        <v>46</v>
      </c>
      <c r="M386" s="38" t="s">
        <v>632</v>
      </c>
      <c r="N386" s="38"/>
      <c r="O386" s="37">
        <v>731</v>
      </c>
      <c r="P386" s="87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73"/>
      <c r="R386" s="673"/>
      <c r="S386" s="673"/>
      <c r="T386" s="67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IFERROR(IF(Y386=0,"",ROUNDUP(Y386/H386,0)*0.00474),"")</f>
        <v/>
      </c>
      <c r="AA386" s="68" t="s">
        <v>46</v>
      </c>
      <c r="AB386" s="69" t="s">
        <v>46</v>
      </c>
      <c r="AC386" s="474" t="s">
        <v>631</v>
      </c>
      <c r="AG386" s="78"/>
      <c r="AJ386" s="84" t="s">
        <v>46</v>
      </c>
      <c r="AK386" s="84">
        <v>0</v>
      </c>
      <c r="BB386" s="475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79"/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80"/>
      <c r="P387" s="676" t="s">
        <v>40</v>
      </c>
      <c r="Q387" s="677"/>
      <c r="R387" s="677"/>
      <c r="S387" s="677"/>
      <c r="T387" s="677"/>
      <c r="U387" s="677"/>
      <c r="V387" s="678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79"/>
      <c r="B388" s="679"/>
      <c r="C388" s="679"/>
      <c r="D388" s="679"/>
      <c r="E388" s="679"/>
      <c r="F388" s="679"/>
      <c r="G388" s="679"/>
      <c r="H388" s="679"/>
      <c r="I388" s="679"/>
      <c r="J388" s="679"/>
      <c r="K388" s="679"/>
      <c r="L388" s="679"/>
      <c r="M388" s="679"/>
      <c r="N388" s="679"/>
      <c r="O388" s="680"/>
      <c r="P388" s="676" t="s">
        <v>40</v>
      </c>
      <c r="Q388" s="677"/>
      <c r="R388" s="677"/>
      <c r="S388" s="677"/>
      <c r="T388" s="677"/>
      <c r="U388" s="677"/>
      <c r="V388" s="678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6.5" customHeight="1" x14ac:dyDescent="0.25">
      <c r="A389" s="669" t="s">
        <v>637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65"/>
      <c r="AB389" s="65"/>
      <c r="AC389" s="79"/>
    </row>
    <row r="390" spans="1:68" ht="14.25" customHeight="1" x14ac:dyDescent="0.25">
      <c r="A390" s="670" t="s">
        <v>86</v>
      </c>
      <c r="B390" s="670"/>
      <c r="C390" s="670"/>
      <c r="D390" s="670"/>
      <c r="E390" s="670"/>
      <c r="F390" s="670"/>
      <c r="G390" s="670"/>
      <c r="H390" s="670"/>
      <c r="I390" s="670"/>
      <c r="J390" s="670"/>
      <c r="K390" s="670"/>
      <c r="L390" s="670"/>
      <c r="M390" s="670"/>
      <c r="N390" s="670"/>
      <c r="O390" s="670"/>
      <c r="P390" s="670"/>
      <c r="Q390" s="670"/>
      <c r="R390" s="670"/>
      <c r="S390" s="670"/>
      <c r="T390" s="670"/>
      <c r="U390" s="670"/>
      <c r="V390" s="670"/>
      <c r="W390" s="670"/>
      <c r="X390" s="670"/>
      <c r="Y390" s="670"/>
      <c r="Z390" s="670"/>
      <c r="AA390" s="66"/>
      <c r="AB390" s="66"/>
      <c r="AC390" s="80"/>
    </row>
    <row r="391" spans="1:68" ht="37.5" customHeight="1" x14ac:dyDescent="0.25">
      <c r="A391" s="63" t="s">
        <v>638</v>
      </c>
      <c r="B391" s="63" t="s">
        <v>639</v>
      </c>
      <c r="C391" s="36">
        <v>4301051489</v>
      </c>
      <c r="D391" s="671">
        <v>4607091387919</v>
      </c>
      <c r="E391" s="671"/>
      <c r="F391" s="62">
        <v>1.35</v>
      </c>
      <c r="G391" s="37">
        <v>6</v>
      </c>
      <c r="H391" s="62">
        <v>8.1</v>
      </c>
      <c r="I391" s="62">
        <v>8.5939999999999994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45</v>
      </c>
      <c r="P391" s="8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76" t="s">
        <v>640</v>
      </c>
      <c r="AG391" s="78"/>
      <c r="AJ391" s="84" t="s">
        <v>46</v>
      </c>
      <c r="AK391" s="84">
        <v>0</v>
      </c>
      <c r="BB391" s="47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customHeight="1" x14ac:dyDescent="0.25">
      <c r="A392" s="63" t="s">
        <v>641</v>
      </c>
      <c r="B392" s="63" t="s">
        <v>642</v>
      </c>
      <c r="C392" s="36">
        <v>4301051461</v>
      </c>
      <c r="D392" s="671">
        <v>4680115883604</v>
      </c>
      <c r="E392" s="671"/>
      <c r="F392" s="62">
        <v>0.35</v>
      </c>
      <c r="G392" s="37">
        <v>6</v>
      </c>
      <c r="H392" s="62">
        <v>2.1</v>
      </c>
      <c r="I392" s="62">
        <v>2.3519999999999999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45</v>
      </c>
      <c r="P392" s="8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73"/>
      <c r="R392" s="673"/>
      <c r="S392" s="673"/>
      <c r="T392" s="67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78" t="s">
        <v>643</v>
      </c>
      <c r="AG392" s="78"/>
      <c r="AJ392" s="84" t="s">
        <v>46</v>
      </c>
      <c r="AK392" s="84">
        <v>0</v>
      </c>
      <c r="BB392" s="47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644</v>
      </c>
      <c r="B393" s="63" t="s">
        <v>645</v>
      </c>
      <c r="C393" s="36">
        <v>4301051864</v>
      </c>
      <c r="D393" s="671">
        <v>4680115883567</v>
      </c>
      <c r="E393" s="671"/>
      <c r="F393" s="62">
        <v>0.35</v>
      </c>
      <c r="G393" s="37">
        <v>6</v>
      </c>
      <c r="H393" s="62">
        <v>2.1</v>
      </c>
      <c r="I393" s="62">
        <v>2.34</v>
      </c>
      <c r="J393" s="37">
        <v>182</v>
      </c>
      <c r="K393" s="37" t="s">
        <v>91</v>
      </c>
      <c r="L393" s="37" t="s">
        <v>46</v>
      </c>
      <c r="M393" s="38" t="s">
        <v>97</v>
      </c>
      <c r="N393" s="38"/>
      <c r="O393" s="37">
        <v>40</v>
      </c>
      <c r="P393" s="8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73"/>
      <c r="R393" s="673"/>
      <c r="S393" s="673"/>
      <c r="T393" s="67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80" t="s">
        <v>646</v>
      </c>
      <c r="AG393" s="78"/>
      <c r="AJ393" s="84" t="s">
        <v>46</v>
      </c>
      <c r="AK393" s="84">
        <v>0</v>
      </c>
      <c r="BB393" s="48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76" t="s">
        <v>40</v>
      </c>
      <c r="Q394" s="677"/>
      <c r="R394" s="677"/>
      <c r="S394" s="677"/>
      <c r="T394" s="677"/>
      <c r="U394" s="677"/>
      <c r="V394" s="678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79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76" t="s">
        <v>40</v>
      </c>
      <c r="Q395" s="677"/>
      <c r="R395" s="677"/>
      <c r="S395" s="677"/>
      <c r="T395" s="677"/>
      <c r="U395" s="677"/>
      <c r="V395" s="678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27.75" customHeight="1" x14ac:dyDescent="0.2">
      <c r="A396" s="668" t="s">
        <v>647</v>
      </c>
      <c r="B396" s="668"/>
      <c r="C396" s="668"/>
      <c r="D396" s="668"/>
      <c r="E396" s="668"/>
      <c r="F396" s="668"/>
      <c r="G396" s="668"/>
      <c r="H396" s="668"/>
      <c r="I396" s="668"/>
      <c r="J396" s="668"/>
      <c r="K396" s="668"/>
      <c r="L396" s="668"/>
      <c r="M396" s="668"/>
      <c r="N396" s="668"/>
      <c r="O396" s="668"/>
      <c r="P396" s="668"/>
      <c r="Q396" s="668"/>
      <c r="R396" s="668"/>
      <c r="S396" s="668"/>
      <c r="T396" s="668"/>
      <c r="U396" s="668"/>
      <c r="V396" s="668"/>
      <c r="W396" s="668"/>
      <c r="X396" s="668"/>
      <c r="Y396" s="668"/>
      <c r="Z396" s="668"/>
      <c r="AA396" s="54"/>
      <c r="AB396" s="54"/>
      <c r="AC396" s="54"/>
    </row>
    <row r="397" spans="1:68" ht="16.5" customHeight="1" x14ac:dyDescent="0.25">
      <c r="A397" s="669" t="s">
        <v>648</v>
      </c>
      <c r="B397" s="669"/>
      <c r="C397" s="669"/>
      <c r="D397" s="669"/>
      <c r="E397" s="669"/>
      <c r="F397" s="669"/>
      <c r="G397" s="669"/>
      <c r="H397" s="669"/>
      <c r="I397" s="669"/>
      <c r="J397" s="669"/>
      <c r="K397" s="669"/>
      <c r="L397" s="669"/>
      <c r="M397" s="669"/>
      <c r="N397" s="669"/>
      <c r="O397" s="669"/>
      <c r="P397" s="669"/>
      <c r="Q397" s="669"/>
      <c r="R397" s="669"/>
      <c r="S397" s="669"/>
      <c r="T397" s="669"/>
      <c r="U397" s="669"/>
      <c r="V397" s="669"/>
      <c r="W397" s="669"/>
      <c r="X397" s="669"/>
      <c r="Y397" s="669"/>
      <c r="Z397" s="669"/>
      <c r="AA397" s="65"/>
      <c r="AB397" s="65"/>
      <c r="AC397" s="79"/>
    </row>
    <row r="398" spans="1:68" ht="14.25" customHeight="1" x14ac:dyDescent="0.25">
      <c r="A398" s="670" t="s">
        <v>128</v>
      </c>
      <c r="B398" s="670"/>
      <c r="C398" s="670"/>
      <c r="D398" s="670"/>
      <c r="E398" s="670"/>
      <c r="F398" s="670"/>
      <c r="G398" s="670"/>
      <c r="H398" s="670"/>
      <c r="I398" s="670"/>
      <c r="J398" s="670"/>
      <c r="K398" s="670"/>
      <c r="L398" s="670"/>
      <c r="M398" s="670"/>
      <c r="N398" s="670"/>
      <c r="O398" s="670"/>
      <c r="P398" s="670"/>
      <c r="Q398" s="670"/>
      <c r="R398" s="670"/>
      <c r="S398" s="670"/>
      <c r="T398" s="670"/>
      <c r="U398" s="670"/>
      <c r="V398" s="670"/>
      <c r="W398" s="670"/>
      <c r="X398" s="670"/>
      <c r="Y398" s="670"/>
      <c r="Z398" s="670"/>
      <c r="AA398" s="66"/>
      <c r="AB398" s="66"/>
      <c r="AC398" s="80"/>
    </row>
    <row r="399" spans="1:68" ht="27" customHeight="1" x14ac:dyDescent="0.25">
      <c r="A399" s="63" t="s">
        <v>649</v>
      </c>
      <c r="B399" s="63" t="s">
        <v>650</v>
      </c>
      <c r="C399" s="36">
        <v>4301012332</v>
      </c>
      <c r="D399" s="671">
        <v>4680115888401</v>
      </c>
      <c r="E399" s="671"/>
      <c r="F399" s="62">
        <v>2.5</v>
      </c>
      <c r="G399" s="37">
        <v>6</v>
      </c>
      <c r="H399" s="62">
        <v>15</v>
      </c>
      <c r="I399" s="62">
        <v>15.47</v>
      </c>
      <c r="J399" s="37">
        <v>48</v>
      </c>
      <c r="K399" s="37" t="s">
        <v>133</v>
      </c>
      <c r="L399" s="37" t="s">
        <v>46</v>
      </c>
      <c r="M399" s="38" t="s">
        <v>97</v>
      </c>
      <c r="N399" s="38"/>
      <c r="O399" s="37">
        <v>60</v>
      </c>
      <c r="P399" s="87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73"/>
      <c r="R399" s="673"/>
      <c r="S399" s="673"/>
      <c r="T399" s="674"/>
      <c r="U399" s="39" t="s">
        <v>46</v>
      </c>
      <c r="V399" s="39" t="s">
        <v>46</v>
      </c>
      <c r="W399" s="40" t="s">
        <v>0</v>
      </c>
      <c r="X399" s="58">
        <v>0</v>
      </c>
      <c r="Y399" s="55">
        <f t="shared" ref="Y399:Y406" si="52">IFERROR(IF(X399="",0,CEILING((X399/$H399),1)*$H399),"")</f>
        <v>0</v>
      </c>
      <c r="Z399" s="41" t="str">
        <f>IFERROR(IF(Y399=0,"",ROUNDUP(Y399/H399,0)*0.02175),"")</f>
        <v/>
      </c>
      <c r="AA399" s="68" t="s">
        <v>46</v>
      </c>
      <c r="AB399" s="69" t="s">
        <v>46</v>
      </c>
      <c r="AC399" s="482" t="s">
        <v>651</v>
      </c>
      <c r="AG399" s="78"/>
      <c r="AJ399" s="84" t="s">
        <v>46</v>
      </c>
      <c r="AK399" s="84">
        <v>0</v>
      </c>
      <c r="BB399" s="483" t="s">
        <v>67</v>
      </c>
      <c r="BM399" s="78">
        <f t="shared" ref="BM399:BM406" si="53">IFERROR(X399*I399/H399,"0")</f>
        <v>0</v>
      </c>
      <c r="BN399" s="78">
        <f t="shared" ref="BN399:BN406" si="54">IFERROR(Y399*I399/H399,"0")</f>
        <v>0</v>
      </c>
      <c r="BO399" s="78">
        <f t="shared" ref="BO399:BO406" si="55">IFERROR(1/J399*(X399/H399),"0")</f>
        <v>0</v>
      </c>
      <c r="BP399" s="78">
        <f t="shared" ref="BP399:BP406" si="56">IFERROR(1/J399*(Y399/H399),"0")</f>
        <v>0</v>
      </c>
    </row>
    <row r="400" spans="1:68" ht="37.5" customHeight="1" x14ac:dyDescent="0.25">
      <c r="A400" s="63" t="s">
        <v>652</v>
      </c>
      <c r="B400" s="63" t="s">
        <v>653</v>
      </c>
      <c r="C400" s="36">
        <v>4301011869</v>
      </c>
      <c r="D400" s="671">
        <v>4680115884847</v>
      </c>
      <c r="E400" s="671"/>
      <c r="F400" s="62">
        <v>2.5</v>
      </c>
      <c r="G400" s="37">
        <v>6</v>
      </c>
      <c r="H400" s="62">
        <v>15</v>
      </c>
      <c r="I400" s="62">
        <v>15.47</v>
      </c>
      <c r="J400" s="37">
        <v>48</v>
      </c>
      <c r="K400" s="37" t="s">
        <v>133</v>
      </c>
      <c r="L400" s="37" t="s">
        <v>46</v>
      </c>
      <c r="M400" s="38" t="s">
        <v>81</v>
      </c>
      <c r="N400" s="38"/>
      <c r="O400" s="37">
        <v>60</v>
      </c>
      <c r="P400" s="87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73"/>
      <c r="R400" s="673"/>
      <c r="S400" s="673"/>
      <c r="T400" s="674"/>
      <c r="U400" s="39" t="s">
        <v>46</v>
      </c>
      <c r="V400" s="39" t="s">
        <v>46</v>
      </c>
      <c r="W400" s="40" t="s">
        <v>0</v>
      </c>
      <c r="X400" s="58">
        <v>250</v>
      </c>
      <c r="Y400" s="55">
        <f t="shared" si="52"/>
        <v>255</v>
      </c>
      <c r="Z400" s="41">
        <f>IFERROR(IF(Y400=0,"",ROUNDUP(Y400/H400,0)*0.02175),"")</f>
        <v>0.36974999999999997</v>
      </c>
      <c r="AA400" s="68" t="s">
        <v>46</v>
      </c>
      <c r="AB400" s="69" t="s">
        <v>46</v>
      </c>
      <c r="AC400" s="484" t="s">
        <v>654</v>
      </c>
      <c r="AG400" s="78"/>
      <c r="AJ400" s="84" t="s">
        <v>46</v>
      </c>
      <c r="AK400" s="84">
        <v>0</v>
      </c>
      <c r="BB400" s="485" t="s">
        <v>67</v>
      </c>
      <c r="BM400" s="78">
        <f t="shared" si="53"/>
        <v>257.83333333333331</v>
      </c>
      <c r="BN400" s="78">
        <f t="shared" si="54"/>
        <v>262.99</v>
      </c>
      <c r="BO400" s="78">
        <f t="shared" si="55"/>
        <v>0.34722222222222221</v>
      </c>
      <c r="BP400" s="78">
        <f t="shared" si="56"/>
        <v>0.35416666666666663</v>
      </c>
    </row>
    <row r="401" spans="1:68" ht="27" customHeight="1" x14ac:dyDescent="0.25">
      <c r="A401" s="63" t="s">
        <v>655</v>
      </c>
      <c r="B401" s="63" t="s">
        <v>656</v>
      </c>
      <c r="C401" s="36">
        <v>4301012083</v>
      </c>
      <c r="D401" s="671">
        <v>4680115884854</v>
      </c>
      <c r="E401" s="671"/>
      <c r="F401" s="62">
        <v>2.5</v>
      </c>
      <c r="G401" s="37">
        <v>6</v>
      </c>
      <c r="H401" s="62">
        <v>15</v>
      </c>
      <c r="I401" s="62">
        <v>15.47</v>
      </c>
      <c r="J401" s="37">
        <v>48</v>
      </c>
      <c r="K401" s="37" t="s">
        <v>133</v>
      </c>
      <c r="L401" s="37" t="s">
        <v>46</v>
      </c>
      <c r="M401" s="38" t="s">
        <v>132</v>
      </c>
      <c r="N401" s="38"/>
      <c r="O401" s="37">
        <v>60</v>
      </c>
      <c r="P401" s="8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 t="shared" si="52"/>
        <v>0</v>
      </c>
      <c r="Z401" s="41" t="str">
        <f>IFERROR(IF(Y401=0,"",ROUNDUP(Y401/H401,0)*0.02175),"")</f>
        <v/>
      </c>
      <c r="AA401" s="68" t="s">
        <v>46</v>
      </c>
      <c r="AB401" s="69" t="s">
        <v>46</v>
      </c>
      <c r="AC401" s="486" t="s">
        <v>657</v>
      </c>
      <c r="AG401" s="78"/>
      <c r="AJ401" s="84" t="s">
        <v>46</v>
      </c>
      <c r="AK401" s="84">
        <v>0</v>
      </c>
      <c r="BB401" s="487" t="s">
        <v>67</v>
      </c>
      <c r="BM401" s="78">
        <f t="shared" si="53"/>
        <v>0</v>
      </c>
      <c r="BN401" s="78">
        <f t="shared" si="54"/>
        <v>0</v>
      </c>
      <c r="BO401" s="78">
        <f t="shared" si="55"/>
        <v>0</v>
      </c>
      <c r="BP401" s="78">
        <f t="shared" si="56"/>
        <v>0</v>
      </c>
    </row>
    <row r="402" spans="1:68" ht="27" customHeight="1" x14ac:dyDescent="0.25">
      <c r="A402" s="63" t="s">
        <v>658</v>
      </c>
      <c r="B402" s="63" t="s">
        <v>659</v>
      </c>
      <c r="C402" s="36">
        <v>4301011867</v>
      </c>
      <c r="D402" s="671">
        <v>4680115884830</v>
      </c>
      <c r="E402" s="671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81</v>
      </c>
      <c r="N402" s="38"/>
      <c r="O402" s="37">
        <v>60</v>
      </c>
      <c r="P402" s="8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si="52"/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660</v>
      </c>
      <c r="AG402" s="78"/>
      <c r="AJ402" s="84" t="s">
        <v>46</v>
      </c>
      <c r="AK402" s="84">
        <v>0</v>
      </c>
      <c r="BB402" s="489" t="s">
        <v>67</v>
      </c>
      <c r="BM402" s="78">
        <f t="shared" si="53"/>
        <v>0</v>
      </c>
      <c r="BN402" s="78">
        <f t="shared" si="54"/>
        <v>0</v>
      </c>
      <c r="BO402" s="78">
        <f t="shared" si="55"/>
        <v>0</v>
      </c>
      <c r="BP402" s="78">
        <f t="shared" si="56"/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4301012356</v>
      </c>
      <c r="D403" s="671">
        <v>4680115889231</v>
      </c>
      <c r="E403" s="671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88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si="52"/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si="53"/>
        <v>0</v>
      </c>
      <c r="BN403" s="78">
        <f t="shared" si="54"/>
        <v>0</v>
      </c>
      <c r="BO403" s="78">
        <f t="shared" si="55"/>
        <v>0</v>
      </c>
      <c r="BP403" s="78">
        <f t="shared" si="56"/>
        <v>0</v>
      </c>
    </row>
    <row r="404" spans="1:68" ht="27" customHeight="1" x14ac:dyDescent="0.25">
      <c r="A404" s="63" t="s">
        <v>664</v>
      </c>
      <c r="B404" s="63" t="s">
        <v>665</v>
      </c>
      <c r="C404" s="36">
        <v>4301011433</v>
      </c>
      <c r="D404" s="671">
        <v>4680115882638</v>
      </c>
      <c r="E404" s="671"/>
      <c r="F404" s="62">
        <v>0.4</v>
      </c>
      <c r="G404" s="37">
        <v>10</v>
      </c>
      <c r="H404" s="62">
        <v>4</v>
      </c>
      <c r="I404" s="62">
        <v>4.1900000000000004</v>
      </c>
      <c r="J404" s="37">
        <v>132</v>
      </c>
      <c r="K404" s="37" t="s">
        <v>140</v>
      </c>
      <c r="L404" s="37" t="s">
        <v>46</v>
      </c>
      <c r="M404" s="38" t="s">
        <v>132</v>
      </c>
      <c r="N404" s="38"/>
      <c r="O404" s="37">
        <v>90</v>
      </c>
      <c r="P404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2"/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53"/>
        <v>0</v>
      </c>
      <c r="BN404" s="78">
        <f t="shared" si="54"/>
        <v>0</v>
      </c>
      <c r="BO404" s="78">
        <f t="shared" si="55"/>
        <v>0</v>
      </c>
      <c r="BP404" s="78">
        <f t="shared" si="56"/>
        <v>0</v>
      </c>
    </row>
    <row r="405" spans="1:68" ht="27" customHeight="1" x14ac:dyDescent="0.25">
      <c r="A405" s="63" t="s">
        <v>667</v>
      </c>
      <c r="B405" s="63" t="s">
        <v>668</v>
      </c>
      <c r="C405" s="36">
        <v>4301011952</v>
      </c>
      <c r="D405" s="671">
        <v>4680115884922</v>
      </c>
      <c r="E405" s="671"/>
      <c r="F405" s="62">
        <v>0.5</v>
      </c>
      <c r="G405" s="37">
        <v>10</v>
      </c>
      <c r="H405" s="62">
        <v>5</v>
      </c>
      <c r="I405" s="62">
        <v>5.19</v>
      </c>
      <c r="J405" s="37">
        <v>132</v>
      </c>
      <c r="K405" s="37" t="s">
        <v>140</v>
      </c>
      <c r="L405" s="37" t="s">
        <v>46</v>
      </c>
      <c r="M405" s="38" t="s">
        <v>81</v>
      </c>
      <c r="N405" s="38"/>
      <c r="O405" s="37">
        <v>60</v>
      </c>
      <c r="P405" s="8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73"/>
      <c r="R405" s="673"/>
      <c r="S405" s="673"/>
      <c r="T405" s="674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2"/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0</v>
      </c>
      <c r="BN405" s="78">
        <f t="shared" si="54"/>
        <v>0</v>
      </c>
      <c r="BO405" s="78">
        <f t="shared" si="55"/>
        <v>0</v>
      </c>
      <c r="BP405" s="78">
        <f t="shared" si="56"/>
        <v>0</v>
      </c>
    </row>
    <row r="406" spans="1:68" ht="37.5" customHeight="1" x14ac:dyDescent="0.25">
      <c r="A406" s="63" t="s">
        <v>670</v>
      </c>
      <c r="B406" s="63" t="s">
        <v>671</v>
      </c>
      <c r="C406" s="36">
        <v>4301011868</v>
      </c>
      <c r="D406" s="671">
        <v>4680115884861</v>
      </c>
      <c r="E406" s="671"/>
      <c r="F406" s="62">
        <v>0.5</v>
      </c>
      <c r="G406" s="37">
        <v>10</v>
      </c>
      <c r="H406" s="62">
        <v>5</v>
      </c>
      <c r="I406" s="62">
        <v>5.19</v>
      </c>
      <c r="J406" s="37">
        <v>132</v>
      </c>
      <c r="K406" s="37" t="s">
        <v>140</v>
      </c>
      <c r="L406" s="37" t="s">
        <v>46</v>
      </c>
      <c r="M406" s="38" t="s">
        <v>81</v>
      </c>
      <c r="N406" s="38"/>
      <c r="O406" s="37">
        <v>60</v>
      </c>
      <c r="P406" s="8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73"/>
      <c r="R406" s="673"/>
      <c r="S406" s="673"/>
      <c r="T406" s="674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2"/>
        <v>0</v>
      </c>
      <c r="Z406" s="41" t="str">
        <f>IFERROR(IF(Y406=0,"",ROUNDUP(Y406/H406,0)*0.00902),"")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0</v>
      </c>
      <c r="BN406" s="78">
        <f t="shared" si="54"/>
        <v>0</v>
      </c>
      <c r="BO406" s="78">
        <f t="shared" si="55"/>
        <v>0</v>
      </c>
      <c r="BP406" s="78">
        <f t="shared" si="56"/>
        <v>0</v>
      </c>
    </row>
    <row r="407" spans="1:68" x14ac:dyDescent="0.2">
      <c r="A407" s="679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76" t="s">
        <v>40</v>
      </c>
      <c r="Q407" s="677"/>
      <c r="R407" s="677"/>
      <c r="S407" s="677"/>
      <c r="T407" s="677"/>
      <c r="U407" s="677"/>
      <c r="V407" s="678"/>
      <c r="W407" s="42" t="s">
        <v>39</v>
      </c>
      <c r="X407" s="43">
        <f>IFERROR(X399/H399,"0")+IFERROR(X400/H400,"0")+IFERROR(X401/H401,"0")+IFERROR(X402/H402,"0")+IFERROR(X403/H403,"0")+IFERROR(X404/H404,"0")+IFERROR(X405/H405,"0")+IFERROR(X406/H406,"0")</f>
        <v>16.666666666666668</v>
      </c>
      <c r="Y407" s="43">
        <f>IFERROR(Y399/H399,"0")+IFERROR(Y400/H400,"0")+IFERROR(Y401/H401,"0")+IFERROR(Y402/H402,"0")+IFERROR(Y403/H403,"0")+IFERROR(Y404/H404,"0")+IFERROR(Y405/H405,"0")+IFERROR(Y406/H406,"0")</f>
        <v>17</v>
      </c>
      <c r="Z407" s="4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0.36974999999999997</v>
      </c>
      <c r="AA407" s="67"/>
      <c r="AB407" s="67"/>
      <c r="AC407" s="67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76" t="s">
        <v>40</v>
      </c>
      <c r="Q408" s="677"/>
      <c r="R408" s="677"/>
      <c r="S408" s="677"/>
      <c r="T408" s="677"/>
      <c r="U408" s="677"/>
      <c r="V408" s="678"/>
      <c r="W408" s="42" t="s">
        <v>0</v>
      </c>
      <c r="X408" s="43">
        <f>IFERROR(SUM(X399:X406),"0")</f>
        <v>250</v>
      </c>
      <c r="Y408" s="43">
        <f>IFERROR(SUM(Y399:Y406),"0")</f>
        <v>255</v>
      </c>
      <c r="Z408" s="42"/>
      <c r="AA408" s="67"/>
      <c r="AB408" s="67"/>
      <c r="AC408" s="67"/>
    </row>
    <row r="409" spans="1:68" ht="14.25" customHeight="1" x14ac:dyDescent="0.25">
      <c r="A409" s="670" t="s">
        <v>163</v>
      </c>
      <c r="B409" s="670"/>
      <c r="C409" s="670"/>
      <c r="D409" s="670"/>
      <c r="E409" s="670"/>
      <c r="F409" s="670"/>
      <c r="G409" s="670"/>
      <c r="H409" s="670"/>
      <c r="I409" s="670"/>
      <c r="J409" s="670"/>
      <c r="K409" s="670"/>
      <c r="L409" s="670"/>
      <c r="M409" s="670"/>
      <c r="N409" s="670"/>
      <c r="O409" s="670"/>
      <c r="P409" s="670"/>
      <c r="Q409" s="670"/>
      <c r="R409" s="670"/>
      <c r="S409" s="670"/>
      <c r="T409" s="670"/>
      <c r="U409" s="670"/>
      <c r="V409" s="670"/>
      <c r="W409" s="670"/>
      <c r="X409" s="670"/>
      <c r="Y409" s="670"/>
      <c r="Z409" s="670"/>
      <c r="AA409" s="66"/>
      <c r="AB409" s="66"/>
      <c r="AC409" s="80"/>
    </row>
    <row r="410" spans="1:68" ht="27" customHeight="1" x14ac:dyDescent="0.25">
      <c r="A410" s="63" t="s">
        <v>673</v>
      </c>
      <c r="B410" s="63" t="s">
        <v>674</v>
      </c>
      <c r="C410" s="36">
        <v>4301020178</v>
      </c>
      <c r="D410" s="671">
        <v>4607091383980</v>
      </c>
      <c r="E410" s="67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133</v>
      </c>
      <c r="L410" s="37" t="s">
        <v>46</v>
      </c>
      <c r="M410" s="38" t="s">
        <v>132</v>
      </c>
      <c r="N410" s="38"/>
      <c r="O410" s="37">
        <v>50</v>
      </c>
      <c r="P410" s="88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240</v>
      </c>
      <c r="Y410" s="55">
        <f>IFERROR(IF(X410="",0,CEILING((X410/$H410),1)*$H410),"")</f>
        <v>240</v>
      </c>
      <c r="Z410" s="41">
        <f>IFERROR(IF(Y410=0,"",ROUNDUP(Y410/H410,0)*0.02175),"")</f>
        <v>0.34799999999999998</v>
      </c>
      <c r="AA410" s="68" t="s">
        <v>46</v>
      </c>
      <c r="AB410" s="69" t="s">
        <v>46</v>
      </c>
      <c r="AC410" s="498" t="s">
        <v>675</v>
      </c>
      <c r="AG410" s="78"/>
      <c r="AJ410" s="84" t="s">
        <v>46</v>
      </c>
      <c r="AK410" s="84">
        <v>0</v>
      </c>
      <c r="BB410" s="499" t="s">
        <v>67</v>
      </c>
      <c r="BM410" s="78">
        <f>IFERROR(X410*I410/H410,"0")</f>
        <v>247.52</v>
      </c>
      <c r="BN410" s="78">
        <f>IFERROR(Y410*I410/H410,"0")</f>
        <v>247.52</v>
      </c>
      <c r="BO410" s="78">
        <f>IFERROR(1/J410*(X410/H410),"0")</f>
        <v>0.33333333333333331</v>
      </c>
      <c r="BP410" s="78">
        <f>IFERROR(1/J410*(Y410/H410),"0")</f>
        <v>0.33333333333333331</v>
      </c>
    </row>
    <row r="411" spans="1:68" ht="27" customHeight="1" x14ac:dyDescent="0.25">
      <c r="A411" s="63" t="s">
        <v>676</v>
      </c>
      <c r="B411" s="63" t="s">
        <v>677</v>
      </c>
      <c r="C411" s="36">
        <v>4301020355</v>
      </c>
      <c r="D411" s="671">
        <v>4680115888425</v>
      </c>
      <c r="E411" s="67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132</v>
      </c>
      <c r="N411" s="38"/>
      <c r="O411" s="37">
        <v>50</v>
      </c>
      <c r="P411" s="8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73"/>
      <c r="R411" s="673"/>
      <c r="S411" s="673"/>
      <c r="T411" s="67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0" t="s">
        <v>678</v>
      </c>
      <c r="AG411" s="78"/>
      <c r="AJ411" s="84" t="s">
        <v>46</v>
      </c>
      <c r="AK411" s="84">
        <v>0</v>
      </c>
      <c r="BB411" s="50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4301020179</v>
      </c>
      <c r="D412" s="671">
        <v>4607091384178</v>
      </c>
      <c r="E412" s="67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140</v>
      </c>
      <c r="L412" s="37" t="s">
        <v>46</v>
      </c>
      <c r="M412" s="38" t="s">
        <v>132</v>
      </c>
      <c r="N412" s="38"/>
      <c r="O412" s="37">
        <v>50</v>
      </c>
      <c r="P412" s="88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73"/>
      <c r="R412" s="673"/>
      <c r="S412" s="673"/>
      <c r="T412" s="67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2" t="s">
        <v>681</v>
      </c>
      <c r="AG412" s="78"/>
      <c r="AJ412" s="84" t="s">
        <v>46</v>
      </c>
      <c r="AK412" s="84">
        <v>0</v>
      </c>
      <c r="BB412" s="50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79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76" t="s">
        <v>40</v>
      </c>
      <c r="Q413" s="677"/>
      <c r="R413" s="677"/>
      <c r="S413" s="677"/>
      <c r="T413" s="677"/>
      <c r="U413" s="677"/>
      <c r="V413" s="678"/>
      <c r="W413" s="42" t="s">
        <v>39</v>
      </c>
      <c r="X413" s="43">
        <f>IFERROR(X410/H410,"0")+IFERROR(X411/H411,"0")+IFERROR(X412/H412,"0")</f>
        <v>16</v>
      </c>
      <c r="Y413" s="43">
        <f>IFERROR(Y410/H410,"0")+IFERROR(Y411/H411,"0")+IFERROR(Y412/H412,"0")</f>
        <v>16</v>
      </c>
      <c r="Z413" s="43">
        <f>IFERROR(IF(Z410="",0,Z410),"0")+IFERROR(IF(Z411="",0,Z411),"0")+IFERROR(IF(Z412="",0,Z412),"0")</f>
        <v>0.34799999999999998</v>
      </c>
      <c r="AA413" s="67"/>
      <c r="AB413" s="67"/>
      <c r="AC413" s="67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76" t="s">
        <v>40</v>
      </c>
      <c r="Q414" s="677"/>
      <c r="R414" s="677"/>
      <c r="S414" s="677"/>
      <c r="T414" s="677"/>
      <c r="U414" s="677"/>
      <c r="V414" s="678"/>
      <c r="W414" s="42" t="s">
        <v>0</v>
      </c>
      <c r="X414" s="43">
        <f>IFERROR(SUM(X410:X412),"0")</f>
        <v>240</v>
      </c>
      <c r="Y414" s="43">
        <f>IFERROR(SUM(Y410:Y412),"0")</f>
        <v>240</v>
      </c>
      <c r="Z414" s="42"/>
      <c r="AA414" s="67"/>
      <c r="AB414" s="67"/>
      <c r="AC414" s="67"/>
    </row>
    <row r="415" spans="1:68" ht="14.25" customHeight="1" x14ac:dyDescent="0.25">
      <c r="A415" s="670" t="s">
        <v>86</v>
      </c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  <c r="AA415" s="66"/>
      <c r="AB415" s="66"/>
      <c r="AC415" s="80"/>
    </row>
    <row r="416" spans="1:68" ht="27" customHeight="1" x14ac:dyDescent="0.25">
      <c r="A416" s="63" t="s">
        <v>682</v>
      </c>
      <c r="B416" s="63" t="s">
        <v>683</v>
      </c>
      <c r="C416" s="36">
        <v>4301051903</v>
      </c>
      <c r="D416" s="671">
        <v>4607091383928</v>
      </c>
      <c r="E416" s="671"/>
      <c r="F416" s="62">
        <v>1.5</v>
      </c>
      <c r="G416" s="37">
        <v>6</v>
      </c>
      <c r="H416" s="62">
        <v>9</v>
      </c>
      <c r="I416" s="62">
        <v>9.5</v>
      </c>
      <c r="J416" s="37">
        <v>64</v>
      </c>
      <c r="K416" s="37" t="s">
        <v>133</v>
      </c>
      <c r="L416" s="37" t="s">
        <v>46</v>
      </c>
      <c r="M416" s="38" t="s">
        <v>90</v>
      </c>
      <c r="N416" s="38"/>
      <c r="O416" s="37">
        <v>40</v>
      </c>
      <c r="P416" s="88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04" t="s">
        <v>684</v>
      </c>
      <c r="AG416" s="78"/>
      <c r="AJ416" s="84" t="s">
        <v>46</v>
      </c>
      <c r="AK416" s="84">
        <v>0</v>
      </c>
      <c r="BB416" s="50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685</v>
      </c>
      <c r="B417" s="63" t="s">
        <v>686</v>
      </c>
      <c r="C417" s="36">
        <v>4301051897</v>
      </c>
      <c r="D417" s="671">
        <v>4607091384260</v>
      </c>
      <c r="E417" s="671"/>
      <c r="F417" s="62">
        <v>1.5</v>
      </c>
      <c r="G417" s="37">
        <v>6</v>
      </c>
      <c r="H417" s="62">
        <v>9</v>
      </c>
      <c r="I417" s="62">
        <v>9.4939999999999998</v>
      </c>
      <c r="J417" s="37">
        <v>64</v>
      </c>
      <c r="K417" s="37" t="s">
        <v>133</v>
      </c>
      <c r="L417" s="37" t="s">
        <v>46</v>
      </c>
      <c r="M417" s="38" t="s">
        <v>90</v>
      </c>
      <c r="N417" s="38"/>
      <c r="O417" s="37">
        <v>40</v>
      </c>
      <c r="P417" s="8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73"/>
      <c r="R417" s="673"/>
      <c r="S417" s="673"/>
      <c r="T417" s="67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06" t="s">
        <v>687</v>
      </c>
      <c r="AG417" s="78"/>
      <c r="AJ417" s="84" t="s">
        <v>46</v>
      </c>
      <c r="AK417" s="84">
        <v>0</v>
      </c>
      <c r="BB417" s="50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79"/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80"/>
      <c r="P418" s="676" t="s">
        <v>40</v>
      </c>
      <c r="Q418" s="677"/>
      <c r="R418" s="677"/>
      <c r="S418" s="677"/>
      <c r="T418" s="677"/>
      <c r="U418" s="677"/>
      <c r="V418" s="678"/>
      <c r="W418" s="42" t="s">
        <v>39</v>
      </c>
      <c r="X418" s="43">
        <f>IFERROR(X416/H416,"0")+IFERROR(X417/H417,"0")</f>
        <v>0</v>
      </c>
      <c r="Y418" s="43">
        <f>IFERROR(Y416/H416,"0")+IFERROR(Y417/H417,"0")</f>
        <v>0</v>
      </c>
      <c r="Z418" s="43">
        <f>IFERROR(IF(Z416="",0,Z416),"0")+IFERROR(IF(Z417="",0,Z417),"0")</f>
        <v>0</v>
      </c>
      <c r="AA418" s="67"/>
      <c r="AB418" s="67"/>
      <c r="AC418" s="67"/>
    </row>
    <row r="419" spans="1:68" x14ac:dyDescent="0.2">
      <c r="A419" s="679"/>
      <c r="B419" s="679"/>
      <c r="C419" s="679"/>
      <c r="D419" s="679"/>
      <c r="E419" s="679"/>
      <c r="F419" s="679"/>
      <c r="G419" s="679"/>
      <c r="H419" s="679"/>
      <c r="I419" s="679"/>
      <c r="J419" s="679"/>
      <c r="K419" s="679"/>
      <c r="L419" s="679"/>
      <c r="M419" s="679"/>
      <c r="N419" s="679"/>
      <c r="O419" s="680"/>
      <c r="P419" s="676" t="s">
        <v>40</v>
      </c>
      <c r="Q419" s="677"/>
      <c r="R419" s="677"/>
      <c r="S419" s="677"/>
      <c r="T419" s="677"/>
      <c r="U419" s="677"/>
      <c r="V419" s="678"/>
      <c r="W419" s="42" t="s">
        <v>0</v>
      </c>
      <c r="X419" s="43">
        <f>IFERROR(SUM(X416:X417),"0")</f>
        <v>0</v>
      </c>
      <c r="Y419" s="43">
        <f>IFERROR(SUM(Y416:Y417),"0")</f>
        <v>0</v>
      </c>
      <c r="Z419" s="42"/>
      <c r="AA419" s="67"/>
      <c r="AB419" s="67"/>
      <c r="AC419" s="67"/>
    </row>
    <row r="420" spans="1:68" ht="14.25" customHeight="1" x14ac:dyDescent="0.25">
      <c r="A420" s="670" t="s">
        <v>180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customHeight="1" x14ac:dyDescent="0.25">
      <c r="A421" s="63" t="s">
        <v>688</v>
      </c>
      <c r="B421" s="63" t="s">
        <v>689</v>
      </c>
      <c r="C421" s="36">
        <v>4301060524</v>
      </c>
      <c r="D421" s="671">
        <v>4607091384673</v>
      </c>
      <c r="E421" s="671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89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08" t="s">
        <v>690</v>
      </c>
      <c r="AG421" s="78"/>
      <c r="AJ421" s="84" t="s">
        <v>46</v>
      </c>
      <c r="AK421" s="84">
        <v>0</v>
      </c>
      <c r="BB421" s="509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76" t="s">
        <v>40</v>
      </c>
      <c r="Q422" s="677"/>
      <c r="R422" s="677"/>
      <c r="S422" s="677"/>
      <c r="T422" s="677"/>
      <c r="U422" s="677"/>
      <c r="V422" s="678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79"/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80"/>
      <c r="P423" s="676" t="s">
        <v>40</v>
      </c>
      <c r="Q423" s="677"/>
      <c r="R423" s="677"/>
      <c r="S423" s="677"/>
      <c r="T423" s="677"/>
      <c r="U423" s="677"/>
      <c r="V423" s="678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16.5" customHeight="1" x14ac:dyDescent="0.25">
      <c r="A424" s="669" t="s">
        <v>691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5"/>
      <c r="AB424" s="65"/>
      <c r="AC424" s="79"/>
    </row>
    <row r="425" spans="1:68" ht="14.25" customHeight="1" x14ac:dyDescent="0.25">
      <c r="A425" s="670" t="s">
        <v>128</v>
      </c>
      <c r="B425" s="670"/>
      <c r="C425" s="670"/>
      <c r="D425" s="670"/>
      <c r="E425" s="670"/>
      <c r="F425" s="670"/>
      <c r="G425" s="670"/>
      <c r="H425" s="670"/>
      <c r="I425" s="670"/>
      <c r="J425" s="670"/>
      <c r="K425" s="670"/>
      <c r="L425" s="670"/>
      <c r="M425" s="670"/>
      <c r="N425" s="670"/>
      <c r="O425" s="670"/>
      <c r="P425" s="670"/>
      <c r="Q425" s="670"/>
      <c r="R425" s="670"/>
      <c r="S425" s="670"/>
      <c r="T425" s="670"/>
      <c r="U425" s="670"/>
      <c r="V425" s="670"/>
      <c r="W425" s="670"/>
      <c r="X425" s="670"/>
      <c r="Y425" s="670"/>
      <c r="Z425" s="670"/>
      <c r="AA425" s="66"/>
      <c r="AB425" s="66"/>
      <c r="AC425" s="80"/>
    </row>
    <row r="426" spans="1:68" ht="27" customHeight="1" x14ac:dyDescent="0.25">
      <c r="A426" s="63" t="s">
        <v>692</v>
      </c>
      <c r="B426" s="63" t="s">
        <v>693</v>
      </c>
      <c r="C426" s="36">
        <v>4301011875</v>
      </c>
      <c r="D426" s="671">
        <v>4680115884885</v>
      </c>
      <c r="E426" s="671"/>
      <c r="F426" s="62">
        <v>0.8</v>
      </c>
      <c r="G426" s="37">
        <v>15</v>
      </c>
      <c r="H426" s="62">
        <v>12</v>
      </c>
      <c r="I426" s="62">
        <v>12.41</v>
      </c>
      <c r="J426" s="37">
        <v>64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89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73"/>
      <c r="R426" s="673"/>
      <c r="S426" s="673"/>
      <c r="T426" s="67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0" t="s">
        <v>694</v>
      </c>
      <c r="AG426" s="78"/>
      <c r="AJ426" s="84" t="s">
        <v>46</v>
      </c>
      <c r="AK426" s="84">
        <v>0</v>
      </c>
      <c r="BB426" s="51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37.5" customHeight="1" x14ac:dyDescent="0.25">
      <c r="A427" s="63" t="s">
        <v>695</v>
      </c>
      <c r="B427" s="63" t="s">
        <v>696</v>
      </c>
      <c r="C427" s="36">
        <v>4301011871</v>
      </c>
      <c r="D427" s="671">
        <v>4680115884908</v>
      </c>
      <c r="E427" s="671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81</v>
      </c>
      <c r="N427" s="38"/>
      <c r="O427" s="37">
        <v>60</v>
      </c>
      <c r="P427" s="89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12" t="s">
        <v>694</v>
      </c>
      <c r="AG427" s="78"/>
      <c r="AJ427" s="84" t="s">
        <v>46</v>
      </c>
      <c r="AK427" s="84">
        <v>0</v>
      </c>
      <c r="BB427" s="513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76" t="s">
        <v>40</v>
      </c>
      <c r="Q428" s="677"/>
      <c r="R428" s="677"/>
      <c r="S428" s="677"/>
      <c r="T428" s="677"/>
      <c r="U428" s="677"/>
      <c r="V428" s="678"/>
      <c r="W428" s="42" t="s">
        <v>39</v>
      </c>
      <c r="X428" s="43">
        <f>IFERROR(X426/H426,"0")+IFERROR(X427/H427,"0")</f>
        <v>0</v>
      </c>
      <c r="Y428" s="43">
        <f>IFERROR(Y426/H426,"0")+IFERROR(Y427/H427,"0")</f>
        <v>0</v>
      </c>
      <c r="Z428" s="43">
        <f>IFERROR(IF(Z426="",0,Z426),"0")+IFERROR(IF(Z427="",0,Z427),"0")</f>
        <v>0</v>
      </c>
      <c r="AA428" s="67"/>
      <c r="AB428" s="67"/>
      <c r="AC428" s="67"/>
    </row>
    <row r="429" spans="1:68" x14ac:dyDescent="0.2">
      <c r="A429" s="679"/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80"/>
      <c r="P429" s="676" t="s">
        <v>40</v>
      </c>
      <c r="Q429" s="677"/>
      <c r="R429" s="677"/>
      <c r="S429" s="677"/>
      <c r="T429" s="677"/>
      <c r="U429" s="677"/>
      <c r="V429" s="678"/>
      <c r="W429" s="42" t="s">
        <v>0</v>
      </c>
      <c r="X429" s="43">
        <f>IFERROR(SUM(X426:X427),"0")</f>
        <v>0</v>
      </c>
      <c r="Y429" s="43">
        <f>IFERROR(SUM(Y426:Y427),"0")</f>
        <v>0</v>
      </c>
      <c r="Z429" s="42"/>
      <c r="AA429" s="67"/>
      <c r="AB429" s="67"/>
      <c r="AC429" s="67"/>
    </row>
    <row r="430" spans="1:68" ht="14.25" customHeight="1" x14ac:dyDescent="0.25">
      <c r="A430" s="670" t="s">
        <v>77</v>
      </c>
      <c r="B430" s="670"/>
      <c r="C430" s="670"/>
      <c r="D430" s="670"/>
      <c r="E430" s="670"/>
      <c r="F430" s="670"/>
      <c r="G430" s="670"/>
      <c r="H430" s="670"/>
      <c r="I430" s="670"/>
      <c r="J430" s="670"/>
      <c r="K430" s="670"/>
      <c r="L430" s="670"/>
      <c r="M430" s="670"/>
      <c r="N430" s="670"/>
      <c r="O430" s="670"/>
      <c r="P430" s="670"/>
      <c r="Q430" s="670"/>
      <c r="R430" s="670"/>
      <c r="S430" s="670"/>
      <c r="T430" s="670"/>
      <c r="U430" s="670"/>
      <c r="V430" s="670"/>
      <c r="W430" s="670"/>
      <c r="X430" s="670"/>
      <c r="Y430" s="670"/>
      <c r="Z430" s="670"/>
      <c r="AA430" s="66"/>
      <c r="AB430" s="66"/>
      <c r="AC430" s="80"/>
    </row>
    <row r="431" spans="1:68" ht="27" customHeight="1" x14ac:dyDescent="0.25">
      <c r="A431" s="63" t="s">
        <v>697</v>
      </c>
      <c r="B431" s="63" t="s">
        <v>698</v>
      </c>
      <c r="C431" s="36">
        <v>4301031457</v>
      </c>
      <c r="D431" s="671">
        <v>4607091384802</v>
      </c>
      <c r="E431" s="671"/>
      <c r="F431" s="62">
        <v>0.7</v>
      </c>
      <c r="G431" s="37">
        <v>6</v>
      </c>
      <c r="H431" s="62">
        <v>4.2</v>
      </c>
      <c r="I431" s="62">
        <v>4.45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50</v>
      </c>
      <c r="P431" s="89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73"/>
      <c r="R431" s="673"/>
      <c r="S431" s="673"/>
      <c r="T431" s="67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14" t="s">
        <v>699</v>
      </c>
      <c r="AG431" s="78"/>
      <c r="AJ431" s="84" t="s">
        <v>46</v>
      </c>
      <c r="AK431" s="84">
        <v>0</v>
      </c>
      <c r="BB431" s="515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76" t="s">
        <v>40</v>
      </c>
      <c r="Q432" s="677"/>
      <c r="R432" s="677"/>
      <c r="S432" s="677"/>
      <c r="T432" s="677"/>
      <c r="U432" s="677"/>
      <c r="V432" s="678"/>
      <c r="W432" s="42" t="s">
        <v>39</v>
      </c>
      <c r="X432" s="43">
        <f>IFERROR(X431/H431,"0")</f>
        <v>0</v>
      </c>
      <c r="Y432" s="43">
        <f>IFERROR(Y431/H431,"0")</f>
        <v>0</v>
      </c>
      <c r="Z432" s="43">
        <f>IFERROR(IF(Z431="",0,Z431),"0")</f>
        <v>0</v>
      </c>
      <c r="AA432" s="67"/>
      <c r="AB432" s="67"/>
      <c r="AC432" s="67"/>
    </row>
    <row r="433" spans="1:68" x14ac:dyDescent="0.2">
      <c r="A433" s="679"/>
      <c r="B433" s="679"/>
      <c r="C433" s="679"/>
      <c r="D433" s="679"/>
      <c r="E433" s="679"/>
      <c r="F433" s="679"/>
      <c r="G433" s="679"/>
      <c r="H433" s="679"/>
      <c r="I433" s="679"/>
      <c r="J433" s="679"/>
      <c r="K433" s="679"/>
      <c r="L433" s="679"/>
      <c r="M433" s="679"/>
      <c r="N433" s="679"/>
      <c r="O433" s="680"/>
      <c r="P433" s="676" t="s">
        <v>40</v>
      </c>
      <c r="Q433" s="677"/>
      <c r="R433" s="677"/>
      <c r="S433" s="677"/>
      <c r="T433" s="677"/>
      <c r="U433" s="677"/>
      <c r="V433" s="678"/>
      <c r="W433" s="42" t="s">
        <v>0</v>
      </c>
      <c r="X433" s="43">
        <f>IFERROR(SUM(X431:X431),"0")</f>
        <v>0</v>
      </c>
      <c r="Y433" s="43">
        <f>IFERROR(SUM(Y431:Y431),"0")</f>
        <v>0</v>
      </c>
      <c r="Z433" s="42"/>
      <c r="AA433" s="67"/>
      <c r="AB433" s="67"/>
      <c r="AC433" s="67"/>
    </row>
    <row r="434" spans="1:68" ht="14.25" customHeight="1" x14ac:dyDescent="0.25">
      <c r="A434" s="670" t="s">
        <v>86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customHeight="1" x14ac:dyDescent="0.25">
      <c r="A435" s="63" t="s">
        <v>700</v>
      </c>
      <c r="B435" s="63" t="s">
        <v>701</v>
      </c>
      <c r="C435" s="36">
        <v>4301051899</v>
      </c>
      <c r="D435" s="671">
        <v>4607091384246</v>
      </c>
      <c r="E435" s="671"/>
      <c r="F435" s="62">
        <v>1.5</v>
      </c>
      <c r="G435" s="37">
        <v>6</v>
      </c>
      <c r="H435" s="62">
        <v>9</v>
      </c>
      <c r="I435" s="62">
        <v>9.4939999999999998</v>
      </c>
      <c r="J435" s="37">
        <v>64</v>
      </c>
      <c r="K435" s="37" t="s">
        <v>133</v>
      </c>
      <c r="L435" s="37" t="s">
        <v>46</v>
      </c>
      <c r="M435" s="38" t="s">
        <v>90</v>
      </c>
      <c r="N435" s="38"/>
      <c r="O435" s="37">
        <v>40</v>
      </c>
      <c r="P435" s="8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IFERROR(IF(Y435=0,"",ROUNDUP(Y435/H435,0)*0.01898),"")</f>
        <v/>
      </c>
      <c r="AA435" s="68" t="s">
        <v>46</v>
      </c>
      <c r="AB435" s="69" t="s">
        <v>46</v>
      </c>
      <c r="AC435" s="516" t="s">
        <v>702</v>
      </c>
      <c r="AG435" s="78"/>
      <c r="AJ435" s="84" t="s">
        <v>46</v>
      </c>
      <c r="AK435" s="84">
        <v>0</v>
      </c>
      <c r="BB435" s="51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703</v>
      </c>
      <c r="B436" s="63" t="s">
        <v>704</v>
      </c>
      <c r="C436" s="36">
        <v>4301051660</v>
      </c>
      <c r="D436" s="671">
        <v>4607091384253</v>
      </c>
      <c r="E436" s="671"/>
      <c r="F436" s="62">
        <v>0.4</v>
      </c>
      <c r="G436" s="37">
        <v>6</v>
      </c>
      <c r="H436" s="62">
        <v>2.4</v>
      </c>
      <c r="I436" s="62">
        <v>2.6640000000000001</v>
      </c>
      <c r="J436" s="37">
        <v>182</v>
      </c>
      <c r="K436" s="37" t="s">
        <v>91</v>
      </c>
      <c r="L436" s="37" t="s">
        <v>46</v>
      </c>
      <c r="M436" s="38" t="s">
        <v>90</v>
      </c>
      <c r="N436" s="38"/>
      <c r="O436" s="37">
        <v>40</v>
      </c>
      <c r="P436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46</v>
      </c>
      <c r="AB436" s="69" t="s">
        <v>46</v>
      </c>
      <c r="AC436" s="518" t="s">
        <v>702</v>
      </c>
      <c r="AG436" s="78"/>
      <c r="AJ436" s="84" t="s">
        <v>46</v>
      </c>
      <c r="AK436" s="84">
        <v>0</v>
      </c>
      <c r="BB436" s="51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703</v>
      </c>
      <c r="B437" s="63" t="s">
        <v>705</v>
      </c>
      <c r="C437" s="36">
        <v>4301052069</v>
      </c>
      <c r="D437" s="671">
        <v>4607091384253</v>
      </c>
      <c r="E437" s="671"/>
      <c r="F437" s="62">
        <v>0.4</v>
      </c>
      <c r="G437" s="37">
        <v>6</v>
      </c>
      <c r="H437" s="62">
        <v>2.4</v>
      </c>
      <c r="I437" s="62">
        <v>2.6640000000000001</v>
      </c>
      <c r="J437" s="37">
        <v>182</v>
      </c>
      <c r="K437" s="37" t="s">
        <v>91</v>
      </c>
      <c r="L437" s="37" t="s">
        <v>46</v>
      </c>
      <c r="M437" s="38" t="s">
        <v>90</v>
      </c>
      <c r="N437" s="38"/>
      <c r="O437" s="37">
        <v>40</v>
      </c>
      <c r="P437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20" t="s">
        <v>706</v>
      </c>
      <c r="AG437" s="78"/>
      <c r="AJ437" s="84" t="s">
        <v>46</v>
      </c>
      <c r="AK437" s="84">
        <v>0</v>
      </c>
      <c r="BB437" s="52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79"/>
      <c r="B438" s="679"/>
      <c r="C438" s="679"/>
      <c r="D438" s="679"/>
      <c r="E438" s="679"/>
      <c r="F438" s="679"/>
      <c r="G438" s="679"/>
      <c r="H438" s="679"/>
      <c r="I438" s="679"/>
      <c r="J438" s="679"/>
      <c r="K438" s="679"/>
      <c r="L438" s="679"/>
      <c r="M438" s="679"/>
      <c r="N438" s="679"/>
      <c r="O438" s="680"/>
      <c r="P438" s="676" t="s">
        <v>40</v>
      </c>
      <c r="Q438" s="677"/>
      <c r="R438" s="677"/>
      <c r="S438" s="677"/>
      <c r="T438" s="677"/>
      <c r="U438" s="677"/>
      <c r="V438" s="678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79"/>
      <c r="B439" s="679"/>
      <c r="C439" s="679"/>
      <c r="D439" s="679"/>
      <c r="E439" s="679"/>
      <c r="F439" s="679"/>
      <c r="G439" s="679"/>
      <c r="H439" s="679"/>
      <c r="I439" s="679"/>
      <c r="J439" s="679"/>
      <c r="K439" s="679"/>
      <c r="L439" s="679"/>
      <c r="M439" s="679"/>
      <c r="N439" s="679"/>
      <c r="O439" s="680"/>
      <c r="P439" s="676" t="s">
        <v>40</v>
      </c>
      <c r="Q439" s="677"/>
      <c r="R439" s="677"/>
      <c r="S439" s="677"/>
      <c r="T439" s="677"/>
      <c r="U439" s="677"/>
      <c r="V439" s="678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27.75" customHeight="1" x14ac:dyDescent="0.2">
      <c r="A440" s="668" t="s">
        <v>707</v>
      </c>
      <c r="B440" s="668"/>
      <c r="C440" s="668"/>
      <c r="D440" s="668"/>
      <c r="E440" s="668"/>
      <c r="F440" s="668"/>
      <c r="G440" s="668"/>
      <c r="H440" s="668"/>
      <c r="I440" s="668"/>
      <c r="J440" s="668"/>
      <c r="K440" s="668"/>
      <c r="L440" s="668"/>
      <c r="M440" s="668"/>
      <c r="N440" s="668"/>
      <c r="O440" s="668"/>
      <c r="P440" s="668"/>
      <c r="Q440" s="668"/>
      <c r="R440" s="668"/>
      <c r="S440" s="668"/>
      <c r="T440" s="668"/>
      <c r="U440" s="668"/>
      <c r="V440" s="668"/>
      <c r="W440" s="668"/>
      <c r="X440" s="668"/>
      <c r="Y440" s="668"/>
      <c r="Z440" s="668"/>
      <c r="AA440" s="54"/>
      <c r="AB440" s="54"/>
      <c r="AC440" s="54"/>
    </row>
    <row r="441" spans="1:68" ht="16.5" customHeight="1" x14ac:dyDescent="0.25">
      <c r="A441" s="669" t="s">
        <v>708</v>
      </c>
      <c r="B441" s="669"/>
      <c r="C441" s="669"/>
      <c r="D441" s="669"/>
      <c r="E441" s="669"/>
      <c r="F441" s="669"/>
      <c r="G441" s="669"/>
      <c r="H441" s="669"/>
      <c r="I441" s="669"/>
      <c r="J441" s="669"/>
      <c r="K441" s="669"/>
      <c r="L441" s="669"/>
      <c r="M441" s="669"/>
      <c r="N441" s="669"/>
      <c r="O441" s="669"/>
      <c r="P441" s="669"/>
      <c r="Q441" s="669"/>
      <c r="R441" s="669"/>
      <c r="S441" s="669"/>
      <c r="T441" s="669"/>
      <c r="U441" s="669"/>
      <c r="V441" s="669"/>
      <c r="W441" s="669"/>
      <c r="X441" s="669"/>
      <c r="Y441" s="669"/>
      <c r="Z441" s="669"/>
      <c r="AA441" s="65"/>
      <c r="AB441" s="65"/>
      <c r="AC441" s="79"/>
    </row>
    <row r="442" spans="1:68" ht="14.25" customHeight="1" x14ac:dyDescent="0.25">
      <c r="A442" s="670" t="s">
        <v>77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customHeight="1" x14ac:dyDescent="0.25">
      <c r="A443" s="63" t="s">
        <v>709</v>
      </c>
      <c r="B443" s="63" t="s">
        <v>710</v>
      </c>
      <c r="C443" s="36">
        <v>4301031405</v>
      </c>
      <c r="D443" s="671">
        <v>4680115886100</v>
      </c>
      <c r="E443" s="671"/>
      <c r="F443" s="62">
        <v>0.9</v>
      </c>
      <c r="G443" s="37">
        <v>6</v>
      </c>
      <c r="H443" s="62">
        <v>5.4</v>
      </c>
      <c r="I443" s="62">
        <v>5.59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50</v>
      </c>
      <c r="P443" s="8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73"/>
      <c r="R443" s="673"/>
      <c r="S443" s="673"/>
      <c r="T443" s="674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ref="Y443:Y448" si="57"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22" t="s">
        <v>711</v>
      </c>
      <c r="AG443" s="78"/>
      <c r="AJ443" s="84" t="s">
        <v>46</v>
      </c>
      <c r="AK443" s="84">
        <v>0</v>
      </c>
      <c r="BB443" s="523" t="s">
        <v>67</v>
      </c>
      <c r="BM443" s="78">
        <f t="shared" ref="BM443:BM448" si="58">IFERROR(X443*I443/H443,"0")</f>
        <v>0</v>
      </c>
      <c r="BN443" s="78">
        <f t="shared" ref="BN443:BN448" si="59">IFERROR(Y443*I443/H443,"0")</f>
        <v>0</v>
      </c>
      <c r="BO443" s="78">
        <f t="shared" ref="BO443:BO448" si="60">IFERROR(1/J443*(X443/H443),"0")</f>
        <v>0</v>
      </c>
      <c r="BP443" s="78">
        <f t="shared" ref="BP443:BP448" si="61">IFERROR(1/J443*(Y443/H443),"0")</f>
        <v>0</v>
      </c>
    </row>
    <row r="444" spans="1:68" ht="27" customHeight="1" x14ac:dyDescent="0.25">
      <c r="A444" s="63" t="s">
        <v>712</v>
      </c>
      <c r="B444" s="63" t="s">
        <v>713</v>
      </c>
      <c r="C444" s="36">
        <v>4301031402</v>
      </c>
      <c r="D444" s="671">
        <v>4680115886124</v>
      </c>
      <c r="E444" s="671"/>
      <c r="F444" s="62">
        <v>0.9</v>
      </c>
      <c r="G444" s="37">
        <v>6</v>
      </c>
      <c r="H444" s="62">
        <v>5.4</v>
      </c>
      <c r="I444" s="62">
        <v>5.59</v>
      </c>
      <c r="J444" s="37">
        <v>132</v>
      </c>
      <c r="K444" s="37" t="s">
        <v>140</v>
      </c>
      <c r="L444" s="37" t="s">
        <v>46</v>
      </c>
      <c r="M444" s="38" t="s">
        <v>81</v>
      </c>
      <c r="N444" s="38"/>
      <c r="O444" s="37">
        <v>50</v>
      </c>
      <c r="P444" s="89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73"/>
      <c r="R444" s="673"/>
      <c r="S444" s="673"/>
      <c r="T444" s="674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7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24" t="s">
        <v>714</v>
      </c>
      <c r="AG444" s="78"/>
      <c r="AJ444" s="84" t="s">
        <v>46</v>
      </c>
      <c r="AK444" s="84">
        <v>0</v>
      </c>
      <c r="BB444" s="525" t="s">
        <v>67</v>
      </c>
      <c r="BM444" s="78">
        <f t="shared" si="58"/>
        <v>0</v>
      </c>
      <c r="BN444" s="78">
        <f t="shared" si="59"/>
        <v>0</v>
      </c>
      <c r="BO444" s="78">
        <f t="shared" si="60"/>
        <v>0</v>
      </c>
      <c r="BP444" s="78">
        <f t="shared" si="61"/>
        <v>0</v>
      </c>
    </row>
    <row r="445" spans="1:68" ht="27" customHeight="1" x14ac:dyDescent="0.25">
      <c r="A445" s="63" t="s">
        <v>715</v>
      </c>
      <c r="B445" s="63" t="s">
        <v>716</v>
      </c>
      <c r="C445" s="36">
        <v>4301031362</v>
      </c>
      <c r="D445" s="671">
        <v>4607091384338</v>
      </c>
      <c r="E445" s="671"/>
      <c r="F445" s="62">
        <v>0.35</v>
      </c>
      <c r="G445" s="37">
        <v>6</v>
      </c>
      <c r="H445" s="62">
        <v>2.1</v>
      </c>
      <c r="I445" s="62">
        <v>2.23</v>
      </c>
      <c r="J445" s="37">
        <v>234</v>
      </c>
      <c r="K445" s="37" t="s">
        <v>82</v>
      </c>
      <c r="L445" s="37" t="s">
        <v>46</v>
      </c>
      <c r="M445" s="38" t="s">
        <v>81</v>
      </c>
      <c r="N445" s="38"/>
      <c r="O445" s="37">
        <v>50</v>
      </c>
      <c r="P445" s="89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73"/>
      <c r="R445" s="673"/>
      <c r="S445" s="673"/>
      <c r="T445" s="674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57"/>
        <v>0</v>
      </c>
      <c r="Z445" s="41" t="str">
        <f>IFERROR(IF(Y445=0,"",ROUNDUP(Y445/H445,0)*0.00502),"")</f>
        <v/>
      </c>
      <c r="AA445" s="68" t="s">
        <v>46</v>
      </c>
      <c r="AB445" s="69" t="s">
        <v>46</v>
      </c>
      <c r="AC445" s="526" t="s">
        <v>711</v>
      </c>
      <c r="AG445" s="78"/>
      <c r="AJ445" s="84" t="s">
        <v>46</v>
      </c>
      <c r="AK445" s="84">
        <v>0</v>
      </c>
      <c r="BB445" s="527" t="s">
        <v>67</v>
      </c>
      <c r="BM445" s="78">
        <f t="shared" si="58"/>
        <v>0</v>
      </c>
      <c r="BN445" s="78">
        <f t="shared" si="59"/>
        <v>0</v>
      </c>
      <c r="BO445" s="78">
        <f t="shared" si="60"/>
        <v>0</v>
      </c>
      <c r="BP445" s="78">
        <f t="shared" si="61"/>
        <v>0</v>
      </c>
    </row>
    <row r="446" spans="1:68" ht="27" customHeight="1" x14ac:dyDescent="0.25">
      <c r="A446" s="63" t="s">
        <v>717</v>
      </c>
      <c r="B446" s="63" t="s">
        <v>718</v>
      </c>
      <c r="C446" s="36">
        <v>4301031364</v>
      </c>
      <c r="D446" s="671">
        <v>4680115883161</v>
      </c>
      <c r="E446" s="671"/>
      <c r="F446" s="62">
        <v>0.28000000000000003</v>
      </c>
      <c r="G446" s="37">
        <v>6</v>
      </c>
      <c r="H446" s="62">
        <v>1.68</v>
      </c>
      <c r="I446" s="62">
        <v>1.81</v>
      </c>
      <c r="J446" s="37">
        <v>234</v>
      </c>
      <c r="K446" s="37" t="s">
        <v>82</v>
      </c>
      <c r="L446" s="37" t="s">
        <v>46</v>
      </c>
      <c r="M446" s="38" t="s">
        <v>81</v>
      </c>
      <c r="N446" s="38"/>
      <c r="O446" s="37">
        <v>50</v>
      </c>
      <c r="P446" s="9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57"/>
        <v>0</v>
      </c>
      <c r="Z446" s="41" t="str">
        <f>IFERROR(IF(Y446=0,"",ROUNDUP(Y446/H446,0)*0.00502),"")</f>
        <v/>
      </c>
      <c r="AA446" s="68" t="s">
        <v>46</v>
      </c>
      <c r="AB446" s="69" t="s">
        <v>46</v>
      </c>
      <c r="AC446" s="528" t="s">
        <v>719</v>
      </c>
      <c r="AG446" s="78"/>
      <c r="AJ446" s="84" t="s">
        <v>46</v>
      </c>
      <c r="AK446" s="84">
        <v>0</v>
      </c>
      <c r="BB446" s="529" t="s">
        <v>67</v>
      </c>
      <c r="BM446" s="78">
        <f t="shared" si="58"/>
        <v>0</v>
      </c>
      <c r="BN446" s="78">
        <f t="shared" si="59"/>
        <v>0</v>
      </c>
      <c r="BO446" s="78">
        <f t="shared" si="60"/>
        <v>0</v>
      </c>
      <c r="BP446" s="78">
        <f t="shared" si="61"/>
        <v>0</v>
      </c>
    </row>
    <row r="447" spans="1:68" ht="27" customHeight="1" x14ac:dyDescent="0.25">
      <c r="A447" s="63" t="s">
        <v>720</v>
      </c>
      <c r="B447" s="63" t="s">
        <v>721</v>
      </c>
      <c r="C447" s="36">
        <v>4301031358</v>
      </c>
      <c r="D447" s="671">
        <v>4607091389531</v>
      </c>
      <c r="E447" s="671"/>
      <c r="F447" s="62">
        <v>0.35</v>
      </c>
      <c r="G447" s="37">
        <v>6</v>
      </c>
      <c r="H447" s="62">
        <v>2.1</v>
      </c>
      <c r="I447" s="62">
        <v>2.23</v>
      </c>
      <c r="J447" s="37">
        <v>234</v>
      </c>
      <c r="K447" s="37" t="s">
        <v>82</v>
      </c>
      <c r="L447" s="37" t="s">
        <v>46</v>
      </c>
      <c r="M447" s="38" t="s">
        <v>81</v>
      </c>
      <c r="N447" s="38"/>
      <c r="O447" s="37">
        <v>50</v>
      </c>
      <c r="P447" s="9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7"/>
        <v>0</v>
      </c>
      <c r="Z447" s="41" t="str">
        <f>IFERROR(IF(Y447=0,"",ROUNDUP(Y447/H447,0)*0.00502),"")</f>
        <v/>
      </c>
      <c r="AA447" s="68" t="s">
        <v>46</v>
      </c>
      <c r="AB447" s="69" t="s">
        <v>46</v>
      </c>
      <c r="AC447" s="530" t="s">
        <v>722</v>
      </c>
      <c r="AG447" s="78"/>
      <c r="AJ447" s="84" t="s">
        <v>46</v>
      </c>
      <c r="AK447" s="84">
        <v>0</v>
      </c>
      <c r="BB447" s="531" t="s">
        <v>67</v>
      </c>
      <c r="BM447" s="78">
        <f t="shared" si="58"/>
        <v>0</v>
      </c>
      <c r="BN447" s="78">
        <f t="shared" si="59"/>
        <v>0</v>
      </c>
      <c r="BO447" s="78">
        <f t="shared" si="60"/>
        <v>0</v>
      </c>
      <c r="BP447" s="78">
        <f t="shared" si="61"/>
        <v>0</v>
      </c>
    </row>
    <row r="448" spans="1:68" ht="37.5" customHeight="1" x14ac:dyDescent="0.25">
      <c r="A448" s="63" t="s">
        <v>723</v>
      </c>
      <c r="B448" s="63" t="s">
        <v>724</v>
      </c>
      <c r="C448" s="36">
        <v>4301031360</v>
      </c>
      <c r="D448" s="671">
        <v>4607091384345</v>
      </c>
      <c r="E448" s="671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7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719</v>
      </c>
      <c r="AG448" s="78"/>
      <c r="AJ448" s="84" t="s">
        <v>46</v>
      </c>
      <c r="AK448" s="84">
        <v>0</v>
      </c>
      <c r="BB448" s="533" t="s">
        <v>67</v>
      </c>
      <c r="BM448" s="78">
        <f t="shared" si="58"/>
        <v>0</v>
      </c>
      <c r="BN448" s="78">
        <f t="shared" si="59"/>
        <v>0</v>
      </c>
      <c r="BO448" s="78">
        <f t="shared" si="60"/>
        <v>0</v>
      </c>
      <c r="BP448" s="78">
        <f t="shared" si="61"/>
        <v>0</v>
      </c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76" t="s">
        <v>40</v>
      </c>
      <c r="Q449" s="677"/>
      <c r="R449" s="677"/>
      <c r="S449" s="677"/>
      <c r="T449" s="677"/>
      <c r="U449" s="677"/>
      <c r="V449" s="678"/>
      <c r="W449" s="42" t="s">
        <v>39</v>
      </c>
      <c r="X449" s="43">
        <f>IFERROR(X443/H443,"0")+IFERROR(X444/H444,"0")+IFERROR(X445/H445,"0")+IFERROR(X446/H446,"0")+IFERROR(X447/H447,"0")+IFERROR(X448/H448,"0")</f>
        <v>0</v>
      </c>
      <c r="Y449" s="43">
        <f>IFERROR(Y443/H443,"0")+IFERROR(Y444/H444,"0")+IFERROR(Y445/H445,"0")+IFERROR(Y446/H446,"0")+IFERROR(Y447/H447,"0")+IFERROR(Y448/H448,"0")</f>
        <v>0</v>
      </c>
      <c r="Z449" s="43">
        <f>IFERROR(IF(Z443="",0,Z443),"0")+IFERROR(IF(Z444="",0,Z444),"0")+IFERROR(IF(Z445="",0,Z445),"0")+IFERROR(IF(Z446="",0,Z446),"0")+IFERROR(IF(Z447="",0,Z447),"0")+IFERROR(IF(Z448="",0,Z448),"0")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79"/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80"/>
      <c r="P450" s="676" t="s">
        <v>40</v>
      </c>
      <c r="Q450" s="677"/>
      <c r="R450" s="677"/>
      <c r="S450" s="677"/>
      <c r="T450" s="677"/>
      <c r="U450" s="677"/>
      <c r="V450" s="678"/>
      <c r="W450" s="42" t="s">
        <v>0</v>
      </c>
      <c r="X450" s="43">
        <f>IFERROR(SUM(X443:X448),"0")</f>
        <v>0</v>
      </c>
      <c r="Y450" s="43">
        <f>IFERROR(SUM(Y443:Y448),"0")</f>
        <v>0</v>
      </c>
      <c r="Z450" s="42"/>
      <c r="AA450" s="67"/>
      <c r="AB450" s="67"/>
      <c r="AC450" s="67"/>
    </row>
    <row r="451" spans="1:68" ht="14.25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customHeight="1" x14ac:dyDescent="0.25">
      <c r="A452" s="63" t="s">
        <v>725</v>
      </c>
      <c r="B452" s="63" t="s">
        <v>726</v>
      </c>
      <c r="C452" s="36">
        <v>4301051284</v>
      </c>
      <c r="D452" s="671">
        <v>4607091384352</v>
      </c>
      <c r="E452" s="671"/>
      <c r="F452" s="62">
        <v>0.6</v>
      </c>
      <c r="G452" s="37">
        <v>4</v>
      </c>
      <c r="H452" s="62">
        <v>2.4</v>
      </c>
      <c r="I452" s="62">
        <v>2.6259999999999999</v>
      </c>
      <c r="J452" s="37">
        <v>132</v>
      </c>
      <c r="K452" s="37" t="s">
        <v>140</v>
      </c>
      <c r="L452" s="37" t="s">
        <v>46</v>
      </c>
      <c r="M452" s="38" t="s">
        <v>90</v>
      </c>
      <c r="N452" s="38"/>
      <c r="O452" s="37">
        <v>45</v>
      </c>
      <c r="P452" s="9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34" t="s">
        <v>727</v>
      </c>
      <c r="AG452" s="78"/>
      <c r="AJ452" s="84" t="s">
        <v>46</v>
      </c>
      <c r="AK452" s="84">
        <v>0</v>
      </c>
      <c r="BB452" s="53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4301051431</v>
      </c>
      <c r="D453" s="671">
        <v>4607091389654</v>
      </c>
      <c r="E453" s="671"/>
      <c r="F453" s="62">
        <v>0.33</v>
      </c>
      <c r="G453" s="37">
        <v>6</v>
      </c>
      <c r="H453" s="62">
        <v>1.98</v>
      </c>
      <c r="I453" s="62">
        <v>2.238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45</v>
      </c>
      <c r="P453" s="9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36" t="s">
        <v>730</v>
      </c>
      <c r="AG453" s="78"/>
      <c r="AJ453" s="84" t="s">
        <v>46</v>
      </c>
      <c r="AK453" s="84">
        <v>0</v>
      </c>
      <c r="BB453" s="53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76" t="s">
        <v>40</v>
      </c>
      <c r="Q454" s="677"/>
      <c r="R454" s="677"/>
      <c r="S454" s="677"/>
      <c r="T454" s="677"/>
      <c r="U454" s="677"/>
      <c r="V454" s="67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79"/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80"/>
      <c r="P455" s="676" t="s">
        <v>40</v>
      </c>
      <c r="Q455" s="677"/>
      <c r="R455" s="677"/>
      <c r="S455" s="677"/>
      <c r="T455" s="677"/>
      <c r="U455" s="677"/>
      <c r="V455" s="67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customHeight="1" x14ac:dyDescent="0.25">
      <c r="A456" s="669" t="s">
        <v>731</v>
      </c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69"/>
      <c r="P456" s="669"/>
      <c r="Q456" s="669"/>
      <c r="R456" s="669"/>
      <c r="S456" s="669"/>
      <c r="T456" s="669"/>
      <c r="U456" s="669"/>
      <c r="V456" s="669"/>
      <c r="W456" s="669"/>
      <c r="X456" s="669"/>
      <c r="Y456" s="669"/>
      <c r="Z456" s="669"/>
      <c r="AA456" s="65"/>
      <c r="AB456" s="65"/>
      <c r="AC456" s="79"/>
    </row>
    <row r="457" spans="1:68" ht="14.25" customHeight="1" x14ac:dyDescent="0.25">
      <c r="A457" s="670" t="s">
        <v>163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customHeight="1" x14ac:dyDescent="0.25">
      <c r="A458" s="63" t="s">
        <v>732</v>
      </c>
      <c r="B458" s="63" t="s">
        <v>733</v>
      </c>
      <c r="C458" s="36">
        <v>4301020416</v>
      </c>
      <c r="D458" s="671">
        <v>4680115885240</v>
      </c>
      <c r="E458" s="671"/>
      <c r="F458" s="62">
        <v>0.35</v>
      </c>
      <c r="G458" s="37">
        <v>6</v>
      </c>
      <c r="H458" s="62">
        <v>2.1</v>
      </c>
      <c r="I458" s="62">
        <v>2.31</v>
      </c>
      <c r="J458" s="37">
        <v>182</v>
      </c>
      <c r="K458" s="37" t="s">
        <v>91</v>
      </c>
      <c r="L458" s="37" t="s">
        <v>46</v>
      </c>
      <c r="M458" s="38" t="s">
        <v>81</v>
      </c>
      <c r="N458" s="38"/>
      <c r="O458" s="37">
        <v>40</v>
      </c>
      <c r="P458" s="9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8" t="s">
        <v>734</v>
      </c>
      <c r="AG458" s="78"/>
      <c r="AJ458" s="84" t="s">
        <v>46</v>
      </c>
      <c r="AK458" s="84">
        <v>0</v>
      </c>
      <c r="BB458" s="53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79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76" t="s">
        <v>40</v>
      </c>
      <c r="Q459" s="677"/>
      <c r="R459" s="677"/>
      <c r="S459" s="677"/>
      <c r="T459" s="677"/>
      <c r="U459" s="677"/>
      <c r="V459" s="678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76" t="s">
        <v>40</v>
      </c>
      <c r="Q460" s="677"/>
      <c r="R460" s="677"/>
      <c r="S460" s="677"/>
      <c r="T460" s="677"/>
      <c r="U460" s="677"/>
      <c r="V460" s="678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customHeight="1" x14ac:dyDescent="0.25">
      <c r="A461" s="670" t="s">
        <v>77</v>
      </c>
      <c r="B461" s="670"/>
      <c r="C461" s="670"/>
      <c r="D461" s="670"/>
      <c r="E461" s="670"/>
      <c r="F461" s="670"/>
      <c r="G461" s="670"/>
      <c r="H461" s="670"/>
      <c r="I461" s="670"/>
      <c r="J461" s="670"/>
      <c r="K461" s="670"/>
      <c r="L461" s="670"/>
      <c r="M461" s="670"/>
      <c r="N461" s="670"/>
      <c r="O461" s="670"/>
      <c r="P461" s="670"/>
      <c r="Q461" s="670"/>
      <c r="R461" s="670"/>
      <c r="S461" s="670"/>
      <c r="T461" s="670"/>
      <c r="U461" s="670"/>
      <c r="V461" s="670"/>
      <c r="W461" s="670"/>
      <c r="X461" s="670"/>
      <c r="Y461" s="670"/>
      <c r="Z461" s="670"/>
      <c r="AA461" s="66"/>
      <c r="AB461" s="66"/>
      <c r="AC461" s="80"/>
    </row>
    <row r="462" spans="1:68" ht="27" customHeight="1" x14ac:dyDescent="0.25">
      <c r="A462" s="63" t="s">
        <v>735</v>
      </c>
      <c r="B462" s="63" t="s">
        <v>736</v>
      </c>
      <c r="C462" s="36">
        <v>4301031407</v>
      </c>
      <c r="D462" s="671">
        <v>4680115886094</v>
      </c>
      <c r="E462" s="671"/>
      <c r="F462" s="62">
        <v>0.9</v>
      </c>
      <c r="G462" s="37">
        <v>6</v>
      </c>
      <c r="H462" s="62">
        <v>5.4</v>
      </c>
      <c r="I462" s="62">
        <v>5.59</v>
      </c>
      <c r="J462" s="37">
        <v>132</v>
      </c>
      <c r="K462" s="37" t="s">
        <v>140</v>
      </c>
      <c r="L462" s="37" t="s">
        <v>46</v>
      </c>
      <c r="M462" s="38" t="s">
        <v>81</v>
      </c>
      <c r="N462" s="38"/>
      <c r="O462" s="37">
        <v>50</v>
      </c>
      <c r="P462" s="9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73"/>
      <c r="R462" s="673"/>
      <c r="S462" s="673"/>
      <c r="T462" s="67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40" t="s">
        <v>737</v>
      </c>
      <c r="AG462" s="78"/>
      <c r="AJ462" s="84" t="s">
        <v>46</v>
      </c>
      <c r="AK462" s="84">
        <v>0</v>
      </c>
      <c r="BB462" s="541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738</v>
      </c>
      <c r="B463" s="63" t="s">
        <v>739</v>
      </c>
      <c r="C463" s="36">
        <v>4301031373</v>
      </c>
      <c r="D463" s="671">
        <v>4680115880771</v>
      </c>
      <c r="E463" s="671"/>
      <c r="F463" s="62">
        <v>0.28000000000000003</v>
      </c>
      <c r="G463" s="37">
        <v>6</v>
      </c>
      <c r="H463" s="62">
        <v>1.68</v>
      </c>
      <c r="I463" s="62">
        <v>1.81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73"/>
      <c r="R463" s="673"/>
      <c r="S463" s="673"/>
      <c r="T463" s="67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42" t="s">
        <v>740</v>
      </c>
      <c r="AG463" s="78"/>
      <c r="AJ463" s="84" t="s">
        <v>46</v>
      </c>
      <c r="AK463" s="84">
        <v>0</v>
      </c>
      <c r="BB463" s="543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741</v>
      </c>
      <c r="B464" s="63" t="s">
        <v>742</v>
      </c>
      <c r="C464" s="36">
        <v>4301031359</v>
      </c>
      <c r="D464" s="671">
        <v>4607091389500</v>
      </c>
      <c r="E464" s="67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44" t="s">
        <v>740</v>
      </c>
      <c r="AG464" s="78"/>
      <c r="AJ464" s="84" t="s">
        <v>46</v>
      </c>
      <c r="AK464" s="84">
        <v>0</v>
      </c>
      <c r="BB464" s="545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79"/>
      <c r="B465" s="679"/>
      <c r="C465" s="679"/>
      <c r="D465" s="679"/>
      <c r="E465" s="679"/>
      <c r="F465" s="679"/>
      <c r="G465" s="679"/>
      <c r="H465" s="679"/>
      <c r="I465" s="679"/>
      <c r="J465" s="679"/>
      <c r="K465" s="679"/>
      <c r="L465" s="679"/>
      <c r="M465" s="679"/>
      <c r="N465" s="679"/>
      <c r="O465" s="680"/>
      <c r="P465" s="676" t="s">
        <v>40</v>
      </c>
      <c r="Q465" s="677"/>
      <c r="R465" s="677"/>
      <c r="S465" s="677"/>
      <c r="T465" s="677"/>
      <c r="U465" s="677"/>
      <c r="V465" s="678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79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76" t="s">
        <v>40</v>
      </c>
      <c r="Q466" s="677"/>
      <c r="R466" s="677"/>
      <c r="S466" s="677"/>
      <c r="T466" s="677"/>
      <c r="U466" s="677"/>
      <c r="V466" s="678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customHeight="1" x14ac:dyDescent="0.2">
      <c r="A467" s="668" t="s">
        <v>743</v>
      </c>
      <c r="B467" s="668"/>
      <c r="C467" s="668"/>
      <c r="D467" s="668"/>
      <c r="E467" s="668"/>
      <c r="F467" s="668"/>
      <c r="G467" s="668"/>
      <c r="H467" s="668"/>
      <c r="I467" s="668"/>
      <c r="J467" s="668"/>
      <c r="K467" s="668"/>
      <c r="L467" s="668"/>
      <c r="M467" s="668"/>
      <c r="N467" s="668"/>
      <c r="O467" s="668"/>
      <c r="P467" s="668"/>
      <c r="Q467" s="668"/>
      <c r="R467" s="668"/>
      <c r="S467" s="668"/>
      <c r="T467" s="668"/>
      <c r="U467" s="668"/>
      <c r="V467" s="668"/>
      <c r="W467" s="668"/>
      <c r="X467" s="668"/>
      <c r="Y467" s="668"/>
      <c r="Z467" s="668"/>
      <c r="AA467" s="54"/>
      <c r="AB467" s="54"/>
      <c r="AC467" s="54"/>
    </row>
    <row r="468" spans="1:68" ht="16.5" customHeight="1" x14ac:dyDescent="0.25">
      <c r="A468" s="669" t="s">
        <v>743</v>
      </c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69"/>
      <c r="P468" s="669"/>
      <c r="Q468" s="669"/>
      <c r="R468" s="669"/>
      <c r="S468" s="669"/>
      <c r="T468" s="669"/>
      <c r="U468" s="669"/>
      <c r="V468" s="669"/>
      <c r="W468" s="669"/>
      <c r="X468" s="669"/>
      <c r="Y468" s="669"/>
      <c r="Z468" s="669"/>
      <c r="AA468" s="65"/>
      <c r="AB468" s="65"/>
      <c r="AC468" s="79"/>
    </row>
    <row r="469" spans="1:68" ht="14.25" customHeight="1" x14ac:dyDescent="0.25">
      <c r="A469" s="670" t="s">
        <v>128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customHeight="1" x14ac:dyDescent="0.25">
      <c r="A470" s="63" t="s">
        <v>744</v>
      </c>
      <c r="B470" s="63" t="s">
        <v>745</v>
      </c>
      <c r="C470" s="36">
        <v>4301011769</v>
      </c>
      <c r="D470" s="671">
        <v>4607091389067</v>
      </c>
      <c r="E470" s="671"/>
      <c r="F470" s="62">
        <v>0.88</v>
      </c>
      <c r="G470" s="37">
        <v>6</v>
      </c>
      <c r="H470" s="62">
        <v>5.28</v>
      </c>
      <c r="I470" s="62">
        <v>5.63</v>
      </c>
      <c r="J470" s="37">
        <v>104</v>
      </c>
      <c r="K470" s="37" t="s">
        <v>133</v>
      </c>
      <c r="L470" s="37" t="s">
        <v>46</v>
      </c>
      <c r="M470" s="38" t="s">
        <v>90</v>
      </c>
      <c r="N470" s="38"/>
      <c r="O470" s="37">
        <v>60</v>
      </c>
      <c r="P470" s="9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73"/>
      <c r="R470" s="673"/>
      <c r="S470" s="673"/>
      <c r="T470" s="67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8" si="62">IFERROR(IF(X470="",0,CEILING((X470/$H470),1)*$H470),"")</f>
        <v>0</v>
      </c>
      <c r="Z470" s="41" t="str">
        <f t="shared" ref="Z470:Z475" si="63">IFERROR(IF(Y470=0,"",ROUNDUP(Y470/H470,0)*0.01196),"")</f>
        <v/>
      </c>
      <c r="AA470" s="68" t="s">
        <v>46</v>
      </c>
      <c r="AB470" s="69" t="s">
        <v>46</v>
      </c>
      <c r="AC470" s="546" t="s">
        <v>131</v>
      </c>
      <c r="AG470" s="78"/>
      <c r="AJ470" s="84" t="s">
        <v>46</v>
      </c>
      <c r="AK470" s="84">
        <v>0</v>
      </c>
      <c r="BB470" s="547" t="s">
        <v>67</v>
      </c>
      <c r="BM470" s="78">
        <f t="shared" ref="BM470:BM478" si="64">IFERROR(X470*I470/H470,"0")</f>
        <v>0</v>
      </c>
      <c r="BN470" s="78">
        <f t="shared" ref="BN470:BN478" si="65">IFERROR(Y470*I470/H470,"0")</f>
        <v>0</v>
      </c>
      <c r="BO470" s="78">
        <f t="shared" ref="BO470:BO478" si="66">IFERROR(1/J470*(X470/H470),"0")</f>
        <v>0</v>
      </c>
      <c r="BP470" s="78">
        <f t="shared" ref="BP470:BP478" si="67">IFERROR(1/J470*(Y470/H470),"0")</f>
        <v>0</v>
      </c>
    </row>
    <row r="471" spans="1:68" ht="27" customHeight="1" x14ac:dyDescent="0.25">
      <c r="A471" s="63" t="s">
        <v>746</v>
      </c>
      <c r="B471" s="63" t="s">
        <v>747</v>
      </c>
      <c r="C471" s="36">
        <v>4301012210</v>
      </c>
      <c r="D471" s="671">
        <v>4607091383522</v>
      </c>
      <c r="E471" s="671"/>
      <c r="F471" s="62">
        <v>0.88</v>
      </c>
      <c r="G471" s="37">
        <v>6</v>
      </c>
      <c r="H471" s="62">
        <v>5.28</v>
      </c>
      <c r="I471" s="62">
        <v>5.63</v>
      </c>
      <c r="J471" s="37">
        <v>104</v>
      </c>
      <c r="K471" s="37" t="s">
        <v>133</v>
      </c>
      <c r="L471" s="37" t="s">
        <v>46</v>
      </c>
      <c r="M471" s="38" t="s">
        <v>132</v>
      </c>
      <c r="N471" s="38"/>
      <c r="O471" s="37">
        <v>60</v>
      </c>
      <c r="P471" s="91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73"/>
      <c r="R471" s="673"/>
      <c r="S471" s="673"/>
      <c r="T471" s="67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2"/>
        <v>0</v>
      </c>
      <c r="Z471" s="41" t="str">
        <f t="shared" si="63"/>
        <v/>
      </c>
      <c r="AA471" s="68" t="s">
        <v>46</v>
      </c>
      <c r="AB471" s="69" t="s">
        <v>46</v>
      </c>
      <c r="AC471" s="548" t="s">
        <v>748</v>
      </c>
      <c r="AG471" s="78"/>
      <c r="AJ471" s="84" t="s">
        <v>46</v>
      </c>
      <c r="AK471" s="84">
        <v>0</v>
      </c>
      <c r="BB471" s="549" t="s">
        <v>67</v>
      </c>
      <c r="BM471" s="78">
        <f t="shared" si="64"/>
        <v>0</v>
      </c>
      <c r="BN471" s="78">
        <f t="shared" si="65"/>
        <v>0</v>
      </c>
      <c r="BO471" s="78">
        <f t="shared" si="66"/>
        <v>0</v>
      </c>
      <c r="BP471" s="78">
        <f t="shared" si="67"/>
        <v>0</v>
      </c>
    </row>
    <row r="472" spans="1:68" ht="27" customHeight="1" x14ac:dyDescent="0.25">
      <c r="A472" s="63" t="s">
        <v>749</v>
      </c>
      <c r="B472" s="63" t="s">
        <v>750</v>
      </c>
      <c r="C472" s="36">
        <v>4301011961</v>
      </c>
      <c r="D472" s="671">
        <v>4680115885271</v>
      </c>
      <c r="E472" s="671"/>
      <c r="F472" s="62">
        <v>0.88</v>
      </c>
      <c r="G472" s="37">
        <v>6</v>
      </c>
      <c r="H472" s="62">
        <v>5.28</v>
      </c>
      <c r="I472" s="62">
        <v>5.63</v>
      </c>
      <c r="J472" s="37">
        <v>104</v>
      </c>
      <c r="K472" s="37" t="s">
        <v>133</v>
      </c>
      <c r="L472" s="37" t="s">
        <v>46</v>
      </c>
      <c r="M472" s="38" t="s">
        <v>132</v>
      </c>
      <c r="N472" s="38"/>
      <c r="O472" s="37">
        <v>60</v>
      </c>
      <c r="P472" s="91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73"/>
      <c r="R472" s="673"/>
      <c r="S472" s="673"/>
      <c r="T472" s="67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2"/>
        <v>0</v>
      </c>
      <c r="Z472" s="41" t="str">
        <f t="shared" si="63"/>
        <v/>
      </c>
      <c r="AA472" s="68" t="s">
        <v>46</v>
      </c>
      <c r="AB472" s="69" t="s">
        <v>46</v>
      </c>
      <c r="AC472" s="550" t="s">
        <v>751</v>
      </c>
      <c r="AG472" s="78"/>
      <c r="AJ472" s="84" t="s">
        <v>46</v>
      </c>
      <c r="AK472" s="84">
        <v>0</v>
      </c>
      <c r="BB472" s="551" t="s">
        <v>67</v>
      </c>
      <c r="BM472" s="78">
        <f t="shared" si="64"/>
        <v>0</v>
      </c>
      <c r="BN472" s="78">
        <f t="shared" si="65"/>
        <v>0</v>
      </c>
      <c r="BO472" s="78">
        <f t="shared" si="66"/>
        <v>0</v>
      </c>
      <c r="BP472" s="78">
        <f t="shared" si="67"/>
        <v>0</v>
      </c>
    </row>
    <row r="473" spans="1:68" ht="27" customHeight="1" x14ac:dyDescent="0.25">
      <c r="A473" s="63" t="s">
        <v>752</v>
      </c>
      <c r="B473" s="63" t="s">
        <v>753</v>
      </c>
      <c r="C473" s="36">
        <v>4301011369</v>
      </c>
      <c r="D473" s="671">
        <v>4680115885226</v>
      </c>
      <c r="E473" s="671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132</v>
      </c>
      <c r="N473" s="38"/>
      <c r="O473" s="37">
        <v>60</v>
      </c>
      <c r="P473" s="9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400</v>
      </c>
      <c r="Y473" s="55">
        <f t="shared" si="62"/>
        <v>401.28000000000003</v>
      </c>
      <c r="Z473" s="41">
        <f t="shared" si="63"/>
        <v>0.90895999999999999</v>
      </c>
      <c r="AA473" s="68" t="s">
        <v>46</v>
      </c>
      <c r="AB473" s="69" t="s">
        <v>46</v>
      </c>
      <c r="AC473" s="552" t="s">
        <v>754</v>
      </c>
      <c r="AG473" s="78"/>
      <c r="AJ473" s="84" t="s">
        <v>46</v>
      </c>
      <c r="AK473" s="84">
        <v>0</v>
      </c>
      <c r="BB473" s="553" t="s">
        <v>67</v>
      </c>
      <c r="BM473" s="78">
        <f t="shared" si="64"/>
        <v>426.5151515151515</v>
      </c>
      <c r="BN473" s="78">
        <f t="shared" si="65"/>
        <v>427.88</v>
      </c>
      <c r="BO473" s="78">
        <f t="shared" si="66"/>
        <v>0.72843822843822836</v>
      </c>
      <c r="BP473" s="78">
        <f t="shared" si="67"/>
        <v>0.73076923076923084</v>
      </c>
    </row>
    <row r="474" spans="1:68" ht="16.5" customHeight="1" x14ac:dyDescent="0.25">
      <c r="A474" s="63" t="s">
        <v>755</v>
      </c>
      <c r="B474" s="63" t="s">
        <v>756</v>
      </c>
      <c r="C474" s="36">
        <v>4301011797</v>
      </c>
      <c r="D474" s="671">
        <v>4680115884502</v>
      </c>
      <c r="E474" s="671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9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2"/>
        <v>0</v>
      </c>
      <c r="Z474" s="41" t="str">
        <f t="shared" si="63"/>
        <v/>
      </c>
      <c r="AA474" s="68" t="s">
        <v>46</v>
      </c>
      <c r="AB474" s="69" t="s">
        <v>46</v>
      </c>
      <c r="AC474" s="554" t="s">
        <v>757</v>
      </c>
      <c r="AG474" s="78"/>
      <c r="AJ474" s="84" t="s">
        <v>46</v>
      </c>
      <c r="AK474" s="84">
        <v>0</v>
      </c>
      <c r="BB474" s="555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758</v>
      </c>
      <c r="B475" s="63" t="s">
        <v>759</v>
      </c>
      <c r="C475" s="36">
        <v>4301011771</v>
      </c>
      <c r="D475" s="671">
        <v>4607091389104</v>
      </c>
      <c r="E475" s="671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2"/>
        <v>0</v>
      </c>
      <c r="Z475" s="41" t="str">
        <f t="shared" si="63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4301012125</v>
      </c>
      <c r="D476" s="671">
        <v>4680115886391</v>
      </c>
      <c r="E476" s="671"/>
      <c r="F476" s="62">
        <v>0.4</v>
      </c>
      <c r="G476" s="37">
        <v>6</v>
      </c>
      <c r="H476" s="62">
        <v>2.4</v>
      </c>
      <c r="I476" s="62">
        <v>2.58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60</v>
      </c>
      <c r="P476" s="91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73"/>
      <c r="R476" s="673"/>
      <c r="S476" s="673"/>
      <c r="T476" s="67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58" t="s">
        <v>131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763</v>
      </c>
      <c r="B477" s="63" t="s">
        <v>764</v>
      </c>
      <c r="C477" s="36">
        <v>4301012048</v>
      </c>
      <c r="D477" s="671">
        <v>4680115880603</v>
      </c>
      <c r="E477" s="671"/>
      <c r="F477" s="62">
        <v>0.6</v>
      </c>
      <c r="G477" s="37">
        <v>8</v>
      </c>
      <c r="H477" s="62">
        <v>4.8</v>
      </c>
      <c r="I477" s="62">
        <v>6.91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60</v>
      </c>
      <c r="P477" s="9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73"/>
      <c r="R477" s="673"/>
      <c r="S477" s="673"/>
      <c r="T477" s="67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60" t="s">
        <v>131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765</v>
      </c>
      <c r="B478" s="63" t="s">
        <v>766</v>
      </c>
      <c r="C478" s="36">
        <v>4301012034</v>
      </c>
      <c r="D478" s="671">
        <v>4607091389982</v>
      </c>
      <c r="E478" s="671"/>
      <c r="F478" s="62">
        <v>0.6</v>
      </c>
      <c r="G478" s="37">
        <v>8</v>
      </c>
      <c r="H478" s="62">
        <v>4.8</v>
      </c>
      <c r="I478" s="62">
        <v>6.91</v>
      </c>
      <c r="J478" s="37">
        <v>132</v>
      </c>
      <c r="K478" s="37" t="s">
        <v>140</v>
      </c>
      <c r="L478" s="37" t="s">
        <v>46</v>
      </c>
      <c r="M478" s="38" t="s">
        <v>132</v>
      </c>
      <c r="N478" s="38"/>
      <c r="O478" s="37">
        <v>60</v>
      </c>
      <c r="P478" s="9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73"/>
      <c r="R478" s="673"/>
      <c r="S478" s="673"/>
      <c r="T478" s="67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2" t="s">
        <v>760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79"/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80"/>
      <c r="P479" s="676" t="s">
        <v>40</v>
      </c>
      <c r="Q479" s="677"/>
      <c r="R479" s="677"/>
      <c r="S479" s="677"/>
      <c r="T479" s="677"/>
      <c r="U479" s="677"/>
      <c r="V479" s="678"/>
      <c r="W479" s="42" t="s">
        <v>39</v>
      </c>
      <c r="X479" s="43">
        <f>IFERROR(X470/H470,"0")+IFERROR(X471/H471,"0")+IFERROR(X472/H472,"0")+IFERROR(X473/H473,"0")+IFERROR(X474/H474,"0")+IFERROR(X475/H475,"0")+IFERROR(X476/H476,"0")+IFERROR(X477/H477,"0")+IFERROR(X478/H478,"0")</f>
        <v>75.757575757575751</v>
      </c>
      <c r="Y479" s="43">
        <f>IFERROR(Y470/H470,"0")+IFERROR(Y471/H471,"0")+IFERROR(Y472/H472,"0")+IFERROR(Y473/H473,"0")+IFERROR(Y474/H474,"0")+IFERROR(Y475/H475,"0")+IFERROR(Y476/H476,"0")+IFERROR(Y477/H477,"0")+IFERROR(Y478/H478,"0")</f>
        <v>76</v>
      </c>
      <c r="Z479" s="4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0.90895999999999999</v>
      </c>
      <c r="AA479" s="67"/>
      <c r="AB479" s="67"/>
      <c r="AC479" s="67"/>
    </row>
    <row r="480" spans="1:68" x14ac:dyDescent="0.2">
      <c r="A480" s="679"/>
      <c r="B480" s="679"/>
      <c r="C480" s="679"/>
      <c r="D480" s="679"/>
      <c r="E480" s="679"/>
      <c r="F480" s="679"/>
      <c r="G480" s="679"/>
      <c r="H480" s="679"/>
      <c r="I480" s="679"/>
      <c r="J480" s="679"/>
      <c r="K480" s="679"/>
      <c r="L480" s="679"/>
      <c r="M480" s="679"/>
      <c r="N480" s="679"/>
      <c r="O480" s="680"/>
      <c r="P480" s="676" t="s">
        <v>40</v>
      </c>
      <c r="Q480" s="677"/>
      <c r="R480" s="677"/>
      <c r="S480" s="677"/>
      <c r="T480" s="677"/>
      <c r="U480" s="677"/>
      <c r="V480" s="678"/>
      <c r="W480" s="42" t="s">
        <v>0</v>
      </c>
      <c r="X480" s="43">
        <f>IFERROR(SUM(X470:X478),"0")</f>
        <v>400</v>
      </c>
      <c r="Y480" s="43">
        <f>IFERROR(SUM(Y470:Y478),"0")</f>
        <v>401.28000000000003</v>
      </c>
      <c r="Z480" s="42"/>
      <c r="AA480" s="67"/>
      <c r="AB480" s="67"/>
      <c r="AC480" s="67"/>
    </row>
    <row r="481" spans="1:68" ht="14.25" customHeight="1" x14ac:dyDescent="0.25">
      <c r="A481" s="670" t="s">
        <v>163</v>
      </c>
      <c r="B481" s="670"/>
      <c r="C481" s="670"/>
      <c r="D481" s="670"/>
      <c r="E481" s="670"/>
      <c r="F481" s="670"/>
      <c r="G481" s="670"/>
      <c r="H481" s="670"/>
      <c r="I481" s="670"/>
      <c r="J481" s="670"/>
      <c r="K481" s="670"/>
      <c r="L481" s="670"/>
      <c r="M481" s="670"/>
      <c r="N481" s="670"/>
      <c r="O481" s="670"/>
      <c r="P481" s="670"/>
      <c r="Q481" s="670"/>
      <c r="R481" s="670"/>
      <c r="S481" s="670"/>
      <c r="T481" s="670"/>
      <c r="U481" s="670"/>
      <c r="V481" s="670"/>
      <c r="W481" s="670"/>
      <c r="X481" s="670"/>
      <c r="Y481" s="670"/>
      <c r="Z481" s="670"/>
      <c r="AA481" s="66"/>
      <c r="AB481" s="66"/>
      <c r="AC481" s="80"/>
    </row>
    <row r="482" spans="1:68" ht="16.5" customHeight="1" x14ac:dyDescent="0.25">
      <c r="A482" s="63" t="s">
        <v>767</v>
      </c>
      <c r="B482" s="63" t="s">
        <v>768</v>
      </c>
      <c r="C482" s="36">
        <v>4301020334</v>
      </c>
      <c r="D482" s="671">
        <v>4607091388930</v>
      </c>
      <c r="E482" s="67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133</v>
      </c>
      <c r="L482" s="37" t="s">
        <v>46</v>
      </c>
      <c r="M482" s="38" t="s">
        <v>90</v>
      </c>
      <c r="N482" s="38"/>
      <c r="O482" s="37">
        <v>70</v>
      </c>
      <c r="P482" s="9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240</v>
      </c>
      <c r="Y482" s="55">
        <f>IFERROR(IF(X482="",0,CEILING((X482/$H482),1)*$H482),"")</f>
        <v>242.88000000000002</v>
      </c>
      <c r="Z482" s="41">
        <f>IFERROR(IF(Y482=0,"",ROUNDUP(Y482/H482,0)*0.01196),"")</f>
        <v>0.55015999999999998</v>
      </c>
      <c r="AA482" s="68" t="s">
        <v>46</v>
      </c>
      <c r="AB482" s="69" t="s">
        <v>46</v>
      </c>
      <c r="AC482" s="564" t="s">
        <v>769</v>
      </c>
      <c r="AG482" s="78"/>
      <c r="AJ482" s="84" t="s">
        <v>46</v>
      </c>
      <c r="AK482" s="84">
        <v>0</v>
      </c>
      <c r="BB482" s="565" t="s">
        <v>67</v>
      </c>
      <c r="BM482" s="78">
        <f>IFERROR(X482*I482/H482,"0")</f>
        <v>255.90909090909091</v>
      </c>
      <c r="BN482" s="78">
        <f>IFERROR(Y482*I482/H482,"0")</f>
        <v>258.98</v>
      </c>
      <c r="BO482" s="78">
        <f>IFERROR(1/J482*(X482/H482),"0")</f>
        <v>0.43706293706293708</v>
      </c>
      <c r="BP482" s="78">
        <f>IFERROR(1/J482*(Y482/H482),"0")</f>
        <v>0.44230769230769235</v>
      </c>
    </row>
    <row r="483" spans="1:68" ht="16.5" customHeight="1" x14ac:dyDescent="0.25">
      <c r="A483" s="63" t="s">
        <v>770</v>
      </c>
      <c r="B483" s="63" t="s">
        <v>771</v>
      </c>
      <c r="C483" s="36">
        <v>4301020374</v>
      </c>
      <c r="D483" s="671">
        <v>4680115886407</v>
      </c>
      <c r="E483" s="671"/>
      <c r="F483" s="62">
        <v>0.4</v>
      </c>
      <c r="G483" s="37">
        <v>6</v>
      </c>
      <c r="H483" s="62">
        <v>2.4</v>
      </c>
      <c r="I483" s="62">
        <v>2.58</v>
      </c>
      <c r="J483" s="37">
        <v>182</v>
      </c>
      <c r="K483" s="37" t="s">
        <v>91</v>
      </c>
      <c r="L483" s="37" t="s">
        <v>46</v>
      </c>
      <c r="M483" s="38" t="s">
        <v>132</v>
      </c>
      <c r="N483" s="38"/>
      <c r="O483" s="37">
        <v>70</v>
      </c>
      <c r="P483" s="9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66" t="s">
        <v>769</v>
      </c>
      <c r="AG483" s="78"/>
      <c r="AJ483" s="84" t="s">
        <v>46</v>
      </c>
      <c r="AK483" s="84">
        <v>0</v>
      </c>
      <c r="BB483" s="56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16.5" customHeight="1" x14ac:dyDescent="0.25">
      <c r="A484" s="63" t="s">
        <v>772</v>
      </c>
      <c r="B484" s="63" t="s">
        <v>773</v>
      </c>
      <c r="C484" s="36">
        <v>4301020385</v>
      </c>
      <c r="D484" s="671">
        <v>4680115880054</v>
      </c>
      <c r="E484" s="671"/>
      <c r="F484" s="62">
        <v>0.6</v>
      </c>
      <c r="G484" s="37">
        <v>8</v>
      </c>
      <c r="H484" s="62">
        <v>4.8</v>
      </c>
      <c r="I484" s="62">
        <v>6.91</v>
      </c>
      <c r="J484" s="37">
        <v>132</v>
      </c>
      <c r="K484" s="37" t="s">
        <v>140</v>
      </c>
      <c r="L484" s="37" t="s">
        <v>46</v>
      </c>
      <c r="M484" s="38" t="s">
        <v>132</v>
      </c>
      <c r="N484" s="38"/>
      <c r="O484" s="37">
        <v>70</v>
      </c>
      <c r="P484" s="9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68" t="s">
        <v>769</v>
      </c>
      <c r="AG484" s="78"/>
      <c r="AJ484" s="84" t="s">
        <v>46</v>
      </c>
      <c r="AK484" s="84">
        <v>0</v>
      </c>
      <c r="BB484" s="56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79"/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80"/>
      <c r="P485" s="676" t="s">
        <v>40</v>
      </c>
      <c r="Q485" s="677"/>
      <c r="R485" s="677"/>
      <c r="S485" s="677"/>
      <c r="T485" s="677"/>
      <c r="U485" s="677"/>
      <c r="V485" s="678"/>
      <c r="W485" s="42" t="s">
        <v>39</v>
      </c>
      <c r="X485" s="43">
        <f>IFERROR(X482/H482,"0")+IFERROR(X483/H483,"0")+IFERROR(X484/H484,"0")</f>
        <v>45.454545454545453</v>
      </c>
      <c r="Y485" s="43">
        <f>IFERROR(Y482/H482,"0")+IFERROR(Y483/H483,"0")+IFERROR(Y484/H484,"0")</f>
        <v>46</v>
      </c>
      <c r="Z485" s="43">
        <f>IFERROR(IF(Z482="",0,Z482),"0")+IFERROR(IF(Z483="",0,Z483),"0")+IFERROR(IF(Z484="",0,Z484),"0")</f>
        <v>0.55015999999999998</v>
      </c>
      <c r="AA485" s="67"/>
      <c r="AB485" s="67"/>
      <c r="AC485" s="67"/>
    </row>
    <row r="486" spans="1:68" x14ac:dyDescent="0.2">
      <c r="A486" s="679"/>
      <c r="B486" s="679"/>
      <c r="C486" s="679"/>
      <c r="D486" s="679"/>
      <c r="E486" s="679"/>
      <c r="F486" s="679"/>
      <c r="G486" s="679"/>
      <c r="H486" s="679"/>
      <c r="I486" s="679"/>
      <c r="J486" s="679"/>
      <c r="K486" s="679"/>
      <c r="L486" s="679"/>
      <c r="M486" s="679"/>
      <c r="N486" s="679"/>
      <c r="O486" s="680"/>
      <c r="P486" s="676" t="s">
        <v>40</v>
      </c>
      <c r="Q486" s="677"/>
      <c r="R486" s="677"/>
      <c r="S486" s="677"/>
      <c r="T486" s="677"/>
      <c r="U486" s="677"/>
      <c r="V486" s="678"/>
      <c r="W486" s="42" t="s">
        <v>0</v>
      </c>
      <c r="X486" s="43">
        <f>IFERROR(SUM(X482:X484),"0")</f>
        <v>240</v>
      </c>
      <c r="Y486" s="43">
        <f>IFERROR(SUM(Y482:Y484),"0")</f>
        <v>242.88000000000002</v>
      </c>
      <c r="Z486" s="42"/>
      <c r="AA486" s="67"/>
      <c r="AB486" s="67"/>
      <c r="AC486" s="67"/>
    </row>
    <row r="487" spans="1:68" ht="14.25" customHeight="1" x14ac:dyDescent="0.25">
      <c r="A487" s="670" t="s">
        <v>77</v>
      </c>
      <c r="B487" s="670"/>
      <c r="C487" s="670"/>
      <c r="D487" s="670"/>
      <c r="E487" s="670"/>
      <c r="F487" s="670"/>
      <c r="G487" s="670"/>
      <c r="H487" s="670"/>
      <c r="I487" s="670"/>
      <c r="J487" s="670"/>
      <c r="K487" s="670"/>
      <c r="L487" s="670"/>
      <c r="M487" s="670"/>
      <c r="N487" s="670"/>
      <c r="O487" s="670"/>
      <c r="P487" s="670"/>
      <c r="Q487" s="670"/>
      <c r="R487" s="670"/>
      <c r="S487" s="670"/>
      <c r="T487" s="670"/>
      <c r="U487" s="670"/>
      <c r="V487" s="670"/>
      <c r="W487" s="670"/>
      <c r="X487" s="670"/>
      <c r="Y487" s="670"/>
      <c r="Z487" s="670"/>
      <c r="AA487" s="66"/>
      <c r="AB487" s="66"/>
      <c r="AC487" s="80"/>
    </row>
    <row r="488" spans="1:68" ht="27" customHeight="1" x14ac:dyDescent="0.25">
      <c r="A488" s="63" t="s">
        <v>774</v>
      </c>
      <c r="B488" s="63" t="s">
        <v>775</v>
      </c>
      <c r="C488" s="36">
        <v>4301031349</v>
      </c>
      <c r="D488" s="671">
        <v>4680115883116</v>
      </c>
      <c r="E488" s="67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70</v>
      </c>
      <c r="P488" s="9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73"/>
      <c r="R488" s="673"/>
      <c r="S488" s="673"/>
      <c r="T488" s="67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ref="Y488:Y494" si="68">IFERROR(IF(X488="",0,CEILING((X488/$H488),1)*$H488),"")</f>
        <v>0</v>
      </c>
      <c r="Z488" s="41" t="str">
        <f>IFERROR(IF(Y488=0,"",ROUNDUP(Y488/H488,0)*0.01196),"")</f>
        <v/>
      </c>
      <c r="AA488" s="68" t="s">
        <v>46</v>
      </c>
      <c r="AB488" s="69" t="s">
        <v>46</v>
      </c>
      <c r="AC488" s="570" t="s">
        <v>776</v>
      </c>
      <c r="AG488" s="78"/>
      <c r="AJ488" s="84" t="s">
        <v>46</v>
      </c>
      <c r="AK488" s="84">
        <v>0</v>
      </c>
      <c r="BB488" s="571" t="s">
        <v>67</v>
      </c>
      <c r="BM488" s="78">
        <f t="shared" ref="BM488:BM494" si="69">IFERROR(X488*I488/H488,"0")</f>
        <v>0</v>
      </c>
      <c r="BN488" s="78">
        <f t="shared" ref="BN488:BN494" si="70">IFERROR(Y488*I488/H488,"0")</f>
        <v>0</v>
      </c>
      <c r="BO488" s="78">
        <f t="shared" ref="BO488:BO494" si="71">IFERROR(1/J488*(X488/H488),"0")</f>
        <v>0</v>
      </c>
      <c r="BP488" s="78">
        <f t="shared" ref="BP488:BP494" si="72">IFERROR(1/J488*(Y488/H488),"0")</f>
        <v>0</v>
      </c>
    </row>
    <row r="489" spans="1:68" ht="27" customHeight="1" x14ac:dyDescent="0.25">
      <c r="A489" s="63" t="s">
        <v>777</v>
      </c>
      <c r="B489" s="63" t="s">
        <v>778</v>
      </c>
      <c r="C489" s="36">
        <v>4301031350</v>
      </c>
      <c r="D489" s="671">
        <v>4680115883093</v>
      </c>
      <c r="E489" s="67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81</v>
      </c>
      <c r="N489" s="38"/>
      <c r="O489" s="37">
        <v>70</v>
      </c>
      <c r="P489" s="9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73"/>
      <c r="R489" s="673"/>
      <c r="S489" s="673"/>
      <c r="T489" s="67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8"/>
        <v>0</v>
      </c>
      <c r="Z489" s="41" t="str">
        <f>IFERROR(IF(Y489=0,"",ROUNDUP(Y489/H489,0)*0.01196),"")</f>
        <v/>
      </c>
      <c r="AA489" s="68" t="s">
        <v>46</v>
      </c>
      <c r="AB489" s="69" t="s">
        <v>46</v>
      </c>
      <c r="AC489" s="572" t="s">
        <v>779</v>
      </c>
      <c r="AG489" s="78"/>
      <c r="AJ489" s="84" t="s">
        <v>46</v>
      </c>
      <c r="AK489" s="84">
        <v>0</v>
      </c>
      <c r="BB489" s="573" t="s">
        <v>67</v>
      </c>
      <c r="BM489" s="78">
        <f t="shared" si="69"/>
        <v>0</v>
      </c>
      <c r="BN489" s="78">
        <f t="shared" si="70"/>
        <v>0</v>
      </c>
      <c r="BO489" s="78">
        <f t="shared" si="71"/>
        <v>0</v>
      </c>
      <c r="BP489" s="78">
        <f t="shared" si="72"/>
        <v>0</v>
      </c>
    </row>
    <row r="490" spans="1:68" ht="27" customHeight="1" x14ac:dyDescent="0.25">
      <c r="A490" s="63" t="s">
        <v>780</v>
      </c>
      <c r="B490" s="63" t="s">
        <v>781</v>
      </c>
      <c r="C490" s="36">
        <v>4301031353</v>
      </c>
      <c r="D490" s="671">
        <v>4680115883109</v>
      </c>
      <c r="E490" s="67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81</v>
      </c>
      <c r="N490" s="38"/>
      <c r="O490" s="37">
        <v>70</v>
      </c>
      <c r="P490" s="9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8"/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74" t="s">
        <v>782</v>
      </c>
      <c r="AG490" s="78"/>
      <c r="AJ490" s="84" t="s">
        <v>46</v>
      </c>
      <c r="AK490" s="84">
        <v>0</v>
      </c>
      <c r="BB490" s="575" t="s">
        <v>67</v>
      </c>
      <c r="BM490" s="78">
        <f t="shared" si="69"/>
        <v>0</v>
      </c>
      <c r="BN490" s="78">
        <f t="shared" si="70"/>
        <v>0</v>
      </c>
      <c r="BO490" s="78">
        <f t="shared" si="71"/>
        <v>0</v>
      </c>
      <c r="BP490" s="78">
        <f t="shared" si="72"/>
        <v>0</v>
      </c>
    </row>
    <row r="491" spans="1:68" ht="27" customHeight="1" x14ac:dyDescent="0.25">
      <c r="A491" s="63" t="s">
        <v>783</v>
      </c>
      <c r="B491" s="63" t="s">
        <v>784</v>
      </c>
      <c r="C491" s="36">
        <v>4301031419</v>
      </c>
      <c r="D491" s="671">
        <v>4680115882072</v>
      </c>
      <c r="E491" s="671"/>
      <c r="F491" s="62">
        <v>0.6</v>
      </c>
      <c r="G491" s="37">
        <v>8</v>
      </c>
      <c r="H491" s="62">
        <v>4.8</v>
      </c>
      <c r="I491" s="62">
        <v>6.91</v>
      </c>
      <c r="J491" s="37">
        <v>132</v>
      </c>
      <c r="K491" s="37" t="s">
        <v>140</v>
      </c>
      <c r="L491" s="37" t="s">
        <v>46</v>
      </c>
      <c r="M491" s="38" t="s">
        <v>132</v>
      </c>
      <c r="N491" s="38"/>
      <c r="O491" s="37">
        <v>70</v>
      </c>
      <c r="P491" s="9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8"/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76" t="s">
        <v>776</v>
      </c>
      <c r="AG491" s="78"/>
      <c r="AJ491" s="84" t="s">
        <v>46</v>
      </c>
      <c r="AK491" s="84">
        <v>0</v>
      </c>
      <c r="BB491" s="577" t="s">
        <v>67</v>
      </c>
      <c r="BM491" s="78">
        <f t="shared" si="69"/>
        <v>0</v>
      </c>
      <c r="BN491" s="78">
        <f t="shared" si="70"/>
        <v>0</v>
      </c>
      <c r="BO491" s="78">
        <f t="shared" si="71"/>
        <v>0</v>
      </c>
      <c r="BP491" s="78">
        <f t="shared" si="72"/>
        <v>0</v>
      </c>
    </row>
    <row r="492" spans="1:68" ht="27" customHeight="1" x14ac:dyDescent="0.25">
      <c r="A492" s="63" t="s">
        <v>785</v>
      </c>
      <c r="B492" s="63" t="s">
        <v>786</v>
      </c>
      <c r="C492" s="36">
        <v>4301031352</v>
      </c>
      <c r="D492" s="671">
        <v>4680115882102</v>
      </c>
      <c r="E492" s="671"/>
      <c r="F492" s="62">
        <v>0.6</v>
      </c>
      <c r="G492" s="37">
        <v>6</v>
      </c>
      <c r="H492" s="62">
        <v>3.6</v>
      </c>
      <c r="I492" s="62">
        <v>3.79</v>
      </c>
      <c r="J492" s="37">
        <v>132</v>
      </c>
      <c r="K492" s="37" t="s">
        <v>140</v>
      </c>
      <c r="L492" s="37" t="s">
        <v>46</v>
      </c>
      <c r="M492" s="38" t="s">
        <v>81</v>
      </c>
      <c r="N492" s="38"/>
      <c r="O492" s="37">
        <v>70</v>
      </c>
      <c r="P492" s="9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73"/>
      <c r="R492" s="673"/>
      <c r="S492" s="673"/>
      <c r="T492" s="67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8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78" t="s">
        <v>779</v>
      </c>
      <c r="AG492" s="78"/>
      <c r="AJ492" s="84" t="s">
        <v>46</v>
      </c>
      <c r="AK492" s="84">
        <v>0</v>
      </c>
      <c r="BB492" s="579" t="s">
        <v>67</v>
      </c>
      <c r="BM492" s="78">
        <f t="shared" si="69"/>
        <v>0</v>
      </c>
      <c r="BN492" s="78">
        <f t="shared" si="70"/>
        <v>0</v>
      </c>
      <c r="BO492" s="78">
        <f t="shared" si="71"/>
        <v>0</v>
      </c>
      <c r="BP492" s="78">
        <f t="shared" si="72"/>
        <v>0</v>
      </c>
    </row>
    <row r="493" spans="1:68" ht="27" customHeight="1" x14ac:dyDescent="0.25">
      <c r="A493" s="63" t="s">
        <v>785</v>
      </c>
      <c r="B493" s="63" t="s">
        <v>787</v>
      </c>
      <c r="C493" s="36">
        <v>4301031418</v>
      </c>
      <c r="D493" s="671">
        <v>4680115882102</v>
      </c>
      <c r="E493" s="671"/>
      <c r="F493" s="62">
        <v>0.6</v>
      </c>
      <c r="G493" s="37">
        <v>8</v>
      </c>
      <c r="H493" s="62">
        <v>4.8</v>
      </c>
      <c r="I493" s="62">
        <v>6.67</v>
      </c>
      <c r="J493" s="37">
        <v>132</v>
      </c>
      <c r="K493" s="37" t="s">
        <v>140</v>
      </c>
      <c r="L493" s="37" t="s">
        <v>46</v>
      </c>
      <c r="M493" s="38" t="s">
        <v>81</v>
      </c>
      <c r="N493" s="38"/>
      <c r="O493" s="37">
        <v>70</v>
      </c>
      <c r="P493" s="9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73"/>
      <c r="R493" s="673"/>
      <c r="S493" s="673"/>
      <c r="T493" s="67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8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0" t="s">
        <v>779</v>
      </c>
      <c r="AG493" s="78"/>
      <c r="AJ493" s="84" t="s">
        <v>46</v>
      </c>
      <c r="AK493" s="84">
        <v>0</v>
      </c>
      <c r="BB493" s="581" t="s">
        <v>67</v>
      </c>
      <c r="BM493" s="78">
        <f t="shared" si="69"/>
        <v>0</v>
      </c>
      <c r="BN493" s="78">
        <f t="shared" si="70"/>
        <v>0</v>
      </c>
      <c r="BO493" s="78">
        <f t="shared" si="71"/>
        <v>0</v>
      </c>
      <c r="BP493" s="78">
        <f t="shared" si="72"/>
        <v>0</v>
      </c>
    </row>
    <row r="494" spans="1:68" ht="27" customHeight="1" x14ac:dyDescent="0.25">
      <c r="A494" s="63" t="s">
        <v>788</v>
      </c>
      <c r="B494" s="63" t="s">
        <v>789</v>
      </c>
      <c r="C494" s="36">
        <v>4301031417</v>
      </c>
      <c r="D494" s="671">
        <v>4680115882096</v>
      </c>
      <c r="E494" s="671"/>
      <c r="F494" s="62">
        <v>0.6</v>
      </c>
      <c r="G494" s="37">
        <v>8</v>
      </c>
      <c r="H494" s="62">
        <v>4.8</v>
      </c>
      <c r="I494" s="62">
        <v>6.67</v>
      </c>
      <c r="J494" s="37">
        <v>132</v>
      </c>
      <c r="K494" s="37" t="s">
        <v>140</v>
      </c>
      <c r="L494" s="37" t="s">
        <v>46</v>
      </c>
      <c r="M494" s="38" t="s">
        <v>81</v>
      </c>
      <c r="N494" s="38"/>
      <c r="O494" s="37">
        <v>70</v>
      </c>
      <c r="P494" s="9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73"/>
      <c r="R494" s="673"/>
      <c r="S494" s="673"/>
      <c r="T494" s="67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782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x14ac:dyDescent="0.2">
      <c r="A495" s="679"/>
      <c r="B495" s="679"/>
      <c r="C495" s="679"/>
      <c r="D495" s="679"/>
      <c r="E495" s="679"/>
      <c r="F495" s="679"/>
      <c r="G495" s="679"/>
      <c r="H495" s="679"/>
      <c r="I495" s="679"/>
      <c r="J495" s="679"/>
      <c r="K495" s="679"/>
      <c r="L495" s="679"/>
      <c r="M495" s="679"/>
      <c r="N495" s="679"/>
      <c r="O495" s="680"/>
      <c r="P495" s="676" t="s">
        <v>40</v>
      </c>
      <c r="Q495" s="677"/>
      <c r="R495" s="677"/>
      <c r="S495" s="677"/>
      <c r="T495" s="677"/>
      <c r="U495" s="677"/>
      <c r="V495" s="678"/>
      <c r="W495" s="42" t="s">
        <v>39</v>
      </c>
      <c r="X495" s="43">
        <f>IFERROR(X488/H488,"0")+IFERROR(X489/H489,"0")+IFERROR(X490/H490,"0")+IFERROR(X491/H491,"0")+IFERROR(X492/H492,"0")+IFERROR(X493/H493,"0")+IFERROR(X494/H494,"0")</f>
        <v>0</v>
      </c>
      <c r="Y495" s="43">
        <f>IFERROR(Y488/H488,"0")+IFERROR(Y489/H489,"0")+IFERROR(Y490/H490,"0")+IFERROR(Y491/H491,"0")+IFERROR(Y492/H492,"0")+IFERROR(Y493/H493,"0")+IFERROR(Y494/H494,"0")</f>
        <v>0</v>
      </c>
      <c r="Z495" s="43">
        <f>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679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76" t="s">
        <v>40</v>
      </c>
      <c r="Q496" s="677"/>
      <c r="R496" s="677"/>
      <c r="S496" s="677"/>
      <c r="T496" s="677"/>
      <c r="U496" s="677"/>
      <c r="V496" s="678"/>
      <c r="W496" s="42" t="s">
        <v>0</v>
      </c>
      <c r="X496" s="43">
        <f>IFERROR(SUM(X488:X494),"0")</f>
        <v>0</v>
      </c>
      <c r="Y496" s="43">
        <f>IFERROR(SUM(Y488:Y494),"0")</f>
        <v>0</v>
      </c>
      <c r="Z496" s="42"/>
      <c r="AA496" s="67"/>
      <c r="AB496" s="67"/>
      <c r="AC496" s="67"/>
    </row>
    <row r="497" spans="1:68" ht="27.75" customHeight="1" x14ac:dyDescent="0.2">
      <c r="A497" s="668" t="s">
        <v>790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customHeight="1" x14ac:dyDescent="0.25">
      <c r="A498" s="669" t="s">
        <v>790</v>
      </c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69"/>
      <c r="P498" s="669"/>
      <c r="Q498" s="669"/>
      <c r="R498" s="669"/>
      <c r="S498" s="669"/>
      <c r="T498" s="669"/>
      <c r="U498" s="669"/>
      <c r="V498" s="669"/>
      <c r="W498" s="669"/>
      <c r="X498" s="669"/>
      <c r="Y498" s="669"/>
      <c r="Z498" s="669"/>
      <c r="AA498" s="65"/>
      <c r="AB498" s="65"/>
      <c r="AC498" s="79"/>
    </row>
    <row r="499" spans="1:68" ht="14.25" customHeight="1" x14ac:dyDescent="0.25">
      <c r="A499" s="670" t="s">
        <v>128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customHeight="1" x14ac:dyDescent="0.25">
      <c r="A500" s="63" t="s">
        <v>791</v>
      </c>
      <c r="B500" s="63" t="s">
        <v>792</v>
      </c>
      <c r="C500" s="36">
        <v>4301011584</v>
      </c>
      <c r="D500" s="671">
        <v>4640242180564</v>
      </c>
      <c r="E500" s="671"/>
      <c r="F500" s="62">
        <v>1.5</v>
      </c>
      <c r="G500" s="37">
        <v>8</v>
      </c>
      <c r="H500" s="62">
        <v>12</v>
      </c>
      <c r="I500" s="62">
        <v>12.41</v>
      </c>
      <c r="J500" s="37">
        <v>64</v>
      </c>
      <c r="K500" s="37" t="s">
        <v>133</v>
      </c>
      <c r="L500" s="37" t="s">
        <v>46</v>
      </c>
      <c r="M500" s="38" t="s">
        <v>132</v>
      </c>
      <c r="N500" s="38"/>
      <c r="O500" s="37">
        <v>50</v>
      </c>
      <c r="P500" s="92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IFERROR(IF(Y500=0,"",ROUNDUP(Y500/H500,0)*0.01898),"")</f>
        <v/>
      </c>
      <c r="AA500" s="68" t="s">
        <v>46</v>
      </c>
      <c r="AB500" s="69" t="s">
        <v>46</v>
      </c>
      <c r="AC500" s="584" t="s">
        <v>793</v>
      </c>
      <c r="AG500" s="78"/>
      <c r="AJ500" s="84" t="s">
        <v>46</v>
      </c>
      <c r="AK500" s="84">
        <v>0</v>
      </c>
      <c r="BB500" s="58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79"/>
      <c r="B501" s="679"/>
      <c r="C501" s="679"/>
      <c r="D501" s="679"/>
      <c r="E501" s="679"/>
      <c r="F501" s="679"/>
      <c r="G501" s="679"/>
      <c r="H501" s="679"/>
      <c r="I501" s="679"/>
      <c r="J501" s="679"/>
      <c r="K501" s="679"/>
      <c r="L501" s="679"/>
      <c r="M501" s="679"/>
      <c r="N501" s="679"/>
      <c r="O501" s="680"/>
      <c r="P501" s="676" t="s">
        <v>40</v>
      </c>
      <c r="Q501" s="677"/>
      <c r="R501" s="677"/>
      <c r="S501" s="677"/>
      <c r="T501" s="677"/>
      <c r="U501" s="677"/>
      <c r="V501" s="678"/>
      <c r="W501" s="42" t="s">
        <v>39</v>
      </c>
      <c r="X501" s="43">
        <f>IFERROR(X500/H500,"0")</f>
        <v>0</v>
      </c>
      <c r="Y501" s="43">
        <f>IFERROR(Y500/H500,"0")</f>
        <v>0</v>
      </c>
      <c r="Z501" s="43">
        <f>IFERROR(IF(Z500="",0,Z500),"0")</f>
        <v>0</v>
      </c>
      <c r="AA501" s="67"/>
      <c r="AB501" s="67"/>
      <c r="AC501" s="67"/>
    </row>
    <row r="502" spans="1:68" x14ac:dyDescent="0.2">
      <c r="A502" s="679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76" t="s">
        <v>40</v>
      </c>
      <c r="Q502" s="677"/>
      <c r="R502" s="677"/>
      <c r="S502" s="677"/>
      <c r="T502" s="677"/>
      <c r="U502" s="677"/>
      <c r="V502" s="678"/>
      <c r="W502" s="42" t="s">
        <v>0</v>
      </c>
      <c r="X502" s="43">
        <f>IFERROR(SUM(X500:X500),"0")</f>
        <v>0</v>
      </c>
      <c r="Y502" s="43">
        <f>IFERROR(SUM(Y500:Y500),"0")</f>
        <v>0</v>
      </c>
      <c r="Z502" s="42"/>
      <c r="AA502" s="67"/>
      <c r="AB502" s="67"/>
      <c r="AC502" s="67"/>
    </row>
    <row r="503" spans="1:68" ht="14.25" customHeight="1" x14ac:dyDescent="0.25">
      <c r="A503" s="670" t="s">
        <v>163</v>
      </c>
      <c r="B503" s="670"/>
      <c r="C503" s="670"/>
      <c r="D503" s="670"/>
      <c r="E503" s="670"/>
      <c r="F503" s="670"/>
      <c r="G503" s="670"/>
      <c r="H503" s="670"/>
      <c r="I503" s="670"/>
      <c r="J503" s="670"/>
      <c r="K503" s="670"/>
      <c r="L503" s="670"/>
      <c r="M503" s="670"/>
      <c r="N503" s="670"/>
      <c r="O503" s="670"/>
      <c r="P503" s="670"/>
      <c r="Q503" s="670"/>
      <c r="R503" s="670"/>
      <c r="S503" s="670"/>
      <c r="T503" s="670"/>
      <c r="U503" s="670"/>
      <c r="V503" s="670"/>
      <c r="W503" s="670"/>
      <c r="X503" s="670"/>
      <c r="Y503" s="670"/>
      <c r="Z503" s="670"/>
      <c r="AA503" s="66"/>
      <c r="AB503" s="66"/>
      <c r="AC503" s="80"/>
    </row>
    <row r="504" spans="1:68" ht="27" customHeight="1" x14ac:dyDescent="0.25">
      <c r="A504" s="63" t="s">
        <v>794</v>
      </c>
      <c r="B504" s="63" t="s">
        <v>795</v>
      </c>
      <c r="C504" s="36">
        <v>4301020400</v>
      </c>
      <c r="D504" s="671">
        <v>4640242180519</v>
      </c>
      <c r="E504" s="671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9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73"/>
      <c r="R504" s="673"/>
      <c r="S504" s="673"/>
      <c r="T504" s="674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86" t="s">
        <v>796</v>
      </c>
      <c r="AG504" s="78"/>
      <c r="AJ504" s="84" t="s">
        <v>46</v>
      </c>
      <c r="AK504" s="84">
        <v>0</v>
      </c>
      <c r="BB504" s="587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79"/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80"/>
      <c r="P505" s="676" t="s">
        <v>40</v>
      </c>
      <c r="Q505" s="677"/>
      <c r="R505" s="677"/>
      <c r="S505" s="677"/>
      <c r="T505" s="677"/>
      <c r="U505" s="677"/>
      <c r="V505" s="678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">
      <c r="A506" s="679"/>
      <c r="B506" s="679"/>
      <c r="C506" s="679"/>
      <c r="D506" s="679"/>
      <c r="E506" s="679"/>
      <c r="F506" s="679"/>
      <c r="G506" s="679"/>
      <c r="H506" s="679"/>
      <c r="I506" s="679"/>
      <c r="J506" s="679"/>
      <c r="K506" s="679"/>
      <c r="L506" s="679"/>
      <c r="M506" s="679"/>
      <c r="N506" s="679"/>
      <c r="O506" s="680"/>
      <c r="P506" s="676" t="s">
        <v>40</v>
      </c>
      <c r="Q506" s="677"/>
      <c r="R506" s="677"/>
      <c r="S506" s="677"/>
      <c r="T506" s="677"/>
      <c r="U506" s="677"/>
      <c r="V506" s="678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70" t="s">
        <v>77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customHeight="1" x14ac:dyDescent="0.25">
      <c r="A508" s="63" t="s">
        <v>797</v>
      </c>
      <c r="B508" s="63" t="s">
        <v>798</v>
      </c>
      <c r="C508" s="36">
        <v>4301031467</v>
      </c>
      <c r="D508" s="671">
        <v>4640242180595</v>
      </c>
      <c r="E508" s="671"/>
      <c r="F508" s="62">
        <v>0.8</v>
      </c>
      <c r="G508" s="37">
        <v>6</v>
      </c>
      <c r="H508" s="62">
        <v>4.8</v>
      </c>
      <c r="I508" s="62">
        <v>5.05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40</v>
      </c>
      <c r="P508" s="93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588" t="s">
        <v>799</v>
      </c>
      <c r="AG508" s="78"/>
      <c r="AJ508" s="84" t="s">
        <v>46</v>
      </c>
      <c r="AK508" s="84">
        <v>0</v>
      </c>
      <c r="BB508" s="589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27" customHeight="1" x14ac:dyDescent="0.25">
      <c r="A509" s="63" t="s">
        <v>797</v>
      </c>
      <c r="B509" s="63" t="s">
        <v>800</v>
      </c>
      <c r="C509" s="36">
        <v>4301031500</v>
      </c>
      <c r="D509" s="671">
        <v>4640242180595</v>
      </c>
      <c r="E509" s="671"/>
      <c r="F509" s="62">
        <v>0.7</v>
      </c>
      <c r="G509" s="37">
        <v>6</v>
      </c>
      <c r="H509" s="62">
        <v>4.2</v>
      </c>
      <c r="I509" s="62">
        <v>4.45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40</v>
      </c>
      <c r="P509" s="93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590" t="s">
        <v>801</v>
      </c>
      <c r="AG509" s="78"/>
      <c r="AJ509" s="84" t="s">
        <v>46</v>
      </c>
      <c r="AK509" s="84">
        <v>0</v>
      </c>
      <c r="BB509" s="591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76" t="s">
        <v>40</v>
      </c>
      <c r="Q510" s="677"/>
      <c r="R510" s="677"/>
      <c r="S510" s="677"/>
      <c r="T510" s="677"/>
      <c r="U510" s="677"/>
      <c r="V510" s="678"/>
      <c r="W510" s="42" t="s">
        <v>39</v>
      </c>
      <c r="X510" s="43">
        <f>IFERROR(X508/H508,"0")+IFERROR(X509/H509,"0")</f>
        <v>0</v>
      </c>
      <c r="Y510" s="43">
        <f>IFERROR(Y508/H508,"0")+IFERROR(Y509/H509,"0")</f>
        <v>0</v>
      </c>
      <c r="Z510" s="43">
        <f>IFERROR(IF(Z508="",0,Z508),"0")+IFERROR(IF(Z509="",0,Z509),"0")</f>
        <v>0</v>
      </c>
      <c r="AA510" s="67"/>
      <c r="AB510" s="67"/>
      <c r="AC510" s="67"/>
    </row>
    <row r="511" spans="1:68" x14ac:dyDescent="0.2">
      <c r="A511" s="679"/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80"/>
      <c r="P511" s="676" t="s">
        <v>40</v>
      </c>
      <c r="Q511" s="677"/>
      <c r="R511" s="677"/>
      <c r="S511" s="677"/>
      <c r="T511" s="677"/>
      <c r="U511" s="677"/>
      <c r="V511" s="678"/>
      <c r="W511" s="42" t="s">
        <v>0</v>
      </c>
      <c r="X511" s="43">
        <f>IFERROR(SUM(X508:X509),"0")</f>
        <v>0</v>
      </c>
      <c r="Y511" s="43">
        <f>IFERROR(SUM(Y508:Y509),"0")</f>
        <v>0</v>
      </c>
      <c r="Z511" s="42"/>
      <c r="AA511" s="67"/>
      <c r="AB511" s="67"/>
      <c r="AC511" s="67"/>
    </row>
    <row r="512" spans="1:68" ht="14.25" customHeight="1" x14ac:dyDescent="0.25">
      <c r="A512" s="670" t="s">
        <v>86</v>
      </c>
      <c r="B512" s="670"/>
      <c r="C512" s="670"/>
      <c r="D512" s="670"/>
      <c r="E512" s="670"/>
      <c r="F512" s="670"/>
      <c r="G512" s="670"/>
      <c r="H512" s="670"/>
      <c r="I512" s="670"/>
      <c r="J512" s="670"/>
      <c r="K512" s="670"/>
      <c r="L512" s="670"/>
      <c r="M512" s="670"/>
      <c r="N512" s="670"/>
      <c r="O512" s="670"/>
      <c r="P512" s="670"/>
      <c r="Q512" s="670"/>
      <c r="R512" s="670"/>
      <c r="S512" s="670"/>
      <c r="T512" s="670"/>
      <c r="U512" s="670"/>
      <c r="V512" s="670"/>
      <c r="W512" s="670"/>
      <c r="X512" s="670"/>
      <c r="Y512" s="670"/>
      <c r="Z512" s="670"/>
      <c r="AA512" s="66"/>
      <c r="AB512" s="66"/>
      <c r="AC512" s="80"/>
    </row>
    <row r="513" spans="1:68" ht="27" customHeight="1" x14ac:dyDescent="0.25">
      <c r="A513" s="63" t="s">
        <v>802</v>
      </c>
      <c r="B513" s="63" t="s">
        <v>803</v>
      </c>
      <c r="C513" s="36">
        <v>4301052046</v>
      </c>
      <c r="D513" s="671">
        <v>4640242180533</v>
      </c>
      <c r="E513" s="671"/>
      <c r="F513" s="62">
        <v>1.5</v>
      </c>
      <c r="G513" s="37">
        <v>6</v>
      </c>
      <c r="H513" s="62">
        <v>9</v>
      </c>
      <c r="I513" s="62">
        <v>9.4939999999999998</v>
      </c>
      <c r="J513" s="37">
        <v>64</v>
      </c>
      <c r="K513" s="37" t="s">
        <v>133</v>
      </c>
      <c r="L513" s="37" t="s">
        <v>46</v>
      </c>
      <c r="M513" s="38" t="s">
        <v>97</v>
      </c>
      <c r="N513" s="38"/>
      <c r="O513" s="37">
        <v>45</v>
      </c>
      <c r="P513" s="93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IFERROR(IF(Y513=0,"",ROUNDUP(Y513/H513,0)*0.01898),"")</f>
        <v/>
      </c>
      <c r="AA513" s="68" t="s">
        <v>46</v>
      </c>
      <c r="AB513" s="69" t="s">
        <v>46</v>
      </c>
      <c r="AC513" s="592" t="s">
        <v>804</v>
      </c>
      <c r="AG513" s="78"/>
      <c r="AJ513" s="84" t="s">
        <v>46</v>
      </c>
      <c r="AK513" s="84">
        <v>0</v>
      </c>
      <c r="BB513" s="59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79"/>
      <c r="B514" s="679"/>
      <c r="C514" s="679"/>
      <c r="D514" s="679"/>
      <c r="E514" s="679"/>
      <c r="F514" s="679"/>
      <c r="G514" s="679"/>
      <c r="H514" s="679"/>
      <c r="I514" s="679"/>
      <c r="J514" s="679"/>
      <c r="K514" s="679"/>
      <c r="L514" s="679"/>
      <c r="M514" s="679"/>
      <c r="N514" s="679"/>
      <c r="O514" s="680"/>
      <c r="P514" s="676" t="s">
        <v>40</v>
      </c>
      <c r="Q514" s="677"/>
      <c r="R514" s="677"/>
      <c r="S514" s="677"/>
      <c r="T514" s="677"/>
      <c r="U514" s="677"/>
      <c r="V514" s="678"/>
      <c r="W514" s="42" t="s">
        <v>39</v>
      </c>
      <c r="X514" s="43">
        <f>IFERROR(X513/H513,"0")</f>
        <v>0</v>
      </c>
      <c r="Y514" s="43">
        <f>IFERROR(Y513/H513,"0")</f>
        <v>0</v>
      </c>
      <c r="Z514" s="43">
        <f>IFERROR(IF(Z513="",0,Z513),"0")</f>
        <v>0</v>
      </c>
      <c r="AA514" s="67"/>
      <c r="AB514" s="67"/>
      <c r="AC514" s="67"/>
    </row>
    <row r="515" spans="1:68" x14ac:dyDescent="0.2">
      <c r="A515" s="679"/>
      <c r="B515" s="679"/>
      <c r="C515" s="679"/>
      <c r="D515" s="679"/>
      <c r="E515" s="679"/>
      <c r="F515" s="679"/>
      <c r="G515" s="679"/>
      <c r="H515" s="679"/>
      <c r="I515" s="679"/>
      <c r="J515" s="679"/>
      <c r="K515" s="679"/>
      <c r="L515" s="679"/>
      <c r="M515" s="679"/>
      <c r="N515" s="679"/>
      <c r="O515" s="680"/>
      <c r="P515" s="676" t="s">
        <v>40</v>
      </c>
      <c r="Q515" s="677"/>
      <c r="R515" s="677"/>
      <c r="S515" s="677"/>
      <c r="T515" s="677"/>
      <c r="U515" s="677"/>
      <c r="V515" s="678"/>
      <c r="W515" s="42" t="s">
        <v>0</v>
      </c>
      <c r="X515" s="43">
        <f>IFERROR(SUM(X513:X513),"0")</f>
        <v>0</v>
      </c>
      <c r="Y515" s="43">
        <f>IFERROR(SUM(Y513:Y513),"0")</f>
        <v>0</v>
      </c>
      <c r="Z515" s="42"/>
      <c r="AA515" s="67"/>
      <c r="AB515" s="67"/>
      <c r="AC515" s="67"/>
    </row>
    <row r="516" spans="1:68" ht="14.25" customHeight="1" x14ac:dyDescent="0.25">
      <c r="A516" s="670" t="s">
        <v>180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27" customHeight="1" x14ac:dyDescent="0.25">
      <c r="A517" s="63" t="s">
        <v>805</v>
      </c>
      <c r="B517" s="63" t="s">
        <v>806</v>
      </c>
      <c r="C517" s="36">
        <v>4301060535</v>
      </c>
      <c r="D517" s="671">
        <v>4640242180120</v>
      </c>
      <c r="E517" s="671"/>
      <c r="F517" s="62">
        <v>1.5</v>
      </c>
      <c r="G517" s="37">
        <v>6</v>
      </c>
      <c r="H517" s="62">
        <v>9</v>
      </c>
      <c r="I517" s="62">
        <v>9.41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40</v>
      </c>
      <c r="P517" s="9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73"/>
      <c r="R517" s="673"/>
      <c r="S517" s="673"/>
      <c r="T517" s="67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594" t="s">
        <v>807</v>
      </c>
      <c r="AG517" s="78"/>
      <c r="AJ517" s="84" t="s">
        <v>46</v>
      </c>
      <c r="AK517" s="84">
        <v>0</v>
      </c>
      <c r="BB517" s="595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27" customHeight="1" x14ac:dyDescent="0.25">
      <c r="A518" s="63" t="s">
        <v>808</v>
      </c>
      <c r="B518" s="63" t="s">
        <v>809</v>
      </c>
      <c r="C518" s="36">
        <v>4301060536</v>
      </c>
      <c r="D518" s="671">
        <v>4640242180137</v>
      </c>
      <c r="E518" s="671"/>
      <c r="F518" s="62">
        <v>1.5</v>
      </c>
      <c r="G518" s="37">
        <v>6</v>
      </c>
      <c r="H518" s="62">
        <v>9</v>
      </c>
      <c r="I518" s="62">
        <v>9.41</v>
      </c>
      <c r="J518" s="37">
        <v>64</v>
      </c>
      <c r="K518" s="37" t="s">
        <v>133</v>
      </c>
      <c r="L518" s="37" t="s">
        <v>46</v>
      </c>
      <c r="M518" s="38" t="s">
        <v>90</v>
      </c>
      <c r="N518" s="38"/>
      <c r="O518" s="37">
        <v>40</v>
      </c>
      <c r="P518" s="93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73"/>
      <c r="R518" s="673"/>
      <c r="S518" s="673"/>
      <c r="T518" s="674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596" t="s">
        <v>810</v>
      </c>
      <c r="AG518" s="78"/>
      <c r="AJ518" s="84" t="s">
        <v>46</v>
      </c>
      <c r="AK518" s="84">
        <v>0</v>
      </c>
      <c r="BB518" s="597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76" t="s">
        <v>40</v>
      </c>
      <c r="Q519" s="677"/>
      <c r="R519" s="677"/>
      <c r="S519" s="677"/>
      <c r="T519" s="677"/>
      <c r="U519" s="677"/>
      <c r="V519" s="678"/>
      <c r="W519" s="42" t="s">
        <v>39</v>
      </c>
      <c r="X519" s="43">
        <f>IFERROR(X517/H517,"0")+IFERROR(X518/H518,"0")</f>
        <v>0</v>
      </c>
      <c r="Y519" s="43">
        <f>IFERROR(Y517/H517,"0")+IFERROR(Y518/H518,"0")</f>
        <v>0</v>
      </c>
      <c r="Z519" s="43">
        <f>IFERROR(IF(Z517="",0,Z517),"0")+IFERROR(IF(Z518="",0,Z518),"0")</f>
        <v>0</v>
      </c>
      <c r="AA519" s="67"/>
      <c r="AB519" s="67"/>
      <c r="AC519" s="67"/>
    </row>
    <row r="520" spans="1:68" x14ac:dyDescent="0.2">
      <c r="A520" s="679"/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80"/>
      <c r="P520" s="676" t="s">
        <v>40</v>
      </c>
      <c r="Q520" s="677"/>
      <c r="R520" s="677"/>
      <c r="S520" s="677"/>
      <c r="T520" s="677"/>
      <c r="U520" s="677"/>
      <c r="V520" s="678"/>
      <c r="W520" s="42" t="s">
        <v>0</v>
      </c>
      <c r="X520" s="43">
        <f>IFERROR(SUM(X517:X518),"0")</f>
        <v>0</v>
      </c>
      <c r="Y520" s="43">
        <f>IFERROR(SUM(Y517:Y518),"0")</f>
        <v>0</v>
      </c>
      <c r="Z520" s="42"/>
      <c r="AA520" s="67"/>
      <c r="AB520" s="67"/>
      <c r="AC520" s="67"/>
    </row>
    <row r="521" spans="1:68" ht="16.5" customHeight="1" x14ac:dyDescent="0.25">
      <c r="A521" s="669" t="s">
        <v>811</v>
      </c>
      <c r="B521" s="669"/>
      <c r="C521" s="669"/>
      <c r="D521" s="669"/>
      <c r="E521" s="669"/>
      <c r="F521" s="669"/>
      <c r="G521" s="669"/>
      <c r="H521" s="669"/>
      <c r="I521" s="669"/>
      <c r="J521" s="669"/>
      <c r="K521" s="669"/>
      <c r="L521" s="669"/>
      <c r="M521" s="669"/>
      <c r="N521" s="669"/>
      <c r="O521" s="669"/>
      <c r="P521" s="669"/>
      <c r="Q521" s="669"/>
      <c r="R521" s="669"/>
      <c r="S521" s="669"/>
      <c r="T521" s="669"/>
      <c r="U521" s="669"/>
      <c r="V521" s="669"/>
      <c r="W521" s="669"/>
      <c r="X521" s="669"/>
      <c r="Y521" s="669"/>
      <c r="Z521" s="669"/>
      <c r="AA521" s="65"/>
      <c r="AB521" s="65"/>
      <c r="AC521" s="79"/>
    </row>
    <row r="522" spans="1:68" ht="14.25" customHeight="1" x14ac:dyDescent="0.25">
      <c r="A522" s="670" t="s">
        <v>163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customHeight="1" x14ac:dyDescent="0.25">
      <c r="A523" s="63" t="s">
        <v>812</v>
      </c>
      <c r="B523" s="63" t="s">
        <v>813</v>
      </c>
      <c r="C523" s="36">
        <v>4301020428</v>
      </c>
      <c r="D523" s="671">
        <v>4640242180090</v>
      </c>
      <c r="E523" s="671"/>
      <c r="F523" s="62">
        <v>1.5</v>
      </c>
      <c r="G523" s="37">
        <v>8</v>
      </c>
      <c r="H523" s="62">
        <v>12</v>
      </c>
      <c r="I523" s="62">
        <v>12.41</v>
      </c>
      <c r="J523" s="37">
        <v>64</v>
      </c>
      <c r="K523" s="37" t="s">
        <v>133</v>
      </c>
      <c r="L523" s="37" t="s">
        <v>46</v>
      </c>
      <c r="M523" s="38" t="s">
        <v>132</v>
      </c>
      <c r="N523" s="38"/>
      <c r="O523" s="37">
        <v>50</v>
      </c>
      <c r="P523" s="93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73"/>
      <c r="R523" s="673"/>
      <c r="S523" s="673"/>
      <c r="T523" s="674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598" t="s">
        <v>814</v>
      </c>
      <c r="AG523" s="78"/>
      <c r="AJ523" s="84" t="s">
        <v>46</v>
      </c>
      <c r="AK523" s="84">
        <v>0</v>
      </c>
      <c r="BB523" s="599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76" t="s">
        <v>40</v>
      </c>
      <c r="Q524" s="677"/>
      <c r="R524" s="677"/>
      <c r="S524" s="677"/>
      <c r="T524" s="677"/>
      <c r="U524" s="677"/>
      <c r="V524" s="678"/>
      <c r="W524" s="42" t="s">
        <v>39</v>
      </c>
      <c r="X524" s="43">
        <f>IFERROR(X523/H523,"0")</f>
        <v>0</v>
      </c>
      <c r="Y524" s="43">
        <f>IFERROR(Y523/H523,"0")</f>
        <v>0</v>
      </c>
      <c r="Z524" s="43">
        <f>IFERROR(IF(Z523="",0,Z523),"0")</f>
        <v>0</v>
      </c>
      <c r="AA524" s="67"/>
      <c r="AB524" s="67"/>
      <c r="AC524" s="67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76" t="s">
        <v>40</v>
      </c>
      <c r="Q525" s="677"/>
      <c r="R525" s="677"/>
      <c r="S525" s="677"/>
      <c r="T525" s="677"/>
      <c r="U525" s="677"/>
      <c r="V525" s="678"/>
      <c r="W525" s="42" t="s">
        <v>0</v>
      </c>
      <c r="X525" s="43">
        <f>IFERROR(SUM(X523:X523),"0")</f>
        <v>0</v>
      </c>
      <c r="Y525" s="43">
        <f>IFERROR(SUM(Y523:Y523),"0")</f>
        <v>0</v>
      </c>
      <c r="Z525" s="42"/>
      <c r="AA525" s="67"/>
      <c r="AB525" s="67"/>
      <c r="AC525" s="67"/>
    </row>
    <row r="526" spans="1:68" ht="15" customHeight="1" x14ac:dyDescent="0.2">
      <c r="A526" s="679"/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939"/>
      <c r="P526" s="936" t="s">
        <v>33</v>
      </c>
      <c r="Q526" s="937"/>
      <c r="R526" s="937"/>
      <c r="S526" s="937"/>
      <c r="T526" s="937"/>
      <c r="U526" s="937"/>
      <c r="V526" s="938"/>
      <c r="W526" s="42" t="s">
        <v>0</v>
      </c>
      <c r="X526" s="4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1542</v>
      </c>
      <c r="Y526" s="4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1560.3600000000001</v>
      </c>
      <c r="Z526" s="42"/>
      <c r="AA526" s="67"/>
      <c r="AB526" s="67"/>
      <c r="AC526" s="67"/>
    </row>
    <row r="527" spans="1:68" x14ac:dyDescent="0.2">
      <c r="A527" s="679"/>
      <c r="B527" s="679"/>
      <c r="C527" s="679"/>
      <c r="D527" s="679"/>
      <c r="E527" s="679"/>
      <c r="F527" s="679"/>
      <c r="G527" s="679"/>
      <c r="H527" s="679"/>
      <c r="I527" s="679"/>
      <c r="J527" s="679"/>
      <c r="K527" s="679"/>
      <c r="L527" s="679"/>
      <c r="M527" s="679"/>
      <c r="N527" s="679"/>
      <c r="O527" s="939"/>
      <c r="P527" s="936" t="s">
        <v>34</v>
      </c>
      <c r="Q527" s="937"/>
      <c r="R527" s="937"/>
      <c r="S527" s="937"/>
      <c r="T527" s="937"/>
      <c r="U527" s="937"/>
      <c r="V527" s="938"/>
      <c r="W527" s="42" t="s">
        <v>0</v>
      </c>
      <c r="X527" s="43">
        <f>IFERROR(SUM(BM22:BM523),"0")</f>
        <v>1633.1918967452302</v>
      </c>
      <c r="Y527" s="43">
        <f>IFERROR(SUM(BN22:BN523),"0")</f>
        <v>1652.6460000000002</v>
      </c>
      <c r="Z527" s="42"/>
      <c r="AA527" s="67"/>
      <c r="AB527" s="67"/>
      <c r="AC527" s="67"/>
    </row>
    <row r="528" spans="1:68" x14ac:dyDescent="0.2">
      <c r="A528" s="679"/>
      <c r="B528" s="679"/>
      <c r="C528" s="679"/>
      <c r="D528" s="679"/>
      <c r="E528" s="679"/>
      <c r="F528" s="679"/>
      <c r="G528" s="679"/>
      <c r="H528" s="679"/>
      <c r="I528" s="679"/>
      <c r="J528" s="679"/>
      <c r="K528" s="679"/>
      <c r="L528" s="679"/>
      <c r="M528" s="679"/>
      <c r="N528" s="679"/>
      <c r="O528" s="939"/>
      <c r="P528" s="936" t="s">
        <v>35</v>
      </c>
      <c r="Q528" s="937"/>
      <c r="R528" s="937"/>
      <c r="S528" s="937"/>
      <c r="T528" s="937"/>
      <c r="U528" s="937"/>
      <c r="V528" s="938"/>
      <c r="W528" s="42" t="s">
        <v>20</v>
      </c>
      <c r="X528" s="44">
        <f>ROUNDUP(SUM(BO22:BO523),0)</f>
        <v>3</v>
      </c>
      <c r="Y528" s="44">
        <f>ROUNDUP(SUM(BP22:BP523),0)</f>
        <v>3</v>
      </c>
      <c r="Z528" s="42"/>
      <c r="AA528" s="67"/>
      <c r="AB528" s="67"/>
      <c r="AC528" s="67"/>
    </row>
    <row r="529" spans="1:32" x14ac:dyDescent="0.2">
      <c r="A529" s="679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939"/>
      <c r="P529" s="936" t="s">
        <v>36</v>
      </c>
      <c r="Q529" s="937"/>
      <c r="R529" s="937"/>
      <c r="S529" s="937"/>
      <c r="T529" s="937"/>
      <c r="U529" s="937"/>
      <c r="V529" s="938"/>
      <c r="W529" s="42" t="s">
        <v>0</v>
      </c>
      <c r="X529" s="43">
        <f>GrossWeightTotal+PalletQtyTotal*25</f>
        <v>1708.1918967452302</v>
      </c>
      <c r="Y529" s="43">
        <f>GrossWeightTotalR+PalletQtyTotalR*25</f>
        <v>1727.6460000000002</v>
      </c>
      <c r="Z529" s="42"/>
      <c r="AA529" s="67"/>
      <c r="AB529" s="67"/>
      <c r="AC529" s="67"/>
    </row>
    <row r="530" spans="1:32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939"/>
      <c r="P530" s="936" t="s">
        <v>37</v>
      </c>
      <c r="Q530" s="937"/>
      <c r="R530" s="937"/>
      <c r="S530" s="937"/>
      <c r="T530" s="937"/>
      <c r="U530" s="937"/>
      <c r="V530" s="938"/>
      <c r="W530" s="42" t="s">
        <v>20</v>
      </c>
      <c r="X530" s="4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261.03928170594838</v>
      </c>
      <c r="Y530" s="4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264</v>
      </c>
      <c r="Z530" s="42"/>
      <c r="AA530" s="67"/>
      <c r="AB530" s="67"/>
      <c r="AC530" s="67"/>
    </row>
    <row r="531" spans="1:32" ht="14.25" x14ac:dyDescent="0.2">
      <c r="A531" s="679"/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939"/>
      <c r="P531" s="936" t="s">
        <v>38</v>
      </c>
      <c r="Q531" s="937"/>
      <c r="R531" s="937"/>
      <c r="S531" s="937"/>
      <c r="T531" s="937"/>
      <c r="U531" s="937"/>
      <c r="V531" s="938"/>
      <c r="W531" s="45" t="s">
        <v>52</v>
      </c>
      <c r="X531" s="42"/>
      <c r="Y531" s="42"/>
      <c r="Z531" s="42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3.2356199999999999</v>
      </c>
      <c r="AA531" s="67"/>
      <c r="AB531" s="67"/>
      <c r="AC531" s="67"/>
    </row>
    <row r="532" spans="1:32" ht="13.5" thickBot="1" x14ac:dyDescent="0.25"/>
    <row r="533" spans="1:32" ht="27" thickTop="1" thickBot="1" x14ac:dyDescent="0.25">
      <c r="A533" s="46" t="s">
        <v>9</v>
      </c>
      <c r="B533" s="85" t="s">
        <v>76</v>
      </c>
      <c r="C533" s="85" t="s">
        <v>45</v>
      </c>
      <c r="D533" s="942" t="s">
        <v>126</v>
      </c>
      <c r="E533" s="942" t="s">
        <v>126</v>
      </c>
      <c r="F533" s="942" t="s">
        <v>126</v>
      </c>
      <c r="G533" s="942" t="s">
        <v>126</v>
      </c>
      <c r="H533" s="942" t="s">
        <v>126</v>
      </c>
      <c r="I533" s="942" t="s">
        <v>126</v>
      </c>
      <c r="J533" s="942" t="s">
        <v>126</v>
      </c>
      <c r="K533" s="942" t="s">
        <v>333</v>
      </c>
      <c r="L533" s="942" t="s">
        <v>333</v>
      </c>
      <c r="M533" s="942" t="s">
        <v>333</v>
      </c>
      <c r="N533" s="943"/>
      <c r="O533" s="942" t="s">
        <v>333</v>
      </c>
      <c r="P533" s="942" t="s">
        <v>333</v>
      </c>
      <c r="Q533" s="942" t="s">
        <v>333</v>
      </c>
      <c r="R533" s="942" t="s">
        <v>333</v>
      </c>
      <c r="S533" s="942" t="s">
        <v>333</v>
      </c>
      <c r="T533" s="942" t="s">
        <v>333</v>
      </c>
      <c r="U533" s="942" t="s">
        <v>333</v>
      </c>
      <c r="V533" s="942" t="s">
        <v>647</v>
      </c>
      <c r="W533" s="942" t="s">
        <v>647</v>
      </c>
      <c r="X533" s="942" t="s">
        <v>707</v>
      </c>
      <c r="Y533" s="942" t="s">
        <v>707</v>
      </c>
      <c r="Z533" s="85" t="s">
        <v>743</v>
      </c>
      <c r="AA533" s="942" t="s">
        <v>790</v>
      </c>
      <c r="AB533" s="942" t="s">
        <v>790</v>
      </c>
      <c r="AC533" s="60"/>
      <c r="AF533" s="1"/>
    </row>
    <row r="534" spans="1:32" ht="14.25" customHeight="1" thickTop="1" x14ac:dyDescent="0.2">
      <c r="A534" s="940" t="s">
        <v>10</v>
      </c>
      <c r="B534" s="942" t="s">
        <v>76</v>
      </c>
      <c r="C534" s="942" t="s">
        <v>113</v>
      </c>
      <c r="D534" s="942" t="s">
        <v>127</v>
      </c>
      <c r="E534" s="942" t="s">
        <v>143</v>
      </c>
      <c r="F534" s="942" t="s">
        <v>187</v>
      </c>
      <c r="G534" s="942" t="s">
        <v>208</v>
      </c>
      <c r="H534" s="942" t="s">
        <v>251</v>
      </c>
      <c r="I534" s="942" t="s">
        <v>263</v>
      </c>
      <c r="J534" s="942" t="s">
        <v>126</v>
      </c>
      <c r="K534" s="942" t="s">
        <v>334</v>
      </c>
      <c r="L534" s="942" t="s">
        <v>346</v>
      </c>
      <c r="M534" s="942" t="s">
        <v>405</v>
      </c>
      <c r="N534" s="1"/>
      <c r="O534" s="942" t="s">
        <v>473</v>
      </c>
      <c r="P534" s="942" t="s">
        <v>509</v>
      </c>
      <c r="Q534" s="942" t="s">
        <v>525</v>
      </c>
      <c r="R534" s="942" t="s">
        <v>534</v>
      </c>
      <c r="S534" s="942" t="s">
        <v>555</v>
      </c>
      <c r="T534" s="942" t="s">
        <v>565</v>
      </c>
      <c r="U534" s="942" t="s">
        <v>637</v>
      </c>
      <c r="V534" s="942" t="s">
        <v>648</v>
      </c>
      <c r="W534" s="942" t="s">
        <v>691</v>
      </c>
      <c r="X534" s="942" t="s">
        <v>708</v>
      </c>
      <c r="Y534" s="942" t="s">
        <v>731</v>
      </c>
      <c r="Z534" s="942" t="s">
        <v>743</v>
      </c>
      <c r="AA534" s="942" t="s">
        <v>790</v>
      </c>
      <c r="AB534" s="942" t="s">
        <v>811</v>
      </c>
      <c r="AC534" s="60"/>
      <c r="AF534" s="1"/>
    </row>
    <row r="535" spans="1:32" ht="13.5" thickBot="1" x14ac:dyDescent="0.25">
      <c r="A535" s="941"/>
      <c r="B535" s="942"/>
      <c r="C535" s="942"/>
      <c r="D535" s="942"/>
      <c r="E535" s="942"/>
      <c r="F535" s="942"/>
      <c r="G535" s="942"/>
      <c r="H535" s="942"/>
      <c r="I535" s="942"/>
      <c r="J535" s="942"/>
      <c r="K535" s="942"/>
      <c r="L535" s="942"/>
      <c r="M535" s="942"/>
      <c r="N535" s="1"/>
      <c r="O535" s="942"/>
      <c r="P535" s="942"/>
      <c r="Q535" s="942"/>
      <c r="R535" s="942"/>
      <c r="S535" s="942"/>
      <c r="T535" s="942"/>
      <c r="U535" s="942"/>
      <c r="V535" s="942"/>
      <c r="W535" s="942"/>
      <c r="X535" s="942"/>
      <c r="Y535" s="942"/>
      <c r="Z535" s="942"/>
      <c r="AA535" s="942"/>
      <c r="AB535" s="942"/>
      <c r="AC535" s="60"/>
      <c r="AF535" s="1"/>
    </row>
    <row r="536" spans="1:32" ht="18" thickTop="1" thickBot="1" x14ac:dyDescent="0.25">
      <c r="A536" s="46" t="s">
        <v>13</v>
      </c>
      <c r="B536" s="52">
        <f>IFERROR(Y22*1,"0")+IFERROR(Y23*1,"0")+IFERROR(Y27*1,"0")+IFERROR(Y28*1,"0")+IFERROR(Y29*1,"0")+IFERROR(Y30*1,"0")+IFERROR(Y31*1,"0")+IFERROR(Y32*1,"0")+IFERROR(Y36*1,"0")</f>
        <v>0</v>
      </c>
      <c r="C536" s="52">
        <f>IFERROR(Y42*1,"0")+IFERROR(Y43*1,"0")+IFERROR(Y44*1,"0")+IFERROR(Y45*1,"0")</f>
        <v>0</v>
      </c>
      <c r="D536" s="52">
        <f>IFERROR(Y51*1,"0")+IFERROR(Y52*1,"0")+IFERROR(Y53*1,"0")+IFERROR(Y54*1,"0")</f>
        <v>0</v>
      </c>
      <c r="E536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2">
        <f>IFERROR(Y87*1,"0")+IFERROR(Y88*1,"0")+IFERROR(Y89*1,"0")+IFERROR(Y90*1,"0")+IFERROR(Y94*1,"0")+IFERROR(Y95*1,"0")+IFERROR(Y96*1,"0")+IFERROR(Y97*1,"0")</f>
        <v>0</v>
      </c>
      <c r="G536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226.79999999999998</v>
      </c>
      <c r="H536" s="52">
        <f>IFERROR(Y133*1,"0")+IFERROR(Y134*1,"0")+IFERROR(Y138*1,"0")+IFERROR(Y139*1,"0")+IFERROR(Y143*1,"0")+IFERROR(Y144*1,"0")</f>
        <v>0</v>
      </c>
      <c r="I536" s="52">
        <f>IFERROR(Y149*1,"0")+IFERROR(Y150*1,"0")+IFERROR(Y151*1,"0")+IFERROR(Y152*1,"0")</f>
        <v>0</v>
      </c>
      <c r="J536" s="52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2">
        <f>IFERROR(Y196*1,"0")+IFERROR(Y197*1,"0")+IFERROR(Y198*1,"0")+IFERROR(Y199*1,"0")</f>
        <v>0</v>
      </c>
      <c r="L536" s="52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2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177.6</v>
      </c>
      <c r="N536" s="1"/>
      <c r="O536" s="52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2">
        <f>IFERROR(Y309*1,"0")+IFERROR(Y310*1,"0")+IFERROR(Y311*1,"0")+IFERROR(Y312*1,"0")+IFERROR(Y313*1,"0")</f>
        <v>0</v>
      </c>
      <c r="Q536" s="52">
        <f>IFERROR(Y318*1,"0")+IFERROR(Y319*1,"0")+IFERROR(Y320*1,"0")</f>
        <v>16.8</v>
      </c>
      <c r="R536" s="52">
        <f>IFERROR(Y325*1,"0")+IFERROR(Y326*1,"0")+IFERROR(Y327*1,"0")+IFERROR(Y328*1,"0")+IFERROR(Y329*1,"0")+IFERROR(Y333*1,"0")+IFERROR(Y334*1,"0")</f>
        <v>0</v>
      </c>
      <c r="S536" s="52">
        <f>IFERROR(Y339*1,"0")+IFERROR(Y340*1,"0")+IFERROR(Y341*1,"0")</f>
        <v>0</v>
      </c>
      <c r="T536" s="52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2">
        <f>IFERROR(Y391*1,"0")+IFERROR(Y392*1,"0")+IFERROR(Y393*1,"0")</f>
        <v>0</v>
      </c>
      <c r="V536" s="52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495</v>
      </c>
      <c r="W536" s="52">
        <f>IFERROR(Y426*1,"0")+IFERROR(Y427*1,"0")+IFERROR(Y431*1,"0")+IFERROR(Y435*1,"0")+IFERROR(Y436*1,"0")+IFERROR(Y437*1,"0")</f>
        <v>0</v>
      </c>
      <c r="X536" s="52">
        <f>IFERROR(Y443*1,"0")+IFERROR(Y444*1,"0")+IFERROR(Y445*1,"0")+IFERROR(Y446*1,"0")+IFERROR(Y447*1,"0")+IFERROR(Y448*1,"0")+IFERROR(Y452*1,"0")+IFERROR(Y453*1,"0")</f>
        <v>0</v>
      </c>
      <c r="Y536" s="52">
        <f>IFERROR(Y458*1,"0")+IFERROR(Y462*1,"0")+IFERROR(Y463*1,"0")+IFERROR(Y464*1,"0")</f>
        <v>0</v>
      </c>
      <c r="Z536" s="52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644.16000000000008</v>
      </c>
      <c r="AA536" s="52">
        <f>IFERROR(Y500*1,"0")+IFERROR(Y504*1,"0")+IFERROR(Y508*1,"0")+IFERROR(Y509*1,"0")+IFERROR(Y513*1,"0")+IFERROR(Y517*1,"0")+IFERROR(Y518*1,"0")</f>
        <v>0</v>
      </c>
      <c r="AB536" s="52">
        <f>IFERROR(Y523*1,"0")</f>
        <v>0</v>
      </c>
      <c r="AC536" s="60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1"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D533:J533"/>
    <mergeCell ref="K533:U533"/>
    <mergeCell ref="V533:W533"/>
    <mergeCell ref="X533:Y533"/>
    <mergeCell ref="AA533:AB533"/>
    <mergeCell ref="J534:J535"/>
    <mergeCell ref="K534:K535"/>
    <mergeCell ref="L534:L535"/>
    <mergeCell ref="M534:M535"/>
    <mergeCell ref="O534:O535"/>
    <mergeCell ref="P534:P535"/>
    <mergeCell ref="Q534:Q535"/>
    <mergeCell ref="R534:R535"/>
    <mergeCell ref="S534:S535"/>
    <mergeCell ref="T534:T535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A522:Z522"/>
    <mergeCell ref="D523:E523"/>
    <mergeCell ref="P523:T523"/>
    <mergeCell ref="P524:V524"/>
    <mergeCell ref="A524:O525"/>
    <mergeCell ref="P525:V525"/>
    <mergeCell ref="P526:V526"/>
    <mergeCell ref="A526:O531"/>
    <mergeCell ref="P527:V527"/>
    <mergeCell ref="P528:V528"/>
    <mergeCell ref="P529:V529"/>
    <mergeCell ref="P530:V530"/>
    <mergeCell ref="P531:V531"/>
    <mergeCell ref="A516:Z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P510:V510"/>
    <mergeCell ref="A510:O511"/>
    <mergeCell ref="P511:V511"/>
    <mergeCell ref="A512:Z512"/>
    <mergeCell ref="D513:E513"/>
    <mergeCell ref="P513:T513"/>
    <mergeCell ref="P514:V514"/>
    <mergeCell ref="A514:O515"/>
    <mergeCell ref="P515:V515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3" t="s">
        <v>816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817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818</v>
      </c>
      <c r="C6" s="53" t="s">
        <v>819</v>
      </c>
      <c r="D6" s="53" t="s">
        <v>820</v>
      </c>
      <c r="E6" s="53" t="s">
        <v>46</v>
      </c>
    </row>
    <row r="7" spans="2:8" x14ac:dyDescent="0.2">
      <c r="B7" s="53" t="s">
        <v>821</v>
      </c>
      <c r="C7" s="53" t="s">
        <v>822</v>
      </c>
      <c r="D7" s="53" t="s">
        <v>823</v>
      </c>
      <c r="E7" s="53" t="s">
        <v>46</v>
      </c>
    </row>
    <row r="8" spans="2:8" x14ac:dyDescent="0.2">
      <c r="B8" s="53" t="s">
        <v>824</v>
      </c>
      <c r="C8" s="53" t="s">
        <v>825</v>
      </c>
      <c r="D8" s="53" t="s">
        <v>826</v>
      </c>
      <c r="E8" s="53" t="s">
        <v>46</v>
      </c>
    </row>
    <row r="9" spans="2:8" x14ac:dyDescent="0.2">
      <c r="B9" s="53" t="s">
        <v>827</v>
      </c>
      <c r="C9" s="53" t="s">
        <v>828</v>
      </c>
      <c r="D9" s="53" t="s">
        <v>829</v>
      </c>
      <c r="E9" s="53" t="s">
        <v>46</v>
      </c>
    </row>
    <row r="10" spans="2:8" x14ac:dyDescent="0.2">
      <c r="B10" s="53" t="s">
        <v>830</v>
      </c>
      <c r="C10" s="53" t="s">
        <v>831</v>
      </c>
      <c r="D10" s="53" t="s">
        <v>832</v>
      </c>
      <c r="E10" s="53" t="s">
        <v>46</v>
      </c>
    </row>
    <row r="11" spans="2:8" x14ac:dyDescent="0.2">
      <c r="B11" s="53" t="s">
        <v>833</v>
      </c>
      <c r="C11" s="53" t="s">
        <v>834</v>
      </c>
      <c r="D11" s="53" t="s">
        <v>835</v>
      </c>
      <c r="E11" s="53" t="s">
        <v>46</v>
      </c>
    </row>
    <row r="12" spans="2:8" x14ac:dyDescent="0.2">
      <c r="B12" s="53" t="s">
        <v>836</v>
      </c>
      <c r="C12" s="53" t="s">
        <v>837</v>
      </c>
      <c r="D12" s="53" t="s">
        <v>838</v>
      </c>
      <c r="E12" s="53" t="s">
        <v>46</v>
      </c>
    </row>
    <row r="14" spans="2:8" x14ac:dyDescent="0.2">
      <c r="B14" s="53" t="s">
        <v>839</v>
      </c>
      <c r="C14" s="53" t="s">
        <v>819</v>
      </c>
      <c r="D14" s="53" t="s">
        <v>46</v>
      </c>
      <c r="E14" s="53" t="s">
        <v>46</v>
      </c>
    </row>
    <row r="16" spans="2:8" x14ac:dyDescent="0.2">
      <c r="B16" s="53" t="s">
        <v>840</v>
      </c>
      <c r="C16" s="53" t="s">
        <v>822</v>
      </c>
      <c r="D16" s="53" t="s">
        <v>46</v>
      </c>
      <c r="E16" s="53" t="s">
        <v>46</v>
      </c>
    </row>
    <row r="18" spans="2:5" x14ac:dyDescent="0.2">
      <c r="B18" s="53" t="s">
        <v>841</v>
      </c>
      <c r="C18" s="53" t="s">
        <v>825</v>
      </c>
      <c r="D18" s="53" t="s">
        <v>46</v>
      </c>
      <c r="E18" s="53" t="s">
        <v>46</v>
      </c>
    </row>
    <row r="20" spans="2:5" x14ac:dyDescent="0.2">
      <c r="B20" s="53" t="s">
        <v>842</v>
      </c>
      <c r="C20" s="53" t="s">
        <v>828</v>
      </c>
      <c r="D20" s="53" t="s">
        <v>46</v>
      </c>
      <c r="E20" s="53" t="s">
        <v>46</v>
      </c>
    </row>
    <row r="22" spans="2:5" x14ac:dyDescent="0.2">
      <c r="B22" s="53" t="s">
        <v>843</v>
      </c>
      <c r="C22" s="53" t="s">
        <v>831</v>
      </c>
      <c r="D22" s="53" t="s">
        <v>46</v>
      </c>
      <c r="E22" s="53" t="s">
        <v>46</v>
      </c>
    </row>
    <row r="24" spans="2:5" x14ac:dyDescent="0.2">
      <c r="B24" s="53" t="s">
        <v>844</v>
      </c>
      <c r="C24" s="53" t="s">
        <v>834</v>
      </c>
      <c r="D24" s="53" t="s">
        <v>46</v>
      </c>
      <c r="E24" s="53" t="s">
        <v>46</v>
      </c>
    </row>
    <row r="26" spans="2:5" x14ac:dyDescent="0.2">
      <c r="B26" s="53" t="s">
        <v>845</v>
      </c>
      <c r="C26" s="53" t="s">
        <v>837</v>
      </c>
      <c r="D26" s="53" t="s">
        <v>46</v>
      </c>
      <c r="E26" s="53" t="s">
        <v>46</v>
      </c>
    </row>
    <row r="28" spans="2:5" x14ac:dyDescent="0.2">
      <c r="B28" s="53" t="s">
        <v>846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847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848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849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850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851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852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853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854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855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856</v>
      </c>
      <c r="C38" s="53" t="s">
        <v>46</v>
      </c>
      <c r="D38" s="53" t="s">
        <v>46</v>
      </c>
      <c r="E38" s="53" t="s">
        <v>46</v>
      </c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2026-06-30T05:59:55Z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