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\30,09 Пушкарный(ВВ) КИ ЛП ближ\"/>
    </mc:Choice>
  </mc:AlternateContent>
  <xr:revisionPtr revIDLastSave="0" documentId="13_ncr:1_{673B7CFA-E08D-4979-A1E6-8BF24E934B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Z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P460" i="2" s="1"/>
  <c r="P460" i="2"/>
  <c r="X457" i="2"/>
  <c r="X456" i="2"/>
  <c r="BO455" i="2"/>
  <c r="BM455" i="2"/>
  <c r="Y455" i="2"/>
  <c r="BP455" i="2" s="1"/>
  <c r="P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X340" i="2"/>
  <c r="X339" i="2"/>
  <c r="BO338" i="2"/>
  <c r="BM338" i="2"/>
  <c r="Y338" i="2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P256" i="2"/>
  <c r="X254" i="2"/>
  <c r="X253" i="2"/>
  <c r="BO252" i="2"/>
  <c r="BM252" i="2"/>
  <c r="Y252" i="2"/>
  <c r="Z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BO95" i="2"/>
  <c r="BM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Y77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Y72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81" i="2" l="1"/>
  <c r="BN81" i="2"/>
  <c r="Z297" i="2"/>
  <c r="Z39" i="2"/>
  <c r="Z224" i="2"/>
  <c r="Z376" i="2"/>
  <c r="BN376" i="2"/>
  <c r="Z61" i="2"/>
  <c r="Z134" i="2"/>
  <c r="Z138" i="2"/>
  <c r="BN138" i="2"/>
  <c r="Z330" i="2"/>
  <c r="BN330" i="2"/>
  <c r="Z71" i="2"/>
  <c r="BN71" i="2"/>
  <c r="Z104" i="2"/>
  <c r="BN104" i="2"/>
  <c r="Z105" i="2"/>
  <c r="Z190" i="2"/>
  <c r="Z240" i="2"/>
  <c r="Z286" i="2"/>
  <c r="Z307" i="2"/>
  <c r="Z346" i="2"/>
  <c r="BN346" i="2"/>
  <c r="Y360" i="2"/>
  <c r="Y483" i="2"/>
  <c r="C569" i="2"/>
  <c r="Z47" i="2"/>
  <c r="Z60" i="2"/>
  <c r="Z76" i="2"/>
  <c r="Z98" i="2"/>
  <c r="BN98" i="2"/>
  <c r="Z103" i="2"/>
  <c r="Z121" i="2"/>
  <c r="Z175" i="2"/>
  <c r="Z205" i="2"/>
  <c r="Z207" i="2"/>
  <c r="Z241" i="2"/>
  <c r="Y269" i="2"/>
  <c r="Z267" i="2"/>
  <c r="Z268" i="2" s="1"/>
  <c r="Y268" i="2"/>
  <c r="Z273" i="2"/>
  <c r="Z287" i="2"/>
  <c r="BN287" i="2"/>
  <c r="Z304" i="2"/>
  <c r="Z308" i="2"/>
  <c r="Z364" i="2"/>
  <c r="Z384" i="2"/>
  <c r="Z425" i="2"/>
  <c r="Z465" i="2"/>
  <c r="Z466" i="2" s="1"/>
  <c r="BN465" i="2"/>
  <c r="BP470" i="2"/>
  <c r="Z525" i="2"/>
  <c r="BN525" i="2"/>
  <c r="BP56" i="2"/>
  <c r="BN122" i="2"/>
  <c r="Z122" i="2"/>
  <c r="BP158" i="2"/>
  <c r="BN158" i="2"/>
  <c r="Z158" i="2"/>
  <c r="Z159" i="2" s="1"/>
  <c r="Y159" i="2"/>
  <c r="BP178" i="2"/>
  <c r="BN178" i="2"/>
  <c r="Z178" i="2"/>
  <c r="BP181" i="2"/>
  <c r="BN181" i="2"/>
  <c r="Z181" i="2"/>
  <c r="BN183" i="2"/>
  <c r="Z183" i="2"/>
  <c r="BP209" i="2"/>
  <c r="BN209" i="2"/>
  <c r="Z209" i="2"/>
  <c r="BP223" i="2"/>
  <c r="Z223" i="2"/>
  <c r="BP234" i="2"/>
  <c r="Z234" i="2"/>
  <c r="BP243" i="2"/>
  <c r="BN243" i="2"/>
  <c r="Z243" i="2"/>
  <c r="Y254" i="2"/>
  <c r="Z250" i="2"/>
  <c r="BN327" i="2"/>
  <c r="Z327" i="2"/>
  <c r="BN359" i="2"/>
  <c r="BP366" i="2"/>
  <c r="BN366" i="2"/>
  <c r="Z366" i="2"/>
  <c r="BP374" i="2"/>
  <c r="Z374" i="2"/>
  <c r="BN400" i="2"/>
  <c r="Z400" i="2"/>
  <c r="BP436" i="2"/>
  <c r="BN436" i="2"/>
  <c r="Z436" i="2"/>
  <c r="BN471" i="2"/>
  <c r="BP480" i="2"/>
  <c r="BN480" i="2"/>
  <c r="Z480" i="2"/>
  <c r="BP512" i="2"/>
  <c r="BN512" i="2"/>
  <c r="Z512" i="2"/>
  <c r="BN517" i="2"/>
  <c r="BP517" i="2"/>
  <c r="BN522" i="2"/>
  <c r="Z522" i="2"/>
  <c r="Z29" i="2"/>
  <c r="BN29" i="2"/>
  <c r="BP39" i="2"/>
  <c r="Z50" i="2"/>
  <c r="BN50" i="2"/>
  <c r="Z56" i="2"/>
  <c r="Z58" i="2"/>
  <c r="BP60" i="2"/>
  <c r="BP61" i="2"/>
  <c r="Z68" i="2"/>
  <c r="Z75" i="2"/>
  <c r="Z77" i="2" s="1"/>
  <c r="BP76" i="2"/>
  <c r="Z88" i="2"/>
  <c r="BN88" i="2"/>
  <c r="Z90" i="2"/>
  <c r="BN90" i="2"/>
  <c r="Z95" i="2"/>
  <c r="BP97" i="2"/>
  <c r="Z97" i="2"/>
  <c r="BN106" i="2"/>
  <c r="Z106" i="2"/>
  <c r="BP115" i="2"/>
  <c r="BN115" i="2"/>
  <c r="Z115" i="2"/>
  <c r="BN151" i="2"/>
  <c r="BP171" i="2"/>
  <c r="Z171" i="2"/>
  <c r="BP230" i="2"/>
  <c r="BN230" i="2"/>
  <c r="Z230" i="2"/>
  <c r="BN233" i="2"/>
  <c r="Z233" i="2"/>
  <c r="BP250" i="2"/>
  <c r="BP251" i="2"/>
  <c r="Z251" i="2"/>
  <c r="BN256" i="2"/>
  <c r="Z256" i="2"/>
  <c r="Z257" i="2" s="1"/>
  <c r="BP276" i="2"/>
  <c r="BN276" i="2"/>
  <c r="Z276" i="2"/>
  <c r="BN283" i="2"/>
  <c r="Z283" i="2"/>
  <c r="BN290" i="2"/>
  <c r="BN306" i="2"/>
  <c r="BN338" i="2"/>
  <c r="Z338" i="2"/>
  <c r="BN380" i="2"/>
  <c r="BP386" i="2"/>
  <c r="BN386" i="2"/>
  <c r="Z386" i="2"/>
  <c r="BP400" i="2"/>
  <c r="BP417" i="2"/>
  <c r="Z417" i="2"/>
  <c r="BN443" i="2"/>
  <c r="Z443" i="2"/>
  <c r="Y456" i="2"/>
  <c r="BP454" i="2"/>
  <c r="BP522" i="2"/>
  <c r="BN523" i="2"/>
  <c r="BP103" i="2"/>
  <c r="Y112" i="2"/>
  <c r="BN110" i="2"/>
  <c r="BN154" i="2"/>
  <c r="BN165" i="2"/>
  <c r="BP190" i="2"/>
  <c r="BN211" i="2"/>
  <c r="BN232" i="2"/>
  <c r="BP240" i="2"/>
  <c r="BN245" i="2"/>
  <c r="BN252" i="2"/>
  <c r="BP266" i="2"/>
  <c r="BN278" i="2"/>
  <c r="BP286" i="2"/>
  <c r="BP307" i="2"/>
  <c r="BN370" i="2"/>
  <c r="BN399" i="2"/>
  <c r="BN448" i="2"/>
  <c r="Y473" i="2"/>
  <c r="Y484" i="2"/>
  <c r="BP477" i="2"/>
  <c r="BN478" i="2"/>
  <c r="BN518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Z419" i="2" s="1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BP434" i="2"/>
  <c r="BN434" i="2"/>
  <c r="Z434" i="2"/>
  <c r="Y73" i="2"/>
  <c r="BN117" i="2"/>
  <c r="Z117" i="2"/>
  <c r="Y135" i="2"/>
  <c r="Y136" i="2"/>
  <c r="Z139" i="2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Z83" i="2" s="1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Z192" i="2" s="1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Y119" i="2"/>
  <c r="Y25" i="2"/>
  <c r="BN55" i="2"/>
  <c r="E569" i="2"/>
  <c r="BP55" i="2"/>
  <c r="BN87" i="2"/>
  <c r="BP107" i="2"/>
  <c r="Y129" i="2"/>
  <c r="Z143" i="2"/>
  <c r="BN152" i="2"/>
  <c r="Z164" i="2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299" i="2" s="1"/>
  <c r="Z321" i="2"/>
  <c r="Z322" i="2" s="1"/>
  <c r="Z357" i="2"/>
  <c r="BP359" i="2"/>
  <c r="Z368" i="2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BP391" i="2"/>
  <c r="Z399" i="2"/>
  <c r="Z423" i="2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360" i="2" l="1"/>
  <c r="Z140" i="2"/>
  <c r="Z99" i="2"/>
  <c r="Z348" i="2"/>
  <c r="Z135" i="2"/>
  <c r="Z394" i="2"/>
  <c r="Z426" i="2"/>
  <c r="Z445" i="2"/>
  <c r="Z371" i="2"/>
  <c r="Z112" i="2"/>
  <c r="Z125" i="2"/>
  <c r="Z51" i="2"/>
  <c r="Z339" i="2"/>
  <c r="Z167" i="2"/>
  <c r="Z388" i="2"/>
  <c r="Z92" i="2"/>
  <c r="Z212" i="2"/>
  <c r="Z72" i="2"/>
  <c r="Z462" i="2"/>
  <c r="Z279" i="2"/>
  <c r="Z483" i="2"/>
  <c r="Z32" i="2"/>
  <c r="Z353" i="2"/>
  <c r="Z64" i="2"/>
  <c r="Z186" i="2"/>
  <c r="Z172" i="2"/>
  <c r="Z253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<sst xmlns="http://schemas.openxmlformats.org/spreadsheetml/2006/main" count="4294" uniqueCount="897">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</sst>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topLeftCell="A513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46296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880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Четверг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3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0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41.900000000000006</v>
      </c>
      <c r="BN59" s="78">
        <f t="shared" si="2"/>
        <v>41.900000000000006</v>
      </c>
      <c r="BO59" s="78">
        <f t="shared" si="3"/>
        <v>7.575757575757576E-2</v>
      </c>
      <c r="BP59" s="78">
        <f t="shared" si="4"/>
        <v>7.575757575757576E-2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10</v>
      </c>
      <c r="Y64" s="43">
        <f>IFERROR(Y55/H55,"0")+IFERROR(Y56/H56,"0")+IFERROR(Y57/H57,"0")+IFERROR(Y58/H58,"0")+IFERROR(Y59/H59,"0")+IFERROR(Y60/H60,"0")+IFERROR(Y61/H61,"0")+IFERROR(Y62/H62,"0")+IFERROR(Y63/H63,"0")</f>
        <v>10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9.0200000000000002E-2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40</v>
      </c>
      <c r="Y65" s="43">
        <f>IFERROR(SUM(Y55:Y63),"0")</f>
        <v>40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108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112.1</v>
      </c>
      <c r="BN67" s="78">
        <f>IFERROR(Y67*I67/H67,"0")</f>
        <v>112.1</v>
      </c>
      <c r="BO67" s="78">
        <f>IFERROR(1/J67*(X67/H67),"0")</f>
        <v>0.15625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27</v>
      </c>
      <c r="Y71" s="55">
        <f>IFERROR(IF(X71="",0,CEILING((X71/$H71),1)*$H71),"")</f>
        <v>27</v>
      </c>
      <c r="Z71" s="41">
        <f>IFERROR(IF(Y71=0,"",ROUNDUP(Y71/H71,0)*0.00651),"")</f>
        <v>6.5100000000000005E-2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28.799999999999994</v>
      </c>
      <c r="BN71" s="78">
        <f>IFERROR(Y71*I71/H71,"0")</f>
        <v>28.799999999999994</v>
      </c>
      <c r="BO71" s="78">
        <f>IFERROR(1/J71*(X71/H71),"0")</f>
        <v>5.4945054945054951E-2</v>
      </c>
      <c r="BP71" s="78">
        <f>IFERROR(1/J71*(Y71/H71),"0")</f>
        <v>5.4945054945054951E-2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20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0.25490000000000002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135</v>
      </c>
      <c r="Y73" s="43">
        <f>IFERROR(SUM(Y67:Y71),"0")</f>
        <v>135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54</v>
      </c>
      <c r="Y87" s="55">
        <f>IFERROR(IF(X87="",0,CEILING((X87/$H87),1)*$H87),"")</f>
        <v>54</v>
      </c>
      <c r="Z87" s="41">
        <f>IFERROR(IF(Y87=0,"",ROUNDUP(Y87/H87,0)*0.01898),"")</f>
        <v>9.4899999999999998E-2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56.05</v>
      </c>
      <c r="BN87" s="78">
        <f>IFERROR(Y87*I87/H87,"0")</f>
        <v>56.05</v>
      </c>
      <c r="BO87" s="78">
        <f>IFERROR(1/J87*(X87/H87),"0")</f>
        <v>7.8125E-2</v>
      </c>
      <c r="BP87" s="78">
        <f>IFERROR(1/J87*(Y87/H87),"0")</f>
        <v>7.8125E-2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5</v>
      </c>
      <c r="Y92" s="43">
        <f>IFERROR(Y87/H87,"0")+IFERROR(Y88/H88,"0")+IFERROR(Y89/H89,"0")+IFERROR(Y90/H90,"0")+IFERROR(Y91/H91,"0")</f>
        <v>5</v>
      </c>
      <c r="Z92" s="43">
        <f>IFERROR(IF(Z87="",0,Z87),"0")+IFERROR(IF(Z88="",0,Z88),"0")+IFERROR(IF(Z89="",0,Z89),"0")+IFERROR(IF(Z90="",0,Z90),"0")+IFERROR(IF(Z91="",0,Z91),"0")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54</v>
      </c>
      <c r="Y93" s="43">
        <f>IFERROR(SUM(Y87:Y91),"0")</f>
        <v>54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81</v>
      </c>
      <c r="Y121" s="55">
        <f>IFERROR(IF(X121="",0,CEILING((X121/$H121),1)*$H121),"")</f>
        <v>81</v>
      </c>
      <c r="Z121" s="41">
        <f>IFERROR(IF(Y121=0,"",ROUNDUP(Y121/H121,0)*0.01898),"")</f>
        <v>0.1898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85.88</v>
      </c>
      <c r="BN121" s="78">
        <f>IFERROR(Y121*I121/H121,"0")</f>
        <v>85.88</v>
      </c>
      <c r="BO121" s="78">
        <f>IFERROR(1/J121*(X121/H121),"0")</f>
        <v>0.15625</v>
      </c>
      <c r="BP121" s="78">
        <f>IFERROR(1/J121*(Y121/H121),"0")</f>
        <v>0.15625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10</v>
      </c>
      <c r="Y125" s="43">
        <f>IFERROR(Y121/H121,"0")+IFERROR(Y122/H122,"0")+IFERROR(Y123/H123,"0")+IFERROR(Y124/H124,"0")</f>
        <v>10</v>
      </c>
      <c r="Z125" s="43">
        <f>IFERROR(IF(Z121="",0,Z121),"0")+IFERROR(IF(Z122="",0,Z122),"0")+IFERROR(IF(Z123="",0,Z123),"0")+IFERROR(IF(Z124="",0,Z124),"0")</f>
        <v>0.1898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81</v>
      </c>
      <c r="Y126" s="43">
        <f>IFERROR(SUM(Y121:Y124),"0")</f>
        <v>81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35</v>
      </c>
      <c r="Y176" s="55">
        <f t="shared" si="16"/>
        <v>35</v>
      </c>
      <c r="Z176" s="41">
        <f>IFERROR(IF(Y176=0,"",ROUNDUP(Y176/H176,0)*0.00902),"")</f>
        <v>9.0200000000000002E-2</v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37.65</v>
      </c>
      <c r="BN176" s="78">
        <f t="shared" si="18"/>
        <v>37.65</v>
      </c>
      <c r="BO176" s="78">
        <f t="shared" si="19"/>
        <v>7.575757575757576E-2</v>
      </c>
      <c r="BP176" s="78">
        <f t="shared" si="20"/>
        <v>7.575757575757576E-2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9.0200000000000002E-2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35</v>
      </c>
      <c r="Y187" s="43">
        <f>IFERROR(SUM(Y175:Y185),"0")</f>
        <v>35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108</v>
      </c>
      <c r="Y329" s="55">
        <f t="shared" si="53"/>
        <v>108</v>
      </c>
      <c r="Z329" s="41">
        <f>IFERROR(IF(Y329=0,"",ROUNDUP(Y329/H329,0)*0.01898),"")</f>
        <v>0.1898</v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112.1</v>
      </c>
      <c r="BN329" s="78">
        <f t="shared" si="55"/>
        <v>112.1</v>
      </c>
      <c r="BO329" s="78">
        <f t="shared" si="56"/>
        <v>0.15625</v>
      </c>
      <c r="BP329" s="78">
        <f t="shared" si="57"/>
        <v>0.15625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10</v>
      </c>
      <c r="Y332" s="43">
        <f>IFERROR(Y326/H326,"0")+IFERROR(Y327/H327,"0")+IFERROR(Y328/H328,"0")+IFERROR(Y329/H329,"0")+IFERROR(Y330/H330,"0")+IFERROR(Y331/H331,"0")</f>
        <v>10</v>
      </c>
      <c r="Z332" s="43">
        <f>IFERROR(IF(Z326="",0,Z326),"0")+IFERROR(IF(Z327="",0,Z327),"0")+IFERROR(IF(Z328="",0,Z328),"0")+IFERROR(IF(Z329="",0,Z329),"0")+IFERROR(IF(Z330="",0,Z330),"0")+IFERROR(IF(Z331="",0,Z331),"0")</f>
        <v>0.1898</v>
      </c>
      <c r="AA332" s="67"/>
      <c r="AB332" s="67"/>
      <c r="AC332" s="67"/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108</v>
      </c>
      <c r="Y333" s="43">
        <f>IFERROR(SUM(Y326:Y331),"0")</f>
        <v>108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691.2</v>
      </c>
      <c r="Y365" s="55">
        <f t="shared" si="58"/>
        <v>691.2</v>
      </c>
      <c r="Z365" s="41">
        <f>IFERROR(IF(Y365=0,"",ROUNDUP(Y365/H365,0)*0.01898),"")</f>
        <v>1.21472</v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717.44</v>
      </c>
      <c r="BN365" s="78">
        <f t="shared" si="60"/>
        <v>717.44</v>
      </c>
      <c r="BO365" s="78">
        <f t="shared" si="61"/>
        <v>1</v>
      </c>
      <c r="BP365" s="78">
        <f t="shared" si="62"/>
        <v>1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40</v>
      </c>
      <c r="Y370" s="55">
        <f t="shared" si="58"/>
        <v>40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41.900000000000006</v>
      </c>
      <c r="BN370" s="78">
        <f t="shared" si="60"/>
        <v>41.900000000000006</v>
      </c>
      <c r="BO370" s="78">
        <f t="shared" si="61"/>
        <v>7.575757575757576E-2</v>
      </c>
      <c r="BP370" s="78">
        <f t="shared" si="62"/>
        <v>7.575757575757576E-2</v>
      </c>
    </row>
    <row r="371" spans="1:68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74</v>
      </c>
      <c r="Y371" s="43">
        <f>IFERROR(Y364/H364,"0")+IFERROR(Y365/H365,"0")+IFERROR(Y366/H366,"0")+IFERROR(Y367/H367,"0")+IFERROR(Y368/H368,"0")+IFERROR(Y369/H369,"0")+IFERROR(Y370/H370,"0")</f>
        <v>74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1.3049200000000001</v>
      </c>
      <c r="AA371" s="67"/>
      <c r="AB371" s="67"/>
      <c r="AC371" s="67"/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731.2</v>
      </c>
      <c r="Y372" s="43">
        <f>IFERROR(SUM(Y364:Y370),"0")</f>
        <v>731.2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42</v>
      </c>
      <c r="Y374" s="55">
        <f t="shared" ref="Y374:Y380" si="63">IFERROR(IF(X374="",0,CEILING((X374/$H374),1)*$H374),"")</f>
        <v>42</v>
      </c>
      <c r="Z374" s="41">
        <f>IFERROR(IF(Y374=0,"",ROUNDUP(Y374/H374,0)*0.00902),"")</f>
        <v>9.0200000000000002E-2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44.5</v>
      </c>
      <c r="BN374" s="78">
        <f t="shared" ref="BN374:BN380" si="65">IFERROR(Y374*I374/H374,"0")</f>
        <v>44.5</v>
      </c>
      <c r="BO374" s="78">
        <f t="shared" ref="BO374:BO380" si="66">IFERROR(1/J374*(X374/H374),"0")</f>
        <v>7.575757575757576E-2</v>
      </c>
      <c r="BP374" s="78">
        <f t="shared" ref="BP374:BP380" si="67">IFERROR(1/J374*(Y374/H374),"0")</f>
        <v>7.575757575757576E-2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84</v>
      </c>
      <c r="Y375" s="55">
        <f t="shared" si="63"/>
        <v>84</v>
      </c>
      <c r="Z375" s="41">
        <f>IFERROR(IF(Y375=0,"",ROUNDUP(Y375/H375,0)*0.00902),"")</f>
        <v>0.1804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89</v>
      </c>
      <c r="BN375" s="78">
        <f t="shared" si="65"/>
        <v>89</v>
      </c>
      <c r="BO375" s="78">
        <f t="shared" si="66"/>
        <v>0.15151515151515152</v>
      </c>
      <c r="BP375" s="78">
        <f t="shared" si="67"/>
        <v>0.15151515151515152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10.5</v>
      </c>
      <c r="Y377" s="55">
        <f t="shared" si="63"/>
        <v>10.5</v>
      </c>
      <c r="Z377" s="41">
        <f>IFERROR(IF(Y377=0,"",ROUNDUP(Y377/H377,0)*0.00502),"")</f>
        <v>2.5100000000000001E-2</v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11.149999999999999</v>
      </c>
      <c r="BN377" s="78">
        <f t="shared" si="65"/>
        <v>11.149999999999999</v>
      </c>
      <c r="BO377" s="78">
        <f t="shared" si="66"/>
        <v>2.1367521367521368E-2</v>
      </c>
      <c r="BP377" s="78">
        <f t="shared" si="67"/>
        <v>2.1367521367521368E-2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35</v>
      </c>
      <c r="Y381" s="43">
        <f>IFERROR(Y374/H374,"0")+IFERROR(Y375/H375,"0")+IFERROR(Y376/H376,"0")+IFERROR(Y377/H377,"0")+IFERROR(Y378/H378,"0")+IFERROR(Y379/H379,"0")+IFERROR(Y380/H380,"0")</f>
        <v>35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0.29570000000000002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136.5</v>
      </c>
      <c r="Y382" s="43">
        <f>IFERROR(SUM(Y374:Y380),"0")</f>
        <v>136.5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1120</v>
      </c>
      <c r="Y384" s="55">
        <f>IFERROR(IF(X384="",0,CEILING((X384/$H384),1)*$H384),"")</f>
        <v>1123.2</v>
      </c>
      <c r="Z384" s="41">
        <f>IFERROR(IF(Y384=0,"",ROUNDUP(Y384/H384,0)*0.01898),"")</f>
        <v>2.73312</v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1190.0717948717947</v>
      </c>
      <c r="BN384" s="78">
        <f>IFERROR(Y384*I384/H384,"0")</f>
        <v>1193.4720000000002</v>
      </c>
      <c r="BO384" s="78">
        <f>IFERROR(1/J384*(X384/H384),"0")</f>
        <v>2.2435897435897436</v>
      </c>
      <c r="BP384" s="78">
        <f>IFERROR(1/J384*(Y384/H384),"0")</f>
        <v>2.25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18</v>
      </c>
      <c r="Y387" s="55">
        <f>IFERROR(IF(X387="",0,CEILING((X387/$H387),1)*$H387),"")</f>
        <v>18</v>
      </c>
      <c r="Z387" s="41">
        <f>IFERROR(IF(Y387=0,"",ROUNDUP(Y387/H387,0)*0.00651),"")</f>
        <v>3.9059999999999997E-2</v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19.475999999999999</v>
      </c>
      <c r="BN387" s="78">
        <f>IFERROR(Y387*I387/H387,"0")</f>
        <v>19.475999999999999</v>
      </c>
      <c r="BO387" s="78">
        <f>IFERROR(1/J387*(X387/H387),"0")</f>
        <v>3.2967032967032968E-2</v>
      </c>
      <c r="BP387" s="78">
        <f>IFERROR(1/J387*(Y387/H387),"0")</f>
        <v>3.2967032967032968E-2</v>
      </c>
    </row>
    <row r="388" spans="1:68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149.58974358974359</v>
      </c>
      <c r="Y388" s="43">
        <f>IFERROR(Y384/H384,"0")+IFERROR(Y385/H385,"0")+IFERROR(Y386/H386,"0")+IFERROR(Y387/H387,"0")</f>
        <v>150</v>
      </c>
      <c r="Z388" s="43">
        <f>IFERROR(IF(Z384="",0,Z384),"0")+IFERROR(IF(Z385="",0,Z385),"0")+IFERROR(IF(Z386="",0,Z386),"0")+IFERROR(IF(Z387="",0,Z387),"0")</f>
        <v>2.7721800000000001</v>
      </c>
      <c r="AA388" s="67"/>
      <c r="AB388" s="67"/>
      <c r="AC388" s="67"/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1138</v>
      </c>
      <c r="Y389" s="43">
        <f>IFERROR(SUM(Y384:Y387),"0")</f>
        <v>1141.2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195</v>
      </c>
      <c r="Y392" s="55">
        <f>IFERROR(IF(X392="",0,CEILING((X392/$H392),1)*$H392),"")</f>
        <v>195</v>
      </c>
      <c r="Z392" s="41">
        <f>IFERROR(IF(Y392=0,"",ROUNDUP(Y392/H392,0)*0.01898),"")</f>
        <v>0.47450000000000003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207.35000000000002</v>
      </c>
      <c r="BN392" s="78">
        <f>IFERROR(Y392*I392/H392,"0")</f>
        <v>207.35000000000002</v>
      </c>
      <c r="BO392" s="78">
        <f>IFERROR(1/J392*(X392/H392),"0")</f>
        <v>0.390625</v>
      </c>
      <c r="BP392" s="78">
        <f>IFERROR(1/J392*(Y392/H392),"0")</f>
        <v>0.390625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25</v>
      </c>
      <c r="Y394" s="43">
        <f>IFERROR(Y391/H391,"0")+IFERROR(Y392/H392,"0")+IFERROR(Y393/H393,"0")</f>
        <v>25</v>
      </c>
      <c r="Z394" s="43">
        <f>IFERROR(IF(Z391="",0,Z391),"0")+IFERROR(IF(Z392="",0,Z392),"0")+IFERROR(IF(Z393="",0,Z393),"0")</f>
        <v>0.47450000000000003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195</v>
      </c>
      <c r="Y395" s="43">
        <f>IFERROR(SUM(Y391:Y393),"0")</f>
        <v>195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81</v>
      </c>
      <c r="Y423" s="55">
        <f>IFERROR(IF(X423="",0,CEILING((X423/$H423),1)*$H423),"")</f>
        <v>81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85.94</v>
      </c>
      <c r="BN423" s="78">
        <f>IFERROR(Y423*I423/H423,"0")</f>
        <v>85.94</v>
      </c>
      <c r="BO423" s="78">
        <f>IFERROR(1/J423*(X423/H423),"0")</f>
        <v>0.15625</v>
      </c>
      <c r="BP423" s="78">
        <f>IFERROR(1/J423*(Y423/H423),"0")</f>
        <v>0.15625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12.6</v>
      </c>
      <c r="Y424" s="55">
        <f>IFERROR(IF(X424="",0,CEILING((X424/$H424),1)*$H424),"")</f>
        <v>12.600000000000001</v>
      </c>
      <c r="Z424" s="41">
        <f>IFERROR(IF(Y424=0,"",ROUNDUP(Y424/H424,0)*0.00651),"")</f>
        <v>3.9059999999999997E-2</v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14.111999999999998</v>
      </c>
      <c r="BN424" s="78">
        <f>IFERROR(Y424*I424/H424,"0")</f>
        <v>14.112</v>
      </c>
      <c r="BO424" s="78">
        <f>IFERROR(1/J424*(X424/H424),"0")</f>
        <v>3.2967032967032968E-2</v>
      </c>
      <c r="BP424" s="78">
        <f>IFERROR(1/J424*(Y424/H424),"0")</f>
        <v>3.2967032967032968E-2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12.6</v>
      </c>
      <c r="Y425" s="55">
        <f>IFERROR(IF(X425="",0,CEILING((X425/$H425),1)*$H425),"")</f>
        <v>12.600000000000001</v>
      </c>
      <c r="Z425" s="41">
        <f>IFERROR(IF(Y425=0,"",ROUNDUP(Y425/H425,0)*0.00651),"")</f>
        <v>3.9059999999999997E-2</v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14.04</v>
      </c>
      <c r="BN425" s="78">
        <f>IFERROR(Y425*I425/H425,"0")</f>
        <v>14.040000000000001</v>
      </c>
      <c r="BO425" s="78">
        <f>IFERROR(1/J425*(X425/H425),"0")</f>
        <v>3.2967032967032968E-2</v>
      </c>
      <c r="BP425" s="78">
        <f>IFERROR(1/J425*(Y425/H425),"0")</f>
        <v>3.2967032967032968E-2</v>
      </c>
    </row>
    <row r="426" spans="1:68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22</v>
      </c>
      <c r="Y426" s="43">
        <f>IFERROR(Y423/H423,"0")+IFERROR(Y424/H424,"0")+IFERROR(Y425/H425,"0")</f>
        <v>22</v>
      </c>
      <c r="Z426" s="43">
        <f>IFERROR(IF(Z423="",0,Z423),"0")+IFERROR(IF(Z424="",0,Z424),"0")+IFERROR(IF(Z425="",0,Z425),"0")</f>
        <v>0.26791999999999999</v>
      </c>
      <c r="AA426" s="67"/>
      <c r="AB426" s="67"/>
      <c r="AC426" s="67"/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106.19999999999999</v>
      </c>
      <c r="Y427" s="43">
        <f>IFERROR(SUM(Y423:Y425),"0")</f>
        <v>106.19999999999999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720</v>
      </c>
      <c r="Y434" s="55">
        <f t="shared" si="68"/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742.56</v>
      </c>
      <c r="BN434" s="78">
        <f t="shared" si="70"/>
        <v>742.56</v>
      </c>
      <c r="BO434" s="78">
        <f t="shared" si="71"/>
        <v>1</v>
      </c>
      <c r="BP434" s="78">
        <f t="shared" si="72"/>
        <v>1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48</v>
      </c>
      <c r="Y439" s="43">
        <f>IFERROR(Y431/H431,"0")+IFERROR(Y432/H432,"0")+IFERROR(Y433/H433,"0")+IFERROR(Y434/H434,"0")+IFERROR(Y435/H435,"0")+IFERROR(Y436/H436,"0")+IFERROR(Y437/H437,"0")+IFERROR(Y438/H438,"0")</f>
        <v>48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1.044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720</v>
      </c>
      <c r="Y440" s="43">
        <f>IFERROR(SUM(Y431:Y438),"0")</f>
        <v>720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1440</v>
      </c>
      <c r="Y442" s="55">
        <f>IFERROR(IF(X442="",0,CEILING((X442/$H442),1)*$H442),"")</f>
        <v>1440</v>
      </c>
      <c r="Z442" s="41">
        <f>IFERROR(IF(Y442=0,"",ROUNDUP(Y442/H442,0)*0.02175),"")</f>
        <v>2.0880000000000001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1485.12</v>
      </c>
      <c r="BN442" s="78">
        <f>IFERROR(Y442*I442/H442,"0")</f>
        <v>1485.12</v>
      </c>
      <c r="BO442" s="78">
        <f>IFERROR(1/J442*(X442/H442),"0")</f>
        <v>2</v>
      </c>
      <c r="BP442" s="78">
        <f>IFERROR(1/J442*(Y442/H442),"0")</f>
        <v>2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96</v>
      </c>
      <c r="Y445" s="43">
        <f>IFERROR(Y442/H442,"0")+IFERROR(Y443/H443,"0")+IFERROR(Y444/H444,"0")</f>
        <v>96</v>
      </c>
      <c r="Z445" s="43">
        <f>IFERROR(IF(Z442="",0,Z442),"0")+IFERROR(IF(Z443="",0,Z443),"0")+IFERROR(IF(Z444="",0,Z444),"0")</f>
        <v>2.0880000000000001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1440</v>
      </c>
      <c r="Y446" s="43">
        <f>IFERROR(SUM(Y442:Y444),"0")</f>
        <v>1440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90</v>
      </c>
      <c r="Y448" s="55">
        <f>IFERROR(IF(X448="",0,CEILING((X448/$H448),1)*$H448),"")</f>
        <v>90</v>
      </c>
      <c r="Z448" s="41">
        <f>IFERROR(IF(Y448=0,"",ROUNDUP(Y448/H448,0)*0.01898),"")</f>
        <v>0.1898</v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95</v>
      </c>
      <c r="BN448" s="78">
        <f>IFERROR(Y448*I448/H448,"0")</f>
        <v>95</v>
      </c>
      <c r="BO448" s="78">
        <f>IFERROR(1/J448*(X448/H448),"0")</f>
        <v>0.15625</v>
      </c>
      <c r="BP448" s="78">
        <f>IFERROR(1/J448*(Y448/H448),"0")</f>
        <v>0.15625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10</v>
      </c>
      <c r="Y451" s="43">
        <f>IFERROR(Y448/H448,"0")+IFERROR(Y449/H449,"0")+IFERROR(Y450/H450,"0")</f>
        <v>10</v>
      </c>
      <c r="Z451" s="43">
        <f>IFERROR(IF(Z448="",0,Z448),"0")+IFERROR(IF(Z449="",0,Z449),"0")+IFERROR(IF(Z450="",0,Z450),"0")</f>
        <v>0.1898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90</v>
      </c>
      <c r="Y452" s="43">
        <f>IFERROR(SUM(Y448:Y450),"0")</f>
        <v>90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105.6</v>
      </c>
      <c r="Y507" s="55">
        <f t="shared" si="78"/>
        <v>105.60000000000001</v>
      </c>
      <c r="Z507" s="41">
        <f t="shared" si="79"/>
        <v>0.2392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112.59999999999998</v>
      </c>
      <c r="BN507" s="78">
        <f t="shared" si="81"/>
        <v>112.6</v>
      </c>
      <c r="BO507" s="78">
        <f t="shared" si="82"/>
        <v>0.19230769230769229</v>
      </c>
      <c r="BP507" s="78">
        <f t="shared" si="83"/>
        <v>0.19230769230769232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52.8</v>
      </c>
      <c r="Y509" s="55">
        <f t="shared" si="78"/>
        <v>52.800000000000004</v>
      </c>
      <c r="Z509" s="41">
        <f t="shared" si="79"/>
        <v>0.1196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56.29999999999999</v>
      </c>
      <c r="BN509" s="78">
        <f t="shared" si="81"/>
        <v>56.3</v>
      </c>
      <c r="BO509" s="78">
        <f t="shared" si="82"/>
        <v>9.6153846153846145E-2</v>
      </c>
      <c r="BP509" s="78">
        <f t="shared" si="83"/>
        <v>9.6153846153846159E-2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29.999999999999993</v>
      </c>
      <c r="Y513" s="43">
        <f>IFERROR(Y504/H504,"0")+IFERROR(Y505/H505,"0")+IFERROR(Y506/H506,"0")+IFERROR(Y507/H507,"0")+IFERROR(Y508/H508,"0")+IFERROR(Y509/H509,"0")+IFERROR(Y510/H510,"0")+IFERROR(Y511/H511,"0")+IFERROR(Y512/H512,"0")</f>
        <v>30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0.35880000000000001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158.39999999999998</v>
      </c>
      <c r="Y514" s="43">
        <f>IFERROR(SUM(Y504:Y512),"0")</f>
        <v>158.4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105.6</v>
      </c>
      <c r="Y516" s="55">
        <f>IFERROR(IF(X516="",0,CEILING((X516/$H516),1)*$H516),"")</f>
        <v>105.60000000000001</v>
      </c>
      <c r="Z516" s="41">
        <f>IFERROR(IF(Y516=0,"",ROUNDUP(Y516/H516,0)*0.01196),"")</f>
        <v>0.2392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112.59999999999998</v>
      </c>
      <c r="BN516" s="78">
        <f>IFERROR(Y516*I516/H516,"0")</f>
        <v>112.6</v>
      </c>
      <c r="BO516" s="78">
        <f>IFERROR(1/J516*(X516/H516),"0")</f>
        <v>0.19230769230769229</v>
      </c>
      <c r="BP516" s="78">
        <f>IFERROR(1/J516*(Y516/H516),"0")</f>
        <v>0.19230769230769232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19.999999999999996</v>
      </c>
      <c r="Y519" s="43">
        <f>IFERROR(Y516/H516,"0")+IFERROR(Y517/H517,"0")+IFERROR(Y518/H518,"0")</f>
        <v>20</v>
      </c>
      <c r="Z519" s="43">
        <f>IFERROR(IF(Z516="",0,Z516),"0")+IFERROR(IF(Z517="",0,Z517),"0")+IFERROR(IF(Z518="",0,Z518),"0")</f>
        <v>0.2392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105.6</v>
      </c>
      <c r="Y520" s="43">
        <f>IFERROR(SUM(Y516:Y518),"0")</f>
        <v>105.60000000000001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52.8</v>
      </c>
      <c r="Y523" s="55">
        <f t="shared" si="84"/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56.29999999999999</v>
      </c>
      <c r="BN523" s="78">
        <f t="shared" si="86"/>
        <v>56.3</v>
      </c>
      <c r="BO523" s="78">
        <f t="shared" si="87"/>
        <v>9.6153846153846145E-2</v>
      </c>
      <c r="BP523" s="78">
        <f t="shared" si="88"/>
        <v>9.6153846153846159E-2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52.8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56.29999999999999</v>
      </c>
      <c r="BN524" s="78">
        <f t="shared" si="86"/>
        <v>56.3</v>
      </c>
      <c r="BO524" s="78">
        <f t="shared" si="87"/>
        <v>9.6153846153846145E-2</v>
      </c>
      <c r="BP524" s="78">
        <f t="shared" si="88"/>
        <v>9.6153846153846159E-2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19.999999999999996</v>
      </c>
      <c r="Y529" s="43">
        <f>IFERROR(Y522/H522,"0")+IFERROR(Y523/H523,"0")+IFERROR(Y524/H524,"0")+IFERROR(Y525/H525,"0")+IFERROR(Y526/H526,"0")+IFERROR(Y527/H527,"0")+IFERROR(Y528/H528,"0")</f>
        <v>20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0.2392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105.6</v>
      </c>
      <c r="Y530" s="43">
        <f>IFERROR(SUM(Y522:Y528),"0")</f>
        <v>105.60000000000001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63</v>
      </c>
      <c r="Y542" s="55">
        <f>IFERROR(IF(X542="",0,CEILING((X542/$H542),1)*$H542),"")</f>
        <v>63</v>
      </c>
      <c r="Z542" s="41">
        <f>IFERROR(IF(Y542=0,"",ROUNDUP(Y542/H542,0)*0.00902),"")</f>
        <v>0.1353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66.75</v>
      </c>
      <c r="BN542" s="78">
        <f>IFERROR(Y542*I542/H542,"0")</f>
        <v>66.75</v>
      </c>
      <c r="BO542" s="78">
        <f>IFERROR(1/J542*(X542/H542),"0")</f>
        <v>0.11363636363636365</v>
      </c>
      <c r="BP542" s="78">
        <f>IFERROR(1/J542*(Y542/H542),"0")</f>
        <v>0.11363636363636365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15</v>
      </c>
      <c r="Y543" s="43">
        <f>IFERROR(Y542/H542,"0")</f>
        <v>15</v>
      </c>
      <c r="Z543" s="43">
        <f>IFERROR(IF(Z542="",0,Z542),"0")</f>
        <v>0.1353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63</v>
      </c>
      <c r="Y544" s="43">
        <f>IFERROR(SUM(Y542:Y542),"0")</f>
        <v>63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5590.5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5593.7000000000007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5846.9897948717962</v>
      </c>
      <c r="Y560" s="43">
        <f>IFERROR(SUM(BN22:BN556),"0")</f>
        <v>5850.3900000000021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10</v>
      </c>
      <c r="Y561" s="44">
        <f>ROUNDUP(SUM(BP22:BP556),0)</f>
        <v>10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6096.9897948717962</v>
      </c>
      <c r="Y562" s="43">
        <f>GrossWeightTotalR+PalletQtyTotalR*25</f>
        <v>6100.3900000000021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629.58974358974365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630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10.599320000000002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148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175</v>
      </c>
      <c r="F569" s="52">
        <f>IFERROR(Y87*1,"0")+IFERROR(Y88*1,"0")+IFERROR(Y89*1,"0")+IFERROR(Y90*1,"0")+IFERROR(Y91*1,"0")+IFERROR(Y95*1,"0")+IFERROR(Y96*1,"0")+IFERROR(Y97*1,"0")+IFERROR(Y98*1,"0")</f>
        <v>54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81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35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108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2203.9</v>
      </c>
      <c r="U569" s="52">
        <f>IFERROR(Y417*1,"0")+IFERROR(Y418*1,"0")</f>
        <v>0</v>
      </c>
      <c r="V569" s="52">
        <f>IFERROR(Y423*1,"0")+IFERROR(Y424*1,"0")+IFERROR(Y425*1,"0")</f>
        <v>106.19999999999999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2250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369.6</v>
      </c>
      <c r="AB569" s="52">
        <f>IFERROR(Y534*1,"0")+IFERROR(Y538*1,"0")+IFERROR(Y542*1,"0")+IFERROR(Y546*1,"0")+IFERROR(Y550*1,"0")+IFERROR(Y551*1,"0")</f>
        <v>63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15,60"/>
        <filter val="10"/>
        <filter val="10,00"/>
        <filter val="10,50"/>
        <filter val="105,60"/>
        <filter val="106,20"/>
        <filter val="108,00"/>
        <filter val="12,60"/>
        <filter val="135,00"/>
        <filter val="136,50"/>
        <filter val="148,00"/>
        <filter val="15,00"/>
        <filter val="158,40"/>
        <filter val="18,00"/>
        <filter val="195,00"/>
        <filter val="198,00"/>
        <filter val="20,00"/>
        <filter val="22,00"/>
        <filter val="25,00"/>
        <filter val="27,00"/>
        <filter val="30,00"/>
        <filter val="35,00"/>
        <filter val="40,00"/>
        <filter val="42,00"/>
        <filter val="48,00"/>
        <filter val="5 968,10"/>
        <filter val="5,00"/>
        <filter val="52,80"/>
        <filter val="54,00"/>
        <filter val="6 248,21"/>
        <filter val="6 498,21"/>
        <filter val="63,00"/>
        <filter val="678,00"/>
        <filter val="691,20"/>
        <filter val="720,00"/>
        <filter val="731,20"/>
        <filter val="74,00"/>
        <filter val="81,0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