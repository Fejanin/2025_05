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4C1FCED-727C-4CEA-B037-0E36468E436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P551" i="2" s="1"/>
  <c r="P551" i="2"/>
  <c r="X549" i="2"/>
  <c r="X548" i="2"/>
  <c r="BO547" i="2"/>
  <c r="BM547" i="2"/>
  <c r="Y547" i="2"/>
  <c r="Y548" i="2" s="1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P528" i="2"/>
  <c r="BO527" i="2"/>
  <c r="BM527" i="2"/>
  <c r="Y527" i="2"/>
  <c r="P527" i="2"/>
  <c r="BO526" i="2"/>
  <c r="BM526" i="2"/>
  <c r="Y526" i="2"/>
  <c r="BP526" i="2" s="1"/>
  <c r="P526" i="2"/>
  <c r="BO525" i="2"/>
  <c r="BM525" i="2"/>
  <c r="Y525" i="2"/>
  <c r="P525" i="2"/>
  <c r="BO524" i="2"/>
  <c r="BM524" i="2"/>
  <c r="Z524" i="2"/>
  <c r="Y524" i="2"/>
  <c r="BN524" i="2" s="1"/>
  <c r="P524" i="2"/>
  <c r="BO523" i="2"/>
  <c r="BM523" i="2"/>
  <c r="Y523" i="2"/>
  <c r="P523" i="2"/>
  <c r="X521" i="2"/>
  <c r="X520" i="2"/>
  <c r="BO519" i="2"/>
  <c r="BM519" i="2"/>
  <c r="Y519" i="2"/>
  <c r="Z519" i="2" s="1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Z509" i="2" s="1"/>
  <c r="P509" i="2"/>
  <c r="BO508" i="2"/>
  <c r="BM508" i="2"/>
  <c r="Y508" i="2"/>
  <c r="P508" i="2"/>
  <c r="BO507" i="2"/>
  <c r="BM507" i="2"/>
  <c r="Y507" i="2"/>
  <c r="BP507" i="2" s="1"/>
  <c r="P507" i="2"/>
  <c r="BO506" i="2"/>
  <c r="BM506" i="2"/>
  <c r="Y506" i="2"/>
  <c r="P506" i="2"/>
  <c r="BP505" i="2"/>
  <c r="BO505" i="2"/>
  <c r="BM505" i="2"/>
  <c r="Y505" i="2"/>
  <c r="P505" i="2"/>
  <c r="X501" i="2"/>
  <c r="X500" i="2"/>
  <c r="BO499" i="2"/>
  <c r="BM499" i="2"/>
  <c r="Y499" i="2"/>
  <c r="P499" i="2"/>
  <c r="BO498" i="2"/>
  <c r="BM498" i="2"/>
  <c r="Y498" i="2"/>
  <c r="Z498" i="2" s="1"/>
  <c r="P498" i="2"/>
  <c r="BO497" i="2"/>
  <c r="BM497" i="2"/>
  <c r="Y497" i="2"/>
  <c r="Z497" i="2" s="1"/>
  <c r="P497" i="2"/>
  <c r="X495" i="2"/>
  <c r="X494" i="2"/>
  <c r="BO493" i="2"/>
  <c r="BM493" i="2"/>
  <c r="Y493" i="2"/>
  <c r="Y495" i="2" s="1"/>
  <c r="P493" i="2"/>
  <c r="X490" i="2"/>
  <c r="X489" i="2"/>
  <c r="BO488" i="2"/>
  <c r="BM488" i="2"/>
  <c r="Y488" i="2"/>
  <c r="BN488" i="2" s="1"/>
  <c r="P488" i="2"/>
  <c r="BO487" i="2"/>
  <c r="BM487" i="2"/>
  <c r="Y487" i="2"/>
  <c r="Y489" i="2" s="1"/>
  <c r="P487" i="2"/>
  <c r="X485" i="2"/>
  <c r="X484" i="2"/>
  <c r="BO483" i="2"/>
  <c r="BM483" i="2"/>
  <c r="Y483" i="2"/>
  <c r="P483" i="2"/>
  <c r="BO482" i="2"/>
  <c r="BM482" i="2"/>
  <c r="Y482" i="2"/>
  <c r="BP482" i="2" s="1"/>
  <c r="P482" i="2"/>
  <c r="BO481" i="2"/>
  <c r="BM481" i="2"/>
  <c r="Y481" i="2"/>
  <c r="BP481" i="2" s="1"/>
  <c r="P481" i="2"/>
  <c r="BO480" i="2"/>
  <c r="BM480" i="2"/>
  <c r="Z480" i="2"/>
  <c r="Y480" i="2"/>
  <c r="BN480" i="2" s="1"/>
  <c r="P480" i="2"/>
  <c r="BO479" i="2"/>
  <c r="BM479" i="2"/>
  <c r="Y479" i="2"/>
  <c r="BN479" i="2" s="1"/>
  <c r="P479" i="2"/>
  <c r="BO478" i="2"/>
  <c r="BM478" i="2"/>
  <c r="Y478" i="2"/>
  <c r="P478" i="2"/>
  <c r="X474" i="2"/>
  <c r="X473" i="2"/>
  <c r="BO472" i="2"/>
  <c r="BM472" i="2"/>
  <c r="Y472" i="2"/>
  <c r="Z472" i="2" s="1"/>
  <c r="P472" i="2"/>
  <c r="BO471" i="2"/>
  <c r="BM471" i="2"/>
  <c r="Y471" i="2"/>
  <c r="P471" i="2"/>
  <c r="BO470" i="2"/>
  <c r="BM470" i="2"/>
  <c r="Y470" i="2"/>
  <c r="BP470" i="2" s="1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N462" i="2" s="1"/>
  <c r="P462" i="2"/>
  <c r="BO461" i="2"/>
  <c r="BM461" i="2"/>
  <c r="Y461" i="2"/>
  <c r="P461" i="2"/>
  <c r="X458" i="2"/>
  <c r="X457" i="2"/>
  <c r="BO456" i="2"/>
  <c r="BM456" i="2"/>
  <c r="Y456" i="2"/>
  <c r="BN456" i="2" s="1"/>
  <c r="P456" i="2"/>
  <c r="BO455" i="2"/>
  <c r="BM455" i="2"/>
  <c r="Y455" i="2"/>
  <c r="Y458" i="2" s="1"/>
  <c r="P455" i="2"/>
  <c r="X453" i="2"/>
  <c r="X452" i="2"/>
  <c r="BO451" i="2"/>
  <c r="BM451" i="2"/>
  <c r="Y451" i="2"/>
  <c r="BP451" i="2" s="1"/>
  <c r="P451" i="2"/>
  <c r="BO450" i="2"/>
  <c r="BM450" i="2"/>
  <c r="Y450" i="2"/>
  <c r="Z450" i="2" s="1"/>
  <c r="P450" i="2"/>
  <c r="BO449" i="2"/>
  <c r="BM449" i="2"/>
  <c r="Y449" i="2"/>
  <c r="Z449" i="2" s="1"/>
  <c r="P449" i="2"/>
  <c r="X447" i="2"/>
  <c r="X446" i="2"/>
  <c r="BO445" i="2"/>
  <c r="BM445" i="2"/>
  <c r="Y445" i="2"/>
  <c r="P445" i="2"/>
  <c r="BO444" i="2"/>
  <c r="BM444" i="2"/>
  <c r="Y444" i="2"/>
  <c r="Z444" i="2" s="1"/>
  <c r="P444" i="2"/>
  <c r="BO443" i="2"/>
  <c r="BM443" i="2"/>
  <c r="Y443" i="2"/>
  <c r="BP443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Z434" i="2" s="1"/>
  <c r="P434" i="2"/>
  <c r="BO433" i="2"/>
  <c r="BM433" i="2"/>
  <c r="Y433" i="2"/>
  <c r="P433" i="2"/>
  <c r="BO432" i="2"/>
  <c r="BM432" i="2"/>
  <c r="Y432" i="2"/>
  <c r="BN432" i="2" s="1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Z424" i="2" s="1"/>
  <c r="P424" i="2"/>
  <c r="X421" i="2"/>
  <c r="X420" i="2"/>
  <c r="BO419" i="2"/>
  <c r="BM419" i="2"/>
  <c r="Y419" i="2"/>
  <c r="P419" i="2"/>
  <c r="BO418" i="2"/>
  <c r="BM418" i="2"/>
  <c r="Y418" i="2"/>
  <c r="BN418" i="2" s="1"/>
  <c r="P418" i="2"/>
  <c r="X415" i="2"/>
  <c r="X414" i="2"/>
  <c r="BO413" i="2"/>
  <c r="BM413" i="2"/>
  <c r="Y413" i="2"/>
  <c r="Z413" i="2" s="1"/>
  <c r="P413" i="2"/>
  <c r="BO412" i="2"/>
  <c r="BM412" i="2"/>
  <c r="Y412" i="2"/>
  <c r="BP412" i="2" s="1"/>
  <c r="P412" i="2"/>
  <c r="BO411" i="2"/>
  <c r="BM411" i="2"/>
  <c r="Y411" i="2"/>
  <c r="P411" i="2"/>
  <c r="X409" i="2"/>
  <c r="X408" i="2"/>
  <c r="BO407" i="2"/>
  <c r="BM407" i="2"/>
  <c r="Y407" i="2"/>
  <c r="P407" i="2"/>
  <c r="BO406" i="2"/>
  <c r="BM406" i="2"/>
  <c r="Y406" i="2"/>
  <c r="BP406" i="2" s="1"/>
  <c r="P406" i="2"/>
  <c r="BO405" i="2"/>
  <c r="BM405" i="2"/>
  <c r="Y405" i="2"/>
  <c r="BP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P399" i="2"/>
  <c r="BO398" i="2"/>
  <c r="BM398" i="2"/>
  <c r="Y398" i="2"/>
  <c r="Z398" i="2" s="1"/>
  <c r="P398" i="2"/>
  <c r="X396" i="2"/>
  <c r="X395" i="2"/>
  <c r="BO394" i="2"/>
  <c r="BM394" i="2"/>
  <c r="Y394" i="2"/>
  <c r="BN394" i="2" s="1"/>
  <c r="P394" i="2"/>
  <c r="BO393" i="2"/>
  <c r="BM393" i="2"/>
  <c r="Y393" i="2"/>
  <c r="BN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BN387" i="2" s="1"/>
  <c r="P387" i="2"/>
  <c r="BO386" i="2"/>
  <c r="BM386" i="2"/>
  <c r="Y386" i="2"/>
  <c r="BN386" i="2" s="1"/>
  <c r="P386" i="2"/>
  <c r="BO385" i="2"/>
  <c r="BM385" i="2"/>
  <c r="Y385" i="2"/>
  <c r="P385" i="2"/>
  <c r="X383" i="2"/>
  <c r="X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BN376" i="2" s="1"/>
  <c r="P376" i="2"/>
  <c r="BP375" i="2"/>
  <c r="BO375" i="2"/>
  <c r="BM375" i="2"/>
  <c r="Y375" i="2"/>
  <c r="BN375" i="2" s="1"/>
  <c r="P375" i="2"/>
  <c r="X373" i="2"/>
  <c r="X372" i="2"/>
  <c r="BO371" i="2"/>
  <c r="BM371" i="2"/>
  <c r="Y371" i="2"/>
  <c r="Z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BP367" i="2" s="1"/>
  <c r="P367" i="2"/>
  <c r="BO366" i="2"/>
  <c r="BM366" i="2"/>
  <c r="Y366" i="2"/>
  <c r="P366" i="2"/>
  <c r="X363" i="2"/>
  <c r="X362" i="2"/>
  <c r="BO361" i="2"/>
  <c r="BM361" i="2"/>
  <c r="Y361" i="2"/>
  <c r="Z361" i="2" s="1"/>
  <c r="P361" i="2"/>
  <c r="BO360" i="2"/>
  <c r="BM360" i="2"/>
  <c r="Y360" i="2"/>
  <c r="Z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P353" i="2"/>
  <c r="X351" i="2"/>
  <c r="X350" i="2"/>
  <c r="BO349" i="2"/>
  <c r="BM349" i="2"/>
  <c r="Y349" i="2"/>
  <c r="P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Z346" i="2" s="1"/>
  <c r="P346" i="2"/>
  <c r="BO345" i="2"/>
  <c r="BM345" i="2"/>
  <c r="Y345" i="2"/>
  <c r="BN345" i="2" s="1"/>
  <c r="P345" i="2"/>
  <c r="X342" i="2"/>
  <c r="X341" i="2"/>
  <c r="BP340" i="2"/>
  <c r="BO340" i="2"/>
  <c r="BM340" i="2"/>
  <c r="Y340" i="2"/>
  <c r="BN340" i="2" s="1"/>
  <c r="P340" i="2"/>
  <c r="BO339" i="2"/>
  <c r="BM339" i="2"/>
  <c r="Y339" i="2"/>
  <c r="BP339" i="2" s="1"/>
  <c r="P339" i="2"/>
  <c r="BO338" i="2"/>
  <c r="BM338" i="2"/>
  <c r="Y338" i="2"/>
  <c r="Z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BP331" i="2" s="1"/>
  <c r="P331" i="2"/>
  <c r="BO330" i="2"/>
  <c r="BM330" i="2"/>
  <c r="Y330" i="2"/>
  <c r="BN330" i="2" s="1"/>
  <c r="P330" i="2"/>
  <c r="BO329" i="2"/>
  <c r="BM329" i="2"/>
  <c r="Y329" i="2"/>
  <c r="P329" i="2"/>
  <c r="X326" i="2"/>
  <c r="X325" i="2"/>
  <c r="BO324" i="2"/>
  <c r="BM324" i="2"/>
  <c r="Y324" i="2"/>
  <c r="Z324" i="2" s="1"/>
  <c r="P324" i="2"/>
  <c r="BO323" i="2"/>
  <c r="BM323" i="2"/>
  <c r="Y323" i="2"/>
  <c r="BP323" i="2" s="1"/>
  <c r="P323" i="2"/>
  <c r="BO322" i="2"/>
  <c r="BM322" i="2"/>
  <c r="Y322" i="2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BN314" i="2" s="1"/>
  <c r="P314" i="2"/>
  <c r="X312" i="2"/>
  <c r="X311" i="2"/>
  <c r="BO310" i="2"/>
  <c r="BM310" i="2"/>
  <c r="Y310" i="2"/>
  <c r="P310" i="2"/>
  <c r="BO309" i="2"/>
  <c r="BM309" i="2"/>
  <c r="Y309" i="2"/>
  <c r="P309" i="2"/>
  <c r="BO308" i="2"/>
  <c r="BM308" i="2"/>
  <c r="Y308" i="2"/>
  <c r="BP308" i="2" s="1"/>
  <c r="P308" i="2"/>
  <c r="BO307" i="2"/>
  <c r="BM307" i="2"/>
  <c r="Y307" i="2"/>
  <c r="P307" i="2"/>
  <c r="BP306" i="2"/>
  <c r="BO306" i="2"/>
  <c r="BM306" i="2"/>
  <c r="Y306" i="2"/>
  <c r="BN306" i="2" s="1"/>
  <c r="P306" i="2"/>
  <c r="BO305" i="2"/>
  <c r="BM305" i="2"/>
  <c r="Y305" i="2"/>
  <c r="BP305" i="2" s="1"/>
  <c r="P305" i="2"/>
  <c r="BO304" i="2"/>
  <c r="BM304" i="2"/>
  <c r="Y304" i="2"/>
  <c r="P304" i="2"/>
  <c r="X301" i="2"/>
  <c r="X300" i="2"/>
  <c r="BO299" i="2"/>
  <c r="BM299" i="2"/>
  <c r="Y299" i="2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BN284" i="2" s="1"/>
  <c r="P284" i="2"/>
  <c r="BO283" i="2"/>
  <c r="BM283" i="2"/>
  <c r="Y283" i="2"/>
  <c r="P283" i="2"/>
  <c r="X281" i="2"/>
  <c r="X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BN277" i="2" s="1"/>
  <c r="P277" i="2"/>
  <c r="BO276" i="2"/>
  <c r="BM276" i="2"/>
  <c r="Y276" i="2"/>
  <c r="BN276" i="2" s="1"/>
  <c r="P276" i="2"/>
  <c r="BO275" i="2"/>
  <c r="BM275" i="2"/>
  <c r="Y275" i="2"/>
  <c r="P275" i="2"/>
  <c r="BO274" i="2"/>
  <c r="BM274" i="2"/>
  <c r="Y274" i="2"/>
  <c r="BN274" i="2" s="1"/>
  <c r="P274" i="2"/>
  <c r="BO273" i="2"/>
  <c r="BM273" i="2"/>
  <c r="Y273" i="2"/>
  <c r="BN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P268" i="2"/>
  <c r="BO267" i="2"/>
  <c r="BM267" i="2"/>
  <c r="Y267" i="2"/>
  <c r="Z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59" i="2"/>
  <c r="X258" i="2"/>
  <c r="BO257" i="2"/>
  <c r="BM257" i="2"/>
  <c r="Y257" i="2"/>
  <c r="P257" i="2"/>
  <c r="X255" i="2"/>
  <c r="X254" i="2"/>
  <c r="BO253" i="2"/>
  <c r="BM253" i="2"/>
  <c r="Y253" i="2"/>
  <c r="BN253" i="2" s="1"/>
  <c r="P253" i="2"/>
  <c r="BO252" i="2"/>
  <c r="BM252" i="2"/>
  <c r="Y252" i="2"/>
  <c r="BN252" i="2" s="1"/>
  <c r="P252" i="2"/>
  <c r="BO251" i="2"/>
  <c r="BM251" i="2"/>
  <c r="Y251" i="2"/>
  <c r="P251" i="2"/>
  <c r="X249" i="2"/>
  <c r="X248" i="2"/>
  <c r="BO247" i="2"/>
  <c r="BM247" i="2"/>
  <c r="Y247" i="2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P244" i="2"/>
  <c r="BO243" i="2"/>
  <c r="BM243" i="2"/>
  <c r="Y243" i="2"/>
  <c r="BN243" i="2" s="1"/>
  <c r="P243" i="2"/>
  <c r="X241" i="2"/>
  <c r="X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P237" i="2"/>
  <c r="BO236" i="2"/>
  <c r="BM236" i="2"/>
  <c r="Y236" i="2"/>
  <c r="P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Y233" i="2"/>
  <c r="BN233" i="2" s="1"/>
  <c r="P233" i="2"/>
  <c r="BO232" i="2"/>
  <c r="BM232" i="2"/>
  <c r="Y232" i="2"/>
  <c r="P232" i="2"/>
  <c r="BO231" i="2"/>
  <c r="BM231" i="2"/>
  <c r="Y231" i="2"/>
  <c r="BN231" i="2" s="1"/>
  <c r="P231" i="2"/>
  <c r="BO230" i="2"/>
  <c r="BM230" i="2"/>
  <c r="Y230" i="2"/>
  <c r="BN230" i="2" s="1"/>
  <c r="P230" i="2"/>
  <c r="BP229" i="2"/>
  <c r="BO229" i="2"/>
  <c r="BN229" i="2"/>
  <c r="BM229" i="2"/>
  <c r="Z229" i="2"/>
  <c r="Y229" i="2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P226" i="2"/>
  <c r="X224" i="2"/>
  <c r="X223" i="2"/>
  <c r="BO222" i="2"/>
  <c r="BM222" i="2"/>
  <c r="Y222" i="2"/>
  <c r="P222" i="2"/>
  <c r="X219" i="2"/>
  <c r="X218" i="2"/>
  <c r="BO217" i="2"/>
  <c r="BM217" i="2"/>
  <c r="Y217" i="2"/>
  <c r="Z217" i="2" s="1"/>
  <c r="P217" i="2"/>
  <c r="BO216" i="2"/>
  <c r="BM216" i="2"/>
  <c r="Y216" i="2"/>
  <c r="BN216" i="2" s="1"/>
  <c r="P216" i="2"/>
  <c r="BO215" i="2"/>
  <c r="BM215" i="2"/>
  <c r="Y215" i="2"/>
  <c r="BP215" i="2" s="1"/>
  <c r="P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N212" i="2" s="1"/>
  <c r="P212" i="2"/>
  <c r="BO211" i="2"/>
  <c r="BM211" i="2"/>
  <c r="Y211" i="2"/>
  <c r="BN211" i="2" s="1"/>
  <c r="P211" i="2"/>
  <c r="X207" i="2"/>
  <c r="X206" i="2"/>
  <c r="BO205" i="2"/>
  <c r="BM205" i="2"/>
  <c r="Y205" i="2"/>
  <c r="Z205" i="2" s="1"/>
  <c r="Z206" i="2" s="1"/>
  <c r="P205" i="2"/>
  <c r="X203" i="2"/>
  <c r="X202" i="2"/>
  <c r="BP201" i="2"/>
  <c r="BO201" i="2"/>
  <c r="BM201" i="2"/>
  <c r="Y201" i="2"/>
  <c r="Y202" i="2" s="1"/>
  <c r="P201" i="2"/>
  <c r="X199" i="2"/>
  <c r="X198" i="2"/>
  <c r="BO197" i="2"/>
  <c r="BM197" i="2"/>
  <c r="Y197" i="2"/>
  <c r="P197" i="2"/>
  <c r="BO196" i="2"/>
  <c r="BM196" i="2"/>
  <c r="Y196" i="2"/>
  <c r="BN196" i="2" s="1"/>
  <c r="P196" i="2"/>
  <c r="BO195" i="2"/>
  <c r="BM195" i="2"/>
  <c r="Y195" i="2"/>
  <c r="P195" i="2"/>
  <c r="X193" i="2"/>
  <c r="X192" i="2"/>
  <c r="BO191" i="2"/>
  <c r="BM191" i="2"/>
  <c r="Y191" i="2"/>
  <c r="BN191" i="2" s="1"/>
  <c r="P191" i="2"/>
  <c r="BO190" i="2"/>
  <c r="BM190" i="2"/>
  <c r="Y190" i="2"/>
  <c r="BN190" i="2" s="1"/>
  <c r="P190" i="2"/>
  <c r="BO189" i="2"/>
  <c r="BM189" i="2"/>
  <c r="Y189" i="2"/>
  <c r="Z189" i="2" s="1"/>
  <c r="P189" i="2"/>
  <c r="BO188" i="2"/>
  <c r="BM188" i="2"/>
  <c r="Y188" i="2"/>
  <c r="P188" i="2"/>
  <c r="BO187" i="2"/>
  <c r="BM187" i="2"/>
  <c r="Y187" i="2"/>
  <c r="P187" i="2"/>
  <c r="BO186" i="2"/>
  <c r="BM186" i="2"/>
  <c r="Y186" i="2"/>
  <c r="BN186" i="2" s="1"/>
  <c r="BO185" i="2"/>
  <c r="BM185" i="2"/>
  <c r="Y185" i="2"/>
  <c r="P185" i="2"/>
  <c r="BO184" i="2"/>
  <c r="BM184" i="2"/>
  <c r="Y184" i="2"/>
  <c r="BP184" i="2" s="1"/>
  <c r="BO183" i="2"/>
  <c r="BM183" i="2"/>
  <c r="Y183" i="2"/>
  <c r="BN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BP180" i="2" s="1"/>
  <c r="P180" i="2"/>
  <c r="X178" i="2"/>
  <c r="X177" i="2"/>
  <c r="BO176" i="2"/>
  <c r="BM176" i="2"/>
  <c r="Y176" i="2"/>
  <c r="Z176" i="2" s="1"/>
  <c r="P176" i="2"/>
  <c r="BO175" i="2"/>
  <c r="BM175" i="2"/>
  <c r="Y175" i="2"/>
  <c r="Z175" i="2" s="1"/>
  <c r="Z177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Y173" i="2" s="1"/>
  <c r="P169" i="2"/>
  <c r="X166" i="2"/>
  <c r="X165" i="2"/>
  <c r="BO164" i="2"/>
  <c r="BM164" i="2"/>
  <c r="Y164" i="2"/>
  <c r="BN164" i="2" s="1"/>
  <c r="P164" i="2"/>
  <c r="X162" i="2"/>
  <c r="X161" i="2"/>
  <c r="BO160" i="2"/>
  <c r="BM160" i="2"/>
  <c r="Y160" i="2"/>
  <c r="P160" i="2"/>
  <c r="BO159" i="2"/>
  <c r="BM159" i="2"/>
  <c r="Y159" i="2"/>
  <c r="BN159" i="2" s="1"/>
  <c r="P159" i="2"/>
  <c r="BO158" i="2"/>
  <c r="BM158" i="2"/>
  <c r="Y158" i="2"/>
  <c r="BN158" i="2" s="1"/>
  <c r="P158" i="2"/>
  <c r="BO157" i="2"/>
  <c r="BM157" i="2"/>
  <c r="Y157" i="2"/>
  <c r="P157" i="2"/>
  <c r="BO156" i="2"/>
  <c r="BM156" i="2"/>
  <c r="Y156" i="2"/>
  <c r="P156" i="2"/>
  <c r="BO155" i="2"/>
  <c r="BM155" i="2"/>
  <c r="Z155" i="2"/>
  <c r="Y155" i="2"/>
  <c r="BN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P149" i="2" s="1"/>
  <c r="P149" i="2"/>
  <c r="BO148" i="2"/>
  <c r="BM148" i="2"/>
  <c r="Y148" i="2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P139" i="2" s="1"/>
  <c r="P139" i="2"/>
  <c r="BO138" i="2"/>
  <c r="BM138" i="2"/>
  <c r="Y138" i="2"/>
  <c r="BP138" i="2" s="1"/>
  <c r="P138" i="2"/>
  <c r="X135" i="2"/>
  <c r="X134" i="2"/>
  <c r="BO133" i="2"/>
  <c r="BM133" i="2"/>
  <c r="Y133" i="2"/>
  <c r="BN133" i="2" s="1"/>
  <c r="BO132" i="2"/>
  <c r="BM132" i="2"/>
  <c r="Y132" i="2"/>
  <c r="BN132" i="2" s="1"/>
  <c r="P132" i="2"/>
  <c r="X130" i="2"/>
  <c r="X129" i="2"/>
  <c r="BO128" i="2"/>
  <c r="BM128" i="2"/>
  <c r="Y128" i="2"/>
  <c r="BN128" i="2" s="1"/>
  <c r="BO127" i="2"/>
  <c r="BM127" i="2"/>
  <c r="Y127" i="2"/>
  <c r="BN127" i="2" s="1"/>
  <c r="P127" i="2"/>
  <c r="BO126" i="2"/>
  <c r="BM126" i="2"/>
  <c r="Y126" i="2"/>
  <c r="BO125" i="2"/>
  <c r="BM125" i="2"/>
  <c r="Y125" i="2"/>
  <c r="Z125" i="2" s="1"/>
  <c r="P125" i="2"/>
  <c r="BO124" i="2"/>
  <c r="BM124" i="2"/>
  <c r="Y124" i="2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N116" i="2" s="1"/>
  <c r="P116" i="2"/>
  <c r="BO115" i="2"/>
  <c r="BM115" i="2"/>
  <c r="Y115" i="2"/>
  <c r="BN115" i="2" s="1"/>
  <c r="P115" i="2"/>
  <c r="BP114" i="2"/>
  <c r="BO114" i="2"/>
  <c r="BM114" i="2"/>
  <c r="Y114" i="2"/>
  <c r="BN114" i="2" s="1"/>
  <c r="P114" i="2"/>
  <c r="X112" i="2"/>
  <c r="X111" i="2"/>
  <c r="BO110" i="2"/>
  <c r="BM110" i="2"/>
  <c r="Y110" i="2"/>
  <c r="Z110" i="2" s="1"/>
  <c r="P110" i="2"/>
  <c r="BO109" i="2"/>
  <c r="BM109" i="2"/>
  <c r="Y109" i="2"/>
  <c r="BN109" i="2" s="1"/>
  <c r="BO108" i="2"/>
  <c r="BM108" i="2"/>
  <c r="Z108" i="2"/>
  <c r="Y108" i="2"/>
  <c r="BN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P104" i="2"/>
  <c r="BO103" i="2"/>
  <c r="BM103" i="2"/>
  <c r="Y103" i="2"/>
  <c r="BP103" i="2" s="1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BO96" i="2"/>
  <c r="BM96" i="2"/>
  <c r="Y96" i="2"/>
  <c r="Z96" i="2" s="1"/>
  <c r="P96" i="2"/>
  <c r="BO95" i="2"/>
  <c r="BM95" i="2"/>
  <c r="Y95" i="2"/>
  <c r="Z95" i="2" s="1"/>
  <c r="P95" i="2"/>
  <c r="BO94" i="2"/>
  <c r="BM94" i="2"/>
  <c r="Y94" i="2"/>
  <c r="BN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Z87" i="2" s="1"/>
  <c r="BO86" i="2"/>
  <c r="BM86" i="2"/>
  <c r="Y86" i="2"/>
  <c r="P86" i="2"/>
  <c r="BO85" i="2"/>
  <c r="BM85" i="2"/>
  <c r="Y85" i="2"/>
  <c r="P85" i="2"/>
  <c r="X82" i="2"/>
  <c r="X81" i="2"/>
  <c r="BO80" i="2"/>
  <c r="BM80" i="2"/>
  <c r="Y80" i="2"/>
  <c r="Z80" i="2" s="1"/>
  <c r="P80" i="2"/>
  <c r="BP79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BN50" i="2" s="1"/>
  <c r="P50" i="2"/>
  <c r="BO49" i="2"/>
  <c r="BM49" i="2"/>
  <c r="Y49" i="2"/>
  <c r="BN49" i="2" s="1"/>
  <c r="P49" i="2"/>
  <c r="BP48" i="2"/>
  <c r="BO48" i="2"/>
  <c r="BN48" i="2"/>
  <c r="BM48" i="2"/>
  <c r="Z48" i="2"/>
  <c r="Y48" i="2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F10" i="2" s="1"/>
  <c r="D7" i="2"/>
  <c r="Q6" i="2"/>
  <c r="P2" i="2"/>
  <c r="Y177" i="2" l="1"/>
  <c r="Z31" i="2"/>
  <c r="BN31" i="2"/>
  <c r="Z64" i="2"/>
  <c r="Z97" i="2"/>
  <c r="Z138" i="2"/>
  <c r="BN138" i="2"/>
  <c r="BP211" i="2"/>
  <c r="BP252" i="2"/>
  <c r="Z331" i="2"/>
  <c r="BN331" i="2"/>
  <c r="BP418" i="2"/>
  <c r="Y427" i="2"/>
  <c r="Z443" i="2"/>
  <c r="BP493" i="2"/>
  <c r="Z513" i="2"/>
  <c r="BP57" i="2"/>
  <c r="BN57" i="2"/>
  <c r="BP77" i="2"/>
  <c r="Z77" i="2"/>
  <c r="BN87" i="2"/>
  <c r="BP117" i="2"/>
  <c r="BN117" i="2"/>
  <c r="Z117" i="2"/>
  <c r="BN126" i="2"/>
  <c r="BP126" i="2"/>
  <c r="BN156" i="2"/>
  <c r="BP156" i="2"/>
  <c r="BN160" i="2"/>
  <c r="Z160" i="2"/>
  <c r="BP236" i="2"/>
  <c r="BN236" i="2"/>
  <c r="Z236" i="2"/>
  <c r="BP244" i="2"/>
  <c r="BN244" i="2"/>
  <c r="Z244" i="2"/>
  <c r="Y255" i="2"/>
  <c r="Z251" i="2"/>
  <c r="BN304" i="2"/>
  <c r="Z304" i="2"/>
  <c r="BN332" i="2"/>
  <c r="BN346" i="2"/>
  <c r="BP346" i="2"/>
  <c r="BP353" i="2"/>
  <c r="Z353" i="2"/>
  <c r="Z355" i="2" s="1"/>
  <c r="BN361" i="2"/>
  <c r="BN368" i="2"/>
  <c r="BN412" i="2"/>
  <c r="BN419" i="2"/>
  <c r="Z419" i="2"/>
  <c r="BP506" i="2"/>
  <c r="BN506" i="2"/>
  <c r="Z506" i="2"/>
  <c r="BN510" i="2"/>
  <c r="BP517" i="2"/>
  <c r="BN517" i="2"/>
  <c r="Z517" i="2"/>
  <c r="BN523" i="2"/>
  <c r="BP523" i="2"/>
  <c r="BP527" i="2"/>
  <c r="BN527" i="2"/>
  <c r="Z527" i="2"/>
  <c r="Y540" i="2"/>
  <c r="Z539" i="2"/>
  <c r="Z540" i="2" s="1"/>
  <c r="BP27" i="2"/>
  <c r="Z40" i="2"/>
  <c r="Z57" i="2"/>
  <c r="BN86" i="2"/>
  <c r="Z86" i="2"/>
  <c r="BP104" i="2"/>
  <c r="BN104" i="2"/>
  <c r="Z104" i="2"/>
  <c r="BN124" i="2"/>
  <c r="BP124" i="2"/>
  <c r="Y151" i="2"/>
  <c r="BP148" i="2"/>
  <c r="BN148" i="2"/>
  <c r="Z148" i="2"/>
  <c r="BP160" i="2"/>
  <c r="BP214" i="2"/>
  <c r="BN214" i="2"/>
  <c r="Z214" i="2"/>
  <c r="BN226" i="2"/>
  <c r="BP226" i="2"/>
  <c r="Y259" i="2"/>
  <c r="Y258" i="2"/>
  <c r="BP257" i="2"/>
  <c r="BN257" i="2"/>
  <c r="Z257" i="2"/>
  <c r="Z258" i="2" s="1"/>
  <c r="BN263" i="2"/>
  <c r="BN307" i="2"/>
  <c r="Z307" i="2"/>
  <c r="BP310" i="2"/>
  <c r="Z310" i="2"/>
  <c r="BN367" i="2"/>
  <c r="Z367" i="2"/>
  <c r="BN370" i="2"/>
  <c r="BN405" i="2"/>
  <c r="BN435" i="2"/>
  <c r="BP435" i="2"/>
  <c r="BN438" i="2"/>
  <c r="BP461" i="2"/>
  <c r="BN461" i="2"/>
  <c r="Z461" i="2"/>
  <c r="Z463" i="2" s="1"/>
  <c r="AA570" i="2"/>
  <c r="Z505" i="2"/>
  <c r="BN526" i="2"/>
  <c r="Z526" i="2"/>
  <c r="Y541" i="2"/>
  <c r="BN89" i="2"/>
  <c r="BN176" i="2"/>
  <c r="BN189" i="2"/>
  <c r="Y203" i="2"/>
  <c r="BN215" i="2"/>
  <c r="BN246" i="2"/>
  <c r="BN267" i="2"/>
  <c r="Y270" i="2"/>
  <c r="BN308" i="2"/>
  <c r="BN333" i="2"/>
  <c r="BN359" i="2"/>
  <c r="Y362" i="2"/>
  <c r="BN369" i="2"/>
  <c r="BN400" i="2"/>
  <c r="BN406" i="2"/>
  <c r="BN424" i="2"/>
  <c r="BP424" i="2"/>
  <c r="BN426" i="2"/>
  <c r="BN436" i="2"/>
  <c r="BP480" i="2"/>
  <c r="BN498" i="2"/>
  <c r="BN507" i="2"/>
  <c r="BN518" i="2"/>
  <c r="BN552" i="2"/>
  <c r="BP547" i="2"/>
  <c r="BN482" i="2"/>
  <c r="Z481" i="2"/>
  <c r="BN481" i="2"/>
  <c r="Z470" i="2"/>
  <c r="BN470" i="2"/>
  <c r="Z456" i="2"/>
  <c r="BP456" i="2"/>
  <c r="BN450" i="2"/>
  <c r="Z394" i="2"/>
  <c r="Z393" i="2"/>
  <c r="Y395" i="2"/>
  <c r="Y396" i="2"/>
  <c r="Z392" i="2"/>
  <c r="Z388" i="2"/>
  <c r="BN388" i="2"/>
  <c r="BP387" i="2"/>
  <c r="Z387" i="2"/>
  <c r="Z379" i="2"/>
  <c r="BN377" i="2"/>
  <c r="Z376" i="2"/>
  <c r="BN348" i="2"/>
  <c r="BP345" i="2"/>
  <c r="BN294" i="2"/>
  <c r="BN292" i="2"/>
  <c r="BN288" i="2"/>
  <c r="Z288" i="2"/>
  <c r="BP285" i="2"/>
  <c r="Z284" i="2"/>
  <c r="Z279" i="2"/>
  <c r="BP279" i="2"/>
  <c r="Z277" i="2"/>
  <c r="BP277" i="2"/>
  <c r="Z276" i="2"/>
  <c r="Z273" i="2"/>
  <c r="Y280" i="2"/>
  <c r="Z234" i="2"/>
  <c r="BN234" i="2"/>
  <c r="Z233" i="2"/>
  <c r="Z191" i="2"/>
  <c r="BN181" i="2"/>
  <c r="BP98" i="2"/>
  <c r="Z93" i="2"/>
  <c r="BP93" i="2"/>
  <c r="F570" i="2"/>
  <c r="BN77" i="2"/>
  <c r="BN73" i="2"/>
  <c r="BN72" i="2"/>
  <c r="Z67" i="2"/>
  <c r="BN67" i="2"/>
  <c r="X562" i="2"/>
  <c r="X560" i="2"/>
  <c r="X561" i="2"/>
  <c r="X564" i="2"/>
  <c r="A10" i="2"/>
  <c r="BP29" i="2"/>
  <c r="Y32" i="2"/>
  <c r="BP38" i="2"/>
  <c r="BP50" i="2"/>
  <c r="BP71" i="2"/>
  <c r="BP133" i="2"/>
  <c r="BN157" i="2"/>
  <c r="BP157" i="2"/>
  <c r="BP183" i="2"/>
  <c r="BN187" i="2"/>
  <c r="BP187" i="2"/>
  <c r="BN188" i="2"/>
  <c r="Z188" i="2"/>
  <c r="BP213" i="2"/>
  <c r="BN227" i="2"/>
  <c r="BP227" i="2"/>
  <c r="Z227" i="2"/>
  <c r="BN283" i="2"/>
  <c r="Z283" i="2"/>
  <c r="BN349" i="2"/>
  <c r="Z349" i="2"/>
  <c r="BN378" i="2"/>
  <c r="BP378" i="2"/>
  <c r="Z378" i="2"/>
  <c r="BP411" i="2"/>
  <c r="BN411" i="2"/>
  <c r="Z411" i="2"/>
  <c r="BP466" i="2"/>
  <c r="Y467" i="2"/>
  <c r="Z466" i="2"/>
  <c r="Z467" i="2" s="1"/>
  <c r="H9" i="2"/>
  <c r="BP22" i="2"/>
  <c r="BN30" i="2"/>
  <c r="Z38" i="2"/>
  <c r="BP39" i="2"/>
  <c r="BP41" i="2"/>
  <c r="Y52" i="2"/>
  <c r="Z50" i="2"/>
  <c r="Z59" i="2"/>
  <c r="BP59" i="2"/>
  <c r="BP66" i="2"/>
  <c r="BN78" i="2"/>
  <c r="BP86" i="2"/>
  <c r="BP89" i="2"/>
  <c r="Y99" i="2"/>
  <c r="BP97" i="2"/>
  <c r="BN106" i="2"/>
  <c r="BP108" i="2"/>
  <c r="BP109" i="2"/>
  <c r="Z116" i="2"/>
  <c r="BP116" i="2"/>
  <c r="BN118" i="2"/>
  <c r="Y119" i="2"/>
  <c r="Z123" i="2"/>
  <c r="BP123" i="2"/>
  <c r="Z127" i="2"/>
  <c r="BP127" i="2"/>
  <c r="Z133" i="2"/>
  <c r="Y140" i="2"/>
  <c r="Y141" i="2"/>
  <c r="BN143" i="2"/>
  <c r="BN149" i="2"/>
  <c r="Y150" i="2"/>
  <c r="BP155" i="2"/>
  <c r="Z157" i="2"/>
  <c r="BP158" i="2"/>
  <c r="Z158" i="2"/>
  <c r="BN180" i="2"/>
  <c r="Y192" i="2"/>
  <c r="Z180" i="2"/>
  <c r="Z183" i="2"/>
  <c r="Z213" i="2"/>
  <c r="BP216" i="2"/>
  <c r="Y223" i="2"/>
  <c r="BP222" i="2"/>
  <c r="BN237" i="2"/>
  <c r="BP237" i="2"/>
  <c r="BP322" i="2"/>
  <c r="BN322" i="2"/>
  <c r="Z322" i="2"/>
  <c r="BN399" i="2"/>
  <c r="BP399" i="2"/>
  <c r="BN445" i="2"/>
  <c r="BP445" i="2"/>
  <c r="Y468" i="2"/>
  <c r="BP471" i="2"/>
  <c r="BN471" i="2"/>
  <c r="Z471" i="2"/>
  <c r="BP483" i="2"/>
  <c r="BN483" i="2"/>
  <c r="Z483" i="2"/>
  <c r="J9" i="2"/>
  <c r="BP28" i="2"/>
  <c r="BN29" i="2"/>
  <c r="Y33" i="2"/>
  <c r="BN71" i="2"/>
  <c r="BP87" i="2"/>
  <c r="BN88" i="2"/>
  <c r="G570" i="2"/>
  <c r="BP115" i="2"/>
  <c r="BP128" i="2"/>
  <c r="Y134" i="2"/>
  <c r="BN144" i="2"/>
  <c r="BP159" i="2"/>
  <c r="BP190" i="2"/>
  <c r="Z190" i="2"/>
  <c r="BN286" i="2"/>
  <c r="Z286" i="2"/>
  <c r="BN289" i="2"/>
  <c r="BP289" i="2"/>
  <c r="Z289" i="2"/>
  <c r="Y300" i="2"/>
  <c r="BN305" i="2"/>
  <c r="Z305" i="2"/>
  <c r="BN309" i="2"/>
  <c r="BP309" i="2"/>
  <c r="Z309" i="2"/>
  <c r="BP407" i="2"/>
  <c r="Y408" i="2"/>
  <c r="Z407" i="2"/>
  <c r="BN439" i="2"/>
  <c r="Z439" i="2"/>
  <c r="BN455" i="2"/>
  <c r="Y457" i="2"/>
  <c r="BP455" i="2"/>
  <c r="Z455" i="2"/>
  <c r="Z457" i="2" s="1"/>
  <c r="BP499" i="2"/>
  <c r="BN499" i="2"/>
  <c r="BP508" i="2"/>
  <c r="BN508" i="2"/>
  <c r="Z508" i="2"/>
  <c r="BN525" i="2"/>
  <c r="BP525" i="2"/>
  <c r="Z525" i="2"/>
  <c r="BP528" i="2"/>
  <c r="Z528" i="2"/>
  <c r="Z28" i="2"/>
  <c r="Z30" i="2"/>
  <c r="BP40" i="2"/>
  <c r="BN41" i="2"/>
  <c r="BP56" i="2"/>
  <c r="BP73" i="2"/>
  <c r="Z78" i="2"/>
  <c r="BP85" i="2"/>
  <c r="Y100" i="2"/>
  <c r="BP94" i="2"/>
  <c r="Z106" i="2"/>
  <c r="Z115" i="2"/>
  <c r="Z118" i="2"/>
  <c r="Y120" i="2"/>
  <c r="Z128" i="2"/>
  <c r="Z132" i="2"/>
  <c r="Z134" i="2" s="1"/>
  <c r="BP132" i="2"/>
  <c r="Y135" i="2"/>
  <c r="Z149" i="2"/>
  <c r="Z159" i="2"/>
  <c r="BP182" i="2"/>
  <c r="Z182" i="2"/>
  <c r="BP188" i="2"/>
  <c r="BP191" i="2"/>
  <c r="BN197" i="2"/>
  <c r="BP197" i="2"/>
  <c r="BN232" i="2"/>
  <c r="BP232" i="2"/>
  <c r="Y248" i="2"/>
  <c r="BP247" i="2"/>
  <c r="BN268" i="2"/>
  <c r="BP268" i="2"/>
  <c r="Z268" i="2"/>
  <c r="BN275" i="2"/>
  <c r="BP275" i="2"/>
  <c r="BP299" i="2"/>
  <c r="BN299" i="2"/>
  <c r="Z299" i="2"/>
  <c r="BP318" i="2"/>
  <c r="Y319" i="2"/>
  <c r="Z318" i="2"/>
  <c r="Z319" i="2" s="1"/>
  <c r="BN329" i="2"/>
  <c r="Y334" i="2"/>
  <c r="BP329" i="2"/>
  <c r="Y335" i="2"/>
  <c r="BN339" i="2"/>
  <c r="Z339" i="2"/>
  <c r="BN385" i="2"/>
  <c r="BP385" i="2"/>
  <c r="Z395" i="2"/>
  <c r="BP433" i="2"/>
  <c r="Z433" i="2"/>
  <c r="Y570" i="2"/>
  <c r="BP478" i="2"/>
  <c r="Y484" i="2"/>
  <c r="BP511" i="2"/>
  <c r="BN511" i="2"/>
  <c r="BN551" i="2"/>
  <c r="Z551" i="2"/>
  <c r="BP233" i="2"/>
  <c r="BN235" i="2"/>
  <c r="BP239" i="2"/>
  <c r="BP243" i="2"/>
  <c r="BN245" i="2"/>
  <c r="BP262" i="2"/>
  <c r="BN272" i="2"/>
  <c r="BP276" i="2"/>
  <c r="BN278" i="2"/>
  <c r="BP284" i="2"/>
  <c r="BN287" i="2"/>
  <c r="Y301" i="2"/>
  <c r="Y311" i="2"/>
  <c r="BP330" i="2"/>
  <c r="T570" i="2"/>
  <c r="BP366" i="2"/>
  <c r="BP386" i="2"/>
  <c r="BP479" i="2"/>
  <c r="BP487" i="2"/>
  <c r="J570" i="2"/>
  <c r="BP171" i="2"/>
  <c r="BP186" i="2"/>
  <c r="Y198" i="2"/>
  <c r="BP196" i="2"/>
  <c r="BP212" i="2"/>
  <c r="BP231" i="2"/>
  <c r="Z243" i="2"/>
  <c r="Z246" i="2"/>
  <c r="BP253" i="2"/>
  <c r="Z269" i="2"/>
  <c r="BP267" i="2"/>
  <c r="BP274" i="2"/>
  <c r="Y281" i="2"/>
  <c r="Z298" i="2"/>
  <c r="BP298" i="2"/>
  <c r="Z308" i="2"/>
  <c r="BN310" i="2"/>
  <c r="Z314" i="2"/>
  <c r="Z315" i="2" s="1"/>
  <c r="Z330" i="2"/>
  <c r="Z333" i="2"/>
  <c r="Z348" i="2"/>
  <c r="Z366" i="2"/>
  <c r="Z369" i="2"/>
  <c r="Z377" i="2"/>
  <c r="BN379" i="2"/>
  <c r="Z386" i="2"/>
  <c r="BN392" i="2"/>
  <c r="Z400" i="2"/>
  <c r="BP419" i="2"/>
  <c r="Y428" i="2"/>
  <c r="Z426" i="2"/>
  <c r="Z438" i="2"/>
  <c r="X570" i="2"/>
  <c r="Z462" i="2"/>
  <c r="Z479" i="2"/>
  <c r="Z482" i="2"/>
  <c r="Z487" i="2"/>
  <c r="BP488" i="2"/>
  <c r="Z570" i="2"/>
  <c r="BP498" i="2"/>
  <c r="BN505" i="2"/>
  <c r="Z507" i="2"/>
  <c r="BP510" i="2"/>
  <c r="Z518" i="2"/>
  <c r="BP524" i="2"/>
  <c r="BP535" i="2"/>
  <c r="BP539" i="2"/>
  <c r="Y559" i="2"/>
  <c r="Z169" i="2"/>
  <c r="BP176" i="2"/>
  <c r="Y178" i="2"/>
  <c r="BP181" i="2"/>
  <c r="Z184" i="2"/>
  <c r="Y193" i="2"/>
  <c r="Z186" i="2"/>
  <c r="BP189" i="2"/>
  <c r="Z196" i="2"/>
  <c r="Z212" i="2"/>
  <c r="Z215" i="2"/>
  <c r="Z231" i="2"/>
  <c r="Z235" i="2"/>
  <c r="BN239" i="2"/>
  <c r="Z245" i="2"/>
  <c r="Y254" i="2"/>
  <c r="BP251" i="2"/>
  <c r="Z253" i="2"/>
  <c r="BN262" i="2"/>
  <c r="Z272" i="2"/>
  <c r="Z274" i="2"/>
  <c r="Z278" i="2"/>
  <c r="Z287" i="2"/>
  <c r="BP292" i="2"/>
  <c r="BN293" i="2"/>
  <c r="BP307" i="2"/>
  <c r="Y312" i="2"/>
  <c r="Z332" i="2"/>
  <c r="Y341" i="2"/>
  <c r="BP361" i="2"/>
  <c r="Y363" i="2"/>
  <c r="Z368" i="2"/>
  <c r="BP376" i="2"/>
  <c r="BN380" i="2"/>
  <c r="BP394" i="2"/>
  <c r="W570" i="2"/>
  <c r="Z436" i="2"/>
  <c r="BP450" i="2"/>
  <c r="BN451" i="2"/>
  <c r="BN512" i="2"/>
  <c r="Y514" i="2"/>
  <c r="Z520" i="2"/>
  <c r="Z107" i="2"/>
  <c r="Z164" i="2"/>
  <c r="Z165" i="2" s="1"/>
  <c r="Z195" i="2"/>
  <c r="Z230" i="2"/>
  <c r="BN170" i="2"/>
  <c r="BN354" i="2"/>
  <c r="BN398" i="2"/>
  <c r="Y409" i="2"/>
  <c r="BN434" i="2"/>
  <c r="BN444" i="2"/>
  <c r="Y515" i="2"/>
  <c r="Y553" i="2"/>
  <c r="K570" i="2"/>
  <c r="H570" i="2"/>
  <c r="Y43" i="2"/>
  <c r="BN55" i="2"/>
  <c r="Y68" i="2"/>
  <c r="Z47" i="2"/>
  <c r="BP49" i="2"/>
  <c r="Z58" i="2"/>
  <c r="BN80" i="2"/>
  <c r="Z105" i="2"/>
  <c r="BP107" i="2"/>
  <c r="BN110" i="2"/>
  <c r="BP122" i="2"/>
  <c r="BN125" i="2"/>
  <c r="Z139" i="2"/>
  <c r="BP154" i="2"/>
  <c r="BP164" i="2"/>
  <c r="BN175" i="2"/>
  <c r="BP195" i="2"/>
  <c r="BN205" i="2"/>
  <c r="BN217" i="2"/>
  <c r="Z228" i="2"/>
  <c r="BP230" i="2"/>
  <c r="BN238" i="2"/>
  <c r="Y249" i="2"/>
  <c r="Y264" i="2"/>
  <c r="BP273" i="2"/>
  <c r="BP283" i="2"/>
  <c r="BN291" i="2"/>
  <c r="BP304" i="2"/>
  <c r="BP314" i="2"/>
  <c r="BN324" i="2"/>
  <c r="BP338" i="2"/>
  <c r="Z347" i="2"/>
  <c r="BP349" i="2"/>
  <c r="BN360" i="2"/>
  <c r="BN371" i="2"/>
  <c r="BN381" i="2"/>
  <c r="BP393" i="2"/>
  <c r="Z401" i="2"/>
  <c r="BN413" i="2"/>
  <c r="Z425" i="2"/>
  <c r="Z427" i="2" s="1"/>
  <c r="Z437" i="2"/>
  <c r="BP439" i="2"/>
  <c r="BN449" i="2"/>
  <c r="Y452" i="2"/>
  <c r="BP462" i="2"/>
  <c r="BN472" i="2"/>
  <c r="Y485" i="2"/>
  <c r="BN497" i="2"/>
  <c r="Y500" i="2"/>
  <c r="BN509" i="2"/>
  <c r="BN519" i="2"/>
  <c r="BN529" i="2"/>
  <c r="BN543" i="2"/>
  <c r="L570" i="2"/>
  <c r="Z185" i="2"/>
  <c r="BN96" i="2"/>
  <c r="BN185" i="2"/>
  <c r="Y320" i="2"/>
  <c r="BN23" i="2"/>
  <c r="BP37" i="2"/>
  <c r="BP60" i="2"/>
  <c r="F9" i="2"/>
  <c r="BP55" i="2"/>
  <c r="BP65" i="2"/>
  <c r="Z94" i="2"/>
  <c r="BP96" i="2"/>
  <c r="Z144" i="2"/>
  <c r="BP170" i="2"/>
  <c r="BP185" i="2"/>
  <c r="Y199" i="2"/>
  <c r="Y224" i="2"/>
  <c r="Y269" i="2"/>
  <c r="Z294" i="2"/>
  <c r="Y342" i="2"/>
  <c r="BP354" i="2"/>
  <c r="BN366" i="2"/>
  <c r="Y389" i="2"/>
  <c r="BP398" i="2"/>
  <c r="Z406" i="2"/>
  <c r="Z432" i="2"/>
  <c r="BP434" i="2"/>
  <c r="BP444" i="2"/>
  <c r="Y490" i="2"/>
  <c r="Z512" i="2"/>
  <c r="Y537" i="2"/>
  <c r="Y549" i="2"/>
  <c r="M570" i="2"/>
  <c r="Z60" i="2"/>
  <c r="BN65" i="2"/>
  <c r="BP23" i="2"/>
  <c r="BN47" i="2"/>
  <c r="BN58" i="2"/>
  <c r="Y61" i="2"/>
  <c r="Y69" i="2"/>
  <c r="BP80" i="2"/>
  <c r="BN105" i="2"/>
  <c r="BP110" i="2"/>
  <c r="BP125" i="2"/>
  <c r="BN139" i="2"/>
  <c r="Y165" i="2"/>
  <c r="BP175" i="2"/>
  <c r="BP205" i="2"/>
  <c r="BP217" i="2"/>
  <c r="BN228" i="2"/>
  <c r="BP238" i="2"/>
  <c r="BP291" i="2"/>
  <c r="Y315" i="2"/>
  <c r="BP324" i="2"/>
  <c r="BN347" i="2"/>
  <c r="Y350" i="2"/>
  <c r="BP360" i="2"/>
  <c r="BP371" i="2"/>
  <c r="BP381" i="2"/>
  <c r="BN401" i="2"/>
  <c r="BP413" i="2"/>
  <c r="BN425" i="2"/>
  <c r="BN437" i="2"/>
  <c r="Y440" i="2"/>
  <c r="BP449" i="2"/>
  <c r="Y463" i="2"/>
  <c r="BP472" i="2"/>
  <c r="BP497" i="2"/>
  <c r="BP509" i="2"/>
  <c r="BP519" i="2"/>
  <c r="BP529" i="2"/>
  <c r="BP543" i="2"/>
  <c r="Y554" i="2"/>
  <c r="O570" i="2"/>
  <c r="Y241" i="2"/>
  <c r="Y265" i="2"/>
  <c r="Y355" i="2"/>
  <c r="Y453" i="2"/>
  <c r="Y501" i="2"/>
  <c r="P570" i="2"/>
  <c r="Z126" i="2"/>
  <c r="Z171" i="2"/>
  <c r="Z172" i="2" s="1"/>
  <c r="Z201" i="2"/>
  <c r="Z202" i="2" s="1"/>
  <c r="Y206" i="2"/>
  <c r="Y218" i="2"/>
  <c r="Z226" i="2"/>
  <c r="Y325" i="2"/>
  <c r="Z345" i="2"/>
  <c r="Z350" i="2" s="1"/>
  <c r="Y372" i="2"/>
  <c r="Y382" i="2"/>
  <c r="Y390" i="2"/>
  <c r="Z399" i="2"/>
  <c r="Z402" i="2" s="1"/>
  <c r="Y414" i="2"/>
  <c r="Z435" i="2"/>
  <c r="Z445" i="2"/>
  <c r="Y473" i="2"/>
  <c r="Z493" i="2"/>
  <c r="Z494" i="2" s="1"/>
  <c r="Y520" i="2"/>
  <c r="Y530" i="2"/>
  <c r="Y544" i="2"/>
  <c r="Q570" i="2"/>
  <c r="Y62" i="2"/>
  <c r="Y129" i="2"/>
  <c r="Y166" i="2"/>
  <c r="BN251" i="2"/>
  <c r="Y316" i="2"/>
  <c r="Y351" i="2"/>
  <c r="Y420" i="2"/>
  <c r="BP432" i="2"/>
  <c r="Y441" i="2"/>
  <c r="Y464" i="2"/>
  <c r="BN487" i="2"/>
  <c r="Z557" i="2"/>
  <c r="Z558" i="2" s="1"/>
  <c r="R570" i="2"/>
  <c r="Z37" i="2"/>
  <c r="Z154" i="2"/>
  <c r="Y24" i="2"/>
  <c r="BP47" i="2"/>
  <c r="Z56" i="2"/>
  <c r="Z66" i="2"/>
  <c r="Z68" i="2" s="1"/>
  <c r="Y81" i="2"/>
  <c r="Z103" i="2"/>
  <c r="Y111" i="2"/>
  <c r="BN103" i="2"/>
  <c r="BN201" i="2"/>
  <c r="Y356" i="2"/>
  <c r="Y402" i="2"/>
  <c r="BN493" i="2"/>
  <c r="BN539" i="2"/>
  <c r="S570" i="2"/>
  <c r="Z49" i="2"/>
  <c r="Z122" i="2"/>
  <c r="Y25" i="2"/>
  <c r="Y74" i="2"/>
  <c r="Y82" i="2"/>
  <c r="Y90" i="2"/>
  <c r="Y112" i="2"/>
  <c r="Y145" i="2"/>
  <c r="Y207" i="2"/>
  <c r="Y219" i="2"/>
  <c r="Y295" i="2"/>
  <c r="Y326" i="2"/>
  <c r="Y373" i="2"/>
  <c r="Y383" i="2"/>
  <c r="Y415" i="2"/>
  <c r="Y474" i="2"/>
  <c r="Y521" i="2"/>
  <c r="Y531" i="2"/>
  <c r="Y545" i="2"/>
  <c r="BN557" i="2"/>
  <c r="Y161" i="2"/>
  <c r="Y421" i="2"/>
  <c r="B570" i="2"/>
  <c r="U570" i="2"/>
  <c r="Z109" i="2"/>
  <c r="Z124" i="2"/>
  <c r="Z216" i="2"/>
  <c r="Z237" i="2"/>
  <c r="Z247" i="2"/>
  <c r="Z290" i="2"/>
  <c r="Z323" i="2"/>
  <c r="Z359" i="2"/>
  <c r="Z362" i="2" s="1"/>
  <c r="Z370" i="2"/>
  <c r="Z380" i="2"/>
  <c r="Y403" i="2"/>
  <c r="Z412" i="2"/>
  <c r="Z414" i="2" s="1"/>
  <c r="BP557" i="2"/>
  <c r="C570" i="2"/>
  <c r="V570" i="2"/>
  <c r="Y130" i="2"/>
  <c r="Z22" i="2"/>
  <c r="Z24" i="2" s="1"/>
  <c r="Y51" i="2"/>
  <c r="Z79" i="2"/>
  <c r="Z27" i="2"/>
  <c r="Z32" i="2" s="1"/>
  <c r="Z39" i="2"/>
  <c r="BN64" i="2"/>
  <c r="Y75" i="2"/>
  <c r="Z85" i="2"/>
  <c r="Y91" i="2"/>
  <c r="BN95" i="2"/>
  <c r="Z98" i="2"/>
  <c r="Z114" i="2"/>
  <c r="Z119" i="2" s="1"/>
  <c r="Y146" i="2"/>
  <c r="Z156" i="2"/>
  <c r="BN169" i="2"/>
  <c r="Y172" i="2"/>
  <c r="BN184" i="2"/>
  <c r="Z187" i="2"/>
  <c r="Z192" i="2" s="1"/>
  <c r="Z197" i="2"/>
  <c r="Z211" i="2"/>
  <c r="Z222" i="2"/>
  <c r="Z223" i="2" s="1"/>
  <c r="Z232" i="2"/>
  <c r="Z252" i="2"/>
  <c r="Z275" i="2"/>
  <c r="Z280" i="2" s="1"/>
  <c r="Z285" i="2"/>
  <c r="Y296" i="2"/>
  <c r="Z306" i="2"/>
  <c r="BN318" i="2"/>
  <c r="Z329" i="2"/>
  <c r="Z340" i="2"/>
  <c r="Z341" i="2" s="1"/>
  <c r="BN353" i="2"/>
  <c r="Z375" i="2"/>
  <c r="Z385" i="2"/>
  <c r="BN407" i="2"/>
  <c r="Z418" i="2"/>
  <c r="BN433" i="2"/>
  <c r="BN443" i="2"/>
  <c r="Y446" i="2"/>
  <c r="BN466" i="2"/>
  <c r="Z478" i="2"/>
  <c r="Z484" i="2" s="1"/>
  <c r="Z488" i="2"/>
  <c r="Y494" i="2"/>
  <c r="BN513" i="2"/>
  <c r="Z523" i="2"/>
  <c r="Z530" i="2" s="1"/>
  <c r="Z535" i="2"/>
  <c r="Z536" i="2" s="1"/>
  <c r="Z547" i="2"/>
  <c r="Z548" i="2" s="1"/>
  <c r="D570" i="2"/>
  <c r="BN528" i="2"/>
  <c r="Z552" i="2"/>
  <c r="Y558" i="2"/>
  <c r="E570" i="2"/>
  <c r="Y162" i="2"/>
  <c r="Y240" i="2"/>
  <c r="BN247" i="2"/>
  <c r="BN290" i="2"/>
  <c r="BN323" i="2"/>
  <c r="Y42" i="2"/>
  <c r="Z72" i="2"/>
  <c r="Z74" i="2" s="1"/>
  <c r="BN85" i="2"/>
  <c r="Z88" i="2"/>
  <c r="BP95" i="2"/>
  <c r="Z143" i="2"/>
  <c r="Z145" i="2" s="1"/>
  <c r="BP169" i="2"/>
  <c r="BN222" i="2"/>
  <c r="Z263" i="2"/>
  <c r="Z264" i="2" s="1"/>
  <c r="Z293" i="2"/>
  <c r="Z405" i="2"/>
  <c r="Z451" i="2"/>
  <c r="Z452" i="2" s="1"/>
  <c r="BN478" i="2"/>
  <c r="Z499" i="2"/>
  <c r="Z500" i="2" s="1"/>
  <c r="Z511" i="2"/>
  <c r="BN535" i="2"/>
  <c r="BN547" i="2"/>
  <c r="Y447" i="2"/>
  <c r="I570" i="2"/>
  <c r="AB570" i="2"/>
  <c r="BN195" i="2"/>
  <c r="BN338" i="2"/>
  <c r="Z473" i="2" l="1"/>
  <c r="Z489" i="2"/>
  <c r="Z446" i="2"/>
  <c r="Z140" i="2"/>
  <c r="Z300" i="2"/>
  <c r="Z514" i="2"/>
  <c r="Z553" i="2"/>
  <c r="Z420" i="2"/>
  <c r="Z334" i="2"/>
  <c r="Z311" i="2"/>
  <c r="Z254" i="2"/>
  <c r="Z81" i="2"/>
  <c r="Z372" i="2"/>
  <c r="Z325" i="2"/>
  <c r="Z248" i="2"/>
  <c r="Z61" i="2"/>
  <c r="Z150" i="2"/>
  <c r="Z389" i="2"/>
  <c r="Z382" i="2"/>
  <c r="Z295" i="2"/>
  <c r="X563" i="2"/>
  <c r="Z42" i="2"/>
  <c r="Z99" i="2"/>
  <c r="Z218" i="2"/>
  <c r="Z90" i="2"/>
  <c r="Z440" i="2"/>
  <c r="Y562" i="2"/>
  <c r="Y561" i="2"/>
  <c r="Z161" i="2"/>
  <c r="Y564" i="2"/>
  <c r="Z198" i="2"/>
  <c r="Y560" i="2"/>
  <c r="Z129" i="2"/>
  <c r="Z51" i="2"/>
  <c r="Z408" i="2"/>
  <c r="Z111" i="2"/>
  <c r="Z240" i="2"/>
  <c r="Y563" i="2" l="1"/>
  <c r="Z565" i="2"/>
</calcChain>
</file>

<file path=xl/sharedStrings.xml><?xml version="1.0" encoding="utf-8"?>
<sst xmlns="http://schemas.openxmlformats.org/spreadsheetml/2006/main" count="4317" uniqueCount="904">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</sst>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topLeftCell="A456" zoomScaleNormal="100" zoomScaleSheetLayoutView="100" workbookViewId="0">
      <selection activeCell="AA566" sqref="AA56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67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68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0" t="s">
        <v>8</v>
      </c>
      <c r="B5" s="1000"/>
      <c r="C5" s="1000"/>
      <c r="D5" s="1001"/>
      <c r="E5" s="1001"/>
      <c r="F5" s="1002" t="s">
        <v>14</v>
      </c>
      <c r="G5" s="1002"/>
      <c r="H5" s="1001"/>
      <c r="I5" s="1001"/>
      <c r="J5" s="1001"/>
      <c r="K5" s="1001"/>
      <c r="L5" s="1001"/>
      <c r="M5" s="1001"/>
      <c r="N5" s="72"/>
      <c r="P5" s="27" t="s">
        <v>4</v>
      </c>
      <c r="Q5" s="1003">
        <v>46268</v>
      </c>
      <c r="R5" s="1003"/>
      <c r="T5" s="1004" t="s">
        <v>3</v>
      </c>
      <c r="U5" s="1005"/>
      <c r="V5" s="1006" t="s">
        <v>880</v>
      </c>
      <c r="W5" s="1007"/>
      <c r="AB5" s="59"/>
      <c r="AC5" s="59"/>
      <c r="AD5" s="59"/>
      <c r="AE5" s="59"/>
    </row>
    <row r="6" spans="1:32" s="17" customFormat="1" ht="24" customHeight="1" x14ac:dyDescent="0.2">
      <c r="A6" s="1000" t="s">
        <v>1</v>
      </c>
      <c r="B6" s="1000"/>
      <c r="C6" s="1000"/>
      <c r="D6" s="1008" t="s">
        <v>887</v>
      </c>
      <c r="E6" s="1008"/>
      <c r="F6" s="1008"/>
      <c r="G6" s="1008"/>
      <c r="H6" s="1008"/>
      <c r="I6" s="1008"/>
      <c r="J6" s="1008"/>
      <c r="K6" s="1008"/>
      <c r="L6" s="1008"/>
      <c r="M6" s="1008"/>
      <c r="N6" s="73"/>
      <c r="P6" s="27" t="s">
        <v>27</v>
      </c>
      <c r="Q6" s="1009" t="str">
        <f>IF(Q5=0," ",CHOOSE(WEEKDAY(Q5,2),"Понедельник","Вторник","Среда","Четверг","Пятница","Суббота","Воскресенье"))</f>
        <v>Четверг</v>
      </c>
      <c r="R6" s="1009"/>
      <c r="T6" s="1010" t="s">
        <v>5</v>
      </c>
      <c r="U6" s="1011"/>
      <c r="V6" s="1012" t="s">
        <v>70</v>
      </c>
      <c r="W6" s="101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8" t="str">
        <f>IFERROR(VLOOKUP(DeliveryAddress,Table,3,0),1)</f>
        <v>3</v>
      </c>
      <c r="E7" s="1019"/>
      <c r="F7" s="1019"/>
      <c r="G7" s="1019"/>
      <c r="H7" s="1019"/>
      <c r="I7" s="1019"/>
      <c r="J7" s="1019"/>
      <c r="K7" s="1019"/>
      <c r="L7" s="1019"/>
      <c r="M7" s="1020"/>
      <c r="N7" s="74"/>
      <c r="P7" s="29"/>
      <c r="Q7" s="48"/>
      <c r="R7" s="48"/>
      <c r="T7" s="1010"/>
      <c r="U7" s="1011"/>
      <c r="V7" s="1014"/>
      <c r="W7" s="1015"/>
      <c r="AB7" s="59"/>
      <c r="AC7" s="59"/>
      <c r="AD7" s="59"/>
      <c r="AE7" s="59"/>
    </row>
    <row r="8" spans="1:32" s="17" customFormat="1" ht="25.5" customHeight="1" x14ac:dyDescent="0.2">
      <c r="A8" s="1021" t="s">
        <v>58</v>
      </c>
      <c r="B8" s="1021"/>
      <c r="C8" s="1021"/>
      <c r="D8" s="1022"/>
      <c r="E8" s="1022"/>
      <c r="F8" s="1022"/>
      <c r="G8" s="1022"/>
      <c r="H8" s="1022"/>
      <c r="I8" s="1022"/>
      <c r="J8" s="1022"/>
      <c r="K8" s="1022"/>
      <c r="L8" s="1022"/>
      <c r="M8" s="1022"/>
      <c r="N8" s="75"/>
      <c r="P8" s="27" t="s">
        <v>11</v>
      </c>
      <c r="Q8" s="981">
        <v>0.41666666666666669</v>
      </c>
      <c r="R8" s="981"/>
      <c r="T8" s="1010"/>
      <c r="U8" s="1011"/>
      <c r="V8" s="1014"/>
      <c r="W8" s="1015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1023" t="str">
        <f>IF(AND($A$9="Тип доверенности/получателя при получении в адресе перегруза:",$D$9="Разовая доверенность"),"Введите ФИО","")</f>
        <v/>
      </c>
      <c r="I9" s="1023"/>
      <c r="J9" s="102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3"/>
      <c r="L9" s="1023"/>
      <c r="M9" s="1023"/>
      <c r="N9" s="70"/>
      <c r="P9" s="31" t="s">
        <v>15</v>
      </c>
      <c r="Q9" s="1024"/>
      <c r="R9" s="1024"/>
      <c r="T9" s="1010"/>
      <c r="U9" s="1011"/>
      <c r="V9" s="1016"/>
      <c r="W9" s="101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79" t="s">
        <v>55</v>
      </c>
      <c r="W11" s="97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0" t="s">
        <v>72</v>
      </c>
      <c r="B12" s="980"/>
      <c r="C12" s="980"/>
      <c r="D12" s="980"/>
      <c r="E12" s="980"/>
      <c r="F12" s="980"/>
      <c r="G12" s="980"/>
      <c r="H12" s="980"/>
      <c r="I12" s="980"/>
      <c r="J12" s="980"/>
      <c r="K12" s="980"/>
      <c r="L12" s="980"/>
      <c r="M12" s="980"/>
      <c r="N12" s="76"/>
      <c r="P12" s="27" t="s">
        <v>30</v>
      </c>
      <c r="Q12" s="981"/>
      <c r="R12" s="981"/>
      <c r="S12" s="28"/>
      <c r="T12"/>
      <c r="U12" s="29" t="s">
        <v>46</v>
      </c>
      <c r="V12" s="982"/>
      <c r="W12" s="982"/>
      <c r="X12"/>
      <c r="AB12" s="59"/>
      <c r="AC12" s="59"/>
      <c r="AD12" s="59"/>
      <c r="AE12" s="59"/>
    </row>
    <row r="13" spans="1:32" s="17" customFormat="1" ht="23.25" customHeight="1" x14ac:dyDescent="0.2">
      <c r="A13" s="980" t="s">
        <v>73</v>
      </c>
      <c r="B13" s="980"/>
      <c r="C13" s="980"/>
      <c r="D13" s="980"/>
      <c r="E13" s="980"/>
      <c r="F13" s="980"/>
      <c r="G13" s="980"/>
      <c r="H13" s="980"/>
      <c r="I13" s="980"/>
      <c r="J13" s="980"/>
      <c r="K13" s="980"/>
      <c r="L13" s="980"/>
      <c r="M13" s="980"/>
      <c r="N13" s="76"/>
      <c r="O13" s="31"/>
      <c r="P13" s="31" t="s">
        <v>31</v>
      </c>
      <c r="Q13" s="979"/>
      <c r="R13" s="97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0" t="s">
        <v>74</v>
      </c>
      <c r="B14" s="980"/>
      <c r="C14" s="980"/>
      <c r="D14" s="980"/>
      <c r="E14" s="980"/>
      <c r="F14" s="980"/>
      <c r="G14" s="980"/>
      <c r="H14" s="980"/>
      <c r="I14" s="980"/>
      <c r="J14" s="980"/>
      <c r="K14" s="980"/>
      <c r="L14" s="980"/>
      <c r="M14" s="98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3" t="s">
        <v>75</v>
      </c>
      <c r="B15" s="983"/>
      <c r="C15" s="983"/>
      <c r="D15" s="983"/>
      <c r="E15" s="983"/>
      <c r="F15" s="983"/>
      <c r="G15" s="983"/>
      <c r="H15" s="983"/>
      <c r="I15" s="983"/>
      <c r="J15" s="983"/>
      <c r="K15" s="983"/>
      <c r="L15" s="983"/>
      <c r="M15" s="983"/>
      <c r="N15" s="77"/>
      <c r="O15"/>
      <c r="P15" s="984" t="s">
        <v>61</v>
      </c>
      <c r="Q15" s="984"/>
      <c r="R15" s="984"/>
      <c r="S15" s="984"/>
      <c r="T15" s="98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5"/>
      <c r="Q16" s="985"/>
      <c r="R16" s="985"/>
      <c r="S16" s="985"/>
      <c r="T16" s="98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5" t="s">
        <v>59</v>
      </c>
      <c r="B17" s="955" t="s">
        <v>49</v>
      </c>
      <c r="C17" s="988" t="s">
        <v>48</v>
      </c>
      <c r="D17" s="990" t="s">
        <v>50</v>
      </c>
      <c r="E17" s="991"/>
      <c r="F17" s="955" t="s">
        <v>21</v>
      </c>
      <c r="G17" s="955" t="s">
        <v>24</v>
      </c>
      <c r="H17" s="955" t="s">
        <v>22</v>
      </c>
      <c r="I17" s="955" t="s">
        <v>23</v>
      </c>
      <c r="J17" s="955" t="s">
        <v>16</v>
      </c>
      <c r="K17" s="955" t="s">
        <v>66</v>
      </c>
      <c r="L17" s="955" t="s">
        <v>64</v>
      </c>
      <c r="M17" s="955" t="s">
        <v>2</v>
      </c>
      <c r="N17" s="955" t="s">
        <v>63</v>
      </c>
      <c r="O17" s="955" t="s">
        <v>25</v>
      </c>
      <c r="P17" s="990" t="s">
        <v>17</v>
      </c>
      <c r="Q17" s="994"/>
      <c r="R17" s="994"/>
      <c r="S17" s="994"/>
      <c r="T17" s="991"/>
      <c r="U17" s="986" t="s">
        <v>56</v>
      </c>
      <c r="V17" s="987"/>
      <c r="W17" s="955" t="s">
        <v>6</v>
      </c>
      <c r="X17" s="955" t="s">
        <v>41</v>
      </c>
      <c r="Y17" s="957" t="s">
        <v>54</v>
      </c>
      <c r="Z17" s="959" t="s">
        <v>18</v>
      </c>
      <c r="AA17" s="961" t="s">
        <v>60</v>
      </c>
      <c r="AB17" s="961" t="s">
        <v>19</v>
      </c>
      <c r="AC17" s="961" t="s">
        <v>65</v>
      </c>
      <c r="AD17" s="963" t="s">
        <v>57</v>
      </c>
      <c r="AE17" s="964"/>
      <c r="AF17" s="965"/>
      <c r="AG17" s="82"/>
      <c r="BD17" s="81" t="s">
        <v>62</v>
      </c>
    </row>
    <row r="18" spans="1:68" ht="14.25" customHeight="1" x14ac:dyDescent="0.2">
      <c r="A18" s="956"/>
      <c r="B18" s="956"/>
      <c r="C18" s="989"/>
      <c r="D18" s="992"/>
      <c r="E18" s="993"/>
      <c r="F18" s="956"/>
      <c r="G18" s="956"/>
      <c r="H18" s="956"/>
      <c r="I18" s="956"/>
      <c r="J18" s="956"/>
      <c r="K18" s="956"/>
      <c r="L18" s="956"/>
      <c r="M18" s="956"/>
      <c r="N18" s="956"/>
      <c r="O18" s="956"/>
      <c r="P18" s="992"/>
      <c r="Q18" s="995"/>
      <c r="R18" s="995"/>
      <c r="S18" s="995"/>
      <c r="T18" s="993"/>
      <c r="U18" s="83" t="s">
        <v>44</v>
      </c>
      <c r="V18" s="83" t="s">
        <v>43</v>
      </c>
      <c r="W18" s="956"/>
      <c r="X18" s="956"/>
      <c r="Y18" s="958"/>
      <c r="Z18" s="960"/>
      <c r="AA18" s="962"/>
      <c r="AB18" s="962"/>
      <c r="AC18" s="962"/>
      <c r="AD18" s="966"/>
      <c r="AE18" s="967"/>
      <c r="AF18" s="968"/>
      <c r="AG18" s="82"/>
      <c r="BD18" s="81"/>
    </row>
    <row r="19" spans="1:68" ht="27.75" hidden="1" customHeight="1" x14ac:dyDescent="0.2">
      <c r="A19" s="678" t="s">
        <v>76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4"/>
      <c r="AB19" s="54"/>
      <c r="AC19" s="54"/>
    </row>
    <row r="20" spans="1:68" ht="16.5" hidden="1" customHeight="1" x14ac:dyDescent="0.25">
      <c r="A20" s="663" t="s">
        <v>76</v>
      </c>
      <c r="B20" s="663"/>
      <c r="C20" s="663"/>
      <c r="D20" s="663"/>
      <c r="E20" s="663"/>
      <c r="F20" s="663"/>
      <c r="G20" s="663"/>
      <c r="H20" s="663"/>
      <c r="I20" s="663"/>
      <c r="J20" s="663"/>
      <c r="K20" s="663"/>
      <c r="L20" s="663"/>
      <c r="M20" s="663"/>
      <c r="N20" s="663"/>
      <c r="O20" s="663"/>
      <c r="P20" s="663"/>
      <c r="Q20" s="663"/>
      <c r="R20" s="663"/>
      <c r="S20" s="663"/>
      <c r="T20" s="663"/>
      <c r="U20" s="663"/>
      <c r="V20" s="663"/>
      <c r="W20" s="663"/>
      <c r="X20" s="663"/>
      <c r="Y20" s="663"/>
      <c r="Z20" s="663"/>
      <c r="AA20" s="65"/>
      <c r="AB20" s="65"/>
      <c r="AC20" s="79"/>
    </row>
    <row r="21" spans="1:68" ht="14.25" hidden="1" customHeight="1" x14ac:dyDescent="0.25">
      <c r="A21" s="664" t="s">
        <v>77</v>
      </c>
      <c r="B21" s="664"/>
      <c r="C21" s="664"/>
      <c r="D21" s="664"/>
      <c r="E21" s="664"/>
      <c r="F21" s="664"/>
      <c r="G21" s="664"/>
      <c r="H21" s="664"/>
      <c r="I21" s="664"/>
      <c r="J21" s="664"/>
      <c r="K21" s="664"/>
      <c r="L21" s="664"/>
      <c r="M21" s="664"/>
      <c r="N21" s="664"/>
      <c r="O21" s="664"/>
      <c r="P21" s="664"/>
      <c r="Q21" s="664"/>
      <c r="R21" s="664"/>
      <c r="S21" s="664"/>
      <c r="T21" s="664"/>
      <c r="U21" s="664"/>
      <c r="V21" s="664"/>
      <c r="W21" s="664"/>
      <c r="X21" s="664"/>
      <c r="Y21" s="664"/>
      <c r="Z21" s="66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65">
        <v>4680115886643</v>
      </c>
      <c r="E22" s="66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7"/>
      <c r="R22" s="667"/>
      <c r="S22" s="667"/>
      <c r="T22" s="66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65">
        <v>4680115889071</v>
      </c>
      <c r="E23" s="66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7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7"/>
      <c r="R23" s="667"/>
      <c r="S23" s="667"/>
      <c r="T23" s="66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4" t="s">
        <v>86</v>
      </c>
      <c r="B26" s="664"/>
      <c r="C26" s="664"/>
      <c r="D26" s="664"/>
      <c r="E26" s="664"/>
      <c r="F26" s="664"/>
      <c r="G26" s="664"/>
      <c r="H26" s="664"/>
      <c r="I26" s="664"/>
      <c r="J26" s="664"/>
      <c r="K26" s="664"/>
      <c r="L26" s="664"/>
      <c r="M26" s="664"/>
      <c r="N26" s="664"/>
      <c r="O26" s="664"/>
      <c r="P26" s="664"/>
      <c r="Q26" s="664"/>
      <c r="R26" s="664"/>
      <c r="S26" s="664"/>
      <c r="T26" s="664"/>
      <c r="U26" s="664"/>
      <c r="V26" s="664"/>
      <c r="W26" s="664"/>
      <c r="X26" s="664"/>
      <c r="Y26" s="664"/>
      <c r="Z26" s="66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65">
        <v>4680115885912</v>
      </c>
      <c r="E27" s="66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7"/>
      <c r="R27" s="667"/>
      <c r="S27" s="667"/>
      <c r="T27" s="66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65">
        <v>4607091388237</v>
      </c>
      <c r="E28" s="66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7"/>
      <c r="R28" s="667"/>
      <c r="S28" s="667"/>
      <c r="T28" s="66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65">
        <v>4680115887350</v>
      </c>
      <c r="E29" s="66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5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7"/>
      <c r="R29" s="667"/>
      <c r="S29" s="667"/>
      <c r="T29" s="66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65">
        <v>4680115885905</v>
      </c>
      <c r="E30" s="66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7"/>
      <c r="R30" s="667"/>
      <c r="S30" s="667"/>
      <c r="T30" s="66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65">
        <v>4680115887619</v>
      </c>
      <c r="E31" s="66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7"/>
      <c r="R31" s="667"/>
      <c r="S31" s="667"/>
      <c r="T31" s="66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4"/>
      <c r="AB34" s="54"/>
      <c r="AC34" s="54"/>
    </row>
    <row r="35" spans="1:68" ht="16.5" hidden="1" customHeight="1" x14ac:dyDescent="0.25">
      <c r="A35" s="663" t="s">
        <v>104</v>
      </c>
      <c r="B35" s="663"/>
      <c r="C35" s="663"/>
      <c r="D35" s="663"/>
      <c r="E35" s="663"/>
      <c r="F35" s="663"/>
      <c r="G35" s="663"/>
      <c r="H35" s="663"/>
      <c r="I35" s="663"/>
      <c r="J35" s="663"/>
      <c r="K35" s="663"/>
      <c r="L35" s="663"/>
      <c r="M35" s="663"/>
      <c r="N35" s="663"/>
      <c r="O35" s="663"/>
      <c r="P35" s="663"/>
      <c r="Q35" s="663"/>
      <c r="R35" s="663"/>
      <c r="S35" s="663"/>
      <c r="T35" s="663"/>
      <c r="U35" s="663"/>
      <c r="V35" s="663"/>
      <c r="W35" s="663"/>
      <c r="X35" s="663"/>
      <c r="Y35" s="663"/>
      <c r="Z35" s="663"/>
      <c r="AA35" s="65"/>
      <c r="AB35" s="65"/>
      <c r="AC35" s="79"/>
    </row>
    <row r="36" spans="1:68" ht="14.25" hidden="1" customHeight="1" x14ac:dyDescent="0.25">
      <c r="A36" s="664" t="s">
        <v>86</v>
      </c>
      <c r="B36" s="664"/>
      <c r="C36" s="664"/>
      <c r="D36" s="664"/>
      <c r="E36" s="664"/>
      <c r="F36" s="664"/>
      <c r="G36" s="664"/>
      <c r="H36" s="664"/>
      <c r="I36" s="664"/>
      <c r="J36" s="664"/>
      <c r="K36" s="664"/>
      <c r="L36" s="664"/>
      <c r="M36" s="664"/>
      <c r="N36" s="664"/>
      <c r="O36" s="664"/>
      <c r="P36" s="664"/>
      <c r="Q36" s="664"/>
      <c r="R36" s="664"/>
      <c r="S36" s="664"/>
      <c r="T36" s="664"/>
      <c r="U36" s="664"/>
      <c r="V36" s="664"/>
      <c r="W36" s="664"/>
      <c r="X36" s="664"/>
      <c r="Y36" s="664"/>
      <c r="Z36" s="664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65">
        <v>4680115889354</v>
      </c>
      <c r="E37" s="66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7"/>
      <c r="R37" s="667"/>
      <c r="S37" s="667"/>
      <c r="T37" s="66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65">
        <v>4680115888463</v>
      </c>
      <c r="E38" s="66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7"/>
      <c r="R38" s="667"/>
      <c r="S38" s="667"/>
      <c r="T38" s="66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65">
        <v>4680115889590</v>
      </c>
      <c r="E39" s="66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7"/>
      <c r="R39" s="667"/>
      <c r="S39" s="667"/>
      <c r="T39" s="66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65">
        <v>4680115888272</v>
      </c>
      <c r="E40" s="66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7"/>
      <c r="R40" s="667"/>
      <c r="S40" s="667"/>
      <c r="T40" s="66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65">
        <v>4680115888364</v>
      </c>
      <c r="E41" s="66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7"/>
      <c r="R41" s="667"/>
      <c r="S41" s="667"/>
      <c r="T41" s="66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8" t="s">
        <v>120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4"/>
      <c r="AB44" s="54"/>
      <c r="AC44" s="54"/>
    </row>
    <row r="45" spans="1:68" ht="16.5" hidden="1" customHeight="1" x14ac:dyDescent="0.25">
      <c r="A45" s="663" t="s">
        <v>121</v>
      </c>
      <c r="B45" s="663"/>
      <c r="C45" s="663"/>
      <c r="D45" s="663"/>
      <c r="E45" s="663"/>
      <c r="F45" s="663"/>
      <c r="G45" s="663"/>
      <c r="H45" s="663"/>
      <c r="I45" s="663"/>
      <c r="J45" s="663"/>
      <c r="K45" s="663"/>
      <c r="L45" s="663"/>
      <c r="M45" s="663"/>
      <c r="N45" s="663"/>
      <c r="O45" s="663"/>
      <c r="P45" s="663"/>
      <c r="Q45" s="663"/>
      <c r="R45" s="663"/>
      <c r="S45" s="663"/>
      <c r="T45" s="663"/>
      <c r="U45" s="663"/>
      <c r="V45" s="663"/>
      <c r="W45" s="663"/>
      <c r="X45" s="663"/>
      <c r="Y45" s="663"/>
      <c r="Z45" s="663"/>
      <c r="AA45" s="65"/>
      <c r="AB45" s="65"/>
      <c r="AC45" s="79"/>
    </row>
    <row r="46" spans="1:68" ht="14.25" hidden="1" customHeight="1" x14ac:dyDescent="0.25">
      <c r="A46" s="664" t="s">
        <v>122</v>
      </c>
      <c r="B46" s="664"/>
      <c r="C46" s="664"/>
      <c r="D46" s="664"/>
      <c r="E46" s="664"/>
      <c r="F46" s="664"/>
      <c r="G46" s="664"/>
      <c r="H46" s="664"/>
      <c r="I46" s="664"/>
      <c r="J46" s="664"/>
      <c r="K46" s="664"/>
      <c r="L46" s="664"/>
      <c r="M46" s="664"/>
      <c r="N46" s="664"/>
      <c r="O46" s="664"/>
      <c r="P46" s="664"/>
      <c r="Q46" s="664"/>
      <c r="R46" s="664"/>
      <c r="S46" s="664"/>
      <c r="T46" s="664"/>
      <c r="U46" s="664"/>
      <c r="V46" s="664"/>
      <c r="W46" s="664"/>
      <c r="X46" s="664"/>
      <c r="Y46" s="664"/>
      <c r="Z46" s="664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65">
        <v>4607091385670</v>
      </c>
      <c r="E47" s="66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4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7"/>
      <c r="R47" s="667"/>
      <c r="S47" s="667"/>
      <c r="T47" s="668"/>
      <c r="U47" s="39" t="s">
        <v>46</v>
      </c>
      <c r="V47" s="39" t="s">
        <v>46</v>
      </c>
      <c r="W47" s="40" t="s">
        <v>0</v>
      </c>
      <c r="X47" s="58">
        <v>108</v>
      </c>
      <c r="Y47" s="55">
        <f>IFERROR(IF(X47="",0,CEILING((X47/$H47),1)*$H47),"")</f>
        <v>108</v>
      </c>
      <c r="Z47" s="41">
        <f>IFERROR(IF(Y47=0,"",ROUNDUP(Y47/H47,0)*0.01898),"")</f>
        <v>0.1898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112.1</v>
      </c>
      <c r="BN47" s="78">
        <f>IFERROR(Y47*I47/H47,"0")</f>
        <v>112.1</v>
      </c>
      <c r="BO47" s="78">
        <f>IFERROR(1/J47*(X47/H47),"0")</f>
        <v>0.15625</v>
      </c>
      <c r="BP47" s="78">
        <f>IFERROR(1/J47*(Y47/H47),"0")</f>
        <v>0.15625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65">
        <v>4680115887725</v>
      </c>
      <c r="E48" s="66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7"/>
      <c r="R48" s="667"/>
      <c r="S48" s="667"/>
      <c r="T48" s="66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65">
        <v>4607091385687</v>
      </c>
      <c r="E49" s="66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7"/>
      <c r="R49" s="667"/>
      <c r="S49" s="667"/>
      <c r="T49" s="66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65">
        <v>4680115882539</v>
      </c>
      <c r="E50" s="66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7"/>
      <c r="R50" s="667"/>
      <c r="S50" s="667"/>
      <c r="T50" s="66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10</v>
      </c>
      <c r="Y51" s="43">
        <f>IFERROR(Y47/H47,"0")+IFERROR(Y48/H48,"0")+IFERROR(Y49/H49,"0")+IFERROR(Y50/H50,"0")</f>
        <v>10</v>
      </c>
      <c r="Z51" s="43">
        <f>IFERROR(IF(Z47="",0,Z47),"0")+IFERROR(IF(Z48="",0,Z48),"0")+IFERROR(IF(Z49="",0,Z49),"0")+IFERROR(IF(Z50="",0,Z50),"0")</f>
        <v>0.1898</v>
      </c>
      <c r="AA51" s="67"/>
      <c r="AB51" s="67"/>
      <c r="AC51" s="67"/>
    </row>
    <row r="52" spans="1:68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108</v>
      </c>
      <c r="Y52" s="43">
        <f>IFERROR(SUM(Y47:Y50),"0")</f>
        <v>108</v>
      </c>
      <c r="Z52" s="42"/>
      <c r="AA52" s="67"/>
      <c r="AB52" s="67"/>
      <c r="AC52" s="67"/>
    </row>
    <row r="53" spans="1:68" ht="16.5" hidden="1" customHeight="1" x14ac:dyDescent="0.25">
      <c r="A53" s="663" t="s">
        <v>137</v>
      </c>
      <c r="B53" s="663"/>
      <c r="C53" s="663"/>
      <c r="D53" s="663"/>
      <c r="E53" s="663"/>
      <c r="F53" s="663"/>
      <c r="G53" s="663"/>
      <c r="H53" s="663"/>
      <c r="I53" s="663"/>
      <c r="J53" s="663"/>
      <c r="K53" s="663"/>
      <c r="L53" s="663"/>
      <c r="M53" s="663"/>
      <c r="N53" s="663"/>
      <c r="O53" s="663"/>
      <c r="P53" s="663"/>
      <c r="Q53" s="663"/>
      <c r="R53" s="663"/>
      <c r="S53" s="663"/>
      <c r="T53" s="663"/>
      <c r="U53" s="663"/>
      <c r="V53" s="663"/>
      <c r="W53" s="663"/>
      <c r="X53" s="663"/>
      <c r="Y53" s="663"/>
      <c r="Z53" s="663"/>
      <c r="AA53" s="65"/>
      <c r="AB53" s="65"/>
      <c r="AC53" s="79"/>
    </row>
    <row r="54" spans="1:68" ht="14.25" hidden="1" customHeight="1" x14ac:dyDescent="0.25">
      <c r="A54" s="664" t="s">
        <v>122</v>
      </c>
      <c r="B54" s="664"/>
      <c r="C54" s="664"/>
      <c r="D54" s="664"/>
      <c r="E54" s="664"/>
      <c r="F54" s="664"/>
      <c r="G54" s="664"/>
      <c r="H54" s="664"/>
      <c r="I54" s="664"/>
      <c r="J54" s="664"/>
      <c r="K54" s="664"/>
      <c r="L54" s="664"/>
      <c r="M54" s="664"/>
      <c r="N54" s="664"/>
      <c r="O54" s="664"/>
      <c r="P54" s="664"/>
      <c r="Q54" s="664"/>
      <c r="R54" s="664"/>
      <c r="S54" s="664"/>
      <c r="T54" s="664"/>
      <c r="U54" s="664"/>
      <c r="V54" s="664"/>
      <c r="W54" s="664"/>
      <c r="X54" s="664"/>
      <c r="Y54" s="664"/>
      <c r="Z54" s="664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65">
        <v>4680115885882</v>
      </c>
      <c r="E55" s="66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4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7"/>
      <c r="R55" s="667"/>
      <c r="S55" s="667"/>
      <c r="T55" s="66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65">
        <v>4680115881426</v>
      </c>
      <c r="E56" s="66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7"/>
      <c r="R56" s="667"/>
      <c r="S56" s="667"/>
      <c r="T56" s="66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65">
        <v>4680115880283</v>
      </c>
      <c r="E57" s="66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7"/>
      <c r="R57" s="667"/>
      <c r="S57" s="667"/>
      <c r="T57" s="66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65">
        <v>4680115881525</v>
      </c>
      <c r="E58" s="66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7"/>
      <c r="R58" s="667"/>
      <c r="S58" s="667"/>
      <c r="T58" s="66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65">
        <v>4680115885899</v>
      </c>
      <c r="E59" s="66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3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7"/>
      <c r="R59" s="667"/>
      <c r="S59" s="667"/>
      <c r="T59" s="66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665">
        <v>4680115881419</v>
      </c>
      <c r="E60" s="66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7"/>
      <c r="R60" s="667"/>
      <c r="S60" s="667"/>
      <c r="T60" s="66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1"/>
      <c r="B61" s="661"/>
      <c r="C61" s="661"/>
      <c r="D61" s="661"/>
      <c r="E61" s="661"/>
      <c r="F61" s="661"/>
      <c r="G61" s="661"/>
      <c r="H61" s="661"/>
      <c r="I61" s="661"/>
      <c r="J61" s="661"/>
      <c r="K61" s="661"/>
      <c r="L61" s="661"/>
      <c r="M61" s="661"/>
      <c r="N61" s="661"/>
      <c r="O61" s="662"/>
      <c r="P61" s="658" t="s">
        <v>40</v>
      </c>
      <c r="Q61" s="659"/>
      <c r="R61" s="659"/>
      <c r="S61" s="659"/>
      <c r="T61" s="659"/>
      <c r="U61" s="659"/>
      <c r="V61" s="660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64" t="s">
        <v>155</v>
      </c>
      <c r="B63" s="664"/>
      <c r="C63" s="664"/>
      <c r="D63" s="664"/>
      <c r="E63" s="664"/>
      <c r="F63" s="664"/>
      <c r="G63" s="664"/>
      <c r="H63" s="664"/>
      <c r="I63" s="664"/>
      <c r="J63" s="664"/>
      <c r="K63" s="664"/>
      <c r="L63" s="664"/>
      <c r="M63" s="664"/>
      <c r="N63" s="664"/>
      <c r="O63" s="664"/>
      <c r="P63" s="664"/>
      <c r="Q63" s="664"/>
      <c r="R63" s="664"/>
      <c r="S63" s="664"/>
      <c r="T63" s="664"/>
      <c r="U63" s="664"/>
      <c r="V63" s="664"/>
      <c r="W63" s="664"/>
      <c r="X63" s="664"/>
      <c r="Y63" s="664"/>
      <c r="Z63" s="664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665">
        <v>4680115881440</v>
      </c>
      <c r="E64" s="66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7"/>
      <c r="R64" s="667"/>
      <c r="S64" s="667"/>
      <c r="T64" s="66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65">
        <v>4680115885950</v>
      </c>
      <c r="E65" s="66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7"/>
      <c r="R65" s="667"/>
      <c r="S65" s="667"/>
      <c r="T65" s="66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65">
        <v>4680115887688</v>
      </c>
      <c r="E66" s="66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3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7"/>
      <c r="R66" s="667"/>
      <c r="S66" s="667"/>
      <c r="T66" s="66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665">
        <v>4680115881433</v>
      </c>
      <c r="E67" s="66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3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7"/>
      <c r="R67" s="667"/>
      <c r="S67" s="667"/>
      <c r="T67" s="668"/>
      <c r="U67" s="39" t="s">
        <v>46</v>
      </c>
      <c r="V67" s="39" t="s">
        <v>46</v>
      </c>
      <c r="W67" s="40" t="s">
        <v>0</v>
      </c>
      <c r="X67" s="58">
        <v>13.5</v>
      </c>
      <c r="Y67" s="55">
        <f>IFERROR(IF(X67="",0,CEILING((X67/$H67),1)*$H67),"")</f>
        <v>13.5</v>
      </c>
      <c r="Z67" s="41">
        <f>IFERROR(IF(Y67=0,"",ROUNDUP(Y67/H67,0)*0.00651),"")</f>
        <v>3.2550000000000003E-2</v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14.399999999999997</v>
      </c>
      <c r="BN67" s="78">
        <f>IFERROR(Y67*I67/H67,"0")</f>
        <v>14.399999999999997</v>
      </c>
      <c r="BO67" s="78">
        <f>IFERROR(1/J67*(X67/H67),"0")</f>
        <v>2.7472527472527476E-2</v>
      </c>
      <c r="BP67" s="78">
        <f>IFERROR(1/J67*(Y67/H67),"0")</f>
        <v>2.7472527472527476E-2</v>
      </c>
    </row>
    <row r="68" spans="1:68" x14ac:dyDescent="0.2">
      <c r="A68" s="661"/>
      <c r="B68" s="661"/>
      <c r="C68" s="661"/>
      <c r="D68" s="661"/>
      <c r="E68" s="661"/>
      <c r="F68" s="661"/>
      <c r="G68" s="661"/>
      <c r="H68" s="661"/>
      <c r="I68" s="661"/>
      <c r="J68" s="661"/>
      <c r="K68" s="661"/>
      <c r="L68" s="661"/>
      <c r="M68" s="661"/>
      <c r="N68" s="661"/>
      <c r="O68" s="662"/>
      <c r="P68" s="658" t="s">
        <v>40</v>
      </c>
      <c r="Q68" s="659"/>
      <c r="R68" s="659"/>
      <c r="S68" s="659"/>
      <c r="T68" s="659"/>
      <c r="U68" s="659"/>
      <c r="V68" s="660"/>
      <c r="W68" s="42" t="s">
        <v>39</v>
      </c>
      <c r="X68" s="43">
        <f>IFERROR(X64/H64,"0")+IFERROR(X65/H65,"0")+IFERROR(X66/H66,"0")+IFERROR(X67/H67,"0")</f>
        <v>5</v>
      </c>
      <c r="Y68" s="43">
        <f>IFERROR(Y64/H64,"0")+IFERROR(Y65/H65,"0")+IFERROR(Y66/H66,"0")+IFERROR(Y67/H67,"0")</f>
        <v>5</v>
      </c>
      <c r="Z68" s="43">
        <f>IFERROR(IF(Z64="",0,Z64),"0")+IFERROR(IF(Z65="",0,Z65),"0")+IFERROR(IF(Z66="",0,Z66),"0")+IFERROR(IF(Z67="",0,Z67),"0")</f>
        <v>3.2550000000000003E-2</v>
      </c>
      <c r="AA68" s="67"/>
      <c r="AB68" s="67"/>
      <c r="AC68" s="67"/>
    </row>
    <row r="69" spans="1:68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0</v>
      </c>
      <c r="X69" s="43">
        <f>IFERROR(SUM(X64:X67),"0")</f>
        <v>13.5</v>
      </c>
      <c r="Y69" s="43">
        <f>IFERROR(SUM(Y64:Y67),"0")</f>
        <v>13.5</v>
      </c>
      <c r="Z69" s="42"/>
      <c r="AA69" s="67"/>
      <c r="AB69" s="67"/>
      <c r="AC69" s="67"/>
    </row>
    <row r="70" spans="1:68" ht="14.25" hidden="1" customHeight="1" x14ac:dyDescent="0.25">
      <c r="A70" s="664" t="s">
        <v>86</v>
      </c>
      <c r="B70" s="664"/>
      <c r="C70" s="664"/>
      <c r="D70" s="664"/>
      <c r="E70" s="664"/>
      <c r="F70" s="664"/>
      <c r="G70" s="664"/>
      <c r="H70" s="664"/>
      <c r="I70" s="664"/>
      <c r="J70" s="664"/>
      <c r="K70" s="664"/>
      <c r="L70" s="664"/>
      <c r="M70" s="664"/>
      <c r="N70" s="664"/>
      <c r="O70" s="664"/>
      <c r="P70" s="664"/>
      <c r="Q70" s="664"/>
      <c r="R70" s="664"/>
      <c r="S70" s="664"/>
      <c r="T70" s="664"/>
      <c r="U70" s="664"/>
      <c r="V70" s="664"/>
      <c r="W70" s="664"/>
      <c r="X70" s="664"/>
      <c r="Y70" s="664"/>
      <c r="Z70" s="664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65">
        <v>4680115884311</v>
      </c>
      <c r="E71" s="66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2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7"/>
      <c r="R71" s="667"/>
      <c r="S71" s="667"/>
      <c r="T71" s="66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customHeight="1" x14ac:dyDescent="0.25">
      <c r="A72" s="63" t="s">
        <v>169</v>
      </c>
      <c r="B72" s="63" t="s">
        <v>170</v>
      </c>
      <c r="C72" s="36">
        <v>4301051929</v>
      </c>
      <c r="D72" s="665">
        <v>4680115884403</v>
      </c>
      <c r="E72" s="66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7"/>
      <c r="R72" s="667"/>
      <c r="S72" s="667"/>
      <c r="T72" s="668"/>
      <c r="U72" s="39" t="s">
        <v>46</v>
      </c>
      <c r="V72" s="39" t="s">
        <v>46</v>
      </c>
      <c r="W72" s="40" t="s">
        <v>0</v>
      </c>
      <c r="X72" s="58">
        <v>1.8</v>
      </c>
      <c r="Y72" s="55">
        <f>IFERROR(IF(X72="",0,CEILING((X72/$H72),1)*$H72),"")</f>
        <v>1.8</v>
      </c>
      <c r="Z72" s="41">
        <f>IFERROR(IF(Y72=0,"",ROUNDUP(Y72/H72,0)*0.00651),"")</f>
        <v>6.5100000000000002E-3</v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1.98</v>
      </c>
      <c r="BN72" s="78">
        <f>IFERROR(Y72*I72/H72,"0")</f>
        <v>1.98</v>
      </c>
      <c r="BO72" s="78">
        <f>IFERROR(1/J72*(X72/H72),"0")</f>
        <v>5.4945054945054949E-3</v>
      </c>
      <c r="BP72" s="78">
        <f>IFERROR(1/J72*(Y72/H72),"0")</f>
        <v>5.4945054945054949E-3</v>
      </c>
    </row>
    <row r="73" spans="1:68" ht="27" customHeight="1" x14ac:dyDescent="0.25">
      <c r="A73" s="63" t="s">
        <v>169</v>
      </c>
      <c r="B73" s="63" t="s">
        <v>172</v>
      </c>
      <c r="C73" s="36">
        <v>4301052083</v>
      </c>
      <c r="D73" s="665">
        <v>4680115884403</v>
      </c>
      <c r="E73" s="66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2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7"/>
      <c r="R73" s="667"/>
      <c r="S73" s="667"/>
      <c r="T73" s="668"/>
      <c r="U73" s="39" t="s">
        <v>46</v>
      </c>
      <c r="V73" s="39" t="s">
        <v>46</v>
      </c>
      <c r="W73" s="40" t="s">
        <v>0</v>
      </c>
      <c r="X73" s="58">
        <v>1.8</v>
      </c>
      <c r="Y73" s="55">
        <f>IFERROR(IF(X73="",0,CEILING((X73/$H73),1)*$H73),"")</f>
        <v>1.8</v>
      </c>
      <c r="Z73" s="41">
        <f>IFERROR(IF(Y73=0,"",ROUNDUP(Y73/H73,0)*0.00651),"")</f>
        <v>6.5100000000000002E-3</v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1.98</v>
      </c>
      <c r="BN73" s="78">
        <f>IFERROR(Y73*I73/H73,"0")</f>
        <v>1.98</v>
      </c>
      <c r="BO73" s="78">
        <f>IFERROR(1/J73*(X73/H73),"0")</f>
        <v>5.4945054945054949E-3</v>
      </c>
      <c r="BP73" s="78">
        <f>IFERROR(1/J73*(Y73/H73),"0")</f>
        <v>5.4945054945054949E-3</v>
      </c>
    </row>
    <row r="74" spans="1:68" x14ac:dyDescent="0.2">
      <c r="A74" s="661"/>
      <c r="B74" s="661"/>
      <c r="C74" s="661"/>
      <c r="D74" s="661"/>
      <c r="E74" s="661"/>
      <c r="F74" s="661"/>
      <c r="G74" s="661"/>
      <c r="H74" s="661"/>
      <c r="I74" s="661"/>
      <c r="J74" s="661"/>
      <c r="K74" s="661"/>
      <c r="L74" s="661"/>
      <c r="M74" s="661"/>
      <c r="N74" s="661"/>
      <c r="O74" s="662"/>
      <c r="P74" s="658" t="s">
        <v>40</v>
      </c>
      <c r="Q74" s="659"/>
      <c r="R74" s="659"/>
      <c r="S74" s="659"/>
      <c r="T74" s="659"/>
      <c r="U74" s="659"/>
      <c r="V74" s="660"/>
      <c r="W74" s="42" t="s">
        <v>39</v>
      </c>
      <c r="X74" s="43">
        <f>IFERROR(X71/H71,"0")+IFERROR(X72/H72,"0")+IFERROR(X73/H73,"0")</f>
        <v>2</v>
      </c>
      <c r="Y74" s="43">
        <f>IFERROR(Y71/H71,"0")+IFERROR(Y72/H72,"0")+IFERROR(Y73/H73,"0")</f>
        <v>2</v>
      </c>
      <c r="Z74" s="43">
        <f>IFERROR(IF(Z71="",0,Z71),"0")+IFERROR(IF(Z72="",0,Z72),"0")+IFERROR(IF(Z73="",0,Z73),"0")</f>
        <v>1.302E-2</v>
      </c>
      <c r="AA74" s="67"/>
      <c r="AB74" s="67"/>
      <c r="AC74" s="67"/>
    </row>
    <row r="75" spans="1:68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0</v>
      </c>
      <c r="X75" s="43">
        <f>IFERROR(SUM(X71:X73),"0")</f>
        <v>3.6</v>
      </c>
      <c r="Y75" s="43">
        <f>IFERROR(SUM(Y71:Y73),"0")</f>
        <v>3.6</v>
      </c>
      <c r="Z75" s="42"/>
      <c r="AA75" s="67"/>
      <c r="AB75" s="67"/>
      <c r="AC75" s="67"/>
    </row>
    <row r="76" spans="1:68" ht="14.25" hidden="1" customHeight="1" x14ac:dyDescent="0.25">
      <c r="A76" s="664" t="s">
        <v>173</v>
      </c>
      <c r="B76" s="664"/>
      <c r="C76" s="664"/>
      <c r="D76" s="664"/>
      <c r="E76" s="664"/>
      <c r="F76" s="664"/>
      <c r="G76" s="664"/>
      <c r="H76" s="664"/>
      <c r="I76" s="664"/>
      <c r="J76" s="664"/>
      <c r="K76" s="664"/>
      <c r="L76" s="664"/>
      <c r="M76" s="664"/>
      <c r="N76" s="664"/>
      <c r="O76" s="664"/>
      <c r="P76" s="664"/>
      <c r="Q76" s="664"/>
      <c r="R76" s="664"/>
      <c r="S76" s="664"/>
      <c r="T76" s="664"/>
      <c r="U76" s="664"/>
      <c r="V76" s="664"/>
      <c r="W76" s="664"/>
      <c r="X76" s="664"/>
      <c r="Y76" s="664"/>
      <c r="Z76" s="664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665">
        <v>4680115881532</v>
      </c>
      <c r="E77" s="66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2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7"/>
      <c r="R77" s="667"/>
      <c r="S77" s="667"/>
      <c r="T77" s="668"/>
      <c r="U77" s="39" t="s">
        <v>46</v>
      </c>
      <c r="V77" s="39" t="s">
        <v>46</v>
      </c>
      <c r="W77" s="40" t="s">
        <v>0</v>
      </c>
      <c r="X77" s="58">
        <v>23.4</v>
      </c>
      <c r="Y77" s="55">
        <f>IFERROR(IF(X77="",0,CEILING((X77/$H77),1)*$H77),"")</f>
        <v>23.4</v>
      </c>
      <c r="Z77" s="41">
        <f>IFERROR(IF(Y77=0,"",ROUNDUP(Y77/H77,0)*0.01898),"")</f>
        <v>5.6940000000000004E-2</v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24.630000000000003</v>
      </c>
      <c r="BN77" s="78">
        <f>IFERROR(Y77*I77/H77,"0")</f>
        <v>24.630000000000003</v>
      </c>
      <c r="BO77" s="78">
        <f>IFERROR(1/J77*(X77/H77),"0")</f>
        <v>4.6875E-2</v>
      </c>
      <c r="BP77" s="78">
        <f>IFERROR(1/J77*(Y77/H77),"0")</f>
        <v>4.6875E-2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65">
        <v>4680115881532</v>
      </c>
      <c r="E78" s="66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3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7"/>
      <c r="R78" s="667"/>
      <c r="S78" s="667"/>
      <c r="T78" s="66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65">
        <v>4680115881464</v>
      </c>
      <c r="E79" s="66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2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7"/>
      <c r="R79" s="667"/>
      <c r="S79" s="667"/>
      <c r="T79" s="66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65">
        <v>4680115881464</v>
      </c>
      <c r="E80" s="66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7"/>
      <c r="R80" s="667"/>
      <c r="S80" s="667"/>
      <c r="T80" s="66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IFERROR(X77/H77,"0")+IFERROR(X78/H78,"0")+IFERROR(X79/H79,"0")+IFERROR(X80/H80,"0")</f>
        <v>3</v>
      </c>
      <c r="Y81" s="43">
        <f>IFERROR(Y77/H77,"0")+IFERROR(Y78/H78,"0")+IFERROR(Y79/H79,"0")+IFERROR(Y80/H80,"0")</f>
        <v>3</v>
      </c>
      <c r="Z81" s="43">
        <f>IFERROR(IF(Z77="",0,Z77),"0")+IFERROR(IF(Z78="",0,Z78),"0")+IFERROR(IF(Z79="",0,Z79),"0")+IFERROR(IF(Z80="",0,Z80),"0")</f>
        <v>5.6940000000000004E-2</v>
      </c>
      <c r="AA81" s="67"/>
      <c r="AB81" s="67"/>
      <c r="AC81" s="67"/>
    </row>
    <row r="82" spans="1:68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IFERROR(SUM(X77:X80),"0")</f>
        <v>23.4</v>
      </c>
      <c r="Y82" s="43">
        <f>IFERROR(SUM(Y77:Y80),"0")</f>
        <v>23.4</v>
      </c>
      <c r="Z82" s="42"/>
      <c r="AA82" s="67"/>
      <c r="AB82" s="67"/>
      <c r="AC82" s="67"/>
    </row>
    <row r="83" spans="1:68" ht="16.5" hidden="1" customHeight="1" x14ac:dyDescent="0.25">
      <c r="A83" s="663" t="s">
        <v>182</v>
      </c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3"/>
      <c r="P83" s="663"/>
      <c r="Q83" s="663"/>
      <c r="R83" s="663"/>
      <c r="S83" s="663"/>
      <c r="T83" s="663"/>
      <c r="U83" s="663"/>
      <c r="V83" s="663"/>
      <c r="W83" s="663"/>
      <c r="X83" s="663"/>
      <c r="Y83" s="663"/>
      <c r="Z83" s="663"/>
      <c r="AA83" s="65"/>
      <c r="AB83" s="65"/>
      <c r="AC83" s="79"/>
    </row>
    <row r="84" spans="1:68" ht="14.25" hidden="1" customHeight="1" x14ac:dyDescent="0.25">
      <c r="A84" s="664" t="s">
        <v>122</v>
      </c>
      <c r="B84" s="664"/>
      <c r="C84" s="664"/>
      <c r="D84" s="664"/>
      <c r="E84" s="664"/>
      <c r="F84" s="664"/>
      <c r="G84" s="664"/>
      <c r="H84" s="664"/>
      <c r="I84" s="664"/>
      <c r="J84" s="664"/>
      <c r="K84" s="664"/>
      <c r="L84" s="664"/>
      <c r="M84" s="664"/>
      <c r="N84" s="664"/>
      <c r="O84" s="664"/>
      <c r="P84" s="664"/>
      <c r="Q84" s="664"/>
      <c r="R84" s="664"/>
      <c r="S84" s="664"/>
      <c r="T84" s="664"/>
      <c r="U84" s="664"/>
      <c r="V84" s="664"/>
      <c r="W84" s="664"/>
      <c r="X84" s="664"/>
      <c r="Y84" s="664"/>
      <c r="Z84" s="664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665">
        <v>4680115881327</v>
      </c>
      <c r="E85" s="66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2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7"/>
      <c r="R85" s="667"/>
      <c r="S85" s="667"/>
      <c r="T85" s="66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65">
        <v>4680115887732</v>
      </c>
      <c r="E86" s="66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2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7"/>
      <c r="R86" s="667"/>
      <c r="S86" s="667"/>
      <c r="T86" s="66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65">
        <v>4680115887732</v>
      </c>
      <c r="E87" s="66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24" t="s">
        <v>190</v>
      </c>
      <c r="Q87" s="667"/>
      <c r="R87" s="667"/>
      <c r="S87" s="667"/>
      <c r="T87" s="66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65">
        <v>4680115881518</v>
      </c>
      <c r="E88" s="66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2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7"/>
      <c r="R88" s="667"/>
      <c r="S88" s="667"/>
      <c r="T88" s="66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665">
        <v>4680115881303</v>
      </c>
      <c r="E89" s="66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1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7"/>
      <c r="R89" s="667"/>
      <c r="S89" s="667"/>
      <c r="T89" s="66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64" t="s">
        <v>86</v>
      </c>
      <c r="B92" s="664"/>
      <c r="C92" s="664"/>
      <c r="D92" s="664"/>
      <c r="E92" s="664"/>
      <c r="F92" s="664"/>
      <c r="G92" s="664"/>
      <c r="H92" s="664"/>
      <c r="I92" s="664"/>
      <c r="J92" s="664"/>
      <c r="K92" s="664"/>
      <c r="L92" s="664"/>
      <c r="M92" s="664"/>
      <c r="N92" s="664"/>
      <c r="O92" s="664"/>
      <c r="P92" s="664"/>
      <c r="Q92" s="664"/>
      <c r="R92" s="664"/>
      <c r="S92" s="664"/>
      <c r="T92" s="664"/>
      <c r="U92" s="664"/>
      <c r="V92" s="664"/>
      <c r="W92" s="664"/>
      <c r="X92" s="664"/>
      <c r="Y92" s="664"/>
      <c r="Z92" s="664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665">
        <v>4607091386967</v>
      </c>
      <c r="E93" s="66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7"/>
      <c r="R93" s="667"/>
      <c r="S93" s="667"/>
      <c r="T93" s="668"/>
      <c r="U93" s="39" t="s">
        <v>46</v>
      </c>
      <c r="V93" s="39" t="s">
        <v>46</v>
      </c>
      <c r="W93" s="40" t="s">
        <v>0</v>
      </c>
      <c r="X93" s="58">
        <v>81</v>
      </c>
      <c r="Y93" s="55">
        <f t="shared" ref="Y93:Y98" si="5">IFERROR(IF(X93="",0,CEILING((X93/$H93),1)*$H93),"")</f>
        <v>81</v>
      </c>
      <c r="Z93" s="41">
        <f>IFERROR(IF(Y93=0,"",ROUNDUP(Y93/H93,0)*0.01898),"")</f>
        <v>0.1898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8" si="6">IFERROR(X93*I93/H93,"0")</f>
        <v>85.94</v>
      </c>
      <c r="BN93" s="78">
        <f t="shared" ref="BN93:BN98" si="7">IFERROR(Y93*I93/H93,"0")</f>
        <v>85.94</v>
      </c>
      <c r="BO93" s="78">
        <f t="shared" ref="BO93:BO98" si="8">IFERROR(1/J93*(X93/H93),"0")</f>
        <v>0.15625</v>
      </c>
      <c r="BP93" s="78">
        <f t="shared" ref="BP93:BP98" si="9">IFERROR(1/J93*(Y93/H93),"0")</f>
        <v>0.15625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65">
        <v>4607091386967</v>
      </c>
      <c r="E94" s="66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15" t="s">
        <v>199</v>
      </c>
      <c r="Q94" s="667"/>
      <c r="R94" s="667"/>
      <c r="S94" s="667"/>
      <c r="T94" s="66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65">
        <v>4680115884953</v>
      </c>
      <c r="E95" s="66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1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7"/>
      <c r="R95" s="667"/>
      <c r="S95" s="667"/>
      <c r="T95" s="66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4301051718</v>
      </c>
      <c r="D96" s="665">
        <v>4607091385731</v>
      </c>
      <c r="E96" s="66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9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7"/>
      <c r="R96" s="667"/>
      <c r="S96" s="667"/>
      <c r="T96" s="66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197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202</v>
      </c>
      <c r="B97" s="63" t="s">
        <v>204</v>
      </c>
      <c r="C97" s="36">
        <v>4301052094</v>
      </c>
      <c r="D97" s="665">
        <v>4607091385731</v>
      </c>
      <c r="E97" s="66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18" t="s">
        <v>205</v>
      </c>
      <c r="Q97" s="667"/>
      <c r="R97" s="667"/>
      <c r="S97" s="667"/>
      <c r="T97" s="66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665">
        <v>4680115880894</v>
      </c>
      <c r="E98" s="66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7"/>
      <c r="R98" s="667"/>
      <c r="S98" s="667"/>
      <c r="T98" s="668"/>
      <c r="U98" s="39" t="s">
        <v>46</v>
      </c>
      <c r="V98" s="39" t="s">
        <v>46</v>
      </c>
      <c r="W98" s="40" t="s">
        <v>0</v>
      </c>
      <c r="X98" s="58">
        <v>3.96</v>
      </c>
      <c r="Y98" s="55">
        <f t="shared" si="5"/>
        <v>3.96</v>
      </c>
      <c r="Z98" s="41">
        <f>IFERROR(IF(Y98=0,"",ROUNDUP(Y98/H98,0)*0.00651),"")</f>
        <v>1.302E-2</v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4.476</v>
      </c>
      <c r="BN98" s="78">
        <f t="shared" si="7"/>
        <v>4.476</v>
      </c>
      <c r="BO98" s="78">
        <f t="shared" si="8"/>
        <v>1.098901098901099E-2</v>
      </c>
      <c r="BP98" s="78">
        <f t="shared" si="9"/>
        <v>1.098901098901099E-2</v>
      </c>
    </row>
    <row r="99" spans="1:68" x14ac:dyDescent="0.2">
      <c r="A99" s="661"/>
      <c r="B99" s="661"/>
      <c r="C99" s="661"/>
      <c r="D99" s="661"/>
      <c r="E99" s="661"/>
      <c r="F99" s="661"/>
      <c r="G99" s="661"/>
      <c r="H99" s="661"/>
      <c r="I99" s="661"/>
      <c r="J99" s="661"/>
      <c r="K99" s="661"/>
      <c r="L99" s="661"/>
      <c r="M99" s="661"/>
      <c r="N99" s="661"/>
      <c r="O99" s="662"/>
      <c r="P99" s="658" t="s">
        <v>40</v>
      </c>
      <c r="Q99" s="659"/>
      <c r="R99" s="659"/>
      <c r="S99" s="659"/>
      <c r="T99" s="659"/>
      <c r="U99" s="659"/>
      <c r="V99" s="660"/>
      <c r="W99" s="42" t="s">
        <v>39</v>
      </c>
      <c r="X99" s="43">
        <f>IFERROR(X93/H93,"0")+IFERROR(X94/H94,"0")+IFERROR(X95/H95,"0")+IFERROR(X96/H96,"0")+IFERROR(X97/H97,"0")+IFERROR(X98/H98,"0")</f>
        <v>12</v>
      </c>
      <c r="Y99" s="43">
        <f>IFERROR(Y93/H93,"0")+IFERROR(Y94/H94,"0")+IFERROR(Y95/H95,"0")+IFERROR(Y96/H96,"0")+IFERROR(Y97/H97,"0")+IFERROR(Y98/H98,"0")</f>
        <v>12</v>
      </c>
      <c r="Z99" s="43">
        <f>IFERROR(IF(Z93="",0,Z93),"0")+IFERROR(IF(Z94="",0,Z94),"0")+IFERROR(IF(Z95="",0,Z95),"0")+IFERROR(IF(Z96="",0,Z96),"0")+IFERROR(IF(Z97="",0,Z97),"0")+IFERROR(IF(Z98="",0,Z98),"0")</f>
        <v>0.20282</v>
      </c>
      <c r="AA99" s="67"/>
      <c r="AB99" s="67"/>
      <c r="AC99" s="67"/>
    </row>
    <row r="100" spans="1:68" x14ac:dyDescent="0.2">
      <c r="A100" s="661"/>
      <c r="B100" s="661"/>
      <c r="C100" s="661"/>
      <c r="D100" s="661"/>
      <c r="E100" s="661"/>
      <c r="F100" s="661"/>
      <c r="G100" s="661"/>
      <c r="H100" s="661"/>
      <c r="I100" s="661"/>
      <c r="J100" s="661"/>
      <c r="K100" s="661"/>
      <c r="L100" s="661"/>
      <c r="M100" s="661"/>
      <c r="N100" s="661"/>
      <c r="O100" s="662"/>
      <c r="P100" s="658" t="s">
        <v>40</v>
      </c>
      <c r="Q100" s="659"/>
      <c r="R100" s="659"/>
      <c r="S100" s="659"/>
      <c r="T100" s="659"/>
      <c r="U100" s="659"/>
      <c r="V100" s="660"/>
      <c r="W100" s="42" t="s">
        <v>0</v>
      </c>
      <c r="X100" s="43">
        <f>IFERROR(SUM(X93:X98),"0")</f>
        <v>84.96</v>
      </c>
      <c r="Y100" s="43">
        <f>IFERROR(SUM(Y93:Y98),"0")</f>
        <v>84.96</v>
      </c>
      <c r="Z100" s="42"/>
      <c r="AA100" s="67"/>
      <c r="AB100" s="67"/>
      <c r="AC100" s="67"/>
    </row>
    <row r="101" spans="1:68" ht="16.5" hidden="1" customHeight="1" x14ac:dyDescent="0.25">
      <c r="A101" s="663" t="s">
        <v>209</v>
      </c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3"/>
      <c r="P101" s="663"/>
      <c r="Q101" s="663"/>
      <c r="R101" s="663"/>
      <c r="S101" s="663"/>
      <c r="T101" s="663"/>
      <c r="U101" s="663"/>
      <c r="V101" s="663"/>
      <c r="W101" s="663"/>
      <c r="X101" s="663"/>
      <c r="Y101" s="663"/>
      <c r="Z101" s="663"/>
      <c r="AA101" s="65"/>
      <c r="AB101" s="65"/>
      <c r="AC101" s="79"/>
    </row>
    <row r="102" spans="1:68" ht="14.25" hidden="1" customHeight="1" x14ac:dyDescent="0.25">
      <c r="A102" s="664" t="s">
        <v>122</v>
      </c>
      <c r="B102" s="664"/>
      <c r="C102" s="664"/>
      <c r="D102" s="664"/>
      <c r="E102" s="664"/>
      <c r="F102" s="664"/>
      <c r="G102" s="664"/>
      <c r="H102" s="664"/>
      <c r="I102" s="664"/>
      <c r="J102" s="664"/>
      <c r="K102" s="664"/>
      <c r="L102" s="664"/>
      <c r="M102" s="664"/>
      <c r="N102" s="664"/>
      <c r="O102" s="664"/>
      <c r="P102" s="664"/>
      <c r="Q102" s="664"/>
      <c r="R102" s="664"/>
      <c r="S102" s="664"/>
      <c r="T102" s="664"/>
      <c r="U102" s="664"/>
      <c r="V102" s="664"/>
      <c r="W102" s="664"/>
      <c r="X102" s="664"/>
      <c r="Y102" s="664"/>
      <c r="Z102" s="664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665">
        <v>4680115882133</v>
      </c>
      <c r="E103" s="66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90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7"/>
      <c r="R103" s="667"/>
      <c r="S103" s="667"/>
      <c r="T103" s="668"/>
      <c r="U103" s="39" t="s">
        <v>46</v>
      </c>
      <c r="V103" s="39" t="s">
        <v>46</v>
      </c>
      <c r="W103" s="40" t="s">
        <v>0</v>
      </c>
      <c r="X103" s="58">
        <v>32.4</v>
      </c>
      <c r="Y103" s="55">
        <f t="shared" ref="Y103:Y110" si="10">IFERROR(IF(X103="",0,CEILING((X103/$H103),1)*$H103),"")</f>
        <v>32.400000000000006</v>
      </c>
      <c r="Z103" s="41">
        <f>IFERROR(IF(Y103=0,"",ROUNDUP(Y103/H103,0)*0.01898),"")</f>
        <v>5.6940000000000004E-2</v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0" si="11">IFERROR(X103*I103/H103,"0")</f>
        <v>33.629999999999995</v>
      </c>
      <c r="BN103" s="78">
        <f t="shared" ref="BN103:BN110" si="12">IFERROR(Y103*I103/H103,"0")</f>
        <v>33.630000000000003</v>
      </c>
      <c r="BO103" s="78">
        <f t="shared" ref="BO103:BO110" si="13">IFERROR(1/J103*(X103/H103),"0")</f>
        <v>4.6874999999999993E-2</v>
      </c>
      <c r="BP103" s="78">
        <f t="shared" ref="BP103:BP110" si="14">IFERROR(1/J103*(Y103/H103),"0")</f>
        <v>4.6875000000000007E-2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665">
        <v>4680115887718</v>
      </c>
      <c r="E104" s="66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90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7"/>
      <c r="R104" s="667"/>
      <c r="S104" s="667"/>
      <c r="T104" s="66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665">
        <v>4680115887718</v>
      </c>
      <c r="E105" s="66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0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7"/>
      <c r="R105" s="667"/>
      <c r="S105" s="667"/>
      <c r="T105" s="66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213</v>
      </c>
      <c r="B106" s="63" t="s">
        <v>217</v>
      </c>
      <c r="C106" s="36">
        <v>4301012379</v>
      </c>
      <c r="D106" s="665">
        <v>4680115887718</v>
      </c>
      <c r="E106" s="66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1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7"/>
      <c r="R106" s="667"/>
      <c r="S106" s="667"/>
      <c r="T106" s="66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215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4301011417</v>
      </c>
      <c r="D107" s="665">
        <v>4680115880269</v>
      </c>
      <c r="E107" s="66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9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7"/>
      <c r="R107" s="667"/>
      <c r="S107" s="667"/>
      <c r="T107" s="66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4301011415</v>
      </c>
      <c r="D108" s="665">
        <v>4680115880429</v>
      </c>
      <c r="E108" s="66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7"/>
      <c r="R108" s="667"/>
      <c r="S108" s="667"/>
      <c r="T108" s="66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212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220</v>
      </c>
      <c r="B109" s="63" t="s">
        <v>222</v>
      </c>
      <c r="C109" s="36">
        <v>4301012254</v>
      </c>
      <c r="D109" s="665">
        <v>4680115880429</v>
      </c>
      <c r="E109" s="66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900" t="s">
        <v>223</v>
      </c>
      <c r="Q109" s="667"/>
      <c r="R109" s="667"/>
      <c r="S109" s="667"/>
      <c r="T109" s="66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224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225</v>
      </c>
      <c r="B110" s="63" t="s">
        <v>226</v>
      </c>
      <c r="C110" s="36">
        <v>4301011462</v>
      </c>
      <c r="D110" s="665">
        <v>4680115881457</v>
      </c>
      <c r="E110" s="66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7"/>
      <c r="R110" s="667"/>
      <c r="S110" s="667"/>
      <c r="T110" s="66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x14ac:dyDescent="0.2">
      <c r="A111" s="661"/>
      <c r="B111" s="661"/>
      <c r="C111" s="661"/>
      <c r="D111" s="661"/>
      <c r="E111" s="661"/>
      <c r="F111" s="661"/>
      <c r="G111" s="661"/>
      <c r="H111" s="661"/>
      <c r="I111" s="661"/>
      <c r="J111" s="661"/>
      <c r="K111" s="661"/>
      <c r="L111" s="661"/>
      <c r="M111" s="661"/>
      <c r="N111" s="661"/>
      <c r="O111" s="662"/>
      <c r="P111" s="658" t="s">
        <v>40</v>
      </c>
      <c r="Q111" s="659"/>
      <c r="R111" s="659"/>
      <c r="S111" s="659"/>
      <c r="T111" s="659"/>
      <c r="U111" s="659"/>
      <c r="V111" s="660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2.9999999999999996</v>
      </c>
      <c r="Y111" s="43">
        <f>IFERROR(Y103/H103,"0")+IFERROR(Y104/H104,"0")+IFERROR(Y105/H105,"0")+IFERROR(Y106/H106,"0")+IFERROR(Y107/H107,"0")+IFERROR(Y108/H108,"0")+IFERROR(Y109/H109,"0")+IFERROR(Y110/H110,"0")</f>
        <v>3.0000000000000004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5.6940000000000004E-2</v>
      </c>
      <c r="AA111" s="67"/>
      <c r="AB111" s="67"/>
      <c r="AC111" s="67"/>
    </row>
    <row r="112" spans="1:68" x14ac:dyDescent="0.2">
      <c r="A112" s="661"/>
      <c r="B112" s="661"/>
      <c r="C112" s="661"/>
      <c r="D112" s="661"/>
      <c r="E112" s="661"/>
      <c r="F112" s="661"/>
      <c r="G112" s="661"/>
      <c r="H112" s="661"/>
      <c r="I112" s="661"/>
      <c r="J112" s="661"/>
      <c r="K112" s="661"/>
      <c r="L112" s="661"/>
      <c r="M112" s="661"/>
      <c r="N112" s="661"/>
      <c r="O112" s="662"/>
      <c r="P112" s="658" t="s">
        <v>40</v>
      </c>
      <c r="Q112" s="659"/>
      <c r="R112" s="659"/>
      <c r="S112" s="659"/>
      <c r="T112" s="659"/>
      <c r="U112" s="659"/>
      <c r="V112" s="660"/>
      <c r="W112" s="42" t="s">
        <v>0</v>
      </c>
      <c r="X112" s="43">
        <f>IFERROR(SUM(X103:X110),"0")</f>
        <v>32.4</v>
      </c>
      <c r="Y112" s="43">
        <f>IFERROR(SUM(Y103:Y110),"0")</f>
        <v>32.400000000000006</v>
      </c>
      <c r="Z112" s="42"/>
      <c r="AA112" s="67"/>
      <c r="AB112" s="67"/>
      <c r="AC112" s="67"/>
    </row>
    <row r="113" spans="1:68" ht="14.25" hidden="1" customHeight="1" x14ac:dyDescent="0.25">
      <c r="A113" s="664" t="s">
        <v>155</v>
      </c>
      <c r="B113" s="664"/>
      <c r="C113" s="664"/>
      <c r="D113" s="664"/>
      <c r="E113" s="664"/>
      <c r="F113" s="664"/>
      <c r="G113" s="664"/>
      <c r="H113" s="664"/>
      <c r="I113" s="664"/>
      <c r="J113" s="664"/>
      <c r="K113" s="664"/>
      <c r="L113" s="664"/>
      <c r="M113" s="664"/>
      <c r="N113" s="664"/>
      <c r="O113" s="664"/>
      <c r="P113" s="664"/>
      <c r="Q113" s="664"/>
      <c r="R113" s="664"/>
      <c r="S113" s="664"/>
      <c r="T113" s="664"/>
      <c r="U113" s="664"/>
      <c r="V113" s="664"/>
      <c r="W113" s="664"/>
      <c r="X113" s="664"/>
      <c r="Y113" s="664"/>
      <c r="Z113" s="664"/>
      <c r="AA113" s="66"/>
      <c r="AB113" s="66"/>
      <c r="AC113" s="80"/>
    </row>
    <row r="114" spans="1:68" ht="27" hidden="1" customHeight="1" x14ac:dyDescent="0.25">
      <c r="A114" s="63" t="s">
        <v>227</v>
      </c>
      <c r="B114" s="63" t="s">
        <v>228</v>
      </c>
      <c r="C114" s="36">
        <v>4301020391</v>
      </c>
      <c r="D114" s="665">
        <v>4680115881488</v>
      </c>
      <c r="E114" s="66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127</v>
      </c>
      <c r="L114" s="37" t="s">
        <v>46</v>
      </c>
      <c r="M114" s="38" t="s">
        <v>126</v>
      </c>
      <c r="N114" s="38"/>
      <c r="O114" s="37">
        <v>55</v>
      </c>
      <c r="P114" s="90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7"/>
      <c r="R114" s="667"/>
      <c r="S114" s="667"/>
      <c r="T114" s="66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229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4301020186</v>
      </c>
      <c r="D115" s="665">
        <v>4680115887664</v>
      </c>
      <c r="E115" s="66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90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7"/>
      <c r="R115" s="667"/>
      <c r="S115" s="667"/>
      <c r="T115" s="66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230</v>
      </c>
      <c r="B116" s="63" t="s">
        <v>234</v>
      </c>
      <c r="C116" s="36">
        <v>4301020430</v>
      </c>
      <c r="D116" s="665">
        <v>4680115887664</v>
      </c>
      <c r="E116" s="66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233</v>
      </c>
      <c r="L116" s="37" t="s">
        <v>46</v>
      </c>
      <c r="M116" s="38" t="s">
        <v>81</v>
      </c>
      <c r="N116" s="38"/>
      <c r="O116" s="37">
        <v>30</v>
      </c>
      <c r="P116" s="90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7"/>
      <c r="R116" s="667"/>
      <c r="S116" s="667"/>
      <c r="T116" s="66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235</v>
      </c>
      <c r="B117" s="63" t="s">
        <v>236</v>
      </c>
      <c r="C117" s="36">
        <v>4301020393</v>
      </c>
      <c r="D117" s="665">
        <v>4680115882775</v>
      </c>
      <c r="E117" s="66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90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7"/>
      <c r="R117" s="667"/>
      <c r="S117" s="667"/>
      <c r="T117" s="66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229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238</v>
      </c>
      <c r="C118" s="36">
        <v>4301020392</v>
      </c>
      <c r="D118" s="665">
        <v>4680115880658</v>
      </c>
      <c r="E118" s="66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90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7"/>
      <c r="R118" s="667"/>
      <c r="S118" s="667"/>
      <c r="T118" s="66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229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61"/>
      <c r="B119" s="661"/>
      <c r="C119" s="661"/>
      <c r="D119" s="661"/>
      <c r="E119" s="661"/>
      <c r="F119" s="661"/>
      <c r="G119" s="661"/>
      <c r="H119" s="661"/>
      <c r="I119" s="661"/>
      <c r="J119" s="661"/>
      <c r="K119" s="661"/>
      <c r="L119" s="661"/>
      <c r="M119" s="661"/>
      <c r="N119" s="661"/>
      <c r="O119" s="662"/>
      <c r="P119" s="658" t="s">
        <v>40</v>
      </c>
      <c r="Q119" s="659"/>
      <c r="R119" s="659"/>
      <c r="S119" s="659"/>
      <c r="T119" s="659"/>
      <c r="U119" s="659"/>
      <c r="V119" s="660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61"/>
      <c r="B120" s="661"/>
      <c r="C120" s="661"/>
      <c r="D120" s="661"/>
      <c r="E120" s="661"/>
      <c r="F120" s="661"/>
      <c r="G120" s="661"/>
      <c r="H120" s="661"/>
      <c r="I120" s="661"/>
      <c r="J120" s="661"/>
      <c r="K120" s="661"/>
      <c r="L120" s="661"/>
      <c r="M120" s="661"/>
      <c r="N120" s="661"/>
      <c r="O120" s="662"/>
      <c r="P120" s="658" t="s">
        <v>40</v>
      </c>
      <c r="Q120" s="659"/>
      <c r="R120" s="659"/>
      <c r="S120" s="659"/>
      <c r="T120" s="659"/>
      <c r="U120" s="659"/>
      <c r="V120" s="660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64" t="s">
        <v>86</v>
      </c>
      <c r="B121" s="664"/>
      <c r="C121" s="664"/>
      <c r="D121" s="664"/>
      <c r="E121" s="664"/>
      <c r="F121" s="664"/>
      <c r="G121" s="664"/>
      <c r="H121" s="664"/>
      <c r="I121" s="664"/>
      <c r="J121" s="664"/>
      <c r="K121" s="664"/>
      <c r="L121" s="664"/>
      <c r="M121" s="664"/>
      <c r="N121" s="664"/>
      <c r="O121" s="664"/>
      <c r="P121" s="664"/>
      <c r="Q121" s="664"/>
      <c r="R121" s="664"/>
      <c r="S121" s="664"/>
      <c r="T121" s="664"/>
      <c r="U121" s="664"/>
      <c r="V121" s="664"/>
      <c r="W121" s="664"/>
      <c r="X121" s="664"/>
      <c r="Y121" s="664"/>
      <c r="Z121" s="664"/>
      <c r="AA121" s="66"/>
      <c r="AB121" s="66"/>
      <c r="AC121" s="80"/>
    </row>
    <row r="122" spans="1:68" ht="27" customHeight="1" x14ac:dyDescent="0.25">
      <c r="A122" s="63" t="s">
        <v>239</v>
      </c>
      <c r="B122" s="63" t="s">
        <v>240</v>
      </c>
      <c r="C122" s="36">
        <v>4301051724</v>
      </c>
      <c r="D122" s="665">
        <v>4607091385168</v>
      </c>
      <c r="E122" s="66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97</v>
      </c>
      <c r="N122" s="38"/>
      <c r="O122" s="37">
        <v>45</v>
      </c>
      <c r="P122" s="89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7"/>
      <c r="R122" s="667"/>
      <c r="S122" s="667"/>
      <c r="T122" s="668"/>
      <c r="U122" s="39" t="s">
        <v>46</v>
      </c>
      <c r="V122" s="39" t="s">
        <v>46</v>
      </c>
      <c r="W122" s="40" t="s">
        <v>0</v>
      </c>
      <c r="X122" s="58">
        <v>81</v>
      </c>
      <c r="Y122" s="55">
        <f t="shared" ref="Y122:Y128" si="15">IFERROR(IF(X122="",0,CEILING((X122/$H122),1)*$H122),"")</f>
        <v>81</v>
      </c>
      <c r="Z122" s="41">
        <f>IFERROR(IF(Y122=0,"",ROUNDUP(Y122/H122,0)*0.01898),"")</f>
        <v>0.1898</v>
      </c>
      <c r="AA122" s="68" t="s">
        <v>46</v>
      </c>
      <c r="AB122" s="69" t="s">
        <v>46</v>
      </c>
      <c r="AC122" s="200" t="s">
        <v>241</v>
      </c>
      <c r="AG122" s="78"/>
      <c r="AJ122" s="84" t="s">
        <v>46</v>
      </c>
      <c r="AK122" s="84">
        <v>0</v>
      </c>
      <c r="BB122" s="201" t="s">
        <v>67</v>
      </c>
      <c r="BM122" s="78">
        <f t="shared" ref="BM122:BM128" si="16">IFERROR(X122*I122/H122,"0")</f>
        <v>85.88</v>
      </c>
      <c r="BN122" s="78">
        <f t="shared" ref="BN122:BN128" si="17">IFERROR(Y122*I122/H122,"0")</f>
        <v>85.88</v>
      </c>
      <c r="BO122" s="78">
        <f t="shared" ref="BO122:BO128" si="18">IFERROR(1/J122*(X122/H122),"0")</f>
        <v>0.15625</v>
      </c>
      <c r="BP122" s="78">
        <f t="shared" ref="BP122:BP128" si="19">IFERROR(1/J122*(Y122/H122),"0")</f>
        <v>0.15625</v>
      </c>
    </row>
    <row r="123" spans="1:68" ht="27" hidden="1" customHeight="1" x14ac:dyDescent="0.25">
      <c r="A123" s="63" t="s">
        <v>239</v>
      </c>
      <c r="B123" s="63" t="s">
        <v>242</v>
      </c>
      <c r="C123" s="36">
        <v>4301052088</v>
      </c>
      <c r="D123" s="665">
        <v>4607091385168</v>
      </c>
      <c r="E123" s="66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90</v>
      </c>
      <c r="N123" s="38"/>
      <c r="O123" s="37">
        <v>45</v>
      </c>
      <c r="P123" s="894" t="s">
        <v>243</v>
      </c>
      <c r="Q123" s="667"/>
      <c r="R123" s="667"/>
      <c r="S123" s="667"/>
      <c r="T123" s="66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241</v>
      </c>
      <c r="AG123" s="78"/>
      <c r="AJ123" s="84" t="s">
        <v>46</v>
      </c>
      <c r="AK123" s="84">
        <v>0</v>
      </c>
      <c r="BB123" s="203" t="s">
        <v>67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244</v>
      </c>
      <c r="B124" s="63" t="s">
        <v>245</v>
      </c>
      <c r="C124" s="36">
        <v>4301051730</v>
      </c>
      <c r="D124" s="665">
        <v>4607091383256</v>
      </c>
      <c r="E124" s="66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9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7"/>
      <c r="R124" s="667"/>
      <c r="S124" s="667"/>
      <c r="T124" s="66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241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246</v>
      </c>
      <c r="B125" s="63" t="s">
        <v>247</v>
      </c>
      <c r="C125" s="36">
        <v>4301051721</v>
      </c>
      <c r="D125" s="665">
        <v>4607091385748</v>
      </c>
      <c r="E125" s="66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9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7"/>
      <c r="R125" s="667"/>
      <c r="S125" s="667"/>
      <c r="T125" s="66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241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246</v>
      </c>
      <c r="B126" s="63" t="s">
        <v>248</v>
      </c>
      <c r="C126" s="36">
        <v>4301052086</v>
      </c>
      <c r="D126" s="665">
        <v>4607091385748</v>
      </c>
      <c r="E126" s="66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97" t="s">
        <v>249</v>
      </c>
      <c r="Q126" s="667"/>
      <c r="R126" s="667"/>
      <c r="S126" s="667"/>
      <c r="T126" s="66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241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250</v>
      </c>
      <c r="B127" s="63" t="s">
        <v>251</v>
      </c>
      <c r="C127" s="36">
        <v>4301051740</v>
      </c>
      <c r="D127" s="665">
        <v>4680115884533</v>
      </c>
      <c r="E127" s="66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45</v>
      </c>
      <c r="P127" s="89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7"/>
      <c r="R127" s="667"/>
      <c r="S127" s="667"/>
      <c r="T127" s="66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252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250</v>
      </c>
      <c r="B128" s="63" t="s">
        <v>253</v>
      </c>
      <c r="C128" s="36">
        <v>4301052085</v>
      </c>
      <c r="D128" s="665">
        <v>4680115884533</v>
      </c>
      <c r="E128" s="66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99" t="s">
        <v>254</v>
      </c>
      <c r="Q128" s="667"/>
      <c r="R128" s="667"/>
      <c r="S128" s="667"/>
      <c r="T128" s="66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252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39</v>
      </c>
      <c r="X129" s="43">
        <f>IFERROR(X122/H122,"0")+IFERROR(X123/H123,"0")+IFERROR(X124/H124,"0")+IFERROR(X125/H125,"0")+IFERROR(X126/H126,"0")+IFERROR(X127/H127,"0")+IFERROR(X128/H128,"0")</f>
        <v>10</v>
      </c>
      <c r="Y129" s="43">
        <f>IFERROR(Y122/H122,"0")+IFERROR(Y123/H123,"0")+IFERROR(Y124/H124,"0")+IFERROR(Y125/H125,"0")+IFERROR(Y126/H126,"0")+IFERROR(Y127/H127,"0")+IFERROR(Y128/H128,"0")</f>
        <v>10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0.1898</v>
      </c>
      <c r="AA129" s="67"/>
      <c r="AB129" s="67"/>
      <c r="AC129" s="67"/>
    </row>
    <row r="130" spans="1:68" x14ac:dyDescent="0.2">
      <c r="A130" s="661"/>
      <c r="B130" s="661"/>
      <c r="C130" s="661"/>
      <c r="D130" s="661"/>
      <c r="E130" s="661"/>
      <c r="F130" s="661"/>
      <c r="G130" s="661"/>
      <c r="H130" s="661"/>
      <c r="I130" s="661"/>
      <c r="J130" s="661"/>
      <c r="K130" s="661"/>
      <c r="L130" s="661"/>
      <c r="M130" s="661"/>
      <c r="N130" s="661"/>
      <c r="O130" s="662"/>
      <c r="P130" s="658" t="s">
        <v>40</v>
      </c>
      <c r="Q130" s="659"/>
      <c r="R130" s="659"/>
      <c r="S130" s="659"/>
      <c r="T130" s="659"/>
      <c r="U130" s="659"/>
      <c r="V130" s="660"/>
      <c r="W130" s="42" t="s">
        <v>0</v>
      </c>
      <c r="X130" s="43">
        <f>IFERROR(SUM(X122:X128),"0")</f>
        <v>81</v>
      </c>
      <c r="Y130" s="43">
        <f>IFERROR(SUM(Y122:Y128),"0")</f>
        <v>81</v>
      </c>
      <c r="Z130" s="42"/>
      <c r="AA130" s="67"/>
      <c r="AB130" s="67"/>
      <c r="AC130" s="67"/>
    </row>
    <row r="131" spans="1:68" ht="14.25" hidden="1" customHeight="1" x14ac:dyDescent="0.25">
      <c r="A131" s="664" t="s">
        <v>173</v>
      </c>
      <c r="B131" s="664"/>
      <c r="C131" s="664"/>
      <c r="D131" s="664"/>
      <c r="E131" s="664"/>
      <c r="F131" s="664"/>
      <c r="G131" s="664"/>
      <c r="H131" s="664"/>
      <c r="I131" s="664"/>
      <c r="J131" s="664"/>
      <c r="K131" s="664"/>
      <c r="L131" s="664"/>
      <c r="M131" s="664"/>
      <c r="N131" s="664"/>
      <c r="O131" s="664"/>
      <c r="P131" s="664"/>
      <c r="Q131" s="664"/>
      <c r="R131" s="664"/>
      <c r="S131" s="664"/>
      <c r="T131" s="664"/>
      <c r="U131" s="664"/>
      <c r="V131" s="664"/>
      <c r="W131" s="664"/>
      <c r="X131" s="664"/>
      <c r="Y131" s="664"/>
      <c r="Z131" s="664"/>
      <c r="AA131" s="66"/>
      <c r="AB131" s="66"/>
      <c r="AC131" s="80"/>
    </row>
    <row r="132" spans="1:68" ht="16.5" hidden="1" customHeight="1" x14ac:dyDescent="0.25">
      <c r="A132" s="63" t="s">
        <v>255</v>
      </c>
      <c r="B132" s="63" t="s">
        <v>256</v>
      </c>
      <c r="C132" s="36">
        <v>4301060317</v>
      </c>
      <c r="D132" s="665">
        <v>4680115880238</v>
      </c>
      <c r="E132" s="66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91</v>
      </c>
      <c r="L132" s="37" t="s">
        <v>46</v>
      </c>
      <c r="M132" s="38" t="s">
        <v>90</v>
      </c>
      <c r="N132" s="38"/>
      <c r="O132" s="37">
        <v>40</v>
      </c>
      <c r="P132" s="88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7"/>
      <c r="R132" s="667"/>
      <c r="S132" s="667"/>
      <c r="T132" s="66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257</v>
      </c>
      <c r="AG132" s="78"/>
      <c r="AJ132" s="84" t="s">
        <v>46</v>
      </c>
      <c r="AK132" s="84">
        <v>0</v>
      </c>
      <c r="BB132" s="215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255</v>
      </c>
      <c r="B133" s="63" t="s">
        <v>258</v>
      </c>
      <c r="C133" s="36">
        <v>4301060525</v>
      </c>
      <c r="D133" s="665">
        <v>4680115880238</v>
      </c>
      <c r="E133" s="66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91</v>
      </c>
      <c r="L133" s="37" t="s">
        <v>46</v>
      </c>
      <c r="M133" s="38" t="s">
        <v>90</v>
      </c>
      <c r="N133" s="38"/>
      <c r="O133" s="37">
        <v>40</v>
      </c>
      <c r="P133" s="890" t="s">
        <v>259</v>
      </c>
      <c r="Q133" s="667"/>
      <c r="R133" s="667"/>
      <c r="S133" s="667"/>
      <c r="T133" s="66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257</v>
      </c>
      <c r="AG133" s="78"/>
      <c r="AJ133" s="84" t="s">
        <v>46</v>
      </c>
      <c r="AK133" s="84">
        <v>0</v>
      </c>
      <c r="BB133" s="217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663" t="s">
        <v>260</v>
      </c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3"/>
      <c r="P136" s="663"/>
      <c r="Q136" s="663"/>
      <c r="R136" s="663"/>
      <c r="S136" s="663"/>
      <c r="T136" s="663"/>
      <c r="U136" s="663"/>
      <c r="V136" s="663"/>
      <c r="W136" s="663"/>
      <c r="X136" s="663"/>
      <c r="Y136" s="663"/>
      <c r="Z136" s="663"/>
      <c r="AA136" s="65"/>
      <c r="AB136" s="65"/>
      <c r="AC136" s="79"/>
    </row>
    <row r="137" spans="1:68" ht="14.25" hidden="1" customHeight="1" x14ac:dyDescent="0.25">
      <c r="A137" s="664" t="s">
        <v>122</v>
      </c>
      <c r="B137" s="664"/>
      <c r="C137" s="664"/>
      <c r="D137" s="664"/>
      <c r="E137" s="664"/>
      <c r="F137" s="664"/>
      <c r="G137" s="664"/>
      <c r="H137" s="664"/>
      <c r="I137" s="664"/>
      <c r="J137" s="664"/>
      <c r="K137" s="664"/>
      <c r="L137" s="664"/>
      <c r="M137" s="664"/>
      <c r="N137" s="664"/>
      <c r="O137" s="664"/>
      <c r="P137" s="664"/>
      <c r="Q137" s="664"/>
      <c r="R137" s="664"/>
      <c r="S137" s="664"/>
      <c r="T137" s="664"/>
      <c r="U137" s="664"/>
      <c r="V137" s="664"/>
      <c r="W137" s="664"/>
      <c r="X137" s="664"/>
      <c r="Y137" s="664"/>
      <c r="Z137" s="664"/>
      <c r="AA137" s="66"/>
      <c r="AB137" s="66"/>
      <c r="AC137" s="80"/>
    </row>
    <row r="138" spans="1:68" ht="27" hidden="1" customHeight="1" x14ac:dyDescent="0.25">
      <c r="A138" s="63" t="s">
        <v>261</v>
      </c>
      <c r="B138" s="63" t="s">
        <v>262</v>
      </c>
      <c r="C138" s="36">
        <v>4301011562</v>
      </c>
      <c r="D138" s="665">
        <v>4680115882577</v>
      </c>
      <c r="E138" s="66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91</v>
      </c>
      <c r="L138" s="37" t="s">
        <v>46</v>
      </c>
      <c r="M138" s="38" t="s">
        <v>264</v>
      </c>
      <c r="N138" s="38"/>
      <c r="O138" s="37">
        <v>90</v>
      </c>
      <c r="P138" s="89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7"/>
      <c r="R138" s="667"/>
      <c r="S138" s="667"/>
      <c r="T138" s="66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263</v>
      </c>
      <c r="AG138" s="78"/>
      <c r="AJ138" s="84" t="s">
        <v>46</v>
      </c>
      <c r="AK138" s="84">
        <v>0</v>
      </c>
      <c r="BB138" s="219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261</v>
      </c>
      <c r="B139" s="63" t="s">
        <v>265</v>
      </c>
      <c r="C139" s="36">
        <v>4301011564</v>
      </c>
      <c r="D139" s="665">
        <v>4680115882577</v>
      </c>
      <c r="E139" s="66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91</v>
      </c>
      <c r="L139" s="37" t="s">
        <v>46</v>
      </c>
      <c r="M139" s="38" t="s">
        <v>264</v>
      </c>
      <c r="N139" s="38"/>
      <c r="O139" s="37">
        <v>90</v>
      </c>
      <c r="P139" s="8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7"/>
      <c r="R139" s="667"/>
      <c r="S139" s="667"/>
      <c r="T139" s="66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263</v>
      </c>
      <c r="AG139" s="78"/>
      <c r="AJ139" s="84" t="s">
        <v>46</v>
      </c>
      <c r="AK139" s="84">
        <v>0</v>
      </c>
      <c r="BB139" s="221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61"/>
      <c r="B141" s="661"/>
      <c r="C141" s="661"/>
      <c r="D141" s="661"/>
      <c r="E141" s="661"/>
      <c r="F141" s="661"/>
      <c r="G141" s="661"/>
      <c r="H141" s="661"/>
      <c r="I141" s="661"/>
      <c r="J141" s="661"/>
      <c r="K141" s="661"/>
      <c r="L141" s="661"/>
      <c r="M141" s="661"/>
      <c r="N141" s="661"/>
      <c r="O141" s="662"/>
      <c r="P141" s="658" t="s">
        <v>40</v>
      </c>
      <c r="Q141" s="659"/>
      <c r="R141" s="659"/>
      <c r="S141" s="659"/>
      <c r="T141" s="659"/>
      <c r="U141" s="659"/>
      <c r="V141" s="66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664" t="s">
        <v>77</v>
      </c>
      <c r="B142" s="664"/>
      <c r="C142" s="664"/>
      <c r="D142" s="664"/>
      <c r="E142" s="664"/>
      <c r="F142" s="664"/>
      <c r="G142" s="664"/>
      <c r="H142" s="664"/>
      <c r="I142" s="664"/>
      <c r="J142" s="664"/>
      <c r="K142" s="664"/>
      <c r="L142" s="664"/>
      <c r="M142" s="664"/>
      <c r="N142" s="664"/>
      <c r="O142" s="664"/>
      <c r="P142" s="664"/>
      <c r="Q142" s="664"/>
      <c r="R142" s="664"/>
      <c r="S142" s="664"/>
      <c r="T142" s="664"/>
      <c r="U142" s="664"/>
      <c r="V142" s="664"/>
      <c r="W142" s="664"/>
      <c r="X142" s="664"/>
      <c r="Y142" s="664"/>
      <c r="Z142" s="664"/>
      <c r="AA142" s="66"/>
      <c r="AB142" s="66"/>
      <c r="AC142" s="80"/>
    </row>
    <row r="143" spans="1:68" ht="27" hidden="1" customHeight="1" x14ac:dyDescent="0.25">
      <c r="A143" s="63" t="s">
        <v>266</v>
      </c>
      <c r="B143" s="63" t="s">
        <v>267</v>
      </c>
      <c r="C143" s="36">
        <v>4301031234</v>
      </c>
      <c r="D143" s="665">
        <v>4680115883444</v>
      </c>
      <c r="E143" s="66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91</v>
      </c>
      <c r="L143" s="37" t="s">
        <v>46</v>
      </c>
      <c r="M143" s="38" t="s">
        <v>264</v>
      </c>
      <c r="N143" s="38"/>
      <c r="O143" s="37">
        <v>90</v>
      </c>
      <c r="P143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7"/>
      <c r="R143" s="667"/>
      <c r="S143" s="667"/>
      <c r="T143" s="66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268</v>
      </c>
      <c r="AG143" s="78"/>
      <c r="AJ143" s="84" t="s">
        <v>46</v>
      </c>
      <c r="AK143" s="84">
        <v>0</v>
      </c>
      <c r="BB143" s="223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266</v>
      </c>
      <c r="B144" s="63" t="s">
        <v>269</v>
      </c>
      <c r="C144" s="36">
        <v>4301031235</v>
      </c>
      <c r="D144" s="665">
        <v>4680115883444</v>
      </c>
      <c r="E144" s="66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91</v>
      </c>
      <c r="L144" s="37" t="s">
        <v>46</v>
      </c>
      <c r="M144" s="38" t="s">
        <v>264</v>
      </c>
      <c r="N144" s="38"/>
      <c r="O144" s="37">
        <v>90</v>
      </c>
      <c r="P144" s="8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7"/>
      <c r="R144" s="667"/>
      <c r="S144" s="667"/>
      <c r="T144" s="66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268</v>
      </c>
      <c r="AG144" s="78"/>
      <c r="AJ144" s="84" t="s">
        <v>46</v>
      </c>
      <c r="AK144" s="84">
        <v>0</v>
      </c>
      <c r="BB144" s="225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661"/>
      <c r="B146" s="661"/>
      <c r="C146" s="661"/>
      <c r="D146" s="661"/>
      <c r="E146" s="661"/>
      <c r="F146" s="661"/>
      <c r="G146" s="661"/>
      <c r="H146" s="661"/>
      <c r="I146" s="661"/>
      <c r="J146" s="661"/>
      <c r="K146" s="661"/>
      <c r="L146" s="661"/>
      <c r="M146" s="661"/>
      <c r="N146" s="661"/>
      <c r="O146" s="662"/>
      <c r="P146" s="658" t="s">
        <v>40</v>
      </c>
      <c r="Q146" s="659"/>
      <c r="R146" s="659"/>
      <c r="S146" s="659"/>
      <c r="T146" s="659"/>
      <c r="U146" s="659"/>
      <c r="V146" s="66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664" t="s">
        <v>86</v>
      </c>
      <c r="B147" s="664"/>
      <c r="C147" s="664"/>
      <c r="D147" s="664"/>
      <c r="E147" s="664"/>
      <c r="F147" s="664"/>
      <c r="G147" s="664"/>
      <c r="H147" s="664"/>
      <c r="I147" s="664"/>
      <c r="J147" s="664"/>
      <c r="K147" s="664"/>
      <c r="L147" s="664"/>
      <c r="M147" s="664"/>
      <c r="N147" s="664"/>
      <c r="O147" s="664"/>
      <c r="P147" s="664"/>
      <c r="Q147" s="664"/>
      <c r="R147" s="664"/>
      <c r="S147" s="664"/>
      <c r="T147" s="664"/>
      <c r="U147" s="664"/>
      <c r="V147" s="664"/>
      <c r="W147" s="664"/>
      <c r="X147" s="664"/>
      <c r="Y147" s="664"/>
      <c r="Z147" s="664"/>
      <c r="AA147" s="66"/>
      <c r="AB147" s="66"/>
      <c r="AC147" s="80"/>
    </row>
    <row r="148" spans="1:68" ht="16.5" hidden="1" customHeight="1" x14ac:dyDescent="0.25">
      <c r="A148" s="63" t="s">
        <v>270</v>
      </c>
      <c r="B148" s="63" t="s">
        <v>271</v>
      </c>
      <c r="C148" s="36">
        <v>4301051476</v>
      </c>
      <c r="D148" s="665">
        <v>4680115882584</v>
      </c>
      <c r="E148" s="66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264</v>
      </c>
      <c r="N148" s="38"/>
      <c r="O148" s="37">
        <v>60</v>
      </c>
      <c r="P148" s="8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7"/>
      <c r="R148" s="667"/>
      <c r="S148" s="667"/>
      <c r="T148" s="66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263</v>
      </c>
      <c r="AG148" s="78"/>
      <c r="AJ148" s="84" t="s">
        <v>46</v>
      </c>
      <c r="AK148" s="84">
        <v>0</v>
      </c>
      <c r="BB148" s="227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270</v>
      </c>
      <c r="B149" s="63" t="s">
        <v>272</v>
      </c>
      <c r="C149" s="36">
        <v>4301051477</v>
      </c>
      <c r="D149" s="665">
        <v>4680115882584</v>
      </c>
      <c r="E149" s="66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264</v>
      </c>
      <c r="N149" s="38"/>
      <c r="O149" s="37">
        <v>60</v>
      </c>
      <c r="P149" s="8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7"/>
      <c r="R149" s="667"/>
      <c r="S149" s="667"/>
      <c r="T149" s="66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263</v>
      </c>
      <c r="AG149" s="78"/>
      <c r="AJ149" s="84" t="s">
        <v>46</v>
      </c>
      <c r="AK149" s="84">
        <v>0</v>
      </c>
      <c r="BB149" s="229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61"/>
      <c r="B150" s="661"/>
      <c r="C150" s="661"/>
      <c r="D150" s="661"/>
      <c r="E150" s="661"/>
      <c r="F150" s="661"/>
      <c r="G150" s="661"/>
      <c r="H150" s="661"/>
      <c r="I150" s="661"/>
      <c r="J150" s="661"/>
      <c r="K150" s="661"/>
      <c r="L150" s="661"/>
      <c r="M150" s="661"/>
      <c r="N150" s="661"/>
      <c r="O150" s="662"/>
      <c r="P150" s="658" t="s">
        <v>40</v>
      </c>
      <c r="Q150" s="659"/>
      <c r="R150" s="659"/>
      <c r="S150" s="659"/>
      <c r="T150" s="659"/>
      <c r="U150" s="659"/>
      <c r="V150" s="660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661"/>
      <c r="B151" s="661"/>
      <c r="C151" s="661"/>
      <c r="D151" s="661"/>
      <c r="E151" s="661"/>
      <c r="F151" s="661"/>
      <c r="G151" s="661"/>
      <c r="H151" s="661"/>
      <c r="I151" s="661"/>
      <c r="J151" s="661"/>
      <c r="K151" s="661"/>
      <c r="L151" s="661"/>
      <c r="M151" s="661"/>
      <c r="N151" s="661"/>
      <c r="O151" s="662"/>
      <c r="P151" s="658" t="s">
        <v>40</v>
      </c>
      <c r="Q151" s="659"/>
      <c r="R151" s="659"/>
      <c r="S151" s="659"/>
      <c r="T151" s="659"/>
      <c r="U151" s="659"/>
      <c r="V151" s="660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63" t="s">
        <v>273</v>
      </c>
      <c r="B152" s="663"/>
      <c r="C152" s="663"/>
      <c r="D152" s="663"/>
      <c r="E152" s="663"/>
      <c r="F152" s="663"/>
      <c r="G152" s="663"/>
      <c r="H152" s="663"/>
      <c r="I152" s="663"/>
      <c r="J152" s="663"/>
      <c r="K152" s="663"/>
      <c r="L152" s="663"/>
      <c r="M152" s="663"/>
      <c r="N152" s="663"/>
      <c r="O152" s="663"/>
      <c r="P152" s="663"/>
      <c r="Q152" s="663"/>
      <c r="R152" s="663"/>
      <c r="S152" s="663"/>
      <c r="T152" s="663"/>
      <c r="U152" s="663"/>
      <c r="V152" s="663"/>
      <c r="W152" s="663"/>
      <c r="X152" s="663"/>
      <c r="Y152" s="663"/>
      <c r="Z152" s="663"/>
      <c r="AA152" s="65"/>
      <c r="AB152" s="65"/>
      <c r="AC152" s="79"/>
    </row>
    <row r="153" spans="1:68" ht="14.25" hidden="1" customHeight="1" x14ac:dyDescent="0.25">
      <c r="A153" s="664" t="s">
        <v>86</v>
      </c>
      <c r="B153" s="664"/>
      <c r="C153" s="664"/>
      <c r="D153" s="664"/>
      <c r="E153" s="664"/>
      <c r="F153" s="664"/>
      <c r="G153" s="664"/>
      <c r="H153" s="664"/>
      <c r="I153" s="664"/>
      <c r="J153" s="664"/>
      <c r="K153" s="664"/>
      <c r="L153" s="664"/>
      <c r="M153" s="664"/>
      <c r="N153" s="664"/>
      <c r="O153" s="664"/>
      <c r="P153" s="664"/>
      <c r="Q153" s="664"/>
      <c r="R153" s="664"/>
      <c r="S153" s="664"/>
      <c r="T153" s="664"/>
      <c r="U153" s="664"/>
      <c r="V153" s="664"/>
      <c r="W153" s="664"/>
      <c r="X153" s="664"/>
      <c r="Y153" s="664"/>
      <c r="Z153" s="664"/>
      <c r="AA153" s="66"/>
      <c r="AB153" s="66"/>
      <c r="AC153" s="80"/>
    </row>
    <row r="154" spans="1:68" ht="27" hidden="1" customHeight="1" x14ac:dyDescent="0.25">
      <c r="A154" s="63" t="s">
        <v>274</v>
      </c>
      <c r="B154" s="63" t="s">
        <v>275</v>
      </c>
      <c r="C154" s="36">
        <v>4301052254</v>
      </c>
      <c r="D154" s="665">
        <v>4680115888203</v>
      </c>
      <c r="E154" s="66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7"/>
      <c r="R154" s="667"/>
      <c r="S154" s="667"/>
      <c r="T154" s="66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277</v>
      </c>
      <c r="B155" s="63" t="s">
        <v>278</v>
      </c>
      <c r="C155" s="36">
        <v>4301052172</v>
      </c>
      <c r="D155" s="665">
        <v>4680115888180</v>
      </c>
      <c r="E155" s="66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7"/>
      <c r="R155" s="667"/>
      <c r="S155" s="667"/>
      <c r="T155" s="66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279</v>
      </c>
      <c r="AG155" s="78"/>
      <c r="AJ155" s="84" t="s">
        <v>46</v>
      </c>
      <c r="AK155" s="84">
        <v>0</v>
      </c>
      <c r="BB155" s="233" t="s">
        <v>67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277</v>
      </c>
      <c r="B156" s="63" t="s">
        <v>280</v>
      </c>
      <c r="C156" s="36">
        <v>4301052252</v>
      </c>
      <c r="D156" s="665">
        <v>4680115888180</v>
      </c>
      <c r="E156" s="66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8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7"/>
      <c r="R156" s="667"/>
      <c r="S156" s="667"/>
      <c r="T156" s="66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279</v>
      </c>
      <c r="AG156" s="78"/>
      <c r="AJ156" s="84" t="s">
        <v>46</v>
      </c>
      <c r="AK156" s="84">
        <v>0</v>
      </c>
      <c r="BB156" s="235" t="s">
        <v>67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281</v>
      </c>
      <c r="B157" s="63" t="s">
        <v>282</v>
      </c>
      <c r="C157" s="36">
        <v>4301052173</v>
      </c>
      <c r="D157" s="665">
        <v>4680115888197</v>
      </c>
      <c r="E157" s="66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7"/>
      <c r="R157" s="667"/>
      <c r="S157" s="667"/>
      <c r="T157" s="66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283</v>
      </c>
      <c r="AG157" s="78"/>
      <c r="AJ157" s="84" t="s">
        <v>46</v>
      </c>
      <c r="AK157" s="84">
        <v>0</v>
      </c>
      <c r="BB157" s="237" t="s">
        <v>67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281</v>
      </c>
      <c r="B158" s="63" t="s">
        <v>284</v>
      </c>
      <c r="C158" s="36">
        <v>4301052253</v>
      </c>
      <c r="D158" s="665">
        <v>4680115888197</v>
      </c>
      <c r="E158" s="66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7"/>
      <c r="R158" s="667"/>
      <c r="S158" s="667"/>
      <c r="T158" s="66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283</v>
      </c>
      <c r="AG158" s="78"/>
      <c r="AJ158" s="84" t="s">
        <v>46</v>
      </c>
      <c r="AK158" s="84">
        <v>0</v>
      </c>
      <c r="BB158" s="239" t="s">
        <v>67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285</v>
      </c>
      <c r="B159" s="63" t="s">
        <v>286</v>
      </c>
      <c r="C159" s="36">
        <v>4301052175</v>
      </c>
      <c r="D159" s="665">
        <v>4680115888210</v>
      </c>
      <c r="E159" s="66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7"/>
      <c r="R159" s="667"/>
      <c r="S159" s="667"/>
      <c r="T159" s="66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287</v>
      </c>
      <c r="AG159" s="78"/>
      <c r="AJ159" s="84" t="s">
        <v>46</v>
      </c>
      <c r="AK159" s="84">
        <v>0</v>
      </c>
      <c r="BB159" s="241" t="s">
        <v>67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285</v>
      </c>
      <c r="B160" s="63" t="s">
        <v>288</v>
      </c>
      <c r="C160" s="36">
        <v>4301052255</v>
      </c>
      <c r="D160" s="665">
        <v>4680115888210</v>
      </c>
      <c r="E160" s="66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7"/>
      <c r="R160" s="667"/>
      <c r="S160" s="667"/>
      <c r="T160" s="66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287</v>
      </c>
      <c r="AG160" s="78"/>
      <c r="AJ160" s="84" t="s">
        <v>46</v>
      </c>
      <c r="AK160" s="84">
        <v>0</v>
      </c>
      <c r="BB160" s="243" t="s">
        <v>67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661"/>
      <c r="B161" s="661"/>
      <c r="C161" s="661"/>
      <c r="D161" s="661"/>
      <c r="E161" s="661"/>
      <c r="F161" s="661"/>
      <c r="G161" s="661"/>
      <c r="H161" s="661"/>
      <c r="I161" s="661"/>
      <c r="J161" s="661"/>
      <c r="K161" s="661"/>
      <c r="L161" s="661"/>
      <c r="M161" s="661"/>
      <c r="N161" s="661"/>
      <c r="O161" s="662"/>
      <c r="P161" s="658" t="s">
        <v>40</v>
      </c>
      <c r="Q161" s="659"/>
      <c r="R161" s="659"/>
      <c r="S161" s="659"/>
      <c r="T161" s="659"/>
      <c r="U161" s="659"/>
      <c r="V161" s="660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661"/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2"/>
      <c r="P162" s="658" t="s">
        <v>40</v>
      </c>
      <c r="Q162" s="659"/>
      <c r="R162" s="659"/>
      <c r="S162" s="659"/>
      <c r="T162" s="659"/>
      <c r="U162" s="659"/>
      <c r="V162" s="660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664" t="s">
        <v>289</v>
      </c>
      <c r="B163" s="664"/>
      <c r="C163" s="664"/>
      <c r="D163" s="664"/>
      <c r="E163" s="664"/>
      <c r="F163" s="664"/>
      <c r="G163" s="664"/>
      <c r="H163" s="664"/>
      <c r="I163" s="664"/>
      <c r="J163" s="664"/>
      <c r="K163" s="664"/>
      <c r="L163" s="664"/>
      <c r="M163" s="664"/>
      <c r="N163" s="664"/>
      <c r="O163" s="664"/>
      <c r="P163" s="664"/>
      <c r="Q163" s="664"/>
      <c r="R163" s="664"/>
      <c r="S163" s="664"/>
      <c r="T163" s="664"/>
      <c r="U163" s="664"/>
      <c r="V163" s="664"/>
      <c r="W163" s="664"/>
      <c r="X163" s="664"/>
      <c r="Y163" s="664"/>
      <c r="Z163" s="664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4301032067</v>
      </c>
      <c r="D164" s="665">
        <v>4680115889132</v>
      </c>
      <c r="E164" s="66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295</v>
      </c>
      <c r="L164" s="37" t="s">
        <v>46</v>
      </c>
      <c r="M164" s="38" t="s">
        <v>294</v>
      </c>
      <c r="N164" s="38"/>
      <c r="O164" s="37">
        <v>120</v>
      </c>
      <c r="P164" s="8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7"/>
      <c r="R164" s="667"/>
      <c r="S164" s="667"/>
      <c r="T164" s="66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292</v>
      </c>
      <c r="AG164" s="78"/>
      <c r="AJ164" s="84" t="s">
        <v>46</v>
      </c>
      <c r="AK164" s="84">
        <v>0</v>
      </c>
      <c r="BB164" s="245" t="s">
        <v>293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663" t="s">
        <v>120</v>
      </c>
      <c r="B167" s="663"/>
      <c r="C167" s="663"/>
      <c r="D167" s="663"/>
      <c r="E167" s="663"/>
      <c r="F167" s="663"/>
      <c r="G167" s="663"/>
      <c r="H167" s="663"/>
      <c r="I167" s="663"/>
      <c r="J167" s="663"/>
      <c r="K167" s="663"/>
      <c r="L167" s="663"/>
      <c r="M167" s="663"/>
      <c r="N167" s="663"/>
      <c r="O167" s="663"/>
      <c r="P167" s="663"/>
      <c r="Q167" s="663"/>
      <c r="R167" s="663"/>
      <c r="S167" s="663"/>
      <c r="T167" s="663"/>
      <c r="U167" s="663"/>
      <c r="V167" s="663"/>
      <c r="W167" s="663"/>
      <c r="X167" s="663"/>
      <c r="Y167" s="663"/>
      <c r="Z167" s="663"/>
      <c r="AA167" s="65"/>
      <c r="AB167" s="65"/>
      <c r="AC167" s="79"/>
    </row>
    <row r="168" spans="1:68" ht="14.25" hidden="1" customHeight="1" x14ac:dyDescent="0.25">
      <c r="A168" s="664" t="s">
        <v>122</v>
      </c>
      <c r="B168" s="664"/>
      <c r="C168" s="664"/>
      <c r="D168" s="664"/>
      <c r="E168" s="664"/>
      <c r="F168" s="664"/>
      <c r="G168" s="664"/>
      <c r="H168" s="664"/>
      <c r="I168" s="664"/>
      <c r="J168" s="664"/>
      <c r="K168" s="664"/>
      <c r="L168" s="664"/>
      <c r="M168" s="664"/>
      <c r="N168" s="664"/>
      <c r="O168" s="664"/>
      <c r="P168" s="664"/>
      <c r="Q168" s="664"/>
      <c r="R168" s="664"/>
      <c r="S168" s="664"/>
      <c r="T168" s="664"/>
      <c r="U168" s="664"/>
      <c r="V168" s="664"/>
      <c r="W168" s="664"/>
      <c r="X168" s="664"/>
      <c r="Y168" s="664"/>
      <c r="Z168" s="664"/>
      <c r="AA168" s="66"/>
      <c r="AB168" s="66"/>
      <c r="AC168" s="80"/>
    </row>
    <row r="169" spans="1:68" ht="27" hidden="1" customHeight="1" x14ac:dyDescent="0.25">
      <c r="A169" s="63" t="s">
        <v>296</v>
      </c>
      <c r="B169" s="63" t="s">
        <v>297</v>
      </c>
      <c r="C169" s="36">
        <v>4301012338</v>
      </c>
      <c r="D169" s="665">
        <v>4680115887374</v>
      </c>
      <c r="E169" s="66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127</v>
      </c>
      <c r="L169" s="37" t="s">
        <v>46</v>
      </c>
      <c r="M169" s="38" t="s">
        <v>126</v>
      </c>
      <c r="N169" s="38"/>
      <c r="O169" s="37">
        <v>55</v>
      </c>
      <c r="P169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7"/>
      <c r="R169" s="667"/>
      <c r="S169" s="667"/>
      <c r="T169" s="66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298</v>
      </c>
      <c r="AG169" s="78"/>
      <c r="AJ169" s="84" t="s">
        <v>46</v>
      </c>
      <c r="AK169" s="84">
        <v>0</v>
      </c>
      <c r="BB169" s="247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299</v>
      </c>
      <c r="B170" s="63" t="s">
        <v>300</v>
      </c>
      <c r="C170" s="36">
        <v>4301011705</v>
      </c>
      <c r="D170" s="665">
        <v>4607091384604</v>
      </c>
      <c r="E170" s="66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134</v>
      </c>
      <c r="L170" s="37" t="s">
        <v>46</v>
      </c>
      <c r="M170" s="38" t="s">
        <v>126</v>
      </c>
      <c r="N170" s="38"/>
      <c r="O170" s="37">
        <v>50</v>
      </c>
      <c r="P170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7"/>
      <c r="R170" s="667"/>
      <c r="S170" s="667"/>
      <c r="T170" s="66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301</v>
      </c>
      <c r="AG170" s="78"/>
      <c r="AJ170" s="84" t="s">
        <v>46</v>
      </c>
      <c r="AK170" s="84">
        <v>0</v>
      </c>
      <c r="BB170" s="249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4301012344</v>
      </c>
      <c r="D171" s="665">
        <v>4680115888876</v>
      </c>
      <c r="E171" s="66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91</v>
      </c>
      <c r="L171" s="37" t="s">
        <v>46</v>
      </c>
      <c r="M171" s="38" t="s">
        <v>90</v>
      </c>
      <c r="N171" s="38"/>
      <c r="O171" s="37">
        <v>55</v>
      </c>
      <c r="P171" s="87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7"/>
      <c r="R171" s="667"/>
      <c r="S171" s="667"/>
      <c r="T171" s="66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304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61"/>
      <c r="B172" s="661"/>
      <c r="C172" s="661"/>
      <c r="D172" s="661"/>
      <c r="E172" s="661"/>
      <c r="F172" s="661"/>
      <c r="G172" s="661"/>
      <c r="H172" s="661"/>
      <c r="I172" s="661"/>
      <c r="J172" s="661"/>
      <c r="K172" s="661"/>
      <c r="L172" s="661"/>
      <c r="M172" s="661"/>
      <c r="N172" s="661"/>
      <c r="O172" s="662"/>
      <c r="P172" s="658" t="s">
        <v>40</v>
      </c>
      <c r="Q172" s="659"/>
      <c r="R172" s="659"/>
      <c r="S172" s="659"/>
      <c r="T172" s="659"/>
      <c r="U172" s="659"/>
      <c r="V172" s="660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661"/>
      <c r="B173" s="661"/>
      <c r="C173" s="661"/>
      <c r="D173" s="661"/>
      <c r="E173" s="661"/>
      <c r="F173" s="661"/>
      <c r="G173" s="661"/>
      <c r="H173" s="661"/>
      <c r="I173" s="661"/>
      <c r="J173" s="661"/>
      <c r="K173" s="661"/>
      <c r="L173" s="661"/>
      <c r="M173" s="661"/>
      <c r="N173" s="661"/>
      <c r="O173" s="662"/>
      <c r="P173" s="658" t="s">
        <v>40</v>
      </c>
      <c r="Q173" s="659"/>
      <c r="R173" s="659"/>
      <c r="S173" s="659"/>
      <c r="T173" s="659"/>
      <c r="U173" s="659"/>
      <c r="V173" s="660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4" t="s">
        <v>155</v>
      </c>
      <c r="B174" s="664"/>
      <c r="C174" s="664"/>
      <c r="D174" s="664"/>
      <c r="E174" s="664"/>
      <c r="F174" s="664"/>
      <c r="G174" s="664"/>
      <c r="H174" s="664"/>
      <c r="I174" s="664"/>
      <c r="J174" s="664"/>
      <c r="K174" s="664"/>
      <c r="L174" s="664"/>
      <c r="M174" s="664"/>
      <c r="N174" s="664"/>
      <c r="O174" s="664"/>
      <c r="P174" s="664"/>
      <c r="Q174" s="664"/>
      <c r="R174" s="664"/>
      <c r="S174" s="664"/>
      <c r="T174" s="664"/>
      <c r="U174" s="664"/>
      <c r="V174" s="664"/>
      <c r="W174" s="664"/>
      <c r="X174" s="664"/>
      <c r="Y174" s="664"/>
      <c r="Z174" s="664"/>
      <c r="AA174" s="66"/>
      <c r="AB174" s="66"/>
      <c r="AC174" s="80"/>
    </row>
    <row r="175" spans="1:68" ht="16.5" hidden="1" customHeight="1" x14ac:dyDescent="0.25">
      <c r="A175" s="63" t="s">
        <v>305</v>
      </c>
      <c r="B175" s="63" t="s">
        <v>306</v>
      </c>
      <c r="C175" s="36">
        <v>4301020410</v>
      </c>
      <c r="D175" s="665">
        <v>4680115887695</v>
      </c>
      <c r="E175" s="66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82</v>
      </c>
      <c r="L175" s="37" t="s">
        <v>46</v>
      </c>
      <c r="M175" s="38" t="s">
        <v>81</v>
      </c>
      <c r="N175" s="38"/>
      <c r="O175" s="37">
        <v>30</v>
      </c>
      <c r="P175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7"/>
      <c r="R175" s="667"/>
      <c r="S175" s="667"/>
      <c r="T175" s="66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307</v>
      </c>
      <c r="AG175" s="78"/>
      <c r="AJ175" s="84" t="s">
        <v>46</v>
      </c>
      <c r="AK175" s="84">
        <v>0</v>
      </c>
      <c r="BB175" s="253" t="s">
        <v>67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308</v>
      </c>
      <c r="B176" s="63" t="s">
        <v>309</v>
      </c>
      <c r="C176" s="36">
        <v>4301020439</v>
      </c>
      <c r="D176" s="665">
        <v>4680115889491</v>
      </c>
      <c r="E176" s="66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82</v>
      </c>
      <c r="L176" s="37" t="s">
        <v>46</v>
      </c>
      <c r="M176" s="38" t="s">
        <v>126</v>
      </c>
      <c r="N176" s="38"/>
      <c r="O176" s="37">
        <v>55</v>
      </c>
      <c r="P176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7"/>
      <c r="R176" s="667"/>
      <c r="S176" s="667"/>
      <c r="T176" s="66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310</v>
      </c>
      <c r="AG176" s="78"/>
      <c r="AJ176" s="84" t="s">
        <v>46</v>
      </c>
      <c r="AK176" s="84">
        <v>0</v>
      </c>
      <c r="BB176" s="255" t="s">
        <v>67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661"/>
      <c r="B177" s="661"/>
      <c r="C177" s="661"/>
      <c r="D177" s="661"/>
      <c r="E177" s="661"/>
      <c r="F177" s="661"/>
      <c r="G177" s="661"/>
      <c r="H177" s="661"/>
      <c r="I177" s="661"/>
      <c r="J177" s="661"/>
      <c r="K177" s="661"/>
      <c r="L177" s="661"/>
      <c r="M177" s="661"/>
      <c r="N177" s="661"/>
      <c r="O177" s="662"/>
      <c r="P177" s="658" t="s">
        <v>40</v>
      </c>
      <c r="Q177" s="659"/>
      <c r="R177" s="659"/>
      <c r="S177" s="659"/>
      <c r="T177" s="659"/>
      <c r="U177" s="659"/>
      <c r="V177" s="660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661"/>
      <c r="B178" s="661"/>
      <c r="C178" s="661"/>
      <c r="D178" s="661"/>
      <c r="E178" s="661"/>
      <c r="F178" s="661"/>
      <c r="G178" s="661"/>
      <c r="H178" s="661"/>
      <c r="I178" s="661"/>
      <c r="J178" s="661"/>
      <c r="K178" s="661"/>
      <c r="L178" s="661"/>
      <c r="M178" s="661"/>
      <c r="N178" s="661"/>
      <c r="O178" s="662"/>
      <c r="P178" s="658" t="s">
        <v>40</v>
      </c>
      <c r="Q178" s="659"/>
      <c r="R178" s="659"/>
      <c r="S178" s="659"/>
      <c r="T178" s="659"/>
      <c r="U178" s="659"/>
      <c r="V178" s="660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664" t="s">
        <v>77</v>
      </c>
      <c r="B179" s="664"/>
      <c r="C179" s="664"/>
      <c r="D179" s="664"/>
      <c r="E179" s="664"/>
      <c r="F179" s="664"/>
      <c r="G179" s="664"/>
      <c r="H179" s="664"/>
      <c r="I179" s="664"/>
      <c r="J179" s="664"/>
      <c r="K179" s="664"/>
      <c r="L179" s="664"/>
      <c r="M179" s="664"/>
      <c r="N179" s="664"/>
      <c r="O179" s="664"/>
      <c r="P179" s="664"/>
      <c r="Q179" s="664"/>
      <c r="R179" s="664"/>
      <c r="S179" s="664"/>
      <c r="T179" s="664"/>
      <c r="U179" s="664"/>
      <c r="V179" s="664"/>
      <c r="W179" s="664"/>
      <c r="X179" s="664"/>
      <c r="Y179" s="664"/>
      <c r="Z179" s="664"/>
      <c r="AA179" s="66"/>
      <c r="AB179" s="66"/>
      <c r="AC179" s="80"/>
    </row>
    <row r="180" spans="1:68" ht="27" customHeight="1" x14ac:dyDescent="0.25">
      <c r="A180" s="63" t="s">
        <v>311</v>
      </c>
      <c r="B180" s="63" t="s">
        <v>312</v>
      </c>
      <c r="C180" s="36">
        <v>4301031496</v>
      </c>
      <c r="D180" s="665">
        <v>4680115887428</v>
      </c>
      <c r="E180" s="66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7"/>
      <c r="R180" s="667"/>
      <c r="S180" s="667"/>
      <c r="T180" s="668"/>
      <c r="U180" s="39" t="s">
        <v>46</v>
      </c>
      <c r="V180" s="39" t="s">
        <v>46</v>
      </c>
      <c r="W180" s="40" t="s">
        <v>0</v>
      </c>
      <c r="X180" s="58">
        <v>35</v>
      </c>
      <c r="Y180" s="55">
        <f t="shared" ref="Y180:Y191" si="26">IFERROR(IF(X180="",0,CEILING((X180/$H180),1)*$H180),"")</f>
        <v>35</v>
      </c>
      <c r="Z180" s="41">
        <f>IFERROR(IF(Y180=0,"",ROUNDUP(Y180/H180,0)*0.00902),"")</f>
        <v>9.0200000000000002E-2</v>
      </c>
      <c r="AA180" s="68" t="s">
        <v>46</v>
      </c>
      <c r="AB180" s="69" t="s">
        <v>46</v>
      </c>
      <c r="AC180" s="256" t="s">
        <v>313</v>
      </c>
      <c r="AG180" s="78"/>
      <c r="AJ180" s="84" t="s">
        <v>46</v>
      </c>
      <c r="AK180" s="84">
        <v>0</v>
      </c>
      <c r="BB180" s="257" t="s">
        <v>67</v>
      </c>
      <c r="BM180" s="78">
        <f t="shared" ref="BM180:BM191" si="27">IFERROR(X180*I180/H180,"0")</f>
        <v>36.9</v>
      </c>
      <c r="BN180" s="78">
        <f t="shared" ref="BN180:BN191" si="28">IFERROR(Y180*I180/H180,"0")</f>
        <v>36.9</v>
      </c>
      <c r="BO180" s="78">
        <f t="shared" ref="BO180:BO191" si="29">IFERROR(1/J180*(X180/H180),"0")</f>
        <v>7.575757575757576E-2</v>
      </c>
      <c r="BP180" s="78">
        <f t="shared" ref="BP180:BP191" si="30">IFERROR(1/J180*(Y180/H180),"0")</f>
        <v>7.575757575757576E-2</v>
      </c>
    </row>
    <row r="181" spans="1:68" ht="27" customHeight="1" x14ac:dyDescent="0.25">
      <c r="A181" s="63" t="s">
        <v>314</v>
      </c>
      <c r="B181" s="63" t="s">
        <v>315</v>
      </c>
      <c r="C181" s="36">
        <v>4301031509</v>
      </c>
      <c r="D181" s="665">
        <v>4680115889170</v>
      </c>
      <c r="E181" s="66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7"/>
      <c r="R181" s="667"/>
      <c r="S181" s="667"/>
      <c r="T181" s="668"/>
      <c r="U181" s="39" t="s">
        <v>46</v>
      </c>
      <c r="V181" s="39" t="s">
        <v>46</v>
      </c>
      <c r="W181" s="40" t="s">
        <v>0</v>
      </c>
      <c r="X181" s="58">
        <v>17.5</v>
      </c>
      <c r="Y181" s="55">
        <f t="shared" si="26"/>
        <v>17.5</v>
      </c>
      <c r="Z181" s="41">
        <f>IFERROR(IF(Y181=0,"",ROUNDUP(Y181/H181,0)*0.00902),"")</f>
        <v>4.5100000000000001E-2</v>
      </c>
      <c r="AA181" s="68" t="s">
        <v>46</v>
      </c>
      <c r="AB181" s="69" t="s">
        <v>46</v>
      </c>
      <c r="AC181" s="258" t="s">
        <v>316</v>
      </c>
      <c r="AG181" s="78"/>
      <c r="AJ181" s="84" t="s">
        <v>46</v>
      </c>
      <c r="AK181" s="84">
        <v>0</v>
      </c>
      <c r="BB181" s="259" t="s">
        <v>67</v>
      </c>
      <c r="BM181" s="78">
        <f t="shared" si="27"/>
        <v>18.824999999999999</v>
      </c>
      <c r="BN181" s="78">
        <f t="shared" si="28"/>
        <v>18.824999999999999</v>
      </c>
      <c r="BO181" s="78">
        <f t="shared" si="29"/>
        <v>3.787878787878788E-2</v>
      </c>
      <c r="BP181" s="78">
        <f t="shared" si="30"/>
        <v>3.787878787878788E-2</v>
      </c>
    </row>
    <row r="182" spans="1:68" ht="27" customHeight="1" x14ac:dyDescent="0.25">
      <c r="A182" s="63" t="s">
        <v>317</v>
      </c>
      <c r="B182" s="63" t="s">
        <v>318</v>
      </c>
      <c r="C182" s="36">
        <v>4301031498</v>
      </c>
      <c r="D182" s="665">
        <v>4680115887398</v>
      </c>
      <c r="E182" s="66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7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7"/>
      <c r="R182" s="667"/>
      <c r="S182" s="667"/>
      <c r="T182" s="668"/>
      <c r="U182" s="39" t="s">
        <v>46</v>
      </c>
      <c r="V182" s="39" t="s">
        <v>46</v>
      </c>
      <c r="W182" s="40" t="s">
        <v>0</v>
      </c>
      <c r="X182" s="58">
        <v>17.5</v>
      </c>
      <c r="Y182" s="55">
        <f t="shared" si="26"/>
        <v>17.5</v>
      </c>
      <c r="Z182" s="41">
        <f>IFERROR(IF(Y182=0,"",ROUNDUP(Y182/H182,0)*0.00902),"")</f>
        <v>4.5100000000000001E-2</v>
      </c>
      <c r="AA182" s="68" t="s">
        <v>46</v>
      </c>
      <c r="AB182" s="69" t="s">
        <v>46</v>
      </c>
      <c r="AC182" s="260" t="s">
        <v>319</v>
      </c>
      <c r="AG182" s="78"/>
      <c r="AJ182" s="84" t="s">
        <v>46</v>
      </c>
      <c r="AK182" s="84">
        <v>0</v>
      </c>
      <c r="BB182" s="261" t="s">
        <v>67</v>
      </c>
      <c r="BM182" s="78">
        <f t="shared" si="27"/>
        <v>18.45</v>
      </c>
      <c r="BN182" s="78">
        <f t="shared" si="28"/>
        <v>18.45</v>
      </c>
      <c r="BO182" s="78">
        <f t="shared" si="29"/>
        <v>3.787878787878788E-2</v>
      </c>
      <c r="BP182" s="78">
        <f t="shared" si="30"/>
        <v>3.787878787878788E-2</v>
      </c>
    </row>
    <row r="183" spans="1:68" ht="27" customHeight="1" x14ac:dyDescent="0.25">
      <c r="A183" s="63" t="s">
        <v>320</v>
      </c>
      <c r="B183" s="63" t="s">
        <v>321</v>
      </c>
      <c r="C183" s="36">
        <v>4301031497</v>
      </c>
      <c r="D183" s="665">
        <v>4680115887336</v>
      </c>
      <c r="E183" s="66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40</v>
      </c>
      <c r="P183" s="87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7"/>
      <c r="R183" s="667"/>
      <c r="S183" s="667"/>
      <c r="T183" s="668"/>
      <c r="U183" s="39" t="s">
        <v>46</v>
      </c>
      <c r="V183" s="39" t="s">
        <v>46</v>
      </c>
      <c r="W183" s="40" t="s">
        <v>0</v>
      </c>
      <c r="X183" s="58">
        <v>35</v>
      </c>
      <c r="Y183" s="55">
        <f t="shared" si="26"/>
        <v>35</v>
      </c>
      <c r="Z183" s="41">
        <f>IFERROR(IF(Y183=0,"",ROUNDUP(Y183/H183,0)*0.00902),"")</f>
        <v>9.0200000000000002E-2</v>
      </c>
      <c r="AA183" s="68" t="s">
        <v>46</v>
      </c>
      <c r="AB183" s="69" t="s">
        <v>46</v>
      </c>
      <c r="AC183" s="262" t="s">
        <v>322</v>
      </c>
      <c r="AG183" s="78"/>
      <c r="AJ183" s="84" t="s">
        <v>46</v>
      </c>
      <c r="AK183" s="84">
        <v>0</v>
      </c>
      <c r="BB183" s="263" t="s">
        <v>67</v>
      </c>
      <c r="BM183" s="78">
        <f t="shared" si="27"/>
        <v>36.9</v>
      </c>
      <c r="BN183" s="78">
        <f t="shared" si="28"/>
        <v>36.9</v>
      </c>
      <c r="BO183" s="78">
        <f t="shared" si="29"/>
        <v>7.575757575757576E-2</v>
      </c>
      <c r="BP183" s="78">
        <f t="shared" si="30"/>
        <v>7.575757575757576E-2</v>
      </c>
    </row>
    <row r="184" spans="1:68" ht="27" hidden="1" customHeight="1" x14ac:dyDescent="0.25">
      <c r="A184" s="63" t="s">
        <v>320</v>
      </c>
      <c r="B184" s="63" t="s">
        <v>323</v>
      </c>
      <c r="C184" s="36">
        <v>4301031520</v>
      </c>
      <c r="D184" s="665">
        <v>4680115887336</v>
      </c>
      <c r="E184" s="66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45</v>
      </c>
      <c r="P184" s="860" t="s">
        <v>324</v>
      </c>
      <c r="Q184" s="667"/>
      <c r="R184" s="667"/>
      <c r="S184" s="667"/>
      <c r="T184" s="66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326</v>
      </c>
      <c r="B185" s="63" t="s">
        <v>327</v>
      </c>
      <c r="C185" s="36">
        <v>4301032049</v>
      </c>
      <c r="D185" s="665">
        <v>4680115887787</v>
      </c>
      <c r="E185" s="66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7"/>
      <c r="R185" s="667"/>
      <c r="S185" s="667"/>
      <c r="T185" s="66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328</v>
      </c>
      <c r="AG185" s="78"/>
      <c r="AJ185" s="84" t="s">
        <v>46</v>
      </c>
      <c r="AK185" s="84">
        <v>0</v>
      </c>
      <c r="BB185" s="267" t="s">
        <v>67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326</v>
      </c>
      <c r="B186" s="63" t="s">
        <v>329</v>
      </c>
      <c r="C186" s="36">
        <v>4301031528</v>
      </c>
      <c r="D186" s="665">
        <v>4680115887787</v>
      </c>
      <c r="E186" s="66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131</v>
      </c>
      <c r="L186" s="37" t="s">
        <v>46</v>
      </c>
      <c r="M186" s="38" t="s">
        <v>81</v>
      </c>
      <c r="N186" s="38"/>
      <c r="O186" s="37">
        <v>45</v>
      </c>
      <c r="P186" s="862" t="s">
        <v>330</v>
      </c>
      <c r="Q186" s="667"/>
      <c r="R186" s="667"/>
      <c r="S186" s="667"/>
      <c r="T186" s="66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328</v>
      </c>
      <c r="AG186" s="78"/>
      <c r="AJ186" s="84" t="s">
        <v>46</v>
      </c>
      <c r="AK186" s="84">
        <v>0</v>
      </c>
      <c r="BB186" s="269" t="s">
        <v>67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customHeight="1" x14ac:dyDescent="0.25">
      <c r="A187" s="63" t="s">
        <v>331</v>
      </c>
      <c r="B187" s="63" t="s">
        <v>332</v>
      </c>
      <c r="C187" s="36">
        <v>4301031448</v>
      </c>
      <c r="D187" s="665">
        <v>4680115887503</v>
      </c>
      <c r="E187" s="66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6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7"/>
      <c r="R187" s="667"/>
      <c r="S187" s="667"/>
      <c r="T187" s="668"/>
      <c r="U187" s="39" t="s">
        <v>46</v>
      </c>
      <c r="V187" s="39" t="s">
        <v>46</v>
      </c>
      <c r="W187" s="40" t="s">
        <v>0</v>
      </c>
      <c r="X187" s="58">
        <v>11.76</v>
      </c>
      <c r="Y187" s="55">
        <f t="shared" si="26"/>
        <v>11.76</v>
      </c>
      <c r="Z187" s="41">
        <f>IFERROR(IF(Y187=0,"",ROUNDUP(Y187/H187,0)*0.00502),"")</f>
        <v>3.5140000000000005E-2</v>
      </c>
      <c r="AA187" s="68" t="s">
        <v>46</v>
      </c>
      <c r="AB187" s="69" t="s">
        <v>46</v>
      </c>
      <c r="AC187" s="270" t="s">
        <v>313</v>
      </c>
      <c r="AG187" s="78"/>
      <c r="AJ187" s="84" t="s">
        <v>46</v>
      </c>
      <c r="AK187" s="84">
        <v>0</v>
      </c>
      <c r="BB187" s="271" t="s">
        <v>67</v>
      </c>
      <c r="BM187" s="78">
        <f t="shared" si="27"/>
        <v>12.46</v>
      </c>
      <c r="BN187" s="78">
        <f t="shared" si="28"/>
        <v>12.46</v>
      </c>
      <c r="BO187" s="78">
        <f t="shared" si="29"/>
        <v>2.9914529914529919E-2</v>
      </c>
      <c r="BP187" s="78">
        <f t="shared" si="30"/>
        <v>2.9914529914529919E-2</v>
      </c>
    </row>
    <row r="188" spans="1:68" ht="27" hidden="1" customHeight="1" x14ac:dyDescent="0.25">
      <c r="A188" s="63" t="s">
        <v>333</v>
      </c>
      <c r="B188" s="63" t="s">
        <v>334</v>
      </c>
      <c r="C188" s="36">
        <v>4301031389</v>
      </c>
      <c r="D188" s="665">
        <v>4680115887763</v>
      </c>
      <c r="E188" s="66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6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7"/>
      <c r="R188" s="667"/>
      <c r="S188" s="667"/>
      <c r="T188" s="66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335</v>
      </c>
      <c r="AG188" s="78"/>
      <c r="AJ188" s="84" t="s">
        <v>46</v>
      </c>
      <c r="AK188" s="84">
        <v>0</v>
      </c>
      <c r="BB188" s="273" t="s">
        <v>67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336</v>
      </c>
      <c r="B189" s="63" t="s">
        <v>337</v>
      </c>
      <c r="C189" s="36">
        <v>4301031454</v>
      </c>
      <c r="D189" s="665">
        <v>4680115887480</v>
      </c>
      <c r="E189" s="66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82</v>
      </c>
      <c r="L189" s="37" t="s">
        <v>46</v>
      </c>
      <c r="M189" s="38" t="s">
        <v>81</v>
      </c>
      <c r="N189" s="38"/>
      <c r="O189" s="37">
        <v>40</v>
      </c>
      <c r="P189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7"/>
      <c r="R189" s="667"/>
      <c r="S189" s="667"/>
      <c r="T189" s="66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319</v>
      </c>
      <c r="AG189" s="78"/>
      <c r="AJ189" s="84" t="s">
        <v>46</v>
      </c>
      <c r="AK189" s="84">
        <v>0</v>
      </c>
      <c r="BB189" s="275" t="s">
        <v>67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4301031434</v>
      </c>
      <c r="D190" s="665">
        <v>4680115888067</v>
      </c>
      <c r="E190" s="66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131</v>
      </c>
      <c r="L190" s="37" t="s">
        <v>46</v>
      </c>
      <c r="M190" s="38" t="s">
        <v>81</v>
      </c>
      <c r="N190" s="38"/>
      <c r="O190" s="37">
        <v>45</v>
      </c>
      <c r="P190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7"/>
      <c r="R190" s="667"/>
      <c r="S190" s="667"/>
      <c r="T190" s="66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340</v>
      </c>
      <c r="AG190" s="78"/>
      <c r="AJ190" s="84" t="s">
        <v>46</v>
      </c>
      <c r="AK190" s="84">
        <v>0</v>
      </c>
      <c r="BB190" s="277" t="s">
        <v>67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customHeight="1" x14ac:dyDescent="0.25">
      <c r="A191" s="63" t="s">
        <v>341</v>
      </c>
      <c r="B191" s="63" t="s">
        <v>342</v>
      </c>
      <c r="C191" s="36">
        <v>4301031519</v>
      </c>
      <c r="D191" s="665">
        <v>4680115887435</v>
      </c>
      <c r="E191" s="66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82</v>
      </c>
      <c r="L191" s="37" t="s">
        <v>46</v>
      </c>
      <c r="M191" s="38" t="s">
        <v>81</v>
      </c>
      <c r="N191" s="38"/>
      <c r="O191" s="37">
        <v>45</v>
      </c>
      <c r="P191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7"/>
      <c r="R191" s="667"/>
      <c r="S191" s="667"/>
      <c r="T191" s="668"/>
      <c r="U191" s="39" t="s">
        <v>46</v>
      </c>
      <c r="V191" s="39" t="s">
        <v>46</v>
      </c>
      <c r="W191" s="40" t="s">
        <v>0</v>
      </c>
      <c r="X191" s="58">
        <v>11.76</v>
      </c>
      <c r="Y191" s="55">
        <f t="shared" si="26"/>
        <v>11.76</v>
      </c>
      <c r="Z191" s="41">
        <f>IFERROR(IF(Y191=0,"",ROUNDUP(Y191/H191,0)*0.00502),"")</f>
        <v>3.5140000000000005E-2</v>
      </c>
      <c r="AA191" s="68" t="s">
        <v>46</v>
      </c>
      <c r="AB191" s="69" t="s">
        <v>46</v>
      </c>
      <c r="AC191" s="278" t="s">
        <v>325</v>
      </c>
      <c r="AG191" s="78"/>
      <c r="AJ191" s="84" t="s">
        <v>46</v>
      </c>
      <c r="AK191" s="84">
        <v>0</v>
      </c>
      <c r="BB191" s="279" t="s">
        <v>67</v>
      </c>
      <c r="BM191" s="78">
        <f t="shared" si="27"/>
        <v>12.46</v>
      </c>
      <c r="BN191" s="78">
        <f t="shared" si="28"/>
        <v>12.46</v>
      </c>
      <c r="BO191" s="78">
        <f t="shared" si="29"/>
        <v>2.9914529914529919E-2</v>
      </c>
      <c r="BP191" s="78">
        <f t="shared" si="30"/>
        <v>2.9914529914529919E-2</v>
      </c>
    </row>
    <row r="192" spans="1:68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44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44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0.34088000000000002</v>
      </c>
      <c r="AA192" s="67"/>
      <c r="AB192" s="67"/>
      <c r="AC192" s="67"/>
    </row>
    <row r="193" spans="1:68" x14ac:dyDescent="0.2">
      <c r="A193" s="661"/>
      <c r="B193" s="661"/>
      <c r="C193" s="661"/>
      <c r="D193" s="661"/>
      <c r="E193" s="661"/>
      <c r="F193" s="661"/>
      <c r="G193" s="661"/>
      <c r="H193" s="661"/>
      <c r="I193" s="661"/>
      <c r="J193" s="661"/>
      <c r="K193" s="661"/>
      <c r="L193" s="661"/>
      <c r="M193" s="661"/>
      <c r="N193" s="661"/>
      <c r="O193" s="662"/>
      <c r="P193" s="658" t="s">
        <v>40</v>
      </c>
      <c r="Q193" s="659"/>
      <c r="R193" s="659"/>
      <c r="S193" s="659"/>
      <c r="T193" s="659"/>
      <c r="U193" s="659"/>
      <c r="V193" s="660"/>
      <c r="W193" s="42" t="s">
        <v>0</v>
      </c>
      <c r="X193" s="43">
        <f>IFERROR(SUM(X180:X191),"0")</f>
        <v>128.52000000000001</v>
      </c>
      <c r="Y193" s="43">
        <f>IFERROR(SUM(Y180:Y191),"0")</f>
        <v>128.52000000000001</v>
      </c>
      <c r="Z193" s="42"/>
      <c r="AA193" s="67"/>
      <c r="AB193" s="67"/>
      <c r="AC193" s="67"/>
    </row>
    <row r="194" spans="1:68" ht="14.25" hidden="1" customHeight="1" x14ac:dyDescent="0.25">
      <c r="A194" s="664" t="s">
        <v>86</v>
      </c>
      <c r="B194" s="664"/>
      <c r="C194" s="664"/>
      <c r="D194" s="664"/>
      <c r="E194" s="664"/>
      <c r="F194" s="664"/>
      <c r="G194" s="664"/>
      <c r="H194" s="664"/>
      <c r="I194" s="664"/>
      <c r="J194" s="664"/>
      <c r="K194" s="664"/>
      <c r="L194" s="664"/>
      <c r="M194" s="664"/>
      <c r="N194" s="664"/>
      <c r="O194" s="664"/>
      <c r="P194" s="664"/>
      <c r="Q194" s="664"/>
      <c r="R194" s="664"/>
      <c r="S194" s="664"/>
      <c r="T194" s="664"/>
      <c r="U194" s="664"/>
      <c r="V194" s="664"/>
      <c r="W194" s="664"/>
      <c r="X194" s="664"/>
      <c r="Y194" s="664"/>
      <c r="Z194" s="664"/>
      <c r="AA194" s="66"/>
      <c r="AB194" s="66"/>
      <c r="AC194" s="80"/>
    </row>
    <row r="195" spans="1:68" ht="16.5" customHeight="1" x14ac:dyDescent="0.25">
      <c r="A195" s="63" t="s">
        <v>343</v>
      </c>
      <c r="B195" s="63" t="s">
        <v>344</v>
      </c>
      <c r="C195" s="36">
        <v>4301052193</v>
      </c>
      <c r="D195" s="665">
        <v>4680115888395</v>
      </c>
      <c r="E195" s="66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91</v>
      </c>
      <c r="L195" s="37" t="s">
        <v>46</v>
      </c>
      <c r="M195" s="38" t="s">
        <v>97</v>
      </c>
      <c r="N195" s="38"/>
      <c r="O195" s="37">
        <v>40</v>
      </c>
      <c r="P195" s="85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7"/>
      <c r="R195" s="667"/>
      <c r="S195" s="667"/>
      <c r="T195" s="668"/>
      <c r="U195" s="39" t="s">
        <v>46</v>
      </c>
      <c r="V195" s="39" t="s">
        <v>46</v>
      </c>
      <c r="W195" s="40" t="s">
        <v>0</v>
      </c>
      <c r="X195" s="58">
        <v>5.04</v>
      </c>
      <c r="Y195" s="55">
        <f>IFERROR(IF(X195="",0,CEILING((X195/$H195),1)*$H195),"")</f>
        <v>5.04</v>
      </c>
      <c r="Z195" s="41">
        <f>IFERROR(IF(Y195=0,"",ROUNDUP(Y195/H195,0)*0.00651),"")</f>
        <v>1.302E-2</v>
      </c>
      <c r="AA195" s="68" t="s">
        <v>46</v>
      </c>
      <c r="AB195" s="69" t="s">
        <v>46</v>
      </c>
      <c r="AC195" s="280" t="s">
        <v>345</v>
      </c>
      <c r="AG195" s="78"/>
      <c r="AJ195" s="84" t="s">
        <v>46</v>
      </c>
      <c r="AK195" s="84">
        <v>0</v>
      </c>
      <c r="BB195" s="281" t="s">
        <v>67</v>
      </c>
      <c r="BM195" s="78">
        <f>IFERROR(X195*I195/H195,"0")</f>
        <v>5.532</v>
      </c>
      <c r="BN195" s="78">
        <f>IFERROR(Y195*I195/H195,"0")</f>
        <v>5.532</v>
      </c>
      <c r="BO195" s="78">
        <f>IFERROR(1/J195*(X195/H195),"0")</f>
        <v>1.098901098901099E-2</v>
      </c>
      <c r="BP195" s="78">
        <f>IFERROR(1/J195*(Y195/H195),"0")</f>
        <v>1.098901098901099E-2</v>
      </c>
    </row>
    <row r="196" spans="1:68" ht="16.5" hidden="1" customHeight="1" x14ac:dyDescent="0.25">
      <c r="A196" s="63" t="s">
        <v>346</v>
      </c>
      <c r="B196" s="63" t="s">
        <v>347</v>
      </c>
      <c r="C196" s="36">
        <v>4301052191</v>
      </c>
      <c r="D196" s="665">
        <v>4680115888371</v>
      </c>
      <c r="E196" s="66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91</v>
      </c>
      <c r="L196" s="37" t="s">
        <v>46</v>
      </c>
      <c r="M196" s="38" t="s">
        <v>97</v>
      </c>
      <c r="N196" s="38"/>
      <c r="O196" s="37">
        <v>40</v>
      </c>
      <c r="P196" s="85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7"/>
      <c r="R196" s="667"/>
      <c r="S196" s="667"/>
      <c r="T196" s="66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348</v>
      </c>
      <c r="AG196" s="78"/>
      <c r="AJ196" s="84" t="s">
        <v>46</v>
      </c>
      <c r="AK196" s="84">
        <v>0</v>
      </c>
      <c r="BB196" s="28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349</v>
      </c>
      <c r="B197" s="63" t="s">
        <v>350</v>
      </c>
      <c r="C197" s="36">
        <v>4301052064</v>
      </c>
      <c r="D197" s="665">
        <v>4680115887459</v>
      </c>
      <c r="E197" s="66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91</v>
      </c>
      <c r="L197" s="37" t="s">
        <v>46</v>
      </c>
      <c r="M197" s="38" t="s">
        <v>90</v>
      </c>
      <c r="N197" s="38"/>
      <c r="O197" s="37">
        <v>45</v>
      </c>
      <c r="P197" s="85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7"/>
      <c r="R197" s="667"/>
      <c r="S197" s="667"/>
      <c r="T197" s="66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351</v>
      </c>
      <c r="AG197" s="78"/>
      <c r="AJ197" s="84" t="s">
        <v>46</v>
      </c>
      <c r="AK197" s="84">
        <v>0</v>
      </c>
      <c r="BB197" s="28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661"/>
      <c r="B198" s="661"/>
      <c r="C198" s="661"/>
      <c r="D198" s="661"/>
      <c r="E198" s="661"/>
      <c r="F198" s="661"/>
      <c r="G198" s="661"/>
      <c r="H198" s="661"/>
      <c r="I198" s="661"/>
      <c r="J198" s="661"/>
      <c r="K198" s="661"/>
      <c r="L198" s="661"/>
      <c r="M198" s="661"/>
      <c r="N198" s="661"/>
      <c r="O198" s="662"/>
      <c r="P198" s="658" t="s">
        <v>40</v>
      </c>
      <c r="Q198" s="659"/>
      <c r="R198" s="659"/>
      <c r="S198" s="659"/>
      <c r="T198" s="659"/>
      <c r="U198" s="659"/>
      <c r="V198" s="660"/>
      <c r="W198" s="42" t="s">
        <v>39</v>
      </c>
      <c r="X198" s="43">
        <f>IFERROR(X195/H195,"0")+IFERROR(X196/H196,"0")+IFERROR(X197/H197,"0")</f>
        <v>2</v>
      </c>
      <c r="Y198" s="43">
        <f>IFERROR(Y195/H195,"0")+IFERROR(Y196/H196,"0")+IFERROR(Y197/H197,"0")</f>
        <v>2</v>
      </c>
      <c r="Z198" s="43">
        <f>IFERROR(IF(Z195="",0,Z195),"0")+IFERROR(IF(Z196="",0,Z196),"0")+IFERROR(IF(Z197="",0,Z197),"0")</f>
        <v>1.302E-2</v>
      </c>
      <c r="AA198" s="67"/>
      <c r="AB198" s="67"/>
      <c r="AC198" s="67"/>
    </row>
    <row r="199" spans="1:68" x14ac:dyDescent="0.2">
      <c r="A199" s="661"/>
      <c r="B199" s="661"/>
      <c r="C199" s="661"/>
      <c r="D199" s="661"/>
      <c r="E199" s="661"/>
      <c r="F199" s="661"/>
      <c r="G199" s="661"/>
      <c r="H199" s="661"/>
      <c r="I199" s="661"/>
      <c r="J199" s="661"/>
      <c r="K199" s="661"/>
      <c r="L199" s="661"/>
      <c r="M199" s="661"/>
      <c r="N199" s="661"/>
      <c r="O199" s="662"/>
      <c r="P199" s="658" t="s">
        <v>40</v>
      </c>
      <c r="Q199" s="659"/>
      <c r="R199" s="659"/>
      <c r="S199" s="659"/>
      <c r="T199" s="659"/>
      <c r="U199" s="659"/>
      <c r="V199" s="660"/>
      <c r="W199" s="42" t="s">
        <v>0</v>
      </c>
      <c r="X199" s="43">
        <f>IFERROR(SUM(X195:X197),"0")</f>
        <v>5.04</v>
      </c>
      <c r="Y199" s="43">
        <f>IFERROR(SUM(Y195:Y197),"0")</f>
        <v>5.04</v>
      </c>
      <c r="Z199" s="42"/>
      <c r="AA199" s="67"/>
      <c r="AB199" s="67"/>
      <c r="AC199" s="67"/>
    </row>
    <row r="200" spans="1:68" ht="14.25" hidden="1" customHeight="1" x14ac:dyDescent="0.25">
      <c r="A200" s="664" t="s">
        <v>289</v>
      </c>
      <c r="B200" s="664"/>
      <c r="C200" s="664"/>
      <c r="D200" s="664"/>
      <c r="E200" s="664"/>
      <c r="F200" s="664"/>
      <c r="G200" s="664"/>
      <c r="H200" s="664"/>
      <c r="I200" s="664"/>
      <c r="J200" s="664"/>
      <c r="K200" s="664"/>
      <c r="L200" s="664"/>
      <c r="M200" s="664"/>
      <c r="N200" s="664"/>
      <c r="O200" s="664"/>
      <c r="P200" s="664"/>
      <c r="Q200" s="664"/>
      <c r="R200" s="664"/>
      <c r="S200" s="664"/>
      <c r="T200" s="664"/>
      <c r="U200" s="664"/>
      <c r="V200" s="664"/>
      <c r="W200" s="664"/>
      <c r="X200" s="664"/>
      <c r="Y200" s="664"/>
      <c r="Z200" s="664"/>
      <c r="AA200" s="66"/>
      <c r="AB200" s="66"/>
      <c r="AC200" s="80"/>
    </row>
    <row r="201" spans="1:68" ht="16.5" hidden="1" customHeight="1" x14ac:dyDescent="0.25">
      <c r="A201" s="63" t="s">
        <v>352</v>
      </c>
      <c r="B201" s="63" t="s">
        <v>353</v>
      </c>
      <c r="C201" s="36">
        <v>4301032058</v>
      </c>
      <c r="D201" s="665">
        <v>4680115889026</v>
      </c>
      <c r="E201" s="66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355</v>
      </c>
      <c r="L201" s="37" t="s">
        <v>46</v>
      </c>
      <c r="M201" s="38" t="s">
        <v>294</v>
      </c>
      <c r="N201" s="38"/>
      <c r="O201" s="37">
        <v>60</v>
      </c>
      <c r="P201" s="85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7"/>
      <c r="R201" s="667"/>
      <c r="S201" s="667"/>
      <c r="T201" s="66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354</v>
      </c>
      <c r="AG201" s="78"/>
      <c r="AJ201" s="84" t="s">
        <v>46</v>
      </c>
      <c r="AK201" s="84">
        <v>0</v>
      </c>
      <c r="BB201" s="28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1"/>
      <c r="B202" s="661"/>
      <c r="C202" s="661"/>
      <c r="D202" s="661"/>
      <c r="E202" s="661"/>
      <c r="F202" s="661"/>
      <c r="G202" s="661"/>
      <c r="H202" s="661"/>
      <c r="I202" s="661"/>
      <c r="J202" s="661"/>
      <c r="K202" s="661"/>
      <c r="L202" s="661"/>
      <c r="M202" s="661"/>
      <c r="N202" s="661"/>
      <c r="O202" s="662"/>
      <c r="P202" s="658" t="s">
        <v>40</v>
      </c>
      <c r="Q202" s="659"/>
      <c r="R202" s="659"/>
      <c r="S202" s="659"/>
      <c r="T202" s="659"/>
      <c r="U202" s="659"/>
      <c r="V202" s="66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661"/>
      <c r="B203" s="661"/>
      <c r="C203" s="661"/>
      <c r="D203" s="661"/>
      <c r="E203" s="661"/>
      <c r="F203" s="661"/>
      <c r="G203" s="661"/>
      <c r="H203" s="661"/>
      <c r="I203" s="661"/>
      <c r="J203" s="661"/>
      <c r="K203" s="661"/>
      <c r="L203" s="661"/>
      <c r="M203" s="661"/>
      <c r="N203" s="661"/>
      <c r="O203" s="662"/>
      <c r="P203" s="658" t="s">
        <v>40</v>
      </c>
      <c r="Q203" s="659"/>
      <c r="R203" s="659"/>
      <c r="S203" s="659"/>
      <c r="T203" s="659"/>
      <c r="U203" s="659"/>
      <c r="V203" s="66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64" t="s">
        <v>356</v>
      </c>
      <c r="B204" s="664"/>
      <c r="C204" s="664"/>
      <c r="D204" s="664"/>
      <c r="E204" s="664"/>
      <c r="F204" s="664"/>
      <c r="G204" s="664"/>
      <c r="H204" s="664"/>
      <c r="I204" s="664"/>
      <c r="J204" s="664"/>
      <c r="K204" s="664"/>
      <c r="L204" s="664"/>
      <c r="M204" s="664"/>
      <c r="N204" s="664"/>
      <c r="O204" s="664"/>
      <c r="P204" s="664"/>
      <c r="Q204" s="664"/>
      <c r="R204" s="664"/>
      <c r="S204" s="664"/>
      <c r="T204" s="664"/>
      <c r="U204" s="664"/>
      <c r="V204" s="664"/>
      <c r="W204" s="664"/>
      <c r="X204" s="664"/>
      <c r="Y204" s="664"/>
      <c r="Z204" s="664"/>
      <c r="AA204" s="66"/>
      <c r="AB204" s="66"/>
      <c r="AC204" s="80"/>
    </row>
    <row r="205" spans="1:68" ht="27" hidden="1" customHeight="1" x14ac:dyDescent="0.25">
      <c r="A205" s="63" t="s">
        <v>357</v>
      </c>
      <c r="B205" s="63" t="s">
        <v>358</v>
      </c>
      <c r="C205" s="36">
        <v>4301041009</v>
      </c>
      <c r="D205" s="665">
        <v>4680115889033</v>
      </c>
      <c r="E205" s="66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355</v>
      </c>
      <c r="L205" s="37" t="s">
        <v>46</v>
      </c>
      <c r="M205" s="38" t="s">
        <v>294</v>
      </c>
      <c r="N205" s="38"/>
      <c r="O205" s="37">
        <v>60</v>
      </c>
      <c r="P205" s="85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7"/>
      <c r="R205" s="667"/>
      <c r="S205" s="667"/>
      <c r="T205" s="66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359</v>
      </c>
      <c r="AG205" s="78"/>
      <c r="AJ205" s="84" t="s">
        <v>46</v>
      </c>
      <c r="AK205" s="84">
        <v>0</v>
      </c>
      <c r="BB205" s="289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1"/>
      <c r="B206" s="661"/>
      <c r="C206" s="661"/>
      <c r="D206" s="661"/>
      <c r="E206" s="661"/>
      <c r="F206" s="661"/>
      <c r="G206" s="661"/>
      <c r="H206" s="661"/>
      <c r="I206" s="661"/>
      <c r="J206" s="661"/>
      <c r="K206" s="661"/>
      <c r="L206" s="661"/>
      <c r="M206" s="661"/>
      <c r="N206" s="661"/>
      <c r="O206" s="662"/>
      <c r="P206" s="658" t="s">
        <v>40</v>
      </c>
      <c r="Q206" s="659"/>
      <c r="R206" s="659"/>
      <c r="S206" s="659"/>
      <c r="T206" s="659"/>
      <c r="U206" s="659"/>
      <c r="V206" s="66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678" t="s">
        <v>360</v>
      </c>
      <c r="B208" s="678"/>
      <c r="C208" s="678"/>
      <c r="D208" s="678"/>
      <c r="E208" s="678"/>
      <c r="F208" s="678"/>
      <c r="G208" s="678"/>
      <c r="H208" s="678"/>
      <c r="I208" s="678"/>
      <c r="J208" s="678"/>
      <c r="K208" s="678"/>
      <c r="L208" s="678"/>
      <c r="M208" s="678"/>
      <c r="N208" s="678"/>
      <c r="O208" s="678"/>
      <c r="P208" s="678"/>
      <c r="Q208" s="678"/>
      <c r="R208" s="678"/>
      <c r="S208" s="678"/>
      <c r="T208" s="678"/>
      <c r="U208" s="678"/>
      <c r="V208" s="678"/>
      <c r="W208" s="678"/>
      <c r="X208" s="678"/>
      <c r="Y208" s="678"/>
      <c r="Z208" s="678"/>
      <c r="AA208" s="54"/>
      <c r="AB208" s="54"/>
      <c r="AC208" s="54"/>
    </row>
    <row r="209" spans="1:68" ht="16.5" hidden="1" customHeight="1" x14ac:dyDescent="0.25">
      <c r="A209" s="663" t="s">
        <v>361</v>
      </c>
      <c r="B209" s="663"/>
      <c r="C209" s="663"/>
      <c r="D209" s="663"/>
      <c r="E209" s="663"/>
      <c r="F209" s="663"/>
      <c r="G209" s="663"/>
      <c r="H209" s="663"/>
      <c r="I209" s="663"/>
      <c r="J209" s="663"/>
      <c r="K209" s="663"/>
      <c r="L209" s="663"/>
      <c r="M209" s="663"/>
      <c r="N209" s="663"/>
      <c r="O209" s="663"/>
      <c r="P209" s="663"/>
      <c r="Q209" s="663"/>
      <c r="R209" s="663"/>
      <c r="S209" s="663"/>
      <c r="T209" s="663"/>
      <c r="U209" s="663"/>
      <c r="V209" s="663"/>
      <c r="W209" s="663"/>
      <c r="X209" s="663"/>
      <c r="Y209" s="663"/>
      <c r="Z209" s="663"/>
      <c r="AA209" s="65"/>
      <c r="AB209" s="65"/>
      <c r="AC209" s="79"/>
    </row>
    <row r="210" spans="1:68" ht="14.25" hidden="1" customHeight="1" x14ac:dyDescent="0.25">
      <c r="A210" s="664" t="s">
        <v>122</v>
      </c>
      <c r="B210" s="664"/>
      <c r="C210" s="664"/>
      <c r="D210" s="664"/>
      <c r="E210" s="664"/>
      <c r="F210" s="664"/>
      <c r="G210" s="664"/>
      <c r="H210" s="664"/>
      <c r="I210" s="664"/>
      <c r="J210" s="664"/>
      <c r="K210" s="664"/>
      <c r="L210" s="664"/>
      <c r="M210" s="664"/>
      <c r="N210" s="664"/>
      <c r="O210" s="664"/>
      <c r="P210" s="664"/>
      <c r="Q210" s="664"/>
      <c r="R210" s="664"/>
      <c r="S210" s="664"/>
      <c r="T210" s="664"/>
      <c r="U210" s="664"/>
      <c r="V210" s="664"/>
      <c r="W210" s="664"/>
      <c r="X210" s="664"/>
      <c r="Y210" s="664"/>
      <c r="Z210" s="664"/>
      <c r="AA210" s="66"/>
      <c r="AB210" s="66"/>
      <c r="AC210" s="80"/>
    </row>
    <row r="211" spans="1:68" ht="27" hidden="1" customHeight="1" x14ac:dyDescent="0.25">
      <c r="A211" s="63" t="s">
        <v>362</v>
      </c>
      <c r="B211" s="63" t="s">
        <v>363</v>
      </c>
      <c r="C211" s="36">
        <v>4301011223</v>
      </c>
      <c r="D211" s="665">
        <v>4607091383423</v>
      </c>
      <c r="E211" s="66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7"/>
      <c r="R211" s="667"/>
      <c r="S211" s="667"/>
      <c r="T211" s="66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125</v>
      </c>
      <c r="AG211" s="78"/>
      <c r="AJ211" s="84" t="s">
        <v>46</v>
      </c>
      <c r="AK211" s="84">
        <v>0</v>
      </c>
      <c r="BB211" s="291" t="s">
        <v>67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364</v>
      </c>
      <c r="B212" s="63" t="s">
        <v>365</v>
      </c>
      <c r="C212" s="36">
        <v>4301012340</v>
      </c>
      <c r="D212" s="665">
        <v>4680115888760</v>
      </c>
      <c r="E212" s="66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7"/>
      <c r="R212" s="667"/>
      <c r="S212" s="667"/>
      <c r="T212" s="66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366</v>
      </c>
      <c r="AG212" s="78"/>
      <c r="AJ212" s="84" t="s">
        <v>46</v>
      </c>
      <c r="AK212" s="84">
        <v>0</v>
      </c>
      <c r="BB212" s="293" t="s">
        <v>67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367</v>
      </c>
      <c r="B213" s="63" t="s">
        <v>368</v>
      </c>
      <c r="C213" s="36">
        <v>4301012341</v>
      </c>
      <c r="D213" s="665">
        <v>4680115888807</v>
      </c>
      <c r="E213" s="66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127</v>
      </c>
      <c r="L213" s="37" t="s">
        <v>46</v>
      </c>
      <c r="M213" s="38" t="s">
        <v>90</v>
      </c>
      <c r="N213" s="38"/>
      <c r="O213" s="37">
        <v>35</v>
      </c>
      <c r="P213" s="85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7"/>
      <c r="R213" s="667"/>
      <c r="S213" s="667"/>
      <c r="T213" s="66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369</v>
      </c>
      <c r="AG213" s="78"/>
      <c r="AJ213" s="84" t="s">
        <v>46</v>
      </c>
      <c r="AK213" s="84">
        <v>0</v>
      </c>
      <c r="BB213" s="295" t="s">
        <v>67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370</v>
      </c>
      <c r="B214" s="63" t="s">
        <v>371</v>
      </c>
      <c r="C214" s="36">
        <v>4301012342</v>
      </c>
      <c r="D214" s="665">
        <v>4680115888852</v>
      </c>
      <c r="E214" s="66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127</v>
      </c>
      <c r="L214" s="37" t="s">
        <v>46</v>
      </c>
      <c r="M214" s="38" t="s">
        <v>90</v>
      </c>
      <c r="N214" s="38"/>
      <c r="O214" s="37">
        <v>35</v>
      </c>
      <c r="P214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7"/>
      <c r="R214" s="667"/>
      <c r="S214" s="667"/>
      <c r="T214" s="66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372</v>
      </c>
      <c r="AG214" s="78"/>
      <c r="AJ214" s="84" t="s">
        <v>46</v>
      </c>
      <c r="AK214" s="84">
        <v>0</v>
      </c>
      <c r="BB214" s="297" t="s">
        <v>67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373</v>
      </c>
      <c r="B215" s="63" t="s">
        <v>374</v>
      </c>
      <c r="C215" s="36">
        <v>4301012370</v>
      </c>
      <c r="D215" s="665">
        <v>4680115886957</v>
      </c>
      <c r="E215" s="66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7"/>
      <c r="R215" s="667"/>
      <c r="S215" s="667"/>
      <c r="T215" s="66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375</v>
      </c>
      <c r="AG215" s="78"/>
      <c r="AJ215" s="84" t="s">
        <v>46</v>
      </c>
      <c r="AK215" s="84">
        <v>0</v>
      </c>
      <c r="BB215" s="299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376</v>
      </c>
      <c r="B216" s="63" t="s">
        <v>377</v>
      </c>
      <c r="C216" s="36">
        <v>4301012098</v>
      </c>
      <c r="D216" s="665">
        <v>4680115885660</v>
      </c>
      <c r="E216" s="66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7"/>
      <c r="R216" s="667"/>
      <c r="S216" s="667"/>
      <c r="T216" s="66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378</v>
      </c>
      <c r="AG216" s="78"/>
      <c r="AJ216" s="84" t="s">
        <v>46</v>
      </c>
      <c r="AK216" s="84">
        <v>0</v>
      </c>
      <c r="BB216" s="301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379</v>
      </c>
      <c r="B217" s="63" t="s">
        <v>380</v>
      </c>
      <c r="C217" s="36">
        <v>4301012369</v>
      </c>
      <c r="D217" s="665">
        <v>4680115886773</v>
      </c>
      <c r="E217" s="66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7"/>
      <c r="R217" s="667"/>
      <c r="S217" s="667"/>
      <c r="T217" s="66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381</v>
      </c>
      <c r="AG217" s="78"/>
      <c r="AJ217" s="84" t="s">
        <v>46</v>
      </c>
      <c r="AK217" s="84">
        <v>0</v>
      </c>
      <c r="BB217" s="303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661"/>
      <c r="B218" s="661"/>
      <c r="C218" s="661"/>
      <c r="D218" s="661"/>
      <c r="E218" s="661"/>
      <c r="F218" s="661"/>
      <c r="G218" s="661"/>
      <c r="H218" s="661"/>
      <c r="I218" s="661"/>
      <c r="J218" s="661"/>
      <c r="K218" s="661"/>
      <c r="L218" s="661"/>
      <c r="M218" s="661"/>
      <c r="N218" s="661"/>
      <c r="O218" s="662"/>
      <c r="P218" s="658" t="s">
        <v>40</v>
      </c>
      <c r="Q218" s="659"/>
      <c r="R218" s="659"/>
      <c r="S218" s="659"/>
      <c r="T218" s="659"/>
      <c r="U218" s="659"/>
      <c r="V218" s="660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661"/>
      <c r="B219" s="661"/>
      <c r="C219" s="661"/>
      <c r="D219" s="661"/>
      <c r="E219" s="661"/>
      <c r="F219" s="661"/>
      <c r="G219" s="661"/>
      <c r="H219" s="661"/>
      <c r="I219" s="661"/>
      <c r="J219" s="661"/>
      <c r="K219" s="661"/>
      <c r="L219" s="661"/>
      <c r="M219" s="661"/>
      <c r="N219" s="661"/>
      <c r="O219" s="662"/>
      <c r="P219" s="658" t="s">
        <v>40</v>
      </c>
      <c r="Q219" s="659"/>
      <c r="R219" s="659"/>
      <c r="S219" s="659"/>
      <c r="T219" s="659"/>
      <c r="U219" s="659"/>
      <c r="V219" s="660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663" t="s">
        <v>382</v>
      </c>
      <c r="B220" s="663"/>
      <c r="C220" s="663"/>
      <c r="D220" s="663"/>
      <c r="E220" s="663"/>
      <c r="F220" s="663"/>
      <c r="G220" s="663"/>
      <c r="H220" s="663"/>
      <c r="I220" s="663"/>
      <c r="J220" s="663"/>
      <c r="K220" s="663"/>
      <c r="L220" s="663"/>
      <c r="M220" s="663"/>
      <c r="N220" s="663"/>
      <c r="O220" s="663"/>
      <c r="P220" s="663"/>
      <c r="Q220" s="663"/>
      <c r="R220" s="663"/>
      <c r="S220" s="663"/>
      <c r="T220" s="663"/>
      <c r="U220" s="663"/>
      <c r="V220" s="663"/>
      <c r="W220" s="663"/>
      <c r="X220" s="663"/>
      <c r="Y220" s="663"/>
      <c r="Z220" s="663"/>
      <c r="AA220" s="65"/>
      <c r="AB220" s="65"/>
      <c r="AC220" s="79"/>
    </row>
    <row r="221" spans="1:68" ht="14.25" hidden="1" customHeight="1" x14ac:dyDescent="0.25">
      <c r="A221" s="664" t="s">
        <v>155</v>
      </c>
      <c r="B221" s="664"/>
      <c r="C221" s="664"/>
      <c r="D221" s="664"/>
      <c r="E221" s="664"/>
      <c r="F221" s="664"/>
      <c r="G221" s="664"/>
      <c r="H221" s="664"/>
      <c r="I221" s="664"/>
      <c r="J221" s="664"/>
      <c r="K221" s="664"/>
      <c r="L221" s="664"/>
      <c r="M221" s="664"/>
      <c r="N221" s="664"/>
      <c r="O221" s="664"/>
      <c r="P221" s="664"/>
      <c r="Q221" s="664"/>
      <c r="R221" s="664"/>
      <c r="S221" s="664"/>
      <c r="T221" s="664"/>
      <c r="U221" s="664"/>
      <c r="V221" s="664"/>
      <c r="W221" s="664"/>
      <c r="X221" s="664"/>
      <c r="Y221" s="664"/>
      <c r="Z221" s="664"/>
      <c r="AA221" s="66"/>
      <c r="AB221" s="66"/>
      <c r="AC221" s="80"/>
    </row>
    <row r="222" spans="1:68" ht="27" hidden="1" customHeight="1" x14ac:dyDescent="0.25">
      <c r="A222" s="63" t="s">
        <v>383</v>
      </c>
      <c r="B222" s="63" t="s">
        <v>384</v>
      </c>
      <c r="C222" s="36">
        <v>4301020323</v>
      </c>
      <c r="D222" s="665">
        <v>4680115886223</v>
      </c>
      <c r="E222" s="66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7"/>
      <c r="R222" s="667"/>
      <c r="S222" s="667"/>
      <c r="T222" s="66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385</v>
      </c>
      <c r="AG222" s="78"/>
      <c r="AJ222" s="84" t="s">
        <v>46</v>
      </c>
      <c r="AK222" s="84">
        <v>0</v>
      </c>
      <c r="BB222" s="305" t="s">
        <v>67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661"/>
      <c r="B223" s="661"/>
      <c r="C223" s="661"/>
      <c r="D223" s="661"/>
      <c r="E223" s="661"/>
      <c r="F223" s="661"/>
      <c r="G223" s="661"/>
      <c r="H223" s="661"/>
      <c r="I223" s="661"/>
      <c r="J223" s="661"/>
      <c r="K223" s="661"/>
      <c r="L223" s="661"/>
      <c r="M223" s="661"/>
      <c r="N223" s="661"/>
      <c r="O223" s="662"/>
      <c r="P223" s="658" t="s">
        <v>40</v>
      </c>
      <c r="Q223" s="659"/>
      <c r="R223" s="659"/>
      <c r="S223" s="659"/>
      <c r="T223" s="659"/>
      <c r="U223" s="659"/>
      <c r="V223" s="660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661"/>
      <c r="B224" s="661"/>
      <c r="C224" s="661"/>
      <c r="D224" s="661"/>
      <c r="E224" s="661"/>
      <c r="F224" s="661"/>
      <c r="G224" s="661"/>
      <c r="H224" s="661"/>
      <c r="I224" s="661"/>
      <c r="J224" s="661"/>
      <c r="K224" s="661"/>
      <c r="L224" s="661"/>
      <c r="M224" s="661"/>
      <c r="N224" s="661"/>
      <c r="O224" s="662"/>
      <c r="P224" s="658" t="s">
        <v>40</v>
      </c>
      <c r="Q224" s="659"/>
      <c r="R224" s="659"/>
      <c r="S224" s="659"/>
      <c r="T224" s="659"/>
      <c r="U224" s="659"/>
      <c r="V224" s="660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664" t="s">
        <v>77</v>
      </c>
      <c r="B225" s="664"/>
      <c r="C225" s="664"/>
      <c r="D225" s="664"/>
      <c r="E225" s="664"/>
      <c r="F225" s="664"/>
      <c r="G225" s="664"/>
      <c r="H225" s="664"/>
      <c r="I225" s="664"/>
      <c r="J225" s="664"/>
      <c r="K225" s="664"/>
      <c r="L225" s="664"/>
      <c r="M225" s="664"/>
      <c r="N225" s="664"/>
      <c r="O225" s="664"/>
      <c r="P225" s="664"/>
      <c r="Q225" s="664"/>
      <c r="R225" s="664"/>
      <c r="S225" s="664"/>
      <c r="T225" s="664"/>
      <c r="U225" s="664"/>
      <c r="V225" s="664"/>
      <c r="W225" s="664"/>
      <c r="X225" s="664"/>
      <c r="Y225" s="664"/>
      <c r="Z225" s="664"/>
      <c r="AA225" s="66"/>
      <c r="AB225" s="66"/>
      <c r="AC225" s="80"/>
    </row>
    <row r="226" spans="1:68" ht="27" customHeight="1" x14ac:dyDescent="0.25">
      <c r="A226" s="63" t="s">
        <v>386</v>
      </c>
      <c r="B226" s="63" t="s">
        <v>387</v>
      </c>
      <c r="C226" s="36">
        <v>4301031191</v>
      </c>
      <c r="D226" s="665">
        <v>4680115880993</v>
      </c>
      <c r="E226" s="66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134</v>
      </c>
      <c r="L226" s="37" t="s">
        <v>46</v>
      </c>
      <c r="M226" s="38" t="s">
        <v>81</v>
      </c>
      <c r="N226" s="38"/>
      <c r="O226" s="37">
        <v>40</v>
      </c>
      <c r="P226" s="84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7"/>
      <c r="R226" s="667"/>
      <c r="S226" s="667"/>
      <c r="T226" s="668"/>
      <c r="U226" s="39" t="s">
        <v>46</v>
      </c>
      <c r="V226" s="39" t="s">
        <v>46</v>
      </c>
      <c r="W226" s="40" t="s">
        <v>0</v>
      </c>
      <c r="X226" s="58">
        <v>42</v>
      </c>
      <c r="Y226" s="55">
        <f t="shared" ref="Y226:Y239" si="37">IFERROR(IF(X226="",0,CEILING((X226/$H226),1)*$H226),"")</f>
        <v>42</v>
      </c>
      <c r="Z226" s="41">
        <f>IFERROR(IF(Y226=0,"",ROUNDUP(Y226/H226,0)*0.00902),"")</f>
        <v>9.0200000000000002E-2</v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ref="BM226:BM239" si="38">IFERROR(X226*I226/H226,"0")</f>
        <v>44.5</v>
      </c>
      <c r="BN226" s="78">
        <f t="shared" ref="BN226:BN239" si="39">IFERROR(Y226*I226/H226,"0")</f>
        <v>44.5</v>
      </c>
      <c r="BO226" s="78">
        <f t="shared" ref="BO226:BO239" si="40">IFERROR(1/J226*(X226/H226),"0")</f>
        <v>7.575757575757576E-2</v>
      </c>
      <c r="BP226" s="78">
        <f t="shared" ref="BP226:BP239" si="41">IFERROR(1/J226*(Y226/H226),"0")</f>
        <v>7.575757575757576E-2</v>
      </c>
    </row>
    <row r="227" spans="1:68" ht="27" customHeight="1" x14ac:dyDescent="0.25">
      <c r="A227" s="63" t="s">
        <v>389</v>
      </c>
      <c r="B227" s="63" t="s">
        <v>390</v>
      </c>
      <c r="C227" s="36">
        <v>4301031204</v>
      </c>
      <c r="D227" s="665">
        <v>4680115881761</v>
      </c>
      <c r="E227" s="66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134</v>
      </c>
      <c r="L227" s="37" t="s">
        <v>46</v>
      </c>
      <c r="M227" s="38" t="s">
        <v>81</v>
      </c>
      <c r="N227" s="38"/>
      <c r="O227" s="37">
        <v>40</v>
      </c>
      <c r="P227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7"/>
      <c r="R227" s="667"/>
      <c r="S227" s="667"/>
      <c r="T227" s="668"/>
      <c r="U227" s="39" t="s">
        <v>46</v>
      </c>
      <c r="V227" s="39" t="s">
        <v>46</v>
      </c>
      <c r="W227" s="40" t="s">
        <v>0</v>
      </c>
      <c r="X227" s="58">
        <v>25.2</v>
      </c>
      <c r="Y227" s="55">
        <f t="shared" si="37"/>
        <v>25.200000000000003</v>
      </c>
      <c r="Z227" s="41">
        <f>IFERROR(IF(Y227=0,"",ROUNDUP(Y227/H227,0)*0.00902),"")</f>
        <v>5.4120000000000001E-2</v>
      </c>
      <c r="AA227" s="68" t="s">
        <v>46</v>
      </c>
      <c r="AB227" s="69" t="s">
        <v>46</v>
      </c>
      <c r="AC227" s="308" t="s">
        <v>391</v>
      </c>
      <c r="AG227" s="78"/>
      <c r="AJ227" s="84" t="s">
        <v>46</v>
      </c>
      <c r="AK227" s="84">
        <v>0</v>
      </c>
      <c r="BB227" s="309" t="s">
        <v>67</v>
      </c>
      <c r="BM227" s="78">
        <f t="shared" si="38"/>
        <v>26.7</v>
      </c>
      <c r="BN227" s="78">
        <f t="shared" si="39"/>
        <v>26.700000000000003</v>
      </c>
      <c r="BO227" s="78">
        <f t="shared" si="40"/>
        <v>4.5454545454545456E-2</v>
      </c>
      <c r="BP227" s="78">
        <f t="shared" si="41"/>
        <v>4.5454545454545456E-2</v>
      </c>
    </row>
    <row r="228" spans="1:68" ht="27" customHeight="1" x14ac:dyDescent="0.25">
      <c r="A228" s="63" t="s">
        <v>392</v>
      </c>
      <c r="B228" s="63" t="s">
        <v>393</v>
      </c>
      <c r="C228" s="36">
        <v>4301031201</v>
      </c>
      <c r="D228" s="665">
        <v>4680115881563</v>
      </c>
      <c r="E228" s="66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134</v>
      </c>
      <c r="L228" s="37" t="s">
        <v>46</v>
      </c>
      <c r="M228" s="38" t="s">
        <v>81</v>
      </c>
      <c r="N228" s="38"/>
      <c r="O228" s="37">
        <v>40</v>
      </c>
      <c r="P228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7"/>
      <c r="R228" s="667"/>
      <c r="S228" s="667"/>
      <c r="T228" s="668"/>
      <c r="U228" s="39" t="s">
        <v>46</v>
      </c>
      <c r="V228" s="39" t="s">
        <v>46</v>
      </c>
      <c r="W228" s="40" t="s">
        <v>0</v>
      </c>
      <c r="X228" s="58">
        <v>42</v>
      </c>
      <c r="Y228" s="55">
        <f t="shared" si="37"/>
        <v>42</v>
      </c>
      <c r="Z228" s="41">
        <f>IFERROR(IF(Y228=0,"",ROUNDUP(Y228/H228,0)*0.00902),"")</f>
        <v>9.0200000000000002E-2</v>
      </c>
      <c r="AA228" s="68" t="s">
        <v>46</v>
      </c>
      <c r="AB228" s="69" t="s">
        <v>46</v>
      </c>
      <c r="AC228" s="310" t="s">
        <v>394</v>
      </c>
      <c r="AG228" s="78"/>
      <c r="AJ228" s="84" t="s">
        <v>46</v>
      </c>
      <c r="AK228" s="84">
        <v>0</v>
      </c>
      <c r="BB228" s="311" t="s">
        <v>67</v>
      </c>
      <c r="BM228" s="78">
        <f t="shared" si="38"/>
        <v>43.9</v>
      </c>
      <c r="BN228" s="78">
        <f t="shared" si="39"/>
        <v>43.9</v>
      </c>
      <c r="BO228" s="78">
        <f t="shared" si="40"/>
        <v>7.575757575757576E-2</v>
      </c>
      <c r="BP228" s="78">
        <f t="shared" si="41"/>
        <v>7.575757575757576E-2</v>
      </c>
    </row>
    <row r="229" spans="1:68" ht="37.5" hidden="1" customHeight="1" x14ac:dyDescent="0.25">
      <c r="A229" s="63" t="s">
        <v>395</v>
      </c>
      <c r="B229" s="63" t="s">
        <v>396</v>
      </c>
      <c r="C229" s="36">
        <v>4301031447</v>
      </c>
      <c r="D229" s="665">
        <v>4680115887565</v>
      </c>
      <c r="E229" s="66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7"/>
      <c r="R229" s="667"/>
      <c r="S229" s="667"/>
      <c r="T229" s="66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397</v>
      </c>
      <c r="AG229" s="78"/>
      <c r="AJ229" s="84" t="s">
        <v>46</v>
      </c>
      <c r="AK229" s="84">
        <v>0</v>
      </c>
      <c r="BB229" s="313" t="s">
        <v>67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customHeight="1" x14ac:dyDescent="0.25">
      <c r="A230" s="63" t="s">
        <v>398</v>
      </c>
      <c r="B230" s="63" t="s">
        <v>399</v>
      </c>
      <c r="C230" s="36">
        <v>4301031199</v>
      </c>
      <c r="D230" s="665">
        <v>4680115880986</v>
      </c>
      <c r="E230" s="66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7"/>
      <c r="R230" s="667"/>
      <c r="S230" s="667"/>
      <c r="T230" s="668"/>
      <c r="U230" s="39" t="s">
        <v>46</v>
      </c>
      <c r="V230" s="39" t="s">
        <v>46</v>
      </c>
      <c r="W230" s="40" t="s">
        <v>0</v>
      </c>
      <c r="X230" s="58">
        <v>14.7</v>
      </c>
      <c r="Y230" s="55">
        <f t="shared" si="37"/>
        <v>14.700000000000001</v>
      </c>
      <c r="Z230" s="41">
        <f t="shared" ref="Z230:Z235" si="42">IFERROR(IF(Y230=0,"",ROUNDUP(Y230/H230,0)*0.00502),"")</f>
        <v>3.5140000000000005E-2</v>
      </c>
      <c r="AA230" s="68" t="s">
        <v>46</v>
      </c>
      <c r="AB230" s="69" t="s">
        <v>46</v>
      </c>
      <c r="AC230" s="314" t="s">
        <v>388</v>
      </c>
      <c r="AG230" s="78"/>
      <c r="AJ230" s="84" t="s">
        <v>46</v>
      </c>
      <c r="AK230" s="84">
        <v>0</v>
      </c>
      <c r="BB230" s="315" t="s">
        <v>67</v>
      </c>
      <c r="BM230" s="78">
        <f t="shared" si="38"/>
        <v>15.61</v>
      </c>
      <c r="BN230" s="78">
        <f t="shared" si="39"/>
        <v>15.61</v>
      </c>
      <c r="BO230" s="78">
        <f t="shared" si="40"/>
        <v>2.9914529914529912E-2</v>
      </c>
      <c r="BP230" s="78">
        <f t="shared" si="41"/>
        <v>2.9914529914529919E-2</v>
      </c>
    </row>
    <row r="231" spans="1:68" ht="27" customHeight="1" x14ac:dyDescent="0.25">
      <c r="A231" s="63" t="s">
        <v>400</v>
      </c>
      <c r="B231" s="63" t="s">
        <v>401</v>
      </c>
      <c r="C231" s="36">
        <v>4301031443</v>
      </c>
      <c r="D231" s="665">
        <v>4680115887213</v>
      </c>
      <c r="E231" s="66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7"/>
      <c r="R231" s="667"/>
      <c r="S231" s="667"/>
      <c r="T231" s="668"/>
      <c r="U231" s="39" t="s">
        <v>46</v>
      </c>
      <c r="V231" s="39" t="s">
        <v>46</v>
      </c>
      <c r="W231" s="40" t="s">
        <v>0</v>
      </c>
      <c r="X231" s="58">
        <v>12.6</v>
      </c>
      <c r="Y231" s="55">
        <f t="shared" si="37"/>
        <v>12.6</v>
      </c>
      <c r="Z231" s="41">
        <f t="shared" si="42"/>
        <v>3.5140000000000005E-2</v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8"/>
        <v>13.299999999999999</v>
      </c>
      <c r="BN231" s="78">
        <f t="shared" si="39"/>
        <v>13.299999999999999</v>
      </c>
      <c r="BO231" s="78">
        <f t="shared" si="40"/>
        <v>2.9914529914529919E-2</v>
      </c>
      <c r="BP231" s="78">
        <f t="shared" si="41"/>
        <v>2.9914529914529919E-2</v>
      </c>
    </row>
    <row r="232" spans="1:68" ht="27" customHeight="1" x14ac:dyDescent="0.25">
      <c r="A232" s="63" t="s">
        <v>403</v>
      </c>
      <c r="B232" s="63" t="s">
        <v>404</v>
      </c>
      <c r="C232" s="36">
        <v>4301031205</v>
      </c>
      <c r="D232" s="665">
        <v>4680115881785</v>
      </c>
      <c r="E232" s="66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7"/>
      <c r="R232" s="667"/>
      <c r="S232" s="667"/>
      <c r="T232" s="668"/>
      <c r="U232" s="39" t="s">
        <v>46</v>
      </c>
      <c r="V232" s="39" t="s">
        <v>46</v>
      </c>
      <c r="W232" s="40" t="s">
        <v>0</v>
      </c>
      <c r="X232" s="58">
        <v>14.7</v>
      </c>
      <c r="Y232" s="55">
        <f t="shared" si="37"/>
        <v>14.700000000000001</v>
      </c>
      <c r="Z232" s="41">
        <f t="shared" si="42"/>
        <v>3.5140000000000005E-2</v>
      </c>
      <c r="AA232" s="68" t="s">
        <v>46</v>
      </c>
      <c r="AB232" s="69" t="s">
        <v>46</v>
      </c>
      <c r="AC232" s="318" t="s">
        <v>391</v>
      </c>
      <c r="AG232" s="78"/>
      <c r="AJ232" s="84" t="s">
        <v>46</v>
      </c>
      <c r="AK232" s="84">
        <v>0</v>
      </c>
      <c r="BB232" s="319" t="s">
        <v>67</v>
      </c>
      <c r="BM232" s="78">
        <f t="shared" si="38"/>
        <v>15.61</v>
      </c>
      <c r="BN232" s="78">
        <f t="shared" si="39"/>
        <v>15.61</v>
      </c>
      <c r="BO232" s="78">
        <f t="shared" si="40"/>
        <v>2.9914529914529912E-2</v>
      </c>
      <c r="BP232" s="78">
        <f t="shared" si="41"/>
        <v>2.9914529914529919E-2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4301031499</v>
      </c>
      <c r="D233" s="665">
        <v>4680115888432</v>
      </c>
      <c r="E233" s="66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7"/>
      <c r="R233" s="667"/>
      <c r="S233" s="667"/>
      <c r="T233" s="668"/>
      <c r="U233" s="39" t="s">
        <v>46</v>
      </c>
      <c r="V233" s="39" t="s">
        <v>46</v>
      </c>
      <c r="W233" s="40" t="s">
        <v>0</v>
      </c>
      <c r="X233" s="58"/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customHeight="1" x14ac:dyDescent="0.25">
      <c r="A234" s="63" t="s">
        <v>408</v>
      </c>
      <c r="B234" s="63" t="s">
        <v>409</v>
      </c>
      <c r="C234" s="36">
        <v>4301031427</v>
      </c>
      <c r="D234" s="665">
        <v>4680115888104</v>
      </c>
      <c r="E234" s="66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45</v>
      </c>
      <c r="P234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7"/>
      <c r="R234" s="667"/>
      <c r="S234" s="667"/>
      <c r="T234" s="668"/>
      <c r="U234" s="39" t="s">
        <v>46</v>
      </c>
      <c r="V234" s="39" t="s">
        <v>46</v>
      </c>
      <c r="W234" s="40" t="s">
        <v>0</v>
      </c>
      <c r="X234" s="58">
        <v>14.7</v>
      </c>
      <c r="Y234" s="55">
        <f t="shared" si="37"/>
        <v>14.700000000000001</v>
      </c>
      <c r="Z234" s="41">
        <f t="shared" si="42"/>
        <v>3.5140000000000005E-2</v>
      </c>
      <c r="AA234" s="68" t="s">
        <v>46</v>
      </c>
      <c r="AB234" s="69" t="s">
        <v>46</v>
      </c>
      <c r="AC234" s="322" t="s">
        <v>410</v>
      </c>
      <c r="AG234" s="78"/>
      <c r="AJ234" s="84" t="s">
        <v>46</v>
      </c>
      <c r="AK234" s="84">
        <v>0</v>
      </c>
      <c r="BB234" s="323" t="s">
        <v>67</v>
      </c>
      <c r="BM234" s="78">
        <f t="shared" si="38"/>
        <v>15.4</v>
      </c>
      <c r="BN234" s="78">
        <f t="shared" si="39"/>
        <v>15.4</v>
      </c>
      <c r="BO234" s="78">
        <f t="shared" si="40"/>
        <v>2.9914529914529912E-2</v>
      </c>
      <c r="BP234" s="78">
        <f t="shared" si="41"/>
        <v>2.9914529914529919E-2</v>
      </c>
    </row>
    <row r="235" spans="1:68" ht="27" customHeight="1" x14ac:dyDescent="0.25">
      <c r="A235" s="63" t="s">
        <v>411</v>
      </c>
      <c r="B235" s="63" t="s">
        <v>412</v>
      </c>
      <c r="C235" s="36">
        <v>4301031399</v>
      </c>
      <c r="D235" s="665">
        <v>4680115886537</v>
      </c>
      <c r="E235" s="66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7"/>
      <c r="R235" s="667"/>
      <c r="S235" s="667"/>
      <c r="T235" s="668"/>
      <c r="U235" s="39" t="s">
        <v>46</v>
      </c>
      <c r="V235" s="39" t="s">
        <v>46</v>
      </c>
      <c r="W235" s="40" t="s">
        <v>0</v>
      </c>
      <c r="X235" s="58">
        <v>12.6</v>
      </c>
      <c r="Y235" s="55">
        <f t="shared" si="37"/>
        <v>12.6</v>
      </c>
      <c r="Z235" s="41">
        <f t="shared" si="42"/>
        <v>3.5140000000000005E-2</v>
      </c>
      <c r="AA235" s="68" t="s">
        <v>46</v>
      </c>
      <c r="AB235" s="69" t="s">
        <v>46</v>
      </c>
      <c r="AC235" s="324" t="s">
        <v>413</v>
      </c>
      <c r="AG235" s="78"/>
      <c r="AJ235" s="84" t="s">
        <v>46</v>
      </c>
      <c r="AK235" s="84">
        <v>0</v>
      </c>
      <c r="BB235" s="325" t="s">
        <v>67</v>
      </c>
      <c r="BM235" s="78">
        <f t="shared" si="38"/>
        <v>13.509999999999998</v>
      </c>
      <c r="BN235" s="78">
        <f t="shared" si="39"/>
        <v>13.509999999999998</v>
      </c>
      <c r="BO235" s="78">
        <f t="shared" si="40"/>
        <v>2.9914529914529919E-2</v>
      </c>
      <c r="BP235" s="78">
        <f t="shared" si="41"/>
        <v>2.9914529914529919E-2</v>
      </c>
    </row>
    <row r="236" spans="1:68" ht="27" hidden="1" customHeight="1" x14ac:dyDescent="0.25">
      <c r="A236" s="63" t="s">
        <v>414</v>
      </c>
      <c r="B236" s="63" t="s">
        <v>415</v>
      </c>
      <c r="C236" s="36">
        <v>4301031279</v>
      </c>
      <c r="D236" s="665">
        <v>4680115887596</v>
      </c>
      <c r="E236" s="66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131</v>
      </c>
      <c r="L236" s="37" t="s">
        <v>46</v>
      </c>
      <c r="M236" s="38" t="s">
        <v>81</v>
      </c>
      <c r="N236" s="38"/>
      <c r="O236" s="37">
        <v>45</v>
      </c>
      <c r="P236" s="83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7"/>
      <c r="R236" s="667"/>
      <c r="S236" s="667"/>
      <c r="T236" s="66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416</v>
      </c>
      <c r="AG236" s="78"/>
      <c r="AJ236" s="84" t="s">
        <v>46</v>
      </c>
      <c r="AK236" s="84">
        <v>0</v>
      </c>
      <c r="BB236" s="327" t="s">
        <v>67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customHeight="1" x14ac:dyDescent="0.25">
      <c r="A237" s="63" t="s">
        <v>417</v>
      </c>
      <c r="B237" s="63" t="s">
        <v>418</v>
      </c>
      <c r="C237" s="36">
        <v>4301031202</v>
      </c>
      <c r="D237" s="665">
        <v>4680115881679</v>
      </c>
      <c r="E237" s="66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40</v>
      </c>
      <c r="P237" s="8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7"/>
      <c r="R237" s="667"/>
      <c r="S237" s="667"/>
      <c r="T237" s="668"/>
      <c r="U237" s="39" t="s">
        <v>46</v>
      </c>
      <c r="V237" s="39" t="s">
        <v>46</v>
      </c>
      <c r="W237" s="40" t="s">
        <v>0</v>
      </c>
      <c r="X237" s="58">
        <v>14.7</v>
      </c>
      <c r="Y237" s="55">
        <f t="shared" si="37"/>
        <v>14.700000000000001</v>
      </c>
      <c r="Z237" s="41">
        <f>IFERROR(IF(Y237=0,"",ROUNDUP(Y237/H237,0)*0.00502),"")</f>
        <v>3.5140000000000005E-2</v>
      </c>
      <c r="AA237" s="68" t="s">
        <v>46</v>
      </c>
      <c r="AB237" s="69" t="s">
        <v>46</v>
      </c>
      <c r="AC237" s="328" t="s">
        <v>394</v>
      </c>
      <c r="AG237" s="78"/>
      <c r="AJ237" s="84" t="s">
        <v>46</v>
      </c>
      <c r="AK237" s="84">
        <v>0</v>
      </c>
      <c r="BB237" s="329" t="s">
        <v>67</v>
      </c>
      <c r="BM237" s="78">
        <f t="shared" si="38"/>
        <v>15.4</v>
      </c>
      <c r="BN237" s="78">
        <f t="shared" si="39"/>
        <v>15.4</v>
      </c>
      <c r="BO237" s="78">
        <f t="shared" si="40"/>
        <v>2.9914529914529912E-2</v>
      </c>
      <c r="BP237" s="78">
        <f t="shared" si="41"/>
        <v>2.9914529914529919E-2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4301031158</v>
      </c>
      <c r="D238" s="665">
        <v>4680115880191</v>
      </c>
      <c r="E238" s="66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91</v>
      </c>
      <c r="L238" s="37" t="s">
        <v>46</v>
      </c>
      <c r="M238" s="38" t="s">
        <v>81</v>
      </c>
      <c r="N238" s="38"/>
      <c r="O238" s="37">
        <v>40</v>
      </c>
      <c r="P238" s="8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7"/>
      <c r="R238" s="667"/>
      <c r="S238" s="667"/>
      <c r="T238" s="66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394</v>
      </c>
      <c r="AG238" s="78"/>
      <c r="AJ238" s="84" t="s">
        <v>46</v>
      </c>
      <c r="AK238" s="84">
        <v>0</v>
      </c>
      <c r="BB238" s="331" t="s">
        <v>67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4301031245</v>
      </c>
      <c r="D239" s="665">
        <v>4680115883963</v>
      </c>
      <c r="E239" s="66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7"/>
      <c r="R239" s="667"/>
      <c r="S239" s="667"/>
      <c r="T239" s="66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x14ac:dyDescent="0.2">
      <c r="A240" s="661"/>
      <c r="B240" s="661"/>
      <c r="C240" s="661"/>
      <c r="D240" s="661"/>
      <c r="E240" s="661"/>
      <c r="F240" s="661"/>
      <c r="G240" s="661"/>
      <c r="H240" s="661"/>
      <c r="I240" s="661"/>
      <c r="J240" s="661"/>
      <c r="K240" s="661"/>
      <c r="L240" s="661"/>
      <c r="M240" s="661"/>
      <c r="N240" s="661"/>
      <c r="O240" s="662"/>
      <c r="P240" s="658" t="s">
        <v>40</v>
      </c>
      <c r="Q240" s="659"/>
      <c r="R240" s="659"/>
      <c r="S240" s="659"/>
      <c r="T240" s="659"/>
      <c r="U240" s="659"/>
      <c r="V240" s="660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68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68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0.44536000000000003</v>
      </c>
      <c r="AA240" s="67"/>
      <c r="AB240" s="67"/>
      <c r="AC240" s="67"/>
    </row>
    <row r="241" spans="1:68" x14ac:dyDescent="0.2">
      <c r="A241" s="661"/>
      <c r="B241" s="661"/>
      <c r="C241" s="661"/>
      <c r="D241" s="661"/>
      <c r="E241" s="661"/>
      <c r="F241" s="661"/>
      <c r="G241" s="661"/>
      <c r="H241" s="661"/>
      <c r="I241" s="661"/>
      <c r="J241" s="661"/>
      <c r="K241" s="661"/>
      <c r="L241" s="661"/>
      <c r="M241" s="661"/>
      <c r="N241" s="661"/>
      <c r="O241" s="662"/>
      <c r="P241" s="658" t="s">
        <v>40</v>
      </c>
      <c r="Q241" s="659"/>
      <c r="R241" s="659"/>
      <c r="S241" s="659"/>
      <c r="T241" s="659"/>
      <c r="U241" s="659"/>
      <c r="V241" s="660"/>
      <c r="W241" s="42" t="s">
        <v>0</v>
      </c>
      <c r="X241" s="43">
        <f>IFERROR(SUM(X226:X239),"0")</f>
        <v>193.19999999999996</v>
      </c>
      <c r="Y241" s="43">
        <f>IFERROR(SUM(Y226:Y239),"0")</f>
        <v>193.19999999999996</v>
      </c>
      <c r="Z241" s="42"/>
      <c r="AA241" s="67"/>
      <c r="AB241" s="67"/>
      <c r="AC241" s="67"/>
    </row>
    <row r="242" spans="1:68" ht="14.25" hidden="1" customHeight="1" x14ac:dyDescent="0.25">
      <c r="A242" s="664" t="s">
        <v>86</v>
      </c>
      <c r="B242" s="664"/>
      <c r="C242" s="664"/>
      <c r="D242" s="664"/>
      <c r="E242" s="664"/>
      <c r="F242" s="664"/>
      <c r="G242" s="664"/>
      <c r="H242" s="664"/>
      <c r="I242" s="664"/>
      <c r="J242" s="664"/>
      <c r="K242" s="664"/>
      <c r="L242" s="664"/>
      <c r="M242" s="664"/>
      <c r="N242" s="664"/>
      <c r="O242" s="664"/>
      <c r="P242" s="664"/>
      <c r="Q242" s="664"/>
      <c r="R242" s="664"/>
      <c r="S242" s="664"/>
      <c r="T242" s="664"/>
      <c r="U242" s="664"/>
      <c r="V242" s="664"/>
      <c r="W242" s="664"/>
      <c r="X242" s="664"/>
      <c r="Y242" s="664"/>
      <c r="Z242" s="664"/>
      <c r="AA242" s="66"/>
      <c r="AB242" s="66"/>
      <c r="AC242" s="80"/>
    </row>
    <row r="243" spans="1:68" ht="16.5" customHeight="1" x14ac:dyDescent="0.25">
      <c r="A243" s="63" t="s">
        <v>424</v>
      </c>
      <c r="B243" s="63" t="s">
        <v>425</v>
      </c>
      <c r="C243" s="36">
        <v>4301052209</v>
      </c>
      <c r="D243" s="665">
        <v>4680115888692</v>
      </c>
      <c r="E243" s="66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127</v>
      </c>
      <c r="L243" s="37" t="s">
        <v>46</v>
      </c>
      <c r="M243" s="38" t="s">
        <v>97</v>
      </c>
      <c r="N243" s="38"/>
      <c r="O243" s="37">
        <v>35</v>
      </c>
      <c r="P243" s="83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7"/>
      <c r="R243" s="667"/>
      <c r="S243" s="667"/>
      <c r="T243" s="668"/>
      <c r="U243" s="39" t="s">
        <v>46</v>
      </c>
      <c r="V243" s="39" t="s">
        <v>46</v>
      </c>
      <c r="W243" s="40" t="s">
        <v>0</v>
      </c>
      <c r="X243" s="58">
        <v>9.6</v>
      </c>
      <c r="Y243" s="55">
        <f>IFERROR(IF(X243="",0,CEILING((X243/$H243),1)*$H243),"")</f>
        <v>9.6</v>
      </c>
      <c r="Z243" s="41">
        <f>IFERROR(IF(Y243=0,"",ROUNDUP(Y243/H243,0)*0.01196),"")</f>
        <v>2.392E-2</v>
      </c>
      <c r="AA243" s="68" t="s">
        <v>46</v>
      </c>
      <c r="AB243" s="69" t="s">
        <v>46</v>
      </c>
      <c r="AC243" s="334" t="s">
        <v>426</v>
      </c>
      <c r="AG243" s="78"/>
      <c r="AJ243" s="84" t="s">
        <v>46</v>
      </c>
      <c r="AK243" s="84">
        <v>0</v>
      </c>
      <c r="BB243" s="335" t="s">
        <v>67</v>
      </c>
      <c r="BM243" s="78">
        <f>IFERROR(X243*I243/H243,"0")</f>
        <v>10.444000000000001</v>
      </c>
      <c r="BN243" s="78">
        <f>IFERROR(Y243*I243/H243,"0")</f>
        <v>10.444000000000001</v>
      </c>
      <c r="BO243" s="78">
        <f>IFERROR(1/J243*(X243/H243),"0")</f>
        <v>1.9230769230769232E-2</v>
      </c>
      <c r="BP243" s="78">
        <f>IFERROR(1/J243*(Y243/H243),"0")</f>
        <v>1.9230769230769232E-2</v>
      </c>
    </row>
    <row r="244" spans="1:68" ht="27" hidden="1" customHeight="1" x14ac:dyDescent="0.25">
      <c r="A244" s="63" t="s">
        <v>427</v>
      </c>
      <c r="B244" s="63" t="s">
        <v>428</v>
      </c>
      <c r="C244" s="36">
        <v>4301052213</v>
      </c>
      <c r="D244" s="665">
        <v>4680115888722</v>
      </c>
      <c r="E244" s="66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127</v>
      </c>
      <c r="L244" s="37" t="s">
        <v>46</v>
      </c>
      <c r="M244" s="38" t="s">
        <v>97</v>
      </c>
      <c r="N244" s="38"/>
      <c r="O244" s="37">
        <v>35</v>
      </c>
      <c r="P244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7"/>
      <c r="R244" s="667"/>
      <c r="S244" s="667"/>
      <c r="T244" s="66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429</v>
      </c>
      <c r="AG244" s="78"/>
      <c r="AJ244" s="84" t="s">
        <v>46</v>
      </c>
      <c r="AK244" s="84">
        <v>0</v>
      </c>
      <c r="BB244" s="337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4301052177</v>
      </c>
      <c r="D245" s="665">
        <v>4680115888951</v>
      </c>
      <c r="E245" s="66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7"/>
      <c r="R245" s="667"/>
      <c r="S245" s="667"/>
      <c r="T245" s="66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432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4301052178</v>
      </c>
      <c r="D246" s="665">
        <v>4680115888975</v>
      </c>
      <c r="E246" s="66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2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7"/>
      <c r="R246" s="667"/>
      <c r="S246" s="667"/>
      <c r="T246" s="66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435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436</v>
      </c>
      <c r="B247" s="63" t="s">
        <v>437</v>
      </c>
      <c r="C247" s="36">
        <v>4301052176</v>
      </c>
      <c r="D247" s="665">
        <v>4680115888982</v>
      </c>
      <c r="E247" s="66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35</v>
      </c>
      <c r="P247" s="82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7"/>
      <c r="R247" s="667"/>
      <c r="S247" s="667"/>
      <c r="T247" s="66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429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IFERROR(X243/H243,"0")+IFERROR(X244/H244,"0")+IFERROR(X245/H245,"0")+IFERROR(X246/H246,"0")+IFERROR(X247/H247,"0")</f>
        <v>2</v>
      </c>
      <c r="Y248" s="43">
        <f>IFERROR(Y243/H243,"0")+IFERROR(Y244/H244,"0")+IFERROR(Y245/H245,"0")+IFERROR(Y246/H246,"0")+IFERROR(Y247/H247,"0")</f>
        <v>2</v>
      </c>
      <c r="Z248" s="43">
        <f>IFERROR(IF(Z243="",0,Z243),"0")+IFERROR(IF(Z244="",0,Z244),"0")+IFERROR(IF(Z245="",0,Z245),"0")+IFERROR(IF(Z246="",0,Z246),"0")+IFERROR(IF(Z247="",0,Z247),"0")</f>
        <v>2.392E-2</v>
      </c>
      <c r="AA248" s="67"/>
      <c r="AB248" s="67"/>
      <c r="AC248" s="67"/>
    </row>
    <row r="249" spans="1:68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IFERROR(SUM(X243:X247),"0")</f>
        <v>9.6</v>
      </c>
      <c r="Y249" s="43">
        <f>IFERROR(SUM(Y243:Y247),"0")</f>
        <v>9.6</v>
      </c>
      <c r="Z249" s="42"/>
      <c r="AA249" s="67"/>
      <c r="AB249" s="67"/>
      <c r="AC249" s="67"/>
    </row>
    <row r="250" spans="1:68" ht="14.25" hidden="1" customHeight="1" x14ac:dyDescent="0.25">
      <c r="A250" s="664" t="s">
        <v>289</v>
      </c>
      <c r="B250" s="664"/>
      <c r="C250" s="664"/>
      <c r="D250" s="664"/>
      <c r="E250" s="664"/>
      <c r="F250" s="664"/>
      <c r="G250" s="664"/>
      <c r="H250" s="664"/>
      <c r="I250" s="664"/>
      <c r="J250" s="664"/>
      <c r="K250" s="664"/>
      <c r="L250" s="664"/>
      <c r="M250" s="664"/>
      <c r="N250" s="664"/>
      <c r="O250" s="664"/>
      <c r="P250" s="664"/>
      <c r="Q250" s="664"/>
      <c r="R250" s="664"/>
      <c r="S250" s="664"/>
      <c r="T250" s="664"/>
      <c r="U250" s="664"/>
      <c r="V250" s="664"/>
      <c r="W250" s="664"/>
      <c r="X250" s="664"/>
      <c r="Y250" s="664"/>
      <c r="Z250" s="664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4301032053</v>
      </c>
      <c r="D251" s="665">
        <v>4680115886780</v>
      </c>
      <c r="E251" s="66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355</v>
      </c>
      <c r="L251" s="37" t="s">
        <v>46</v>
      </c>
      <c r="M251" s="38" t="s">
        <v>294</v>
      </c>
      <c r="N251" s="38"/>
      <c r="O251" s="37">
        <v>60</v>
      </c>
      <c r="P251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7"/>
      <c r="R251" s="667"/>
      <c r="S251" s="667"/>
      <c r="T251" s="66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440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441</v>
      </c>
      <c r="B252" s="63" t="s">
        <v>442</v>
      </c>
      <c r="C252" s="36">
        <v>4301032051</v>
      </c>
      <c r="D252" s="665">
        <v>4680115886742</v>
      </c>
      <c r="E252" s="66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355</v>
      </c>
      <c r="L252" s="37" t="s">
        <v>46</v>
      </c>
      <c r="M252" s="38" t="s">
        <v>294</v>
      </c>
      <c r="N252" s="38"/>
      <c r="O252" s="37">
        <v>90</v>
      </c>
      <c r="P252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7"/>
      <c r="R252" s="667"/>
      <c r="S252" s="667"/>
      <c r="T252" s="66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443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444</v>
      </c>
      <c r="B253" s="63" t="s">
        <v>445</v>
      </c>
      <c r="C253" s="36">
        <v>4301032052</v>
      </c>
      <c r="D253" s="665">
        <v>4680115886766</v>
      </c>
      <c r="E253" s="66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355</v>
      </c>
      <c r="L253" s="37" t="s">
        <v>46</v>
      </c>
      <c r="M253" s="38" t="s">
        <v>294</v>
      </c>
      <c r="N253" s="38"/>
      <c r="O253" s="37">
        <v>90</v>
      </c>
      <c r="P253" s="82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7"/>
      <c r="R253" s="667"/>
      <c r="S253" s="667"/>
      <c r="T253" s="66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443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61"/>
      <c r="B254" s="661"/>
      <c r="C254" s="661"/>
      <c r="D254" s="661"/>
      <c r="E254" s="661"/>
      <c r="F254" s="661"/>
      <c r="G254" s="661"/>
      <c r="H254" s="661"/>
      <c r="I254" s="661"/>
      <c r="J254" s="661"/>
      <c r="K254" s="661"/>
      <c r="L254" s="661"/>
      <c r="M254" s="661"/>
      <c r="N254" s="661"/>
      <c r="O254" s="662"/>
      <c r="P254" s="658" t="s">
        <v>40</v>
      </c>
      <c r="Q254" s="659"/>
      <c r="R254" s="659"/>
      <c r="S254" s="659"/>
      <c r="T254" s="659"/>
      <c r="U254" s="659"/>
      <c r="V254" s="660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61"/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2"/>
      <c r="P255" s="658" t="s">
        <v>40</v>
      </c>
      <c r="Q255" s="659"/>
      <c r="R255" s="659"/>
      <c r="S255" s="659"/>
      <c r="T255" s="659"/>
      <c r="U255" s="659"/>
      <c r="V255" s="660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4" t="s">
        <v>446</v>
      </c>
      <c r="B256" s="664"/>
      <c r="C256" s="664"/>
      <c r="D256" s="664"/>
      <c r="E256" s="664"/>
      <c r="F256" s="664"/>
      <c r="G256" s="664"/>
      <c r="H256" s="664"/>
      <c r="I256" s="664"/>
      <c r="J256" s="664"/>
      <c r="K256" s="664"/>
      <c r="L256" s="664"/>
      <c r="M256" s="664"/>
      <c r="N256" s="664"/>
      <c r="O256" s="664"/>
      <c r="P256" s="664"/>
      <c r="Q256" s="664"/>
      <c r="R256" s="664"/>
      <c r="S256" s="664"/>
      <c r="T256" s="664"/>
      <c r="U256" s="664"/>
      <c r="V256" s="664"/>
      <c r="W256" s="664"/>
      <c r="X256" s="664"/>
      <c r="Y256" s="664"/>
      <c r="Z256" s="664"/>
      <c r="AA256" s="66"/>
      <c r="AB256" s="66"/>
      <c r="AC256" s="80"/>
    </row>
    <row r="257" spans="1:68" ht="27" hidden="1" customHeight="1" x14ac:dyDescent="0.25">
      <c r="A257" s="63" t="s">
        <v>447</v>
      </c>
      <c r="B257" s="63" t="s">
        <v>448</v>
      </c>
      <c r="C257" s="36">
        <v>4301170013</v>
      </c>
      <c r="D257" s="665">
        <v>4680115886797</v>
      </c>
      <c r="E257" s="66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355</v>
      </c>
      <c r="L257" s="37" t="s">
        <v>46</v>
      </c>
      <c r="M257" s="38" t="s">
        <v>294</v>
      </c>
      <c r="N257" s="38"/>
      <c r="O257" s="37">
        <v>90</v>
      </c>
      <c r="P257" s="8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7"/>
      <c r="R257" s="667"/>
      <c r="S257" s="667"/>
      <c r="T257" s="66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443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3" t="s">
        <v>449</v>
      </c>
      <c r="B260" s="663"/>
      <c r="C260" s="663"/>
      <c r="D260" s="663"/>
      <c r="E260" s="663"/>
      <c r="F260" s="663"/>
      <c r="G260" s="663"/>
      <c r="H260" s="663"/>
      <c r="I260" s="663"/>
      <c r="J260" s="663"/>
      <c r="K260" s="663"/>
      <c r="L260" s="663"/>
      <c r="M260" s="663"/>
      <c r="N260" s="663"/>
      <c r="O260" s="663"/>
      <c r="P260" s="663"/>
      <c r="Q260" s="663"/>
      <c r="R260" s="663"/>
      <c r="S260" s="663"/>
      <c r="T260" s="663"/>
      <c r="U260" s="663"/>
      <c r="V260" s="663"/>
      <c r="W260" s="663"/>
      <c r="X260" s="663"/>
      <c r="Y260" s="663"/>
      <c r="Z260" s="663"/>
      <c r="AA260" s="65"/>
      <c r="AB260" s="65"/>
      <c r="AC260" s="79"/>
    </row>
    <row r="261" spans="1:68" ht="14.25" hidden="1" customHeight="1" x14ac:dyDescent="0.25">
      <c r="A261" s="664" t="s">
        <v>122</v>
      </c>
      <c r="B261" s="664"/>
      <c r="C261" s="664"/>
      <c r="D261" s="664"/>
      <c r="E261" s="664"/>
      <c r="F261" s="664"/>
      <c r="G261" s="664"/>
      <c r="H261" s="664"/>
      <c r="I261" s="664"/>
      <c r="J261" s="664"/>
      <c r="K261" s="664"/>
      <c r="L261" s="664"/>
      <c r="M261" s="664"/>
      <c r="N261" s="664"/>
      <c r="O261" s="664"/>
      <c r="P261" s="664"/>
      <c r="Q261" s="664"/>
      <c r="R261" s="664"/>
      <c r="S261" s="664"/>
      <c r="T261" s="664"/>
      <c r="U261" s="664"/>
      <c r="V261" s="664"/>
      <c r="W261" s="664"/>
      <c r="X261" s="664"/>
      <c r="Y261" s="664"/>
      <c r="Z261" s="664"/>
      <c r="AA261" s="66"/>
      <c r="AB261" s="66"/>
      <c r="AC261" s="80"/>
    </row>
    <row r="262" spans="1:68" ht="27" hidden="1" customHeight="1" x14ac:dyDescent="0.25">
      <c r="A262" s="63" t="s">
        <v>450</v>
      </c>
      <c r="B262" s="63" t="s">
        <v>451</v>
      </c>
      <c r="C262" s="36">
        <v>4301011450</v>
      </c>
      <c r="D262" s="665">
        <v>4680115881402</v>
      </c>
      <c r="E262" s="66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7"/>
      <c r="R262" s="667"/>
      <c r="S262" s="667"/>
      <c r="T262" s="66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452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453</v>
      </c>
      <c r="B263" s="63" t="s">
        <v>454</v>
      </c>
      <c r="C263" s="36">
        <v>4301011768</v>
      </c>
      <c r="D263" s="665">
        <v>4680115881396</v>
      </c>
      <c r="E263" s="66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2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7"/>
      <c r="R263" s="667"/>
      <c r="S263" s="667"/>
      <c r="T263" s="66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452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61"/>
      <c r="B265" s="661"/>
      <c r="C265" s="661"/>
      <c r="D265" s="661"/>
      <c r="E265" s="661"/>
      <c r="F265" s="661"/>
      <c r="G265" s="661"/>
      <c r="H265" s="661"/>
      <c r="I265" s="661"/>
      <c r="J265" s="661"/>
      <c r="K265" s="661"/>
      <c r="L265" s="661"/>
      <c r="M265" s="661"/>
      <c r="N265" s="661"/>
      <c r="O265" s="662"/>
      <c r="P265" s="658" t="s">
        <v>40</v>
      </c>
      <c r="Q265" s="659"/>
      <c r="R265" s="659"/>
      <c r="S265" s="659"/>
      <c r="T265" s="659"/>
      <c r="U265" s="659"/>
      <c r="V265" s="66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4" t="s">
        <v>155</v>
      </c>
      <c r="B266" s="664"/>
      <c r="C266" s="664"/>
      <c r="D266" s="664"/>
      <c r="E266" s="664"/>
      <c r="F266" s="664"/>
      <c r="G266" s="664"/>
      <c r="H266" s="664"/>
      <c r="I266" s="664"/>
      <c r="J266" s="664"/>
      <c r="K266" s="664"/>
      <c r="L266" s="664"/>
      <c r="M266" s="664"/>
      <c r="N266" s="664"/>
      <c r="O266" s="664"/>
      <c r="P266" s="664"/>
      <c r="Q266" s="664"/>
      <c r="R266" s="664"/>
      <c r="S266" s="664"/>
      <c r="T266" s="664"/>
      <c r="U266" s="664"/>
      <c r="V266" s="664"/>
      <c r="W266" s="664"/>
      <c r="X266" s="664"/>
      <c r="Y266" s="664"/>
      <c r="Z266" s="664"/>
      <c r="AA266" s="66"/>
      <c r="AB266" s="66"/>
      <c r="AC266" s="80"/>
    </row>
    <row r="267" spans="1:68" ht="16.5" hidden="1" customHeight="1" x14ac:dyDescent="0.25">
      <c r="A267" s="63" t="s">
        <v>455</v>
      </c>
      <c r="B267" s="63" t="s">
        <v>456</v>
      </c>
      <c r="C267" s="36">
        <v>4301020261</v>
      </c>
      <c r="D267" s="665">
        <v>4680115882935</v>
      </c>
      <c r="E267" s="66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7"/>
      <c r="R267" s="667"/>
      <c r="S267" s="667"/>
      <c r="T267" s="66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457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458</v>
      </c>
      <c r="B268" s="63" t="s">
        <v>459</v>
      </c>
      <c r="C268" s="36">
        <v>4301020220</v>
      </c>
      <c r="D268" s="665">
        <v>4680115880764</v>
      </c>
      <c r="E268" s="66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7"/>
      <c r="R268" s="667"/>
      <c r="S268" s="667"/>
      <c r="T268" s="66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457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61"/>
      <c r="B269" s="661"/>
      <c r="C269" s="661"/>
      <c r="D269" s="661"/>
      <c r="E269" s="661"/>
      <c r="F269" s="661"/>
      <c r="G269" s="661"/>
      <c r="H269" s="661"/>
      <c r="I269" s="661"/>
      <c r="J269" s="661"/>
      <c r="K269" s="661"/>
      <c r="L269" s="661"/>
      <c r="M269" s="661"/>
      <c r="N269" s="661"/>
      <c r="O269" s="662"/>
      <c r="P269" s="658" t="s">
        <v>40</v>
      </c>
      <c r="Q269" s="659"/>
      <c r="R269" s="659"/>
      <c r="S269" s="659"/>
      <c r="T269" s="659"/>
      <c r="U269" s="659"/>
      <c r="V269" s="660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61"/>
      <c r="B270" s="661"/>
      <c r="C270" s="661"/>
      <c r="D270" s="661"/>
      <c r="E270" s="661"/>
      <c r="F270" s="661"/>
      <c r="G270" s="661"/>
      <c r="H270" s="661"/>
      <c r="I270" s="661"/>
      <c r="J270" s="661"/>
      <c r="K270" s="661"/>
      <c r="L270" s="661"/>
      <c r="M270" s="661"/>
      <c r="N270" s="661"/>
      <c r="O270" s="662"/>
      <c r="P270" s="658" t="s">
        <v>40</v>
      </c>
      <c r="Q270" s="659"/>
      <c r="R270" s="659"/>
      <c r="S270" s="659"/>
      <c r="T270" s="659"/>
      <c r="U270" s="659"/>
      <c r="V270" s="660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4" t="s">
        <v>77</v>
      </c>
      <c r="B271" s="664"/>
      <c r="C271" s="664"/>
      <c r="D271" s="664"/>
      <c r="E271" s="664"/>
      <c r="F271" s="664"/>
      <c r="G271" s="664"/>
      <c r="H271" s="664"/>
      <c r="I271" s="664"/>
      <c r="J271" s="664"/>
      <c r="K271" s="664"/>
      <c r="L271" s="664"/>
      <c r="M271" s="664"/>
      <c r="N271" s="664"/>
      <c r="O271" s="664"/>
      <c r="P271" s="664"/>
      <c r="Q271" s="664"/>
      <c r="R271" s="664"/>
      <c r="S271" s="664"/>
      <c r="T271" s="664"/>
      <c r="U271" s="664"/>
      <c r="V271" s="664"/>
      <c r="W271" s="664"/>
      <c r="X271" s="664"/>
      <c r="Y271" s="664"/>
      <c r="Z271" s="664"/>
      <c r="AA271" s="66"/>
      <c r="AB271" s="66"/>
      <c r="AC271" s="80"/>
    </row>
    <row r="272" spans="1:68" ht="27" customHeight="1" x14ac:dyDescent="0.25">
      <c r="A272" s="63" t="s">
        <v>460</v>
      </c>
      <c r="B272" s="63" t="s">
        <v>461</v>
      </c>
      <c r="C272" s="36">
        <v>4301031224</v>
      </c>
      <c r="D272" s="665">
        <v>4680115882683</v>
      </c>
      <c r="E272" s="66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7"/>
      <c r="R272" s="667"/>
      <c r="S272" s="667"/>
      <c r="T272" s="668"/>
      <c r="U272" s="39" t="s">
        <v>46</v>
      </c>
      <c r="V272" s="39" t="s">
        <v>46</v>
      </c>
      <c r="W272" s="40" t="s">
        <v>0</v>
      </c>
      <c r="X272" s="58">
        <v>27</v>
      </c>
      <c r="Y272" s="55">
        <f t="shared" ref="Y272:Y279" si="43">IFERROR(IF(X272="",0,CEILING((X272/$H272),1)*$H272),"")</f>
        <v>27</v>
      </c>
      <c r="Z272" s="41">
        <f>IFERROR(IF(Y272=0,"",ROUNDUP(Y272/H272,0)*0.00902),"")</f>
        <v>4.5100000000000001E-2</v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27.95</v>
      </c>
      <c r="BN272" s="78">
        <f t="shared" ref="BN272:BN279" si="45">IFERROR(Y272*I272/H272,"0")</f>
        <v>27.95</v>
      </c>
      <c r="BO272" s="78">
        <f t="shared" ref="BO272:BO279" si="46">IFERROR(1/J272*(X272/H272),"0")</f>
        <v>3.787878787878788E-2</v>
      </c>
      <c r="BP272" s="78">
        <f t="shared" ref="BP272:BP279" si="47">IFERROR(1/J272*(Y272/H272),"0")</f>
        <v>3.787878787878788E-2</v>
      </c>
    </row>
    <row r="273" spans="1:68" ht="27" customHeight="1" x14ac:dyDescent="0.25">
      <c r="A273" s="63" t="s">
        <v>463</v>
      </c>
      <c r="B273" s="63" t="s">
        <v>464</v>
      </c>
      <c r="C273" s="36">
        <v>4301031230</v>
      </c>
      <c r="D273" s="665">
        <v>4680115882690</v>
      </c>
      <c r="E273" s="66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7"/>
      <c r="R273" s="667"/>
      <c r="S273" s="667"/>
      <c r="T273" s="668"/>
      <c r="U273" s="39" t="s">
        <v>46</v>
      </c>
      <c r="V273" s="39" t="s">
        <v>46</v>
      </c>
      <c r="W273" s="40" t="s">
        <v>0</v>
      </c>
      <c r="X273" s="58">
        <v>27</v>
      </c>
      <c r="Y273" s="55">
        <f t="shared" si="43"/>
        <v>27</v>
      </c>
      <c r="Z273" s="41">
        <f>IFERROR(IF(Y273=0,"",ROUNDUP(Y273/H273,0)*0.00902),"")</f>
        <v>4.5100000000000001E-2</v>
      </c>
      <c r="AA273" s="68" t="s">
        <v>46</v>
      </c>
      <c r="AB273" s="69" t="s">
        <v>46</v>
      </c>
      <c r="AC273" s="362" t="s">
        <v>465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27.95</v>
      </c>
      <c r="BN273" s="78">
        <f t="shared" si="45"/>
        <v>27.95</v>
      </c>
      <c r="BO273" s="78">
        <f t="shared" si="46"/>
        <v>3.787878787878788E-2</v>
      </c>
      <c r="BP273" s="78">
        <f t="shared" si="47"/>
        <v>3.787878787878788E-2</v>
      </c>
    </row>
    <row r="274" spans="1:68" ht="27" customHeight="1" x14ac:dyDescent="0.25">
      <c r="A274" s="63" t="s">
        <v>466</v>
      </c>
      <c r="B274" s="63" t="s">
        <v>467</v>
      </c>
      <c r="C274" s="36">
        <v>4301031220</v>
      </c>
      <c r="D274" s="665">
        <v>4680115882669</v>
      </c>
      <c r="E274" s="66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7"/>
      <c r="R274" s="667"/>
      <c r="S274" s="667"/>
      <c r="T274" s="668"/>
      <c r="U274" s="39" t="s">
        <v>46</v>
      </c>
      <c r="V274" s="39" t="s">
        <v>46</v>
      </c>
      <c r="W274" s="40" t="s">
        <v>0</v>
      </c>
      <c r="X274" s="58">
        <v>27</v>
      </c>
      <c r="Y274" s="55">
        <f t="shared" si="43"/>
        <v>27</v>
      </c>
      <c r="Z274" s="41">
        <f>IFERROR(IF(Y274=0,"",ROUNDUP(Y274/H274,0)*0.00902),"")</f>
        <v>4.5100000000000001E-2</v>
      </c>
      <c r="AA274" s="68" t="s">
        <v>46</v>
      </c>
      <c r="AB274" s="69" t="s">
        <v>46</v>
      </c>
      <c r="AC274" s="364" t="s">
        <v>468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27.95</v>
      </c>
      <c r="BN274" s="78">
        <f t="shared" si="45"/>
        <v>27.95</v>
      </c>
      <c r="BO274" s="78">
        <f t="shared" si="46"/>
        <v>3.787878787878788E-2</v>
      </c>
      <c r="BP274" s="78">
        <f t="shared" si="47"/>
        <v>3.787878787878788E-2</v>
      </c>
    </row>
    <row r="275" spans="1:68" ht="27" customHeight="1" x14ac:dyDescent="0.25">
      <c r="A275" s="63" t="s">
        <v>469</v>
      </c>
      <c r="B275" s="63" t="s">
        <v>470</v>
      </c>
      <c r="C275" s="36">
        <v>4301031221</v>
      </c>
      <c r="D275" s="665">
        <v>4680115882676</v>
      </c>
      <c r="E275" s="66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7"/>
      <c r="R275" s="667"/>
      <c r="S275" s="667"/>
      <c r="T275" s="668"/>
      <c r="U275" s="39" t="s">
        <v>46</v>
      </c>
      <c r="V275" s="39" t="s">
        <v>46</v>
      </c>
      <c r="W275" s="40" t="s">
        <v>0</v>
      </c>
      <c r="X275" s="58">
        <v>27</v>
      </c>
      <c r="Y275" s="55">
        <f t="shared" si="43"/>
        <v>27</v>
      </c>
      <c r="Z275" s="41">
        <f>IFERROR(IF(Y275=0,"",ROUNDUP(Y275/H275,0)*0.00902),"")</f>
        <v>4.5100000000000001E-2</v>
      </c>
      <c r="AA275" s="68" t="s">
        <v>46</v>
      </c>
      <c r="AB275" s="69" t="s">
        <v>46</v>
      </c>
      <c r="AC275" s="366" t="s">
        <v>471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27.95</v>
      </c>
      <c r="BN275" s="78">
        <f t="shared" si="45"/>
        <v>27.95</v>
      </c>
      <c r="BO275" s="78">
        <f t="shared" si="46"/>
        <v>3.787878787878788E-2</v>
      </c>
      <c r="BP275" s="78">
        <f t="shared" si="47"/>
        <v>3.787878787878788E-2</v>
      </c>
    </row>
    <row r="276" spans="1:68" ht="27" customHeight="1" x14ac:dyDescent="0.25">
      <c r="A276" s="63" t="s">
        <v>472</v>
      </c>
      <c r="B276" s="63" t="s">
        <v>473</v>
      </c>
      <c r="C276" s="36">
        <v>4301031223</v>
      </c>
      <c r="D276" s="665">
        <v>4680115884014</v>
      </c>
      <c r="E276" s="66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1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7"/>
      <c r="R276" s="667"/>
      <c r="S276" s="667"/>
      <c r="T276" s="668"/>
      <c r="U276" s="39" t="s">
        <v>46</v>
      </c>
      <c r="V276" s="39" t="s">
        <v>46</v>
      </c>
      <c r="W276" s="40" t="s">
        <v>0</v>
      </c>
      <c r="X276" s="58">
        <v>12.6</v>
      </c>
      <c r="Y276" s="55">
        <f t="shared" si="43"/>
        <v>12.6</v>
      </c>
      <c r="Z276" s="41">
        <f>IFERROR(IF(Y276=0,"",ROUNDUP(Y276/H276,0)*0.00502),"")</f>
        <v>3.5140000000000005E-2</v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13.509999999999998</v>
      </c>
      <c r="BN276" s="78">
        <f t="shared" si="45"/>
        <v>13.509999999999998</v>
      </c>
      <c r="BO276" s="78">
        <f t="shared" si="46"/>
        <v>2.9914529914529919E-2</v>
      </c>
      <c r="BP276" s="78">
        <f t="shared" si="47"/>
        <v>2.9914529914529919E-2</v>
      </c>
    </row>
    <row r="277" spans="1:68" ht="27" customHeight="1" x14ac:dyDescent="0.25">
      <c r="A277" s="63" t="s">
        <v>474</v>
      </c>
      <c r="B277" s="63" t="s">
        <v>475</v>
      </c>
      <c r="C277" s="36">
        <v>4301031222</v>
      </c>
      <c r="D277" s="665">
        <v>4680115884007</v>
      </c>
      <c r="E277" s="66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7"/>
      <c r="R277" s="667"/>
      <c r="S277" s="667"/>
      <c r="T277" s="668"/>
      <c r="U277" s="39" t="s">
        <v>46</v>
      </c>
      <c r="V277" s="39" t="s">
        <v>46</v>
      </c>
      <c r="W277" s="40" t="s">
        <v>0</v>
      </c>
      <c r="X277" s="58">
        <v>12.6</v>
      </c>
      <c r="Y277" s="55">
        <f t="shared" si="43"/>
        <v>12.6</v>
      </c>
      <c r="Z277" s="41">
        <f>IFERROR(IF(Y277=0,"",ROUNDUP(Y277/H277,0)*0.00502),"")</f>
        <v>3.5140000000000005E-2</v>
      </c>
      <c r="AA277" s="68" t="s">
        <v>46</v>
      </c>
      <c r="AB277" s="69" t="s">
        <v>46</v>
      </c>
      <c r="AC277" s="370" t="s">
        <v>465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13.299999999999999</v>
      </c>
      <c r="BN277" s="78">
        <f t="shared" si="45"/>
        <v>13.299999999999999</v>
      </c>
      <c r="BO277" s="78">
        <f t="shared" si="46"/>
        <v>2.9914529914529919E-2</v>
      </c>
      <c r="BP277" s="78">
        <f t="shared" si="47"/>
        <v>2.9914529914529919E-2</v>
      </c>
    </row>
    <row r="278" spans="1:68" ht="27" customHeight="1" x14ac:dyDescent="0.25">
      <c r="A278" s="63" t="s">
        <v>476</v>
      </c>
      <c r="B278" s="63" t="s">
        <v>477</v>
      </c>
      <c r="C278" s="36">
        <v>4301031229</v>
      </c>
      <c r="D278" s="665">
        <v>4680115884038</v>
      </c>
      <c r="E278" s="66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7"/>
      <c r="R278" s="667"/>
      <c r="S278" s="667"/>
      <c r="T278" s="668"/>
      <c r="U278" s="39" t="s">
        <v>46</v>
      </c>
      <c r="V278" s="39" t="s">
        <v>46</v>
      </c>
      <c r="W278" s="40" t="s">
        <v>0</v>
      </c>
      <c r="X278" s="58">
        <v>12.6</v>
      </c>
      <c r="Y278" s="55">
        <f t="shared" si="43"/>
        <v>12.6</v>
      </c>
      <c r="Z278" s="41">
        <f>IFERROR(IF(Y278=0,"",ROUNDUP(Y278/H278,0)*0.00502),"")</f>
        <v>3.5140000000000005E-2</v>
      </c>
      <c r="AA278" s="68" t="s">
        <v>46</v>
      </c>
      <c r="AB278" s="69" t="s">
        <v>46</v>
      </c>
      <c r="AC278" s="372" t="s">
        <v>468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13.299999999999999</v>
      </c>
      <c r="BN278" s="78">
        <f t="shared" si="45"/>
        <v>13.299999999999999</v>
      </c>
      <c r="BO278" s="78">
        <f t="shared" si="46"/>
        <v>2.9914529914529919E-2</v>
      </c>
      <c r="BP278" s="78">
        <f t="shared" si="47"/>
        <v>2.9914529914529919E-2</v>
      </c>
    </row>
    <row r="279" spans="1:68" ht="27" customHeight="1" x14ac:dyDescent="0.25">
      <c r="A279" s="63" t="s">
        <v>478</v>
      </c>
      <c r="B279" s="63" t="s">
        <v>479</v>
      </c>
      <c r="C279" s="36">
        <v>4301031225</v>
      </c>
      <c r="D279" s="665">
        <v>4680115884021</v>
      </c>
      <c r="E279" s="66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7"/>
      <c r="R279" s="667"/>
      <c r="S279" s="667"/>
      <c r="T279" s="668"/>
      <c r="U279" s="39" t="s">
        <v>46</v>
      </c>
      <c r="V279" s="39" t="s">
        <v>46</v>
      </c>
      <c r="W279" s="40" t="s">
        <v>0</v>
      </c>
      <c r="X279" s="58">
        <v>12.6</v>
      </c>
      <c r="Y279" s="55">
        <f t="shared" si="43"/>
        <v>12.6</v>
      </c>
      <c r="Z279" s="41">
        <f>IFERROR(IF(Y279=0,"",ROUNDUP(Y279/H279,0)*0.00502),"")</f>
        <v>3.5140000000000005E-2</v>
      </c>
      <c r="AA279" s="68" t="s">
        <v>46</v>
      </c>
      <c r="AB279" s="69" t="s">
        <v>46</v>
      </c>
      <c r="AC279" s="374" t="s">
        <v>471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13.299999999999999</v>
      </c>
      <c r="BN279" s="78">
        <f t="shared" si="45"/>
        <v>13.299999999999999</v>
      </c>
      <c r="BO279" s="78">
        <f t="shared" si="46"/>
        <v>2.9914529914529919E-2</v>
      </c>
      <c r="BP279" s="78">
        <f t="shared" si="47"/>
        <v>2.9914529914529919E-2</v>
      </c>
    </row>
    <row r="280" spans="1:68" x14ac:dyDescent="0.2">
      <c r="A280" s="661"/>
      <c r="B280" s="661"/>
      <c r="C280" s="661"/>
      <c r="D280" s="661"/>
      <c r="E280" s="661"/>
      <c r="F280" s="661"/>
      <c r="G280" s="661"/>
      <c r="H280" s="661"/>
      <c r="I280" s="661"/>
      <c r="J280" s="661"/>
      <c r="K280" s="661"/>
      <c r="L280" s="661"/>
      <c r="M280" s="661"/>
      <c r="N280" s="661"/>
      <c r="O280" s="662"/>
      <c r="P280" s="658" t="s">
        <v>40</v>
      </c>
      <c r="Q280" s="659"/>
      <c r="R280" s="659"/>
      <c r="S280" s="659"/>
      <c r="T280" s="659"/>
      <c r="U280" s="659"/>
      <c r="V280" s="660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48</v>
      </c>
      <c r="Y280" s="43">
        <f>IFERROR(Y272/H272,"0")+IFERROR(Y273/H273,"0")+IFERROR(Y274/H274,"0")+IFERROR(Y275/H275,"0")+IFERROR(Y276/H276,"0")+IFERROR(Y277/H277,"0")+IFERROR(Y278/H278,"0")+IFERROR(Y279/H279,"0")</f>
        <v>48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0.32096000000000002</v>
      </c>
      <c r="AA280" s="67"/>
      <c r="AB280" s="67"/>
      <c r="AC280" s="67"/>
    </row>
    <row r="281" spans="1:68" x14ac:dyDescent="0.2">
      <c r="A281" s="661"/>
      <c r="B281" s="661"/>
      <c r="C281" s="661"/>
      <c r="D281" s="661"/>
      <c r="E281" s="661"/>
      <c r="F281" s="661"/>
      <c r="G281" s="661"/>
      <c r="H281" s="661"/>
      <c r="I281" s="661"/>
      <c r="J281" s="661"/>
      <c r="K281" s="661"/>
      <c r="L281" s="661"/>
      <c r="M281" s="661"/>
      <c r="N281" s="661"/>
      <c r="O281" s="662"/>
      <c r="P281" s="658" t="s">
        <v>40</v>
      </c>
      <c r="Q281" s="659"/>
      <c r="R281" s="659"/>
      <c r="S281" s="659"/>
      <c r="T281" s="659"/>
      <c r="U281" s="659"/>
      <c r="V281" s="660"/>
      <c r="W281" s="42" t="s">
        <v>0</v>
      </c>
      <c r="X281" s="43">
        <f>IFERROR(SUM(X272:X279),"0")</f>
        <v>158.39999999999998</v>
      </c>
      <c r="Y281" s="43">
        <f>IFERROR(SUM(Y272:Y279),"0")</f>
        <v>158.39999999999998</v>
      </c>
      <c r="Z281" s="42"/>
      <c r="AA281" s="67"/>
      <c r="AB281" s="67"/>
      <c r="AC281" s="67"/>
    </row>
    <row r="282" spans="1:68" ht="14.25" hidden="1" customHeight="1" x14ac:dyDescent="0.25">
      <c r="A282" s="664" t="s">
        <v>86</v>
      </c>
      <c r="B282" s="664"/>
      <c r="C282" s="664"/>
      <c r="D282" s="664"/>
      <c r="E282" s="664"/>
      <c r="F282" s="664"/>
      <c r="G282" s="664"/>
      <c r="H282" s="664"/>
      <c r="I282" s="664"/>
      <c r="J282" s="664"/>
      <c r="K282" s="664"/>
      <c r="L282" s="664"/>
      <c r="M282" s="664"/>
      <c r="N282" s="664"/>
      <c r="O282" s="664"/>
      <c r="P282" s="664"/>
      <c r="Q282" s="664"/>
      <c r="R282" s="664"/>
      <c r="S282" s="664"/>
      <c r="T282" s="664"/>
      <c r="U282" s="664"/>
      <c r="V282" s="664"/>
      <c r="W282" s="664"/>
      <c r="X282" s="664"/>
      <c r="Y282" s="664"/>
      <c r="Z282" s="664"/>
      <c r="AA282" s="66"/>
      <c r="AB282" s="66"/>
      <c r="AC282" s="80"/>
    </row>
    <row r="283" spans="1:68" ht="27" customHeight="1" x14ac:dyDescent="0.25">
      <c r="A283" s="63" t="s">
        <v>480</v>
      </c>
      <c r="B283" s="63" t="s">
        <v>481</v>
      </c>
      <c r="C283" s="36">
        <v>4301051408</v>
      </c>
      <c r="D283" s="665">
        <v>4680115881594</v>
      </c>
      <c r="E283" s="66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7"/>
      <c r="R283" s="667"/>
      <c r="S283" s="667"/>
      <c r="T283" s="668"/>
      <c r="U283" s="39" t="s">
        <v>46</v>
      </c>
      <c r="V283" s="39" t="s">
        <v>46</v>
      </c>
      <c r="W283" s="40" t="s">
        <v>0</v>
      </c>
      <c r="X283" s="58">
        <v>56.7</v>
      </c>
      <c r="Y283" s="55">
        <f t="shared" ref="Y283:Y294" si="48">IFERROR(IF(X283="",0,CEILING((X283/$H283),1)*$H283),"")</f>
        <v>56.699999999999996</v>
      </c>
      <c r="Z283" s="41">
        <f>IFERROR(IF(Y283=0,"",ROUNDUP(Y283/H283,0)*0.01898),"")</f>
        <v>0.13286000000000001</v>
      </c>
      <c r="AA283" s="68" t="s">
        <v>46</v>
      </c>
      <c r="AB283" s="69" t="s">
        <v>46</v>
      </c>
      <c r="AC283" s="376" t="s">
        <v>482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60.158000000000001</v>
      </c>
      <c r="BN283" s="78">
        <f t="shared" ref="BN283:BN294" si="50">IFERROR(Y283*I283/H283,"0")</f>
        <v>60.157999999999994</v>
      </c>
      <c r="BO283" s="78">
        <f t="shared" ref="BO283:BO294" si="51">IFERROR(1/J283*(X283/H283),"0")</f>
        <v>0.10937500000000001</v>
      </c>
      <c r="BP283" s="78">
        <f t="shared" ref="BP283:BP294" si="52">IFERROR(1/J283*(Y283/H283),"0")</f>
        <v>0.109375</v>
      </c>
    </row>
    <row r="284" spans="1:68" ht="27" customHeight="1" x14ac:dyDescent="0.25">
      <c r="A284" s="63" t="s">
        <v>483</v>
      </c>
      <c r="B284" s="63" t="s">
        <v>484</v>
      </c>
      <c r="C284" s="36">
        <v>4301051411</v>
      </c>
      <c r="D284" s="665">
        <v>4680115881617</v>
      </c>
      <c r="E284" s="66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1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7"/>
      <c r="R284" s="667"/>
      <c r="S284" s="667"/>
      <c r="T284" s="668"/>
      <c r="U284" s="39" t="s">
        <v>46</v>
      </c>
      <c r="V284" s="39" t="s">
        <v>46</v>
      </c>
      <c r="W284" s="40" t="s">
        <v>0</v>
      </c>
      <c r="X284" s="58">
        <v>56.7</v>
      </c>
      <c r="Y284" s="55">
        <f t="shared" si="48"/>
        <v>56.699999999999996</v>
      </c>
      <c r="Z284" s="41">
        <f>IFERROR(IF(Y284=0,"",ROUNDUP(Y284/H284,0)*0.01898),"")</f>
        <v>0.13286000000000001</v>
      </c>
      <c r="AA284" s="68" t="s">
        <v>46</v>
      </c>
      <c r="AB284" s="69" t="s">
        <v>46</v>
      </c>
      <c r="AC284" s="378" t="s">
        <v>485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60.032000000000011</v>
      </c>
      <c r="BN284" s="78">
        <f t="shared" si="50"/>
        <v>60.031999999999996</v>
      </c>
      <c r="BO284" s="78">
        <f t="shared" si="51"/>
        <v>0.10937500000000001</v>
      </c>
      <c r="BP284" s="78">
        <f t="shared" si="52"/>
        <v>0.109375</v>
      </c>
    </row>
    <row r="285" spans="1:68" ht="27" customHeight="1" x14ac:dyDescent="0.25">
      <c r="A285" s="63" t="s">
        <v>486</v>
      </c>
      <c r="B285" s="63" t="s">
        <v>487</v>
      </c>
      <c r="C285" s="36">
        <v>4301051656</v>
      </c>
      <c r="D285" s="665">
        <v>4680115880573</v>
      </c>
      <c r="E285" s="66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7"/>
      <c r="R285" s="667"/>
      <c r="S285" s="667"/>
      <c r="T285" s="668"/>
      <c r="U285" s="39" t="s">
        <v>46</v>
      </c>
      <c r="V285" s="39" t="s">
        <v>46</v>
      </c>
      <c r="W285" s="40" t="s">
        <v>0</v>
      </c>
      <c r="X285" s="58">
        <v>60.9</v>
      </c>
      <c r="Y285" s="55">
        <f t="shared" si="48"/>
        <v>60.899999999999991</v>
      </c>
      <c r="Z285" s="41">
        <f>IFERROR(IF(Y285=0,"",ROUNDUP(Y285/H285,0)*0.01898),"")</f>
        <v>0.13286000000000001</v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64.358000000000018</v>
      </c>
      <c r="BN285" s="78">
        <f t="shared" si="50"/>
        <v>64.358000000000004</v>
      </c>
      <c r="BO285" s="78">
        <f t="shared" si="51"/>
        <v>0.109375</v>
      </c>
      <c r="BP285" s="78">
        <f t="shared" si="52"/>
        <v>0.109375</v>
      </c>
    </row>
    <row r="286" spans="1:68" ht="27" customHeight="1" x14ac:dyDescent="0.25">
      <c r="A286" s="63" t="s">
        <v>489</v>
      </c>
      <c r="B286" s="63" t="s">
        <v>490</v>
      </c>
      <c r="C286" s="36">
        <v>4301051407</v>
      </c>
      <c r="D286" s="665">
        <v>4680115882195</v>
      </c>
      <c r="E286" s="66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7"/>
      <c r="R286" s="667"/>
      <c r="S286" s="667"/>
      <c r="T286" s="668"/>
      <c r="U286" s="39" t="s">
        <v>46</v>
      </c>
      <c r="V286" s="39" t="s">
        <v>46</v>
      </c>
      <c r="W286" s="40" t="s">
        <v>0</v>
      </c>
      <c r="X286" s="58">
        <v>4.8</v>
      </c>
      <c r="Y286" s="55">
        <f t="shared" si="48"/>
        <v>4.8</v>
      </c>
      <c r="Z286" s="41">
        <f>IFERROR(IF(Y286=0,"",ROUNDUP(Y286/H286,0)*0.00651),"")</f>
        <v>1.302E-2</v>
      </c>
      <c r="AA286" s="68" t="s">
        <v>46</v>
      </c>
      <c r="AB286" s="69" t="s">
        <v>46</v>
      </c>
      <c r="AC286" s="382" t="s">
        <v>482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5.34</v>
      </c>
      <c r="BN286" s="78">
        <f t="shared" si="50"/>
        <v>5.34</v>
      </c>
      <c r="BO286" s="78">
        <f t="shared" si="51"/>
        <v>1.098901098901099E-2</v>
      </c>
      <c r="BP286" s="78">
        <f t="shared" si="52"/>
        <v>1.098901098901099E-2</v>
      </c>
    </row>
    <row r="287" spans="1:68" ht="27" customHeight="1" x14ac:dyDescent="0.25">
      <c r="A287" s="63" t="s">
        <v>491</v>
      </c>
      <c r="B287" s="63" t="s">
        <v>492</v>
      </c>
      <c r="C287" s="36">
        <v>4301051752</v>
      </c>
      <c r="D287" s="665">
        <v>4680115882607</v>
      </c>
      <c r="E287" s="66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7"/>
      <c r="R287" s="667"/>
      <c r="S287" s="667"/>
      <c r="T287" s="668"/>
      <c r="U287" s="39" t="s">
        <v>46</v>
      </c>
      <c r="V287" s="39" t="s">
        <v>46</v>
      </c>
      <c r="W287" s="40" t="s">
        <v>0</v>
      </c>
      <c r="X287" s="58">
        <v>3.6</v>
      </c>
      <c r="Y287" s="55">
        <f t="shared" si="48"/>
        <v>3.6</v>
      </c>
      <c r="Z287" s="41">
        <f>IFERROR(IF(Y287=0,"",ROUNDUP(Y287/H287,0)*0.00651),"")</f>
        <v>1.302E-2</v>
      </c>
      <c r="AA287" s="68" t="s">
        <v>46</v>
      </c>
      <c r="AB287" s="69" t="s">
        <v>46</v>
      </c>
      <c r="AC287" s="384" t="s">
        <v>488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4.1040000000000001</v>
      </c>
      <c r="BN287" s="78">
        <f t="shared" si="50"/>
        <v>4.1040000000000001</v>
      </c>
      <c r="BO287" s="78">
        <f t="shared" si="51"/>
        <v>1.098901098901099E-2</v>
      </c>
      <c r="BP287" s="78">
        <f t="shared" si="52"/>
        <v>1.098901098901099E-2</v>
      </c>
    </row>
    <row r="288" spans="1:68" ht="27" customHeight="1" x14ac:dyDescent="0.25">
      <c r="A288" s="63" t="s">
        <v>493</v>
      </c>
      <c r="B288" s="63" t="s">
        <v>494</v>
      </c>
      <c r="C288" s="36">
        <v>4301052143</v>
      </c>
      <c r="D288" s="665">
        <v>4680115882607</v>
      </c>
      <c r="E288" s="66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0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7"/>
      <c r="R288" s="667"/>
      <c r="S288" s="667"/>
      <c r="T288" s="668"/>
      <c r="U288" s="39" t="s">
        <v>46</v>
      </c>
      <c r="V288" s="39" t="s">
        <v>46</v>
      </c>
      <c r="W288" s="40" t="s">
        <v>0</v>
      </c>
      <c r="X288" s="58">
        <v>3.6</v>
      </c>
      <c r="Y288" s="55">
        <f t="shared" si="48"/>
        <v>3.6</v>
      </c>
      <c r="Z288" s="41">
        <f>IFERROR(IF(Y288=0,"",ROUNDUP(Y288/H288,0)*0.00902),"")</f>
        <v>1.804E-2</v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4.1239999999999997</v>
      </c>
      <c r="BN288" s="78">
        <f t="shared" si="50"/>
        <v>4.1239999999999997</v>
      </c>
      <c r="BO288" s="78">
        <f t="shared" si="51"/>
        <v>1.5151515151515152E-2</v>
      </c>
      <c r="BP288" s="78">
        <f t="shared" si="52"/>
        <v>1.5151515151515152E-2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4301051666</v>
      </c>
      <c r="D289" s="665">
        <v>4680115880092</v>
      </c>
      <c r="E289" s="66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7"/>
      <c r="R289" s="667"/>
      <c r="S289" s="667"/>
      <c r="T289" s="66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488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498</v>
      </c>
      <c r="B290" s="63" t="s">
        <v>499</v>
      </c>
      <c r="C290" s="36">
        <v>4301052214</v>
      </c>
      <c r="D290" s="665">
        <v>4680115889064</v>
      </c>
      <c r="E290" s="66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0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7"/>
      <c r="R290" s="667"/>
      <c r="S290" s="667"/>
      <c r="T290" s="66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495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customHeight="1" x14ac:dyDescent="0.25">
      <c r="A291" s="63" t="s">
        <v>500</v>
      </c>
      <c r="B291" s="63" t="s">
        <v>501</v>
      </c>
      <c r="C291" s="36">
        <v>4301051668</v>
      </c>
      <c r="D291" s="665">
        <v>4680115880221</v>
      </c>
      <c r="E291" s="66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7"/>
      <c r="R291" s="667"/>
      <c r="S291" s="667"/>
      <c r="T291" s="668"/>
      <c r="U291" s="39" t="s">
        <v>46</v>
      </c>
      <c r="V291" s="39" t="s">
        <v>46</v>
      </c>
      <c r="W291" s="40" t="s">
        <v>0</v>
      </c>
      <c r="X291" s="58">
        <v>4.8</v>
      </c>
      <c r="Y291" s="55">
        <f t="shared" si="48"/>
        <v>4.8</v>
      </c>
      <c r="Z291" s="41">
        <f>IFERROR(IF(Y291=0,"",ROUNDUP(Y291/H291,0)*0.00651),"")</f>
        <v>1.302E-2</v>
      </c>
      <c r="AA291" s="68" t="s">
        <v>46</v>
      </c>
      <c r="AB291" s="69" t="s">
        <v>46</v>
      </c>
      <c r="AC291" s="392" t="s">
        <v>488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5.3040000000000003</v>
      </c>
      <c r="BN291" s="78">
        <f t="shared" si="50"/>
        <v>5.3040000000000003</v>
      </c>
      <c r="BO291" s="78">
        <f t="shared" si="51"/>
        <v>1.098901098901099E-2</v>
      </c>
      <c r="BP291" s="78">
        <f t="shared" si="52"/>
        <v>1.098901098901099E-2</v>
      </c>
    </row>
    <row r="292" spans="1:68" ht="27" customHeight="1" x14ac:dyDescent="0.25">
      <c r="A292" s="63" t="s">
        <v>502</v>
      </c>
      <c r="B292" s="63" t="s">
        <v>503</v>
      </c>
      <c r="C292" s="36">
        <v>4301051945</v>
      </c>
      <c r="D292" s="665">
        <v>4680115880504</v>
      </c>
      <c r="E292" s="66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7"/>
      <c r="R292" s="667"/>
      <c r="S292" s="667"/>
      <c r="T292" s="668"/>
      <c r="U292" s="39" t="s">
        <v>46</v>
      </c>
      <c r="V292" s="39" t="s">
        <v>46</v>
      </c>
      <c r="W292" s="40" t="s">
        <v>0</v>
      </c>
      <c r="X292" s="58">
        <v>4.8</v>
      </c>
      <c r="Y292" s="55">
        <f t="shared" si="48"/>
        <v>4.8</v>
      </c>
      <c r="Z292" s="41">
        <f>IFERROR(IF(Y292=0,"",ROUNDUP(Y292/H292,0)*0.00651),"")</f>
        <v>1.302E-2</v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5.3040000000000003</v>
      </c>
      <c r="BN292" s="78">
        <f t="shared" si="50"/>
        <v>5.3040000000000003</v>
      </c>
      <c r="BO292" s="78">
        <f t="shared" si="51"/>
        <v>1.098901098901099E-2</v>
      </c>
      <c r="BP292" s="78">
        <f t="shared" si="52"/>
        <v>1.098901098901099E-2</v>
      </c>
    </row>
    <row r="293" spans="1:68" ht="27" customHeight="1" x14ac:dyDescent="0.25">
      <c r="A293" s="63" t="s">
        <v>505</v>
      </c>
      <c r="B293" s="63" t="s">
        <v>506</v>
      </c>
      <c r="C293" s="36">
        <v>4301051410</v>
      </c>
      <c r="D293" s="665">
        <v>4680115882164</v>
      </c>
      <c r="E293" s="66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7"/>
      <c r="R293" s="667"/>
      <c r="S293" s="667"/>
      <c r="T293" s="668"/>
      <c r="U293" s="39" t="s">
        <v>46</v>
      </c>
      <c r="V293" s="39" t="s">
        <v>46</v>
      </c>
      <c r="W293" s="40" t="s">
        <v>0</v>
      </c>
      <c r="X293" s="58">
        <v>4.8</v>
      </c>
      <c r="Y293" s="55">
        <f t="shared" si="48"/>
        <v>4.8</v>
      </c>
      <c r="Z293" s="41">
        <f>IFERROR(IF(Y293=0,"",ROUNDUP(Y293/H293,0)*0.00651),"")</f>
        <v>1.302E-2</v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5.3159999999999998</v>
      </c>
      <c r="BN293" s="78">
        <f t="shared" si="50"/>
        <v>5.3159999999999998</v>
      </c>
      <c r="BO293" s="78">
        <f t="shared" si="51"/>
        <v>1.098901098901099E-2</v>
      </c>
      <c r="BP293" s="78">
        <f t="shared" si="52"/>
        <v>1.098901098901099E-2</v>
      </c>
    </row>
    <row r="294" spans="1:68" ht="27" customHeight="1" x14ac:dyDescent="0.25">
      <c r="A294" s="63" t="s">
        <v>508</v>
      </c>
      <c r="B294" s="63" t="s">
        <v>509</v>
      </c>
      <c r="C294" s="36">
        <v>4301052180</v>
      </c>
      <c r="D294" s="665">
        <v>4680115888340</v>
      </c>
      <c r="E294" s="66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0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7"/>
      <c r="R294" s="667"/>
      <c r="S294" s="667"/>
      <c r="T294" s="668"/>
      <c r="U294" s="39" t="s">
        <v>46</v>
      </c>
      <c r="V294" s="39" t="s">
        <v>46</v>
      </c>
      <c r="W294" s="40" t="s">
        <v>0</v>
      </c>
      <c r="X294" s="58">
        <v>4.8</v>
      </c>
      <c r="Y294" s="55">
        <f t="shared" si="48"/>
        <v>4.8</v>
      </c>
      <c r="Z294" s="41">
        <f>IFERROR(IF(Y294=0,"",ROUNDUP(Y294/H294,0)*0.00651),"")</f>
        <v>1.302E-2</v>
      </c>
      <c r="AA294" s="68" t="s">
        <v>46</v>
      </c>
      <c r="AB294" s="69" t="s">
        <v>46</v>
      </c>
      <c r="AC294" s="398" t="s">
        <v>510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5.3040000000000003</v>
      </c>
      <c r="BN294" s="78">
        <f t="shared" si="50"/>
        <v>5.3040000000000003</v>
      </c>
      <c r="BO294" s="78">
        <f t="shared" si="51"/>
        <v>1.098901098901099E-2</v>
      </c>
      <c r="BP294" s="78">
        <f t="shared" si="52"/>
        <v>1.098901098901099E-2</v>
      </c>
    </row>
    <row r="295" spans="1:68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35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35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0.4947399999999999</v>
      </c>
      <c r="AA295" s="67"/>
      <c r="AB295" s="67"/>
      <c r="AC295" s="67"/>
    </row>
    <row r="296" spans="1:68" x14ac:dyDescent="0.2">
      <c r="A296" s="661"/>
      <c r="B296" s="661"/>
      <c r="C296" s="661"/>
      <c r="D296" s="661"/>
      <c r="E296" s="661"/>
      <c r="F296" s="661"/>
      <c r="G296" s="661"/>
      <c r="H296" s="661"/>
      <c r="I296" s="661"/>
      <c r="J296" s="661"/>
      <c r="K296" s="661"/>
      <c r="L296" s="661"/>
      <c r="M296" s="661"/>
      <c r="N296" s="661"/>
      <c r="O296" s="662"/>
      <c r="P296" s="658" t="s">
        <v>40</v>
      </c>
      <c r="Q296" s="659"/>
      <c r="R296" s="659"/>
      <c r="S296" s="659"/>
      <c r="T296" s="659"/>
      <c r="U296" s="659"/>
      <c r="V296" s="660"/>
      <c r="W296" s="42" t="s">
        <v>0</v>
      </c>
      <c r="X296" s="43">
        <f>IFERROR(SUM(X283:X294),"0")</f>
        <v>205.50000000000006</v>
      </c>
      <c r="Y296" s="43">
        <f>IFERROR(SUM(Y283:Y294),"0")</f>
        <v>205.50000000000003</v>
      </c>
      <c r="Z296" s="42"/>
      <c r="AA296" s="67"/>
      <c r="AB296" s="67"/>
      <c r="AC296" s="67"/>
    </row>
    <row r="297" spans="1:68" ht="14.25" hidden="1" customHeight="1" x14ac:dyDescent="0.25">
      <c r="A297" s="664" t="s">
        <v>173</v>
      </c>
      <c r="B297" s="664"/>
      <c r="C297" s="664"/>
      <c r="D297" s="664"/>
      <c r="E297" s="664"/>
      <c r="F297" s="664"/>
      <c r="G297" s="664"/>
      <c r="H297" s="664"/>
      <c r="I297" s="664"/>
      <c r="J297" s="664"/>
      <c r="K297" s="664"/>
      <c r="L297" s="664"/>
      <c r="M297" s="664"/>
      <c r="N297" s="664"/>
      <c r="O297" s="664"/>
      <c r="P297" s="664"/>
      <c r="Q297" s="664"/>
      <c r="R297" s="664"/>
      <c r="S297" s="664"/>
      <c r="T297" s="664"/>
      <c r="U297" s="664"/>
      <c r="V297" s="664"/>
      <c r="W297" s="664"/>
      <c r="X297" s="664"/>
      <c r="Y297" s="664"/>
      <c r="Z297" s="664"/>
      <c r="AA297" s="66"/>
      <c r="AB297" s="66"/>
      <c r="AC297" s="80"/>
    </row>
    <row r="298" spans="1:68" ht="27" hidden="1" customHeight="1" x14ac:dyDescent="0.25">
      <c r="A298" s="63" t="s">
        <v>511</v>
      </c>
      <c r="B298" s="63" t="s">
        <v>512</v>
      </c>
      <c r="C298" s="36">
        <v>4301060463</v>
      </c>
      <c r="D298" s="665">
        <v>4680115880818</v>
      </c>
      <c r="E298" s="66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7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7"/>
      <c r="R298" s="667"/>
      <c r="S298" s="667"/>
      <c r="T298" s="66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513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514</v>
      </c>
      <c r="B299" s="63" t="s">
        <v>515</v>
      </c>
      <c r="C299" s="36">
        <v>4301060389</v>
      </c>
      <c r="D299" s="665">
        <v>4680115880801</v>
      </c>
      <c r="E299" s="66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7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7"/>
      <c r="R299" s="667"/>
      <c r="S299" s="667"/>
      <c r="T299" s="66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516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61"/>
      <c r="B300" s="661"/>
      <c r="C300" s="661"/>
      <c r="D300" s="661"/>
      <c r="E300" s="661"/>
      <c r="F300" s="661"/>
      <c r="G300" s="661"/>
      <c r="H300" s="661"/>
      <c r="I300" s="661"/>
      <c r="J300" s="661"/>
      <c r="K300" s="661"/>
      <c r="L300" s="661"/>
      <c r="M300" s="661"/>
      <c r="N300" s="661"/>
      <c r="O300" s="662"/>
      <c r="P300" s="658" t="s">
        <v>40</v>
      </c>
      <c r="Q300" s="659"/>
      <c r="R300" s="659"/>
      <c r="S300" s="659"/>
      <c r="T300" s="659"/>
      <c r="U300" s="659"/>
      <c r="V300" s="660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61"/>
      <c r="B301" s="661"/>
      <c r="C301" s="661"/>
      <c r="D301" s="661"/>
      <c r="E301" s="661"/>
      <c r="F301" s="661"/>
      <c r="G301" s="661"/>
      <c r="H301" s="661"/>
      <c r="I301" s="661"/>
      <c r="J301" s="661"/>
      <c r="K301" s="661"/>
      <c r="L301" s="661"/>
      <c r="M301" s="661"/>
      <c r="N301" s="661"/>
      <c r="O301" s="662"/>
      <c r="P301" s="658" t="s">
        <v>40</v>
      </c>
      <c r="Q301" s="659"/>
      <c r="R301" s="659"/>
      <c r="S301" s="659"/>
      <c r="T301" s="659"/>
      <c r="U301" s="659"/>
      <c r="V301" s="660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63" t="s">
        <v>517</v>
      </c>
      <c r="B302" s="663"/>
      <c r="C302" s="663"/>
      <c r="D302" s="663"/>
      <c r="E302" s="663"/>
      <c r="F302" s="663"/>
      <c r="G302" s="663"/>
      <c r="H302" s="663"/>
      <c r="I302" s="663"/>
      <c r="J302" s="663"/>
      <c r="K302" s="663"/>
      <c r="L302" s="663"/>
      <c r="M302" s="663"/>
      <c r="N302" s="663"/>
      <c r="O302" s="663"/>
      <c r="P302" s="663"/>
      <c r="Q302" s="663"/>
      <c r="R302" s="663"/>
      <c r="S302" s="663"/>
      <c r="T302" s="663"/>
      <c r="U302" s="663"/>
      <c r="V302" s="663"/>
      <c r="W302" s="663"/>
      <c r="X302" s="663"/>
      <c r="Y302" s="663"/>
      <c r="Z302" s="663"/>
      <c r="AA302" s="65"/>
      <c r="AB302" s="65"/>
      <c r="AC302" s="79"/>
    </row>
    <row r="303" spans="1:68" ht="14.25" hidden="1" customHeight="1" x14ac:dyDescent="0.25">
      <c r="A303" s="664" t="s">
        <v>122</v>
      </c>
      <c r="B303" s="664"/>
      <c r="C303" s="664"/>
      <c r="D303" s="664"/>
      <c r="E303" s="664"/>
      <c r="F303" s="664"/>
      <c r="G303" s="664"/>
      <c r="H303" s="664"/>
      <c r="I303" s="664"/>
      <c r="J303" s="664"/>
      <c r="K303" s="664"/>
      <c r="L303" s="664"/>
      <c r="M303" s="664"/>
      <c r="N303" s="664"/>
      <c r="O303" s="664"/>
      <c r="P303" s="664"/>
      <c r="Q303" s="664"/>
      <c r="R303" s="664"/>
      <c r="S303" s="664"/>
      <c r="T303" s="664"/>
      <c r="U303" s="664"/>
      <c r="V303" s="664"/>
      <c r="W303" s="664"/>
      <c r="X303" s="664"/>
      <c r="Y303" s="664"/>
      <c r="Z303" s="664"/>
      <c r="AA303" s="66"/>
      <c r="AB303" s="66"/>
      <c r="AC303" s="80"/>
    </row>
    <row r="304" spans="1:68" ht="27" hidden="1" customHeight="1" x14ac:dyDescent="0.25">
      <c r="A304" s="63" t="s">
        <v>518</v>
      </c>
      <c r="B304" s="63" t="s">
        <v>519</v>
      </c>
      <c r="C304" s="36">
        <v>4301011826</v>
      </c>
      <c r="D304" s="665">
        <v>4680115884137</v>
      </c>
      <c r="E304" s="66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7"/>
      <c r="R304" s="667"/>
      <c r="S304" s="667"/>
      <c r="T304" s="66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520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521</v>
      </c>
      <c r="B305" s="63" t="s">
        <v>522</v>
      </c>
      <c r="C305" s="36">
        <v>4301011724</v>
      </c>
      <c r="D305" s="665">
        <v>4680115884236</v>
      </c>
      <c r="E305" s="66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7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7"/>
      <c r="R305" s="667"/>
      <c r="S305" s="667"/>
      <c r="T305" s="66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523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524</v>
      </c>
      <c r="B306" s="63" t="s">
        <v>525</v>
      </c>
      <c r="C306" s="36">
        <v>4301011721</v>
      </c>
      <c r="D306" s="665">
        <v>4680115884175</v>
      </c>
      <c r="E306" s="66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79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7"/>
      <c r="R306" s="667"/>
      <c r="S306" s="667"/>
      <c r="T306" s="66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378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526</v>
      </c>
      <c r="B307" s="63" t="s">
        <v>527</v>
      </c>
      <c r="C307" s="36">
        <v>4301011824</v>
      </c>
      <c r="D307" s="665">
        <v>4680115884144</v>
      </c>
      <c r="E307" s="66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9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7"/>
      <c r="R307" s="667"/>
      <c r="S307" s="667"/>
      <c r="T307" s="66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520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528</v>
      </c>
      <c r="B308" s="63" t="s">
        <v>529</v>
      </c>
      <c r="C308" s="36">
        <v>4301012149</v>
      </c>
      <c r="D308" s="665">
        <v>4680115886551</v>
      </c>
      <c r="E308" s="66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7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7"/>
      <c r="R308" s="667"/>
      <c r="S308" s="667"/>
      <c r="T308" s="66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4301012228</v>
      </c>
      <c r="D309" s="665">
        <v>4680115887282</v>
      </c>
      <c r="E309" s="66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7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7"/>
      <c r="R309" s="667"/>
      <c r="S309" s="667"/>
      <c r="T309" s="66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4301011722</v>
      </c>
      <c r="D310" s="665">
        <v>4680115884205</v>
      </c>
      <c r="E310" s="66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7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7"/>
      <c r="R310" s="667"/>
      <c r="S310" s="667"/>
      <c r="T310" s="66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378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61"/>
      <c r="B311" s="661"/>
      <c r="C311" s="661"/>
      <c r="D311" s="661"/>
      <c r="E311" s="661"/>
      <c r="F311" s="661"/>
      <c r="G311" s="661"/>
      <c r="H311" s="661"/>
      <c r="I311" s="661"/>
      <c r="J311" s="661"/>
      <c r="K311" s="661"/>
      <c r="L311" s="661"/>
      <c r="M311" s="661"/>
      <c r="N311" s="661"/>
      <c r="O311" s="662"/>
      <c r="P311" s="658" t="s">
        <v>40</v>
      </c>
      <c r="Q311" s="659"/>
      <c r="R311" s="659"/>
      <c r="S311" s="659"/>
      <c r="T311" s="659"/>
      <c r="U311" s="659"/>
      <c r="V311" s="660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61"/>
      <c r="B312" s="661"/>
      <c r="C312" s="661"/>
      <c r="D312" s="661"/>
      <c r="E312" s="661"/>
      <c r="F312" s="661"/>
      <c r="G312" s="661"/>
      <c r="H312" s="661"/>
      <c r="I312" s="661"/>
      <c r="J312" s="661"/>
      <c r="K312" s="661"/>
      <c r="L312" s="661"/>
      <c r="M312" s="661"/>
      <c r="N312" s="661"/>
      <c r="O312" s="662"/>
      <c r="P312" s="658" t="s">
        <v>40</v>
      </c>
      <c r="Q312" s="659"/>
      <c r="R312" s="659"/>
      <c r="S312" s="659"/>
      <c r="T312" s="659"/>
      <c r="U312" s="659"/>
      <c r="V312" s="660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4" t="s">
        <v>155</v>
      </c>
      <c r="B313" s="664"/>
      <c r="C313" s="664"/>
      <c r="D313" s="664"/>
      <c r="E313" s="664"/>
      <c r="F313" s="664"/>
      <c r="G313" s="664"/>
      <c r="H313" s="664"/>
      <c r="I313" s="664"/>
      <c r="J313" s="664"/>
      <c r="K313" s="664"/>
      <c r="L313" s="664"/>
      <c r="M313" s="664"/>
      <c r="N313" s="664"/>
      <c r="O313" s="664"/>
      <c r="P313" s="664"/>
      <c r="Q313" s="664"/>
      <c r="R313" s="664"/>
      <c r="S313" s="664"/>
      <c r="T313" s="664"/>
      <c r="U313" s="664"/>
      <c r="V313" s="664"/>
      <c r="W313" s="664"/>
      <c r="X313" s="664"/>
      <c r="Y313" s="664"/>
      <c r="Z313" s="664"/>
      <c r="AA313" s="66"/>
      <c r="AB313" s="66"/>
      <c r="AC313" s="80"/>
    </row>
    <row r="314" spans="1:68" ht="27" hidden="1" customHeight="1" x14ac:dyDescent="0.25">
      <c r="A314" s="63" t="s">
        <v>536</v>
      </c>
      <c r="B314" s="63" t="s">
        <v>537</v>
      </c>
      <c r="C314" s="36">
        <v>4301020377</v>
      </c>
      <c r="D314" s="665">
        <v>4680115885981</v>
      </c>
      <c r="E314" s="66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7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7"/>
      <c r="R314" s="667"/>
      <c r="S314" s="667"/>
      <c r="T314" s="66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538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61"/>
      <c r="B315" s="661"/>
      <c r="C315" s="661"/>
      <c r="D315" s="661"/>
      <c r="E315" s="661"/>
      <c r="F315" s="661"/>
      <c r="G315" s="661"/>
      <c r="H315" s="661"/>
      <c r="I315" s="661"/>
      <c r="J315" s="661"/>
      <c r="K315" s="661"/>
      <c r="L315" s="661"/>
      <c r="M315" s="661"/>
      <c r="N315" s="661"/>
      <c r="O315" s="662"/>
      <c r="P315" s="658" t="s">
        <v>40</v>
      </c>
      <c r="Q315" s="659"/>
      <c r="R315" s="659"/>
      <c r="S315" s="659"/>
      <c r="T315" s="659"/>
      <c r="U315" s="659"/>
      <c r="V315" s="660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61"/>
      <c r="B316" s="661"/>
      <c r="C316" s="661"/>
      <c r="D316" s="661"/>
      <c r="E316" s="661"/>
      <c r="F316" s="661"/>
      <c r="G316" s="661"/>
      <c r="H316" s="661"/>
      <c r="I316" s="661"/>
      <c r="J316" s="661"/>
      <c r="K316" s="661"/>
      <c r="L316" s="661"/>
      <c r="M316" s="661"/>
      <c r="N316" s="661"/>
      <c r="O316" s="662"/>
      <c r="P316" s="658" t="s">
        <v>40</v>
      </c>
      <c r="Q316" s="659"/>
      <c r="R316" s="659"/>
      <c r="S316" s="659"/>
      <c r="T316" s="659"/>
      <c r="U316" s="659"/>
      <c r="V316" s="660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4" t="s">
        <v>539</v>
      </c>
      <c r="B317" s="664"/>
      <c r="C317" s="664"/>
      <c r="D317" s="664"/>
      <c r="E317" s="664"/>
      <c r="F317" s="664"/>
      <c r="G317" s="664"/>
      <c r="H317" s="664"/>
      <c r="I317" s="664"/>
      <c r="J317" s="664"/>
      <c r="K317" s="664"/>
      <c r="L317" s="664"/>
      <c r="M317" s="664"/>
      <c r="N317" s="664"/>
      <c r="O317" s="664"/>
      <c r="P317" s="664"/>
      <c r="Q317" s="664"/>
      <c r="R317" s="664"/>
      <c r="S317" s="664"/>
      <c r="T317" s="664"/>
      <c r="U317" s="664"/>
      <c r="V317" s="664"/>
      <c r="W317" s="664"/>
      <c r="X317" s="664"/>
      <c r="Y317" s="664"/>
      <c r="Z317" s="664"/>
      <c r="AA317" s="66"/>
      <c r="AB317" s="66"/>
      <c r="AC317" s="80"/>
    </row>
    <row r="318" spans="1:68" ht="27" hidden="1" customHeight="1" x14ac:dyDescent="0.25">
      <c r="A318" s="63" t="s">
        <v>540</v>
      </c>
      <c r="B318" s="63" t="s">
        <v>541</v>
      </c>
      <c r="C318" s="36">
        <v>4301040362</v>
      </c>
      <c r="D318" s="665">
        <v>4680115886803</v>
      </c>
      <c r="E318" s="66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355</v>
      </c>
      <c r="L318" s="37" t="s">
        <v>46</v>
      </c>
      <c r="M318" s="38" t="s">
        <v>294</v>
      </c>
      <c r="N318" s="38"/>
      <c r="O318" s="37">
        <v>45</v>
      </c>
      <c r="P318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7"/>
      <c r="R318" s="667"/>
      <c r="S318" s="667"/>
      <c r="T318" s="66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542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1"/>
      <c r="B319" s="661"/>
      <c r="C319" s="661"/>
      <c r="D319" s="661"/>
      <c r="E319" s="661"/>
      <c r="F319" s="661"/>
      <c r="G319" s="661"/>
      <c r="H319" s="661"/>
      <c r="I319" s="661"/>
      <c r="J319" s="661"/>
      <c r="K319" s="661"/>
      <c r="L319" s="661"/>
      <c r="M319" s="661"/>
      <c r="N319" s="661"/>
      <c r="O319" s="662"/>
      <c r="P319" s="658" t="s">
        <v>40</v>
      </c>
      <c r="Q319" s="659"/>
      <c r="R319" s="659"/>
      <c r="S319" s="659"/>
      <c r="T319" s="659"/>
      <c r="U319" s="659"/>
      <c r="V319" s="66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1"/>
      <c r="B320" s="661"/>
      <c r="C320" s="661"/>
      <c r="D320" s="661"/>
      <c r="E320" s="661"/>
      <c r="F320" s="661"/>
      <c r="G320" s="661"/>
      <c r="H320" s="661"/>
      <c r="I320" s="661"/>
      <c r="J320" s="661"/>
      <c r="K320" s="661"/>
      <c r="L320" s="661"/>
      <c r="M320" s="661"/>
      <c r="N320" s="661"/>
      <c r="O320" s="662"/>
      <c r="P320" s="658" t="s">
        <v>40</v>
      </c>
      <c r="Q320" s="659"/>
      <c r="R320" s="659"/>
      <c r="S320" s="659"/>
      <c r="T320" s="659"/>
      <c r="U320" s="659"/>
      <c r="V320" s="66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4" t="s">
        <v>356</v>
      </c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  <c r="AA321" s="66"/>
      <c r="AB321" s="66"/>
      <c r="AC321" s="80"/>
    </row>
    <row r="322" spans="1:68" ht="27" hidden="1" customHeight="1" x14ac:dyDescent="0.25">
      <c r="A322" s="63" t="s">
        <v>543</v>
      </c>
      <c r="B322" s="63" t="s">
        <v>544</v>
      </c>
      <c r="C322" s="36">
        <v>4301041004</v>
      </c>
      <c r="D322" s="665">
        <v>4680115886704</v>
      </c>
      <c r="E322" s="66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355</v>
      </c>
      <c r="L322" s="37" t="s">
        <v>46</v>
      </c>
      <c r="M322" s="38" t="s">
        <v>294</v>
      </c>
      <c r="N322" s="38"/>
      <c r="O322" s="37">
        <v>90</v>
      </c>
      <c r="P322" s="78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7"/>
      <c r="R322" s="667"/>
      <c r="S322" s="667"/>
      <c r="T322" s="66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545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546</v>
      </c>
      <c r="B323" s="63" t="s">
        <v>547</v>
      </c>
      <c r="C323" s="36">
        <v>4301041008</v>
      </c>
      <c r="D323" s="665">
        <v>4680115886681</v>
      </c>
      <c r="E323" s="66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355</v>
      </c>
      <c r="L323" s="37" t="s">
        <v>46</v>
      </c>
      <c r="M323" s="38" t="s">
        <v>294</v>
      </c>
      <c r="N323" s="38"/>
      <c r="O323" s="37">
        <v>90</v>
      </c>
      <c r="P323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7"/>
      <c r="R323" s="667"/>
      <c r="S323" s="667"/>
      <c r="T323" s="66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545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548</v>
      </c>
      <c r="B324" s="63" t="s">
        <v>549</v>
      </c>
      <c r="C324" s="36">
        <v>4301041007</v>
      </c>
      <c r="D324" s="665">
        <v>4680115886735</v>
      </c>
      <c r="E324" s="66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355</v>
      </c>
      <c r="L324" s="37" t="s">
        <v>46</v>
      </c>
      <c r="M324" s="38" t="s">
        <v>294</v>
      </c>
      <c r="N324" s="38"/>
      <c r="O324" s="37">
        <v>90</v>
      </c>
      <c r="P324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7"/>
      <c r="R324" s="667"/>
      <c r="S324" s="667"/>
      <c r="T324" s="66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545</v>
      </c>
      <c r="AG324" s="78"/>
      <c r="AJ324" s="84" t="s">
        <v>46</v>
      </c>
      <c r="AK324" s="84">
        <v>0</v>
      </c>
      <c r="BB324" s="427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661"/>
      <c r="B325" s="661"/>
      <c r="C325" s="661"/>
      <c r="D325" s="661"/>
      <c r="E325" s="661"/>
      <c r="F325" s="661"/>
      <c r="G325" s="661"/>
      <c r="H325" s="661"/>
      <c r="I325" s="661"/>
      <c r="J325" s="661"/>
      <c r="K325" s="661"/>
      <c r="L325" s="661"/>
      <c r="M325" s="661"/>
      <c r="N325" s="661"/>
      <c r="O325" s="662"/>
      <c r="P325" s="658" t="s">
        <v>40</v>
      </c>
      <c r="Q325" s="659"/>
      <c r="R325" s="659"/>
      <c r="S325" s="659"/>
      <c r="T325" s="659"/>
      <c r="U325" s="659"/>
      <c r="V325" s="660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661"/>
      <c r="B326" s="661"/>
      <c r="C326" s="661"/>
      <c r="D326" s="661"/>
      <c r="E326" s="661"/>
      <c r="F326" s="661"/>
      <c r="G326" s="661"/>
      <c r="H326" s="661"/>
      <c r="I326" s="661"/>
      <c r="J326" s="661"/>
      <c r="K326" s="661"/>
      <c r="L326" s="661"/>
      <c r="M326" s="661"/>
      <c r="N326" s="661"/>
      <c r="O326" s="662"/>
      <c r="P326" s="658" t="s">
        <v>40</v>
      </c>
      <c r="Q326" s="659"/>
      <c r="R326" s="659"/>
      <c r="S326" s="659"/>
      <c r="T326" s="659"/>
      <c r="U326" s="659"/>
      <c r="V326" s="660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663" t="s">
        <v>550</v>
      </c>
      <c r="B327" s="663"/>
      <c r="C327" s="663"/>
      <c r="D327" s="663"/>
      <c r="E327" s="663"/>
      <c r="F327" s="663"/>
      <c r="G327" s="663"/>
      <c r="H327" s="663"/>
      <c r="I327" s="663"/>
      <c r="J327" s="663"/>
      <c r="K327" s="663"/>
      <c r="L327" s="663"/>
      <c r="M327" s="663"/>
      <c r="N327" s="663"/>
      <c r="O327" s="663"/>
      <c r="P327" s="663"/>
      <c r="Q327" s="663"/>
      <c r="R327" s="663"/>
      <c r="S327" s="663"/>
      <c r="T327" s="663"/>
      <c r="U327" s="663"/>
      <c r="V327" s="663"/>
      <c r="W327" s="663"/>
      <c r="X327" s="663"/>
      <c r="Y327" s="663"/>
      <c r="Z327" s="663"/>
      <c r="AA327" s="65"/>
      <c r="AB327" s="65"/>
      <c r="AC327" s="79"/>
    </row>
    <row r="328" spans="1:68" ht="14.25" hidden="1" customHeight="1" x14ac:dyDescent="0.25">
      <c r="A328" s="664" t="s">
        <v>122</v>
      </c>
      <c r="B328" s="664"/>
      <c r="C328" s="664"/>
      <c r="D328" s="664"/>
      <c r="E328" s="664"/>
      <c r="F328" s="664"/>
      <c r="G328" s="664"/>
      <c r="H328" s="664"/>
      <c r="I328" s="664"/>
      <c r="J328" s="664"/>
      <c r="K328" s="664"/>
      <c r="L328" s="664"/>
      <c r="M328" s="664"/>
      <c r="N328" s="664"/>
      <c r="O328" s="664"/>
      <c r="P328" s="664"/>
      <c r="Q328" s="664"/>
      <c r="R328" s="664"/>
      <c r="S328" s="664"/>
      <c r="T328" s="664"/>
      <c r="U328" s="664"/>
      <c r="V328" s="664"/>
      <c r="W328" s="664"/>
      <c r="X328" s="664"/>
      <c r="Y328" s="664"/>
      <c r="Z328" s="664"/>
      <c r="AA328" s="66"/>
      <c r="AB328" s="66"/>
      <c r="AC328" s="80"/>
    </row>
    <row r="329" spans="1:68" ht="27" hidden="1" customHeight="1" x14ac:dyDescent="0.25">
      <c r="A329" s="63" t="s">
        <v>551</v>
      </c>
      <c r="B329" s="63" t="s">
        <v>552</v>
      </c>
      <c r="C329" s="36">
        <v>4301011855</v>
      </c>
      <c r="D329" s="665">
        <v>4680115885837</v>
      </c>
      <c r="E329" s="66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7"/>
      <c r="R329" s="667"/>
      <c r="S329" s="667"/>
      <c r="T329" s="66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4301012234</v>
      </c>
      <c r="D330" s="665">
        <v>4680115887237</v>
      </c>
      <c r="E330" s="66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7"/>
      <c r="R330" s="667"/>
      <c r="S330" s="667"/>
      <c r="T330" s="66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557</v>
      </c>
      <c r="B331" s="63" t="s">
        <v>558</v>
      </c>
      <c r="C331" s="36">
        <v>4301011850</v>
      </c>
      <c r="D331" s="665">
        <v>4680115885806</v>
      </c>
      <c r="E331" s="66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7"/>
      <c r="R331" s="667"/>
      <c r="S331" s="667"/>
      <c r="T331" s="66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559</v>
      </c>
      <c r="AG331" s="78"/>
      <c r="AJ331" s="84" t="s">
        <v>46</v>
      </c>
      <c r="AK331" s="84">
        <v>0</v>
      </c>
      <c r="BB331" s="433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560</v>
      </c>
      <c r="B332" s="63" t="s">
        <v>561</v>
      </c>
      <c r="C332" s="36">
        <v>4301011852</v>
      </c>
      <c r="D332" s="665">
        <v>4680115885844</v>
      </c>
      <c r="E332" s="66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78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7"/>
      <c r="R332" s="667"/>
      <c r="S332" s="667"/>
      <c r="T332" s="66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562</v>
      </c>
      <c r="AG332" s="78"/>
      <c r="AJ332" s="84" t="s">
        <v>46</v>
      </c>
      <c r="AK332" s="84">
        <v>0</v>
      </c>
      <c r="BB332" s="435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563</v>
      </c>
      <c r="B333" s="63" t="s">
        <v>564</v>
      </c>
      <c r="C333" s="36">
        <v>4301011851</v>
      </c>
      <c r="D333" s="665">
        <v>4680115885820</v>
      </c>
      <c r="E333" s="66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7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7"/>
      <c r="R333" s="667"/>
      <c r="S333" s="667"/>
      <c r="T333" s="66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565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63" t="s">
        <v>566</v>
      </c>
      <c r="B336" s="663"/>
      <c r="C336" s="663"/>
      <c r="D336" s="663"/>
      <c r="E336" s="663"/>
      <c r="F336" s="663"/>
      <c r="G336" s="663"/>
      <c r="H336" s="663"/>
      <c r="I336" s="663"/>
      <c r="J336" s="663"/>
      <c r="K336" s="663"/>
      <c r="L336" s="663"/>
      <c r="M336" s="663"/>
      <c r="N336" s="663"/>
      <c r="O336" s="663"/>
      <c r="P336" s="663"/>
      <c r="Q336" s="663"/>
      <c r="R336" s="663"/>
      <c r="S336" s="663"/>
      <c r="T336" s="663"/>
      <c r="U336" s="663"/>
      <c r="V336" s="663"/>
      <c r="W336" s="663"/>
      <c r="X336" s="663"/>
      <c r="Y336" s="663"/>
      <c r="Z336" s="663"/>
      <c r="AA336" s="65"/>
      <c r="AB336" s="65"/>
      <c r="AC336" s="79"/>
    </row>
    <row r="337" spans="1:68" ht="14.25" hidden="1" customHeight="1" x14ac:dyDescent="0.25">
      <c r="A337" s="664" t="s">
        <v>86</v>
      </c>
      <c r="B337" s="664"/>
      <c r="C337" s="664"/>
      <c r="D337" s="664"/>
      <c r="E337" s="664"/>
      <c r="F337" s="664"/>
      <c r="G337" s="664"/>
      <c r="H337" s="664"/>
      <c r="I337" s="664"/>
      <c r="J337" s="664"/>
      <c r="K337" s="664"/>
      <c r="L337" s="664"/>
      <c r="M337" s="664"/>
      <c r="N337" s="664"/>
      <c r="O337" s="664"/>
      <c r="P337" s="664"/>
      <c r="Q337" s="664"/>
      <c r="R337" s="664"/>
      <c r="S337" s="664"/>
      <c r="T337" s="664"/>
      <c r="U337" s="664"/>
      <c r="V337" s="664"/>
      <c r="W337" s="664"/>
      <c r="X337" s="664"/>
      <c r="Y337" s="664"/>
      <c r="Z337" s="664"/>
      <c r="AA337" s="66"/>
      <c r="AB337" s="66"/>
      <c r="AC337" s="80"/>
    </row>
    <row r="338" spans="1:68" ht="27" hidden="1" customHeight="1" x14ac:dyDescent="0.25">
      <c r="A338" s="63" t="s">
        <v>567</v>
      </c>
      <c r="B338" s="63" t="s">
        <v>568</v>
      </c>
      <c r="C338" s="36">
        <v>4301051893</v>
      </c>
      <c r="D338" s="665">
        <v>4680115886186</v>
      </c>
      <c r="E338" s="66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7"/>
      <c r="R338" s="667"/>
      <c r="S338" s="667"/>
      <c r="T338" s="66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569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4301051795</v>
      </c>
      <c r="D339" s="665">
        <v>4680115881228</v>
      </c>
      <c r="E339" s="66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7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7"/>
      <c r="R339" s="667"/>
      <c r="S339" s="667"/>
      <c r="T339" s="66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4301051388</v>
      </c>
      <c r="D340" s="665">
        <v>4680115881211</v>
      </c>
      <c r="E340" s="66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7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7"/>
      <c r="R340" s="667"/>
      <c r="S340" s="667"/>
      <c r="T340" s="66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569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1"/>
      <c r="B341" s="661"/>
      <c r="C341" s="661"/>
      <c r="D341" s="661"/>
      <c r="E341" s="661"/>
      <c r="F341" s="661"/>
      <c r="G341" s="661"/>
      <c r="H341" s="661"/>
      <c r="I341" s="661"/>
      <c r="J341" s="661"/>
      <c r="K341" s="661"/>
      <c r="L341" s="661"/>
      <c r="M341" s="661"/>
      <c r="N341" s="661"/>
      <c r="O341" s="662"/>
      <c r="P341" s="658" t="s">
        <v>40</v>
      </c>
      <c r="Q341" s="659"/>
      <c r="R341" s="659"/>
      <c r="S341" s="659"/>
      <c r="T341" s="659"/>
      <c r="U341" s="659"/>
      <c r="V341" s="660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1"/>
      <c r="B342" s="661"/>
      <c r="C342" s="661"/>
      <c r="D342" s="661"/>
      <c r="E342" s="661"/>
      <c r="F342" s="661"/>
      <c r="G342" s="661"/>
      <c r="H342" s="661"/>
      <c r="I342" s="661"/>
      <c r="J342" s="661"/>
      <c r="K342" s="661"/>
      <c r="L342" s="661"/>
      <c r="M342" s="661"/>
      <c r="N342" s="661"/>
      <c r="O342" s="662"/>
      <c r="P342" s="658" t="s">
        <v>40</v>
      </c>
      <c r="Q342" s="659"/>
      <c r="R342" s="659"/>
      <c r="S342" s="659"/>
      <c r="T342" s="659"/>
      <c r="U342" s="659"/>
      <c r="V342" s="660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63" t="s">
        <v>575</v>
      </c>
      <c r="B343" s="663"/>
      <c r="C343" s="663"/>
      <c r="D343" s="663"/>
      <c r="E343" s="663"/>
      <c r="F343" s="663"/>
      <c r="G343" s="663"/>
      <c r="H343" s="663"/>
      <c r="I343" s="663"/>
      <c r="J343" s="663"/>
      <c r="K343" s="663"/>
      <c r="L343" s="663"/>
      <c r="M343" s="663"/>
      <c r="N343" s="663"/>
      <c r="O343" s="663"/>
      <c r="P343" s="663"/>
      <c r="Q343" s="663"/>
      <c r="R343" s="663"/>
      <c r="S343" s="663"/>
      <c r="T343" s="663"/>
      <c r="U343" s="663"/>
      <c r="V343" s="663"/>
      <c r="W343" s="663"/>
      <c r="X343" s="663"/>
      <c r="Y343" s="663"/>
      <c r="Z343" s="663"/>
      <c r="AA343" s="65"/>
      <c r="AB343" s="65"/>
      <c r="AC343" s="79"/>
    </row>
    <row r="344" spans="1:68" ht="14.25" hidden="1" customHeight="1" x14ac:dyDescent="0.25">
      <c r="A344" s="664" t="s">
        <v>77</v>
      </c>
      <c r="B344" s="664"/>
      <c r="C344" s="664"/>
      <c r="D344" s="664"/>
      <c r="E344" s="664"/>
      <c r="F344" s="664"/>
      <c r="G344" s="664"/>
      <c r="H344" s="664"/>
      <c r="I344" s="664"/>
      <c r="J344" s="664"/>
      <c r="K344" s="664"/>
      <c r="L344" s="664"/>
      <c r="M344" s="664"/>
      <c r="N344" s="664"/>
      <c r="O344" s="664"/>
      <c r="P344" s="664"/>
      <c r="Q344" s="664"/>
      <c r="R344" s="664"/>
      <c r="S344" s="664"/>
      <c r="T344" s="664"/>
      <c r="U344" s="664"/>
      <c r="V344" s="664"/>
      <c r="W344" s="664"/>
      <c r="X344" s="664"/>
      <c r="Y344" s="664"/>
      <c r="Z344" s="664"/>
      <c r="AA344" s="66"/>
      <c r="AB344" s="66"/>
      <c r="AC344" s="80"/>
    </row>
    <row r="345" spans="1:68" ht="27" customHeight="1" x14ac:dyDescent="0.25">
      <c r="A345" s="63" t="s">
        <v>576</v>
      </c>
      <c r="B345" s="63" t="s">
        <v>577</v>
      </c>
      <c r="C345" s="36">
        <v>4301031445</v>
      </c>
      <c r="D345" s="665">
        <v>4680115888319</v>
      </c>
      <c r="E345" s="66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77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7"/>
      <c r="R345" s="667"/>
      <c r="S345" s="667"/>
      <c r="T345" s="668"/>
      <c r="U345" s="39" t="s">
        <v>46</v>
      </c>
      <c r="V345" s="39" t="s">
        <v>46</v>
      </c>
      <c r="W345" s="40" t="s">
        <v>0</v>
      </c>
      <c r="X345" s="58">
        <v>14.7</v>
      </c>
      <c r="Y345" s="55">
        <f>IFERROR(IF(X345="",0,CEILING((X345/$H345),1)*$H345),"")</f>
        <v>14.700000000000001</v>
      </c>
      <c r="Z345" s="41">
        <f>IFERROR(IF(Y345=0,"",ROUNDUP(Y345/H345,0)*0.00502),"")</f>
        <v>3.5140000000000005E-2</v>
      </c>
      <c r="AA345" s="68" t="s">
        <v>46</v>
      </c>
      <c r="AB345" s="69" t="s">
        <v>46</v>
      </c>
      <c r="AC345" s="444" t="s">
        <v>410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15.61</v>
      </c>
      <c r="BN345" s="78">
        <f>IFERROR(Y345*I345/H345,"0")</f>
        <v>15.61</v>
      </c>
      <c r="BO345" s="78">
        <f>IFERROR(1/J345*(X345/H345),"0")</f>
        <v>2.9914529914529912E-2</v>
      </c>
      <c r="BP345" s="78">
        <f>IFERROR(1/J345*(Y345/H345),"0")</f>
        <v>2.9914529914529919E-2</v>
      </c>
    </row>
    <row r="346" spans="1:68" ht="27" customHeight="1" x14ac:dyDescent="0.25">
      <c r="A346" s="63" t="s">
        <v>578</v>
      </c>
      <c r="B346" s="63" t="s">
        <v>579</v>
      </c>
      <c r="C346" s="36">
        <v>4301031502</v>
      </c>
      <c r="D346" s="665">
        <v>4680115884700</v>
      </c>
      <c r="E346" s="66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7"/>
      <c r="R346" s="667"/>
      <c r="S346" s="667"/>
      <c r="T346" s="668"/>
      <c r="U346" s="39" t="s">
        <v>46</v>
      </c>
      <c r="V346" s="39" t="s">
        <v>46</v>
      </c>
      <c r="W346" s="40" t="s">
        <v>0</v>
      </c>
      <c r="X346" s="58">
        <v>11.6</v>
      </c>
      <c r="Y346" s="55">
        <f>IFERROR(IF(X346="",0,CEILING((X346/$H346),1)*$H346),"")</f>
        <v>11.6</v>
      </c>
      <c r="Z346" s="41">
        <f>IFERROR(IF(Y346=0,"",ROUNDUP(Y346/H346,0)*0.00502),"")</f>
        <v>2.5100000000000001E-2</v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12.1</v>
      </c>
      <c r="BN346" s="78">
        <f>IFERROR(Y346*I346/H346,"0")</f>
        <v>12.1</v>
      </c>
      <c r="BO346" s="78">
        <f>IFERROR(1/J346*(X346/H346),"0")</f>
        <v>2.1367521367521368E-2</v>
      </c>
      <c r="BP346" s="78">
        <f>IFERROR(1/J346*(Y346/H346),"0")</f>
        <v>2.1367521367521368E-2</v>
      </c>
    </row>
    <row r="347" spans="1:68" ht="27" customHeight="1" x14ac:dyDescent="0.25">
      <c r="A347" s="63" t="s">
        <v>581</v>
      </c>
      <c r="B347" s="63" t="s">
        <v>582</v>
      </c>
      <c r="C347" s="36">
        <v>4301031307</v>
      </c>
      <c r="D347" s="665">
        <v>4680115880344</v>
      </c>
      <c r="E347" s="66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7"/>
      <c r="R347" s="667"/>
      <c r="S347" s="667"/>
      <c r="T347" s="668"/>
      <c r="U347" s="39" t="s">
        <v>46</v>
      </c>
      <c r="V347" s="39" t="s">
        <v>46</v>
      </c>
      <c r="W347" s="40" t="s">
        <v>0</v>
      </c>
      <c r="X347" s="58">
        <v>16.8</v>
      </c>
      <c r="Y347" s="55">
        <f>IFERROR(IF(X347="",0,CEILING((X347/$H347),1)*$H347),"")</f>
        <v>16.8</v>
      </c>
      <c r="Z347" s="41">
        <f>IFERROR(IF(Y347=0,"",ROUNDUP(Y347/H347,0)*0.00502),"")</f>
        <v>5.0200000000000002E-2</v>
      </c>
      <c r="AA347" s="68" t="s">
        <v>46</v>
      </c>
      <c r="AB347" s="69" t="s">
        <v>46</v>
      </c>
      <c r="AC347" s="448" t="s">
        <v>583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17.800000000000004</v>
      </c>
      <c r="BN347" s="78">
        <f>IFERROR(Y347*I347/H347,"0")</f>
        <v>17.800000000000004</v>
      </c>
      <c r="BO347" s="78">
        <f>IFERROR(1/J347*(X347/H347),"0")</f>
        <v>4.2735042735042736E-2</v>
      </c>
      <c r="BP347" s="78">
        <f>IFERROR(1/J347*(Y347/H347),"0")</f>
        <v>4.2735042735042736E-2</v>
      </c>
    </row>
    <row r="348" spans="1:68" ht="27" customHeight="1" x14ac:dyDescent="0.25">
      <c r="A348" s="63" t="s">
        <v>584</v>
      </c>
      <c r="B348" s="63" t="s">
        <v>585</v>
      </c>
      <c r="C348" s="36">
        <v>4301031501</v>
      </c>
      <c r="D348" s="665">
        <v>4680115886919</v>
      </c>
      <c r="E348" s="66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7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7"/>
      <c r="R348" s="667"/>
      <c r="S348" s="667"/>
      <c r="T348" s="668"/>
      <c r="U348" s="39" t="s">
        <v>46</v>
      </c>
      <c r="V348" s="39" t="s">
        <v>46</v>
      </c>
      <c r="W348" s="40" t="s">
        <v>0</v>
      </c>
      <c r="X348" s="58">
        <v>12</v>
      </c>
      <c r="Y348" s="55">
        <f>IFERROR(IF(X348="",0,CEILING((X348/$H348),1)*$H348),"")</f>
        <v>12</v>
      </c>
      <c r="Z348" s="41">
        <f>IFERROR(IF(Y348=0,"",ROUNDUP(Y348/H348,0)*0.00651),"")</f>
        <v>3.2550000000000003E-2</v>
      </c>
      <c r="AA348" s="68" t="s">
        <v>46</v>
      </c>
      <c r="AB348" s="69" t="s">
        <v>46</v>
      </c>
      <c r="AC348" s="450" t="s">
        <v>586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12.9</v>
      </c>
      <c r="BN348" s="78">
        <f>IFERROR(Y348*I348/H348,"0")</f>
        <v>12.9</v>
      </c>
      <c r="BO348" s="78">
        <f>IFERROR(1/J348*(X348/H348),"0")</f>
        <v>2.7472527472527476E-2</v>
      </c>
      <c r="BP348" s="78">
        <f>IFERROR(1/J348*(Y348/H348),"0")</f>
        <v>2.7472527472527476E-2</v>
      </c>
    </row>
    <row r="349" spans="1:68" ht="27" hidden="1" customHeight="1" x14ac:dyDescent="0.25">
      <c r="A349" s="63" t="s">
        <v>587</v>
      </c>
      <c r="B349" s="63" t="s">
        <v>588</v>
      </c>
      <c r="C349" s="36">
        <v>4301031246</v>
      </c>
      <c r="D349" s="665">
        <v>4680115883970</v>
      </c>
      <c r="E349" s="66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77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7"/>
      <c r="R349" s="667"/>
      <c r="S349" s="667"/>
      <c r="T349" s="66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589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x14ac:dyDescent="0.2">
      <c r="A350" s="661"/>
      <c r="B350" s="661"/>
      <c r="C350" s="661"/>
      <c r="D350" s="661"/>
      <c r="E350" s="661"/>
      <c r="F350" s="661"/>
      <c r="G350" s="661"/>
      <c r="H350" s="661"/>
      <c r="I350" s="661"/>
      <c r="J350" s="661"/>
      <c r="K350" s="661"/>
      <c r="L350" s="661"/>
      <c r="M350" s="661"/>
      <c r="N350" s="661"/>
      <c r="O350" s="662"/>
      <c r="P350" s="658" t="s">
        <v>40</v>
      </c>
      <c r="Q350" s="659"/>
      <c r="R350" s="659"/>
      <c r="S350" s="659"/>
      <c r="T350" s="659"/>
      <c r="U350" s="659"/>
      <c r="V350" s="660"/>
      <c r="W350" s="42" t="s">
        <v>39</v>
      </c>
      <c r="X350" s="43">
        <f>IFERROR(X345/H345,"0")+IFERROR(X346/H346,"0")+IFERROR(X347/H347,"0")+IFERROR(X348/H348,"0")+IFERROR(X349/H349,"0")</f>
        <v>27</v>
      </c>
      <c r="Y350" s="43">
        <f>IFERROR(Y345/H345,"0")+IFERROR(Y346/H346,"0")+IFERROR(Y347/H347,"0")+IFERROR(Y348/H348,"0")+IFERROR(Y349/H349,"0")</f>
        <v>27</v>
      </c>
      <c r="Z350" s="43">
        <f>IFERROR(IF(Z345="",0,Z345),"0")+IFERROR(IF(Z346="",0,Z346),"0")+IFERROR(IF(Z347="",0,Z347),"0")+IFERROR(IF(Z348="",0,Z348),"0")+IFERROR(IF(Z349="",0,Z349),"0")</f>
        <v>0.14299000000000001</v>
      </c>
      <c r="AA350" s="67"/>
      <c r="AB350" s="67"/>
      <c r="AC350" s="67"/>
    </row>
    <row r="351" spans="1:68" x14ac:dyDescent="0.2">
      <c r="A351" s="661"/>
      <c r="B351" s="661"/>
      <c r="C351" s="661"/>
      <c r="D351" s="661"/>
      <c r="E351" s="661"/>
      <c r="F351" s="661"/>
      <c r="G351" s="661"/>
      <c r="H351" s="661"/>
      <c r="I351" s="661"/>
      <c r="J351" s="661"/>
      <c r="K351" s="661"/>
      <c r="L351" s="661"/>
      <c r="M351" s="661"/>
      <c r="N351" s="661"/>
      <c r="O351" s="662"/>
      <c r="P351" s="658" t="s">
        <v>40</v>
      </c>
      <c r="Q351" s="659"/>
      <c r="R351" s="659"/>
      <c r="S351" s="659"/>
      <c r="T351" s="659"/>
      <c r="U351" s="659"/>
      <c r="V351" s="660"/>
      <c r="W351" s="42" t="s">
        <v>0</v>
      </c>
      <c r="X351" s="43">
        <f>IFERROR(SUM(X345:X349),"0")</f>
        <v>55.099999999999994</v>
      </c>
      <c r="Y351" s="43">
        <f>IFERROR(SUM(Y345:Y349),"0")</f>
        <v>55.1</v>
      </c>
      <c r="Z351" s="42"/>
      <c r="AA351" s="67"/>
      <c r="AB351" s="67"/>
      <c r="AC351" s="67"/>
    </row>
    <row r="352" spans="1:68" ht="14.25" hidden="1" customHeight="1" x14ac:dyDescent="0.25">
      <c r="A352" s="664" t="s">
        <v>86</v>
      </c>
      <c r="B352" s="664"/>
      <c r="C352" s="664"/>
      <c r="D352" s="664"/>
      <c r="E352" s="664"/>
      <c r="F352" s="664"/>
      <c r="G352" s="664"/>
      <c r="H352" s="664"/>
      <c r="I352" s="664"/>
      <c r="J352" s="664"/>
      <c r="K352" s="664"/>
      <c r="L352" s="664"/>
      <c r="M352" s="664"/>
      <c r="N352" s="664"/>
      <c r="O352" s="664"/>
      <c r="P352" s="664"/>
      <c r="Q352" s="664"/>
      <c r="R352" s="664"/>
      <c r="S352" s="664"/>
      <c r="T352" s="664"/>
      <c r="U352" s="664"/>
      <c r="V352" s="664"/>
      <c r="W352" s="664"/>
      <c r="X352" s="664"/>
      <c r="Y352" s="664"/>
      <c r="Z352" s="664"/>
      <c r="AA352" s="66"/>
      <c r="AB352" s="66"/>
      <c r="AC352" s="80"/>
    </row>
    <row r="353" spans="1:68" ht="27" hidden="1" customHeight="1" x14ac:dyDescent="0.25">
      <c r="A353" s="63" t="s">
        <v>590</v>
      </c>
      <c r="B353" s="63" t="s">
        <v>591</v>
      </c>
      <c r="C353" s="36">
        <v>4301051782</v>
      </c>
      <c r="D353" s="665">
        <v>4680115884618</v>
      </c>
      <c r="E353" s="66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7"/>
      <c r="R353" s="667"/>
      <c r="S353" s="667"/>
      <c r="T353" s="66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592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593</v>
      </c>
      <c r="B354" s="63" t="s">
        <v>594</v>
      </c>
      <c r="C354" s="36">
        <v>4301052057</v>
      </c>
      <c r="D354" s="665">
        <v>4680115887114</v>
      </c>
      <c r="E354" s="66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77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7"/>
      <c r="R354" s="667"/>
      <c r="S354" s="667"/>
      <c r="T354" s="66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595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63" t="s">
        <v>596</v>
      </c>
      <c r="B357" s="663"/>
      <c r="C357" s="663"/>
      <c r="D357" s="663"/>
      <c r="E357" s="663"/>
      <c r="F357" s="663"/>
      <c r="G357" s="663"/>
      <c r="H357" s="663"/>
      <c r="I357" s="663"/>
      <c r="J357" s="663"/>
      <c r="K357" s="663"/>
      <c r="L357" s="663"/>
      <c r="M357" s="663"/>
      <c r="N357" s="663"/>
      <c r="O357" s="663"/>
      <c r="P357" s="663"/>
      <c r="Q357" s="663"/>
      <c r="R357" s="663"/>
      <c r="S357" s="663"/>
      <c r="T357" s="663"/>
      <c r="U357" s="663"/>
      <c r="V357" s="663"/>
      <c r="W357" s="663"/>
      <c r="X357" s="663"/>
      <c r="Y357" s="663"/>
      <c r="Z357" s="663"/>
      <c r="AA357" s="65"/>
      <c r="AB357" s="65"/>
      <c r="AC357" s="79"/>
    </row>
    <row r="358" spans="1:68" ht="14.25" hidden="1" customHeight="1" x14ac:dyDescent="0.25">
      <c r="A358" s="664" t="s">
        <v>122</v>
      </c>
      <c r="B358" s="664"/>
      <c r="C358" s="664"/>
      <c r="D358" s="664"/>
      <c r="E358" s="664"/>
      <c r="F358" s="664"/>
      <c r="G358" s="664"/>
      <c r="H358" s="664"/>
      <c r="I358" s="664"/>
      <c r="J358" s="664"/>
      <c r="K358" s="664"/>
      <c r="L358" s="664"/>
      <c r="M358" s="664"/>
      <c r="N358" s="664"/>
      <c r="O358" s="664"/>
      <c r="P358" s="664"/>
      <c r="Q358" s="664"/>
      <c r="R358" s="664"/>
      <c r="S358" s="664"/>
      <c r="T358" s="664"/>
      <c r="U358" s="664"/>
      <c r="V358" s="664"/>
      <c r="W358" s="664"/>
      <c r="X358" s="664"/>
      <c r="Y358" s="664"/>
      <c r="Z358" s="664"/>
      <c r="AA358" s="66"/>
      <c r="AB358" s="66"/>
      <c r="AC358" s="80"/>
    </row>
    <row r="359" spans="1:68" ht="27" hidden="1" customHeight="1" x14ac:dyDescent="0.25">
      <c r="A359" s="63" t="s">
        <v>597</v>
      </c>
      <c r="B359" s="63" t="s">
        <v>598</v>
      </c>
      <c r="C359" s="36">
        <v>4301012324</v>
      </c>
      <c r="D359" s="665">
        <v>4680115887947</v>
      </c>
      <c r="E359" s="66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7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7"/>
      <c r="R359" s="667"/>
      <c r="S359" s="667"/>
      <c r="T359" s="66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369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599</v>
      </c>
      <c r="B360" s="63" t="s">
        <v>600</v>
      </c>
      <c r="C360" s="36">
        <v>4301012325</v>
      </c>
      <c r="D360" s="665">
        <v>4680115887978</v>
      </c>
      <c r="E360" s="66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77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7"/>
      <c r="R360" s="667"/>
      <c r="S360" s="667"/>
      <c r="T360" s="66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601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602</v>
      </c>
      <c r="B361" s="63" t="s">
        <v>603</v>
      </c>
      <c r="C361" s="36">
        <v>4301012327</v>
      </c>
      <c r="D361" s="665">
        <v>4680115887992</v>
      </c>
      <c r="E361" s="66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7"/>
      <c r="R361" s="667"/>
      <c r="S361" s="667"/>
      <c r="T361" s="66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604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61"/>
      <c r="B362" s="661"/>
      <c r="C362" s="661"/>
      <c r="D362" s="661"/>
      <c r="E362" s="661"/>
      <c r="F362" s="661"/>
      <c r="G362" s="661"/>
      <c r="H362" s="661"/>
      <c r="I362" s="661"/>
      <c r="J362" s="661"/>
      <c r="K362" s="661"/>
      <c r="L362" s="661"/>
      <c r="M362" s="661"/>
      <c r="N362" s="661"/>
      <c r="O362" s="662"/>
      <c r="P362" s="658" t="s">
        <v>40</v>
      </c>
      <c r="Q362" s="659"/>
      <c r="R362" s="659"/>
      <c r="S362" s="659"/>
      <c r="T362" s="659"/>
      <c r="U362" s="659"/>
      <c r="V362" s="660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61"/>
      <c r="B363" s="661"/>
      <c r="C363" s="661"/>
      <c r="D363" s="661"/>
      <c r="E363" s="661"/>
      <c r="F363" s="661"/>
      <c r="G363" s="661"/>
      <c r="H363" s="661"/>
      <c r="I363" s="661"/>
      <c r="J363" s="661"/>
      <c r="K363" s="661"/>
      <c r="L363" s="661"/>
      <c r="M363" s="661"/>
      <c r="N363" s="661"/>
      <c r="O363" s="662"/>
      <c r="P363" s="658" t="s">
        <v>40</v>
      </c>
      <c r="Q363" s="659"/>
      <c r="R363" s="659"/>
      <c r="S363" s="659"/>
      <c r="T363" s="659"/>
      <c r="U363" s="659"/>
      <c r="V363" s="660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63" t="s">
        <v>605</v>
      </c>
      <c r="B364" s="663"/>
      <c r="C364" s="663"/>
      <c r="D364" s="663"/>
      <c r="E364" s="663"/>
      <c r="F364" s="663"/>
      <c r="G364" s="663"/>
      <c r="H364" s="663"/>
      <c r="I364" s="663"/>
      <c r="J364" s="663"/>
      <c r="K364" s="663"/>
      <c r="L364" s="663"/>
      <c r="M364" s="663"/>
      <c r="N364" s="663"/>
      <c r="O364" s="663"/>
      <c r="P364" s="663"/>
      <c r="Q364" s="663"/>
      <c r="R364" s="663"/>
      <c r="S364" s="663"/>
      <c r="T364" s="663"/>
      <c r="U364" s="663"/>
      <c r="V364" s="663"/>
      <c r="W364" s="663"/>
      <c r="X364" s="663"/>
      <c r="Y364" s="663"/>
      <c r="Z364" s="663"/>
      <c r="AA364" s="65"/>
      <c r="AB364" s="65"/>
      <c r="AC364" s="79"/>
    </row>
    <row r="365" spans="1:68" ht="14.25" hidden="1" customHeight="1" x14ac:dyDescent="0.25">
      <c r="A365" s="664" t="s">
        <v>122</v>
      </c>
      <c r="B365" s="664"/>
      <c r="C365" s="664"/>
      <c r="D365" s="664"/>
      <c r="E365" s="664"/>
      <c r="F365" s="664"/>
      <c r="G365" s="664"/>
      <c r="H365" s="664"/>
      <c r="I365" s="664"/>
      <c r="J365" s="664"/>
      <c r="K365" s="664"/>
      <c r="L365" s="664"/>
      <c r="M365" s="664"/>
      <c r="N365" s="664"/>
      <c r="O365" s="664"/>
      <c r="P365" s="664"/>
      <c r="Q365" s="664"/>
      <c r="R365" s="664"/>
      <c r="S365" s="664"/>
      <c r="T365" s="664"/>
      <c r="U365" s="664"/>
      <c r="V365" s="664"/>
      <c r="W365" s="664"/>
      <c r="X365" s="664"/>
      <c r="Y365" s="664"/>
      <c r="Z365" s="664"/>
      <c r="AA365" s="66"/>
      <c r="AB365" s="66"/>
      <c r="AC365" s="80"/>
    </row>
    <row r="366" spans="1:68" ht="27" hidden="1" customHeight="1" x14ac:dyDescent="0.25">
      <c r="A366" s="63" t="s">
        <v>606</v>
      </c>
      <c r="B366" s="63" t="s">
        <v>607</v>
      </c>
      <c r="C366" s="36">
        <v>4301012126</v>
      </c>
      <c r="D366" s="665">
        <v>4607091386004</v>
      </c>
      <c r="E366" s="66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667"/>
      <c r="R366" s="667"/>
      <c r="S366" s="667"/>
      <c r="T366" s="66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609</v>
      </c>
      <c r="B367" s="63" t="s">
        <v>610</v>
      </c>
      <c r="C367" s="36">
        <v>4301012235</v>
      </c>
      <c r="D367" s="665">
        <v>4680115887190</v>
      </c>
      <c r="E367" s="66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7"/>
      <c r="R367" s="667"/>
      <c r="S367" s="667"/>
      <c r="T367" s="66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611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612</v>
      </c>
      <c r="B368" s="63" t="s">
        <v>613</v>
      </c>
      <c r="C368" s="36">
        <v>4301012233</v>
      </c>
      <c r="D368" s="665">
        <v>4680115887138</v>
      </c>
      <c r="E368" s="66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76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7"/>
      <c r="R368" s="667"/>
      <c r="S368" s="667"/>
      <c r="T368" s="66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614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4301012016</v>
      </c>
      <c r="D369" s="665">
        <v>4680115885554</v>
      </c>
      <c r="E369" s="66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90</v>
      </c>
      <c r="N369" s="38"/>
      <c r="O369" s="37">
        <v>55</v>
      </c>
      <c r="P369" s="76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7"/>
      <c r="R369" s="667"/>
      <c r="S369" s="667"/>
      <c r="T369" s="66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617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4301012236</v>
      </c>
      <c r="D370" s="665">
        <v>4680115887220</v>
      </c>
      <c r="E370" s="66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7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7"/>
      <c r="R370" s="667"/>
      <c r="S370" s="667"/>
      <c r="T370" s="66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611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620</v>
      </c>
      <c r="B371" s="63" t="s">
        <v>621</v>
      </c>
      <c r="C371" s="36">
        <v>4301011859</v>
      </c>
      <c r="D371" s="665">
        <v>4680115885608</v>
      </c>
      <c r="E371" s="66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7"/>
      <c r="R371" s="667"/>
      <c r="S371" s="667"/>
      <c r="T371" s="66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622</v>
      </c>
      <c r="AG371" s="78"/>
      <c r="AJ371" s="84" t="s">
        <v>46</v>
      </c>
      <c r="AK371" s="84">
        <v>0</v>
      </c>
      <c r="BB371" s="475" t="s">
        <v>67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661"/>
      <c r="B372" s="661"/>
      <c r="C372" s="661"/>
      <c r="D372" s="661"/>
      <c r="E372" s="661"/>
      <c r="F372" s="661"/>
      <c r="G372" s="661"/>
      <c r="H372" s="661"/>
      <c r="I372" s="661"/>
      <c r="J372" s="661"/>
      <c r="K372" s="661"/>
      <c r="L372" s="661"/>
      <c r="M372" s="661"/>
      <c r="N372" s="661"/>
      <c r="O372" s="662"/>
      <c r="P372" s="658" t="s">
        <v>40</v>
      </c>
      <c r="Q372" s="659"/>
      <c r="R372" s="659"/>
      <c r="S372" s="659"/>
      <c r="T372" s="659"/>
      <c r="U372" s="659"/>
      <c r="V372" s="660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661"/>
      <c r="B373" s="661"/>
      <c r="C373" s="661"/>
      <c r="D373" s="661"/>
      <c r="E373" s="661"/>
      <c r="F373" s="661"/>
      <c r="G373" s="661"/>
      <c r="H373" s="661"/>
      <c r="I373" s="661"/>
      <c r="J373" s="661"/>
      <c r="K373" s="661"/>
      <c r="L373" s="661"/>
      <c r="M373" s="661"/>
      <c r="N373" s="661"/>
      <c r="O373" s="662"/>
      <c r="P373" s="658" t="s">
        <v>40</v>
      </c>
      <c r="Q373" s="659"/>
      <c r="R373" s="659"/>
      <c r="S373" s="659"/>
      <c r="T373" s="659"/>
      <c r="U373" s="659"/>
      <c r="V373" s="660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664" t="s">
        <v>77</v>
      </c>
      <c r="B374" s="664"/>
      <c r="C374" s="664"/>
      <c r="D374" s="664"/>
      <c r="E374" s="664"/>
      <c r="F374" s="664"/>
      <c r="G374" s="664"/>
      <c r="H374" s="664"/>
      <c r="I374" s="664"/>
      <c r="J374" s="664"/>
      <c r="K374" s="664"/>
      <c r="L374" s="664"/>
      <c r="M374" s="664"/>
      <c r="N374" s="664"/>
      <c r="O374" s="664"/>
      <c r="P374" s="664"/>
      <c r="Q374" s="664"/>
      <c r="R374" s="664"/>
      <c r="S374" s="664"/>
      <c r="T374" s="664"/>
      <c r="U374" s="664"/>
      <c r="V374" s="664"/>
      <c r="W374" s="664"/>
      <c r="X374" s="664"/>
      <c r="Y374" s="664"/>
      <c r="Z374" s="664"/>
      <c r="AA374" s="66"/>
      <c r="AB374" s="66"/>
      <c r="AC374" s="80"/>
    </row>
    <row r="375" spans="1:68" ht="27" customHeight="1" x14ac:dyDescent="0.25">
      <c r="A375" s="63" t="s">
        <v>623</v>
      </c>
      <c r="B375" s="63" t="s">
        <v>624</v>
      </c>
      <c r="C375" s="36">
        <v>4301030878</v>
      </c>
      <c r="D375" s="665">
        <v>4607091387193</v>
      </c>
      <c r="E375" s="66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35</v>
      </c>
      <c r="P375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7"/>
      <c r="R375" s="667"/>
      <c r="S375" s="667"/>
      <c r="T375" s="668"/>
      <c r="U375" s="39" t="s">
        <v>46</v>
      </c>
      <c r="V375" s="39" t="s">
        <v>46</v>
      </c>
      <c r="W375" s="40" t="s">
        <v>0</v>
      </c>
      <c r="X375" s="58">
        <v>105</v>
      </c>
      <c r="Y375" s="55">
        <f t="shared" ref="Y375:Y381" si="63">IFERROR(IF(X375="",0,CEILING((X375/$H375),1)*$H375),"")</f>
        <v>105</v>
      </c>
      <c r="Z375" s="41">
        <f>IFERROR(IF(Y375=0,"",ROUNDUP(Y375/H375,0)*0.00902),"")</f>
        <v>0.22550000000000001</v>
      </c>
      <c r="AA375" s="68" t="s">
        <v>46</v>
      </c>
      <c r="AB375" s="69" t="s">
        <v>46</v>
      </c>
      <c r="AC375" s="476" t="s">
        <v>625</v>
      </c>
      <c r="AG375" s="78"/>
      <c r="AJ375" s="84" t="s">
        <v>46</v>
      </c>
      <c r="AK375" s="84">
        <v>0</v>
      </c>
      <c r="BB375" s="477" t="s">
        <v>67</v>
      </c>
      <c r="BM375" s="78">
        <f t="shared" ref="BM375:BM381" si="64">IFERROR(X375*I375/H375,"0")</f>
        <v>111.25</v>
      </c>
      <c r="BN375" s="78">
        <f t="shared" ref="BN375:BN381" si="65">IFERROR(Y375*I375/H375,"0")</f>
        <v>111.25</v>
      </c>
      <c r="BO375" s="78">
        <f t="shared" ref="BO375:BO381" si="66">IFERROR(1/J375*(X375/H375),"0")</f>
        <v>0.18939393939393939</v>
      </c>
      <c r="BP375" s="78">
        <f t="shared" ref="BP375:BP381" si="67">IFERROR(1/J375*(Y375/H375),"0")</f>
        <v>0.18939393939393939</v>
      </c>
    </row>
    <row r="376" spans="1:68" ht="27" customHeight="1" x14ac:dyDescent="0.25">
      <c r="A376" s="63" t="s">
        <v>626</v>
      </c>
      <c r="B376" s="63" t="s">
        <v>627</v>
      </c>
      <c r="C376" s="36">
        <v>4301031153</v>
      </c>
      <c r="D376" s="665">
        <v>4607091387230</v>
      </c>
      <c r="E376" s="66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40</v>
      </c>
      <c r="P376" s="7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7"/>
      <c r="R376" s="667"/>
      <c r="S376" s="667"/>
      <c r="T376" s="668"/>
      <c r="U376" s="39" t="s">
        <v>46</v>
      </c>
      <c r="V376" s="39" t="s">
        <v>46</v>
      </c>
      <c r="W376" s="40" t="s">
        <v>0</v>
      </c>
      <c r="X376" s="58">
        <v>42</v>
      </c>
      <c r="Y376" s="55">
        <f t="shared" si="63"/>
        <v>42</v>
      </c>
      <c r="Z376" s="41">
        <f>IFERROR(IF(Y376=0,"",ROUNDUP(Y376/H376,0)*0.00902),"")</f>
        <v>9.0200000000000002E-2</v>
      </c>
      <c r="AA376" s="68" t="s">
        <v>46</v>
      </c>
      <c r="AB376" s="69" t="s">
        <v>46</v>
      </c>
      <c r="AC376" s="478" t="s">
        <v>628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44.5</v>
      </c>
      <c r="BN376" s="78">
        <f t="shared" si="65"/>
        <v>44.5</v>
      </c>
      <c r="BO376" s="78">
        <f t="shared" si="66"/>
        <v>7.575757575757576E-2</v>
      </c>
      <c r="BP376" s="78">
        <f t="shared" si="67"/>
        <v>7.575757575757576E-2</v>
      </c>
    </row>
    <row r="377" spans="1:68" ht="27" customHeight="1" x14ac:dyDescent="0.25">
      <c r="A377" s="63" t="s">
        <v>629</v>
      </c>
      <c r="B377" s="63" t="s">
        <v>630</v>
      </c>
      <c r="C377" s="36">
        <v>4301031154</v>
      </c>
      <c r="D377" s="665">
        <v>4607091387292</v>
      </c>
      <c r="E377" s="66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7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7"/>
      <c r="R377" s="667"/>
      <c r="S377" s="667"/>
      <c r="T377" s="668"/>
      <c r="U377" s="39" t="s">
        <v>46</v>
      </c>
      <c r="V377" s="39" t="s">
        <v>46</v>
      </c>
      <c r="W377" s="40" t="s">
        <v>0</v>
      </c>
      <c r="X377" s="58">
        <v>21.9</v>
      </c>
      <c r="Y377" s="55">
        <f t="shared" si="63"/>
        <v>21.9</v>
      </c>
      <c r="Z377" s="41">
        <f>IFERROR(IF(Y377=0,"",ROUNDUP(Y377/H377,0)*0.00902),"")</f>
        <v>4.5100000000000001E-2</v>
      </c>
      <c r="AA377" s="68" t="s">
        <v>46</v>
      </c>
      <c r="AB377" s="69" t="s">
        <v>46</v>
      </c>
      <c r="AC377" s="480" t="s">
        <v>631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23.15</v>
      </c>
      <c r="BN377" s="78">
        <f t="shared" si="65"/>
        <v>23.15</v>
      </c>
      <c r="BO377" s="78">
        <f t="shared" si="66"/>
        <v>3.787878787878788E-2</v>
      </c>
      <c r="BP377" s="78">
        <f t="shared" si="67"/>
        <v>3.787878787878788E-2</v>
      </c>
    </row>
    <row r="378" spans="1:68" ht="27" customHeight="1" x14ac:dyDescent="0.25">
      <c r="A378" s="63" t="s">
        <v>632</v>
      </c>
      <c r="B378" s="63" t="s">
        <v>633</v>
      </c>
      <c r="C378" s="36">
        <v>4301031152</v>
      </c>
      <c r="D378" s="665">
        <v>4607091387285</v>
      </c>
      <c r="E378" s="66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7"/>
      <c r="R378" s="667"/>
      <c r="S378" s="667"/>
      <c r="T378" s="668"/>
      <c r="U378" s="39" t="s">
        <v>46</v>
      </c>
      <c r="V378" s="39" t="s">
        <v>46</v>
      </c>
      <c r="W378" s="40" t="s">
        <v>0</v>
      </c>
      <c r="X378" s="58">
        <v>21</v>
      </c>
      <c r="Y378" s="55">
        <f t="shared" si="63"/>
        <v>21</v>
      </c>
      <c r="Z378" s="41">
        <f>IFERROR(IF(Y378=0,"",ROUNDUP(Y378/H378,0)*0.00502),"")</f>
        <v>5.0200000000000002E-2</v>
      </c>
      <c r="AA378" s="68" t="s">
        <v>46</v>
      </c>
      <c r="AB378" s="69" t="s">
        <v>46</v>
      </c>
      <c r="AC378" s="482" t="s">
        <v>628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22.299999999999997</v>
      </c>
      <c r="BN378" s="78">
        <f t="shared" si="65"/>
        <v>22.299999999999997</v>
      </c>
      <c r="BO378" s="78">
        <f t="shared" si="66"/>
        <v>4.2735042735042736E-2</v>
      </c>
      <c r="BP378" s="78">
        <f t="shared" si="67"/>
        <v>4.2735042735042736E-2</v>
      </c>
    </row>
    <row r="379" spans="1:68" ht="27" customHeight="1" x14ac:dyDescent="0.25">
      <c r="A379" s="63" t="s">
        <v>634</v>
      </c>
      <c r="B379" s="63" t="s">
        <v>635</v>
      </c>
      <c r="C379" s="36">
        <v>4301031305</v>
      </c>
      <c r="D379" s="665">
        <v>4607091389845</v>
      </c>
      <c r="E379" s="66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7"/>
      <c r="R379" s="667"/>
      <c r="S379" s="667"/>
      <c r="T379" s="668"/>
      <c r="U379" s="39" t="s">
        <v>46</v>
      </c>
      <c r="V379" s="39" t="s">
        <v>46</v>
      </c>
      <c r="W379" s="40" t="s">
        <v>0</v>
      </c>
      <c r="X379" s="58">
        <v>14.7</v>
      </c>
      <c r="Y379" s="55">
        <f t="shared" si="63"/>
        <v>14.700000000000001</v>
      </c>
      <c r="Z379" s="41">
        <f>IFERROR(IF(Y379=0,"",ROUNDUP(Y379/H379,0)*0.00502),"")</f>
        <v>3.5140000000000005E-2</v>
      </c>
      <c r="AA379" s="68" t="s">
        <v>46</v>
      </c>
      <c r="AB379" s="69" t="s">
        <v>46</v>
      </c>
      <c r="AC379" s="484" t="s">
        <v>636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15.4</v>
      </c>
      <c r="BN379" s="78">
        <f t="shared" si="65"/>
        <v>15.4</v>
      </c>
      <c r="BO379" s="78">
        <f t="shared" si="66"/>
        <v>2.9914529914529912E-2</v>
      </c>
      <c r="BP379" s="78">
        <f t="shared" si="67"/>
        <v>2.9914529914529919E-2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4301031460</v>
      </c>
      <c r="D380" s="665">
        <v>4680115887442</v>
      </c>
      <c r="E380" s="66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45</v>
      </c>
      <c r="P380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7"/>
      <c r="R380" s="667"/>
      <c r="S380" s="667"/>
      <c r="T380" s="66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631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4301031066</v>
      </c>
      <c r="D381" s="665">
        <v>4607091383836</v>
      </c>
      <c r="E381" s="66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91</v>
      </c>
      <c r="L381" s="37" t="s">
        <v>46</v>
      </c>
      <c r="M381" s="38" t="s">
        <v>81</v>
      </c>
      <c r="N381" s="38"/>
      <c r="O381" s="37">
        <v>40</v>
      </c>
      <c r="P381" s="7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7"/>
      <c r="R381" s="667"/>
      <c r="S381" s="667"/>
      <c r="T381" s="66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x14ac:dyDescent="0.2">
      <c r="A382" s="661"/>
      <c r="B382" s="661"/>
      <c r="C382" s="661"/>
      <c r="D382" s="661"/>
      <c r="E382" s="661"/>
      <c r="F382" s="661"/>
      <c r="G382" s="661"/>
      <c r="H382" s="661"/>
      <c r="I382" s="661"/>
      <c r="J382" s="661"/>
      <c r="K382" s="661"/>
      <c r="L382" s="661"/>
      <c r="M382" s="661"/>
      <c r="N382" s="661"/>
      <c r="O382" s="662"/>
      <c r="P382" s="658" t="s">
        <v>40</v>
      </c>
      <c r="Q382" s="659"/>
      <c r="R382" s="659"/>
      <c r="S382" s="659"/>
      <c r="T382" s="659"/>
      <c r="U382" s="659"/>
      <c r="V382" s="660"/>
      <c r="W382" s="42" t="s">
        <v>39</v>
      </c>
      <c r="X382" s="43">
        <f>IFERROR(X375/H375,"0")+IFERROR(X376/H376,"0")+IFERROR(X377/H377,"0")+IFERROR(X378/H378,"0")+IFERROR(X379/H379,"0")+IFERROR(X380/H380,"0")+IFERROR(X381/H381,"0")</f>
        <v>57</v>
      </c>
      <c r="Y382" s="43">
        <f>IFERROR(Y375/H375,"0")+IFERROR(Y376/H376,"0")+IFERROR(Y377/H377,"0")+IFERROR(Y378/H378,"0")+IFERROR(Y379/H379,"0")+IFERROR(Y380/H380,"0")+IFERROR(Y381/H381,"0")</f>
        <v>57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0.44614000000000004</v>
      </c>
      <c r="AA382" s="67"/>
      <c r="AB382" s="67"/>
      <c r="AC382" s="67"/>
    </row>
    <row r="383" spans="1:68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0</v>
      </c>
      <c r="X383" s="43">
        <f>IFERROR(SUM(X375:X381),"0")</f>
        <v>204.6</v>
      </c>
      <c r="Y383" s="43">
        <f>IFERROR(SUM(Y375:Y381),"0")</f>
        <v>204.6</v>
      </c>
      <c r="Z383" s="42"/>
      <c r="AA383" s="67"/>
      <c r="AB383" s="67"/>
      <c r="AC383" s="67"/>
    </row>
    <row r="384" spans="1:68" ht="14.25" hidden="1" customHeight="1" x14ac:dyDescent="0.25">
      <c r="A384" s="664" t="s">
        <v>86</v>
      </c>
      <c r="B384" s="664"/>
      <c r="C384" s="664"/>
      <c r="D384" s="664"/>
      <c r="E384" s="664"/>
      <c r="F384" s="664"/>
      <c r="G384" s="664"/>
      <c r="H384" s="664"/>
      <c r="I384" s="664"/>
      <c r="J384" s="664"/>
      <c r="K384" s="664"/>
      <c r="L384" s="664"/>
      <c r="M384" s="664"/>
      <c r="N384" s="664"/>
      <c r="O384" s="664"/>
      <c r="P384" s="664"/>
      <c r="Q384" s="664"/>
      <c r="R384" s="664"/>
      <c r="S384" s="664"/>
      <c r="T384" s="664"/>
      <c r="U384" s="664"/>
      <c r="V384" s="664"/>
      <c r="W384" s="664"/>
      <c r="X384" s="664"/>
      <c r="Y384" s="664"/>
      <c r="Z384" s="664"/>
      <c r="AA384" s="66"/>
      <c r="AB384" s="66"/>
      <c r="AC384" s="80"/>
    </row>
    <row r="385" spans="1:68" ht="27" customHeight="1" x14ac:dyDescent="0.25">
      <c r="A385" s="63" t="s">
        <v>642</v>
      </c>
      <c r="B385" s="63" t="s">
        <v>643</v>
      </c>
      <c r="C385" s="36">
        <v>4301051100</v>
      </c>
      <c r="D385" s="665">
        <v>4607091387766</v>
      </c>
      <c r="E385" s="66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7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7"/>
      <c r="R385" s="667"/>
      <c r="S385" s="667"/>
      <c r="T385" s="668"/>
      <c r="U385" s="39" t="s">
        <v>46</v>
      </c>
      <c r="V385" s="39" t="s">
        <v>46</v>
      </c>
      <c r="W385" s="40" t="s">
        <v>0</v>
      </c>
      <c r="X385" s="58">
        <v>1497.6</v>
      </c>
      <c r="Y385" s="55">
        <f>IFERROR(IF(X385="",0,CEILING((X385/$H385),1)*$H385),"")</f>
        <v>1497.6</v>
      </c>
      <c r="Z385" s="41">
        <f>IFERROR(IF(Y385=0,"",ROUNDUP(Y385/H385,0)*0.01898),"")</f>
        <v>3.6441600000000003</v>
      </c>
      <c r="AA385" s="68" t="s">
        <v>46</v>
      </c>
      <c r="AB385" s="69" t="s">
        <v>46</v>
      </c>
      <c r="AC385" s="490" t="s">
        <v>644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1591.296</v>
      </c>
      <c r="BN385" s="78">
        <f>IFERROR(Y385*I385/H385,"0")</f>
        <v>1591.296</v>
      </c>
      <c r="BO385" s="78">
        <f>IFERROR(1/J385*(X385/H385),"0")</f>
        <v>3</v>
      </c>
      <c r="BP385" s="78">
        <f>IFERROR(1/J385*(Y385/H385),"0")</f>
        <v>3</v>
      </c>
    </row>
    <row r="386" spans="1:68" ht="27" customHeight="1" x14ac:dyDescent="0.25">
      <c r="A386" s="63" t="s">
        <v>645</v>
      </c>
      <c r="B386" s="63" t="s">
        <v>646</v>
      </c>
      <c r="C386" s="36">
        <v>4301051818</v>
      </c>
      <c r="D386" s="665">
        <v>4607091387957</v>
      </c>
      <c r="E386" s="66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5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7"/>
      <c r="R386" s="667"/>
      <c r="S386" s="667"/>
      <c r="T386" s="668"/>
      <c r="U386" s="39" t="s">
        <v>46</v>
      </c>
      <c r="V386" s="39" t="s">
        <v>46</v>
      </c>
      <c r="W386" s="40" t="s">
        <v>0</v>
      </c>
      <c r="X386" s="58">
        <v>78</v>
      </c>
      <c r="Y386" s="55">
        <f>IFERROR(IF(X386="",0,CEILING((X386/$H386),1)*$H386),"")</f>
        <v>78</v>
      </c>
      <c r="Z386" s="41">
        <f>IFERROR(IF(Y386=0,"",ROUNDUP(Y386/H386,0)*0.01898),"")</f>
        <v>0.1898</v>
      </c>
      <c r="AA386" s="68" t="s">
        <v>46</v>
      </c>
      <c r="AB386" s="69" t="s">
        <v>46</v>
      </c>
      <c r="AC386" s="492" t="s">
        <v>647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82.94</v>
      </c>
      <c r="BN386" s="78">
        <f>IFERROR(Y386*I386/H386,"0")</f>
        <v>82.94</v>
      </c>
      <c r="BO386" s="78">
        <f>IFERROR(1/J386*(X386/H386),"0")</f>
        <v>0.15625</v>
      </c>
      <c r="BP386" s="78">
        <f>IFERROR(1/J386*(Y386/H386),"0")</f>
        <v>0.15625</v>
      </c>
    </row>
    <row r="387" spans="1:68" ht="27" customHeight="1" x14ac:dyDescent="0.25">
      <c r="A387" s="63" t="s">
        <v>648</v>
      </c>
      <c r="B387" s="63" t="s">
        <v>649</v>
      </c>
      <c r="C387" s="36">
        <v>4301051819</v>
      </c>
      <c r="D387" s="665">
        <v>4607091387964</v>
      </c>
      <c r="E387" s="66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7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7"/>
      <c r="R387" s="667"/>
      <c r="S387" s="667"/>
      <c r="T387" s="668"/>
      <c r="U387" s="39" t="s">
        <v>46</v>
      </c>
      <c r="V387" s="39" t="s">
        <v>46</v>
      </c>
      <c r="W387" s="40" t="s">
        <v>0</v>
      </c>
      <c r="X387" s="58">
        <v>81</v>
      </c>
      <c r="Y387" s="55">
        <f>IFERROR(IF(X387="",0,CEILING((X387/$H387),1)*$H387),"")</f>
        <v>81</v>
      </c>
      <c r="Z387" s="41">
        <f>IFERROR(IF(Y387=0,"",ROUNDUP(Y387/H387,0)*0.01898),"")</f>
        <v>0.1898</v>
      </c>
      <c r="AA387" s="68" t="s">
        <v>46</v>
      </c>
      <c r="AB387" s="69" t="s">
        <v>46</v>
      </c>
      <c r="AC387" s="494" t="s">
        <v>650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85.76</v>
      </c>
      <c r="BN387" s="78">
        <f>IFERROR(Y387*I387/H387,"0")</f>
        <v>85.76</v>
      </c>
      <c r="BO387" s="78">
        <f>IFERROR(1/J387*(X387/H387),"0")</f>
        <v>0.15625</v>
      </c>
      <c r="BP387" s="78">
        <f>IFERROR(1/J387*(Y387/H387),"0")</f>
        <v>0.15625</v>
      </c>
    </row>
    <row r="388" spans="1:68" ht="27" customHeight="1" x14ac:dyDescent="0.25">
      <c r="A388" s="63" t="s">
        <v>651</v>
      </c>
      <c r="B388" s="63" t="s">
        <v>652</v>
      </c>
      <c r="C388" s="36">
        <v>4301051734</v>
      </c>
      <c r="D388" s="665">
        <v>4680115884588</v>
      </c>
      <c r="E388" s="66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91</v>
      </c>
      <c r="L388" s="37" t="s">
        <v>46</v>
      </c>
      <c r="M388" s="38" t="s">
        <v>90</v>
      </c>
      <c r="N388" s="38"/>
      <c r="O388" s="37">
        <v>40</v>
      </c>
      <c r="P388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7"/>
      <c r="R388" s="667"/>
      <c r="S388" s="667"/>
      <c r="T388" s="668"/>
      <c r="U388" s="39" t="s">
        <v>46</v>
      </c>
      <c r="V388" s="39" t="s">
        <v>46</v>
      </c>
      <c r="W388" s="40" t="s">
        <v>0</v>
      </c>
      <c r="X388" s="58">
        <v>30</v>
      </c>
      <c r="Y388" s="55">
        <f>IFERROR(IF(X388="",0,CEILING((X388/$H388),1)*$H388),"")</f>
        <v>30</v>
      </c>
      <c r="Z388" s="41">
        <f>IFERROR(IF(Y388=0,"",ROUNDUP(Y388/H388,0)*0.00651),"")</f>
        <v>6.5100000000000005E-2</v>
      </c>
      <c r="AA388" s="68" t="s">
        <v>46</v>
      </c>
      <c r="AB388" s="69" t="s">
        <v>46</v>
      </c>
      <c r="AC388" s="496" t="s">
        <v>644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32.46</v>
      </c>
      <c r="BN388" s="78">
        <f>IFERROR(Y388*I388/H388,"0")</f>
        <v>32.46</v>
      </c>
      <c r="BO388" s="78">
        <f>IFERROR(1/J388*(X388/H388),"0")</f>
        <v>5.4945054945054951E-2</v>
      </c>
      <c r="BP388" s="78">
        <f>IFERROR(1/J388*(Y388/H388),"0")</f>
        <v>5.4945054945054951E-2</v>
      </c>
    </row>
    <row r="389" spans="1:68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IFERROR(X385/H385,"0")+IFERROR(X386/H386,"0")+IFERROR(X387/H387,"0")+IFERROR(X388/H388,"0")</f>
        <v>222</v>
      </c>
      <c r="Y389" s="43">
        <f>IFERROR(Y385/H385,"0")+IFERROR(Y386/H386,"0")+IFERROR(Y387/H387,"0")+IFERROR(Y388/H388,"0")</f>
        <v>222</v>
      </c>
      <c r="Z389" s="43">
        <f>IFERROR(IF(Z385="",0,Z385),"0")+IFERROR(IF(Z386="",0,Z386),"0")+IFERROR(IF(Z387="",0,Z387),"0")+IFERROR(IF(Z388="",0,Z388),"0")</f>
        <v>4.0888600000000004</v>
      </c>
      <c r="AA389" s="67"/>
      <c r="AB389" s="67"/>
      <c r="AC389" s="67"/>
    </row>
    <row r="390" spans="1:68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IFERROR(SUM(X385:X388),"0")</f>
        <v>1686.6</v>
      </c>
      <c r="Y390" s="43">
        <f>IFERROR(SUM(Y385:Y388),"0")</f>
        <v>1686.6</v>
      </c>
      <c r="Z390" s="42"/>
      <c r="AA390" s="67"/>
      <c r="AB390" s="67"/>
      <c r="AC390" s="67"/>
    </row>
    <row r="391" spans="1:68" ht="14.25" hidden="1" customHeight="1" x14ac:dyDescent="0.25">
      <c r="A391" s="664" t="s">
        <v>173</v>
      </c>
      <c r="B391" s="664"/>
      <c r="C391" s="664"/>
      <c r="D391" s="664"/>
      <c r="E391" s="664"/>
      <c r="F391" s="664"/>
      <c r="G391" s="664"/>
      <c r="H391" s="664"/>
      <c r="I391" s="664"/>
      <c r="J391" s="664"/>
      <c r="K391" s="664"/>
      <c r="L391" s="664"/>
      <c r="M391" s="664"/>
      <c r="N391" s="664"/>
      <c r="O391" s="664"/>
      <c r="P391" s="664"/>
      <c r="Q391" s="664"/>
      <c r="R391" s="664"/>
      <c r="S391" s="664"/>
      <c r="T391" s="664"/>
      <c r="U391" s="664"/>
      <c r="V391" s="664"/>
      <c r="W391" s="664"/>
      <c r="X391" s="664"/>
      <c r="Y391" s="664"/>
      <c r="Z391" s="664"/>
      <c r="AA391" s="66"/>
      <c r="AB391" s="66"/>
      <c r="AC391" s="80"/>
    </row>
    <row r="392" spans="1:68" ht="27" customHeight="1" x14ac:dyDescent="0.25">
      <c r="A392" s="63" t="s">
        <v>653</v>
      </c>
      <c r="B392" s="63" t="s">
        <v>654</v>
      </c>
      <c r="C392" s="36">
        <v>4301060387</v>
      </c>
      <c r="D392" s="665">
        <v>4607091380880</v>
      </c>
      <c r="E392" s="66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7"/>
      <c r="R392" s="667"/>
      <c r="S392" s="667"/>
      <c r="T392" s="668"/>
      <c r="U392" s="39" t="s">
        <v>46</v>
      </c>
      <c r="V392" s="39" t="s">
        <v>46</v>
      </c>
      <c r="W392" s="40" t="s">
        <v>0</v>
      </c>
      <c r="X392" s="58">
        <v>58.8</v>
      </c>
      <c r="Y392" s="55">
        <f>IFERROR(IF(X392="",0,CEILING((X392/$H392),1)*$H392),"")</f>
        <v>58.800000000000004</v>
      </c>
      <c r="Z392" s="41">
        <f>IFERROR(IF(Y392=0,"",ROUNDUP(Y392/H392,0)*0.01898),"")</f>
        <v>0.13286000000000001</v>
      </c>
      <c r="AA392" s="68" t="s">
        <v>46</v>
      </c>
      <c r="AB392" s="69" t="s">
        <v>46</v>
      </c>
      <c r="AC392" s="498" t="s">
        <v>655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62.257999999999988</v>
      </c>
      <c r="BN392" s="78">
        <f>IFERROR(Y392*I392/H392,"0")</f>
        <v>62.258000000000003</v>
      </c>
      <c r="BO392" s="78">
        <f>IFERROR(1/J392*(X392/H392),"0")</f>
        <v>0.10937499999999999</v>
      </c>
      <c r="BP392" s="78">
        <f>IFERROR(1/J392*(Y392/H392),"0")</f>
        <v>0.109375</v>
      </c>
    </row>
    <row r="393" spans="1:68" ht="27" customHeight="1" x14ac:dyDescent="0.25">
      <c r="A393" s="63" t="s">
        <v>656</v>
      </c>
      <c r="B393" s="63" t="s">
        <v>657</v>
      </c>
      <c r="C393" s="36">
        <v>4301060406</v>
      </c>
      <c r="D393" s="665">
        <v>4607091384482</v>
      </c>
      <c r="E393" s="66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7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7"/>
      <c r="R393" s="667"/>
      <c r="S393" s="667"/>
      <c r="T393" s="668"/>
      <c r="U393" s="39" t="s">
        <v>46</v>
      </c>
      <c r="V393" s="39" t="s">
        <v>46</v>
      </c>
      <c r="W393" s="40" t="s">
        <v>0</v>
      </c>
      <c r="X393" s="58">
        <v>39</v>
      </c>
      <c r="Y393" s="55">
        <f>IFERROR(IF(X393="",0,CEILING((X393/$H393),1)*$H393),"")</f>
        <v>39</v>
      </c>
      <c r="Z393" s="41">
        <f>IFERROR(IF(Y393=0,"",ROUNDUP(Y393/H393,0)*0.01898),"")</f>
        <v>9.4899999999999998E-2</v>
      </c>
      <c r="AA393" s="68" t="s">
        <v>46</v>
      </c>
      <c r="AB393" s="69" t="s">
        <v>46</v>
      </c>
      <c r="AC393" s="500" t="s">
        <v>658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41.47</v>
      </c>
      <c r="BN393" s="78">
        <f>IFERROR(Y393*I393/H393,"0")</f>
        <v>41.47</v>
      </c>
      <c r="BO393" s="78">
        <f>IFERROR(1/J393*(X393/H393),"0")</f>
        <v>7.8125E-2</v>
      </c>
      <c r="BP393" s="78">
        <f>IFERROR(1/J393*(Y393/H393),"0")</f>
        <v>7.8125E-2</v>
      </c>
    </row>
    <row r="394" spans="1:68" ht="27" customHeight="1" x14ac:dyDescent="0.25">
      <c r="A394" s="63" t="s">
        <v>659</v>
      </c>
      <c r="B394" s="63" t="s">
        <v>660</v>
      </c>
      <c r="C394" s="36">
        <v>4301060484</v>
      </c>
      <c r="D394" s="665">
        <v>4607091380897</v>
      </c>
      <c r="E394" s="66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127</v>
      </c>
      <c r="L394" s="37" t="s">
        <v>46</v>
      </c>
      <c r="M394" s="38" t="s">
        <v>97</v>
      </c>
      <c r="N394" s="38"/>
      <c r="O394" s="37">
        <v>30</v>
      </c>
      <c r="P394" s="7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7"/>
      <c r="R394" s="667"/>
      <c r="S394" s="667"/>
      <c r="T394" s="668"/>
      <c r="U394" s="39" t="s">
        <v>46</v>
      </c>
      <c r="V394" s="39" t="s">
        <v>46</v>
      </c>
      <c r="W394" s="40" t="s">
        <v>0</v>
      </c>
      <c r="X394" s="58">
        <v>42</v>
      </c>
      <c r="Y394" s="55">
        <f>IFERROR(IF(X394="",0,CEILING((X394/$H394),1)*$H394),"")</f>
        <v>42</v>
      </c>
      <c r="Z394" s="41">
        <f>IFERROR(IF(Y394=0,"",ROUNDUP(Y394/H394,0)*0.01898),"")</f>
        <v>9.4899999999999998E-2</v>
      </c>
      <c r="AA394" s="68" t="s">
        <v>46</v>
      </c>
      <c r="AB394" s="69" t="s">
        <v>46</v>
      </c>
      <c r="AC394" s="502" t="s">
        <v>661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44.47</v>
      </c>
      <c r="BN394" s="78">
        <f>IFERROR(Y394*I394/H394,"0")</f>
        <v>44.47</v>
      </c>
      <c r="BO394" s="78">
        <f>IFERROR(1/J394*(X394/H394),"0")</f>
        <v>7.8125E-2</v>
      </c>
      <c r="BP394" s="78">
        <f>IFERROR(1/J394*(Y394/H394),"0")</f>
        <v>7.8125E-2</v>
      </c>
    </row>
    <row r="395" spans="1:68" x14ac:dyDescent="0.2">
      <c r="A395" s="661"/>
      <c r="B395" s="661"/>
      <c r="C395" s="661"/>
      <c r="D395" s="661"/>
      <c r="E395" s="661"/>
      <c r="F395" s="661"/>
      <c r="G395" s="661"/>
      <c r="H395" s="661"/>
      <c r="I395" s="661"/>
      <c r="J395" s="661"/>
      <c r="K395" s="661"/>
      <c r="L395" s="661"/>
      <c r="M395" s="661"/>
      <c r="N395" s="661"/>
      <c r="O395" s="662"/>
      <c r="P395" s="658" t="s">
        <v>40</v>
      </c>
      <c r="Q395" s="659"/>
      <c r="R395" s="659"/>
      <c r="S395" s="659"/>
      <c r="T395" s="659"/>
      <c r="U395" s="659"/>
      <c r="V395" s="660"/>
      <c r="W395" s="42" t="s">
        <v>39</v>
      </c>
      <c r="X395" s="43">
        <f>IFERROR(X392/H392,"0")+IFERROR(X393/H393,"0")+IFERROR(X394/H394,"0")</f>
        <v>17</v>
      </c>
      <c r="Y395" s="43">
        <f>IFERROR(Y392/H392,"0")+IFERROR(Y393/H393,"0")+IFERROR(Y394/H394,"0")</f>
        <v>17</v>
      </c>
      <c r="Z395" s="43">
        <f>IFERROR(IF(Z392="",0,Z392),"0")+IFERROR(IF(Z393="",0,Z393),"0")+IFERROR(IF(Z394="",0,Z394),"0")</f>
        <v>0.32266</v>
      </c>
      <c r="AA395" s="67"/>
      <c r="AB395" s="67"/>
      <c r="AC395" s="67"/>
    </row>
    <row r="396" spans="1:68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0</v>
      </c>
      <c r="X396" s="43">
        <f>IFERROR(SUM(X392:X394),"0")</f>
        <v>139.80000000000001</v>
      </c>
      <c r="Y396" s="43">
        <f>IFERROR(SUM(Y392:Y394),"0")</f>
        <v>139.80000000000001</v>
      </c>
      <c r="Z396" s="42"/>
      <c r="AA396" s="67"/>
      <c r="AB396" s="67"/>
      <c r="AC396" s="67"/>
    </row>
    <row r="397" spans="1:68" ht="14.25" hidden="1" customHeight="1" x14ac:dyDescent="0.25">
      <c r="A397" s="664" t="s">
        <v>289</v>
      </c>
      <c r="B397" s="664"/>
      <c r="C397" s="664"/>
      <c r="D397" s="664"/>
      <c r="E397" s="664"/>
      <c r="F397" s="664"/>
      <c r="G397" s="664"/>
      <c r="H397" s="664"/>
      <c r="I397" s="664"/>
      <c r="J397" s="664"/>
      <c r="K397" s="664"/>
      <c r="L397" s="664"/>
      <c r="M397" s="664"/>
      <c r="N397" s="664"/>
      <c r="O397" s="664"/>
      <c r="P397" s="664"/>
      <c r="Q397" s="664"/>
      <c r="R397" s="664"/>
      <c r="S397" s="664"/>
      <c r="T397" s="664"/>
      <c r="U397" s="664"/>
      <c r="V397" s="664"/>
      <c r="W397" s="664"/>
      <c r="X397" s="664"/>
      <c r="Y397" s="664"/>
      <c r="Z397" s="664"/>
      <c r="AA397" s="66"/>
      <c r="AB397" s="66"/>
      <c r="AC397" s="80"/>
    </row>
    <row r="398" spans="1:68" ht="27" hidden="1" customHeight="1" x14ac:dyDescent="0.25">
      <c r="A398" s="63" t="s">
        <v>662</v>
      </c>
      <c r="B398" s="63" t="s">
        <v>663</v>
      </c>
      <c r="C398" s="36">
        <v>4301030235</v>
      </c>
      <c r="D398" s="665">
        <v>4607091388381</v>
      </c>
      <c r="E398" s="66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134</v>
      </c>
      <c r="L398" s="37" t="s">
        <v>46</v>
      </c>
      <c r="M398" s="38" t="s">
        <v>264</v>
      </c>
      <c r="N398" s="38"/>
      <c r="O398" s="37">
        <v>180</v>
      </c>
      <c r="P398" s="7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7"/>
      <c r="R398" s="667"/>
      <c r="S398" s="667"/>
      <c r="T398" s="66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664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4301030232</v>
      </c>
      <c r="D399" s="665">
        <v>4607091388374</v>
      </c>
      <c r="E399" s="66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134</v>
      </c>
      <c r="L399" s="37" t="s">
        <v>46</v>
      </c>
      <c r="M399" s="38" t="s">
        <v>264</v>
      </c>
      <c r="N399" s="38"/>
      <c r="O399" s="37">
        <v>180</v>
      </c>
      <c r="P399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7"/>
      <c r="R399" s="667"/>
      <c r="S399" s="667"/>
      <c r="T399" s="66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664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4301032015</v>
      </c>
      <c r="D400" s="665">
        <v>4607091383102</v>
      </c>
      <c r="E400" s="66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91</v>
      </c>
      <c r="L400" s="37" t="s">
        <v>46</v>
      </c>
      <c r="M400" s="38" t="s">
        <v>264</v>
      </c>
      <c r="N400" s="38"/>
      <c r="O400" s="37">
        <v>180</v>
      </c>
      <c r="P400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7"/>
      <c r="R400" s="667"/>
      <c r="S400" s="667"/>
      <c r="T400" s="66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664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4301030233</v>
      </c>
      <c r="D401" s="665">
        <v>4607091388404</v>
      </c>
      <c r="E401" s="66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91</v>
      </c>
      <c r="L401" s="37" t="s">
        <v>46</v>
      </c>
      <c r="M401" s="38" t="s">
        <v>264</v>
      </c>
      <c r="N401" s="38"/>
      <c r="O401" s="37">
        <v>180</v>
      </c>
      <c r="P401" s="7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7"/>
      <c r="R401" s="667"/>
      <c r="S401" s="667"/>
      <c r="T401" s="66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664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64" t="s">
        <v>671</v>
      </c>
      <c r="B404" s="664"/>
      <c r="C404" s="664"/>
      <c r="D404" s="664"/>
      <c r="E404" s="664"/>
      <c r="F404" s="664"/>
      <c r="G404" s="664"/>
      <c r="H404" s="664"/>
      <c r="I404" s="664"/>
      <c r="J404" s="664"/>
      <c r="K404" s="664"/>
      <c r="L404" s="664"/>
      <c r="M404" s="664"/>
      <c r="N404" s="664"/>
      <c r="O404" s="664"/>
      <c r="P404" s="664"/>
      <c r="Q404" s="664"/>
      <c r="R404" s="664"/>
      <c r="S404" s="664"/>
      <c r="T404" s="664"/>
      <c r="U404" s="664"/>
      <c r="V404" s="664"/>
      <c r="W404" s="664"/>
      <c r="X404" s="664"/>
      <c r="Y404" s="664"/>
      <c r="Z404" s="664"/>
      <c r="AA404" s="66"/>
      <c r="AB404" s="66"/>
      <c r="AC404" s="80"/>
    </row>
    <row r="405" spans="1:68" ht="16.5" hidden="1" customHeight="1" x14ac:dyDescent="0.25">
      <c r="A405" s="63" t="s">
        <v>672</v>
      </c>
      <c r="B405" s="63" t="s">
        <v>673</v>
      </c>
      <c r="C405" s="36">
        <v>4301180007</v>
      </c>
      <c r="D405" s="665">
        <v>4680115881808</v>
      </c>
      <c r="E405" s="66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675</v>
      </c>
      <c r="N405" s="38"/>
      <c r="O405" s="37">
        <v>731</v>
      </c>
      <c r="P405" s="7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7"/>
      <c r="R405" s="667"/>
      <c r="S405" s="667"/>
      <c r="T405" s="66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674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4301180006</v>
      </c>
      <c r="D406" s="665">
        <v>4680115881822</v>
      </c>
      <c r="E406" s="66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675</v>
      </c>
      <c r="N406" s="38"/>
      <c r="O406" s="37">
        <v>731</v>
      </c>
      <c r="P406" s="7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7"/>
      <c r="R406" s="667"/>
      <c r="S406" s="667"/>
      <c r="T406" s="66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674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678</v>
      </c>
      <c r="B407" s="63" t="s">
        <v>679</v>
      </c>
      <c r="C407" s="36">
        <v>4301180001</v>
      </c>
      <c r="D407" s="665">
        <v>4680115880016</v>
      </c>
      <c r="E407" s="66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675</v>
      </c>
      <c r="N407" s="38"/>
      <c r="O407" s="37">
        <v>731</v>
      </c>
      <c r="P407" s="7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7"/>
      <c r="R407" s="667"/>
      <c r="S407" s="667"/>
      <c r="T407" s="66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674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664" t="s">
        <v>680</v>
      </c>
      <c r="B410" s="664"/>
      <c r="C410" s="664"/>
      <c r="D410" s="664"/>
      <c r="E410" s="664"/>
      <c r="F410" s="664"/>
      <c r="G410" s="664"/>
      <c r="H410" s="664"/>
      <c r="I410" s="664"/>
      <c r="J410" s="664"/>
      <c r="K410" s="664"/>
      <c r="L410" s="664"/>
      <c r="M410" s="664"/>
      <c r="N410" s="664"/>
      <c r="O410" s="664"/>
      <c r="P410" s="664"/>
      <c r="Q410" s="664"/>
      <c r="R410" s="664"/>
      <c r="S410" s="664"/>
      <c r="T410" s="664"/>
      <c r="U410" s="664"/>
      <c r="V410" s="664"/>
      <c r="W410" s="664"/>
      <c r="X410" s="664"/>
      <c r="Y410" s="664"/>
      <c r="Z410" s="664"/>
      <c r="AA410" s="66"/>
      <c r="AB410" s="66"/>
      <c r="AC410" s="80"/>
    </row>
    <row r="411" spans="1:68" ht="27" hidden="1" customHeight="1" x14ac:dyDescent="0.25">
      <c r="A411" s="63" t="s">
        <v>681</v>
      </c>
      <c r="B411" s="63" t="s">
        <v>682</v>
      </c>
      <c r="C411" s="36">
        <v>4301220003</v>
      </c>
      <c r="D411" s="665">
        <v>4680115888678</v>
      </c>
      <c r="E411" s="66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91</v>
      </c>
      <c r="L411" s="37" t="s">
        <v>46</v>
      </c>
      <c r="M411" s="38" t="s">
        <v>675</v>
      </c>
      <c r="N411" s="38"/>
      <c r="O411" s="37">
        <v>1096</v>
      </c>
      <c r="P411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7"/>
      <c r="R411" s="667"/>
      <c r="S411" s="667"/>
      <c r="T411" s="66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683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684</v>
      </c>
      <c r="B412" s="63" t="s">
        <v>685</v>
      </c>
      <c r="C412" s="36">
        <v>4301220001</v>
      </c>
      <c r="D412" s="665">
        <v>4680115888654</v>
      </c>
      <c r="E412" s="66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134</v>
      </c>
      <c r="L412" s="37" t="s">
        <v>46</v>
      </c>
      <c r="M412" s="38" t="s">
        <v>675</v>
      </c>
      <c r="N412" s="38"/>
      <c r="O412" s="37">
        <v>1096</v>
      </c>
      <c r="P412" s="7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7"/>
      <c r="R412" s="667"/>
      <c r="S412" s="667"/>
      <c r="T412" s="66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686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687</v>
      </c>
      <c r="B413" s="63" t="s">
        <v>688</v>
      </c>
      <c r="C413" s="36">
        <v>4301220002</v>
      </c>
      <c r="D413" s="665">
        <v>4680115888753</v>
      </c>
      <c r="E413" s="66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91</v>
      </c>
      <c r="L413" s="37" t="s">
        <v>46</v>
      </c>
      <c r="M413" s="38" t="s">
        <v>675</v>
      </c>
      <c r="N413" s="38"/>
      <c r="O413" s="37">
        <v>1096</v>
      </c>
      <c r="P413" s="7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7"/>
      <c r="R413" s="667"/>
      <c r="S413" s="667"/>
      <c r="T413" s="66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683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63" t="s">
        <v>689</v>
      </c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3"/>
      <c r="P416" s="663"/>
      <c r="Q416" s="663"/>
      <c r="R416" s="663"/>
      <c r="S416" s="663"/>
      <c r="T416" s="663"/>
      <c r="U416" s="663"/>
      <c r="V416" s="663"/>
      <c r="W416" s="663"/>
      <c r="X416" s="663"/>
      <c r="Y416" s="663"/>
      <c r="Z416" s="663"/>
      <c r="AA416" s="65"/>
      <c r="AB416" s="65"/>
      <c r="AC416" s="79"/>
    </row>
    <row r="417" spans="1:68" ht="14.25" hidden="1" customHeight="1" x14ac:dyDescent="0.25">
      <c r="A417" s="664" t="s">
        <v>86</v>
      </c>
      <c r="B417" s="664"/>
      <c r="C417" s="664"/>
      <c r="D417" s="664"/>
      <c r="E417" s="664"/>
      <c r="F417" s="664"/>
      <c r="G417" s="664"/>
      <c r="H417" s="664"/>
      <c r="I417" s="664"/>
      <c r="J417" s="664"/>
      <c r="K417" s="664"/>
      <c r="L417" s="664"/>
      <c r="M417" s="664"/>
      <c r="N417" s="664"/>
      <c r="O417" s="664"/>
      <c r="P417" s="664"/>
      <c r="Q417" s="664"/>
      <c r="R417" s="664"/>
      <c r="S417" s="664"/>
      <c r="T417" s="664"/>
      <c r="U417" s="664"/>
      <c r="V417" s="664"/>
      <c r="W417" s="664"/>
      <c r="X417" s="664"/>
      <c r="Y417" s="664"/>
      <c r="Z417" s="664"/>
      <c r="AA417" s="66"/>
      <c r="AB417" s="66"/>
      <c r="AC417" s="80"/>
    </row>
    <row r="418" spans="1:68" ht="16.5" hidden="1" customHeight="1" x14ac:dyDescent="0.25">
      <c r="A418" s="63" t="s">
        <v>690</v>
      </c>
      <c r="B418" s="63" t="s">
        <v>691</v>
      </c>
      <c r="C418" s="36">
        <v>4301052235</v>
      </c>
      <c r="D418" s="665">
        <v>4680115889415</v>
      </c>
      <c r="E418" s="66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7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7"/>
      <c r="R418" s="667"/>
      <c r="S418" s="667"/>
      <c r="T418" s="66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692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693</v>
      </c>
      <c r="B419" s="63" t="s">
        <v>694</v>
      </c>
      <c r="C419" s="36">
        <v>4301052236</v>
      </c>
      <c r="D419" s="665">
        <v>4680115889422</v>
      </c>
      <c r="E419" s="66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7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7"/>
      <c r="R419" s="667"/>
      <c r="S419" s="667"/>
      <c r="T419" s="66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695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61"/>
      <c r="B420" s="661"/>
      <c r="C420" s="661"/>
      <c r="D420" s="661"/>
      <c r="E420" s="661"/>
      <c r="F420" s="661"/>
      <c r="G420" s="661"/>
      <c r="H420" s="661"/>
      <c r="I420" s="661"/>
      <c r="J420" s="661"/>
      <c r="K420" s="661"/>
      <c r="L420" s="661"/>
      <c r="M420" s="661"/>
      <c r="N420" s="661"/>
      <c r="O420" s="662"/>
      <c r="P420" s="658" t="s">
        <v>40</v>
      </c>
      <c r="Q420" s="659"/>
      <c r="R420" s="659"/>
      <c r="S420" s="659"/>
      <c r="T420" s="659"/>
      <c r="U420" s="659"/>
      <c r="V420" s="660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663" t="s">
        <v>696</v>
      </c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3"/>
      <c r="P422" s="663"/>
      <c r="Q422" s="663"/>
      <c r="R422" s="663"/>
      <c r="S422" s="663"/>
      <c r="T422" s="663"/>
      <c r="U422" s="663"/>
      <c r="V422" s="663"/>
      <c r="W422" s="663"/>
      <c r="X422" s="663"/>
      <c r="Y422" s="663"/>
      <c r="Z422" s="663"/>
      <c r="AA422" s="65"/>
      <c r="AB422" s="65"/>
      <c r="AC422" s="79"/>
    </row>
    <row r="423" spans="1:68" ht="14.25" hidden="1" customHeight="1" x14ac:dyDescent="0.25">
      <c r="A423" s="664" t="s">
        <v>86</v>
      </c>
      <c r="B423" s="664"/>
      <c r="C423" s="664"/>
      <c r="D423" s="664"/>
      <c r="E423" s="664"/>
      <c r="F423" s="664"/>
      <c r="G423" s="664"/>
      <c r="H423" s="664"/>
      <c r="I423" s="664"/>
      <c r="J423" s="664"/>
      <c r="K423" s="664"/>
      <c r="L423" s="664"/>
      <c r="M423" s="664"/>
      <c r="N423" s="664"/>
      <c r="O423" s="664"/>
      <c r="P423" s="664"/>
      <c r="Q423" s="664"/>
      <c r="R423" s="664"/>
      <c r="S423" s="664"/>
      <c r="T423" s="664"/>
      <c r="U423" s="664"/>
      <c r="V423" s="664"/>
      <c r="W423" s="664"/>
      <c r="X423" s="664"/>
      <c r="Y423" s="664"/>
      <c r="Z423" s="664"/>
      <c r="AA423" s="66"/>
      <c r="AB423" s="66"/>
      <c r="AC423" s="80"/>
    </row>
    <row r="424" spans="1:68" ht="27" customHeight="1" x14ac:dyDescent="0.25">
      <c r="A424" s="63" t="s">
        <v>697</v>
      </c>
      <c r="B424" s="63" t="s">
        <v>698</v>
      </c>
      <c r="C424" s="36">
        <v>4301051489</v>
      </c>
      <c r="D424" s="665">
        <v>4607091387919</v>
      </c>
      <c r="E424" s="66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127</v>
      </c>
      <c r="L424" s="37" t="s">
        <v>46</v>
      </c>
      <c r="M424" s="38" t="s">
        <v>97</v>
      </c>
      <c r="N424" s="38"/>
      <c r="O424" s="37">
        <v>45</v>
      </c>
      <c r="P424" s="73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7"/>
      <c r="R424" s="667"/>
      <c r="S424" s="667"/>
      <c r="T424" s="668"/>
      <c r="U424" s="39" t="s">
        <v>46</v>
      </c>
      <c r="V424" s="39" t="s">
        <v>46</v>
      </c>
      <c r="W424" s="40" t="s">
        <v>0</v>
      </c>
      <c r="X424" s="58">
        <v>121.5</v>
      </c>
      <c r="Y424" s="55">
        <f>IFERROR(IF(X424="",0,CEILING((X424/$H424),1)*$H424),"")</f>
        <v>121.5</v>
      </c>
      <c r="Z424" s="41">
        <f>IFERROR(IF(Y424=0,"",ROUNDUP(Y424/H424,0)*0.01898),"")</f>
        <v>0.28470000000000001</v>
      </c>
      <c r="AA424" s="68" t="s">
        <v>46</v>
      </c>
      <c r="AB424" s="69" t="s">
        <v>46</v>
      </c>
      <c r="AC424" s="528" t="s">
        <v>699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128.91</v>
      </c>
      <c r="BN424" s="78">
        <f>IFERROR(Y424*I424/H424,"0")</f>
        <v>128.91</v>
      </c>
      <c r="BO424" s="78">
        <f>IFERROR(1/J424*(X424/H424),"0")</f>
        <v>0.234375</v>
      </c>
      <c r="BP424" s="78">
        <f>IFERROR(1/J424*(Y424/H424),"0")</f>
        <v>0.234375</v>
      </c>
    </row>
    <row r="425" spans="1:68" ht="27" hidden="1" customHeight="1" x14ac:dyDescent="0.25">
      <c r="A425" s="63" t="s">
        <v>700</v>
      </c>
      <c r="B425" s="63" t="s">
        <v>701</v>
      </c>
      <c r="C425" s="36">
        <v>4301051461</v>
      </c>
      <c r="D425" s="665">
        <v>4680115883604</v>
      </c>
      <c r="E425" s="66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91</v>
      </c>
      <c r="L425" s="37" t="s">
        <v>46</v>
      </c>
      <c r="M425" s="38" t="s">
        <v>90</v>
      </c>
      <c r="N425" s="38"/>
      <c r="O425" s="37">
        <v>45</v>
      </c>
      <c r="P425" s="73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7"/>
      <c r="R425" s="667"/>
      <c r="S425" s="667"/>
      <c r="T425" s="66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702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703</v>
      </c>
      <c r="B426" s="63" t="s">
        <v>704</v>
      </c>
      <c r="C426" s="36">
        <v>4301051864</v>
      </c>
      <c r="D426" s="665">
        <v>4680115883567</v>
      </c>
      <c r="E426" s="66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91</v>
      </c>
      <c r="L426" s="37" t="s">
        <v>46</v>
      </c>
      <c r="M426" s="38" t="s">
        <v>97</v>
      </c>
      <c r="N426" s="38"/>
      <c r="O426" s="37">
        <v>40</v>
      </c>
      <c r="P426" s="7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7"/>
      <c r="R426" s="667"/>
      <c r="S426" s="667"/>
      <c r="T426" s="66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705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x14ac:dyDescent="0.2">
      <c r="A427" s="661"/>
      <c r="B427" s="661"/>
      <c r="C427" s="661"/>
      <c r="D427" s="661"/>
      <c r="E427" s="661"/>
      <c r="F427" s="661"/>
      <c r="G427" s="661"/>
      <c r="H427" s="661"/>
      <c r="I427" s="661"/>
      <c r="J427" s="661"/>
      <c r="K427" s="661"/>
      <c r="L427" s="661"/>
      <c r="M427" s="661"/>
      <c r="N427" s="661"/>
      <c r="O427" s="662"/>
      <c r="P427" s="658" t="s">
        <v>40</v>
      </c>
      <c r="Q427" s="659"/>
      <c r="R427" s="659"/>
      <c r="S427" s="659"/>
      <c r="T427" s="659"/>
      <c r="U427" s="659"/>
      <c r="V427" s="660"/>
      <c r="W427" s="42" t="s">
        <v>39</v>
      </c>
      <c r="X427" s="43">
        <f>IFERROR(X424/H424,"0")+IFERROR(X425/H425,"0")+IFERROR(X426/H426,"0")</f>
        <v>15</v>
      </c>
      <c r="Y427" s="43">
        <f>IFERROR(Y424/H424,"0")+IFERROR(Y425/H425,"0")+IFERROR(Y426/H426,"0")</f>
        <v>15</v>
      </c>
      <c r="Z427" s="43">
        <f>IFERROR(IF(Z424="",0,Z424),"0")+IFERROR(IF(Z425="",0,Z425),"0")+IFERROR(IF(Z426="",0,Z426),"0")</f>
        <v>0.28470000000000001</v>
      </c>
      <c r="AA427" s="67"/>
      <c r="AB427" s="67"/>
      <c r="AC427" s="67"/>
    </row>
    <row r="428" spans="1:68" x14ac:dyDescent="0.2">
      <c r="A428" s="661"/>
      <c r="B428" s="661"/>
      <c r="C428" s="661"/>
      <c r="D428" s="661"/>
      <c r="E428" s="661"/>
      <c r="F428" s="661"/>
      <c r="G428" s="661"/>
      <c r="H428" s="661"/>
      <c r="I428" s="661"/>
      <c r="J428" s="661"/>
      <c r="K428" s="661"/>
      <c r="L428" s="661"/>
      <c r="M428" s="661"/>
      <c r="N428" s="661"/>
      <c r="O428" s="662"/>
      <c r="P428" s="658" t="s">
        <v>40</v>
      </c>
      <c r="Q428" s="659"/>
      <c r="R428" s="659"/>
      <c r="S428" s="659"/>
      <c r="T428" s="659"/>
      <c r="U428" s="659"/>
      <c r="V428" s="660"/>
      <c r="W428" s="42" t="s">
        <v>0</v>
      </c>
      <c r="X428" s="43">
        <f>IFERROR(SUM(X424:X426),"0")</f>
        <v>121.5</v>
      </c>
      <c r="Y428" s="43">
        <f>IFERROR(SUM(Y424:Y426),"0")</f>
        <v>121.5</v>
      </c>
      <c r="Z428" s="42"/>
      <c r="AA428" s="67"/>
      <c r="AB428" s="67"/>
      <c r="AC428" s="67"/>
    </row>
    <row r="429" spans="1:68" ht="27.75" hidden="1" customHeight="1" x14ac:dyDescent="0.2">
      <c r="A429" s="678" t="s">
        <v>706</v>
      </c>
      <c r="B429" s="678"/>
      <c r="C429" s="678"/>
      <c r="D429" s="678"/>
      <c r="E429" s="678"/>
      <c r="F429" s="678"/>
      <c r="G429" s="678"/>
      <c r="H429" s="678"/>
      <c r="I429" s="678"/>
      <c r="J429" s="678"/>
      <c r="K429" s="678"/>
      <c r="L429" s="678"/>
      <c r="M429" s="678"/>
      <c r="N429" s="678"/>
      <c r="O429" s="678"/>
      <c r="P429" s="678"/>
      <c r="Q429" s="678"/>
      <c r="R429" s="678"/>
      <c r="S429" s="678"/>
      <c r="T429" s="678"/>
      <c r="U429" s="678"/>
      <c r="V429" s="678"/>
      <c r="W429" s="678"/>
      <c r="X429" s="678"/>
      <c r="Y429" s="678"/>
      <c r="Z429" s="678"/>
      <c r="AA429" s="54"/>
      <c r="AB429" s="54"/>
      <c r="AC429" s="54"/>
    </row>
    <row r="430" spans="1:68" ht="16.5" hidden="1" customHeight="1" x14ac:dyDescent="0.25">
      <c r="A430" s="663" t="s">
        <v>707</v>
      </c>
      <c r="B430" s="663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N430" s="663"/>
      <c r="O430" s="663"/>
      <c r="P430" s="663"/>
      <c r="Q430" s="663"/>
      <c r="R430" s="663"/>
      <c r="S430" s="663"/>
      <c r="T430" s="663"/>
      <c r="U430" s="663"/>
      <c r="V430" s="663"/>
      <c r="W430" s="663"/>
      <c r="X430" s="663"/>
      <c r="Y430" s="663"/>
      <c r="Z430" s="663"/>
      <c r="AA430" s="65"/>
      <c r="AB430" s="65"/>
      <c r="AC430" s="79"/>
    </row>
    <row r="431" spans="1:68" ht="14.25" hidden="1" customHeight="1" x14ac:dyDescent="0.25">
      <c r="A431" s="664" t="s">
        <v>122</v>
      </c>
      <c r="B431" s="664"/>
      <c r="C431" s="664"/>
      <c r="D431" s="664"/>
      <c r="E431" s="664"/>
      <c r="F431" s="664"/>
      <c r="G431" s="664"/>
      <c r="H431" s="664"/>
      <c r="I431" s="664"/>
      <c r="J431" s="664"/>
      <c r="K431" s="664"/>
      <c r="L431" s="664"/>
      <c r="M431" s="664"/>
      <c r="N431" s="664"/>
      <c r="O431" s="664"/>
      <c r="P431" s="664"/>
      <c r="Q431" s="664"/>
      <c r="R431" s="664"/>
      <c r="S431" s="664"/>
      <c r="T431" s="664"/>
      <c r="U431" s="664"/>
      <c r="V431" s="664"/>
      <c r="W431" s="664"/>
      <c r="X431" s="664"/>
      <c r="Y431" s="664"/>
      <c r="Z431" s="664"/>
      <c r="AA431" s="66"/>
      <c r="AB431" s="66"/>
      <c r="AC431" s="80"/>
    </row>
    <row r="432" spans="1:68" ht="27" hidden="1" customHeight="1" x14ac:dyDescent="0.25">
      <c r="A432" s="63" t="s">
        <v>708</v>
      </c>
      <c r="B432" s="63" t="s">
        <v>709</v>
      </c>
      <c r="C432" s="36">
        <v>4301012332</v>
      </c>
      <c r="D432" s="665">
        <v>4680115888401</v>
      </c>
      <c r="E432" s="66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97</v>
      </c>
      <c r="N432" s="38"/>
      <c r="O432" s="37">
        <v>60</v>
      </c>
      <c r="P432" s="73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7"/>
      <c r="R432" s="667"/>
      <c r="S432" s="667"/>
      <c r="T432" s="66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hidden="1" customHeight="1" x14ac:dyDescent="0.25">
      <c r="A433" s="63" t="s">
        <v>711</v>
      </c>
      <c r="B433" s="63" t="s">
        <v>712</v>
      </c>
      <c r="C433" s="36">
        <v>4301011869</v>
      </c>
      <c r="D433" s="665">
        <v>4680115884847</v>
      </c>
      <c r="E433" s="66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81</v>
      </c>
      <c r="N433" s="38"/>
      <c r="O433" s="37">
        <v>60</v>
      </c>
      <c r="P433" s="7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7"/>
      <c r="R433" s="667"/>
      <c r="S433" s="667"/>
      <c r="T433" s="66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customHeight="1" x14ac:dyDescent="0.25">
      <c r="A434" s="63" t="s">
        <v>714</v>
      </c>
      <c r="B434" s="63" t="s">
        <v>715</v>
      </c>
      <c r="C434" s="36">
        <v>4301012083</v>
      </c>
      <c r="D434" s="665">
        <v>4680115884854</v>
      </c>
      <c r="E434" s="66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126</v>
      </c>
      <c r="N434" s="38"/>
      <c r="O434" s="37">
        <v>60</v>
      </c>
      <c r="P434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7"/>
      <c r="R434" s="667"/>
      <c r="S434" s="667"/>
      <c r="T434" s="668"/>
      <c r="U434" s="39" t="s">
        <v>46</v>
      </c>
      <c r="V434" s="39" t="s">
        <v>46</v>
      </c>
      <c r="W434" s="40" t="s">
        <v>0</v>
      </c>
      <c r="X434" s="58">
        <v>720</v>
      </c>
      <c r="Y434" s="55">
        <f t="shared" si="68"/>
        <v>720</v>
      </c>
      <c r="Z434" s="41">
        <f>IFERROR(IF(Y434=0,"",ROUNDUP(Y434/H434,0)*0.02175),"")</f>
        <v>1.044</v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742.56</v>
      </c>
      <c r="BN434" s="78">
        <f t="shared" si="70"/>
        <v>742.56</v>
      </c>
      <c r="BO434" s="78">
        <f t="shared" si="71"/>
        <v>1</v>
      </c>
      <c r="BP434" s="78">
        <f t="shared" si="72"/>
        <v>1</v>
      </c>
    </row>
    <row r="435" spans="1:68" ht="27" hidden="1" customHeight="1" x14ac:dyDescent="0.25">
      <c r="A435" s="63" t="s">
        <v>717</v>
      </c>
      <c r="B435" s="63" t="s">
        <v>718</v>
      </c>
      <c r="C435" s="36">
        <v>4301011867</v>
      </c>
      <c r="D435" s="665">
        <v>4680115884830</v>
      </c>
      <c r="E435" s="66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81</v>
      </c>
      <c r="N435" s="38"/>
      <c r="O435" s="37">
        <v>60</v>
      </c>
      <c r="P435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7"/>
      <c r="R435" s="667"/>
      <c r="S435" s="667"/>
      <c r="T435" s="668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hidden="1" customHeight="1" x14ac:dyDescent="0.25">
      <c r="A436" s="63" t="s">
        <v>720</v>
      </c>
      <c r="B436" s="63" t="s">
        <v>721</v>
      </c>
      <c r="C436" s="36">
        <v>4301012356</v>
      </c>
      <c r="D436" s="665">
        <v>4680115889231</v>
      </c>
      <c r="E436" s="66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7"/>
      <c r="R436" s="667"/>
      <c r="S436" s="667"/>
      <c r="T436" s="668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723</v>
      </c>
      <c r="B437" s="63" t="s">
        <v>724</v>
      </c>
      <c r="C437" s="36">
        <v>4301011433</v>
      </c>
      <c r="D437" s="665">
        <v>4680115882638</v>
      </c>
      <c r="E437" s="66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134</v>
      </c>
      <c r="L437" s="37" t="s">
        <v>46</v>
      </c>
      <c r="M437" s="38" t="s">
        <v>126</v>
      </c>
      <c r="N437" s="38"/>
      <c r="O437" s="37">
        <v>90</v>
      </c>
      <c r="P437" s="72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7"/>
      <c r="R437" s="667"/>
      <c r="S437" s="667"/>
      <c r="T437" s="66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725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726</v>
      </c>
      <c r="B438" s="63" t="s">
        <v>727</v>
      </c>
      <c r="C438" s="36">
        <v>4301011952</v>
      </c>
      <c r="D438" s="665">
        <v>4680115884922</v>
      </c>
      <c r="E438" s="66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72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7"/>
      <c r="R438" s="667"/>
      <c r="S438" s="667"/>
      <c r="T438" s="66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728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729</v>
      </c>
      <c r="B439" s="63" t="s">
        <v>730</v>
      </c>
      <c r="C439" s="36">
        <v>4301011868</v>
      </c>
      <c r="D439" s="665">
        <v>4680115884861</v>
      </c>
      <c r="E439" s="66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7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7"/>
      <c r="R439" s="667"/>
      <c r="S439" s="667"/>
      <c r="T439" s="66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731</v>
      </c>
      <c r="AG439" s="78"/>
      <c r="AJ439" s="84" t="s">
        <v>46</v>
      </c>
      <c r="AK439" s="84">
        <v>0</v>
      </c>
      <c r="BB439" s="549" t="s">
        <v>67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48</v>
      </c>
      <c r="Y440" s="43">
        <f>IFERROR(Y432/H432,"0")+IFERROR(Y433/H433,"0")+IFERROR(Y434/H434,"0")+IFERROR(Y435/H435,"0")+IFERROR(Y436/H436,"0")+IFERROR(Y437/H437,"0")+IFERROR(Y438/H438,"0")+IFERROR(Y439/H439,"0")</f>
        <v>48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1.044</v>
      </c>
      <c r="AA440" s="67"/>
      <c r="AB440" s="67"/>
      <c r="AC440" s="67"/>
    </row>
    <row r="441" spans="1:68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IFERROR(SUM(X432:X439),"0")</f>
        <v>720</v>
      </c>
      <c r="Y441" s="43">
        <f>IFERROR(SUM(Y432:Y439),"0")</f>
        <v>720</v>
      </c>
      <c r="Z441" s="42"/>
      <c r="AA441" s="67"/>
      <c r="AB441" s="67"/>
      <c r="AC441" s="67"/>
    </row>
    <row r="442" spans="1:68" ht="14.25" hidden="1" customHeight="1" x14ac:dyDescent="0.25">
      <c r="A442" s="664" t="s">
        <v>155</v>
      </c>
      <c r="B442" s="664"/>
      <c r="C442" s="664"/>
      <c r="D442" s="664"/>
      <c r="E442" s="664"/>
      <c r="F442" s="664"/>
      <c r="G442" s="664"/>
      <c r="H442" s="664"/>
      <c r="I442" s="664"/>
      <c r="J442" s="664"/>
      <c r="K442" s="664"/>
      <c r="L442" s="664"/>
      <c r="M442" s="664"/>
      <c r="N442" s="664"/>
      <c r="O442" s="664"/>
      <c r="P442" s="664"/>
      <c r="Q442" s="664"/>
      <c r="R442" s="664"/>
      <c r="S442" s="664"/>
      <c r="T442" s="664"/>
      <c r="U442" s="664"/>
      <c r="V442" s="664"/>
      <c r="W442" s="664"/>
      <c r="X442" s="664"/>
      <c r="Y442" s="664"/>
      <c r="Z442" s="664"/>
      <c r="AA442" s="66"/>
      <c r="AB442" s="66"/>
      <c r="AC442" s="80"/>
    </row>
    <row r="443" spans="1:68" ht="27" hidden="1" customHeight="1" x14ac:dyDescent="0.25">
      <c r="A443" s="63" t="s">
        <v>732</v>
      </c>
      <c r="B443" s="63" t="s">
        <v>733</v>
      </c>
      <c r="C443" s="36">
        <v>4301020178</v>
      </c>
      <c r="D443" s="665">
        <v>4607091383980</v>
      </c>
      <c r="E443" s="66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7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7"/>
      <c r="R443" s="667"/>
      <c r="S443" s="667"/>
      <c r="T443" s="66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734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735</v>
      </c>
      <c r="B444" s="63" t="s">
        <v>736</v>
      </c>
      <c r="C444" s="36">
        <v>4301020355</v>
      </c>
      <c r="D444" s="665">
        <v>4680115888425</v>
      </c>
      <c r="E444" s="66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7"/>
      <c r="R444" s="667"/>
      <c r="S444" s="667"/>
      <c r="T444" s="66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737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738</v>
      </c>
      <c r="B445" s="63" t="s">
        <v>739</v>
      </c>
      <c r="C445" s="36">
        <v>4301020179</v>
      </c>
      <c r="D445" s="665">
        <v>4607091384178</v>
      </c>
      <c r="E445" s="66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134</v>
      </c>
      <c r="L445" s="37" t="s">
        <v>46</v>
      </c>
      <c r="M445" s="38" t="s">
        <v>126</v>
      </c>
      <c r="N445" s="38"/>
      <c r="O445" s="37">
        <v>50</v>
      </c>
      <c r="P445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7"/>
      <c r="R445" s="667"/>
      <c r="S445" s="667"/>
      <c r="T445" s="66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740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664" t="s">
        <v>86</v>
      </c>
      <c r="B448" s="664"/>
      <c r="C448" s="664"/>
      <c r="D448" s="664"/>
      <c r="E448" s="664"/>
      <c r="F448" s="664"/>
      <c r="G448" s="664"/>
      <c r="H448" s="664"/>
      <c r="I448" s="664"/>
      <c r="J448" s="664"/>
      <c r="K448" s="664"/>
      <c r="L448" s="664"/>
      <c r="M448" s="664"/>
      <c r="N448" s="664"/>
      <c r="O448" s="664"/>
      <c r="P448" s="664"/>
      <c r="Q448" s="664"/>
      <c r="R448" s="664"/>
      <c r="S448" s="664"/>
      <c r="T448" s="664"/>
      <c r="U448" s="664"/>
      <c r="V448" s="664"/>
      <c r="W448" s="664"/>
      <c r="X448" s="664"/>
      <c r="Y448" s="664"/>
      <c r="Z448" s="664"/>
      <c r="AA448" s="66"/>
      <c r="AB448" s="66"/>
      <c r="AC448" s="80"/>
    </row>
    <row r="449" spans="1:68" ht="27" customHeight="1" x14ac:dyDescent="0.25">
      <c r="A449" s="63" t="s">
        <v>741</v>
      </c>
      <c r="B449" s="63" t="s">
        <v>742</v>
      </c>
      <c r="C449" s="36">
        <v>4301051903</v>
      </c>
      <c r="D449" s="665">
        <v>4607091383928</v>
      </c>
      <c r="E449" s="66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7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7"/>
      <c r="R449" s="667"/>
      <c r="S449" s="667"/>
      <c r="T449" s="668"/>
      <c r="U449" s="39" t="s">
        <v>46</v>
      </c>
      <c r="V449" s="39" t="s">
        <v>46</v>
      </c>
      <c r="W449" s="40" t="s">
        <v>0</v>
      </c>
      <c r="X449" s="58">
        <v>45</v>
      </c>
      <c r="Y449" s="55">
        <f>IFERROR(IF(X449="",0,CEILING((X449/$H449),1)*$H449),"")</f>
        <v>45</v>
      </c>
      <c r="Z449" s="41">
        <f>IFERROR(IF(Y449=0,"",ROUNDUP(Y449/H449,0)*0.01898),"")</f>
        <v>9.4899999999999998E-2</v>
      </c>
      <c r="AA449" s="68" t="s">
        <v>46</v>
      </c>
      <c r="AB449" s="69" t="s">
        <v>46</v>
      </c>
      <c r="AC449" s="556" t="s">
        <v>743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47.5</v>
      </c>
      <c r="BN449" s="78">
        <f>IFERROR(Y449*I449/H449,"0")</f>
        <v>47.5</v>
      </c>
      <c r="BO449" s="78">
        <f>IFERROR(1/J449*(X449/H449),"0")</f>
        <v>7.8125E-2</v>
      </c>
      <c r="BP449" s="78">
        <f>IFERROR(1/J449*(Y449/H449),"0")</f>
        <v>7.8125E-2</v>
      </c>
    </row>
    <row r="450" spans="1:68" ht="27" customHeight="1" x14ac:dyDescent="0.25">
      <c r="A450" s="63" t="s">
        <v>744</v>
      </c>
      <c r="B450" s="63" t="s">
        <v>745</v>
      </c>
      <c r="C450" s="36">
        <v>4301051897</v>
      </c>
      <c r="D450" s="665">
        <v>4607091384260</v>
      </c>
      <c r="E450" s="66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2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7"/>
      <c r="R450" s="667"/>
      <c r="S450" s="667"/>
      <c r="T450" s="668"/>
      <c r="U450" s="39" t="s">
        <v>46</v>
      </c>
      <c r="V450" s="39" t="s">
        <v>46</v>
      </c>
      <c r="W450" s="40" t="s">
        <v>0</v>
      </c>
      <c r="X450" s="58">
        <v>27</v>
      </c>
      <c r="Y450" s="55">
        <f>IFERROR(IF(X450="",0,CEILING((X450/$H450),1)*$H450),"")</f>
        <v>27</v>
      </c>
      <c r="Z450" s="41">
        <f>IFERROR(IF(Y450=0,"",ROUNDUP(Y450/H450,0)*0.01898),"")</f>
        <v>5.6940000000000004E-2</v>
      </c>
      <c r="AA450" s="68" t="s">
        <v>46</v>
      </c>
      <c r="AB450" s="69" t="s">
        <v>46</v>
      </c>
      <c r="AC450" s="558" t="s">
        <v>746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28.481999999999996</v>
      </c>
      <c r="BN450" s="78">
        <f>IFERROR(Y450*I450/H450,"0")</f>
        <v>28.481999999999996</v>
      </c>
      <c r="BO450" s="78">
        <f>IFERROR(1/J450*(X450/H450),"0")</f>
        <v>4.6875E-2</v>
      </c>
      <c r="BP450" s="78">
        <f>IFERROR(1/J450*(Y450/H450),"0")</f>
        <v>4.6875E-2</v>
      </c>
    </row>
    <row r="451" spans="1:68" ht="27" customHeight="1" x14ac:dyDescent="0.25">
      <c r="A451" s="63" t="s">
        <v>747</v>
      </c>
      <c r="B451" s="63" t="s">
        <v>748</v>
      </c>
      <c r="C451" s="36">
        <v>4301052220</v>
      </c>
      <c r="D451" s="665">
        <v>4680115889538</v>
      </c>
      <c r="E451" s="66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127</v>
      </c>
      <c r="L451" s="37" t="s">
        <v>46</v>
      </c>
      <c r="M451" s="38" t="s">
        <v>90</v>
      </c>
      <c r="N451" s="38"/>
      <c r="O451" s="37">
        <v>45</v>
      </c>
      <c r="P451" s="72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7"/>
      <c r="R451" s="667"/>
      <c r="S451" s="667"/>
      <c r="T451" s="668"/>
      <c r="U451" s="39" t="s">
        <v>46</v>
      </c>
      <c r="V451" s="39" t="s">
        <v>46</v>
      </c>
      <c r="W451" s="40" t="s">
        <v>0</v>
      </c>
      <c r="X451" s="58">
        <v>24</v>
      </c>
      <c r="Y451" s="55">
        <f>IFERROR(IF(X451="",0,CEILING((X451/$H451),1)*$H451),"")</f>
        <v>24</v>
      </c>
      <c r="Z451" s="41">
        <f>IFERROR(IF(Y451=0,"",ROUNDUP(Y451/H451,0)*0.01196),"")</f>
        <v>5.9799999999999999E-2</v>
      </c>
      <c r="AA451" s="68" t="s">
        <v>46</v>
      </c>
      <c r="AB451" s="69" t="s">
        <v>46</v>
      </c>
      <c r="AC451" s="560" t="s">
        <v>749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26.080000000000002</v>
      </c>
      <c r="BN451" s="78">
        <f>IFERROR(Y451*I451/H451,"0")</f>
        <v>26.080000000000002</v>
      </c>
      <c r="BO451" s="78">
        <f>IFERROR(1/J451*(X451/H451),"0")</f>
        <v>4.807692307692308E-2</v>
      </c>
      <c r="BP451" s="78">
        <f>IFERROR(1/J451*(Y451/H451),"0")</f>
        <v>4.807692307692308E-2</v>
      </c>
    </row>
    <row r="452" spans="1:68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39</v>
      </c>
      <c r="X452" s="43">
        <f>IFERROR(X449/H449,"0")+IFERROR(X450/H450,"0")+IFERROR(X451/H451,"0")</f>
        <v>13</v>
      </c>
      <c r="Y452" s="43">
        <f>IFERROR(Y449/H449,"0")+IFERROR(Y450/H450,"0")+IFERROR(Y451/H451,"0")</f>
        <v>13</v>
      </c>
      <c r="Z452" s="43">
        <f>IFERROR(IF(Z449="",0,Z449),"0")+IFERROR(IF(Z450="",0,Z450),"0")+IFERROR(IF(Z451="",0,Z451),"0")</f>
        <v>0.21163999999999999</v>
      </c>
      <c r="AA452" s="67"/>
      <c r="AB452" s="67"/>
      <c r="AC452" s="67"/>
    </row>
    <row r="453" spans="1:68" x14ac:dyDescent="0.2">
      <c r="A453" s="661"/>
      <c r="B453" s="661"/>
      <c r="C453" s="661"/>
      <c r="D453" s="661"/>
      <c r="E453" s="661"/>
      <c r="F453" s="661"/>
      <c r="G453" s="661"/>
      <c r="H453" s="661"/>
      <c r="I453" s="661"/>
      <c r="J453" s="661"/>
      <c r="K453" s="661"/>
      <c r="L453" s="661"/>
      <c r="M453" s="661"/>
      <c r="N453" s="661"/>
      <c r="O453" s="662"/>
      <c r="P453" s="658" t="s">
        <v>40</v>
      </c>
      <c r="Q453" s="659"/>
      <c r="R453" s="659"/>
      <c r="S453" s="659"/>
      <c r="T453" s="659"/>
      <c r="U453" s="659"/>
      <c r="V453" s="660"/>
      <c r="W453" s="42" t="s">
        <v>0</v>
      </c>
      <c r="X453" s="43">
        <f>IFERROR(SUM(X449:X451),"0")</f>
        <v>96</v>
      </c>
      <c r="Y453" s="43">
        <f>IFERROR(SUM(Y449:Y451),"0")</f>
        <v>96</v>
      </c>
      <c r="Z453" s="42"/>
      <c r="AA453" s="67"/>
      <c r="AB453" s="67"/>
      <c r="AC453" s="67"/>
    </row>
    <row r="454" spans="1:68" ht="14.25" hidden="1" customHeight="1" x14ac:dyDescent="0.25">
      <c r="A454" s="664" t="s">
        <v>173</v>
      </c>
      <c r="B454" s="664"/>
      <c r="C454" s="664"/>
      <c r="D454" s="664"/>
      <c r="E454" s="664"/>
      <c r="F454" s="664"/>
      <c r="G454" s="664"/>
      <c r="H454" s="664"/>
      <c r="I454" s="664"/>
      <c r="J454" s="664"/>
      <c r="K454" s="664"/>
      <c r="L454" s="664"/>
      <c r="M454" s="664"/>
      <c r="N454" s="664"/>
      <c r="O454" s="664"/>
      <c r="P454" s="664"/>
      <c r="Q454" s="664"/>
      <c r="R454" s="664"/>
      <c r="S454" s="664"/>
      <c r="T454" s="664"/>
      <c r="U454" s="664"/>
      <c r="V454" s="664"/>
      <c r="W454" s="664"/>
      <c r="X454" s="664"/>
      <c r="Y454" s="664"/>
      <c r="Z454" s="664"/>
      <c r="AA454" s="66"/>
      <c r="AB454" s="66"/>
      <c r="AC454" s="80"/>
    </row>
    <row r="455" spans="1:68" ht="27" hidden="1" customHeight="1" x14ac:dyDescent="0.25">
      <c r="A455" s="63" t="s">
        <v>750</v>
      </c>
      <c r="B455" s="63" t="s">
        <v>751</v>
      </c>
      <c r="C455" s="36">
        <v>4301060537</v>
      </c>
      <c r="D455" s="665">
        <v>4680115889545</v>
      </c>
      <c r="E455" s="66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30</v>
      </c>
      <c r="P455" s="7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7"/>
      <c r="R455" s="667"/>
      <c r="S455" s="667"/>
      <c r="T455" s="66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752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customHeight="1" x14ac:dyDescent="0.25">
      <c r="A456" s="63" t="s">
        <v>753</v>
      </c>
      <c r="B456" s="63" t="s">
        <v>754</v>
      </c>
      <c r="C456" s="36">
        <v>4301060524</v>
      </c>
      <c r="D456" s="665">
        <v>4607091384673</v>
      </c>
      <c r="E456" s="66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127</v>
      </c>
      <c r="L456" s="37" t="s">
        <v>46</v>
      </c>
      <c r="M456" s="38" t="s">
        <v>90</v>
      </c>
      <c r="N456" s="38"/>
      <c r="O456" s="37">
        <v>40</v>
      </c>
      <c r="P456" s="7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7"/>
      <c r="R456" s="667"/>
      <c r="S456" s="667"/>
      <c r="T456" s="668"/>
      <c r="U456" s="39" t="s">
        <v>46</v>
      </c>
      <c r="V456" s="39" t="s">
        <v>46</v>
      </c>
      <c r="W456" s="40" t="s">
        <v>0</v>
      </c>
      <c r="X456" s="58">
        <v>18</v>
      </c>
      <c r="Y456" s="55">
        <f>IFERROR(IF(X456="",0,CEILING((X456/$H456),1)*$H456),"")</f>
        <v>18</v>
      </c>
      <c r="Z456" s="41">
        <f>IFERROR(IF(Y456=0,"",ROUNDUP(Y456/H456,0)*0.01898),"")</f>
        <v>3.7960000000000001E-2</v>
      </c>
      <c r="AA456" s="68" t="s">
        <v>46</v>
      </c>
      <c r="AB456" s="69" t="s">
        <v>46</v>
      </c>
      <c r="AC456" s="564" t="s">
        <v>755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18.988</v>
      </c>
      <c r="BN456" s="78">
        <f>IFERROR(Y456*I456/H456,"0")</f>
        <v>18.988</v>
      </c>
      <c r="BO456" s="78">
        <f>IFERROR(1/J456*(X456/H456),"0")</f>
        <v>3.125E-2</v>
      </c>
      <c r="BP456" s="78">
        <f>IFERROR(1/J456*(Y456/H456),"0")</f>
        <v>3.125E-2</v>
      </c>
    </row>
    <row r="457" spans="1:68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2</v>
      </c>
      <c r="Y457" s="43">
        <f>IFERROR(Y455/H455,"0")+IFERROR(Y456/H456,"0")</f>
        <v>2</v>
      </c>
      <c r="Z457" s="43">
        <f>IFERROR(IF(Z455="",0,Z455),"0")+IFERROR(IF(Z456="",0,Z456),"0")</f>
        <v>3.7960000000000001E-2</v>
      </c>
      <c r="AA457" s="67"/>
      <c r="AB457" s="67"/>
      <c r="AC457" s="67"/>
    </row>
    <row r="458" spans="1:68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18</v>
      </c>
      <c r="Y458" s="43">
        <f>IFERROR(SUM(Y455:Y456),"0")</f>
        <v>18</v>
      </c>
      <c r="Z458" s="42"/>
      <c r="AA458" s="67"/>
      <c r="AB458" s="67"/>
      <c r="AC458" s="67"/>
    </row>
    <row r="459" spans="1:68" ht="16.5" hidden="1" customHeight="1" x14ac:dyDescent="0.25">
      <c r="A459" s="663" t="s">
        <v>756</v>
      </c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3"/>
      <c r="P459" s="663"/>
      <c r="Q459" s="663"/>
      <c r="R459" s="663"/>
      <c r="S459" s="663"/>
      <c r="T459" s="663"/>
      <c r="U459" s="663"/>
      <c r="V459" s="663"/>
      <c r="W459" s="663"/>
      <c r="X459" s="663"/>
      <c r="Y459" s="663"/>
      <c r="Z459" s="663"/>
      <c r="AA459" s="65"/>
      <c r="AB459" s="65"/>
      <c r="AC459" s="79"/>
    </row>
    <row r="460" spans="1:68" ht="14.25" hidden="1" customHeight="1" x14ac:dyDescent="0.25">
      <c r="A460" s="664" t="s">
        <v>122</v>
      </c>
      <c r="B460" s="664"/>
      <c r="C460" s="664"/>
      <c r="D460" s="664"/>
      <c r="E460" s="664"/>
      <c r="F460" s="664"/>
      <c r="G460" s="664"/>
      <c r="H460" s="664"/>
      <c r="I460" s="664"/>
      <c r="J460" s="664"/>
      <c r="K460" s="664"/>
      <c r="L460" s="664"/>
      <c r="M460" s="664"/>
      <c r="N460" s="664"/>
      <c r="O460" s="664"/>
      <c r="P460" s="664"/>
      <c r="Q460" s="664"/>
      <c r="R460" s="664"/>
      <c r="S460" s="664"/>
      <c r="T460" s="664"/>
      <c r="U460" s="664"/>
      <c r="V460" s="664"/>
      <c r="W460" s="664"/>
      <c r="X460" s="664"/>
      <c r="Y460" s="664"/>
      <c r="Z460" s="664"/>
      <c r="AA460" s="66"/>
      <c r="AB460" s="66"/>
      <c r="AC460" s="80"/>
    </row>
    <row r="461" spans="1:68" ht="27" hidden="1" customHeight="1" x14ac:dyDescent="0.25">
      <c r="A461" s="63" t="s">
        <v>757</v>
      </c>
      <c r="B461" s="63" t="s">
        <v>758</v>
      </c>
      <c r="C461" s="36">
        <v>4301011875</v>
      </c>
      <c r="D461" s="665">
        <v>4680115884885</v>
      </c>
      <c r="E461" s="66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127</v>
      </c>
      <c r="L461" s="37" t="s">
        <v>46</v>
      </c>
      <c r="M461" s="38" t="s">
        <v>81</v>
      </c>
      <c r="N461" s="38"/>
      <c r="O461" s="37">
        <v>60</v>
      </c>
      <c r="P461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7"/>
      <c r="R461" s="667"/>
      <c r="S461" s="667"/>
      <c r="T461" s="66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759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760</v>
      </c>
      <c r="B462" s="63" t="s">
        <v>761</v>
      </c>
      <c r="C462" s="36">
        <v>4301011871</v>
      </c>
      <c r="D462" s="665">
        <v>4680115884908</v>
      </c>
      <c r="E462" s="66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134</v>
      </c>
      <c r="L462" s="37" t="s">
        <v>46</v>
      </c>
      <c r="M462" s="38" t="s">
        <v>81</v>
      </c>
      <c r="N462" s="38"/>
      <c r="O462" s="37">
        <v>60</v>
      </c>
      <c r="P462" s="71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7"/>
      <c r="R462" s="667"/>
      <c r="S462" s="667"/>
      <c r="T462" s="66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759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61"/>
      <c r="B463" s="661"/>
      <c r="C463" s="661"/>
      <c r="D463" s="661"/>
      <c r="E463" s="661"/>
      <c r="F463" s="661"/>
      <c r="G463" s="661"/>
      <c r="H463" s="661"/>
      <c r="I463" s="661"/>
      <c r="J463" s="661"/>
      <c r="K463" s="661"/>
      <c r="L463" s="661"/>
      <c r="M463" s="661"/>
      <c r="N463" s="661"/>
      <c r="O463" s="662"/>
      <c r="P463" s="658" t="s">
        <v>40</v>
      </c>
      <c r="Q463" s="659"/>
      <c r="R463" s="659"/>
      <c r="S463" s="659"/>
      <c r="T463" s="659"/>
      <c r="U463" s="659"/>
      <c r="V463" s="66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661"/>
      <c r="B464" s="661"/>
      <c r="C464" s="661"/>
      <c r="D464" s="661"/>
      <c r="E464" s="661"/>
      <c r="F464" s="661"/>
      <c r="G464" s="661"/>
      <c r="H464" s="661"/>
      <c r="I464" s="661"/>
      <c r="J464" s="661"/>
      <c r="K464" s="661"/>
      <c r="L464" s="661"/>
      <c r="M464" s="661"/>
      <c r="N464" s="661"/>
      <c r="O464" s="662"/>
      <c r="P464" s="658" t="s">
        <v>40</v>
      </c>
      <c r="Q464" s="659"/>
      <c r="R464" s="659"/>
      <c r="S464" s="659"/>
      <c r="T464" s="659"/>
      <c r="U464" s="659"/>
      <c r="V464" s="66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664" t="s">
        <v>77</v>
      </c>
      <c r="B465" s="664"/>
      <c r="C465" s="664"/>
      <c r="D465" s="664"/>
      <c r="E465" s="664"/>
      <c r="F465" s="664"/>
      <c r="G465" s="664"/>
      <c r="H465" s="664"/>
      <c r="I465" s="664"/>
      <c r="J465" s="664"/>
      <c r="K465" s="664"/>
      <c r="L465" s="664"/>
      <c r="M465" s="664"/>
      <c r="N465" s="664"/>
      <c r="O465" s="664"/>
      <c r="P465" s="664"/>
      <c r="Q465" s="664"/>
      <c r="R465" s="664"/>
      <c r="S465" s="664"/>
      <c r="T465" s="664"/>
      <c r="U465" s="664"/>
      <c r="V465" s="664"/>
      <c r="W465" s="664"/>
      <c r="X465" s="664"/>
      <c r="Y465" s="664"/>
      <c r="Z465" s="664"/>
      <c r="AA465" s="66"/>
      <c r="AB465" s="66"/>
      <c r="AC465" s="80"/>
    </row>
    <row r="466" spans="1:68" ht="27" hidden="1" customHeight="1" x14ac:dyDescent="0.25">
      <c r="A466" s="63" t="s">
        <v>762</v>
      </c>
      <c r="B466" s="63" t="s">
        <v>763</v>
      </c>
      <c r="C466" s="36">
        <v>4301031457</v>
      </c>
      <c r="D466" s="665">
        <v>4607091384802</v>
      </c>
      <c r="E466" s="66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50</v>
      </c>
      <c r="P466" s="71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7"/>
      <c r="R466" s="667"/>
      <c r="S466" s="667"/>
      <c r="T466" s="66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764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64" t="s">
        <v>86</v>
      </c>
      <c r="B469" s="664"/>
      <c r="C469" s="664"/>
      <c r="D469" s="664"/>
      <c r="E469" s="664"/>
      <c r="F469" s="664"/>
      <c r="G469" s="664"/>
      <c r="H469" s="664"/>
      <c r="I469" s="664"/>
      <c r="J469" s="664"/>
      <c r="K469" s="664"/>
      <c r="L469" s="664"/>
      <c r="M469" s="664"/>
      <c r="N469" s="664"/>
      <c r="O469" s="664"/>
      <c r="P469" s="664"/>
      <c r="Q469" s="664"/>
      <c r="R469" s="664"/>
      <c r="S469" s="664"/>
      <c r="T469" s="664"/>
      <c r="U469" s="664"/>
      <c r="V469" s="664"/>
      <c r="W469" s="664"/>
      <c r="X469" s="664"/>
      <c r="Y469" s="664"/>
      <c r="Z469" s="664"/>
      <c r="AA469" s="66"/>
      <c r="AB469" s="66"/>
      <c r="AC469" s="80"/>
    </row>
    <row r="470" spans="1:68" ht="27" customHeight="1" x14ac:dyDescent="0.25">
      <c r="A470" s="63" t="s">
        <v>765</v>
      </c>
      <c r="B470" s="63" t="s">
        <v>766</v>
      </c>
      <c r="C470" s="36">
        <v>4301051899</v>
      </c>
      <c r="D470" s="665">
        <v>4607091384246</v>
      </c>
      <c r="E470" s="66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127</v>
      </c>
      <c r="L470" s="37" t="s">
        <v>46</v>
      </c>
      <c r="M470" s="38" t="s">
        <v>90</v>
      </c>
      <c r="N470" s="38"/>
      <c r="O470" s="37">
        <v>40</v>
      </c>
      <c r="P470" s="71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7"/>
      <c r="R470" s="667"/>
      <c r="S470" s="667"/>
      <c r="T470" s="668"/>
      <c r="U470" s="39" t="s">
        <v>46</v>
      </c>
      <c r="V470" s="39" t="s">
        <v>46</v>
      </c>
      <c r="W470" s="40" t="s">
        <v>0</v>
      </c>
      <c r="X470" s="58">
        <v>27</v>
      </c>
      <c r="Y470" s="55">
        <f>IFERROR(IF(X470="",0,CEILING((X470/$H470),1)*$H470),"")</f>
        <v>27</v>
      </c>
      <c r="Z470" s="41">
        <f>IFERROR(IF(Y470=0,"",ROUNDUP(Y470/H470,0)*0.01898),"")</f>
        <v>5.6940000000000004E-2</v>
      </c>
      <c r="AA470" s="68" t="s">
        <v>46</v>
      </c>
      <c r="AB470" s="69" t="s">
        <v>46</v>
      </c>
      <c r="AC470" s="572" t="s">
        <v>767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28.481999999999996</v>
      </c>
      <c r="BN470" s="78">
        <f>IFERROR(Y470*I470/H470,"0")</f>
        <v>28.481999999999996</v>
      </c>
      <c r="BO470" s="78">
        <f>IFERROR(1/J470*(X470/H470),"0")</f>
        <v>4.6875E-2</v>
      </c>
      <c r="BP470" s="78">
        <f>IFERROR(1/J470*(Y470/H470),"0")</f>
        <v>4.6875E-2</v>
      </c>
    </row>
    <row r="471" spans="1:68" ht="27" hidden="1" customHeight="1" x14ac:dyDescent="0.25">
      <c r="A471" s="63" t="s">
        <v>768</v>
      </c>
      <c r="B471" s="63" t="s">
        <v>769</v>
      </c>
      <c r="C471" s="36">
        <v>4301051660</v>
      </c>
      <c r="D471" s="665">
        <v>4607091384253</v>
      </c>
      <c r="E471" s="66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71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7"/>
      <c r="R471" s="667"/>
      <c r="S471" s="667"/>
      <c r="T471" s="66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767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768</v>
      </c>
      <c r="B472" s="63" t="s">
        <v>770</v>
      </c>
      <c r="C472" s="36">
        <v>4301052069</v>
      </c>
      <c r="D472" s="665">
        <v>4607091384253</v>
      </c>
      <c r="E472" s="66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71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7"/>
      <c r="R472" s="667"/>
      <c r="S472" s="667"/>
      <c r="T472" s="66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771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61"/>
      <c r="B473" s="661"/>
      <c r="C473" s="661"/>
      <c r="D473" s="661"/>
      <c r="E473" s="661"/>
      <c r="F473" s="661"/>
      <c r="G473" s="661"/>
      <c r="H473" s="661"/>
      <c r="I473" s="661"/>
      <c r="J473" s="661"/>
      <c r="K473" s="661"/>
      <c r="L473" s="661"/>
      <c r="M473" s="661"/>
      <c r="N473" s="661"/>
      <c r="O473" s="662"/>
      <c r="P473" s="658" t="s">
        <v>40</v>
      </c>
      <c r="Q473" s="659"/>
      <c r="R473" s="659"/>
      <c r="S473" s="659"/>
      <c r="T473" s="659"/>
      <c r="U473" s="659"/>
      <c r="V473" s="660"/>
      <c r="W473" s="42" t="s">
        <v>39</v>
      </c>
      <c r="X473" s="43">
        <f>IFERROR(X470/H470,"0")+IFERROR(X471/H471,"0")+IFERROR(X472/H472,"0")</f>
        <v>3</v>
      </c>
      <c r="Y473" s="43">
        <f>IFERROR(Y470/H470,"0")+IFERROR(Y471/H471,"0")+IFERROR(Y472/H472,"0")</f>
        <v>3</v>
      </c>
      <c r="Z473" s="43">
        <f>IFERROR(IF(Z470="",0,Z470),"0")+IFERROR(IF(Z471="",0,Z471),"0")+IFERROR(IF(Z472="",0,Z472),"0")</f>
        <v>5.6940000000000004E-2</v>
      </c>
      <c r="AA473" s="67"/>
      <c r="AB473" s="67"/>
      <c r="AC473" s="67"/>
    </row>
    <row r="474" spans="1:68" x14ac:dyDescent="0.2">
      <c r="A474" s="661"/>
      <c r="B474" s="661"/>
      <c r="C474" s="661"/>
      <c r="D474" s="661"/>
      <c r="E474" s="661"/>
      <c r="F474" s="661"/>
      <c r="G474" s="661"/>
      <c r="H474" s="661"/>
      <c r="I474" s="661"/>
      <c r="J474" s="661"/>
      <c r="K474" s="661"/>
      <c r="L474" s="661"/>
      <c r="M474" s="661"/>
      <c r="N474" s="661"/>
      <c r="O474" s="662"/>
      <c r="P474" s="658" t="s">
        <v>40</v>
      </c>
      <c r="Q474" s="659"/>
      <c r="R474" s="659"/>
      <c r="S474" s="659"/>
      <c r="T474" s="659"/>
      <c r="U474" s="659"/>
      <c r="V474" s="660"/>
      <c r="W474" s="42" t="s">
        <v>0</v>
      </c>
      <c r="X474" s="43">
        <f>IFERROR(SUM(X470:X472),"0")</f>
        <v>27</v>
      </c>
      <c r="Y474" s="43">
        <f>IFERROR(SUM(Y470:Y472),"0")</f>
        <v>27</v>
      </c>
      <c r="Z474" s="42"/>
      <c r="AA474" s="67"/>
      <c r="AB474" s="67"/>
      <c r="AC474" s="67"/>
    </row>
    <row r="475" spans="1:68" ht="27.75" hidden="1" customHeight="1" x14ac:dyDescent="0.2">
      <c r="A475" s="678" t="s">
        <v>772</v>
      </c>
      <c r="B475" s="678"/>
      <c r="C475" s="678"/>
      <c r="D475" s="678"/>
      <c r="E475" s="678"/>
      <c r="F475" s="678"/>
      <c r="G475" s="678"/>
      <c r="H475" s="678"/>
      <c r="I475" s="678"/>
      <c r="J475" s="678"/>
      <c r="K475" s="678"/>
      <c r="L475" s="678"/>
      <c r="M475" s="678"/>
      <c r="N475" s="678"/>
      <c r="O475" s="678"/>
      <c r="P475" s="678"/>
      <c r="Q475" s="678"/>
      <c r="R475" s="678"/>
      <c r="S475" s="678"/>
      <c r="T475" s="678"/>
      <c r="U475" s="678"/>
      <c r="V475" s="678"/>
      <c r="W475" s="678"/>
      <c r="X475" s="678"/>
      <c r="Y475" s="678"/>
      <c r="Z475" s="678"/>
      <c r="AA475" s="54"/>
      <c r="AB475" s="54"/>
      <c r="AC475" s="54"/>
    </row>
    <row r="476" spans="1:68" ht="16.5" hidden="1" customHeight="1" x14ac:dyDescent="0.25">
      <c r="A476" s="663" t="s">
        <v>773</v>
      </c>
      <c r="B476" s="663"/>
      <c r="C476" s="663"/>
      <c r="D476" s="663"/>
      <c r="E476" s="663"/>
      <c r="F476" s="663"/>
      <c r="G476" s="663"/>
      <c r="H476" s="663"/>
      <c r="I476" s="663"/>
      <c r="J476" s="663"/>
      <c r="K476" s="663"/>
      <c r="L476" s="663"/>
      <c r="M476" s="663"/>
      <c r="N476" s="663"/>
      <c r="O476" s="663"/>
      <c r="P476" s="663"/>
      <c r="Q476" s="663"/>
      <c r="R476" s="663"/>
      <c r="S476" s="663"/>
      <c r="T476" s="663"/>
      <c r="U476" s="663"/>
      <c r="V476" s="663"/>
      <c r="W476" s="663"/>
      <c r="X476" s="663"/>
      <c r="Y476" s="663"/>
      <c r="Z476" s="663"/>
      <c r="AA476" s="65"/>
      <c r="AB476" s="65"/>
      <c r="AC476" s="79"/>
    </row>
    <row r="477" spans="1:68" ht="14.25" hidden="1" customHeight="1" x14ac:dyDescent="0.25">
      <c r="A477" s="664" t="s">
        <v>77</v>
      </c>
      <c r="B477" s="664"/>
      <c r="C477" s="664"/>
      <c r="D477" s="664"/>
      <c r="E477" s="664"/>
      <c r="F477" s="664"/>
      <c r="G477" s="664"/>
      <c r="H477" s="664"/>
      <c r="I477" s="664"/>
      <c r="J477" s="664"/>
      <c r="K477" s="664"/>
      <c r="L477" s="664"/>
      <c r="M477" s="664"/>
      <c r="N477" s="664"/>
      <c r="O477" s="664"/>
      <c r="P477" s="664"/>
      <c r="Q477" s="664"/>
      <c r="R477" s="664"/>
      <c r="S477" s="664"/>
      <c r="T477" s="664"/>
      <c r="U477" s="664"/>
      <c r="V477" s="664"/>
      <c r="W477" s="664"/>
      <c r="X477" s="664"/>
      <c r="Y477" s="664"/>
      <c r="Z477" s="664"/>
      <c r="AA477" s="66"/>
      <c r="AB477" s="66"/>
      <c r="AC477" s="80"/>
    </row>
    <row r="478" spans="1:68" ht="27" customHeight="1" x14ac:dyDescent="0.25">
      <c r="A478" s="63" t="s">
        <v>774</v>
      </c>
      <c r="B478" s="63" t="s">
        <v>775</v>
      </c>
      <c r="C478" s="36">
        <v>4301031405</v>
      </c>
      <c r="D478" s="665">
        <v>4680115886100</v>
      </c>
      <c r="E478" s="66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70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7"/>
      <c r="R478" s="667"/>
      <c r="S478" s="667"/>
      <c r="T478" s="668"/>
      <c r="U478" s="39" t="s">
        <v>46</v>
      </c>
      <c r="V478" s="39" t="s">
        <v>46</v>
      </c>
      <c r="W478" s="40" t="s">
        <v>0</v>
      </c>
      <c r="X478" s="58">
        <v>27</v>
      </c>
      <c r="Y478" s="55">
        <f t="shared" ref="Y478:Y483" si="73">IFERROR(IF(X478="",0,CEILING((X478/$H478),1)*$H478),"")</f>
        <v>27</v>
      </c>
      <c r="Z478" s="41">
        <f>IFERROR(IF(Y478=0,"",ROUNDUP(Y478/H478,0)*0.00902),"")</f>
        <v>4.5100000000000001E-2</v>
      </c>
      <c r="AA478" s="68" t="s">
        <v>46</v>
      </c>
      <c r="AB478" s="69" t="s">
        <v>46</v>
      </c>
      <c r="AC478" s="578" t="s">
        <v>776</v>
      </c>
      <c r="AG478" s="78"/>
      <c r="AJ478" s="84" t="s">
        <v>46</v>
      </c>
      <c r="AK478" s="84">
        <v>0</v>
      </c>
      <c r="BB478" s="579" t="s">
        <v>67</v>
      </c>
      <c r="BM478" s="78">
        <f t="shared" ref="BM478:BM483" si="74">IFERROR(X478*I478/H478,"0")</f>
        <v>27.95</v>
      </c>
      <c r="BN478" s="78">
        <f t="shared" ref="BN478:BN483" si="75">IFERROR(Y478*I478/H478,"0")</f>
        <v>27.95</v>
      </c>
      <c r="BO478" s="78">
        <f t="shared" ref="BO478:BO483" si="76">IFERROR(1/J478*(X478/H478),"0")</f>
        <v>3.787878787878788E-2</v>
      </c>
      <c r="BP478" s="78">
        <f t="shared" ref="BP478:BP483" si="77">IFERROR(1/J478*(Y478/H478),"0")</f>
        <v>3.787878787878788E-2</v>
      </c>
    </row>
    <row r="479" spans="1:68" ht="27" customHeight="1" x14ac:dyDescent="0.25">
      <c r="A479" s="63" t="s">
        <v>777</v>
      </c>
      <c r="B479" s="63" t="s">
        <v>778</v>
      </c>
      <c r="C479" s="36">
        <v>4301031402</v>
      </c>
      <c r="D479" s="665">
        <v>4680115886124</v>
      </c>
      <c r="E479" s="66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7"/>
      <c r="R479" s="667"/>
      <c r="S479" s="667"/>
      <c r="T479" s="668"/>
      <c r="U479" s="39" t="s">
        <v>46</v>
      </c>
      <c r="V479" s="39" t="s">
        <v>46</v>
      </c>
      <c r="W479" s="40" t="s">
        <v>0</v>
      </c>
      <c r="X479" s="58">
        <v>27</v>
      </c>
      <c r="Y479" s="55">
        <f t="shared" si="73"/>
        <v>27</v>
      </c>
      <c r="Z479" s="41">
        <f>IFERROR(IF(Y479=0,"",ROUNDUP(Y479/H479,0)*0.00902),"")</f>
        <v>4.5100000000000001E-2</v>
      </c>
      <c r="AA479" s="68" t="s">
        <v>46</v>
      </c>
      <c r="AB479" s="69" t="s">
        <v>46</v>
      </c>
      <c r="AC479" s="580" t="s">
        <v>779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27.95</v>
      </c>
      <c r="BN479" s="78">
        <f t="shared" si="75"/>
        <v>27.95</v>
      </c>
      <c r="BO479" s="78">
        <f t="shared" si="76"/>
        <v>3.787878787878788E-2</v>
      </c>
      <c r="BP479" s="78">
        <f t="shared" si="77"/>
        <v>3.787878787878788E-2</v>
      </c>
    </row>
    <row r="480" spans="1:68" ht="27" customHeight="1" x14ac:dyDescent="0.25">
      <c r="A480" s="63" t="s">
        <v>780</v>
      </c>
      <c r="B480" s="63" t="s">
        <v>781</v>
      </c>
      <c r="C480" s="36">
        <v>4301031362</v>
      </c>
      <c r="D480" s="665">
        <v>4607091384338</v>
      </c>
      <c r="E480" s="66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7"/>
      <c r="R480" s="667"/>
      <c r="S480" s="667"/>
      <c r="T480" s="668"/>
      <c r="U480" s="39" t="s">
        <v>46</v>
      </c>
      <c r="V480" s="39" t="s">
        <v>46</v>
      </c>
      <c r="W480" s="40" t="s">
        <v>0</v>
      </c>
      <c r="X480" s="58">
        <v>14.7</v>
      </c>
      <c r="Y480" s="55">
        <f t="shared" si="73"/>
        <v>14.700000000000001</v>
      </c>
      <c r="Z480" s="41">
        <f>IFERROR(IF(Y480=0,"",ROUNDUP(Y480/H480,0)*0.00502),"")</f>
        <v>3.5140000000000005E-2</v>
      </c>
      <c r="AA480" s="68" t="s">
        <v>46</v>
      </c>
      <c r="AB480" s="69" t="s">
        <v>46</v>
      </c>
      <c r="AC480" s="582" t="s">
        <v>776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15.61</v>
      </c>
      <c r="BN480" s="78">
        <f t="shared" si="75"/>
        <v>15.61</v>
      </c>
      <c r="BO480" s="78">
        <f t="shared" si="76"/>
        <v>2.9914529914529912E-2</v>
      </c>
      <c r="BP480" s="78">
        <f t="shared" si="77"/>
        <v>2.9914529914529919E-2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4301031364</v>
      </c>
      <c r="D481" s="665">
        <v>4680115883161</v>
      </c>
      <c r="E481" s="66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7"/>
      <c r="R481" s="667"/>
      <c r="S481" s="667"/>
      <c r="T481" s="668"/>
      <c r="U481" s="39" t="s">
        <v>46</v>
      </c>
      <c r="V481" s="39" t="s">
        <v>46</v>
      </c>
      <c r="W481" s="40" t="s">
        <v>0</v>
      </c>
      <c r="X481" s="58"/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784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customHeight="1" x14ac:dyDescent="0.25">
      <c r="A482" s="63" t="s">
        <v>785</v>
      </c>
      <c r="B482" s="63" t="s">
        <v>786</v>
      </c>
      <c r="C482" s="36">
        <v>4301031358</v>
      </c>
      <c r="D482" s="665">
        <v>4607091389531</v>
      </c>
      <c r="E482" s="66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0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7"/>
      <c r="R482" s="667"/>
      <c r="S482" s="667"/>
      <c r="T482" s="668"/>
      <c r="U482" s="39" t="s">
        <v>46</v>
      </c>
      <c r="V482" s="39" t="s">
        <v>46</v>
      </c>
      <c r="W482" s="40" t="s">
        <v>0</v>
      </c>
      <c r="X482" s="58">
        <v>14.7</v>
      </c>
      <c r="Y482" s="55">
        <f t="shared" si="73"/>
        <v>14.700000000000001</v>
      </c>
      <c r="Z482" s="41">
        <f>IFERROR(IF(Y482=0,"",ROUNDUP(Y482/H482,0)*0.00502),"")</f>
        <v>3.5140000000000005E-2</v>
      </c>
      <c r="AA482" s="68" t="s">
        <v>46</v>
      </c>
      <c r="AB482" s="69" t="s">
        <v>46</v>
      </c>
      <c r="AC482" s="586" t="s">
        <v>787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15.61</v>
      </c>
      <c r="BN482" s="78">
        <f t="shared" si="75"/>
        <v>15.61</v>
      </c>
      <c r="BO482" s="78">
        <f t="shared" si="76"/>
        <v>2.9914529914529912E-2</v>
      </c>
      <c r="BP482" s="78">
        <f t="shared" si="77"/>
        <v>2.9914529914529919E-2</v>
      </c>
    </row>
    <row r="483" spans="1:68" ht="37.5" customHeight="1" x14ac:dyDescent="0.25">
      <c r="A483" s="63" t="s">
        <v>788</v>
      </c>
      <c r="B483" s="63" t="s">
        <v>789</v>
      </c>
      <c r="C483" s="36">
        <v>4301031360</v>
      </c>
      <c r="D483" s="665">
        <v>4607091384345</v>
      </c>
      <c r="E483" s="66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7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7"/>
      <c r="R483" s="667"/>
      <c r="S483" s="667"/>
      <c r="T483" s="668"/>
      <c r="U483" s="39" t="s">
        <v>46</v>
      </c>
      <c r="V483" s="39" t="s">
        <v>46</v>
      </c>
      <c r="W483" s="40" t="s">
        <v>0</v>
      </c>
      <c r="X483" s="58">
        <v>14.7</v>
      </c>
      <c r="Y483" s="55">
        <f t="shared" si="73"/>
        <v>14.700000000000001</v>
      </c>
      <c r="Z483" s="41">
        <f>IFERROR(IF(Y483=0,"",ROUNDUP(Y483/H483,0)*0.00502),"")</f>
        <v>3.5140000000000005E-2</v>
      </c>
      <c r="AA483" s="68" t="s">
        <v>46</v>
      </c>
      <c r="AB483" s="69" t="s">
        <v>46</v>
      </c>
      <c r="AC483" s="588" t="s">
        <v>784</v>
      </c>
      <c r="AG483" s="78"/>
      <c r="AJ483" s="84" t="s">
        <v>46</v>
      </c>
      <c r="AK483" s="84">
        <v>0</v>
      </c>
      <c r="BB483" s="589" t="s">
        <v>67</v>
      </c>
      <c r="BM483" s="78">
        <f t="shared" si="74"/>
        <v>15.61</v>
      </c>
      <c r="BN483" s="78">
        <f t="shared" si="75"/>
        <v>15.61</v>
      </c>
      <c r="BO483" s="78">
        <f t="shared" si="76"/>
        <v>2.9914529914529912E-2</v>
      </c>
      <c r="BP483" s="78">
        <f t="shared" si="77"/>
        <v>2.9914529914529919E-2</v>
      </c>
    </row>
    <row r="484" spans="1:68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39</v>
      </c>
      <c r="X484" s="43">
        <f>IFERROR(X478/H478,"0")+IFERROR(X479/H479,"0")+IFERROR(X480/H480,"0")+IFERROR(X481/H481,"0")+IFERROR(X482/H482,"0")+IFERROR(X483/H483,"0")</f>
        <v>31</v>
      </c>
      <c r="Y484" s="43">
        <f>IFERROR(Y478/H478,"0")+IFERROR(Y479/H479,"0")+IFERROR(Y480/H480,"0")+IFERROR(Y481/H481,"0")+IFERROR(Y482/H482,"0")+IFERROR(Y483/H483,"0")</f>
        <v>31</v>
      </c>
      <c r="Z484" s="43">
        <f>IFERROR(IF(Z478="",0,Z478),"0")+IFERROR(IF(Z479="",0,Z479),"0")+IFERROR(IF(Z480="",0,Z480),"0")+IFERROR(IF(Z481="",0,Z481),"0")+IFERROR(IF(Z482="",0,Z482),"0")+IFERROR(IF(Z483="",0,Z483),"0")</f>
        <v>0.19562000000000002</v>
      </c>
      <c r="AA484" s="67"/>
      <c r="AB484" s="67"/>
      <c r="AC484" s="67"/>
    </row>
    <row r="485" spans="1:68" x14ac:dyDescent="0.2">
      <c r="A485" s="661"/>
      <c r="B485" s="661"/>
      <c r="C485" s="661"/>
      <c r="D485" s="661"/>
      <c r="E485" s="661"/>
      <c r="F485" s="661"/>
      <c r="G485" s="661"/>
      <c r="H485" s="661"/>
      <c r="I485" s="661"/>
      <c r="J485" s="661"/>
      <c r="K485" s="661"/>
      <c r="L485" s="661"/>
      <c r="M485" s="661"/>
      <c r="N485" s="661"/>
      <c r="O485" s="662"/>
      <c r="P485" s="658" t="s">
        <v>40</v>
      </c>
      <c r="Q485" s="659"/>
      <c r="R485" s="659"/>
      <c r="S485" s="659"/>
      <c r="T485" s="659"/>
      <c r="U485" s="659"/>
      <c r="V485" s="660"/>
      <c r="W485" s="42" t="s">
        <v>0</v>
      </c>
      <c r="X485" s="43">
        <f>IFERROR(SUM(X478:X483),"0")</f>
        <v>98.100000000000009</v>
      </c>
      <c r="Y485" s="43">
        <f>IFERROR(SUM(Y478:Y483),"0")</f>
        <v>98.100000000000009</v>
      </c>
      <c r="Z485" s="42"/>
      <c r="AA485" s="67"/>
      <c r="AB485" s="67"/>
      <c r="AC485" s="67"/>
    </row>
    <row r="486" spans="1:68" ht="14.25" hidden="1" customHeight="1" x14ac:dyDescent="0.25">
      <c r="A486" s="664" t="s">
        <v>86</v>
      </c>
      <c r="B486" s="664"/>
      <c r="C486" s="664"/>
      <c r="D486" s="664"/>
      <c r="E486" s="664"/>
      <c r="F486" s="664"/>
      <c r="G486" s="664"/>
      <c r="H486" s="664"/>
      <c r="I486" s="664"/>
      <c r="J486" s="664"/>
      <c r="K486" s="664"/>
      <c r="L486" s="664"/>
      <c r="M486" s="664"/>
      <c r="N486" s="664"/>
      <c r="O486" s="664"/>
      <c r="P486" s="664"/>
      <c r="Q486" s="664"/>
      <c r="R486" s="664"/>
      <c r="S486" s="664"/>
      <c r="T486" s="664"/>
      <c r="U486" s="664"/>
      <c r="V486" s="664"/>
      <c r="W486" s="664"/>
      <c r="X486" s="664"/>
      <c r="Y486" s="664"/>
      <c r="Z486" s="664"/>
      <c r="AA486" s="66"/>
      <c r="AB486" s="66"/>
      <c r="AC486" s="80"/>
    </row>
    <row r="487" spans="1:68" ht="27" hidden="1" customHeight="1" x14ac:dyDescent="0.25">
      <c r="A487" s="63" t="s">
        <v>790</v>
      </c>
      <c r="B487" s="63" t="s">
        <v>791</v>
      </c>
      <c r="C487" s="36">
        <v>4301051284</v>
      </c>
      <c r="D487" s="665">
        <v>4607091384352</v>
      </c>
      <c r="E487" s="66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134</v>
      </c>
      <c r="L487" s="37" t="s">
        <v>46</v>
      </c>
      <c r="M487" s="38" t="s">
        <v>90</v>
      </c>
      <c r="N487" s="38"/>
      <c r="O487" s="37">
        <v>45</v>
      </c>
      <c r="P487" s="70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7"/>
      <c r="R487" s="667"/>
      <c r="S487" s="667"/>
      <c r="T487" s="66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792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793</v>
      </c>
      <c r="B488" s="63" t="s">
        <v>794</v>
      </c>
      <c r="C488" s="36">
        <v>4301051431</v>
      </c>
      <c r="D488" s="665">
        <v>4607091389654</v>
      </c>
      <c r="E488" s="66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91</v>
      </c>
      <c r="L488" s="37" t="s">
        <v>46</v>
      </c>
      <c r="M488" s="38" t="s">
        <v>90</v>
      </c>
      <c r="N488" s="38"/>
      <c r="O488" s="37">
        <v>45</v>
      </c>
      <c r="P488" s="70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7"/>
      <c r="R488" s="667"/>
      <c r="S488" s="667"/>
      <c r="T488" s="66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795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661"/>
      <c r="B490" s="661"/>
      <c r="C490" s="661"/>
      <c r="D490" s="661"/>
      <c r="E490" s="661"/>
      <c r="F490" s="661"/>
      <c r="G490" s="661"/>
      <c r="H490" s="661"/>
      <c r="I490" s="661"/>
      <c r="J490" s="661"/>
      <c r="K490" s="661"/>
      <c r="L490" s="661"/>
      <c r="M490" s="661"/>
      <c r="N490" s="661"/>
      <c r="O490" s="662"/>
      <c r="P490" s="658" t="s">
        <v>40</v>
      </c>
      <c r="Q490" s="659"/>
      <c r="R490" s="659"/>
      <c r="S490" s="659"/>
      <c r="T490" s="659"/>
      <c r="U490" s="659"/>
      <c r="V490" s="660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663" t="s">
        <v>796</v>
      </c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3"/>
      <c r="P491" s="663"/>
      <c r="Q491" s="663"/>
      <c r="R491" s="663"/>
      <c r="S491" s="663"/>
      <c r="T491" s="663"/>
      <c r="U491" s="663"/>
      <c r="V491" s="663"/>
      <c r="W491" s="663"/>
      <c r="X491" s="663"/>
      <c r="Y491" s="663"/>
      <c r="Z491" s="663"/>
      <c r="AA491" s="65"/>
      <c r="AB491" s="65"/>
      <c r="AC491" s="79"/>
    </row>
    <row r="492" spans="1:68" ht="14.25" hidden="1" customHeight="1" x14ac:dyDescent="0.25">
      <c r="A492" s="664" t="s">
        <v>155</v>
      </c>
      <c r="B492" s="664"/>
      <c r="C492" s="664"/>
      <c r="D492" s="664"/>
      <c r="E492" s="664"/>
      <c r="F492" s="664"/>
      <c r="G492" s="664"/>
      <c r="H492" s="664"/>
      <c r="I492" s="664"/>
      <c r="J492" s="664"/>
      <c r="K492" s="664"/>
      <c r="L492" s="664"/>
      <c r="M492" s="664"/>
      <c r="N492" s="664"/>
      <c r="O492" s="664"/>
      <c r="P492" s="664"/>
      <c r="Q492" s="664"/>
      <c r="R492" s="664"/>
      <c r="S492" s="664"/>
      <c r="T492" s="664"/>
      <c r="U492" s="664"/>
      <c r="V492" s="664"/>
      <c r="W492" s="664"/>
      <c r="X492" s="664"/>
      <c r="Y492" s="664"/>
      <c r="Z492" s="664"/>
      <c r="AA492" s="66"/>
      <c r="AB492" s="66"/>
      <c r="AC492" s="80"/>
    </row>
    <row r="493" spans="1:68" ht="27" hidden="1" customHeight="1" x14ac:dyDescent="0.25">
      <c r="A493" s="63" t="s">
        <v>797</v>
      </c>
      <c r="B493" s="63" t="s">
        <v>798</v>
      </c>
      <c r="C493" s="36">
        <v>4301020416</v>
      </c>
      <c r="D493" s="665">
        <v>4680115885240</v>
      </c>
      <c r="E493" s="66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91</v>
      </c>
      <c r="L493" s="37" t="s">
        <v>46</v>
      </c>
      <c r="M493" s="38" t="s">
        <v>81</v>
      </c>
      <c r="N493" s="38"/>
      <c r="O493" s="37">
        <v>40</v>
      </c>
      <c r="P493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7"/>
      <c r="R493" s="667"/>
      <c r="S493" s="667"/>
      <c r="T493" s="66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799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664" t="s">
        <v>77</v>
      </c>
      <c r="B496" s="664"/>
      <c r="C496" s="664"/>
      <c r="D496" s="664"/>
      <c r="E496" s="664"/>
      <c r="F496" s="664"/>
      <c r="G496" s="664"/>
      <c r="H496" s="664"/>
      <c r="I496" s="664"/>
      <c r="J496" s="664"/>
      <c r="K496" s="664"/>
      <c r="L496" s="664"/>
      <c r="M496" s="664"/>
      <c r="N496" s="664"/>
      <c r="O496" s="664"/>
      <c r="P496" s="664"/>
      <c r="Q496" s="664"/>
      <c r="R496" s="664"/>
      <c r="S496" s="664"/>
      <c r="T496" s="664"/>
      <c r="U496" s="664"/>
      <c r="V496" s="664"/>
      <c r="W496" s="664"/>
      <c r="X496" s="664"/>
      <c r="Y496" s="664"/>
      <c r="Z496" s="664"/>
      <c r="AA496" s="66"/>
      <c r="AB496" s="66"/>
      <c r="AC496" s="80"/>
    </row>
    <row r="497" spans="1:68" ht="27" customHeight="1" x14ac:dyDescent="0.25">
      <c r="A497" s="63" t="s">
        <v>800</v>
      </c>
      <c r="B497" s="63" t="s">
        <v>801</v>
      </c>
      <c r="C497" s="36">
        <v>4301031407</v>
      </c>
      <c r="D497" s="665">
        <v>4680115886094</v>
      </c>
      <c r="E497" s="66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134</v>
      </c>
      <c r="L497" s="37" t="s">
        <v>46</v>
      </c>
      <c r="M497" s="38" t="s">
        <v>81</v>
      </c>
      <c r="N497" s="38"/>
      <c r="O497" s="37">
        <v>50</v>
      </c>
      <c r="P497" s="7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7"/>
      <c r="R497" s="667"/>
      <c r="S497" s="667"/>
      <c r="T497" s="668"/>
      <c r="U497" s="39" t="s">
        <v>46</v>
      </c>
      <c r="V497" s="39" t="s">
        <v>46</v>
      </c>
      <c r="W497" s="40" t="s">
        <v>0</v>
      </c>
      <c r="X497" s="58">
        <v>27</v>
      </c>
      <c r="Y497" s="55">
        <f>IFERROR(IF(X497="",0,CEILING((X497/$H497),1)*$H497),"")</f>
        <v>27</v>
      </c>
      <c r="Z497" s="41">
        <f>IFERROR(IF(Y497=0,"",ROUNDUP(Y497/H497,0)*0.00902),"")</f>
        <v>4.5100000000000001E-2</v>
      </c>
      <c r="AA497" s="68" t="s">
        <v>46</v>
      </c>
      <c r="AB497" s="69" t="s">
        <v>46</v>
      </c>
      <c r="AC497" s="596" t="s">
        <v>802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27.95</v>
      </c>
      <c r="BN497" s="78">
        <f>IFERROR(Y497*I497/H497,"0")</f>
        <v>27.95</v>
      </c>
      <c r="BO497" s="78">
        <f>IFERROR(1/J497*(X497/H497),"0")</f>
        <v>3.787878787878788E-2</v>
      </c>
      <c r="BP497" s="78">
        <f>IFERROR(1/J497*(Y497/H497),"0")</f>
        <v>3.787878787878788E-2</v>
      </c>
    </row>
    <row r="498" spans="1:68" ht="27" hidden="1" customHeight="1" x14ac:dyDescent="0.25">
      <c r="A498" s="63" t="s">
        <v>803</v>
      </c>
      <c r="B498" s="63" t="s">
        <v>804</v>
      </c>
      <c r="C498" s="36">
        <v>4301031373</v>
      </c>
      <c r="D498" s="665">
        <v>4680115880771</v>
      </c>
      <c r="E498" s="66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69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7"/>
      <c r="R498" s="667"/>
      <c r="S498" s="667"/>
      <c r="T498" s="66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805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customHeight="1" x14ac:dyDescent="0.25">
      <c r="A499" s="63" t="s">
        <v>806</v>
      </c>
      <c r="B499" s="63" t="s">
        <v>807</v>
      </c>
      <c r="C499" s="36">
        <v>4301031359</v>
      </c>
      <c r="D499" s="665">
        <v>4607091389500</v>
      </c>
      <c r="E499" s="66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69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7"/>
      <c r="R499" s="667"/>
      <c r="S499" s="667"/>
      <c r="T499" s="668"/>
      <c r="U499" s="39" t="s">
        <v>46</v>
      </c>
      <c r="V499" s="39" t="s">
        <v>46</v>
      </c>
      <c r="W499" s="40" t="s">
        <v>0</v>
      </c>
      <c r="X499" s="58">
        <v>10.5</v>
      </c>
      <c r="Y499" s="55">
        <f>IFERROR(IF(X499="",0,CEILING((X499/$H499),1)*$H499),"")</f>
        <v>10.5</v>
      </c>
      <c r="Z499" s="41">
        <f>IFERROR(IF(Y499=0,"",ROUNDUP(Y499/H499,0)*0.00502),"")</f>
        <v>2.5100000000000001E-2</v>
      </c>
      <c r="AA499" s="68" t="s">
        <v>46</v>
      </c>
      <c r="AB499" s="69" t="s">
        <v>46</v>
      </c>
      <c r="AC499" s="600" t="s">
        <v>805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11.149999999999999</v>
      </c>
      <c r="BN499" s="78">
        <f>IFERROR(Y499*I499/H499,"0")</f>
        <v>11.149999999999999</v>
      </c>
      <c r="BO499" s="78">
        <f>IFERROR(1/J499*(X499/H499),"0")</f>
        <v>2.1367521367521368E-2</v>
      </c>
      <c r="BP499" s="78">
        <f>IFERROR(1/J499*(Y499/H499),"0")</f>
        <v>2.1367521367521368E-2</v>
      </c>
    </row>
    <row r="500" spans="1:68" x14ac:dyDescent="0.2">
      <c r="A500" s="661"/>
      <c r="B500" s="661"/>
      <c r="C500" s="661"/>
      <c r="D500" s="661"/>
      <c r="E500" s="661"/>
      <c r="F500" s="661"/>
      <c r="G500" s="661"/>
      <c r="H500" s="661"/>
      <c r="I500" s="661"/>
      <c r="J500" s="661"/>
      <c r="K500" s="661"/>
      <c r="L500" s="661"/>
      <c r="M500" s="661"/>
      <c r="N500" s="661"/>
      <c r="O500" s="662"/>
      <c r="P500" s="658" t="s">
        <v>40</v>
      </c>
      <c r="Q500" s="659"/>
      <c r="R500" s="659"/>
      <c r="S500" s="659"/>
      <c r="T500" s="659"/>
      <c r="U500" s="659"/>
      <c r="V500" s="660"/>
      <c r="W500" s="42" t="s">
        <v>39</v>
      </c>
      <c r="X500" s="43">
        <f>IFERROR(X497/H497,"0")+IFERROR(X498/H498,"0")+IFERROR(X499/H499,"0")</f>
        <v>10</v>
      </c>
      <c r="Y500" s="43">
        <f>IFERROR(Y497/H497,"0")+IFERROR(Y498/H498,"0")+IFERROR(Y499/H499,"0")</f>
        <v>10</v>
      </c>
      <c r="Z500" s="43">
        <f>IFERROR(IF(Z497="",0,Z497),"0")+IFERROR(IF(Z498="",0,Z498),"0")+IFERROR(IF(Z499="",0,Z499),"0")</f>
        <v>7.0199999999999999E-2</v>
      </c>
      <c r="AA500" s="67"/>
      <c r="AB500" s="67"/>
      <c r="AC500" s="67"/>
    </row>
    <row r="501" spans="1:68" x14ac:dyDescent="0.2">
      <c r="A501" s="661"/>
      <c r="B501" s="661"/>
      <c r="C501" s="661"/>
      <c r="D501" s="661"/>
      <c r="E501" s="661"/>
      <c r="F501" s="661"/>
      <c r="G501" s="661"/>
      <c r="H501" s="661"/>
      <c r="I501" s="661"/>
      <c r="J501" s="661"/>
      <c r="K501" s="661"/>
      <c r="L501" s="661"/>
      <c r="M501" s="661"/>
      <c r="N501" s="661"/>
      <c r="O501" s="662"/>
      <c r="P501" s="658" t="s">
        <v>40</v>
      </c>
      <c r="Q501" s="659"/>
      <c r="R501" s="659"/>
      <c r="S501" s="659"/>
      <c r="T501" s="659"/>
      <c r="U501" s="659"/>
      <c r="V501" s="660"/>
      <c r="W501" s="42" t="s">
        <v>0</v>
      </c>
      <c r="X501" s="43">
        <f>IFERROR(SUM(X497:X499),"0")</f>
        <v>37.5</v>
      </c>
      <c r="Y501" s="43">
        <f>IFERROR(SUM(Y497:Y499),"0")</f>
        <v>37.5</v>
      </c>
      <c r="Z501" s="42"/>
      <c r="AA501" s="67"/>
      <c r="AB501" s="67"/>
      <c r="AC501" s="67"/>
    </row>
    <row r="502" spans="1:68" ht="27.75" hidden="1" customHeight="1" x14ac:dyDescent="0.2">
      <c r="A502" s="678" t="s">
        <v>808</v>
      </c>
      <c r="B502" s="678"/>
      <c r="C502" s="678"/>
      <c r="D502" s="678"/>
      <c r="E502" s="678"/>
      <c r="F502" s="678"/>
      <c r="G502" s="678"/>
      <c r="H502" s="678"/>
      <c r="I502" s="678"/>
      <c r="J502" s="678"/>
      <c r="K502" s="678"/>
      <c r="L502" s="678"/>
      <c r="M502" s="678"/>
      <c r="N502" s="678"/>
      <c r="O502" s="678"/>
      <c r="P502" s="678"/>
      <c r="Q502" s="678"/>
      <c r="R502" s="678"/>
      <c r="S502" s="678"/>
      <c r="T502" s="678"/>
      <c r="U502" s="678"/>
      <c r="V502" s="678"/>
      <c r="W502" s="678"/>
      <c r="X502" s="678"/>
      <c r="Y502" s="678"/>
      <c r="Z502" s="678"/>
      <c r="AA502" s="54"/>
      <c r="AB502" s="54"/>
      <c r="AC502" s="54"/>
    </row>
    <row r="503" spans="1:68" ht="16.5" hidden="1" customHeight="1" x14ac:dyDescent="0.25">
      <c r="A503" s="663" t="s">
        <v>808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  <c r="Y503" s="663"/>
      <c r="Z503" s="663"/>
      <c r="AA503" s="65"/>
      <c r="AB503" s="65"/>
      <c r="AC503" s="79"/>
    </row>
    <row r="504" spans="1:68" ht="14.25" hidden="1" customHeight="1" x14ac:dyDescent="0.25">
      <c r="A504" s="664" t="s">
        <v>122</v>
      </c>
      <c r="B504" s="664"/>
      <c r="C504" s="664"/>
      <c r="D504" s="664"/>
      <c r="E504" s="664"/>
      <c r="F504" s="664"/>
      <c r="G504" s="664"/>
      <c r="H504" s="664"/>
      <c r="I504" s="664"/>
      <c r="J504" s="664"/>
      <c r="K504" s="664"/>
      <c r="L504" s="664"/>
      <c r="M504" s="664"/>
      <c r="N504" s="664"/>
      <c r="O504" s="664"/>
      <c r="P504" s="664"/>
      <c r="Q504" s="664"/>
      <c r="R504" s="664"/>
      <c r="S504" s="664"/>
      <c r="T504" s="664"/>
      <c r="U504" s="664"/>
      <c r="V504" s="664"/>
      <c r="W504" s="664"/>
      <c r="X504" s="664"/>
      <c r="Y504" s="664"/>
      <c r="Z504" s="664"/>
      <c r="AA504" s="66"/>
      <c r="AB504" s="66"/>
      <c r="AC504" s="80"/>
    </row>
    <row r="505" spans="1:68" ht="27" hidden="1" customHeight="1" x14ac:dyDescent="0.25">
      <c r="A505" s="63" t="s">
        <v>809</v>
      </c>
      <c r="B505" s="63" t="s">
        <v>810</v>
      </c>
      <c r="C505" s="36">
        <v>4301011769</v>
      </c>
      <c r="D505" s="665">
        <v>4607091389067</v>
      </c>
      <c r="E505" s="66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90</v>
      </c>
      <c r="N505" s="38"/>
      <c r="O505" s="37">
        <v>60</v>
      </c>
      <c r="P505" s="6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7"/>
      <c r="R505" s="667"/>
      <c r="S505" s="667"/>
      <c r="T505" s="66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811</v>
      </c>
      <c r="B506" s="63" t="s">
        <v>812</v>
      </c>
      <c r="C506" s="36">
        <v>4301012380</v>
      </c>
      <c r="D506" s="665">
        <v>4680115889576</v>
      </c>
      <c r="E506" s="66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69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7"/>
      <c r="R506" s="667"/>
      <c r="S506" s="667"/>
      <c r="T506" s="66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814</v>
      </c>
      <c r="B507" s="63" t="s">
        <v>815</v>
      </c>
      <c r="C507" s="36">
        <v>4301011961</v>
      </c>
      <c r="D507" s="665">
        <v>4680115885271</v>
      </c>
      <c r="E507" s="66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7"/>
      <c r="R507" s="667"/>
      <c r="S507" s="667"/>
      <c r="T507" s="66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817</v>
      </c>
      <c r="B508" s="63" t="s">
        <v>818</v>
      </c>
      <c r="C508" s="36">
        <v>4301011369</v>
      </c>
      <c r="D508" s="665">
        <v>4680115885226</v>
      </c>
      <c r="E508" s="66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7"/>
      <c r="R508" s="667"/>
      <c r="S508" s="667"/>
      <c r="T508" s="66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819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820</v>
      </c>
      <c r="B509" s="63" t="s">
        <v>821</v>
      </c>
      <c r="C509" s="36">
        <v>4301011797</v>
      </c>
      <c r="D509" s="665">
        <v>4680115884502</v>
      </c>
      <c r="E509" s="66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7"/>
      <c r="R509" s="667"/>
      <c r="S509" s="667"/>
      <c r="T509" s="66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822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823</v>
      </c>
      <c r="B510" s="63" t="s">
        <v>824</v>
      </c>
      <c r="C510" s="36">
        <v>4301011771</v>
      </c>
      <c r="D510" s="665">
        <v>4607091389104</v>
      </c>
      <c r="E510" s="66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7"/>
      <c r="R510" s="667"/>
      <c r="S510" s="667"/>
      <c r="T510" s="66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825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826</v>
      </c>
      <c r="B511" s="63" t="s">
        <v>827</v>
      </c>
      <c r="C511" s="36">
        <v>4301012125</v>
      </c>
      <c r="D511" s="665">
        <v>4680115886391</v>
      </c>
      <c r="E511" s="66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91</v>
      </c>
      <c r="L511" s="37" t="s">
        <v>46</v>
      </c>
      <c r="M511" s="38" t="s">
        <v>90</v>
      </c>
      <c r="N511" s="38"/>
      <c r="O511" s="37">
        <v>60</v>
      </c>
      <c r="P511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7"/>
      <c r="R511" s="667"/>
      <c r="S511" s="667"/>
      <c r="T511" s="66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828</v>
      </c>
      <c r="B512" s="63" t="s">
        <v>829</v>
      </c>
      <c r="C512" s="36">
        <v>4301012048</v>
      </c>
      <c r="D512" s="665">
        <v>4680115880603</v>
      </c>
      <c r="E512" s="66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90</v>
      </c>
      <c r="N512" s="38"/>
      <c r="O512" s="37">
        <v>60</v>
      </c>
      <c r="P512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7"/>
      <c r="R512" s="667"/>
      <c r="S512" s="667"/>
      <c r="T512" s="66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830</v>
      </c>
      <c r="B513" s="63" t="s">
        <v>831</v>
      </c>
      <c r="C513" s="36">
        <v>4301012034</v>
      </c>
      <c r="D513" s="665">
        <v>4607091389982</v>
      </c>
      <c r="E513" s="66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60</v>
      </c>
      <c r="P513" s="6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7"/>
      <c r="R513" s="667"/>
      <c r="S513" s="667"/>
      <c r="T513" s="66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idden="1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64" t="s">
        <v>155</v>
      </c>
      <c r="B516" s="664"/>
      <c r="C516" s="664"/>
      <c r="D516" s="664"/>
      <c r="E516" s="664"/>
      <c r="F516" s="664"/>
      <c r="G516" s="664"/>
      <c r="H516" s="664"/>
      <c r="I516" s="664"/>
      <c r="J516" s="664"/>
      <c r="K516" s="664"/>
      <c r="L516" s="664"/>
      <c r="M516" s="664"/>
      <c r="N516" s="664"/>
      <c r="O516" s="664"/>
      <c r="P516" s="664"/>
      <c r="Q516" s="664"/>
      <c r="R516" s="664"/>
      <c r="S516" s="664"/>
      <c r="T516" s="664"/>
      <c r="U516" s="664"/>
      <c r="V516" s="664"/>
      <c r="W516" s="664"/>
      <c r="X516" s="664"/>
      <c r="Y516" s="664"/>
      <c r="Z516" s="664"/>
      <c r="AA516" s="66"/>
      <c r="AB516" s="66"/>
      <c r="AC516" s="80"/>
    </row>
    <row r="517" spans="1:68" ht="16.5" hidden="1" customHeight="1" x14ac:dyDescent="0.25">
      <c r="A517" s="63" t="s">
        <v>832</v>
      </c>
      <c r="B517" s="63" t="s">
        <v>833</v>
      </c>
      <c r="C517" s="36">
        <v>4301020334</v>
      </c>
      <c r="D517" s="665">
        <v>4607091388930</v>
      </c>
      <c r="E517" s="66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90</v>
      </c>
      <c r="N517" s="38"/>
      <c r="O517" s="37">
        <v>70</v>
      </c>
      <c r="P517" s="6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7"/>
      <c r="R517" s="667"/>
      <c r="S517" s="667"/>
      <c r="T517" s="66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834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835</v>
      </c>
      <c r="B518" s="63" t="s">
        <v>836</v>
      </c>
      <c r="C518" s="36">
        <v>4301020374</v>
      </c>
      <c r="D518" s="665">
        <v>4680115886407</v>
      </c>
      <c r="E518" s="66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91</v>
      </c>
      <c r="L518" s="37" t="s">
        <v>46</v>
      </c>
      <c r="M518" s="38" t="s">
        <v>126</v>
      </c>
      <c r="N518" s="38"/>
      <c r="O518" s="37">
        <v>70</v>
      </c>
      <c r="P518" s="69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7"/>
      <c r="R518" s="667"/>
      <c r="S518" s="667"/>
      <c r="T518" s="66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834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837</v>
      </c>
      <c r="B519" s="63" t="s">
        <v>838</v>
      </c>
      <c r="C519" s="36">
        <v>4301020385</v>
      </c>
      <c r="D519" s="665">
        <v>4680115880054</v>
      </c>
      <c r="E519" s="66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134</v>
      </c>
      <c r="L519" s="37" t="s">
        <v>46</v>
      </c>
      <c r="M519" s="38" t="s">
        <v>126</v>
      </c>
      <c r="N519" s="38"/>
      <c r="O519" s="37">
        <v>70</v>
      </c>
      <c r="P519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7"/>
      <c r="R519" s="667"/>
      <c r="S519" s="667"/>
      <c r="T519" s="66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834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661"/>
      <c r="B520" s="661"/>
      <c r="C520" s="661"/>
      <c r="D520" s="661"/>
      <c r="E520" s="661"/>
      <c r="F520" s="661"/>
      <c r="G520" s="661"/>
      <c r="H520" s="661"/>
      <c r="I520" s="661"/>
      <c r="J520" s="661"/>
      <c r="K520" s="661"/>
      <c r="L520" s="661"/>
      <c r="M520" s="661"/>
      <c r="N520" s="661"/>
      <c r="O520" s="662"/>
      <c r="P520" s="658" t="s">
        <v>40</v>
      </c>
      <c r="Q520" s="659"/>
      <c r="R520" s="659"/>
      <c r="S520" s="659"/>
      <c r="T520" s="659"/>
      <c r="U520" s="659"/>
      <c r="V520" s="660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661"/>
      <c r="B521" s="661"/>
      <c r="C521" s="661"/>
      <c r="D521" s="661"/>
      <c r="E521" s="661"/>
      <c r="F521" s="661"/>
      <c r="G521" s="661"/>
      <c r="H521" s="661"/>
      <c r="I521" s="661"/>
      <c r="J521" s="661"/>
      <c r="K521" s="661"/>
      <c r="L521" s="661"/>
      <c r="M521" s="661"/>
      <c r="N521" s="661"/>
      <c r="O521" s="662"/>
      <c r="P521" s="658" t="s">
        <v>40</v>
      </c>
      <c r="Q521" s="659"/>
      <c r="R521" s="659"/>
      <c r="S521" s="659"/>
      <c r="T521" s="659"/>
      <c r="U521" s="659"/>
      <c r="V521" s="660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664" t="s">
        <v>77</v>
      </c>
      <c r="B522" s="664"/>
      <c r="C522" s="664"/>
      <c r="D522" s="664"/>
      <c r="E522" s="664"/>
      <c r="F522" s="664"/>
      <c r="G522" s="664"/>
      <c r="H522" s="664"/>
      <c r="I522" s="664"/>
      <c r="J522" s="664"/>
      <c r="K522" s="664"/>
      <c r="L522" s="664"/>
      <c r="M522" s="664"/>
      <c r="N522" s="664"/>
      <c r="O522" s="664"/>
      <c r="P522" s="664"/>
      <c r="Q522" s="664"/>
      <c r="R522" s="664"/>
      <c r="S522" s="664"/>
      <c r="T522" s="664"/>
      <c r="U522" s="664"/>
      <c r="V522" s="664"/>
      <c r="W522" s="664"/>
      <c r="X522" s="664"/>
      <c r="Y522" s="664"/>
      <c r="Z522" s="664"/>
      <c r="AA522" s="66"/>
      <c r="AB522" s="66"/>
      <c r="AC522" s="80"/>
    </row>
    <row r="523" spans="1:68" ht="27" hidden="1" customHeight="1" x14ac:dyDescent="0.25">
      <c r="A523" s="63" t="s">
        <v>839</v>
      </c>
      <c r="B523" s="63" t="s">
        <v>840</v>
      </c>
      <c r="C523" s="36">
        <v>4301031349</v>
      </c>
      <c r="D523" s="665">
        <v>4680115883116</v>
      </c>
      <c r="E523" s="66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126</v>
      </c>
      <c r="N523" s="38"/>
      <c r="O523" s="37">
        <v>70</v>
      </c>
      <c r="P523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7"/>
      <c r="R523" s="667"/>
      <c r="S523" s="667"/>
      <c r="T523" s="66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841</v>
      </c>
      <c r="AG523" s="78"/>
      <c r="AJ523" s="84" t="s">
        <v>46</v>
      </c>
      <c r="AK523" s="84">
        <v>0</v>
      </c>
      <c r="BB523" s="627" t="s">
        <v>67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hidden="1" customHeight="1" x14ac:dyDescent="0.25">
      <c r="A524" s="63" t="s">
        <v>842</v>
      </c>
      <c r="B524" s="63" t="s">
        <v>843</v>
      </c>
      <c r="C524" s="36">
        <v>4301031350</v>
      </c>
      <c r="D524" s="665">
        <v>4680115883093</v>
      </c>
      <c r="E524" s="66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6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7"/>
      <c r="R524" s="667"/>
      <c r="S524" s="667"/>
      <c r="T524" s="66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844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845</v>
      </c>
      <c r="B525" s="63" t="s">
        <v>846</v>
      </c>
      <c r="C525" s="36">
        <v>4301031353</v>
      </c>
      <c r="D525" s="665">
        <v>4680115883109</v>
      </c>
      <c r="E525" s="66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6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7"/>
      <c r="R525" s="667"/>
      <c r="S525" s="667"/>
      <c r="T525" s="66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847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848</v>
      </c>
      <c r="B526" s="63" t="s">
        <v>849</v>
      </c>
      <c r="C526" s="36">
        <v>4301031419</v>
      </c>
      <c r="D526" s="665">
        <v>4680115882072</v>
      </c>
      <c r="E526" s="66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134</v>
      </c>
      <c r="L526" s="37" t="s">
        <v>46</v>
      </c>
      <c r="M526" s="38" t="s">
        <v>126</v>
      </c>
      <c r="N526" s="38"/>
      <c r="O526" s="37">
        <v>70</v>
      </c>
      <c r="P526" s="6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7"/>
      <c r="R526" s="667"/>
      <c r="S526" s="667"/>
      <c r="T526" s="66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841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850</v>
      </c>
      <c r="B527" s="63" t="s">
        <v>851</v>
      </c>
      <c r="C527" s="36">
        <v>4301031352</v>
      </c>
      <c r="D527" s="665">
        <v>4680115882102</v>
      </c>
      <c r="E527" s="66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6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7"/>
      <c r="R527" s="667"/>
      <c r="S527" s="667"/>
      <c r="T527" s="66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844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850</v>
      </c>
      <c r="B528" s="63" t="s">
        <v>852</v>
      </c>
      <c r="C528" s="36">
        <v>4301031418</v>
      </c>
      <c r="D528" s="665">
        <v>4680115882102</v>
      </c>
      <c r="E528" s="66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7"/>
      <c r="R528" s="667"/>
      <c r="S528" s="667"/>
      <c r="T528" s="66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844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853</v>
      </c>
      <c r="B529" s="63" t="s">
        <v>854</v>
      </c>
      <c r="C529" s="36">
        <v>4301031417</v>
      </c>
      <c r="D529" s="665">
        <v>4680115882096</v>
      </c>
      <c r="E529" s="66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7"/>
      <c r="R529" s="667"/>
      <c r="S529" s="667"/>
      <c r="T529" s="66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847</v>
      </c>
      <c r="AG529" s="78"/>
      <c r="AJ529" s="84" t="s">
        <v>46</v>
      </c>
      <c r="AK529" s="84">
        <v>0</v>
      </c>
      <c r="BB529" s="639" t="s">
        <v>67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idden="1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678" t="s">
        <v>855</v>
      </c>
      <c r="B532" s="678"/>
      <c r="C532" s="678"/>
      <c r="D532" s="678"/>
      <c r="E532" s="678"/>
      <c r="F532" s="678"/>
      <c r="G532" s="678"/>
      <c r="H532" s="678"/>
      <c r="I532" s="678"/>
      <c r="J532" s="678"/>
      <c r="K532" s="678"/>
      <c r="L532" s="678"/>
      <c r="M532" s="678"/>
      <c r="N532" s="678"/>
      <c r="O532" s="678"/>
      <c r="P532" s="678"/>
      <c r="Q532" s="678"/>
      <c r="R532" s="678"/>
      <c r="S532" s="678"/>
      <c r="T532" s="678"/>
      <c r="U532" s="678"/>
      <c r="V532" s="678"/>
      <c r="W532" s="678"/>
      <c r="X532" s="678"/>
      <c r="Y532" s="678"/>
      <c r="Z532" s="678"/>
      <c r="AA532" s="54"/>
      <c r="AB532" s="54"/>
      <c r="AC532" s="54"/>
    </row>
    <row r="533" spans="1:68" ht="16.5" hidden="1" customHeight="1" x14ac:dyDescent="0.25">
      <c r="A533" s="663" t="s">
        <v>855</v>
      </c>
      <c r="B533" s="663"/>
      <c r="C533" s="663"/>
      <c r="D533" s="663"/>
      <c r="E533" s="663"/>
      <c r="F533" s="663"/>
      <c r="G533" s="663"/>
      <c r="H533" s="663"/>
      <c r="I533" s="663"/>
      <c r="J533" s="663"/>
      <c r="K533" s="663"/>
      <c r="L533" s="663"/>
      <c r="M533" s="663"/>
      <c r="N533" s="663"/>
      <c r="O533" s="663"/>
      <c r="P533" s="663"/>
      <c r="Q533" s="663"/>
      <c r="R533" s="663"/>
      <c r="S533" s="663"/>
      <c r="T533" s="663"/>
      <c r="U533" s="663"/>
      <c r="V533" s="663"/>
      <c r="W533" s="663"/>
      <c r="X533" s="663"/>
      <c r="Y533" s="663"/>
      <c r="Z533" s="663"/>
      <c r="AA533" s="65"/>
      <c r="AB533" s="65"/>
      <c r="AC533" s="79"/>
    </row>
    <row r="534" spans="1:68" ht="14.25" hidden="1" customHeight="1" x14ac:dyDescent="0.25">
      <c r="A534" s="664" t="s">
        <v>122</v>
      </c>
      <c r="B534" s="664"/>
      <c r="C534" s="664"/>
      <c r="D534" s="664"/>
      <c r="E534" s="664"/>
      <c r="F534" s="664"/>
      <c r="G534" s="664"/>
      <c r="H534" s="664"/>
      <c r="I534" s="664"/>
      <c r="J534" s="664"/>
      <c r="K534" s="664"/>
      <c r="L534" s="664"/>
      <c r="M534" s="664"/>
      <c r="N534" s="664"/>
      <c r="O534" s="664"/>
      <c r="P534" s="664"/>
      <c r="Q534" s="664"/>
      <c r="R534" s="664"/>
      <c r="S534" s="664"/>
      <c r="T534" s="664"/>
      <c r="U534" s="664"/>
      <c r="V534" s="664"/>
      <c r="W534" s="664"/>
      <c r="X534" s="664"/>
      <c r="Y534" s="664"/>
      <c r="Z534" s="664"/>
      <c r="AA534" s="66"/>
      <c r="AB534" s="66"/>
      <c r="AC534" s="80"/>
    </row>
    <row r="535" spans="1:68" ht="27" hidden="1" customHeight="1" x14ac:dyDescent="0.25">
      <c r="A535" s="63" t="s">
        <v>856</v>
      </c>
      <c r="B535" s="63" t="s">
        <v>857</v>
      </c>
      <c r="C535" s="36">
        <v>4301011584</v>
      </c>
      <c r="D535" s="665">
        <v>4640242180564</v>
      </c>
      <c r="E535" s="66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127</v>
      </c>
      <c r="L535" s="37" t="s">
        <v>46</v>
      </c>
      <c r="M535" s="38" t="s">
        <v>126</v>
      </c>
      <c r="N535" s="38"/>
      <c r="O535" s="37">
        <v>50</v>
      </c>
      <c r="P535" s="6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7"/>
      <c r="R535" s="667"/>
      <c r="S535" s="667"/>
      <c r="T535" s="66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858</v>
      </c>
      <c r="AG535" s="78"/>
      <c r="AJ535" s="84" t="s">
        <v>46</v>
      </c>
      <c r="AK535" s="84">
        <v>0</v>
      </c>
      <c r="BB535" s="641" t="s">
        <v>67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661"/>
      <c r="B536" s="661"/>
      <c r="C536" s="661"/>
      <c r="D536" s="661"/>
      <c r="E536" s="661"/>
      <c r="F536" s="661"/>
      <c r="G536" s="661"/>
      <c r="H536" s="661"/>
      <c r="I536" s="661"/>
      <c r="J536" s="661"/>
      <c r="K536" s="661"/>
      <c r="L536" s="661"/>
      <c r="M536" s="661"/>
      <c r="N536" s="661"/>
      <c r="O536" s="662"/>
      <c r="P536" s="658" t="s">
        <v>40</v>
      </c>
      <c r="Q536" s="659"/>
      <c r="R536" s="659"/>
      <c r="S536" s="659"/>
      <c r="T536" s="659"/>
      <c r="U536" s="659"/>
      <c r="V536" s="660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661"/>
      <c r="B537" s="661"/>
      <c r="C537" s="661"/>
      <c r="D537" s="661"/>
      <c r="E537" s="661"/>
      <c r="F537" s="661"/>
      <c r="G537" s="661"/>
      <c r="H537" s="661"/>
      <c r="I537" s="661"/>
      <c r="J537" s="661"/>
      <c r="K537" s="661"/>
      <c r="L537" s="661"/>
      <c r="M537" s="661"/>
      <c r="N537" s="661"/>
      <c r="O537" s="662"/>
      <c r="P537" s="658" t="s">
        <v>40</v>
      </c>
      <c r="Q537" s="659"/>
      <c r="R537" s="659"/>
      <c r="S537" s="659"/>
      <c r="T537" s="659"/>
      <c r="U537" s="659"/>
      <c r="V537" s="660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664" t="s">
        <v>155</v>
      </c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  <c r="AA538" s="66"/>
      <c r="AB538" s="66"/>
      <c r="AC538" s="80"/>
    </row>
    <row r="539" spans="1:68" ht="27" hidden="1" customHeight="1" x14ac:dyDescent="0.25">
      <c r="A539" s="63" t="s">
        <v>859</v>
      </c>
      <c r="B539" s="63" t="s">
        <v>860</v>
      </c>
      <c r="C539" s="36">
        <v>4301020400</v>
      </c>
      <c r="D539" s="665">
        <v>4640242180519</v>
      </c>
      <c r="E539" s="66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667"/>
      <c r="R539" s="667"/>
      <c r="S539" s="667"/>
      <c r="T539" s="66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861</v>
      </c>
      <c r="AG539" s="78"/>
      <c r="AJ539" s="84" t="s">
        <v>46</v>
      </c>
      <c r="AK539" s="84">
        <v>0</v>
      </c>
      <c r="BB539" s="643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1"/>
      <c r="B540" s="661"/>
      <c r="C540" s="661"/>
      <c r="D540" s="661"/>
      <c r="E540" s="661"/>
      <c r="F540" s="661"/>
      <c r="G540" s="661"/>
      <c r="H540" s="661"/>
      <c r="I540" s="661"/>
      <c r="J540" s="661"/>
      <c r="K540" s="661"/>
      <c r="L540" s="661"/>
      <c r="M540" s="661"/>
      <c r="N540" s="661"/>
      <c r="O540" s="662"/>
      <c r="P540" s="658" t="s">
        <v>40</v>
      </c>
      <c r="Q540" s="659"/>
      <c r="R540" s="659"/>
      <c r="S540" s="659"/>
      <c r="T540" s="659"/>
      <c r="U540" s="659"/>
      <c r="V540" s="66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1"/>
      <c r="B541" s="661"/>
      <c r="C541" s="661"/>
      <c r="D541" s="661"/>
      <c r="E541" s="661"/>
      <c r="F541" s="661"/>
      <c r="G541" s="661"/>
      <c r="H541" s="661"/>
      <c r="I541" s="661"/>
      <c r="J541" s="661"/>
      <c r="K541" s="661"/>
      <c r="L541" s="661"/>
      <c r="M541" s="661"/>
      <c r="N541" s="661"/>
      <c r="O541" s="662"/>
      <c r="P541" s="658" t="s">
        <v>40</v>
      </c>
      <c r="Q541" s="659"/>
      <c r="R541" s="659"/>
      <c r="S541" s="659"/>
      <c r="T541" s="659"/>
      <c r="U541" s="659"/>
      <c r="V541" s="66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64" t="s">
        <v>77</v>
      </c>
      <c r="B542" s="664"/>
      <c r="C542" s="664"/>
      <c r="D542" s="664"/>
      <c r="E542" s="664"/>
      <c r="F542" s="664"/>
      <c r="G542" s="664"/>
      <c r="H542" s="664"/>
      <c r="I542" s="664"/>
      <c r="J542" s="664"/>
      <c r="K542" s="664"/>
      <c r="L542" s="664"/>
      <c r="M542" s="664"/>
      <c r="N542" s="664"/>
      <c r="O542" s="664"/>
      <c r="P542" s="664"/>
      <c r="Q542" s="664"/>
      <c r="R542" s="664"/>
      <c r="S542" s="664"/>
      <c r="T542" s="664"/>
      <c r="U542" s="664"/>
      <c r="V542" s="664"/>
      <c r="W542" s="664"/>
      <c r="X542" s="664"/>
      <c r="Y542" s="664"/>
      <c r="Z542" s="664"/>
      <c r="AA542" s="66"/>
      <c r="AB542" s="66"/>
      <c r="AC542" s="80"/>
    </row>
    <row r="543" spans="1:68" ht="27" hidden="1" customHeight="1" x14ac:dyDescent="0.25">
      <c r="A543" s="63" t="s">
        <v>862</v>
      </c>
      <c r="B543" s="63" t="s">
        <v>863</v>
      </c>
      <c r="C543" s="36">
        <v>4301031500</v>
      </c>
      <c r="D543" s="665">
        <v>4640242180595</v>
      </c>
      <c r="E543" s="66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134</v>
      </c>
      <c r="L543" s="37" t="s">
        <v>46</v>
      </c>
      <c r="M543" s="38" t="s">
        <v>81</v>
      </c>
      <c r="N543" s="38"/>
      <c r="O543" s="37">
        <v>40</v>
      </c>
      <c r="P543" s="67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667"/>
      <c r="R543" s="667"/>
      <c r="S543" s="667"/>
      <c r="T543" s="66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864</v>
      </c>
      <c r="AG543" s="78"/>
      <c r="AJ543" s="84" t="s">
        <v>46</v>
      </c>
      <c r="AK543" s="84">
        <v>0</v>
      </c>
      <c r="BB543" s="64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1"/>
      <c r="B544" s="661"/>
      <c r="C544" s="661"/>
      <c r="D544" s="661"/>
      <c r="E544" s="661"/>
      <c r="F544" s="661"/>
      <c r="G544" s="661"/>
      <c r="H544" s="661"/>
      <c r="I544" s="661"/>
      <c r="J544" s="661"/>
      <c r="K544" s="661"/>
      <c r="L544" s="661"/>
      <c r="M544" s="661"/>
      <c r="N544" s="661"/>
      <c r="O544" s="662"/>
      <c r="P544" s="658" t="s">
        <v>40</v>
      </c>
      <c r="Q544" s="659"/>
      <c r="R544" s="659"/>
      <c r="S544" s="659"/>
      <c r="T544" s="659"/>
      <c r="U544" s="659"/>
      <c r="V544" s="66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1"/>
      <c r="B545" s="661"/>
      <c r="C545" s="661"/>
      <c r="D545" s="661"/>
      <c r="E545" s="661"/>
      <c r="F545" s="661"/>
      <c r="G545" s="661"/>
      <c r="H545" s="661"/>
      <c r="I545" s="661"/>
      <c r="J545" s="661"/>
      <c r="K545" s="661"/>
      <c r="L545" s="661"/>
      <c r="M545" s="661"/>
      <c r="N545" s="661"/>
      <c r="O545" s="662"/>
      <c r="P545" s="658" t="s">
        <v>40</v>
      </c>
      <c r="Q545" s="659"/>
      <c r="R545" s="659"/>
      <c r="S545" s="659"/>
      <c r="T545" s="659"/>
      <c r="U545" s="659"/>
      <c r="V545" s="66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64" t="s">
        <v>86</v>
      </c>
      <c r="B546" s="664"/>
      <c r="C546" s="664"/>
      <c r="D546" s="664"/>
      <c r="E546" s="664"/>
      <c r="F546" s="664"/>
      <c r="G546" s="664"/>
      <c r="H546" s="664"/>
      <c r="I546" s="664"/>
      <c r="J546" s="664"/>
      <c r="K546" s="664"/>
      <c r="L546" s="664"/>
      <c r="M546" s="664"/>
      <c r="N546" s="664"/>
      <c r="O546" s="664"/>
      <c r="P546" s="664"/>
      <c r="Q546" s="664"/>
      <c r="R546" s="664"/>
      <c r="S546" s="664"/>
      <c r="T546" s="664"/>
      <c r="U546" s="664"/>
      <c r="V546" s="664"/>
      <c r="W546" s="664"/>
      <c r="X546" s="664"/>
      <c r="Y546" s="664"/>
      <c r="Z546" s="664"/>
      <c r="AA546" s="66"/>
      <c r="AB546" s="66"/>
      <c r="AC546" s="80"/>
    </row>
    <row r="547" spans="1:68" ht="27" customHeight="1" x14ac:dyDescent="0.25">
      <c r="A547" s="63" t="s">
        <v>865</v>
      </c>
      <c r="B547" s="63" t="s">
        <v>866</v>
      </c>
      <c r="C547" s="36">
        <v>4301052043</v>
      </c>
      <c r="D547" s="665">
        <v>4640242180533</v>
      </c>
      <c r="E547" s="66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45</v>
      </c>
      <c r="P547" s="67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667"/>
      <c r="R547" s="667"/>
      <c r="S547" s="667"/>
      <c r="T547" s="668"/>
      <c r="U547" s="39" t="s">
        <v>46</v>
      </c>
      <c r="V547" s="39" t="s">
        <v>46</v>
      </c>
      <c r="W547" s="40" t="s">
        <v>0</v>
      </c>
      <c r="X547" s="58">
        <v>45</v>
      </c>
      <c r="Y547" s="55">
        <f>IFERROR(IF(X547="",0,CEILING((X547/$H547),1)*$H547),"")</f>
        <v>45</v>
      </c>
      <c r="Z547" s="41">
        <f>IFERROR(IF(Y547=0,"",ROUNDUP(Y547/H547,0)*0.01898),"")</f>
        <v>9.4899999999999998E-2</v>
      </c>
      <c r="AA547" s="68" t="s">
        <v>46</v>
      </c>
      <c r="AB547" s="69" t="s">
        <v>46</v>
      </c>
      <c r="AC547" s="646" t="s">
        <v>867</v>
      </c>
      <c r="AG547" s="78"/>
      <c r="AJ547" s="84" t="s">
        <v>46</v>
      </c>
      <c r="AK547" s="84">
        <v>0</v>
      </c>
      <c r="BB547" s="647" t="s">
        <v>67</v>
      </c>
      <c r="BM547" s="78">
        <f>IFERROR(X547*I547/H547,"0")</f>
        <v>47.47</v>
      </c>
      <c r="BN547" s="78">
        <f>IFERROR(Y547*I547/H547,"0")</f>
        <v>47.47</v>
      </c>
      <c r="BO547" s="78">
        <f>IFERROR(1/J547*(X547/H547),"0")</f>
        <v>7.8125E-2</v>
      </c>
      <c r="BP547" s="78">
        <f>IFERROR(1/J547*(Y547/H547),"0")</f>
        <v>7.8125E-2</v>
      </c>
    </row>
    <row r="548" spans="1:68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39</v>
      </c>
      <c r="X548" s="43">
        <f>IFERROR(X547/H547,"0")</f>
        <v>5</v>
      </c>
      <c r="Y548" s="43">
        <f>IFERROR(Y547/H547,"0")</f>
        <v>5</v>
      </c>
      <c r="Z548" s="43">
        <f>IFERROR(IF(Z547="",0,Z547),"0")</f>
        <v>9.4899999999999998E-2</v>
      </c>
      <c r="AA548" s="67"/>
      <c r="AB548" s="67"/>
      <c r="AC548" s="67"/>
    </row>
    <row r="549" spans="1:68" x14ac:dyDescent="0.2">
      <c r="A549" s="661"/>
      <c r="B549" s="661"/>
      <c r="C549" s="661"/>
      <c r="D549" s="661"/>
      <c r="E549" s="661"/>
      <c r="F549" s="661"/>
      <c r="G549" s="661"/>
      <c r="H549" s="661"/>
      <c r="I549" s="661"/>
      <c r="J549" s="661"/>
      <c r="K549" s="661"/>
      <c r="L549" s="661"/>
      <c r="M549" s="661"/>
      <c r="N549" s="661"/>
      <c r="O549" s="662"/>
      <c r="P549" s="658" t="s">
        <v>40</v>
      </c>
      <c r="Q549" s="659"/>
      <c r="R549" s="659"/>
      <c r="S549" s="659"/>
      <c r="T549" s="659"/>
      <c r="U549" s="659"/>
      <c r="V549" s="660"/>
      <c r="W549" s="42" t="s">
        <v>0</v>
      </c>
      <c r="X549" s="43">
        <f>IFERROR(SUM(X547:X547),"0")</f>
        <v>45</v>
      </c>
      <c r="Y549" s="43">
        <f>IFERROR(SUM(Y547:Y547),"0")</f>
        <v>45</v>
      </c>
      <c r="Z549" s="42"/>
      <c r="AA549" s="67"/>
      <c r="AB549" s="67"/>
      <c r="AC549" s="67"/>
    </row>
    <row r="550" spans="1:68" ht="14.25" hidden="1" customHeight="1" x14ac:dyDescent="0.25">
      <c r="A550" s="664" t="s">
        <v>173</v>
      </c>
      <c r="B550" s="664"/>
      <c r="C550" s="664"/>
      <c r="D550" s="664"/>
      <c r="E550" s="664"/>
      <c r="F550" s="664"/>
      <c r="G550" s="664"/>
      <c r="H550" s="664"/>
      <c r="I550" s="664"/>
      <c r="J550" s="664"/>
      <c r="K550" s="664"/>
      <c r="L550" s="664"/>
      <c r="M550" s="664"/>
      <c r="N550" s="664"/>
      <c r="O550" s="664"/>
      <c r="P550" s="664"/>
      <c r="Q550" s="664"/>
      <c r="R550" s="664"/>
      <c r="S550" s="664"/>
      <c r="T550" s="664"/>
      <c r="U550" s="664"/>
      <c r="V550" s="664"/>
      <c r="W550" s="664"/>
      <c r="X550" s="664"/>
      <c r="Y550" s="664"/>
      <c r="Z550" s="664"/>
      <c r="AA550" s="66"/>
      <c r="AB550" s="66"/>
      <c r="AC550" s="80"/>
    </row>
    <row r="551" spans="1:68" ht="27" hidden="1" customHeight="1" x14ac:dyDescent="0.25">
      <c r="A551" s="63" t="s">
        <v>868</v>
      </c>
      <c r="B551" s="63" t="s">
        <v>869</v>
      </c>
      <c r="C551" s="36">
        <v>4301060535</v>
      </c>
      <c r="D551" s="665">
        <v>4640242180120</v>
      </c>
      <c r="E551" s="66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67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667"/>
      <c r="R551" s="667"/>
      <c r="S551" s="667"/>
      <c r="T551" s="66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870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871</v>
      </c>
      <c r="B552" s="63" t="s">
        <v>872</v>
      </c>
      <c r="C552" s="36">
        <v>4301060536</v>
      </c>
      <c r="D552" s="665">
        <v>4640242180137</v>
      </c>
      <c r="E552" s="66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67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667"/>
      <c r="R552" s="667"/>
      <c r="S552" s="667"/>
      <c r="T552" s="66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873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2"/>
      <c r="P554" s="658" t="s">
        <v>40</v>
      </c>
      <c r="Q554" s="659"/>
      <c r="R554" s="659"/>
      <c r="S554" s="659"/>
      <c r="T554" s="659"/>
      <c r="U554" s="659"/>
      <c r="V554" s="660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663" t="s">
        <v>874</v>
      </c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3"/>
      <c r="P555" s="663"/>
      <c r="Q555" s="663"/>
      <c r="R555" s="663"/>
      <c r="S555" s="663"/>
      <c r="T555" s="663"/>
      <c r="U555" s="663"/>
      <c r="V555" s="663"/>
      <c r="W555" s="663"/>
      <c r="X555" s="663"/>
      <c r="Y555" s="663"/>
      <c r="Z555" s="663"/>
      <c r="AA555" s="65"/>
      <c r="AB555" s="65"/>
      <c r="AC555" s="79"/>
    </row>
    <row r="556" spans="1:68" ht="14.25" hidden="1" customHeight="1" x14ac:dyDescent="0.25">
      <c r="A556" s="664" t="s">
        <v>155</v>
      </c>
      <c r="B556" s="664"/>
      <c r="C556" s="664"/>
      <c r="D556" s="664"/>
      <c r="E556" s="664"/>
      <c r="F556" s="664"/>
      <c r="G556" s="664"/>
      <c r="H556" s="664"/>
      <c r="I556" s="664"/>
      <c r="J556" s="664"/>
      <c r="K556" s="664"/>
      <c r="L556" s="664"/>
      <c r="M556" s="664"/>
      <c r="N556" s="664"/>
      <c r="O556" s="664"/>
      <c r="P556" s="664"/>
      <c r="Q556" s="664"/>
      <c r="R556" s="664"/>
      <c r="S556" s="664"/>
      <c r="T556" s="664"/>
      <c r="U556" s="664"/>
      <c r="V556" s="664"/>
      <c r="W556" s="664"/>
      <c r="X556" s="664"/>
      <c r="Y556" s="664"/>
      <c r="Z556" s="664"/>
      <c r="AA556" s="66"/>
      <c r="AB556" s="66"/>
      <c r="AC556" s="80"/>
    </row>
    <row r="557" spans="1:68" ht="27" hidden="1" customHeight="1" x14ac:dyDescent="0.25">
      <c r="A557" s="63" t="s">
        <v>875</v>
      </c>
      <c r="B557" s="63" t="s">
        <v>876</v>
      </c>
      <c r="C557" s="36">
        <v>4301020428</v>
      </c>
      <c r="D557" s="665">
        <v>4640242180090</v>
      </c>
      <c r="E557" s="66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127</v>
      </c>
      <c r="L557" s="37" t="s">
        <v>46</v>
      </c>
      <c r="M557" s="38" t="s">
        <v>126</v>
      </c>
      <c r="N557" s="38"/>
      <c r="O557" s="37">
        <v>50</v>
      </c>
      <c r="P557" s="66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667"/>
      <c r="R557" s="667"/>
      <c r="S557" s="667"/>
      <c r="T557" s="66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877</v>
      </c>
      <c r="AG557" s="78"/>
      <c r="AJ557" s="84" t="s">
        <v>46</v>
      </c>
      <c r="AK557" s="84">
        <v>0</v>
      </c>
      <c r="BB557" s="653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2"/>
      <c r="P558" s="658" t="s">
        <v>40</v>
      </c>
      <c r="Q558" s="659"/>
      <c r="R558" s="659"/>
      <c r="S558" s="659"/>
      <c r="T558" s="659"/>
      <c r="U558" s="659"/>
      <c r="V558" s="660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2"/>
      <c r="P559" s="658" t="s">
        <v>40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661"/>
      <c r="B560" s="661"/>
      <c r="C560" s="661"/>
      <c r="D560" s="661"/>
      <c r="E560" s="661"/>
      <c r="F560" s="661"/>
      <c r="G560" s="661"/>
      <c r="H560" s="661"/>
      <c r="I560" s="661"/>
      <c r="J560" s="661"/>
      <c r="K560" s="661"/>
      <c r="L560" s="661"/>
      <c r="M560" s="661"/>
      <c r="N560" s="661"/>
      <c r="O560" s="672"/>
      <c r="P560" s="669" t="s">
        <v>33</v>
      </c>
      <c r="Q560" s="670"/>
      <c r="R560" s="670"/>
      <c r="S560" s="670"/>
      <c r="T560" s="670"/>
      <c r="U560" s="670"/>
      <c r="V560" s="671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4296.3200000000006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4296.3200000000006</v>
      </c>
      <c r="Z560" s="42"/>
      <c r="AA560" s="67"/>
      <c r="AB560" s="67"/>
      <c r="AC560" s="67"/>
    </row>
    <row r="561" spans="1:32" x14ac:dyDescent="0.2">
      <c r="A561" s="661"/>
      <c r="B561" s="661"/>
      <c r="C561" s="661"/>
      <c r="D561" s="661"/>
      <c r="E561" s="661"/>
      <c r="F561" s="661"/>
      <c r="G561" s="661"/>
      <c r="H561" s="661"/>
      <c r="I561" s="661"/>
      <c r="J561" s="661"/>
      <c r="K561" s="661"/>
      <c r="L561" s="661"/>
      <c r="M561" s="661"/>
      <c r="N561" s="661"/>
      <c r="O561" s="672"/>
      <c r="P561" s="669" t="s">
        <v>34</v>
      </c>
      <c r="Q561" s="670"/>
      <c r="R561" s="670"/>
      <c r="S561" s="670"/>
      <c r="T561" s="670"/>
      <c r="U561" s="670"/>
      <c r="V561" s="671"/>
      <c r="W561" s="42" t="s">
        <v>0</v>
      </c>
      <c r="X561" s="43">
        <f>IFERROR(SUM(BM22:BM557),"0")</f>
        <v>4531.4369999999981</v>
      </c>
      <c r="Y561" s="43">
        <f>IFERROR(SUM(BN22:BN557),"0")</f>
        <v>4531.4369999999981</v>
      </c>
      <c r="Z561" s="42"/>
      <c r="AA561" s="67"/>
      <c r="AB561" s="67"/>
      <c r="AC561" s="67"/>
    </row>
    <row r="562" spans="1:32" x14ac:dyDescent="0.2">
      <c r="A562" s="661"/>
      <c r="B562" s="661"/>
      <c r="C562" s="661"/>
      <c r="D562" s="661"/>
      <c r="E562" s="661"/>
      <c r="F562" s="661"/>
      <c r="G562" s="661"/>
      <c r="H562" s="661"/>
      <c r="I562" s="661"/>
      <c r="J562" s="661"/>
      <c r="K562" s="661"/>
      <c r="L562" s="661"/>
      <c r="M562" s="661"/>
      <c r="N562" s="661"/>
      <c r="O562" s="672"/>
      <c r="P562" s="669" t="s">
        <v>35</v>
      </c>
      <c r="Q562" s="670"/>
      <c r="R562" s="670"/>
      <c r="S562" s="670"/>
      <c r="T562" s="670"/>
      <c r="U562" s="670"/>
      <c r="V562" s="671"/>
      <c r="W562" s="42" t="s">
        <v>20</v>
      </c>
      <c r="X562" s="44">
        <f>ROUNDUP(SUM(BO22:BO557),0)</f>
        <v>8</v>
      </c>
      <c r="Y562" s="44">
        <f>ROUNDUP(SUM(BP22:BP557),0)</f>
        <v>8</v>
      </c>
      <c r="Z562" s="42"/>
      <c r="AA562" s="67"/>
      <c r="AB562" s="67"/>
      <c r="AC562" s="67"/>
    </row>
    <row r="563" spans="1:32" x14ac:dyDescent="0.2">
      <c r="A563" s="661"/>
      <c r="B563" s="661"/>
      <c r="C563" s="661"/>
      <c r="D563" s="661"/>
      <c r="E563" s="661"/>
      <c r="F563" s="661"/>
      <c r="G563" s="661"/>
      <c r="H563" s="661"/>
      <c r="I563" s="661"/>
      <c r="J563" s="661"/>
      <c r="K563" s="661"/>
      <c r="L563" s="661"/>
      <c r="M563" s="661"/>
      <c r="N563" s="661"/>
      <c r="O563" s="672"/>
      <c r="P563" s="669" t="s">
        <v>36</v>
      </c>
      <c r="Q563" s="670"/>
      <c r="R563" s="670"/>
      <c r="S563" s="670"/>
      <c r="T563" s="670"/>
      <c r="U563" s="670"/>
      <c r="V563" s="671"/>
      <c r="W563" s="42" t="s">
        <v>0</v>
      </c>
      <c r="X563" s="43">
        <f>GrossWeightTotal+PalletQtyTotal*25</f>
        <v>4731.4369999999981</v>
      </c>
      <c r="Y563" s="43">
        <f>GrossWeightTotalR+PalletQtyTotalR*25</f>
        <v>4731.4369999999981</v>
      </c>
      <c r="Z563" s="42"/>
      <c r="AA563" s="67"/>
      <c r="AB563" s="67"/>
      <c r="AC563" s="67"/>
    </row>
    <row r="564" spans="1:32" x14ac:dyDescent="0.2">
      <c r="A564" s="661"/>
      <c r="B564" s="661"/>
      <c r="C564" s="661"/>
      <c r="D564" s="661"/>
      <c r="E564" s="661"/>
      <c r="F564" s="661"/>
      <c r="G564" s="661"/>
      <c r="H564" s="661"/>
      <c r="I564" s="661"/>
      <c r="J564" s="661"/>
      <c r="K564" s="661"/>
      <c r="L564" s="661"/>
      <c r="M564" s="661"/>
      <c r="N564" s="661"/>
      <c r="O564" s="672"/>
      <c r="P564" s="669" t="s">
        <v>37</v>
      </c>
      <c r="Q564" s="670"/>
      <c r="R564" s="670"/>
      <c r="S564" s="670"/>
      <c r="T564" s="670"/>
      <c r="U564" s="670"/>
      <c r="V564" s="671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694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694</v>
      </c>
      <c r="Z564" s="42"/>
      <c r="AA564" s="67"/>
      <c r="AB564" s="67"/>
      <c r="AC564" s="67"/>
    </row>
    <row r="565" spans="1:32" ht="14.25" hidden="1" x14ac:dyDescent="0.2">
      <c r="A565" s="661"/>
      <c r="B565" s="661"/>
      <c r="C565" s="661"/>
      <c r="D565" s="661"/>
      <c r="E565" s="661"/>
      <c r="F565" s="661"/>
      <c r="G565" s="661"/>
      <c r="H565" s="661"/>
      <c r="I565" s="661"/>
      <c r="J565" s="661"/>
      <c r="K565" s="661"/>
      <c r="L565" s="661"/>
      <c r="M565" s="661"/>
      <c r="N565" s="661"/>
      <c r="O565" s="672"/>
      <c r="P565" s="669" t="s">
        <v>38</v>
      </c>
      <c r="Q565" s="670"/>
      <c r="R565" s="670"/>
      <c r="S565" s="670"/>
      <c r="T565" s="670"/>
      <c r="U565" s="670"/>
      <c r="V565" s="671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9.3773600000000012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76</v>
      </c>
      <c r="C567" s="85" t="s">
        <v>45</v>
      </c>
      <c r="D567" s="654" t="s">
        <v>120</v>
      </c>
      <c r="E567" s="654" t="s">
        <v>120</v>
      </c>
      <c r="F567" s="654" t="s">
        <v>120</v>
      </c>
      <c r="G567" s="654" t="s">
        <v>120</v>
      </c>
      <c r="H567" s="654" t="s">
        <v>120</v>
      </c>
      <c r="I567" s="654" t="s">
        <v>120</v>
      </c>
      <c r="J567" s="654" t="s">
        <v>120</v>
      </c>
      <c r="K567" s="654" t="s">
        <v>360</v>
      </c>
      <c r="L567" s="654" t="s">
        <v>360</v>
      </c>
      <c r="M567" s="654" t="s">
        <v>360</v>
      </c>
      <c r="N567" s="655"/>
      <c r="O567" s="654" t="s">
        <v>360</v>
      </c>
      <c r="P567" s="654" t="s">
        <v>360</v>
      </c>
      <c r="Q567" s="654" t="s">
        <v>360</v>
      </c>
      <c r="R567" s="654" t="s">
        <v>360</v>
      </c>
      <c r="S567" s="654" t="s">
        <v>360</v>
      </c>
      <c r="T567" s="654" t="s">
        <v>360</v>
      </c>
      <c r="U567" s="654" t="s">
        <v>360</v>
      </c>
      <c r="V567" s="654" t="s">
        <v>360</v>
      </c>
      <c r="W567" s="654" t="s">
        <v>706</v>
      </c>
      <c r="X567" s="654" t="s">
        <v>706</v>
      </c>
      <c r="Y567" s="654" t="s">
        <v>772</v>
      </c>
      <c r="Z567" s="654" t="s">
        <v>772</v>
      </c>
      <c r="AA567" s="85" t="s">
        <v>808</v>
      </c>
      <c r="AB567" s="654" t="s">
        <v>855</v>
      </c>
      <c r="AC567" s="654" t="s">
        <v>855</v>
      </c>
      <c r="AF567" s="1"/>
    </row>
    <row r="568" spans="1:32" ht="14.25" customHeight="1" thickTop="1" x14ac:dyDescent="0.2">
      <c r="A568" s="656" t="s">
        <v>10</v>
      </c>
      <c r="B568" s="654" t="s">
        <v>76</v>
      </c>
      <c r="C568" s="654" t="s">
        <v>104</v>
      </c>
      <c r="D568" s="654" t="s">
        <v>121</v>
      </c>
      <c r="E568" s="654" t="s">
        <v>137</v>
      </c>
      <c r="F568" s="654" t="s">
        <v>182</v>
      </c>
      <c r="G568" s="654" t="s">
        <v>209</v>
      </c>
      <c r="H568" s="654" t="s">
        <v>260</v>
      </c>
      <c r="I568" s="654" t="s">
        <v>273</v>
      </c>
      <c r="J568" s="654" t="s">
        <v>120</v>
      </c>
      <c r="K568" s="654" t="s">
        <v>361</v>
      </c>
      <c r="L568" s="654" t="s">
        <v>382</v>
      </c>
      <c r="M568" s="654" t="s">
        <v>449</v>
      </c>
      <c r="N568" s="1"/>
      <c r="O568" s="654" t="s">
        <v>517</v>
      </c>
      <c r="P568" s="654" t="s">
        <v>550</v>
      </c>
      <c r="Q568" s="654" t="s">
        <v>566</v>
      </c>
      <c r="R568" s="654" t="s">
        <v>575</v>
      </c>
      <c r="S568" s="654" t="s">
        <v>596</v>
      </c>
      <c r="T568" s="654" t="s">
        <v>605</v>
      </c>
      <c r="U568" s="654" t="s">
        <v>689</v>
      </c>
      <c r="V568" s="654" t="s">
        <v>696</v>
      </c>
      <c r="W568" s="654" t="s">
        <v>707</v>
      </c>
      <c r="X568" s="654" t="s">
        <v>756</v>
      </c>
      <c r="Y568" s="654" t="s">
        <v>773</v>
      </c>
      <c r="Z568" s="654" t="s">
        <v>796</v>
      </c>
      <c r="AA568" s="654" t="s">
        <v>808</v>
      </c>
      <c r="AB568" s="654" t="s">
        <v>855</v>
      </c>
      <c r="AC568" s="654" t="s">
        <v>874</v>
      </c>
      <c r="AF568" s="1"/>
    </row>
    <row r="569" spans="1:32" ht="13.5" thickBot="1" x14ac:dyDescent="0.25">
      <c r="A569" s="657"/>
      <c r="B569" s="654"/>
      <c r="C569" s="654"/>
      <c r="D569" s="654"/>
      <c r="E569" s="654"/>
      <c r="F569" s="654"/>
      <c r="G569" s="654"/>
      <c r="H569" s="654"/>
      <c r="I569" s="654"/>
      <c r="J569" s="654"/>
      <c r="K569" s="654"/>
      <c r="L569" s="654"/>
      <c r="M569" s="654"/>
      <c r="N569" s="1"/>
      <c r="O569" s="654"/>
      <c r="P569" s="654"/>
      <c r="Q569" s="654"/>
      <c r="R569" s="654"/>
      <c r="S569" s="654"/>
      <c r="T569" s="654"/>
      <c r="U569" s="654"/>
      <c r="V569" s="654"/>
      <c r="W569" s="654"/>
      <c r="X569" s="654"/>
      <c r="Y569" s="654"/>
      <c r="Z569" s="654"/>
      <c r="AA569" s="654"/>
      <c r="AB569" s="654"/>
      <c r="AC569" s="654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108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40.5</v>
      </c>
      <c r="F570" s="52">
        <f>IFERROR(Y85*1,"0")+IFERROR(Y86*1,"0")+IFERROR(Y87*1,"0")+IFERROR(Y88*1,"0")+IFERROR(Y89*1,"0")+IFERROR(Y93*1,"0")+IFERROR(Y94*1,"0")+IFERROR(Y95*1,"0")+IFERROR(Y96*1,"0")+IFERROR(Y97*1,"0")+IFERROR(Y98*1,"0")</f>
        <v>84.96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113.4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133.56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202.79999999999995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363.90000000000003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55.1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2030.9999999999998</v>
      </c>
      <c r="U570" s="52">
        <f>IFERROR(Y418*1,"0")+IFERROR(Y419*1,"0")</f>
        <v>0</v>
      </c>
      <c r="V570" s="52">
        <f>IFERROR(Y424*1,"0")+IFERROR(Y425*1,"0")+IFERROR(Y426*1,"0")</f>
        <v>121.5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834</v>
      </c>
      <c r="X570" s="52">
        <f>IFERROR(Y461*1,"0")+IFERROR(Y462*1,"0")+IFERROR(Y466*1,"0")+IFERROR(Y470*1,"0")+IFERROR(Y471*1,"0")+IFERROR(Y472*1,"0")</f>
        <v>27</v>
      </c>
      <c r="Y570" s="52">
        <f>IFERROR(Y478*1,"0")+IFERROR(Y479*1,"0")+IFERROR(Y480*1,"0")+IFERROR(Y481*1,"0")+IFERROR(Y482*1,"0")+IFERROR(Y483*1,"0")+IFERROR(Y487*1,"0")+IFERROR(Y488*1,"0")</f>
        <v>98.100000000000009</v>
      </c>
      <c r="Z570" s="52">
        <f>IFERROR(Y493*1,"0")+IFERROR(Y497*1,"0")+IFERROR(Y498*1,"0")+IFERROR(Y499*1,"0")</f>
        <v>37.5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45</v>
      </c>
      <c r="AC570" s="52">
        <f>IFERROR(Y557*1,"0")</f>
        <v>0</v>
      </c>
      <c r="AF570" s="1"/>
    </row>
  </sheetData>
  <sheetProtection algorithmName="SHA-512" hashValue="uSRBYg9xXxrqv8C90DM9Oa/rj+1Bqi3tPUiyCoNW5CabgOmyR0nnyTmgsnQfcB03dcsrj3mCZtUJ4KlxAYg7TQ==" saltValue="qaAKLlgLjq8YotU9e/xdJA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97,60"/>
        <filter val="1 686,60"/>
        <filter val="1,80"/>
        <filter val="10,00"/>
        <filter val="10,50"/>
        <filter val="105,00"/>
        <filter val="108,00"/>
        <filter val="11,60"/>
        <filter val="11,76"/>
        <filter val="12,00"/>
        <filter val="12,60"/>
        <filter val="121,50"/>
        <filter val="128,52"/>
        <filter val="13,00"/>
        <filter val="13,50"/>
        <filter val="139,80"/>
        <filter val="14,70"/>
        <filter val="15,00"/>
        <filter val="158,40"/>
        <filter val="16,80"/>
        <filter val="17,00"/>
        <filter val="17,50"/>
        <filter val="18,00"/>
        <filter val="193,20"/>
        <filter val="2,00"/>
        <filter val="204,60"/>
        <filter val="205,50"/>
        <filter val="21,00"/>
        <filter val="21,90"/>
        <filter val="222,00"/>
        <filter val="23,40"/>
        <filter val="24,00"/>
        <filter val="25,20"/>
        <filter val="27,00"/>
        <filter val="3,00"/>
        <filter val="3,60"/>
        <filter val="3,96"/>
        <filter val="30,00"/>
        <filter val="31,00"/>
        <filter val="32,40"/>
        <filter val="35,00"/>
        <filter val="37,50"/>
        <filter val="39,00"/>
        <filter val="4 296,32"/>
        <filter val="4 531,44"/>
        <filter val="4 731,44"/>
        <filter val="4,80"/>
        <filter val="42,00"/>
        <filter val="44,00"/>
        <filter val="45,00"/>
        <filter val="48,00"/>
        <filter val="5,00"/>
        <filter val="5,04"/>
        <filter val="55,10"/>
        <filter val="56,70"/>
        <filter val="57,00"/>
        <filter val="58,80"/>
        <filter val="60,90"/>
        <filter val="68,00"/>
        <filter val="694,00"/>
        <filter val="720,00"/>
        <filter val="78,00"/>
        <filter val="8"/>
        <filter val="81,00"/>
        <filter val="84,96"/>
        <filter val="9,60"/>
        <filter val="96,00"/>
        <filter val="98,10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878</v>
      </c>
      <c r="H1" s="9"/>
    </row>
    <row r="3" spans="2:8" x14ac:dyDescent="0.2">
      <c r="B3" s="53" t="s">
        <v>879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880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881</v>
      </c>
      <c r="C6" s="53" t="s">
        <v>882</v>
      </c>
      <c r="D6" s="53" t="s">
        <v>883</v>
      </c>
      <c r="E6" s="53" t="s">
        <v>46</v>
      </c>
    </row>
    <row r="7" spans="2:8" x14ac:dyDescent="0.2">
      <c r="B7" s="53" t="s">
        <v>884</v>
      </c>
      <c r="C7" s="53" t="s">
        <v>885</v>
      </c>
      <c r="D7" s="53" t="s">
        <v>886</v>
      </c>
      <c r="E7" s="53" t="s">
        <v>46</v>
      </c>
    </row>
    <row r="8" spans="2:8" x14ac:dyDescent="0.2">
      <c r="B8" s="53" t="s">
        <v>887</v>
      </c>
      <c r="C8" s="53" t="s">
        <v>888</v>
      </c>
      <c r="D8" s="53" t="s">
        <v>889</v>
      </c>
      <c r="E8" s="53" t="s">
        <v>46</v>
      </c>
    </row>
    <row r="10" spans="2:8" x14ac:dyDescent="0.2">
      <c r="B10" s="53" t="s">
        <v>890</v>
      </c>
      <c r="C10" s="53" t="s">
        <v>882</v>
      </c>
      <c r="D10" s="53" t="s">
        <v>46</v>
      </c>
      <c r="E10" s="53" t="s">
        <v>46</v>
      </c>
    </row>
    <row r="12" spans="2:8" x14ac:dyDescent="0.2">
      <c r="B12" s="53" t="s">
        <v>891</v>
      </c>
      <c r="C12" s="53" t="s">
        <v>885</v>
      </c>
      <c r="D12" s="53" t="s">
        <v>46</v>
      </c>
      <c r="E12" s="53" t="s">
        <v>46</v>
      </c>
    </row>
    <row r="14" spans="2:8" x14ac:dyDescent="0.2">
      <c r="B14" s="53" t="s">
        <v>892</v>
      </c>
      <c r="C14" s="53" t="s">
        <v>888</v>
      </c>
      <c r="D14" s="53" t="s">
        <v>46</v>
      </c>
      <c r="E14" s="53" t="s">
        <v>46</v>
      </c>
    </row>
    <row r="16" spans="2:8" x14ac:dyDescent="0.2">
      <c r="B16" s="53" t="s">
        <v>893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901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902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903</v>
      </c>
      <c r="C26" s="53" t="s">
        <v>46</v>
      </c>
      <c r="D26" s="53" t="s">
        <v>46</v>
      </c>
      <c r="E26" s="53" t="s">
        <v>46</v>
      </c>
    </row>
  </sheetData>
  <sheetProtection algorithmName="SHA-512" hashValue="3FsORioM+sqRC4kELcvd8fyeJJF6ogeS3manYWGYj1hDADyuVh7eyPm8oM8mrTMoTi4pcOd2UTH0cvwJ6fcA7Q==" saltValue="K+jVcJupVfPn2ZbB5XP8r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terms/"/>
    <ds:schemaRef ds:uri="http://www.w3.org/XML/1998/namespace"/>
    <ds:schemaRef ds:uri="http://purl.org/dc/dcmitype/"/>
    <ds:schemaRef ds:uri="http://schemas.microsoft.com/office/2006/documentManagement/types"/>
    <ds:schemaRef ds:uri="bb0b2827-4eb3-461f-8866-28597c48f47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2026-09-01T09:15:00Z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