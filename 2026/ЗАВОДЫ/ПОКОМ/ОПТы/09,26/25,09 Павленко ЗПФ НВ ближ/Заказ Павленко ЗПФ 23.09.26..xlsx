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611E39B-5F41-4DEE-8C20-28EAB38C7D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BP242" i="2" s="1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BP87" i="2" s="1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Y157" i="2" l="1"/>
  <c r="BN156" i="2"/>
  <c r="Z211" i="2"/>
  <c r="Y49" i="2"/>
  <c r="Y211" i="2"/>
  <c r="Z89" i="2"/>
  <c r="BN87" i="2"/>
  <c r="Y132" i="2"/>
  <c r="BN131" i="2"/>
  <c r="Z179" i="2"/>
  <c r="BN183" i="2"/>
  <c r="BN189" i="2"/>
  <c r="BN190" i="2"/>
  <c r="BN209" i="2"/>
  <c r="BN25" i="2"/>
  <c r="Z43" i="2"/>
  <c r="BN47" i="2"/>
  <c r="Z78" i="2"/>
  <c r="Y117" i="2"/>
  <c r="BN110" i="2"/>
  <c r="Y124" i="2"/>
  <c r="Z132" i="2"/>
  <c r="Y139" i="2"/>
  <c r="BN136" i="2"/>
  <c r="Y152" i="2"/>
  <c r="Z157" i="2"/>
  <c r="BN166" i="2"/>
  <c r="Z205" i="2"/>
  <c r="BN202" i="2"/>
  <c r="BN246" i="2"/>
  <c r="Z254" i="2"/>
  <c r="X280" i="2"/>
  <c r="Y31" i="2"/>
  <c r="BP97" i="2"/>
  <c r="Y206" i="2"/>
  <c r="Y221" i="2"/>
  <c r="Y227" i="2"/>
  <c r="Y237" i="2"/>
  <c r="Y238" i="2"/>
  <c r="Y243" i="2"/>
  <c r="BN22" i="2"/>
  <c r="BN23" i="2"/>
  <c r="Z36" i="2"/>
  <c r="Z57" i="2"/>
  <c r="BN65" i="2"/>
  <c r="BP65" i="2"/>
  <c r="Y73" i="2"/>
  <c r="BP71" i="2"/>
  <c r="Y89" i="2"/>
  <c r="BN98" i="2"/>
  <c r="Z105" i="2"/>
  <c r="Z151" i="2"/>
  <c r="BN150" i="2"/>
  <c r="Y167" i="2"/>
  <c r="Y184" i="2"/>
  <c r="Y185" i="2"/>
  <c r="BN220" i="2"/>
  <c r="BN226" i="2"/>
  <c r="BN232" i="2"/>
  <c r="BN236" i="2"/>
  <c r="BN242" i="2"/>
  <c r="Y244" i="2"/>
  <c r="BN253" i="2"/>
  <c r="BN275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X282" i="2" l="1"/>
  <c r="Y279" i="2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<sst xmlns="http://schemas.openxmlformats.org/spreadsheetml/2006/main" count="1753" uniqueCount="420">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</sst>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46286</v>
      </c>
      <c r="R5" s="292"/>
      <c r="T5" s="293" t="s">
        <v>3</v>
      </c>
      <c r="U5" s="294"/>
      <c r="V5" s="295" t="s">
        <v>388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hidden="1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hidden="1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hidden="1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84</v>
      </c>
      <c r="Y23" s="55">
        <f t="shared" si="0"/>
        <v>84</v>
      </c>
      <c r="Z23" s="41">
        <f t="shared" si="1"/>
        <v>1.302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556.91999999999996</v>
      </c>
      <c r="BN23" s="81">
        <f t="shared" si="3"/>
        <v>556.91999999999996</v>
      </c>
      <c r="BO23" s="81">
        <f t="shared" si="4"/>
        <v>1</v>
      </c>
      <c r="BP23" s="81">
        <f t="shared" si="5"/>
        <v>1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84</v>
      </c>
      <c r="Y30" s="43">
        <f>IFERROR(SUM(Y22:Y29),"0")</f>
        <v>84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67"/>
      <c r="AB30" s="67"/>
      <c r="AC30" s="67"/>
    </row>
    <row r="31" spans="1:68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537.6</v>
      </c>
      <c r="Y31" s="43">
        <f>IFERROR(SUMPRODUCT(Y22:Y29*H22:H29),"0")</f>
        <v>537.6</v>
      </c>
      <c r="Z31" s="42"/>
      <c r="AA31" s="67"/>
      <c r="AB31" s="67"/>
      <c r="AC31" s="67"/>
    </row>
    <row r="32" spans="1:68" ht="16.5" hidden="1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hidden="1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hidden="1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hidden="1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140</v>
      </c>
      <c r="Y42" s="55">
        <f>IFERROR(IF(X42="","",X42),"")</f>
        <v>140</v>
      </c>
      <c r="Z42" s="41">
        <f>IFERROR(IF(X42="","",X42*0.00941),"")</f>
        <v>1.3173999999999999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269.05200000000002</v>
      </c>
      <c r="BN42" s="81">
        <f>IFERROR(Y42*I42,"0")</f>
        <v>269.05200000000002</v>
      </c>
      <c r="BO42" s="81">
        <f>IFERROR(X42/J42,"0")</f>
        <v>1</v>
      </c>
      <c r="BP42" s="81">
        <f>IFERROR(Y42/J42,"0")</f>
        <v>1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280</v>
      </c>
      <c r="Y43" s="43">
        <f>IFERROR(SUM(Y41:Y42),"0")</f>
        <v>280</v>
      </c>
      <c r="Z43" s="43">
        <f>IFERROR(IF(Z41="",0,Z41),"0")+IFERROR(IF(Z42="",0,Z42),"0")</f>
        <v>2.6347999999999998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420</v>
      </c>
      <c r="Y44" s="43">
        <f>IFERROR(SUMPRODUCT(Y41:Y42*H41:H42),"0")</f>
        <v>420</v>
      </c>
      <c r="Z44" s="42"/>
      <c r="AA44" s="67"/>
      <c r="AB44" s="67"/>
      <c r="AC44" s="67"/>
    </row>
    <row r="45" spans="1:68" ht="16.5" hidden="1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hidden="1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hidden="1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168</v>
      </c>
      <c r="Y53" s="55">
        <f>IFERROR(IF(X53="","",X53),"")</f>
        <v>168</v>
      </c>
      <c r="Z53" s="41">
        <f>IFERROR(IF(X53="","",X53*0.0155),"")</f>
        <v>2.6040000000000001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1226.3999999999999</v>
      </c>
      <c r="BN53" s="81">
        <f>IFERROR(Y53*I53,"0")</f>
        <v>1226.3999999999999</v>
      </c>
      <c r="BO53" s="81">
        <f>IFERROR(X53/J53,"0")</f>
        <v>2</v>
      </c>
      <c r="BP53" s="81">
        <f>IFERROR(Y53/J53,"0")</f>
        <v>2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168</v>
      </c>
      <c r="Y54" s="55">
        <f>IFERROR(IF(X54="","",X54),"")</f>
        <v>168</v>
      </c>
      <c r="Z54" s="41">
        <f>IFERROR(IF(X54="","",X54*0.0155),"")</f>
        <v>2.6040000000000001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1224.048</v>
      </c>
      <c r="BN54" s="81">
        <f>IFERROR(Y54*I54,"0")</f>
        <v>1224.048</v>
      </c>
      <c r="BO54" s="81">
        <f>IFERROR(X54/J54,"0")</f>
        <v>2</v>
      </c>
      <c r="BP54" s="81">
        <f>IFERROR(Y54/J54,"0")</f>
        <v>2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168</v>
      </c>
      <c r="Y56" s="55">
        <f>IFERROR(IF(X56="","",X56),"")</f>
        <v>168</v>
      </c>
      <c r="Z56" s="41">
        <f>IFERROR(IF(X56="","",X56*0.0155),"")</f>
        <v>2.6040000000000001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1226.3999999999999</v>
      </c>
      <c r="BN56" s="81">
        <f>IFERROR(Y56*I56,"0")</f>
        <v>1226.3999999999999</v>
      </c>
      <c r="BO56" s="81">
        <f>IFERROR(X56/J56,"0")</f>
        <v>2</v>
      </c>
      <c r="BP56" s="81">
        <f>IFERROR(Y56/J56,"0")</f>
        <v>2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504</v>
      </c>
      <c r="Y57" s="43">
        <f>IFERROR(SUM(Y53:Y56),"0")</f>
        <v>504</v>
      </c>
      <c r="Z57" s="43">
        <f>IFERROR(IF(Z53="",0,Z53),"0")+IFERROR(IF(Z54="",0,Z54),"0")+IFERROR(IF(Z55="",0,Z55),"0")+IFERROR(IF(Z56="",0,Z56),"0")</f>
        <v>7.8120000000000003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3528</v>
      </c>
      <c r="Y58" s="43">
        <f>IFERROR(SUMPRODUCT(Y53:Y56*H53:H56),"0")</f>
        <v>3528</v>
      </c>
      <c r="Z58" s="42"/>
      <c r="AA58" s="67"/>
      <c r="AB58" s="67"/>
      <c r="AC58" s="67"/>
    </row>
    <row r="59" spans="1:68" ht="16.5" hidden="1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hidden="1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356">
        <v>4607111037398</v>
      </c>
      <c r="E65" s="356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1"/>
      <c r="P66" s="367" t="s">
        <v>40</v>
      </c>
      <c r="Q66" s="368"/>
      <c r="R66" s="368"/>
      <c r="S66" s="368"/>
      <c r="T66" s="368"/>
      <c r="U66" s="368"/>
      <c r="V66" s="36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5" t="s">
        <v>147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356">
        <v>4607111039705</v>
      </c>
      <c r="E69" s="356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356">
        <v>4607111039729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356">
        <v>4620207490228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1"/>
      <c r="P72" s="367" t="s">
        <v>40</v>
      </c>
      <c r="Q72" s="368"/>
      <c r="R72" s="368"/>
      <c r="S72" s="368"/>
      <c r="T72" s="368"/>
      <c r="U72" s="368"/>
      <c r="V72" s="369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54" t="s">
        <v>155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5"/>
      <c r="AB74" s="65"/>
      <c r="AC74" s="82"/>
    </row>
    <row r="75" spans="1:68" ht="14.25" hidden="1" customHeight="1" x14ac:dyDescent="0.25">
      <c r="A75" s="355" t="s">
        <v>80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6"/>
      <c r="AB75" s="66"/>
      <c r="AC75" s="83"/>
    </row>
    <row r="76" spans="1:68" ht="27" hidden="1" customHeight="1" x14ac:dyDescent="0.25">
      <c r="A76" s="63" t="s">
        <v>156</v>
      </c>
      <c r="B76" s="63" t="s">
        <v>157</v>
      </c>
      <c r="C76" s="36">
        <v>4301070977</v>
      </c>
      <c r="D76" s="356">
        <v>4607111037411</v>
      </c>
      <c r="E76" s="356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356">
        <v>4607111036728</v>
      </c>
      <c r="E77" s="356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idden="1" x14ac:dyDescent="0.2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1"/>
      <c r="P78" s="367" t="s">
        <v>40</v>
      </c>
      <c r="Q78" s="368"/>
      <c r="R78" s="368"/>
      <c r="S78" s="368"/>
      <c r="T78" s="368"/>
      <c r="U78" s="368"/>
      <c r="V78" s="369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hidden="1" customHeight="1" x14ac:dyDescent="0.25">
      <c r="A80" s="354" t="s">
        <v>162</v>
      </c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65"/>
      <c r="AB80" s="65"/>
      <c r="AC80" s="82"/>
    </row>
    <row r="81" spans="1:68" ht="14.25" hidden="1" customHeight="1" x14ac:dyDescent="0.25">
      <c r="A81" s="355" t="s">
        <v>147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4301135574</v>
      </c>
      <c r="D82" s="356">
        <v>4607111033659</v>
      </c>
      <c r="E82" s="356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117</v>
      </c>
      <c r="M82" s="38" t="s">
        <v>84</v>
      </c>
      <c r="N82" s="38"/>
      <c r="O82" s="37">
        <v>180</v>
      </c>
      <c r="P82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>
        <v>70</v>
      </c>
      <c r="Y82" s="55">
        <f>IFERROR(IF(X82="","",X82),"")</f>
        <v>70</v>
      </c>
      <c r="Z82" s="41">
        <f>IFERROR(IF(X82="","",X82*0.01788),"")</f>
        <v>1.2516</v>
      </c>
      <c r="AA82" s="68" t="s">
        <v>46</v>
      </c>
      <c r="AB82" s="69" t="s">
        <v>46</v>
      </c>
      <c r="AC82" s="139" t="s">
        <v>165</v>
      </c>
      <c r="AG82" s="81"/>
      <c r="AJ82" s="87" t="s">
        <v>118</v>
      </c>
      <c r="AK82" s="87">
        <v>14</v>
      </c>
      <c r="BB82" s="140" t="s">
        <v>115</v>
      </c>
      <c r="BM82" s="81">
        <f>IFERROR(X82*I82,"0")</f>
        <v>301.25200000000001</v>
      </c>
      <c r="BN82" s="81">
        <f>IFERROR(Y82*I82,"0")</f>
        <v>301.25200000000001</v>
      </c>
      <c r="BO82" s="81">
        <f>IFERROR(X82/J82,"0")</f>
        <v>1</v>
      </c>
      <c r="BP82" s="81">
        <f>IFERROR(Y82/J82,"0")</f>
        <v>1</v>
      </c>
    </row>
    <row r="83" spans="1:68" x14ac:dyDescent="0.2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1"/>
      <c r="P83" s="367" t="s">
        <v>40</v>
      </c>
      <c r="Q83" s="368"/>
      <c r="R83" s="368"/>
      <c r="S83" s="368"/>
      <c r="T83" s="368"/>
      <c r="U83" s="368"/>
      <c r="V83" s="369"/>
      <c r="W83" s="42" t="s">
        <v>39</v>
      </c>
      <c r="X83" s="43">
        <f>IFERROR(SUM(X82:X82),"0")</f>
        <v>70</v>
      </c>
      <c r="Y83" s="43">
        <f>IFERROR(SUM(Y82:Y82),"0")</f>
        <v>70</v>
      </c>
      <c r="Z83" s="43">
        <f>IFERROR(IF(Z82="",0,Z82),"0")</f>
        <v>1.2516</v>
      </c>
      <c r="AA83" s="67"/>
      <c r="AB83" s="67"/>
      <c r="AC83" s="67"/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0</v>
      </c>
      <c r="X84" s="43">
        <f>IFERROR(SUMPRODUCT(X82:X82*H82:H82),"0")</f>
        <v>252</v>
      </c>
      <c r="Y84" s="43">
        <f>IFERROR(SUMPRODUCT(Y82:Y82*H82:H82),"0")</f>
        <v>252</v>
      </c>
      <c r="Z84" s="42"/>
      <c r="AA84" s="67"/>
      <c r="AB84" s="67"/>
      <c r="AC84" s="67"/>
    </row>
    <row r="85" spans="1:68" ht="16.5" hidden="1" customHeight="1" x14ac:dyDescent="0.25">
      <c r="A85" s="354" t="s">
        <v>166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hidden="1" customHeight="1" x14ac:dyDescent="0.25">
      <c r="A86" s="355" t="s">
        <v>167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56">
        <v>4607111034120</v>
      </c>
      <c r="E87" s="356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210</v>
      </c>
      <c r="Y87" s="55">
        <f>IFERROR(IF(X87="","",X87),"")</f>
        <v>210</v>
      </c>
      <c r="Z87" s="41">
        <f>IFERROR(IF(X87="","",X87*0.01788),"")</f>
        <v>3.7547999999999999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903.75600000000009</v>
      </c>
      <c r="BN87" s="81">
        <f>IFERROR(Y87*I87,"0")</f>
        <v>903.75600000000009</v>
      </c>
      <c r="BO87" s="81">
        <f>IFERROR(X87/J87,"0")</f>
        <v>3</v>
      </c>
      <c r="BP87" s="81">
        <f>IFERROR(Y87/J87,"0")</f>
        <v>3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56">
        <v>4607111034137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140</v>
      </c>
      <c r="Y88" s="55">
        <f>IFERROR(IF(X88="","",X88),"")</f>
        <v>140</v>
      </c>
      <c r="Z88" s="41">
        <f>IFERROR(IF(X88="","",X88*0.01788),"")</f>
        <v>2.5032000000000001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602.50400000000002</v>
      </c>
      <c r="BN88" s="81">
        <f>IFERROR(Y88*I88,"0")</f>
        <v>602.50400000000002</v>
      </c>
      <c r="BO88" s="81">
        <f>IFERROR(X88/J88,"0")</f>
        <v>2</v>
      </c>
      <c r="BP88" s="81">
        <f>IFERROR(Y88/J88,"0")</f>
        <v>2</v>
      </c>
    </row>
    <row r="89" spans="1:68" x14ac:dyDescent="0.2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1"/>
      <c r="P89" s="367" t="s">
        <v>40</v>
      </c>
      <c r="Q89" s="368"/>
      <c r="R89" s="368"/>
      <c r="S89" s="368"/>
      <c r="T89" s="368"/>
      <c r="U89" s="368"/>
      <c r="V89" s="369"/>
      <c r="W89" s="42" t="s">
        <v>39</v>
      </c>
      <c r="X89" s="43">
        <f>IFERROR(SUM(X87:X88),"0")</f>
        <v>350</v>
      </c>
      <c r="Y89" s="43">
        <f>IFERROR(SUM(Y87:Y88),"0")</f>
        <v>350</v>
      </c>
      <c r="Z89" s="43">
        <f>IFERROR(IF(Z87="",0,Z87),"0")+IFERROR(IF(Z88="",0,Z88),"0")</f>
        <v>6.258</v>
      </c>
      <c r="AA89" s="67"/>
      <c r="AB89" s="67"/>
      <c r="AC89" s="67"/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0</v>
      </c>
      <c r="X90" s="43">
        <f>IFERROR(SUMPRODUCT(X87:X88*H87:H88),"0")</f>
        <v>1260</v>
      </c>
      <c r="Y90" s="43">
        <f>IFERROR(SUMPRODUCT(Y87:Y88*H87:H88),"0")</f>
        <v>1260</v>
      </c>
      <c r="Z90" s="42"/>
      <c r="AA90" s="67"/>
      <c r="AB90" s="67"/>
      <c r="AC90" s="67"/>
    </row>
    <row r="91" spans="1:68" ht="16.5" hidden="1" customHeight="1" x14ac:dyDescent="0.25">
      <c r="A91" s="354" t="s">
        <v>174</v>
      </c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65"/>
      <c r="AB91" s="65"/>
      <c r="AC91" s="82"/>
    </row>
    <row r="92" spans="1:68" ht="14.25" hidden="1" customHeight="1" x14ac:dyDescent="0.25">
      <c r="A92" s="355" t="s">
        <v>147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6"/>
      <c r="AB92" s="66"/>
      <c r="AC92" s="83"/>
    </row>
    <row r="93" spans="1:68" ht="27" hidden="1" customHeight="1" x14ac:dyDescent="0.25">
      <c r="A93" s="63" t="s">
        <v>175</v>
      </c>
      <c r="B93" s="63" t="s">
        <v>176</v>
      </c>
      <c r="C93" s="36">
        <v>4301135763</v>
      </c>
      <c r="D93" s="356">
        <v>4620207491027</v>
      </c>
      <c r="E93" s="356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165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177</v>
      </c>
      <c r="B94" s="63" t="s">
        <v>178</v>
      </c>
      <c r="C94" s="36">
        <v>4301135914</v>
      </c>
      <c r="D94" s="356">
        <v>4620207491621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70</v>
      </c>
      <c r="Y94" s="55">
        <f t="shared" si="6"/>
        <v>70</v>
      </c>
      <c r="Z94" s="41">
        <f t="shared" si="7"/>
        <v>1.2516</v>
      </c>
      <c r="AA94" s="68" t="s">
        <v>46</v>
      </c>
      <c r="AB94" s="69" t="s">
        <v>46</v>
      </c>
      <c r="AC94" s="147" t="s">
        <v>179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250.852</v>
      </c>
      <c r="BN94" s="81">
        <f t="shared" si="9"/>
        <v>250.852</v>
      </c>
      <c r="BO94" s="81">
        <f t="shared" si="10"/>
        <v>1</v>
      </c>
      <c r="BP94" s="81">
        <f t="shared" si="11"/>
        <v>1</v>
      </c>
    </row>
    <row r="95" spans="1:68" ht="27" customHeight="1" x14ac:dyDescent="0.25">
      <c r="A95" s="63" t="s">
        <v>180</v>
      </c>
      <c r="B95" s="63" t="s">
        <v>181</v>
      </c>
      <c r="C95" s="36">
        <v>4301135990</v>
      </c>
      <c r="D95" s="356">
        <v>4620207491881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140</v>
      </c>
      <c r="Y95" s="55">
        <f t="shared" si="6"/>
        <v>140</v>
      </c>
      <c r="Z95" s="41">
        <f t="shared" si="7"/>
        <v>2.5032000000000001</v>
      </c>
      <c r="AA95" s="68" t="s">
        <v>46</v>
      </c>
      <c r="AB95" s="69" t="s">
        <v>46</v>
      </c>
      <c r="AC95" s="149" t="s">
        <v>179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501.70400000000001</v>
      </c>
      <c r="BN95" s="81">
        <f t="shared" si="9"/>
        <v>501.70400000000001</v>
      </c>
      <c r="BO95" s="81">
        <f t="shared" si="10"/>
        <v>2</v>
      </c>
      <c r="BP95" s="81">
        <f t="shared" si="11"/>
        <v>2</v>
      </c>
    </row>
    <row r="96" spans="1:68" ht="27" hidden="1" customHeight="1" x14ac:dyDescent="0.25">
      <c r="A96" s="63" t="s">
        <v>182</v>
      </c>
      <c r="B96" s="63" t="s">
        <v>183</v>
      </c>
      <c r="C96" s="36">
        <v>4301135920</v>
      </c>
      <c r="D96" s="356">
        <v>4620207491577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179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hidden="1" customHeight="1" x14ac:dyDescent="0.25">
      <c r="A97" s="63" t="s">
        <v>184</v>
      </c>
      <c r="B97" s="63" t="s">
        <v>185</v>
      </c>
      <c r="C97" s="36">
        <v>4301135984</v>
      </c>
      <c r="D97" s="356">
        <v>4620207491874</v>
      </c>
      <c r="E97" s="356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179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hidden="1" customHeight="1" x14ac:dyDescent="0.25">
      <c r="A98" s="63" t="s">
        <v>186</v>
      </c>
      <c r="B98" s="63" t="s">
        <v>187</v>
      </c>
      <c r="C98" s="36">
        <v>4301135285</v>
      </c>
      <c r="D98" s="356">
        <v>4607111036407</v>
      </c>
      <c r="E98" s="356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188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1"/>
      <c r="P99" s="367" t="s">
        <v>40</v>
      </c>
      <c r="Q99" s="368"/>
      <c r="R99" s="368"/>
      <c r="S99" s="368"/>
      <c r="T99" s="368"/>
      <c r="U99" s="368"/>
      <c r="V99" s="369"/>
      <c r="W99" s="42" t="s">
        <v>39</v>
      </c>
      <c r="X99" s="43">
        <f>IFERROR(SUM(X93:X98),"0")</f>
        <v>210</v>
      </c>
      <c r="Y99" s="43">
        <f>IFERROR(SUM(Y93:Y98),"0")</f>
        <v>210</v>
      </c>
      <c r="Z99" s="43">
        <f>IFERROR(IF(Z93="",0,Z93),"0")+IFERROR(IF(Z94="",0,Z94),"0")+IFERROR(IF(Z95="",0,Z95),"0")+IFERROR(IF(Z96="",0,Z96),"0")+IFERROR(IF(Z97="",0,Z97),"0")+IFERROR(IF(Z98="",0,Z98),"0")</f>
        <v>3.7548000000000004</v>
      </c>
      <c r="AA99" s="67"/>
      <c r="AB99" s="67"/>
      <c r="AC99" s="67"/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0</v>
      </c>
      <c r="X100" s="43">
        <f>IFERROR(SUMPRODUCT(X93:X98*H93:H98),"0")</f>
        <v>604.79999999999995</v>
      </c>
      <c r="Y100" s="43">
        <f>IFERROR(SUMPRODUCT(Y93:Y98*H93:H98),"0")</f>
        <v>604.79999999999995</v>
      </c>
      <c r="Z100" s="42"/>
      <c r="AA100" s="67"/>
      <c r="AB100" s="67"/>
      <c r="AC100" s="67"/>
    </row>
    <row r="101" spans="1:68" ht="16.5" hidden="1" customHeight="1" x14ac:dyDescent="0.25">
      <c r="A101" s="354" t="s">
        <v>189</v>
      </c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65"/>
      <c r="AB101" s="65"/>
      <c r="AC101" s="82"/>
    </row>
    <row r="102" spans="1:68" ht="14.25" hidden="1" customHeight="1" x14ac:dyDescent="0.25">
      <c r="A102" s="355" t="s">
        <v>143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356">
        <v>4620207491652</v>
      </c>
      <c r="E103" s="356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356">
        <v>4620207491645</v>
      </c>
      <c r="E104" s="356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1"/>
      <c r="P105" s="367" t="s">
        <v>40</v>
      </c>
      <c r="Q105" s="368"/>
      <c r="R105" s="368"/>
      <c r="S105" s="368"/>
      <c r="T105" s="368"/>
      <c r="U105" s="368"/>
      <c r="V105" s="369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4" t="s">
        <v>195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hidden="1" customHeight="1" x14ac:dyDescent="0.25">
      <c r="A108" s="355" t="s">
        <v>80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customHeight="1" x14ac:dyDescent="0.25">
      <c r="A109" s="63" t="s">
        <v>196</v>
      </c>
      <c r="B109" s="63" t="s">
        <v>197</v>
      </c>
      <c r="C109" s="36">
        <v>4301071074</v>
      </c>
      <c r="D109" s="356">
        <v>4620207491157</v>
      </c>
      <c r="E109" s="356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84</v>
      </c>
      <c r="Y109" s="55">
        <f t="shared" ref="Y109:Y115" si="12">IFERROR(IF(X109="","",X109),"")</f>
        <v>84</v>
      </c>
      <c r="Z109" s="41">
        <f t="shared" ref="Z109:Z115" si="13">IFERROR(IF(X109="","",X109*0.0155),"")</f>
        <v>1.302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611.52</v>
      </c>
      <c r="BN109" s="81">
        <f t="shared" ref="BN109:BN115" si="15">IFERROR(Y109*I109,"0")</f>
        <v>611.52</v>
      </c>
      <c r="BO109" s="81">
        <f t="shared" ref="BO109:BO115" si="16">IFERROR(X109/J109,"0")</f>
        <v>1</v>
      </c>
      <c r="BP109" s="81">
        <f t="shared" ref="BP109:BP115" si="17">IFERROR(Y109/J109,"0")</f>
        <v>1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356">
        <v>4620207491393</v>
      </c>
      <c r="E110" s="356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hidden="1" customHeight="1" x14ac:dyDescent="0.25">
      <c r="A111" s="63" t="s">
        <v>202</v>
      </c>
      <c r="B111" s="63" t="s">
        <v>203</v>
      </c>
      <c r="C111" s="36">
        <v>4301071051</v>
      </c>
      <c r="D111" s="356">
        <v>4607111039262</v>
      </c>
      <c r="E111" s="356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56">
        <v>4607111039248</v>
      </c>
      <c r="E112" s="356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168</v>
      </c>
      <c r="Y112" s="55">
        <f t="shared" si="12"/>
        <v>168</v>
      </c>
      <c r="Z112" s="41">
        <f t="shared" si="13"/>
        <v>2.6040000000000001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1226.3999999999999</v>
      </c>
      <c r="BN112" s="81">
        <f t="shared" si="15"/>
        <v>1226.3999999999999</v>
      </c>
      <c r="BO112" s="81">
        <f t="shared" si="16"/>
        <v>2</v>
      </c>
      <c r="BP112" s="81">
        <f t="shared" si="17"/>
        <v>2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356">
        <v>4607111037145</v>
      </c>
      <c r="E113" s="356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4301071049</v>
      </c>
      <c r="D114" s="356">
        <v>4607111039293</v>
      </c>
      <c r="E114" s="356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158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4301071039</v>
      </c>
      <c r="D115" s="356">
        <v>4607111039279</v>
      </c>
      <c r="E115" s="356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168</v>
      </c>
      <c r="Y115" s="55">
        <f t="shared" si="12"/>
        <v>168</v>
      </c>
      <c r="Z115" s="41">
        <f t="shared" si="13"/>
        <v>2.6040000000000001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1226.3999999999999</v>
      </c>
      <c r="BN115" s="81">
        <f t="shared" si="15"/>
        <v>1226.3999999999999</v>
      </c>
      <c r="BO115" s="81">
        <f t="shared" si="16"/>
        <v>2</v>
      </c>
      <c r="BP115" s="81">
        <f t="shared" si="17"/>
        <v>2</v>
      </c>
    </row>
    <row r="116" spans="1:68" x14ac:dyDescent="0.2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1"/>
      <c r="P116" s="367" t="s">
        <v>40</v>
      </c>
      <c r="Q116" s="368"/>
      <c r="R116" s="368"/>
      <c r="S116" s="368"/>
      <c r="T116" s="368"/>
      <c r="U116" s="368"/>
      <c r="V116" s="369"/>
      <c r="W116" s="42" t="s">
        <v>39</v>
      </c>
      <c r="X116" s="43">
        <f>IFERROR(SUM(X109:X115),"0")</f>
        <v>420</v>
      </c>
      <c r="Y116" s="43">
        <f>IFERROR(SUM(Y109:Y115),"0")</f>
        <v>420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6.51</v>
      </c>
      <c r="AA116" s="67"/>
      <c r="AB116" s="67"/>
      <c r="AC116" s="67"/>
    </row>
    <row r="117" spans="1:68" x14ac:dyDescent="0.2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1"/>
      <c r="P117" s="367" t="s">
        <v>40</v>
      </c>
      <c r="Q117" s="368"/>
      <c r="R117" s="368"/>
      <c r="S117" s="368"/>
      <c r="T117" s="368"/>
      <c r="U117" s="368"/>
      <c r="V117" s="369"/>
      <c r="W117" s="42" t="s">
        <v>0</v>
      </c>
      <c r="X117" s="43">
        <f>IFERROR(SUMPRODUCT(X109:X115*H109:H115),"0")</f>
        <v>2940</v>
      </c>
      <c r="Y117" s="43">
        <f>IFERROR(SUMPRODUCT(Y109:Y115*H109:H115),"0")</f>
        <v>2940</v>
      </c>
      <c r="Z117" s="42"/>
      <c r="AA117" s="67"/>
      <c r="AB117" s="67"/>
      <c r="AC117" s="67"/>
    </row>
    <row r="118" spans="1:68" ht="14.25" hidden="1" customHeight="1" x14ac:dyDescent="0.25">
      <c r="A118" s="355" t="s">
        <v>147</v>
      </c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  <c r="T118" s="355"/>
      <c r="U118" s="355"/>
      <c r="V118" s="355"/>
      <c r="W118" s="355"/>
      <c r="X118" s="355"/>
      <c r="Y118" s="355"/>
      <c r="Z118" s="355"/>
      <c r="AA118" s="66"/>
      <c r="AB118" s="66"/>
      <c r="AC118" s="83"/>
    </row>
    <row r="119" spans="1:68" ht="27" hidden="1" customHeight="1" x14ac:dyDescent="0.25">
      <c r="A119" s="63" t="s">
        <v>213</v>
      </c>
      <c r="B119" s="63" t="s">
        <v>214</v>
      </c>
      <c r="C119" s="36">
        <v>4301135826</v>
      </c>
      <c r="D119" s="356">
        <v>4620207490983</v>
      </c>
      <c r="E119" s="356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0</v>
      </c>
      <c r="Y119" s="55">
        <f>IFERROR(IF(X119="","",X119),"")</f>
        <v>0</v>
      </c>
      <c r="Z119" s="41">
        <f>IFERROR(IF(X119="","",X119*0.01788),"")</f>
        <v>0</v>
      </c>
      <c r="AA119" s="68" t="s">
        <v>46</v>
      </c>
      <c r="AB119" s="69" t="s">
        <v>46</v>
      </c>
      <c r="AC119" s="175" t="s">
        <v>215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0</v>
      </c>
      <c r="BN119" s="81">
        <f>IFERROR(Y119*I119,"0")</f>
        <v>0</v>
      </c>
      <c r="BO119" s="81">
        <f>IFERROR(X119/J119,"0")</f>
        <v>0</v>
      </c>
      <c r="BP119" s="81">
        <f>IFERROR(Y119/J119,"0")</f>
        <v>0</v>
      </c>
    </row>
    <row r="120" spans="1:68" hidden="1" x14ac:dyDescent="0.2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1"/>
      <c r="P120" s="367" t="s">
        <v>40</v>
      </c>
      <c r="Q120" s="368"/>
      <c r="R120" s="368"/>
      <c r="S120" s="368"/>
      <c r="T120" s="368"/>
      <c r="U120" s="368"/>
      <c r="V120" s="369"/>
      <c r="W120" s="42" t="s">
        <v>39</v>
      </c>
      <c r="X120" s="43">
        <f>IFERROR(SUM(X119:X119),"0")</f>
        <v>0</v>
      </c>
      <c r="Y120" s="43">
        <f>IFERROR(SUM(Y119:Y119),"0")</f>
        <v>0</v>
      </c>
      <c r="Z120" s="43">
        <f>IFERROR(IF(Z119="",0,Z119),"0")</f>
        <v>0</v>
      </c>
      <c r="AA120" s="67"/>
      <c r="AB120" s="67"/>
      <c r="AC120" s="67"/>
    </row>
    <row r="121" spans="1:68" hidden="1" x14ac:dyDescent="0.2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1"/>
      <c r="P121" s="367" t="s">
        <v>40</v>
      </c>
      <c r="Q121" s="368"/>
      <c r="R121" s="368"/>
      <c r="S121" s="368"/>
      <c r="T121" s="368"/>
      <c r="U121" s="368"/>
      <c r="V121" s="369"/>
      <c r="W121" s="42" t="s">
        <v>0</v>
      </c>
      <c r="X121" s="43">
        <f>IFERROR(SUMPRODUCT(X119:X119*H119:H119),"0")</f>
        <v>0</v>
      </c>
      <c r="Y121" s="43">
        <f>IFERROR(SUMPRODUCT(Y119:Y119*H119:H119),"0")</f>
        <v>0</v>
      </c>
      <c r="Z121" s="42"/>
      <c r="AA121" s="67"/>
      <c r="AB121" s="67"/>
      <c r="AC121" s="67"/>
    </row>
    <row r="122" spans="1:68" ht="14.25" hidden="1" customHeight="1" x14ac:dyDescent="0.25">
      <c r="A122" s="355" t="s">
        <v>216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66"/>
      <c r="AB122" s="66"/>
      <c r="AC122" s="83"/>
    </row>
    <row r="123" spans="1:68" ht="27" hidden="1" customHeight="1" x14ac:dyDescent="0.25">
      <c r="A123" s="63" t="s">
        <v>217</v>
      </c>
      <c r="B123" s="63" t="s">
        <v>218</v>
      </c>
      <c r="C123" s="36">
        <v>4301071094</v>
      </c>
      <c r="D123" s="356">
        <v>4620207491140</v>
      </c>
      <c r="E123" s="356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40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8"/>
      <c r="R123" s="358"/>
      <c r="S123" s="358"/>
      <c r="T123" s="35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1"/>
      <c r="P124" s="367" t="s">
        <v>40</v>
      </c>
      <c r="Q124" s="368"/>
      <c r="R124" s="368"/>
      <c r="S124" s="368"/>
      <c r="T124" s="368"/>
      <c r="U124" s="368"/>
      <c r="V124" s="36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1"/>
      <c r="P125" s="367" t="s">
        <v>40</v>
      </c>
      <c r="Q125" s="368"/>
      <c r="R125" s="368"/>
      <c r="S125" s="368"/>
      <c r="T125" s="368"/>
      <c r="U125" s="368"/>
      <c r="V125" s="36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54" t="s">
        <v>220</v>
      </c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65"/>
      <c r="AB126" s="65"/>
      <c r="AC126" s="82"/>
    </row>
    <row r="127" spans="1:68" ht="14.25" hidden="1" customHeight="1" x14ac:dyDescent="0.25">
      <c r="A127" s="355" t="s">
        <v>147</v>
      </c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66"/>
      <c r="AB127" s="66"/>
      <c r="AC127" s="83"/>
    </row>
    <row r="128" spans="1:68" ht="27" hidden="1" customHeight="1" x14ac:dyDescent="0.25">
      <c r="A128" s="63" t="s">
        <v>221</v>
      </c>
      <c r="B128" s="63" t="s">
        <v>222</v>
      </c>
      <c r="C128" s="36">
        <v>4301135848</v>
      </c>
      <c r="D128" s="356">
        <v>4620207491799</v>
      </c>
      <c r="E128" s="356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116</v>
      </c>
      <c r="L128" s="37" t="s">
        <v>86</v>
      </c>
      <c r="M128" s="38" t="s">
        <v>84</v>
      </c>
      <c r="N128" s="38"/>
      <c r="O128" s="37">
        <v>180</v>
      </c>
      <c r="P128" s="40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8"/>
      <c r="R128" s="358"/>
      <c r="S128" s="358"/>
      <c r="T128" s="35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223</v>
      </c>
      <c r="AG128" s="81"/>
      <c r="AJ128" s="87" t="s">
        <v>87</v>
      </c>
      <c r="AK128" s="87">
        <v>1</v>
      </c>
      <c r="BB128" s="180" t="s">
        <v>115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224</v>
      </c>
      <c r="B129" s="63" t="s">
        <v>225</v>
      </c>
      <c r="C129" s="36">
        <v>4301135850</v>
      </c>
      <c r="D129" s="356">
        <v>4620207491492</v>
      </c>
      <c r="E129" s="356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41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140</v>
      </c>
      <c r="Y129" s="55">
        <f>IFERROR(IF(X129="","",X129),"")</f>
        <v>140</v>
      </c>
      <c r="Z129" s="41">
        <f>IFERROR(IF(X129="","",X129*0.00941),"")</f>
        <v>1.3173999999999999</v>
      </c>
      <c r="AA129" s="68" t="s">
        <v>46</v>
      </c>
      <c r="AB129" s="69" t="s">
        <v>46</v>
      </c>
      <c r="AC129" s="181" t="s">
        <v>223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252</v>
      </c>
      <c r="BN129" s="81">
        <f>IFERROR(Y129*I129,"0")</f>
        <v>252</v>
      </c>
      <c r="BO129" s="81">
        <f>IFERROR(X129/J129,"0")</f>
        <v>1</v>
      </c>
      <c r="BP129" s="81">
        <f>IFERROR(Y129/J129,"0")</f>
        <v>1</v>
      </c>
    </row>
    <row r="130" spans="1:68" ht="27" hidden="1" customHeight="1" x14ac:dyDescent="0.25">
      <c r="A130" s="63" t="s">
        <v>226</v>
      </c>
      <c r="B130" s="63" t="s">
        <v>227</v>
      </c>
      <c r="C130" s="36">
        <v>4301190118</v>
      </c>
      <c r="D130" s="356">
        <v>4620207491461</v>
      </c>
      <c r="E130" s="356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223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4301135865</v>
      </c>
      <c r="D131" s="356">
        <v>4620207491485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70</v>
      </c>
      <c r="Y131" s="55">
        <f>IFERROR(IF(X131="","",X131),"")</f>
        <v>70</v>
      </c>
      <c r="Z131" s="41">
        <f>IFERROR(IF(X131="","",X131*0.00941),"")</f>
        <v>0.65869999999999995</v>
      </c>
      <c r="AA131" s="68" t="s">
        <v>46</v>
      </c>
      <c r="AB131" s="69" t="s">
        <v>46</v>
      </c>
      <c r="AC131" s="185" t="s">
        <v>223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126</v>
      </c>
      <c r="BN131" s="81">
        <f>IFERROR(Y131*I131,"0")</f>
        <v>126</v>
      </c>
      <c r="BO131" s="81">
        <f>IFERROR(X131/J131,"0")</f>
        <v>0.5</v>
      </c>
      <c r="BP131" s="81">
        <f>IFERROR(Y131/J131,"0")</f>
        <v>0.5</v>
      </c>
    </row>
    <row r="132" spans="1:68" x14ac:dyDescent="0.2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1"/>
      <c r="P132" s="367" t="s">
        <v>40</v>
      </c>
      <c r="Q132" s="368"/>
      <c r="R132" s="368"/>
      <c r="S132" s="368"/>
      <c r="T132" s="368"/>
      <c r="U132" s="368"/>
      <c r="V132" s="369"/>
      <c r="W132" s="42" t="s">
        <v>39</v>
      </c>
      <c r="X132" s="43">
        <f>IFERROR(SUM(X128:X131),"0")</f>
        <v>210</v>
      </c>
      <c r="Y132" s="43">
        <f>IFERROR(SUM(Y128:Y131),"0")</f>
        <v>210</v>
      </c>
      <c r="Z132" s="43">
        <f>IFERROR(IF(Z128="",0,Z128),"0")+IFERROR(IF(Z129="",0,Z129),"0")+IFERROR(IF(Z130="",0,Z130),"0")+IFERROR(IF(Z131="",0,Z131),"0")</f>
        <v>1.9760999999999997</v>
      </c>
      <c r="AA132" s="67"/>
      <c r="AB132" s="67"/>
      <c r="AC132" s="67"/>
    </row>
    <row r="133" spans="1:68" x14ac:dyDescent="0.2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1"/>
      <c r="P133" s="367" t="s">
        <v>40</v>
      </c>
      <c r="Q133" s="368"/>
      <c r="R133" s="368"/>
      <c r="S133" s="368"/>
      <c r="T133" s="368"/>
      <c r="U133" s="368"/>
      <c r="V133" s="369"/>
      <c r="W133" s="42" t="s">
        <v>0</v>
      </c>
      <c r="X133" s="43">
        <f>IFERROR(SUMPRODUCT(X128:X131*H128:H131),"0")</f>
        <v>289.79999999999995</v>
      </c>
      <c r="Y133" s="43">
        <f>IFERROR(SUMPRODUCT(Y128:Y131*H128:H131),"0")</f>
        <v>289.79999999999995</v>
      </c>
      <c r="Z133" s="42"/>
      <c r="AA133" s="67"/>
      <c r="AB133" s="67"/>
      <c r="AC133" s="67"/>
    </row>
    <row r="134" spans="1:68" ht="14.25" hidden="1" customHeight="1" x14ac:dyDescent="0.25">
      <c r="A134" s="355" t="s">
        <v>230</v>
      </c>
      <c r="B134" s="355"/>
      <c r="C134" s="355"/>
      <c r="D134" s="355"/>
      <c r="E134" s="355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  <c r="T134" s="355"/>
      <c r="U134" s="355"/>
      <c r="V134" s="355"/>
      <c r="W134" s="355"/>
      <c r="X134" s="355"/>
      <c r="Y134" s="355"/>
      <c r="Z134" s="355"/>
      <c r="AA134" s="66"/>
      <c r="AB134" s="66"/>
      <c r="AC134" s="83"/>
    </row>
    <row r="135" spans="1:68" ht="27" hidden="1" customHeight="1" x14ac:dyDescent="0.25">
      <c r="A135" s="63" t="s">
        <v>231</v>
      </c>
      <c r="B135" s="63" t="s">
        <v>232</v>
      </c>
      <c r="C135" s="36">
        <v>4301190117</v>
      </c>
      <c r="D135" s="356">
        <v>4620207491386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hidden="1" customHeight="1" x14ac:dyDescent="0.25">
      <c r="A136" s="63" t="s">
        <v>234</v>
      </c>
      <c r="B136" s="63" t="s">
        <v>235</v>
      </c>
      <c r="C136" s="36">
        <v>4301190115</v>
      </c>
      <c r="D136" s="356">
        <v>4620207491362</v>
      </c>
      <c r="E136" s="356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8"/>
      <c r="R136" s="358"/>
      <c r="S136" s="358"/>
      <c r="T136" s="359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4301190116</v>
      </c>
      <c r="D137" s="356">
        <v>4620207491379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233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idden="1" x14ac:dyDescent="0.2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1"/>
      <c r="P138" s="367" t="s">
        <v>40</v>
      </c>
      <c r="Q138" s="368"/>
      <c r="R138" s="368"/>
      <c r="S138" s="368"/>
      <c r="T138" s="368"/>
      <c r="U138" s="368"/>
      <c r="V138" s="369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1"/>
      <c r="P139" s="367" t="s">
        <v>40</v>
      </c>
      <c r="Q139" s="368"/>
      <c r="R139" s="368"/>
      <c r="S139" s="368"/>
      <c r="T139" s="368"/>
      <c r="U139" s="368"/>
      <c r="V139" s="369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6.5" hidden="1" customHeight="1" x14ac:dyDescent="0.25">
      <c r="A140" s="354" t="s">
        <v>238</v>
      </c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65"/>
      <c r="AB140" s="65"/>
      <c r="AC140" s="82"/>
    </row>
    <row r="141" spans="1:68" ht="14.25" hidden="1" customHeight="1" x14ac:dyDescent="0.25">
      <c r="A141" s="355" t="s">
        <v>147</v>
      </c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5"/>
      <c r="V141" s="355"/>
      <c r="W141" s="355"/>
      <c r="X141" s="355"/>
      <c r="Y141" s="355"/>
      <c r="Z141" s="355"/>
      <c r="AA141" s="66"/>
      <c r="AB141" s="66"/>
      <c r="AC141" s="83"/>
    </row>
    <row r="142" spans="1:68" ht="27" customHeight="1" x14ac:dyDescent="0.25">
      <c r="A142" s="63" t="s">
        <v>239</v>
      </c>
      <c r="B142" s="63" t="s">
        <v>240</v>
      </c>
      <c r="C142" s="36">
        <v>4301135555</v>
      </c>
      <c r="D142" s="356">
        <v>4607111034014</v>
      </c>
      <c r="E142" s="356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116</v>
      </c>
      <c r="L142" s="37" t="s">
        <v>117</v>
      </c>
      <c r="M142" s="38" t="s">
        <v>84</v>
      </c>
      <c r="N142" s="38"/>
      <c r="O142" s="37">
        <v>180</v>
      </c>
      <c r="P142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8"/>
      <c r="R142" s="358"/>
      <c r="S142" s="358"/>
      <c r="T142" s="359"/>
      <c r="U142" s="39" t="s">
        <v>46</v>
      </c>
      <c r="V142" s="39" t="s">
        <v>46</v>
      </c>
      <c r="W142" s="40" t="s">
        <v>39</v>
      </c>
      <c r="X142" s="58">
        <v>70</v>
      </c>
      <c r="Y142" s="55">
        <f>IFERROR(IF(X142="","",X142),"")</f>
        <v>70</v>
      </c>
      <c r="Z142" s="41">
        <f>IFERROR(IF(X142="","",X142*0.01788),"")</f>
        <v>1.2516</v>
      </c>
      <c r="AA142" s="68" t="s">
        <v>46</v>
      </c>
      <c r="AB142" s="69" t="s">
        <v>46</v>
      </c>
      <c r="AC142" s="193" t="s">
        <v>241</v>
      </c>
      <c r="AG142" s="81"/>
      <c r="AJ142" s="87" t="s">
        <v>118</v>
      </c>
      <c r="AK142" s="87">
        <v>14</v>
      </c>
      <c r="BB142" s="194" t="s">
        <v>115</v>
      </c>
      <c r="BM142" s="81">
        <f>IFERROR(X142*I142,"0")</f>
        <v>259.25200000000001</v>
      </c>
      <c r="BN142" s="81">
        <f>IFERROR(Y142*I142,"0")</f>
        <v>259.25200000000001</v>
      </c>
      <c r="BO142" s="81">
        <f>IFERROR(X142/J142,"0")</f>
        <v>1</v>
      </c>
      <c r="BP142" s="81">
        <f>IFERROR(Y142/J142,"0")</f>
        <v>1</v>
      </c>
    </row>
    <row r="143" spans="1:68" ht="27" customHeight="1" x14ac:dyDescent="0.25">
      <c r="A143" s="63" t="s">
        <v>242</v>
      </c>
      <c r="B143" s="63" t="s">
        <v>243</v>
      </c>
      <c r="C143" s="36">
        <v>4301135532</v>
      </c>
      <c r="D143" s="356">
        <v>4607111033994</v>
      </c>
      <c r="E143" s="356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8"/>
      <c r="R143" s="358"/>
      <c r="S143" s="358"/>
      <c r="T143" s="359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165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x14ac:dyDescent="0.2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1"/>
      <c r="P144" s="367" t="s">
        <v>40</v>
      </c>
      <c r="Q144" s="368"/>
      <c r="R144" s="368"/>
      <c r="S144" s="368"/>
      <c r="T144" s="368"/>
      <c r="U144" s="368"/>
      <c r="V144" s="369"/>
      <c r="W144" s="42" t="s">
        <v>39</v>
      </c>
      <c r="X144" s="43">
        <f>IFERROR(SUM(X142:X143),"0")</f>
        <v>140</v>
      </c>
      <c r="Y144" s="43">
        <f>IFERROR(SUM(Y142:Y143),"0")</f>
        <v>140</v>
      </c>
      <c r="Z144" s="43">
        <f>IFERROR(IF(Z142="",0,Z142),"0")+IFERROR(IF(Z143="",0,Z143),"0")</f>
        <v>2.5032000000000001</v>
      </c>
      <c r="AA144" s="67"/>
      <c r="AB144" s="67"/>
      <c r="AC144" s="67"/>
    </row>
    <row r="145" spans="1:68" x14ac:dyDescent="0.2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1"/>
      <c r="P145" s="367" t="s">
        <v>40</v>
      </c>
      <c r="Q145" s="368"/>
      <c r="R145" s="368"/>
      <c r="S145" s="368"/>
      <c r="T145" s="368"/>
      <c r="U145" s="368"/>
      <c r="V145" s="369"/>
      <c r="W145" s="42" t="s">
        <v>0</v>
      </c>
      <c r="X145" s="43">
        <f>IFERROR(SUMPRODUCT(X142:X143*H142:H143),"0")</f>
        <v>420</v>
      </c>
      <c r="Y145" s="43">
        <f>IFERROR(SUMPRODUCT(Y142:Y143*H142:H143),"0")</f>
        <v>420</v>
      </c>
      <c r="Z145" s="42"/>
      <c r="AA145" s="67"/>
      <c r="AB145" s="67"/>
      <c r="AC145" s="67"/>
    </row>
    <row r="146" spans="1:68" ht="16.5" hidden="1" customHeight="1" x14ac:dyDescent="0.25">
      <c r="A146" s="354" t="s">
        <v>244</v>
      </c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65"/>
      <c r="AB146" s="65"/>
      <c r="AC146" s="82"/>
    </row>
    <row r="147" spans="1:68" ht="14.25" hidden="1" customHeight="1" x14ac:dyDescent="0.25">
      <c r="A147" s="355" t="s">
        <v>147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6"/>
      <c r="AB147" s="66"/>
      <c r="AC147" s="83"/>
    </row>
    <row r="148" spans="1:68" ht="27" customHeight="1" x14ac:dyDescent="0.25">
      <c r="A148" s="63" t="s">
        <v>245</v>
      </c>
      <c r="B148" s="63" t="s">
        <v>246</v>
      </c>
      <c r="C148" s="36">
        <v>4301135824</v>
      </c>
      <c r="D148" s="356">
        <v>4607111039095</v>
      </c>
      <c r="E148" s="356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116</v>
      </c>
      <c r="L148" s="37" t="s">
        <v>86</v>
      </c>
      <c r="M148" s="38" t="s">
        <v>84</v>
      </c>
      <c r="N148" s="38"/>
      <c r="O148" s="37">
        <v>180</v>
      </c>
      <c r="P148" s="41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140</v>
      </c>
      <c r="Y148" s="55">
        <f>IFERROR(IF(X148="","",X148),"")</f>
        <v>140</v>
      </c>
      <c r="Z148" s="41">
        <f>IFERROR(IF(X148="","",X148*0.01788),"")</f>
        <v>2.5032000000000001</v>
      </c>
      <c r="AA148" s="68" t="s">
        <v>46</v>
      </c>
      <c r="AB148" s="69" t="s">
        <v>46</v>
      </c>
      <c r="AC148" s="197" t="s">
        <v>247</v>
      </c>
      <c r="AG148" s="81"/>
      <c r="AJ148" s="87" t="s">
        <v>87</v>
      </c>
      <c r="AK148" s="87">
        <v>1</v>
      </c>
      <c r="BB148" s="198" t="s">
        <v>115</v>
      </c>
      <c r="BM148" s="81">
        <f>IFERROR(X148*I148,"0")</f>
        <v>524.72</v>
      </c>
      <c r="BN148" s="81">
        <f>IFERROR(Y148*I148,"0")</f>
        <v>524.72</v>
      </c>
      <c r="BO148" s="81">
        <f>IFERROR(X148/J148,"0")</f>
        <v>2</v>
      </c>
      <c r="BP148" s="81">
        <f>IFERROR(Y148/J148,"0")</f>
        <v>2</v>
      </c>
    </row>
    <row r="149" spans="1:68" ht="27" hidden="1" customHeight="1" x14ac:dyDescent="0.25">
      <c r="A149" s="63" t="s">
        <v>248</v>
      </c>
      <c r="B149" s="63" t="s">
        <v>249</v>
      </c>
      <c r="C149" s="36">
        <v>4301135954</v>
      </c>
      <c r="D149" s="356">
        <v>4620207491768</v>
      </c>
      <c r="E149" s="356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41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8"/>
      <c r="R149" s="358"/>
      <c r="S149" s="358"/>
      <c r="T149" s="359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250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251</v>
      </c>
      <c r="B150" s="63" t="s">
        <v>252</v>
      </c>
      <c r="C150" s="36">
        <v>4301135946</v>
      </c>
      <c r="D150" s="356">
        <v>4620207491553</v>
      </c>
      <c r="E150" s="356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140</v>
      </c>
      <c r="Y150" s="55">
        <f>IFERROR(IF(X150="","",X150),"")</f>
        <v>140</v>
      </c>
      <c r="Z150" s="41">
        <f>IFERROR(IF(X150="","",X150*0.01788),"")</f>
        <v>2.5032000000000001</v>
      </c>
      <c r="AA150" s="68" t="s">
        <v>46</v>
      </c>
      <c r="AB150" s="69" t="s">
        <v>46</v>
      </c>
      <c r="AC150" s="201" t="s">
        <v>250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518.50400000000002</v>
      </c>
      <c r="BN150" s="81">
        <f>IFERROR(Y150*I150,"0")</f>
        <v>518.50400000000002</v>
      </c>
      <c r="BO150" s="81">
        <f>IFERROR(X150/J150,"0")</f>
        <v>2</v>
      </c>
      <c r="BP150" s="81">
        <f>IFERROR(Y150/J150,"0")</f>
        <v>2</v>
      </c>
    </row>
    <row r="151" spans="1:68" x14ac:dyDescent="0.2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1"/>
      <c r="P151" s="367" t="s">
        <v>40</v>
      </c>
      <c r="Q151" s="368"/>
      <c r="R151" s="368"/>
      <c r="S151" s="368"/>
      <c r="T151" s="368"/>
      <c r="U151" s="368"/>
      <c r="V151" s="369"/>
      <c r="W151" s="42" t="s">
        <v>39</v>
      </c>
      <c r="X151" s="43">
        <f>IFERROR(SUM(X148:X150),"0")</f>
        <v>280</v>
      </c>
      <c r="Y151" s="43">
        <f>IFERROR(SUM(Y148:Y150),"0")</f>
        <v>280</v>
      </c>
      <c r="Z151" s="43">
        <f>IFERROR(IF(Z148="",0,Z148),"0")+IFERROR(IF(Z149="",0,Z149),"0")+IFERROR(IF(Z150="",0,Z150),"0")</f>
        <v>5.0064000000000002</v>
      </c>
      <c r="AA151" s="67"/>
      <c r="AB151" s="67"/>
      <c r="AC151" s="67"/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0</v>
      </c>
      <c r="X152" s="43">
        <f>IFERROR(SUMPRODUCT(X148:X150*H148:H150),"0")</f>
        <v>840</v>
      </c>
      <c r="Y152" s="43">
        <f>IFERROR(SUMPRODUCT(Y148:Y150*H148:H150),"0")</f>
        <v>840</v>
      </c>
      <c r="Z152" s="42"/>
      <c r="AA152" s="67"/>
      <c r="AB152" s="67"/>
      <c r="AC152" s="67"/>
    </row>
    <row r="153" spans="1:68" ht="16.5" hidden="1" customHeight="1" x14ac:dyDescent="0.25">
      <c r="A153" s="354" t="s">
        <v>253</v>
      </c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65"/>
      <c r="AB153" s="65"/>
      <c r="AC153" s="82"/>
    </row>
    <row r="154" spans="1:68" ht="14.25" hidden="1" customHeight="1" x14ac:dyDescent="0.25">
      <c r="A154" s="355" t="s">
        <v>147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6"/>
      <c r="AB154" s="66"/>
      <c r="AC154" s="83"/>
    </row>
    <row r="155" spans="1:68" ht="27" hidden="1" customHeight="1" x14ac:dyDescent="0.25">
      <c r="A155" s="63" t="s">
        <v>254</v>
      </c>
      <c r="B155" s="63" t="s">
        <v>255</v>
      </c>
      <c r="C155" s="36">
        <v>4301135753</v>
      </c>
      <c r="D155" s="356">
        <v>4620207490914</v>
      </c>
      <c r="E155" s="356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8"/>
      <c r="R155" s="358"/>
      <c r="S155" s="358"/>
      <c r="T155" s="359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3" t="s">
        <v>241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customHeight="1" x14ac:dyDescent="0.25">
      <c r="A156" s="63" t="s">
        <v>256</v>
      </c>
      <c r="B156" s="63" t="s">
        <v>257</v>
      </c>
      <c r="C156" s="36">
        <v>4301135932</v>
      </c>
      <c r="D156" s="356">
        <v>4620207491676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70</v>
      </c>
      <c r="Y156" s="55">
        <f>IFERROR(IF(X156="","",X156),"")</f>
        <v>70</v>
      </c>
      <c r="Z156" s="41">
        <f>IFERROR(IF(X156="","",X156*0.01788),"")</f>
        <v>1.2516</v>
      </c>
      <c r="AA156" s="68" t="s">
        <v>46</v>
      </c>
      <c r="AB156" s="69" t="s">
        <v>46</v>
      </c>
      <c r="AC156" s="205" t="s">
        <v>258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187.60000000000002</v>
      </c>
      <c r="BN156" s="81">
        <f>IFERROR(Y156*I156,"0")</f>
        <v>187.60000000000002</v>
      </c>
      <c r="BO156" s="81">
        <f>IFERROR(X156/J156,"0")</f>
        <v>1</v>
      </c>
      <c r="BP156" s="81">
        <f>IFERROR(Y156/J156,"0")</f>
        <v>1</v>
      </c>
    </row>
    <row r="157" spans="1:68" x14ac:dyDescent="0.2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1"/>
      <c r="P157" s="367" t="s">
        <v>40</v>
      </c>
      <c r="Q157" s="368"/>
      <c r="R157" s="368"/>
      <c r="S157" s="368"/>
      <c r="T157" s="368"/>
      <c r="U157" s="368"/>
      <c r="V157" s="369"/>
      <c r="W157" s="42" t="s">
        <v>39</v>
      </c>
      <c r="X157" s="43">
        <f>IFERROR(SUM(X155:X156),"0")</f>
        <v>70</v>
      </c>
      <c r="Y157" s="43">
        <f>IFERROR(SUM(Y155:Y156),"0")</f>
        <v>70</v>
      </c>
      <c r="Z157" s="43">
        <f>IFERROR(IF(Z155="",0,Z155),"0")+IFERROR(IF(Z156="",0,Z156),"0")</f>
        <v>1.2516</v>
      </c>
      <c r="AA157" s="67"/>
      <c r="AB157" s="67"/>
      <c r="AC157" s="67"/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0</v>
      </c>
      <c r="X158" s="43">
        <f>IFERROR(SUMPRODUCT(X155:X156*H155:H156),"0")</f>
        <v>168</v>
      </c>
      <c r="Y158" s="43">
        <f>IFERROR(SUMPRODUCT(Y155:Y156*H155:H156),"0")</f>
        <v>168</v>
      </c>
      <c r="Z158" s="42"/>
      <c r="AA158" s="67"/>
      <c r="AB158" s="67"/>
      <c r="AC158" s="67"/>
    </row>
    <row r="159" spans="1:68" ht="16.5" hidden="1" customHeight="1" x14ac:dyDescent="0.25">
      <c r="A159" s="354" t="s">
        <v>259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65"/>
      <c r="AB159" s="65"/>
      <c r="AC159" s="82"/>
    </row>
    <row r="160" spans="1:68" ht="14.25" hidden="1" customHeight="1" x14ac:dyDescent="0.25">
      <c r="A160" s="355" t="s">
        <v>147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6"/>
      <c r="AB160" s="66"/>
      <c r="AC160" s="83"/>
    </row>
    <row r="161" spans="1:68" ht="27" hidden="1" customHeight="1" x14ac:dyDescent="0.25">
      <c r="A161" s="63" t="s">
        <v>260</v>
      </c>
      <c r="B161" s="63" t="s">
        <v>261</v>
      </c>
      <c r="C161" s="36">
        <v>4301135940</v>
      </c>
      <c r="D161" s="356">
        <v>4620207491614</v>
      </c>
      <c r="E161" s="356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86</v>
      </c>
      <c r="M161" s="38" t="s">
        <v>84</v>
      </c>
      <c r="N161" s="38"/>
      <c r="O161" s="37">
        <v>180</v>
      </c>
      <c r="P161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8"/>
      <c r="R161" s="358"/>
      <c r="S161" s="358"/>
      <c r="T161" s="35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7" t="s">
        <v>262</v>
      </c>
      <c r="AG161" s="81"/>
      <c r="AJ161" s="87" t="s">
        <v>87</v>
      </c>
      <c r="AK161" s="87">
        <v>1</v>
      </c>
      <c r="BB161" s="208" t="s">
        <v>115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idden="1" x14ac:dyDescent="0.2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1"/>
      <c r="P162" s="367" t="s">
        <v>40</v>
      </c>
      <c r="Q162" s="368"/>
      <c r="R162" s="368"/>
      <c r="S162" s="368"/>
      <c r="T162" s="368"/>
      <c r="U162" s="368"/>
      <c r="V162" s="369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hidden="1" customHeight="1" x14ac:dyDescent="0.25">
      <c r="A164" s="354" t="s">
        <v>263</v>
      </c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65"/>
      <c r="AB164" s="65"/>
      <c r="AC164" s="82"/>
    </row>
    <row r="165" spans="1:68" ht="14.25" hidden="1" customHeight="1" x14ac:dyDescent="0.25">
      <c r="A165" s="355" t="s">
        <v>147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6"/>
      <c r="AB165" s="66"/>
      <c r="AC165" s="83"/>
    </row>
    <row r="166" spans="1:68" ht="16.5" hidden="1" customHeight="1" x14ac:dyDescent="0.25">
      <c r="A166" s="63" t="s">
        <v>264</v>
      </c>
      <c r="B166" s="63" t="s">
        <v>265</v>
      </c>
      <c r="C166" s="36">
        <v>4301135607</v>
      </c>
      <c r="D166" s="356">
        <v>4607111039613</v>
      </c>
      <c r="E166" s="356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8"/>
      <c r="R166" s="358"/>
      <c r="S166" s="358"/>
      <c r="T166" s="35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247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hidden="1" x14ac:dyDescent="0.2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1"/>
      <c r="P167" s="367" t="s">
        <v>40</v>
      </c>
      <c r="Q167" s="368"/>
      <c r="R167" s="368"/>
      <c r="S167" s="368"/>
      <c r="T167" s="368"/>
      <c r="U167" s="368"/>
      <c r="V167" s="36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hidden="1" customHeight="1" x14ac:dyDescent="0.25">
      <c r="A169" s="354" t="s">
        <v>266</v>
      </c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65"/>
      <c r="AB169" s="65"/>
      <c r="AC169" s="82"/>
    </row>
    <row r="170" spans="1:68" ht="14.25" hidden="1" customHeight="1" x14ac:dyDescent="0.25">
      <c r="A170" s="355" t="s">
        <v>147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6"/>
      <c r="AB170" s="66"/>
      <c r="AC170" s="83"/>
    </row>
    <row r="171" spans="1:68" ht="27" customHeight="1" x14ac:dyDescent="0.25">
      <c r="A171" s="63" t="s">
        <v>267</v>
      </c>
      <c r="B171" s="63" t="s">
        <v>268</v>
      </c>
      <c r="C171" s="36">
        <v>4301135591</v>
      </c>
      <c r="D171" s="356">
        <v>4607111036568</v>
      </c>
      <c r="E171" s="356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8"/>
      <c r="R171" s="358"/>
      <c r="S171" s="358"/>
      <c r="T171" s="359"/>
      <c r="U171" s="39" t="s">
        <v>46</v>
      </c>
      <c r="V171" s="39" t="s">
        <v>46</v>
      </c>
      <c r="W171" s="40" t="s">
        <v>39</v>
      </c>
      <c r="X171" s="58">
        <v>280</v>
      </c>
      <c r="Y171" s="55">
        <f>IFERROR(IF(X171="","",X171),"")</f>
        <v>280</v>
      </c>
      <c r="Z171" s="41">
        <f>IFERROR(IF(X171="","",X171*0.00941),"")</f>
        <v>2.6347999999999998</v>
      </c>
      <c r="AA171" s="68" t="s">
        <v>46</v>
      </c>
      <c r="AB171" s="69" t="s">
        <v>46</v>
      </c>
      <c r="AC171" s="211" t="s">
        <v>269</v>
      </c>
      <c r="AG171" s="81"/>
      <c r="AJ171" s="87" t="s">
        <v>118</v>
      </c>
      <c r="AK171" s="87">
        <v>14</v>
      </c>
      <c r="BB171" s="212" t="s">
        <v>115</v>
      </c>
      <c r="BM171" s="81">
        <f>IFERROR(X171*I171,"0")</f>
        <v>588.50400000000002</v>
      </c>
      <c r="BN171" s="81">
        <f>IFERROR(Y171*I171,"0")</f>
        <v>588.50400000000002</v>
      </c>
      <c r="BO171" s="81">
        <f>IFERROR(X171/J171,"0")</f>
        <v>2</v>
      </c>
      <c r="BP171" s="81">
        <f>IFERROR(Y171/J171,"0")</f>
        <v>2</v>
      </c>
    </row>
    <row r="172" spans="1:68" x14ac:dyDescent="0.2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1"/>
      <c r="P172" s="367" t="s">
        <v>40</v>
      </c>
      <c r="Q172" s="368"/>
      <c r="R172" s="368"/>
      <c r="S172" s="368"/>
      <c r="T172" s="368"/>
      <c r="U172" s="368"/>
      <c r="V172" s="369"/>
      <c r="W172" s="42" t="s">
        <v>39</v>
      </c>
      <c r="X172" s="43">
        <f>IFERROR(SUM(X171:X171),"0")</f>
        <v>280</v>
      </c>
      <c r="Y172" s="43">
        <f>IFERROR(SUM(Y171:Y171),"0")</f>
        <v>280</v>
      </c>
      <c r="Z172" s="43">
        <f>IFERROR(IF(Z171="",0,Z171),"0")</f>
        <v>2.6347999999999998</v>
      </c>
      <c r="AA172" s="67"/>
      <c r="AB172" s="67"/>
      <c r="AC172" s="67"/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0</v>
      </c>
      <c r="X173" s="43">
        <f>IFERROR(SUMPRODUCT(X171:X171*H171:H171),"0")</f>
        <v>470.4</v>
      </c>
      <c r="Y173" s="43">
        <f>IFERROR(SUMPRODUCT(Y171:Y171*H171:H171),"0")</f>
        <v>470.4</v>
      </c>
      <c r="Z173" s="42"/>
      <c r="AA173" s="67"/>
      <c r="AB173" s="67"/>
      <c r="AC173" s="67"/>
    </row>
    <row r="174" spans="1:68" ht="27.75" hidden="1" customHeight="1" x14ac:dyDescent="0.2">
      <c r="A174" s="353" t="s">
        <v>270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54"/>
      <c r="AB174" s="54"/>
      <c r="AC174" s="54"/>
    </row>
    <row r="175" spans="1:68" ht="16.5" hidden="1" customHeight="1" x14ac:dyDescent="0.25">
      <c r="A175" s="354" t="s">
        <v>271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65"/>
      <c r="AB175" s="65"/>
      <c r="AC175" s="82"/>
    </row>
    <row r="176" spans="1:68" ht="14.25" hidden="1" customHeight="1" x14ac:dyDescent="0.25">
      <c r="A176" s="355" t="s">
        <v>80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6"/>
      <c r="AB176" s="66"/>
      <c r="AC176" s="83"/>
    </row>
    <row r="177" spans="1:68" ht="16.5" hidden="1" customHeight="1" x14ac:dyDescent="0.25">
      <c r="A177" s="63" t="s">
        <v>272</v>
      </c>
      <c r="B177" s="63" t="s">
        <v>273</v>
      </c>
      <c r="C177" s="36">
        <v>4301071062</v>
      </c>
      <c r="D177" s="356">
        <v>4607111036384</v>
      </c>
      <c r="E177" s="356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8"/>
      <c r="R177" s="358"/>
      <c r="S177" s="358"/>
      <c r="T177" s="359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274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275</v>
      </c>
      <c r="B178" s="63" t="s">
        <v>276</v>
      </c>
      <c r="C178" s="36">
        <v>4301071050</v>
      </c>
      <c r="D178" s="356">
        <v>4607111036216</v>
      </c>
      <c r="E178" s="356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1"/>
      <c r="P179" s="367" t="s">
        <v>40</v>
      </c>
      <c r="Q179" s="368"/>
      <c r="R179" s="368"/>
      <c r="S179" s="368"/>
      <c r="T179" s="368"/>
      <c r="U179" s="368"/>
      <c r="V179" s="369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54" t="s">
        <v>278</v>
      </c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65"/>
      <c r="AB181" s="65"/>
      <c r="AC181" s="82"/>
    </row>
    <row r="182" spans="1:68" ht="14.25" hidden="1" customHeight="1" x14ac:dyDescent="0.25">
      <c r="A182" s="355" t="s">
        <v>80</v>
      </c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66"/>
      <c r="AB182" s="66"/>
      <c r="AC182" s="83"/>
    </row>
    <row r="183" spans="1:68" ht="27" hidden="1" customHeight="1" x14ac:dyDescent="0.25">
      <c r="A183" s="63" t="s">
        <v>279</v>
      </c>
      <c r="B183" s="63" t="s">
        <v>280</v>
      </c>
      <c r="C183" s="36">
        <v>4301071117</v>
      </c>
      <c r="D183" s="356">
        <v>4620207491737</v>
      </c>
      <c r="E183" s="356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42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8"/>
      <c r="R183" s="358"/>
      <c r="S183" s="358"/>
      <c r="T183" s="35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277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1"/>
      <c r="P184" s="367" t="s">
        <v>40</v>
      </c>
      <c r="Q184" s="368"/>
      <c r="R184" s="368"/>
      <c r="S184" s="368"/>
      <c r="T184" s="368"/>
      <c r="U184" s="368"/>
      <c r="V184" s="369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53" t="s">
        <v>281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54"/>
      <c r="AB186" s="54"/>
      <c r="AC186" s="54"/>
    </row>
    <row r="187" spans="1:68" ht="16.5" hidden="1" customHeight="1" x14ac:dyDescent="0.25">
      <c r="A187" s="354" t="s">
        <v>282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5"/>
      <c r="AB187" s="65"/>
      <c r="AC187" s="82"/>
    </row>
    <row r="188" spans="1:68" ht="14.25" hidden="1" customHeight="1" x14ac:dyDescent="0.25">
      <c r="A188" s="355" t="s">
        <v>111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6"/>
      <c r="AB188" s="66"/>
      <c r="AC188" s="83"/>
    </row>
    <row r="189" spans="1:68" ht="16.5" hidden="1" customHeight="1" x14ac:dyDescent="0.25">
      <c r="A189" s="63" t="s">
        <v>283</v>
      </c>
      <c r="B189" s="63" t="s">
        <v>284</v>
      </c>
      <c r="C189" s="36">
        <v>4301132179</v>
      </c>
      <c r="D189" s="356">
        <v>4607111035691</v>
      </c>
      <c r="E189" s="356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8"/>
      <c r="R189" s="358"/>
      <c r="S189" s="358"/>
      <c r="T189" s="359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9" t="s">
        <v>285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hidden="1" customHeight="1" x14ac:dyDescent="0.25">
      <c r="A190" s="63" t="s">
        <v>286</v>
      </c>
      <c r="B190" s="63" t="s">
        <v>287</v>
      </c>
      <c r="C190" s="36">
        <v>4301132182</v>
      </c>
      <c r="D190" s="356">
        <v>4607111035721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4301132170</v>
      </c>
      <c r="D191" s="356">
        <v>4607111038487</v>
      </c>
      <c r="E191" s="356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292</v>
      </c>
      <c r="B192" s="63" t="s">
        <v>293</v>
      </c>
      <c r="C192" s="36">
        <v>4301132243</v>
      </c>
      <c r="D192" s="356">
        <v>4620207491195</v>
      </c>
      <c r="E192" s="356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idden="1" x14ac:dyDescent="0.2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1"/>
      <c r="P193" s="367" t="s">
        <v>40</v>
      </c>
      <c r="Q193" s="368"/>
      <c r="R193" s="368"/>
      <c r="S193" s="368"/>
      <c r="T193" s="368"/>
      <c r="U193" s="368"/>
      <c r="V193" s="369"/>
      <c r="W193" s="42" t="s">
        <v>39</v>
      </c>
      <c r="X193" s="43">
        <f>IFERROR(SUM(X189:X192),"0")</f>
        <v>0</v>
      </c>
      <c r="Y193" s="43">
        <f>IFERROR(SUM(Y189:Y192),"0")</f>
        <v>0</v>
      </c>
      <c r="Z193" s="43">
        <f>IFERROR(IF(Z189="",0,Z189),"0")+IFERROR(IF(Z190="",0,Z190),"0")+IFERROR(IF(Z191="",0,Z191),"0")+IFERROR(IF(Z192="",0,Z192),"0")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0</v>
      </c>
      <c r="X194" s="43">
        <f>IFERROR(SUMPRODUCT(X189:X192*H189:H192),"0")</f>
        <v>0</v>
      </c>
      <c r="Y194" s="43">
        <f>IFERROR(SUMPRODUCT(Y189:Y192*H189:H192),"0")</f>
        <v>0</v>
      </c>
      <c r="Z194" s="42"/>
      <c r="AA194" s="67"/>
      <c r="AB194" s="67"/>
      <c r="AC194" s="67"/>
    </row>
    <row r="195" spans="1:68" ht="27.75" hidden="1" customHeight="1" x14ac:dyDescent="0.2">
      <c r="A195" s="353" t="s">
        <v>295</v>
      </c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54"/>
      <c r="AB195" s="54"/>
      <c r="AC195" s="54"/>
    </row>
    <row r="196" spans="1:68" ht="16.5" hidden="1" customHeight="1" x14ac:dyDescent="0.25">
      <c r="A196" s="354" t="s">
        <v>296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65"/>
      <c r="AB196" s="65"/>
      <c r="AC196" s="82"/>
    </row>
    <row r="197" spans="1:68" ht="14.25" hidden="1" customHeight="1" x14ac:dyDescent="0.25">
      <c r="A197" s="355" t="s">
        <v>111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6"/>
      <c r="AB197" s="66"/>
      <c r="AC197" s="83"/>
    </row>
    <row r="198" spans="1:68" ht="27" hidden="1" customHeight="1" x14ac:dyDescent="0.25">
      <c r="A198" s="63" t="s">
        <v>297</v>
      </c>
      <c r="B198" s="63" t="s">
        <v>298</v>
      </c>
      <c r="C198" s="36">
        <v>4301132227</v>
      </c>
      <c r="D198" s="356">
        <v>4620207491133</v>
      </c>
      <c r="E198" s="356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299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1"/>
      <c r="P199" s="367" t="s">
        <v>40</v>
      </c>
      <c r="Q199" s="368"/>
      <c r="R199" s="368"/>
      <c r="S199" s="368"/>
      <c r="T199" s="368"/>
      <c r="U199" s="368"/>
      <c r="V199" s="369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55" t="s">
        <v>147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66"/>
      <c r="AB201" s="66"/>
      <c r="AC201" s="83"/>
    </row>
    <row r="202" spans="1:68" ht="27" hidden="1" customHeight="1" x14ac:dyDescent="0.25">
      <c r="A202" s="63" t="s">
        <v>300</v>
      </c>
      <c r="B202" s="63" t="s">
        <v>301</v>
      </c>
      <c r="C202" s="36">
        <v>4301135834</v>
      </c>
      <c r="D202" s="356">
        <v>4620207491188</v>
      </c>
      <c r="E202" s="356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303</v>
      </c>
      <c r="B203" s="63" t="s">
        <v>304</v>
      </c>
      <c r="C203" s="36">
        <v>4301135696</v>
      </c>
      <c r="D203" s="356">
        <v>4620207490235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4301135697</v>
      </c>
      <c r="D204" s="356">
        <v>4620207490259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1"/>
      <c r="P205" s="367" t="s">
        <v>40</v>
      </c>
      <c r="Q205" s="368"/>
      <c r="R205" s="368"/>
      <c r="S205" s="368"/>
      <c r="T205" s="368"/>
      <c r="U205" s="368"/>
      <c r="V205" s="369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54" t="s">
        <v>309</v>
      </c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65"/>
      <c r="AB207" s="65"/>
      <c r="AC207" s="82"/>
    </row>
    <row r="208" spans="1:68" ht="14.25" hidden="1" customHeight="1" x14ac:dyDescent="0.25">
      <c r="A208" s="355" t="s">
        <v>147</v>
      </c>
      <c r="B208" s="355"/>
      <c r="C208" s="355"/>
      <c r="D208" s="355"/>
      <c r="E208" s="355"/>
      <c r="F208" s="355"/>
      <c r="G208" s="355"/>
      <c r="H208" s="355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  <c r="T208" s="355"/>
      <c r="U208" s="355"/>
      <c r="V208" s="355"/>
      <c r="W208" s="355"/>
      <c r="X208" s="355"/>
      <c r="Y208" s="355"/>
      <c r="Z208" s="355"/>
      <c r="AA208" s="66"/>
      <c r="AB208" s="66"/>
      <c r="AC208" s="83"/>
    </row>
    <row r="209" spans="1:68" ht="27" hidden="1" customHeight="1" x14ac:dyDescent="0.25">
      <c r="A209" s="63" t="s">
        <v>310</v>
      </c>
      <c r="B209" s="63" t="s">
        <v>311</v>
      </c>
      <c r="C209" s="36">
        <v>4301135854</v>
      </c>
      <c r="D209" s="356">
        <v>4620207491706</v>
      </c>
      <c r="E209" s="356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8"/>
      <c r="R209" s="358"/>
      <c r="S209" s="358"/>
      <c r="T209" s="359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312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313</v>
      </c>
      <c r="B210" s="63" t="s">
        <v>314</v>
      </c>
      <c r="C210" s="36">
        <v>4301135895</v>
      </c>
      <c r="D210" s="356">
        <v>4620207491522</v>
      </c>
      <c r="E210" s="356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1"/>
      <c r="P211" s="367" t="s">
        <v>40</v>
      </c>
      <c r="Q211" s="368"/>
      <c r="R211" s="368"/>
      <c r="S211" s="368"/>
      <c r="T211" s="368"/>
      <c r="U211" s="368"/>
      <c r="V211" s="369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54" t="s">
        <v>316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5"/>
      <c r="AB213" s="65"/>
      <c r="AC213" s="82"/>
    </row>
    <row r="214" spans="1:68" ht="14.25" hidden="1" customHeight="1" x14ac:dyDescent="0.25">
      <c r="A214" s="355" t="s">
        <v>80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6"/>
      <c r="AB214" s="66"/>
      <c r="AC214" s="83"/>
    </row>
    <row r="215" spans="1:68" ht="27" hidden="1" customHeight="1" x14ac:dyDescent="0.25">
      <c r="A215" s="63" t="s">
        <v>317</v>
      </c>
      <c r="B215" s="63" t="s">
        <v>318</v>
      </c>
      <c r="C215" s="36">
        <v>4301071097</v>
      </c>
      <c r="D215" s="356">
        <v>4620207491096</v>
      </c>
      <c r="E215" s="356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8"/>
      <c r="R215" s="358"/>
      <c r="S215" s="358"/>
      <c r="T215" s="359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319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370"/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1"/>
      <c r="P216" s="367" t="s">
        <v>40</v>
      </c>
      <c r="Q216" s="368"/>
      <c r="R216" s="368"/>
      <c r="S216" s="368"/>
      <c r="T216" s="368"/>
      <c r="U216" s="368"/>
      <c r="V216" s="369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54" t="s">
        <v>320</v>
      </c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65"/>
      <c r="AB218" s="65"/>
      <c r="AC218" s="82"/>
    </row>
    <row r="219" spans="1:68" ht="14.25" hidden="1" customHeight="1" x14ac:dyDescent="0.25">
      <c r="A219" s="355" t="s">
        <v>147</v>
      </c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  <c r="T219" s="355"/>
      <c r="U219" s="355"/>
      <c r="V219" s="355"/>
      <c r="W219" s="355"/>
      <c r="X219" s="355"/>
      <c r="Y219" s="355"/>
      <c r="Z219" s="355"/>
      <c r="AA219" s="66"/>
      <c r="AB219" s="66"/>
      <c r="AC219" s="83"/>
    </row>
    <row r="220" spans="1:68" ht="27" hidden="1" customHeight="1" x14ac:dyDescent="0.25">
      <c r="A220" s="63" t="s">
        <v>321</v>
      </c>
      <c r="B220" s="63" t="s">
        <v>322</v>
      </c>
      <c r="C220" s="36">
        <v>4301135694</v>
      </c>
      <c r="D220" s="356">
        <v>4620207490501</v>
      </c>
      <c r="E220" s="356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8"/>
      <c r="R220" s="358"/>
      <c r="S220" s="358"/>
      <c r="T220" s="359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323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1"/>
      <c r="P221" s="367" t="s">
        <v>40</v>
      </c>
      <c r="Q221" s="368"/>
      <c r="R221" s="368"/>
      <c r="S221" s="368"/>
      <c r="T221" s="368"/>
      <c r="U221" s="368"/>
      <c r="V221" s="36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53" t="s">
        <v>324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54"/>
      <c r="AB223" s="54"/>
      <c r="AC223" s="54"/>
    </row>
    <row r="224" spans="1:68" ht="16.5" hidden="1" customHeight="1" x14ac:dyDescent="0.25">
      <c r="A224" s="354" t="s">
        <v>325</v>
      </c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65"/>
      <c r="AB224" s="65"/>
      <c r="AC224" s="82"/>
    </row>
    <row r="225" spans="1:68" ht="14.25" hidden="1" customHeight="1" x14ac:dyDescent="0.25">
      <c r="A225" s="355" t="s">
        <v>80</v>
      </c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  <c r="T225" s="355"/>
      <c r="U225" s="355"/>
      <c r="V225" s="355"/>
      <c r="W225" s="355"/>
      <c r="X225" s="355"/>
      <c r="Y225" s="355"/>
      <c r="Z225" s="355"/>
      <c r="AA225" s="66"/>
      <c r="AB225" s="66"/>
      <c r="AC225" s="83"/>
    </row>
    <row r="226" spans="1:68" ht="27" hidden="1" customHeight="1" x14ac:dyDescent="0.25">
      <c r="A226" s="63" t="s">
        <v>326</v>
      </c>
      <c r="B226" s="63" t="s">
        <v>327</v>
      </c>
      <c r="C226" s="36">
        <v>4301071036</v>
      </c>
      <c r="D226" s="356">
        <v>4607111036162</v>
      </c>
      <c r="E226" s="356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8"/>
      <c r="R226" s="358"/>
      <c r="S226" s="358"/>
      <c r="T226" s="359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328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1"/>
      <c r="P227" s="367" t="s">
        <v>40</v>
      </c>
      <c r="Q227" s="368"/>
      <c r="R227" s="368"/>
      <c r="S227" s="368"/>
      <c r="T227" s="368"/>
      <c r="U227" s="368"/>
      <c r="V227" s="36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53" t="s">
        <v>329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54"/>
      <c r="AB229" s="54"/>
      <c r="AC229" s="54"/>
    </row>
    <row r="230" spans="1:68" ht="16.5" hidden="1" customHeight="1" x14ac:dyDescent="0.25">
      <c r="A230" s="354" t="s">
        <v>330</v>
      </c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65"/>
      <c r="AB230" s="65"/>
      <c r="AC230" s="82"/>
    </row>
    <row r="231" spans="1:68" ht="14.25" hidden="1" customHeight="1" x14ac:dyDescent="0.25">
      <c r="A231" s="355" t="s">
        <v>331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66"/>
      <c r="AB231" s="66"/>
      <c r="AC231" s="83"/>
    </row>
    <row r="232" spans="1:68" ht="27" hidden="1" customHeight="1" x14ac:dyDescent="0.25">
      <c r="A232" s="63" t="s">
        <v>332</v>
      </c>
      <c r="B232" s="63" t="s">
        <v>333</v>
      </c>
      <c r="C232" s="36">
        <v>4301133004</v>
      </c>
      <c r="D232" s="356">
        <v>4607111039774</v>
      </c>
      <c r="E232" s="356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8"/>
      <c r="R232" s="358"/>
      <c r="S232" s="358"/>
      <c r="T232" s="359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334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1"/>
      <c r="P233" s="367" t="s">
        <v>40</v>
      </c>
      <c r="Q233" s="368"/>
      <c r="R233" s="368"/>
      <c r="S233" s="368"/>
      <c r="T233" s="368"/>
      <c r="U233" s="368"/>
      <c r="V233" s="36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55" t="s">
        <v>147</v>
      </c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66"/>
      <c r="AB235" s="66"/>
      <c r="AC235" s="83"/>
    </row>
    <row r="236" spans="1:68" ht="37.5" hidden="1" customHeight="1" x14ac:dyDescent="0.25">
      <c r="A236" s="63" t="s">
        <v>335</v>
      </c>
      <c r="B236" s="63" t="s">
        <v>336</v>
      </c>
      <c r="C236" s="36">
        <v>4301135400</v>
      </c>
      <c r="D236" s="356">
        <v>4607111039361</v>
      </c>
      <c r="E236" s="356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8"/>
      <c r="R236" s="358"/>
      <c r="S236" s="358"/>
      <c r="T236" s="35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334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1"/>
      <c r="P237" s="367" t="s">
        <v>40</v>
      </c>
      <c r="Q237" s="368"/>
      <c r="R237" s="368"/>
      <c r="S237" s="368"/>
      <c r="T237" s="368"/>
      <c r="U237" s="368"/>
      <c r="V237" s="36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53" t="s">
        <v>337</v>
      </c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54"/>
      <c r="AB239" s="54"/>
      <c r="AC239" s="54"/>
    </row>
    <row r="240" spans="1:68" ht="16.5" hidden="1" customHeight="1" x14ac:dyDescent="0.25">
      <c r="A240" s="354" t="s">
        <v>337</v>
      </c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65"/>
      <c r="AB240" s="65"/>
      <c r="AC240" s="82"/>
    </row>
    <row r="241" spans="1:68" ht="14.25" hidden="1" customHeight="1" x14ac:dyDescent="0.25">
      <c r="A241" s="355" t="s">
        <v>111</v>
      </c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66"/>
      <c r="AB241" s="66"/>
      <c r="AC241" s="83"/>
    </row>
    <row r="242" spans="1:68" ht="27" hidden="1" customHeight="1" x14ac:dyDescent="0.25">
      <c r="A242" s="63" t="s">
        <v>338</v>
      </c>
      <c r="B242" s="63" t="s">
        <v>339</v>
      </c>
      <c r="C242" s="36">
        <v>4301132228</v>
      </c>
      <c r="D242" s="356">
        <v>4640242181950</v>
      </c>
      <c r="E242" s="356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8"/>
      <c r="R242" s="358"/>
      <c r="S242" s="358"/>
      <c r="T242" s="35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1"/>
      <c r="P243" s="367" t="s">
        <v>40</v>
      </c>
      <c r="Q243" s="368"/>
      <c r="R243" s="368"/>
      <c r="S243" s="368"/>
      <c r="T243" s="368"/>
      <c r="U243" s="368"/>
      <c r="V243" s="369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55" t="s">
        <v>143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55"/>
      <c r="U245" s="355"/>
      <c r="V245" s="355"/>
      <c r="W245" s="355"/>
      <c r="X245" s="355"/>
      <c r="Y245" s="355"/>
      <c r="Z245" s="355"/>
      <c r="AA245" s="66"/>
      <c r="AB245" s="66"/>
      <c r="AC245" s="83"/>
    </row>
    <row r="246" spans="1:68" ht="27" hidden="1" customHeight="1" x14ac:dyDescent="0.25">
      <c r="A246" s="63" t="s">
        <v>341</v>
      </c>
      <c r="B246" s="63" t="s">
        <v>342</v>
      </c>
      <c r="C246" s="36">
        <v>4301136098</v>
      </c>
      <c r="D246" s="356">
        <v>4640242181943</v>
      </c>
      <c r="E246" s="356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8"/>
      <c r="R246" s="358"/>
      <c r="S246" s="358"/>
      <c r="T246" s="359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343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1"/>
      <c r="P247" s="367" t="s">
        <v>40</v>
      </c>
      <c r="Q247" s="368"/>
      <c r="R247" s="368"/>
      <c r="S247" s="368"/>
      <c r="T247" s="368"/>
      <c r="U247" s="368"/>
      <c r="V247" s="369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1"/>
      <c r="P248" s="367" t="s">
        <v>40</v>
      </c>
      <c r="Q248" s="368"/>
      <c r="R248" s="368"/>
      <c r="S248" s="368"/>
      <c r="T248" s="368"/>
      <c r="U248" s="368"/>
      <c r="V248" s="369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53" t="s">
        <v>344</v>
      </c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54"/>
      <c r="AB249" s="54"/>
      <c r="AC249" s="54"/>
    </row>
    <row r="250" spans="1:68" ht="16.5" hidden="1" customHeight="1" x14ac:dyDescent="0.25">
      <c r="A250" s="354" t="s">
        <v>344</v>
      </c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65"/>
      <c r="AB250" s="65"/>
      <c r="AC250" s="82"/>
    </row>
    <row r="251" spans="1:68" ht="14.25" hidden="1" customHeight="1" x14ac:dyDescent="0.25">
      <c r="A251" s="355" t="s">
        <v>80</v>
      </c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55"/>
      <c r="U251" s="355"/>
      <c r="V251" s="355"/>
      <c r="W251" s="355"/>
      <c r="X251" s="355"/>
      <c r="Y251" s="355"/>
      <c r="Z251" s="355"/>
      <c r="AA251" s="66"/>
      <c r="AB251" s="66"/>
      <c r="AC251" s="83"/>
    </row>
    <row r="252" spans="1:68" ht="27" hidden="1" customHeight="1" x14ac:dyDescent="0.25">
      <c r="A252" s="63" t="s">
        <v>345</v>
      </c>
      <c r="B252" s="63" t="s">
        <v>346</v>
      </c>
      <c r="C252" s="36">
        <v>4301071014</v>
      </c>
      <c r="D252" s="356">
        <v>4640242181264</v>
      </c>
      <c r="E252" s="356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8"/>
      <c r="R252" s="358"/>
      <c r="S252" s="358"/>
      <c r="T252" s="359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347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348</v>
      </c>
      <c r="B253" s="63" t="s">
        <v>349</v>
      </c>
      <c r="C253" s="36">
        <v>4301071141</v>
      </c>
      <c r="D253" s="356">
        <v>4620207491980</v>
      </c>
      <c r="E253" s="35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8"/>
      <c r="R253" s="358"/>
      <c r="S253" s="358"/>
      <c r="T253" s="35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1"/>
      <c r="P254" s="367" t="s">
        <v>40</v>
      </c>
      <c r="Q254" s="368"/>
      <c r="R254" s="368"/>
      <c r="S254" s="368"/>
      <c r="T254" s="368"/>
      <c r="U254" s="368"/>
      <c r="V254" s="369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55" t="s">
        <v>111</v>
      </c>
      <c r="B256" s="355"/>
      <c r="C256" s="355"/>
      <c r="D256" s="355"/>
      <c r="E256" s="355"/>
      <c r="F256" s="355"/>
      <c r="G256" s="355"/>
      <c r="H256" s="355"/>
      <c r="I256" s="355"/>
      <c r="J256" s="355"/>
      <c r="K256" s="355"/>
      <c r="L256" s="355"/>
      <c r="M256" s="355"/>
      <c r="N256" s="355"/>
      <c r="O256" s="355"/>
      <c r="P256" s="355"/>
      <c r="Q256" s="355"/>
      <c r="R256" s="355"/>
      <c r="S256" s="355"/>
      <c r="T256" s="355"/>
      <c r="U256" s="355"/>
      <c r="V256" s="355"/>
      <c r="W256" s="355"/>
      <c r="X256" s="355"/>
      <c r="Y256" s="355"/>
      <c r="Z256" s="355"/>
      <c r="AA256" s="66"/>
      <c r="AB256" s="66"/>
      <c r="AC256" s="83"/>
    </row>
    <row r="257" spans="1:68" ht="27" hidden="1" customHeight="1" x14ac:dyDescent="0.25">
      <c r="A257" s="63" t="s">
        <v>351</v>
      </c>
      <c r="B257" s="63" t="s">
        <v>352</v>
      </c>
      <c r="C257" s="36">
        <v>4301132080</v>
      </c>
      <c r="D257" s="356">
        <v>4640242180397</v>
      </c>
      <c r="E257" s="356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353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1"/>
      <c r="P258" s="367" t="s">
        <v>40</v>
      </c>
      <c r="Q258" s="368"/>
      <c r="R258" s="368"/>
      <c r="S258" s="368"/>
      <c r="T258" s="368"/>
      <c r="U258" s="368"/>
      <c r="V258" s="369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1"/>
      <c r="P259" s="367" t="s">
        <v>40</v>
      </c>
      <c r="Q259" s="368"/>
      <c r="R259" s="368"/>
      <c r="S259" s="368"/>
      <c r="T259" s="368"/>
      <c r="U259" s="368"/>
      <c r="V259" s="369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14.25" hidden="1" customHeight="1" x14ac:dyDescent="0.25">
      <c r="A260" s="355" t="s">
        <v>143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hidden="1" customHeight="1" x14ac:dyDescent="0.25">
      <c r="A261" s="63" t="s">
        <v>354</v>
      </c>
      <c r="B261" s="63" t="s">
        <v>355</v>
      </c>
      <c r="C261" s="36">
        <v>4301136051</v>
      </c>
      <c r="D261" s="356">
        <v>4640242180304</v>
      </c>
      <c r="E261" s="356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357</v>
      </c>
      <c r="B262" s="63" t="s">
        <v>358</v>
      </c>
      <c r="C262" s="36">
        <v>4301136053</v>
      </c>
      <c r="D262" s="356">
        <v>4640242180236</v>
      </c>
      <c r="E262" s="356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356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4301136052</v>
      </c>
      <c r="D263" s="356">
        <v>4640242180410</v>
      </c>
      <c r="E263" s="356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356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1"/>
      <c r="P264" s="367" t="s">
        <v>40</v>
      </c>
      <c r="Q264" s="368"/>
      <c r="R264" s="368"/>
      <c r="S264" s="368"/>
      <c r="T264" s="368"/>
      <c r="U264" s="368"/>
      <c r="V264" s="369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1"/>
      <c r="P265" s="367" t="s">
        <v>40</v>
      </c>
      <c r="Q265" s="368"/>
      <c r="R265" s="368"/>
      <c r="S265" s="368"/>
      <c r="T265" s="368"/>
      <c r="U265" s="368"/>
      <c r="V265" s="369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55" t="s">
        <v>147</v>
      </c>
      <c r="B266" s="355"/>
      <c r="C266" s="355"/>
      <c r="D266" s="355"/>
      <c r="E266" s="355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  <c r="T266" s="355"/>
      <c r="U266" s="355"/>
      <c r="V266" s="355"/>
      <c r="W266" s="355"/>
      <c r="X266" s="355"/>
      <c r="Y266" s="355"/>
      <c r="Z266" s="355"/>
      <c r="AA266" s="66"/>
      <c r="AB266" s="66"/>
      <c r="AC266" s="83"/>
    </row>
    <row r="267" spans="1:68" ht="37.5" hidden="1" customHeight="1" x14ac:dyDescent="0.25">
      <c r="A267" s="63" t="s">
        <v>361</v>
      </c>
      <c r="B267" s="63" t="s">
        <v>362</v>
      </c>
      <c r="C267" s="36">
        <v>4301135504</v>
      </c>
      <c r="D267" s="356">
        <v>4640242181554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363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hidden="1" customHeight="1" x14ac:dyDescent="0.25">
      <c r="A268" s="63" t="s">
        <v>364</v>
      </c>
      <c r="B268" s="63" t="s">
        <v>365</v>
      </c>
      <c r="C268" s="36">
        <v>4301137046</v>
      </c>
      <c r="D268" s="356">
        <v>4620207492093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86</v>
      </c>
      <c r="M268" s="38" t="s">
        <v>84</v>
      </c>
      <c r="N268" s="38"/>
      <c r="O268" s="37">
        <v>180</v>
      </c>
      <c r="P268" s="453" t="s">
        <v>366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367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368</v>
      </c>
      <c r="B269" s="63" t="s">
        <v>369</v>
      </c>
      <c r="C269" s="36">
        <v>4301135374</v>
      </c>
      <c r="D269" s="356">
        <v>4640242181424</v>
      </c>
      <c r="E269" s="356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363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370</v>
      </c>
      <c r="B270" s="63" t="s">
        <v>371</v>
      </c>
      <c r="C270" s="36">
        <v>4301135405</v>
      </c>
      <c r="D270" s="356">
        <v>4640242181523</v>
      </c>
      <c r="E270" s="356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ref="Z270:Z276" si="23"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373</v>
      </c>
      <c r="B271" s="63" t="s">
        <v>374</v>
      </c>
      <c r="C271" s="36">
        <v>4301135375</v>
      </c>
      <c r="D271" s="356">
        <v>4640242181486</v>
      </c>
      <c r="E271" s="356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363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hidden="1" customHeight="1" x14ac:dyDescent="0.25">
      <c r="A272" s="63" t="s">
        <v>375</v>
      </c>
      <c r="B272" s="63" t="s">
        <v>376</v>
      </c>
      <c r="C272" s="36">
        <v>4301135402</v>
      </c>
      <c r="D272" s="356">
        <v>4640242181493</v>
      </c>
      <c r="E272" s="35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363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377</v>
      </c>
      <c r="B273" s="63" t="s">
        <v>378</v>
      </c>
      <c r="C273" s="36">
        <v>4301135403</v>
      </c>
      <c r="D273" s="356">
        <v>4640242181509</v>
      </c>
      <c r="E273" s="35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363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4301135304</v>
      </c>
      <c r="D274" s="356">
        <v>4640242181240</v>
      </c>
      <c r="E274" s="356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363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381</v>
      </c>
      <c r="B275" s="63" t="s">
        <v>382</v>
      </c>
      <c r="C275" s="36">
        <v>4301135610</v>
      </c>
      <c r="D275" s="356">
        <v>4640242181318</v>
      </c>
      <c r="E275" s="356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4301137012</v>
      </c>
      <c r="D276" s="356">
        <v>4620207491935</v>
      </c>
      <c r="E276" s="356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385</v>
      </c>
      <c r="AG276" s="81"/>
      <c r="AJ276" s="87" t="s">
        <v>87</v>
      </c>
      <c r="AK276" s="87">
        <v>1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idden="1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1"/>
      <c r="P277" s="367" t="s">
        <v>40</v>
      </c>
      <c r="Q277" s="368"/>
      <c r="R277" s="368"/>
      <c r="S277" s="368"/>
      <c r="T277" s="368"/>
      <c r="U277" s="368"/>
      <c r="V277" s="369"/>
      <c r="W277" s="42" t="s">
        <v>39</v>
      </c>
      <c r="X277" s="43">
        <f>IFERROR(SUM(X267:X276),"0")</f>
        <v>0</v>
      </c>
      <c r="Y277" s="43">
        <f>IFERROR(SUM(Y267:Y276),"0")</f>
        <v>0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1"/>
      <c r="P278" s="367" t="s">
        <v>40</v>
      </c>
      <c r="Q278" s="368"/>
      <c r="R278" s="368"/>
      <c r="S278" s="368"/>
      <c r="T278" s="368"/>
      <c r="U278" s="368"/>
      <c r="V278" s="369"/>
      <c r="W278" s="42" t="s">
        <v>0</v>
      </c>
      <c r="X278" s="43">
        <f>IFERROR(SUMPRODUCT(X267:X276*H267:H276),"0")</f>
        <v>0</v>
      </c>
      <c r="Y278" s="43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33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IFERROR(X31+X37+X44+X50+X58+X63+X67+X73+X79+X84+X90+X100+X106+X117+X121+X125+X133+X139+X145+X152+X158+X163+X168+X173+X180+X185+X194+X200+X206+X212+X217+X222+X228+X234+X238+X244+X248+X255+X259+X265+X278,"0")</f>
        <v>11730.6</v>
      </c>
      <c r="Y279" s="43">
        <f>IFERROR(Y31+Y37+Y44+Y50+Y58+Y63+Y67+Y73+Y79+Y84+Y90+Y100+Y106+Y117+Y121+Y125+Y133+Y139+Y145+Y152+Y158+Y163+Y168+Y173+Y180+Y185+Y194+Y200+Y206+Y212+Y217+Y222+Y228+Y234+Y238+Y244+Y248+Y255+Y259+Y265+Y278,"0")</f>
        <v>11730.6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34</v>
      </c>
      <c r="Q280" s="463"/>
      <c r="R280" s="463"/>
      <c r="S280" s="463"/>
      <c r="T280" s="463"/>
      <c r="U280" s="463"/>
      <c r="V280" s="464"/>
      <c r="W280" s="42" t="s">
        <v>0</v>
      </c>
      <c r="X280" s="43">
        <f>IFERROR(SUM(BM22:BM276),"0")</f>
        <v>13112.092000000001</v>
      </c>
      <c r="Y280" s="43">
        <f>IFERROR(SUM(BN22:BN276),"0")</f>
        <v>13112.092000000001</v>
      </c>
      <c r="Z280" s="42"/>
      <c r="AA280" s="67"/>
      <c r="AB280" s="67"/>
      <c r="AC280" s="67"/>
    </row>
    <row r="281" spans="1:68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35</v>
      </c>
      <c r="Q281" s="463"/>
      <c r="R281" s="463"/>
      <c r="S281" s="463"/>
      <c r="T281" s="463"/>
      <c r="U281" s="463"/>
      <c r="V281" s="464"/>
      <c r="W281" s="42" t="s">
        <v>20</v>
      </c>
      <c r="X281" s="44">
        <f>ROUNDUP(SUM(BO22:BO276),0)</f>
        <v>34</v>
      </c>
      <c r="Y281" s="44">
        <f>ROUNDUP(SUM(BP22:BP276),0)</f>
        <v>34</v>
      </c>
      <c r="Z281" s="42"/>
      <c r="AA281" s="67"/>
      <c r="AB281" s="67"/>
      <c r="AC281" s="67"/>
    </row>
    <row r="282" spans="1:68" x14ac:dyDescent="0.2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465"/>
      <c r="P282" s="462" t="s">
        <v>36</v>
      </c>
      <c r="Q282" s="463"/>
      <c r="R282" s="463"/>
      <c r="S282" s="463"/>
      <c r="T282" s="463"/>
      <c r="U282" s="463"/>
      <c r="V282" s="464"/>
      <c r="W282" s="42" t="s">
        <v>0</v>
      </c>
      <c r="X282" s="43">
        <f>GrossWeightTotal+PalletQtyTotal*25</f>
        <v>13962.092000000001</v>
      </c>
      <c r="Y282" s="43">
        <f>GrossWeightTotalR+PalletQtyTotalR*25</f>
        <v>13962.092000000001</v>
      </c>
      <c r="Z282" s="42"/>
      <c r="AA282" s="67"/>
      <c r="AB282" s="67"/>
      <c r="AC282" s="67"/>
    </row>
    <row r="283" spans="1:68" x14ac:dyDescent="0.2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465"/>
      <c r="P283" s="462" t="s">
        <v>37</v>
      </c>
      <c r="Q283" s="463"/>
      <c r="R283" s="463"/>
      <c r="S283" s="463"/>
      <c r="T283" s="463"/>
      <c r="U283" s="463"/>
      <c r="V283" s="464"/>
      <c r="W283" s="42" t="s">
        <v>20</v>
      </c>
      <c r="X283" s="43">
        <f>IFERROR(X30+X36+X43+X49+X57+X62+X66+X72+X78+X83+X89+X99+X105+X116+X120+X124+X132+X138+X144+X151+X157+X162+X167+X172+X179+X184+X193+X199+X205+X211+X216+X221+X227+X233+X237+X243+X247+X254+X258+X264+X277,"0")</f>
        <v>2898</v>
      </c>
      <c r="Y283" s="43">
        <f>IFERROR(Y30+Y36+Y43+Y49+Y57+Y62+Y66+Y72+Y78+Y83+Y89+Y99+Y105+Y116+Y120+Y124+Y132+Y138+Y144+Y151+Y157+Y162+Y167+Y172+Y179+Y184+Y193+Y199+Y205+Y211+Y216+Y221+Y227+Y233+Y237+Y243+Y247+Y254+Y258+Y264+Y277,"0")</f>
        <v>2898</v>
      </c>
      <c r="Z283" s="42"/>
      <c r="AA283" s="67"/>
      <c r="AB283" s="67"/>
      <c r="AC283" s="67"/>
    </row>
    <row r="284" spans="1:68" ht="14.25" hidden="1" x14ac:dyDescent="0.2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465"/>
      <c r="P284" s="462" t="s">
        <v>38</v>
      </c>
      <c r="Q284" s="463"/>
      <c r="R284" s="463"/>
      <c r="S284" s="463"/>
      <c r="T284" s="463"/>
      <c r="U284" s="463"/>
      <c r="V284" s="464"/>
      <c r="W284" s="45" t="s">
        <v>52</v>
      </c>
      <c r="X284" s="42"/>
      <c r="Y284" s="42"/>
      <c r="Z284" s="42">
        <f>IFERROR(Z30+Z36+Z43+Z49+Z57+Z62+Z66+Z72+Z78+Z83+Z89+Z99+Z105+Z116+Z120+Z124+Z132+Z138+Z144+Z151+Z157+Z162+Z167+Z172+Z179+Z184+Z193+Z199+Z205+Z211+Z216+Z221+Z227+Z233+Z237+Z243+Z247+Z254+Z258+Z264+Z277,"0")</f>
        <v>42.895299999999999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6" t="s">
        <v>79</v>
      </c>
      <c r="C286" s="466" t="s">
        <v>79</v>
      </c>
      <c r="D286" s="466" t="s">
        <v>45</v>
      </c>
      <c r="E286" s="466" t="s">
        <v>45</v>
      </c>
      <c r="F286" s="466" t="s">
        <v>45</v>
      </c>
      <c r="G286" s="466" t="s">
        <v>45</v>
      </c>
      <c r="H286" s="466" t="s">
        <v>45</v>
      </c>
      <c r="I286" s="466" t="s">
        <v>45</v>
      </c>
      <c r="J286" s="466" t="s">
        <v>45</v>
      </c>
      <c r="K286" s="466" t="s">
        <v>45</v>
      </c>
      <c r="L286" s="466" t="s">
        <v>45</v>
      </c>
      <c r="M286" s="466" t="s">
        <v>45</v>
      </c>
      <c r="N286" s="467"/>
      <c r="O286" s="466" t="s">
        <v>45</v>
      </c>
      <c r="P286" s="466" t="s">
        <v>45</v>
      </c>
      <c r="Q286" s="466" t="s">
        <v>45</v>
      </c>
      <c r="R286" s="466" t="s">
        <v>45</v>
      </c>
      <c r="S286" s="466" t="s">
        <v>45</v>
      </c>
      <c r="T286" s="466" t="s">
        <v>45</v>
      </c>
      <c r="U286" s="466" t="s">
        <v>45</v>
      </c>
      <c r="V286" s="466" t="s">
        <v>270</v>
      </c>
      <c r="W286" s="466" t="s">
        <v>270</v>
      </c>
      <c r="X286" s="88" t="s">
        <v>281</v>
      </c>
      <c r="Y286" s="466" t="s">
        <v>295</v>
      </c>
      <c r="Z286" s="466" t="s">
        <v>295</v>
      </c>
      <c r="AA286" s="466" t="s">
        <v>295</v>
      </c>
      <c r="AB286" s="466" t="s">
        <v>295</v>
      </c>
      <c r="AC286" s="88" t="s">
        <v>324</v>
      </c>
      <c r="AD286" s="88" t="s">
        <v>329</v>
      </c>
      <c r="AE286" s="88" t="s">
        <v>337</v>
      </c>
      <c r="AF286" s="88" t="s">
        <v>344</v>
      </c>
    </row>
    <row r="287" spans="1:68" ht="14.25" customHeight="1" thickTop="1" x14ac:dyDescent="0.2">
      <c r="A287" s="468" t="s">
        <v>10</v>
      </c>
      <c r="B287" s="466" t="s">
        <v>79</v>
      </c>
      <c r="C287" s="466" t="s">
        <v>104</v>
      </c>
      <c r="D287" s="466" t="s">
        <v>110</v>
      </c>
      <c r="E287" s="466" t="s">
        <v>121</v>
      </c>
      <c r="F287" s="466" t="s">
        <v>128</v>
      </c>
      <c r="G287" s="466" t="s">
        <v>139</v>
      </c>
      <c r="H287" s="466" t="s">
        <v>155</v>
      </c>
      <c r="I287" s="466" t="s">
        <v>162</v>
      </c>
      <c r="J287" s="466" t="s">
        <v>166</v>
      </c>
      <c r="K287" s="466" t="s">
        <v>174</v>
      </c>
      <c r="L287" s="466" t="s">
        <v>189</v>
      </c>
      <c r="M287" s="466" t="s">
        <v>195</v>
      </c>
      <c r="N287" s="1"/>
      <c r="O287" s="466" t="s">
        <v>220</v>
      </c>
      <c r="P287" s="466" t="s">
        <v>238</v>
      </c>
      <c r="Q287" s="466" t="s">
        <v>244</v>
      </c>
      <c r="R287" s="466" t="s">
        <v>253</v>
      </c>
      <c r="S287" s="466" t="s">
        <v>259</v>
      </c>
      <c r="T287" s="466" t="s">
        <v>263</v>
      </c>
      <c r="U287" s="466" t="s">
        <v>266</v>
      </c>
      <c r="V287" s="466" t="s">
        <v>271</v>
      </c>
      <c r="W287" s="466" t="s">
        <v>278</v>
      </c>
      <c r="X287" s="466" t="s">
        <v>282</v>
      </c>
      <c r="Y287" s="466" t="s">
        <v>296</v>
      </c>
      <c r="Z287" s="466" t="s">
        <v>309</v>
      </c>
      <c r="AA287" s="466" t="s">
        <v>316</v>
      </c>
      <c r="AB287" s="466" t="s">
        <v>320</v>
      </c>
      <c r="AC287" s="466" t="s">
        <v>325</v>
      </c>
      <c r="AD287" s="466" t="s">
        <v>330</v>
      </c>
      <c r="AE287" s="466" t="s">
        <v>337</v>
      </c>
      <c r="AF287" s="466" t="s">
        <v>344</v>
      </c>
    </row>
    <row r="288" spans="1:68" ht="13.5" thickBot="1" x14ac:dyDescent="0.25">
      <c r="A288" s="469"/>
      <c r="B288" s="466"/>
      <c r="C288" s="466"/>
      <c r="D288" s="466"/>
      <c r="E288" s="466"/>
      <c r="F288" s="466"/>
      <c r="G288" s="466"/>
      <c r="H288" s="466"/>
      <c r="I288" s="466"/>
      <c r="J288" s="466"/>
      <c r="K288" s="466"/>
      <c r="L288" s="466"/>
      <c r="M288" s="466"/>
      <c r="N288" s="1"/>
      <c r="O288" s="466"/>
      <c r="P288" s="466"/>
      <c r="Q288" s="466"/>
      <c r="R288" s="466"/>
      <c r="S288" s="466"/>
      <c r="T288" s="466"/>
      <c r="U288" s="466"/>
      <c r="V288" s="466"/>
      <c r="W288" s="466"/>
      <c r="X288" s="466"/>
      <c r="Y288" s="466"/>
      <c r="Z288" s="466"/>
      <c r="AA288" s="466"/>
      <c r="AB288" s="466"/>
      <c r="AC288" s="466"/>
      <c r="AD288" s="466"/>
      <c r="AE288" s="466"/>
      <c r="AF288" s="466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537.6</v>
      </c>
      <c r="C289" s="52">
        <f>IFERROR(X34*H34,"0")+IFERROR(X35*H35,"0")</f>
        <v>0</v>
      </c>
      <c r="D289" s="52">
        <f>IFERROR(X41*H41,"0")+IFERROR(X42*H42,"0")</f>
        <v>420</v>
      </c>
      <c r="E289" s="52">
        <f>IFERROR(X47*H47,"0")+IFERROR(X48*H48,"0")</f>
        <v>0</v>
      </c>
      <c r="F289" s="52">
        <f>IFERROR(X53*H53,"0")+IFERROR(X54*H54,"0")+IFERROR(X55*H55,"0")+IFERROR(X56*H56,"0")</f>
        <v>3528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0</v>
      </c>
      <c r="I289" s="52">
        <f>IFERROR(X82*H82,"0")</f>
        <v>252</v>
      </c>
      <c r="J289" s="52">
        <f>IFERROR(X87*H87,"0")+IFERROR(X88*H88,"0")</f>
        <v>1260</v>
      </c>
      <c r="K289" s="52">
        <f>IFERROR(X93*H93,"0")+IFERROR(X94*H94,"0")+IFERROR(X95*H95,"0")+IFERROR(X96*H96,"0")+IFERROR(X97*H97,"0")+IFERROR(X98*H98,"0")</f>
        <v>604.79999999999995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2940</v>
      </c>
      <c r="N289" s="1"/>
      <c r="O289" s="52">
        <f>IFERROR(X128*H128,"0")+IFERROR(X129*H129,"0")+IFERROR(X130*H130,"0")+IFERROR(X131*H131,"0")+IFERROR(X135*H135,"0")+IFERROR(X136*H136,"0")+IFERROR(X137*H137,"0")</f>
        <v>289.79999999999995</v>
      </c>
      <c r="P289" s="52">
        <f>IFERROR(X142*H142,"0")+IFERROR(X143*H143,"0")</f>
        <v>420</v>
      </c>
      <c r="Q289" s="52">
        <f>IFERROR(X148*H148,"0")+IFERROR(X149*H149,"0")+IFERROR(X150*H150,"0")</f>
        <v>840</v>
      </c>
      <c r="R289" s="52">
        <f>IFERROR(X155*H155,"0")+IFERROR(X156*H156,"0")</f>
        <v>168</v>
      </c>
      <c r="S289" s="52">
        <f>IFERROR(X161*H161,"0")</f>
        <v>0</v>
      </c>
      <c r="T289" s="52">
        <f>IFERROR(X166*H166,"0")</f>
        <v>0</v>
      </c>
      <c r="U289" s="52">
        <f>IFERROR(X171*H171,"0")</f>
        <v>470.4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0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7005.6</v>
      </c>
      <c r="B292" s="72">
        <f>SUMPRODUCT(--(BB:BB="ПГП"),--(W:W="кор"),H:H,Y:Y)+SUMPRODUCT(--(BB:BB="ПГП"),--(W:W="кг"),Y:Y)</f>
        <v>4724.9999999999991</v>
      </c>
      <c r="C292" s="72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1 730,60"/>
        <filter val="13 112,09"/>
        <filter val="13 962,09"/>
        <filter val="140,00"/>
        <filter val="168,00"/>
        <filter val="2 898,00"/>
        <filter val="2 940,00"/>
        <filter val="210,00"/>
        <filter val="252,00"/>
        <filter val="280,00"/>
        <filter val="289,80"/>
        <filter val="3 528,00"/>
        <filter val="34"/>
        <filter val="350,00"/>
        <filter val="420,00"/>
        <filter val="470,40"/>
        <filter val="504,00"/>
        <filter val="537,60"/>
        <filter val="604,80"/>
        <filter val="70,00"/>
        <filter val="84,00"/>
        <filter val="840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2026-09-23T08:06:36Z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