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машина ОПТы 19,09,26\16,09 Обрыньба КИ ЛП ближ\"/>
    </mc:Choice>
  </mc:AlternateContent>
  <xr:revisionPtr revIDLastSave="0" documentId="13_ncr:1_{540C542D-6385-4A11-87F1-D7EFF4994B4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Y542" i="2" s="1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Y535" i="2" s="1"/>
  <c r="P533" i="2"/>
  <c r="X531" i="2"/>
  <c r="X530" i="2"/>
  <c r="BP529" i="2"/>
  <c r="BO529" i="2"/>
  <c r="BM529" i="2"/>
  <c r="Y529" i="2"/>
  <c r="Y530" i="2" s="1"/>
  <c r="P529" i="2"/>
  <c r="X525" i="2"/>
  <c r="X524" i="2"/>
  <c r="BO523" i="2"/>
  <c r="BM523" i="2"/>
  <c r="Y523" i="2"/>
  <c r="Z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Z520" i="2"/>
  <c r="Y520" i="2"/>
  <c r="BN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N517" i="2" s="1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BN511" i="2" s="1"/>
  <c r="P511" i="2"/>
  <c r="X509" i="2"/>
  <c r="X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P502" i="2"/>
  <c r="BO501" i="2"/>
  <c r="BM501" i="2"/>
  <c r="Z501" i="2"/>
  <c r="Y501" i="2"/>
  <c r="BP501" i="2" s="1"/>
  <c r="P501" i="2"/>
  <c r="BO500" i="2"/>
  <c r="BM500" i="2"/>
  <c r="Y500" i="2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N487" i="2"/>
  <c r="BM487" i="2"/>
  <c r="Z487" i="2"/>
  <c r="Z488" i="2" s="1"/>
  <c r="Y487" i="2"/>
  <c r="P487" i="2"/>
  <c r="X484" i="2"/>
  <c r="X483" i="2"/>
  <c r="BO482" i="2"/>
  <c r="BM482" i="2"/>
  <c r="Y482" i="2"/>
  <c r="P482" i="2"/>
  <c r="BO481" i="2"/>
  <c r="BM481" i="2"/>
  <c r="Y481" i="2"/>
  <c r="P481" i="2"/>
  <c r="X479" i="2"/>
  <c r="X478" i="2"/>
  <c r="BO477" i="2"/>
  <c r="BM477" i="2"/>
  <c r="Y477" i="2"/>
  <c r="BP477" i="2" s="1"/>
  <c r="P477" i="2"/>
  <c r="BO476" i="2"/>
  <c r="BM476" i="2"/>
  <c r="Y476" i="2"/>
  <c r="BP476" i="2" s="1"/>
  <c r="P476" i="2"/>
  <c r="BP475" i="2"/>
  <c r="BO475" i="2"/>
  <c r="BN475" i="2"/>
  <c r="BM475" i="2"/>
  <c r="Z475" i="2"/>
  <c r="Y475" i="2"/>
  <c r="P475" i="2"/>
  <c r="BO474" i="2"/>
  <c r="BM474" i="2"/>
  <c r="Y474" i="2"/>
  <c r="BP474" i="2" s="1"/>
  <c r="P474" i="2"/>
  <c r="BO473" i="2"/>
  <c r="BM473" i="2"/>
  <c r="Y473" i="2"/>
  <c r="P473" i="2"/>
  <c r="BO472" i="2"/>
  <c r="BM472" i="2"/>
  <c r="Y472" i="2"/>
  <c r="BP472" i="2" s="1"/>
  <c r="P472" i="2"/>
  <c r="X468" i="2"/>
  <c r="X467" i="2"/>
  <c r="BO466" i="2"/>
  <c r="BM466" i="2"/>
  <c r="Y466" i="2"/>
  <c r="P466" i="2"/>
  <c r="BP465" i="2"/>
  <c r="BO465" i="2"/>
  <c r="BN465" i="2"/>
  <c r="BM465" i="2"/>
  <c r="Z465" i="2"/>
  <c r="Y465" i="2"/>
  <c r="P465" i="2"/>
  <c r="BO464" i="2"/>
  <c r="BM464" i="2"/>
  <c r="Y464" i="2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P456" i="2"/>
  <c r="BO455" i="2"/>
  <c r="BM455" i="2"/>
  <c r="Y455" i="2"/>
  <c r="P455" i="2"/>
  <c r="X452" i="2"/>
  <c r="X451" i="2"/>
  <c r="BO450" i="2"/>
  <c r="BM450" i="2"/>
  <c r="Y450" i="2"/>
  <c r="BP450" i="2" s="1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P443" i="2"/>
  <c r="BO443" i="2"/>
  <c r="BM443" i="2"/>
  <c r="Y443" i="2"/>
  <c r="Z443" i="2" s="1"/>
  <c r="P443" i="2"/>
  <c r="X441" i="2"/>
  <c r="X440" i="2"/>
  <c r="BO439" i="2"/>
  <c r="BN439" i="2"/>
  <c r="BM439" i="2"/>
  <c r="Z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P430" i="2"/>
  <c r="BO429" i="2"/>
  <c r="BM429" i="2"/>
  <c r="Y429" i="2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BP418" i="2" s="1"/>
  <c r="P418" i="2"/>
  <c r="X415" i="2"/>
  <c r="X414" i="2"/>
  <c r="BO413" i="2"/>
  <c r="BM413" i="2"/>
  <c r="Y413" i="2"/>
  <c r="P413" i="2"/>
  <c r="BP412" i="2"/>
  <c r="BO412" i="2"/>
  <c r="BM412" i="2"/>
  <c r="Y412" i="2"/>
  <c r="P412" i="2"/>
  <c r="X409" i="2"/>
  <c r="X408" i="2"/>
  <c r="BO407" i="2"/>
  <c r="BM407" i="2"/>
  <c r="Y407" i="2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BP399" i="2" s="1"/>
  <c r="P399" i="2"/>
  <c r="X397" i="2"/>
  <c r="X396" i="2"/>
  <c r="BO395" i="2"/>
  <c r="BM395" i="2"/>
  <c r="Y395" i="2"/>
  <c r="Z395" i="2" s="1"/>
  <c r="P395" i="2"/>
  <c r="BP394" i="2"/>
  <c r="BO394" i="2"/>
  <c r="BN394" i="2"/>
  <c r="BM394" i="2"/>
  <c r="Z394" i="2"/>
  <c r="Y394" i="2"/>
  <c r="P394" i="2"/>
  <c r="BO393" i="2"/>
  <c r="BN393" i="2"/>
  <c r="BM393" i="2"/>
  <c r="Z393" i="2"/>
  <c r="Y393" i="2"/>
  <c r="BP393" i="2" s="1"/>
  <c r="P393" i="2"/>
  <c r="BO392" i="2"/>
  <c r="BM392" i="2"/>
  <c r="Y392" i="2"/>
  <c r="Z392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N386" i="2" s="1"/>
  <c r="P386" i="2"/>
  <c r="X384" i="2"/>
  <c r="X383" i="2"/>
  <c r="BP382" i="2"/>
  <c r="BO382" i="2"/>
  <c r="BN382" i="2"/>
  <c r="BM382" i="2"/>
  <c r="Z382" i="2"/>
  <c r="Y382" i="2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Y384" i="2" s="1"/>
  <c r="P379" i="2"/>
  <c r="X377" i="2"/>
  <c r="X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BP371" i="2" s="1"/>
  <c r="P371" i="2"/>
  <c r="BP370" i="2"/>
  <c r="BO370" i="2"/>
  <c r="BN370" i="2"/>
  <c r="BM370" i="2"/>
  <c r="Z370" i="2"/>
  <c r="Y370" i="2"/>
  <c r="P370" i="2"/>
  <c r="BO369" i="2"/>
  <c r="BM369" i="2"/>
  <c r="Y369" i="2"/>
  <c r="P369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BP361" i="2" s="1"/>
  <c r="P361" i="2"/>
  <c r="BO360" i="2"/>
  <c r="BM360" i="2"/>
  <c r="Y360" i="2"/>
  <c r="P360" i="2"/>
  <c r="BO359" i="2"/>
  <c r="BM359" i="2"/>
  <c r="Y359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BP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Y344" i="2" s="1"/>
  <c r="P338" i="2"/>
  <c r="X335" i="2"/>
  <c r="X334" i="2"/>
  <c r="BO333" i="2"/>
  <c r="BM333" i="2"/>
  <c r="Y333" i="2"/>
  <c r="BP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P323" i="2"/>
  <c r="BO323" i="2"/>
  <c r="BN323" i="2"/>
  <c r="BM323" i="2"/>
  <c r="Z323" i="2"/>
  <c r="Y323" i="2"/>
  <c r="P323" i="2"/>
  <c r="BO322" i="2"/>
  <c r="BN322" i="2"/>
  <c r="BM322" i="2"/>
  <c r="Z322" i="2"/>
  <c r="Y322" i="2"/>
  <c r="BP322" i="2" s="1"/>
  <c r="P322" i="2"/>
  <c r="BO321" i="2"/>
  <c r="BM321" i="2"/>
  <c r="Y321" i="2"/>
  <c r="BP321" i="2" s="1"/>
  <c r="Y318" i="2"/>
  <c r="X318" i="2"/>
  <c r="X317" i="2"/>
  <c r="BO316" i="2"/>
  <c r="BN316" i="2"/>
  <c r="BM316" i="2"/>
  <c r="Z316" i="2"/>
  <c r="Z317" i="2" s="1"/>
  <c r="Y316" i="2"/>
  <c r="Y317" i="2" s="1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P308" i="2"/>
  <c r="X306" i="2"/>
  <c r="X305" i="2"/>
  <c r="BO304" i="2"/>
  <c r="BM304" i="2"/>
  <c r="Y304" i="2"/>
  <c r="BP304" i="2" s="1"/>
  <c r="P304" i="2"/>
  <c r="BO303" i="2"/>
  <c r="BM303" i="2"/>
  <c r="Y303" i="2"/>
  <c r="BN303" i="2" s="1"/>
  <c r="P303" i="2"/>
  <c r="BO302" i="2"/>
  <c r="BM302" i="2"/>
  <c r="Y302" i="2"/>
  <c r="BP302" i="2" s="1"/>
  <c r="P302" i="2"/>
  <c r="BO301" i="2"/>
  <c r="BM301" i="2"/>
  <c r="Y301" i="2"/>
  <c r="Z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BP298" i="2" s="1"/>
  <c r="P298" i="2"/>
  <c r="X295" i="2"/>
  <c r="X294" i="2"/>
  <c r="BO293" i="2"/>
  <c r="BM293" i="2"/>
  <c r="Y293" i="2"/>
  <c r="P293" i="2"/>
  <c r="BO292" i="2"/>
  <c r="BM292" i="2"/>
  <c r="Y292" i="2"/>
  <c r="Y294" i="2" s="1"/>
  <c r="P292" i="2"/>
  <c r="X290" i="2"/>
  <c r="X289" i="2"/>
  <c r="BO288" i="2"/>
  <c r="BM288" i="2"/>
  <c r="Y288" i="2"/>
  <c r="P288" i="2"/>
  <c r="BO287" i="2"/>
  <c r="BM287" i="2"/>
  <c r="Z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Y283" i="2"/>
  <c r="Z283" i="2" s="1"/>
  <c r="P283" i="2"/>
  <c r="BP282" i="2"/>
  <c r="BO282" i="2"/>
  <c r="BM282" i="2"/>
  <c r="Y282" i="2"/>
  <c r="BN282" i="2" s="1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P277" i="2"/>
  <c r="BO277" i="2"/>
  <c r="BM277" i="2"/>
  <c r="Y277" i="2"/>
  <c r="P277" i="2"/>
  <c r="X275" i="2"/>
  <c r="X274" i="2"/>
  <c r="BO273" i="2"/>
  <c r="BM273" i="2"/>
  <c r="Y273" i="2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P269" i="2" s="1"/>
  <c r="P269" i="2"/>
  <c r="BO268" i="2"/>
  <c r="BM268" i="2"/>
  <c r="Y268" i="2"/>
  <c r="BN268" i="2" s="1"/>
  <c r="P268" i="2"/>
  <c r="BO267" i="2"/>
  <c r="BM267" i="2"/>
  <c r="Y267" i="2"/>
  <c r="Z267" i="2" s="1"/>
  <c r="P267" i="2"/>
  <c r="BO266" i="2"/>
  <c r="BM266" i="2"/>
  <c r="Y266" i="2"/>
  <c r="Y275" i="2" s="1"/>
  <c r="P266" i="2"/>
  <c r="X264" i="2"/>
  <c r="X263" i="2"/>
  <c r="BO262" i="2"/>
  <c r="BM262" i="2"/>
  <c r="Y262" i="2"/>
  <c r="P262" i="2"/>
  <c r="BO261" i="2"/>
  <c r="BM261" i="2"/>
  <c r="Y261" i="2"/>
  <c r="BP261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Y253" i="2"/>
  <c r="X253" i="2"/>
  <c r="Y252" i="2"/>
  <c r="X252" i="2"/>
  <c r="BP251" i="2"/>
  <c r="BO251" i="2"/>
  <c r="BN251" i="2"/>
  <c r="BM251" i="2"/>
  <c r="Z251" i="2"/>
  <c r="Z252" i="2" s="1"/>
  <c r="Y251" i="2"/>
  <c r="P251" i="2"/>
  <c r="X249" i="2"/>
  <c r="X248" i="2"/>
  <c r="BO247" i="2"/>
  <c r="BN247" i="2"/>
  <c r="BM247" i="2"/>
  <c r="Z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Z241" i="2" s="1"/>
  <c r="P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X231" i="2"/>
  <c r="X230" i="2"/>
  <c r="BP229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N225" i="2" s="1"/>
  <c r="P225" i="2"/>
  <c r="BP224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Z218" i="2"/>
  <c r="Y218" i="2"/>
  <c r="BN218" i="2" s="1"/>
  <c r="P218" i="2"/>
  <c r="BO217" i="2"/>
  <c r="BN217" i="2"/>
  <c r="BM217" i="2"/>
  <c r="Z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Y212" i="2" s="1"/>
  <c r="P211" i="2"/>
  <c r="X208" i="2"/>
  <c r="X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X196" i="2"/>
  <c r="X195" i="2"/>
  <c r="BO194" i="2"/>
  <c r="BM194" i="2"/>
  <c r="Y194" i="2"/>
  <c r="Y195" i="2" s="1"/>
  <c r="P194" i="2"/>
  <c r="X192" i="2"/>
  <c r="X191" i="2"/>
  <c r="BO190" i="2"/>
  <c r="BM190" i="2"/>
  <c r="Y190" i="2"/>
  <c r="Z190" i="2" s="1"/>
  <c r="P190" i="2"/>
  <c r="BO189" i="2"/>
  <c r="BM189" i="2"/>
  <c r="Z189" i="2"/>
  <c r="Y189" i="2"/>
  <c r="BN189" i="2" s="1"/>
  <c r="P189" i="2"/>
  <c r="BO188" i="2"/>
  <c r="BM188" i="2"/>
  <c r="Y188" i="2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P173" i="2"/>
  <c r="X171" i="2"/>
  <c r="X170" i="2"/>
  <c r="BO169" i="2"/>
  <c r="BM169" i="2"/>
  <c r="Z169" i="2"/>
  <c r="Y169" i="2"/>
  <c r="P169" i="2"/>
  <c r="BO168" i="2"/>
  <c r="BN168" i="2"/>
  <c r="BM168" i="2"/>
  <c r="Z168" i="2"/>
  <c r="Y168" i="2"/>
  <c r="P168" i="2"/>
  <c r="X166" i="2"/>
  <c r="X165" i="2"/>
  <c r="BO164" i="2"/>
  <c r="BM164" i="2"/>
  <c r="Y164" i="2"/>
  <c r="BP164" i="2" s="1"/>
  <c r="P164" i="2"/>
  <c r="BO163" i="2"/>
  <c r="BM163" i="2"/>
  <c r="Y163" i="2"/>
  <c r="BN163" i="2" s="1"/>
  <c r="P163" i="2"/>
  <c r="BO162" i="2"/>
  <c r="BM162" i="2"/>
  <c r="Y162" i="2"/>
  <c r="BN162" i="2" s="1"/>
  <c r="P162" i="2"/>
  <c r="X159" i="2"/>
  <c r="X158" i="2"/>
  <c r="BO157" i="2"/>
  <c r="BM157" i="2"/>
  <c r="Y157" i="2"/>
  <c r="Y159" i="2" s="1"/>
  <c r="P157" i="2"/>
  <c r="X155" i="2"/>
  <c r="X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Z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Y139" i="2" s="1"/>
  <c r="P137" i="2"/>
  <c r="X135" i="2"/>
  <c r="X134" i="2"/>
  <c r="BO133" i="2"/>
  <c r="BM133" i="2"/>
  <c r="Y133" i="2"/>
  <c r="BN133" i="2" s="1"/>
  <c r="P133" i="2"/>
  <c r="BO132" i="2"/>
  <c r="BM132" i="2"/>
  <c r="Y132" i="2"/>
  <c r="H564" i="2" s="1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Z123" i="2" s="1"/>
  <c r="P123" i="2"/>
  <c r="BO122" i="2"/>
  <c r="BM122" i="2"/>
  <c r="Y122" i="2"/>
  <c r="Z122" i="2" s="1"/>
  <c r="P122" i="2"/>
  <c r="BP121" i="2"/>
  <c r="BO121" i="2"/>
  <c r="BN121" i="2"/>
  <c r="BM121" i="2"/>
  <c r="Z121" i="2"/>
  <c r="Y121" i="2"/>
  <c r="P121" i="2"/>
  <c r="BO120" i="2"/>
  <c r="BM120" i="2"/>
  <c r="Y120" i="2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P114" i="2"/>
  <c r="BO114" i="2"/>
  <c r="BM114" i="2"/>
  <c r="Y114" i="2"/>
  <c r="BN114" i="2" s="1"/>
  <c r="P114" i="2"/>
  <c r="BO113" i="2"/>
  <c r="BM113" i="2"/>
  <c r="Y113" i="2"/>
  <c r="Z113" i="2" s="1"/>
  <c r="P113" i="2"/>
  <c r="BO112" i="2"/>
  <c r="BM112" i="2"/>
  <c r="Y112" i="2"/>
  <c r="Y118" i="2" s="1"/>
  <c r="P112" i="2"/>
  <c r="X110" i="2"/>
  <c r="X109" i="2"/>
  <c r="BO108" i="2"/>
  <c r="BM108" i="2"/>
  <c r="Y108" i="2"/>
  <c r="BP108" i="2" s="1"/>
  <c r="P108" i="2"/>
  <c r="BP107" i="2"/>
  <c r="BO107" i="2"/>
  <c r="BN107" i="2"/>
  <c r="BM107" i="2"/>
  <c r="Z107" i="2"/>
  <c r="Y107" i="2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BP102" i="2"/>
  <c r="BO102" i="2"/>
  <c r="BM102" i="2"/>
  <c r="Y102" i="2"/>
  <c r="P102" i="2"/>
  <c r="BO101" i="2"/>
  <c r="BM101" i="2"/>
  <c r="Y101" i="2"/>
  <c r="BP101" i="2" s="1"/>
  <c r="P101" i="2"/>
  <c r="X98" i="2"/>
  <c r="X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BP94" i="2" s="1"/>
  <c r="P94" i="2"/>
  <c r="BP93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Y91" i="2" s="1"/>
  <c r="P85" i="2"/>
  <c r="X82" i="2"/>
  <c r="X81" i="2"/>
  <c r="BO80" i="2"/>
  <c r="BM80" i="2"/>
  <c r="Y80" i="2"/>
  <c r="Z80" i="2" s="1"/>
  <c r="P80" i="2"/>
  <c r="BO79" i="2"/>
  <c r="BM79" i="2"/>
  <c r="Y79" i="2"/>
  <c r="BP79" i="2" s="1"/>
  <c r="P79" i="2"/>
  <c r="BO78" i="2"/>
  <c r="BM78" i="2"/>
  <c r="Y78" i="2"/>
  <c r="Y81" i="2" s="1"/>
  <c r="P78" i="2"/>
  <c r="X76" i="2"/>
  <c r="X75" i="2"/>
  <c r="BO74" i="2"/>
  <c r="BM74" i="2"/>
  <c r="Y74" i="2"/>
  <c r="BP74" i="2" s="1"/>
  <c r="P74" i="2"/>
  <c r="BO73" i="2"/>
  <c r="BM73" i="2"/>
  <c r="Z73" i="2"/>
  <c r="Y73" i="2"/>
  <c r="P73" i="2"/>
  <c r="BO72" i="2"/>
  <c r="BM72" i="2"/>
  <c r="Y72" i="2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Z66" i="2" s="1"/>
  <c r="P66" i="2"/>
  <c r="BP65" i="2"/>
  <c r="BO65" i="2"/>
  <c r="BM65" i="2"/>
  <c r="Y65" i="2"/>
  <c r="P65" i="2"/>
  <c r="X63" i="2"/>
  <c r="X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Z59" i="2" s="1"/>
  <c r="P59" i="2"/>
  <c r="BO58" i="2"/>
  <c r="BM58" i="2"/>
  <c r="Y58" i="2"/>
  <c r="BP58" i="2" s="1"/>
  <c r="P58" i="2"/>
  <c r="BP57" i="2"/>
  <c r="BO57" i="2"/>
  <c r="BM57" i="2"/>
  <c r="Y57" i="2"/>
  <c r="BN57" i="2" s="1"/>
  <c r="P57" i="2"/>
  <c r="BO56" i="2"/>
  <c r="BM56" i="2"/>
  <c r="Y56" i="2"/>
  <c r="P56" i="2"/>
  <c r="BO55" i="2"/>
  <c r="BN55" i="2"/>
  <c r="BM55" i="2"/>
  <c r="Z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Z48" i="2" s="1"/>
  <c r="P48" i="2"/>
  <c r="BP47" i="2"/>
  <c r="BO47" i="2"/>
  <c r="BM47" i="2"/>
  <c r="Y47" i="2"/>
  <c r="P47" i="2"/>
  <c r="X43" i="2"/>
  <c r="X42" i="2"/>
  <c r="BO41" i="2"/>
  <c r="BM41" i="2"/>
  <c r="Y41" i="2"/>
  <c r="BN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Y42" i="2" s="1"/>
  <c r="P37" i="2"/>
  <c r="X33" i="2"/>
  <c r="X32" i="2"/>
  <c r="BO31" i="2"/>
  <c r="BM31" i="2"/>
  <c r="Z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Y32" i="2" s="1"/>
  <c r="P27" i="2"/>
  <c r="X25" i="2"/>
  <c r="X554" i="2" s="1"/>
  <c r="X24" i="2"/>
  <c r="BO23" i="2"/>
  <c r="BM23" i="2"/>
  <c r="Y23" i="2"/>
  <c r="P23" i="2"/>
  <c r="BO22" i="2"/>
  <c r="BM22" i="2"/>
  <c r="Y22" i="2"/>
  <c r="B564" i="2" s="1"/>
  <c r="P22" i="2"/>
  <c r="H10" i="2"/>
  <c r="A9" i="2"/>
  <c r="A10" i="2" s="1"/>
  <c r="D7" i="2"/>
  <c r="Q6" i="2"/>
  <c r="P2" i="2"/>
  <c r="Y264" i="2" l="1"/>
  <c r="Z29" i="2"/>
  <c r="BP40" i="2"/>
  <c r="Y52" i="2"/>
  <c r="Z49" i="2"/>
  <c r="Z60" i="2"/>
  <c r="Z67" i="2"/>
  <c r="Y76" i="2"/>
  <c r="Z88" i="2"/>
  <c r="BN88" i="2"/>
  <c r="Z101" i="2"/>
  <c r="Z106" i="2"/>
  <c r="Z112" i="2"/>
  <c r="BP116" i="2"/>
  <c r="Z133" i="2"/>
  <c r="Z178" i="2"/>
  <c r="BN178" i="2"/>
  <c r="Z182" i="2"/>
  <c r="BN182" i="2"/>
  <c r="Z183" i="2"/>
  <c r="Y191" i="2"/>
  <c r="Z204" i="2"/>
  <c r="Z221" i="2"/>
  <c r="BN221" i="2"/>
  <c r="BP227" i="2"/>
  <c r="Z237" i="2"/>
  <c r="BN237" i="2"/>
  <c r="Z268" i="2"/>
  <c r="BP280" i="2"/>
  <c r="BP285" i="2"/>
  <c r="Z304" i="2"/>
  <c r="BN304" i="2"/>
  <c r="BP312" i="2"/>
  <c r="Z333" i="2"/>
  <c r="BN333" i="2"/>
  <c r="Z346" i="2"/>
  <c r="BN346" i="2"/>
  <c r="Z347" i="2"/>
  <c r="BN347" i="2"/>
  <c r="Y348" i="2"/>
  <c r="Y349" i="2"/>
  <c r="Z362" i="2"/>
  <c r="BN362" i="2"/>
  <c r="Z374" i="2"/>
  <c r="BN374" i="2"/>
  <c r="Z387" i="2"/>
  <c r="Z400" i="2"/>
  <c r="BN400" i="2"/>
  <c r="Z418" i="2"/>
  <c r="BN418" i="2"/>
  <c r="Z450" i="2"/>
  <c r="BN450" i="2"/>
  <c r="Y451" i="2"/>
  <c r="Y452" i="2"/>
  <c r="Z477" i="2"/>
  <c r="BN477" i="2"/>
  <c r="BP517" i="2"/>
  <c r="Z522" i="2"/>
  <c r="Z533" i="2"/>
  <c r="Z534" i="2" s="1"/>
  <c r="BN533" i="2"/>
  <c r="Y543" i="2"/>
  <c r="X556" i="2"/>
  <c r="X555" i="2"/>
  <c r="X557" i="2" s="1"/>
  <c r="BN72" i="2"/>
  <c r="BN74" i="2"/>
  <c r="BP85" i="2"/>
  <c r="Z22" i="2"/>
  <c r="BN22" i="2"/>
  <c r="BP22" i="2"/>
  <c r="Y25" i="2"/>
  <c r="BN23" i="2"/>
  <c r="BP23" i="2"/>
  <c r="Y24" i="2"/>
  <c r="Z27" i="2"/>
  <c r="BN28" i="2"/>
  <c r="BP28" i="2"/>
  <c r="BP29" i="2"/>
  <c r="Z38" i="2"/>
  <c r="BP41" i="2"/>
  <c r="BP48" i="2"/>
  <c r="Z58" i="2"/>
  <c r="BN59" i="2"/>
  <c r="BP59" i="2"/>
  <c r="BP60" i="2"/>
  <c r="Y69" i="2"/>
  <c r="BP67" i="2"/>
  <c r="BN68" i="2"/>
  <c r="Y75" i="2"/>
  <c r="Z78" i="2"/>
  <c r="BN78" i="2"/>
  <c r="Z79" i="2"/>
  <c r="Z81" i="2" s="1"/>
  <c r="BN79" i="2"/>
  <c r="Z85" i="2"/>
  <c r="Z86" i="2"/>
  <c r="BN86" i="2"/>
  <c r="BN103" i="2"/>
  <c r="BP103" i="2"/>
  <c r="BN105" i="2"/>
  <c r="BN123" i="2"/>
  <c r="BP123" i="2"/>
  <c r="BP127" i="2"/>
  <c r="BP137" i="2"/>
  <c r="BP149" i="2"/>
  <c r="BP163" i="2"/>
  <c r="Y213" i="2"/>
  <c r="BN215" i="2"/>
  <c r="BN226" i="2"/>
  <c r="BN228" i="2"/>
  <c r="BN236" i="2"/>
  <c r="BN241" i="2"/>
  <c r="BN246" i="2"/>
  <c r="BN256" i="2"/>
  <c r="BN262" i="2"/>
  <c r="BN279" i="2"/>
  <c r="BN281" i="2"/>
  <c r="BN286" i="2"/>
  <c r="Y295" i="2"/>
  <c r="BP326" i="2"/>
  <c r="BN331" i="2"/>
  <c r="BN340" i="2"/>
  <c r="BP354" i="2"/>
  <c r="BN354" i="2"/>
  <c r="Z354" i="2"/>
  <c r="BP364" i="2"/>
  <c r="BN364" i="2"/>
  <c r="Z364" i="2"/>
  <c r="BP380" i="2"/>
  <c r="BN380" i="2"/>
  <c r="Z380" i="2"/>
  <c r="BN399" i="2"/>
  <c r="Y402" i="2"/>
  <c r="Y403" i="2"/>
  <c r="BN405" i="2"/>
  <c r="Z405" i="2"/>
  <c r="BP406" i="2"/>
  <c r="BN406" i="2"/>
  <c r="Z406" i="2"/>
  <c r="W564" i="2"/>
  <c r="BP426" i="2"/>
  <c r="BN426" i="2"/>
  <c r="Z426" i="2"/>
  <c r="BP429" i="2"/>
  <c r="BN429" i="2"/>
  <c r="Z429" i="2"/>
  <c r="BP430" i="2"/>
  <c r="BN430" i="2"/>
  <c r="Z430" i="2"/>
  <c r="BN433" i="2"/>
  <c r="Z433" i="2"/>
  <c r="Z466" i="2"/>
  <c r="BP466" i="2"/>
  <c r="BN476" i="2"/>
  <c r="BN482" i="2"/>
  <c r="BP482" i="2"/>
  <c r="BP500" i="2"/>
  <c r="BN500" i="2"/>
  <c r="Z500" i="2"/>
  <c r="BP518" i="2"/>
  <c r="BN518" i="2"/>
  <c r="Z518" i="2"/>
  <c r="BP545" i="2"/>
  <c r="Y548" i="2"/>
  <c r="Y547" i="2"/>
  <c r="BN545" i="2"/>
  <c r="Z545" i="2"/>
  <c r="BN546" i="2"/>
  <c r="Z94" i="2"/>
  <c r="BN94" i="2"/>
  <c r="Z96" i="2"/>
  <c r="BN96" i="2"/>
  <c r="Y110" i="2"/>
  <c r="BP106" i="2"/>
  <c r="BP112" i="2"/>
  <c r="BN113" i="2"/>
  <c r="BP113" i="2"/>
  <c r="Z115" i="2"/>
  <c r="Z127" i="2"/>
  <c r="Z128" i="2" s="1"/>
  <c r="Z132" i="2"/>
  <c r="BN132" i="2"/>
  <c r="BP132" i="2"/>
  <c r="Z137" i="2"/>
  <c r="Z142" i="2"/>
  <c r="Z144" i="2" s="1"/>
  <c r="BN142" i="2"/>
  <c r="Y144" i="2"/>
  <c r="Z149" i="2"/>
  <c r="BN152" i="2"/>
  <c r="Z153" i="2"/>
  <c r="BN153" i="2"/>
  <c r="Z157" i="2"/>
  <c r="Z158" i="2" s="1"/>
  <c r="BN157" i="2"/>
  <c r="BP157" i="2"/>
  <c r="Y158" i="2"/>
  <c r="Z163" i="2"/>
  <c r="Z164" i="2"/>
  <c r="BN164" i="2"/>
  <c r="Y171" i="2"/>
  <c r="BP169" i="2"/>
  <c r="BN174" i="2"/>
  <c r="BP174" i="2"/>
  <c r="BN175" i="2"/>
  <c r="BN180" i="2"/>
  <c r="BP180" i="2"/>
  <c r="Z184" i="2"/>
  <c r="BN184" i="2"/>
  <c r="BN188" i="2"/>
  <c r="BP188" i="2"/>
  <c r="BP189" i="2"/>
  <c r="BN190" i="2"/>
  <c r="BP190" i="2"/>
  <c r="Z194" i="2"/>
  <c r="Z195" i="2" s="1"/>
  <c r="BN194" i="2"/>
  <c r="Z200" i="2"/>
  <c r="BN200" i="2"/>
  <c r="Z202" i="2"/>
  <c r="BN202" i="2"/>
  <c r="BN203" i="2"/>
  <c r="BP203" i="2"/>
  <c r="Z211" i="2"/>
  <c r="Z212" i="2" s="1"/>
  <c r="BN211" i="2"/>
  <c r="BP211" i="2"/>
  <c r="Z219" i="2"/>
  <c r="BN219" i="2"/>
  <c r="Z223" i="2"/>
  <c r="BN223" i="2"/>
  <c r="Z233" i="2"/>
  <c r="BN233" i="2"/>
  <c r="BN234" i="2"/>
  <c r="BN238" i="2"/>
  <c r="Y258" i="2"/>
  <c r="Y259" i="2"/>
  <c r="BN261" i="2"/>
  <c r="Y263" i="2"/>
  <c r="Z266" i="2"/>
  <c r="BN266" i="2"/>
  <c r="BP266" i="2"/>
  <c r="BN267" i="2"/>
  <c r="BP267" i="2"/>
  <c r="BP268" i="2"/>
  <c r="BN269" i="2"/>
  <c r="BP270" i="2"/>
  <c r="BN271" i="2"/>
  <c r="Z272" i="2"/>
  <c r="BN272" i="2"/>
  <c r="Y289" i="2"/>
  <c r="Z292" i="2"/>
  <c r="BN300" i="2"/>
  <c r="BN302" i="2"/>
  <c r="BP303" i="2"/>
  <c r="Z324" i="2"/>
  <c r="BN324" i="2"/>
  <c r="BN325" i="2"/>
  <c r="Z326" i="2"/>
  <c r="BN338" i="2"/>
  <c r="BN342" i="2"/>
  <c r="Y366" i="2"/>
  <c r="BP360" i="2"/>
  <c r="BN360" i="2"/>
  <c r="Z360" i="2"/>
  <c r="BP372" i="2"/>
  <c r="BN372" i="2"/>
  <c r="Z372" i="2"/>
  <c r="Y383" i="2"/>
  <c r="Y389" i="2"/>
  <c r="BP413" i="2"/>
  <c r="BN413" i="2"/>
  <c r="Z413" i="2"/>
  <c r="BN445" i="2"/>
  <c r="X564" i="2"/>
  <c r="Y458" i="2"/>
  <c r="Y457" i="2"/>
  <c r="BN456" i="2"/>
  <c r="Z456" i="2"/>
  <c r="BP473" i="2"/>
  <c r="BN473" i="2"/>
  <c r="Z473" i="2"/>
  <c r="BP502" i="2"/>
  <c r="BN502" i="2"/>
  <c r="Z502" i="2"/>
  <c r="BP506" i="2"/>
  <c r="BN506" i="2"/>
  <c r="Z506" i="2"/>
  <c r="BP512" i="2"/>
  <c r="BN512" i="2"/>
  <c r="Z512" i="2"/>
  <c r="BN431" i="2"/>
  <c r="BN438" i="2"/>
  <c r="Y461" i="2"/>
  <c r="Y462" i="2"/>
  <c r="BN491" i="2"/>
  <c r="BP491" i="2"/>
  <c r="BN493" i="2"/>
  <c r="BN503" i="2"/>
  <c r="BP503" i="2"/>
  <c r="Y509" i="2"/>
  <c r="BN505" i="2"/>
  <c r="BN513" i="2"/>
  <c r="BP513" i="2"/>
  <c r="BP520" i="2"/>
  <c r="BP522" i="2"/>
  <c r="BN523" i="2"/>
  <c r="BP523" i="2"/>
  <c r="Y531" i="2"/>
  <c r="BN537" i="2"/>
  <c r="BP537" i="2"/>
  <c r="Y538" i="2"/>
  <c r="Y539" i="2"/>
  <c r="F10" i="2"/>
  <c r="BP56" i="2"/>
  <c r="BN56" i="2"/>
  <c r="BN50" i="2"/>
  <c r="BN206" i="2"/>
  <c r="BP301" i="2"/>
  <c r="BN301" i="2"/>
  <c r="BN321" i="2"/>
  <c r="Z348" i="2"/>
  <c r="BP359" i="2"/>
  <c r="Y409" i="2"/>
  <c r="BP405" i="2"/>
  <c r="Y408" i="2"/>
  <c r="BP444" i="2"/>
  <c r="BN444" i="2"/>
  <c r="Z444" i="2"/>
  <c r="Y447" i="2"/>
  <c r="Y483" i="2"/>
  <c r="BP481" i="2"/>
  <c r="BN481" i="2"/>
  <c r="Z481" i="2"/>
  <c r="BP95" i="2"/>
  <c r="BP104" i="2"/>
  <c r="Y124" i="2"/>
  <c r="BP143" i="2"/>
  <c r="BN143" i="2"/>
  <c r="BP206" i="2"/>
  <c r="Z227" i="2"/>
  <c r="Y230" i="2"/>
  <c r="Z235" i="2"/>
  <c r="Z277" i="2"/>
  <c r="Y290" i="2"/>
  <c r="Z280" i="2"/>
  <c r="BP283" i="2"/>
  <c r="BN283" i="2"/>
  <c r="Z298" i="2"/>
  <c r="Y306" i="2"/>
  <c r="Y305" i="2"/>
  <c r="O564" i="2"/>
  <c r="BP341" i="2"/>
  <c r="BN341" i="2"/>
  <c r="BN353" i="2"/>
  <c r="Z353" i="2"/>
  <c r="Z138" i="2"/>
  <c r="Y207" i="2"/>
  <c r="BP201" i="2"/>
  <c r="K564" i="2"/>
  <c r="Z341" i="2"/>
  <c r="Z363" i="2"/>
  <c r="BN412" i="2"/>
  <c r="Z412" i="2"/>
  <c r="Z414" i="2" s="1"/>
  <c r="U564" i="2"/>
  <c r="Y415" i="2"/>
  <c r="Y414" i="2"/>
  <c r="AA564" i="2"/>
  <c r="Y515" i="2"/>
  <c r="BP511" i="2"/>
  <c r="BN38" i="2"/>
  <c r="BN93" i="2"/>
  <c r="Y98" i="2"/>
  <c r="Z102" i="2"/>
  <c r="Z116" i="2"/>
  <c r="J9" i="2"/>
  <c r="X558" i="2"/>
  <c r="BN48" i="2"/>
  <c r="Z68" i="2"/>
  <c r="F564" i="2"/>
  <c r="BN85" i="2"/>
  <c r="Y90" i="2"/>
  <c r="Z93" i="2"/>
  <c r="Z105" i="2"/>
  <c r="BN108" i="2"/>
  <c r="Z108" i="2"/>
  <c r="Y134" i="2"/>
  <c r="BP133" i="2"/>
  <c r="BN169" i="2"/>
  <c r="BP183" i="2"/>
  <c r="Z201" i="2"/>
  <c r="BP218" i="2"/>
  <c r="BN224" i="2"/>
  <c r="BP241" i="2"/>
  <c r="BN277" i="2"/>
  <c r="BN298" i="2"/>
  <c r="Z338" i="2"/>
  <c r="R564" i="2"/>
  <c r="Y396" i="2"/>
  <c r="Z476" i="2"/>
  <c r="Z511" i="2"/>
  <c r="Y514" i="2"/>
  <c r="F9" i="2"/>
  <c r="H9" i="2"/>
  <c r="BN31" i="2"/>
  <c r="Z41" i="2"/>
  <c r="Y51" i="2"/>
  <c r="Z57" i="2"/>
  <c r="Z65" i="2"/>
  <c r="BN73" i="2"/>
  <c r="BN65" i="2"/>
  <c r="BP73" i="2"/>
  <c r="BN102" i="2"/>
  <c r="BN138" i="2"/>
  <c r="BP150" i="2"/>
  <c r="Z150" i="2"/>
  <c r="Y208" i="2"/>
  <c r="BP235" i="2"/>
  <c r="BP353" i="2"/>
  <c r="BN363" i="2"/>
  <c r="BN369" i="2"/>
  <c r="Z369" i="2"/>
  <c r="Y377" i="2"/>
  <c r="Z375" i="2"/>
  <c r="BN375" i="2"/>
  <c r="Y390" i="2"/>
  <c r="Z396" i="2"/>
  <c r="Y242" i="2"/>
  <c r="Y421" i="2"/>
  <c r="V564" i="2"/>
  <c r="Z419" i="2"/>
  <c r="BN292" i="2"/>
  <c r="Z308" i="2"/>
  <c r="Z309" i="2" s="1"/>
  <c r="Y310" i="2"/>
  <c r="Y335" i="2"/>
  <c r="Y334" i="2"/>
  <c r="Q564" i="2"/>
  <c r="BN392" i="2"/>
  <c r="Z181" i="2"/>
  <c r="L564" i="2"/>
  <c r="Z216" i="2"/>
  <c r="Z239" i="2"/>
  <c r="Y63" i="2"/>
  <c r="E564" i="2"/>
  <c r="BN127" i="2"/>
  <c r="J564" i="2"/>
  <c r="Y166" i="2"/>
  <c r="BP162" i="2"/>
  <c r="BP204" i="2"/>
  <c r="Z222" i="2"/>
  <c r="BN299" i="2"/>
  <c r="Z299" i="2"/>
  <c r="Z332" i="2"/>
  <c r="BP338" i="2"/>
  <c r="BP369" i="2"/>
  <c r="BP375" i="2"/>
  <c r="BN395" i="2"/>
  <c r="BN419" i="2"/>
  <c r="Y33" i="2"/>
  <c r="BN39" i="2"/>
  <c r="BP66" i="2"/>
  <c r="BN66" i="2"/>
  <c r="Z114" i="2"/>
  <c r="BN122" i="2"/>
  <c r="Y145" i="2"/>
  <c r="Z162" i="2"/>
  <c r="Y165" i="2"/>
  <c r="BP194" i="2"/>
  <c r="Z225" i="2"/>
  <c r="BN239" i="2"/>
  <c r="Y243" i="2"/>
  <c r="Z278" i="2"/>
  <c r="BN284" i="2"/>
  <c r="BP292" i="2"/>
  <c r="BN308" i="2"/>
  <c r="BP392" i="2"/>
  <c r="BP492" i="2"/>
  <c r="BN492" i="2"/>
  <c r="Z492" i="2"/>
  <c r="Y495" i="2"/>
  <c r="Y494" i="2"/>
  <c r="BN332" i="2"/>
  <c r="BN339" i="2"/>
  <c r="Z339" i="2"/>
  <c r="Y376" i="2"/>
  <c r="BP395" i="2"/>
  <c r="BP419" i="2"/>
  <c r="Y434" i="2"/>
  <c r="BP205" i="2"/>
  <c r="Z205" i="2"/>
  <c r="Z207" i="2" s="1"/>
  <c r="BP216" i="2"/>
  <c r="BN222" i="2"/>
  <c r="Y70" i="2"/>
  <c r="BP122" i="2"/>
  <c r="Z148" i="2"/>
  <c r="I564" i="2"/>
  <c r="Y155" i="2"/>
  <c r="Z151" i="2"/>
  <c r="Y154" i="2"/>
  <c r="BP173" i="2"/>
  <c r="Z173" i="2"/>
  <c r="Y186" i="2"/>
  <c r="Z176" i="2"/>
  <c r="Y248" i="2"/>
  <c r="BN245" i="2"/>
  <c r="Z270" i="2"/>
  <c r="BP273" i="2"/>
  <c r="BN273" i="2"/>
  <c r="BP284" i="2"/>
  <c r="BP287" i="2"/>
  <c r="BP293" i="2"/>
  <c r="BN293" i="2"/>
  <c r="BP299" i="2"/>
  <c r="Z303" i="2"/>
  <c r="BP308" i="2"/>
  <c r="Z373" i="2"/>
  <c r="Y484" i="2"/>
  <c r="Y524" i="2"/>
  <c r="Z39" i="2"/>
  <c r="Y97" i="2"/>
  <c r="Z89" i="2"/>
  <c r="Y125" i="2"/>
  <c r="BP120" i="2"/>
  <c r="BN120" i="2"/>
  <c r="Y135" i="2"/>
  <c r="Y170" i="2"/>
  <c r="Z179" i="2"/>
  <c r="Y196" i="2"/>
  <c r="BN205" i="2"/>
  <c r="BP225" i="2"/>
  <c r="Z245" i="2"/>
  <c r="Y249" i="2"/>
  <c r="Z262" i="2"/>
  <c r="Z273" i="2"/>
  <c r="BP278" i="2"/>
  <c r="Z293" i="2"/>
  <c r="Z294" i="2" s="1"/>
  <c r="BP332" i="2"/>
  <c r="Y343" i="2"/>
  <c r="Z428" i="2"/>
  <c r="Y435" i="2"/>
  <c r="Z521" i="2"/>
  <c r="BP181" i="2"/>
  <c r="C564" i="2"/>
  <c r="D564" i="2"/>
  <c r="BP49" i="2"/>
  <c r="BP55" i="2"/>
  <c r="BN61" i="2"/>
  <c r="BP72" i="2"/>
  <c r="Z72" i="2"/>
  <c r="G564" i="2"/>
  <c r="Y109" i="2"/>
  <c r="Y117" i="2"/>
  <c r="Z120" i="2"/>
  <c r="Z124" i="2" s="1"/>
  <c r="Y129" i="2"/>
  <c r="BN148" i="2"/>
  <c r="BN151" i="2"/>
  <c r="Z170" i="2"/>
  <c r="BN173" i="2"/>
  <c r="BN176" i="2"/>
  <c r="Y185" i="2"/>
  <c r="BN220" i="2"/>
  <c r="Z220" i="2"/>
  <c r="BP240" i="2"/>
  <c r="BN240" i="2"/>
  <c r="BN257" i="2"/>
  <c r="M564" i="2"/>
  <c r="BP288" i="2"/>
  <c r="BN288" i="2"/>
  <c r="Y309" i="2"/>
  <c r="BP339" i="2"/>
  <c r="BN373" i="2"/>
  <c r="BN379" i="2"/>
  <c r="Z379" i="2"/>
  <c r="Y397" i="2"/>
  <c r="Z407" i="2"/>
  <c r="BN407" i="2"/>
  <c r="Y468" i="2"/>
  <c r="BP464" i="2"/>
  <c r="Y467" i="2"/>
  <c r="Z564" i="2"/>
  <c r="Y43" i="2"/>
  <c r="Z61" i="2"/>
  <c r="BN27" i="2"/>
  <c r="Z30" i="2"/>
  <c r="Z37" i="2"/>
  <c r="BN58" i="2"/>
  <c r="BP27" i="2"/>
  <c r="BN30" i="2"/>
  <c r="BN37" i="2"/>
  <c r="Z40" i="2"/>
  <c r="Z47" i="2"/>
  <c r="BN80" i="2"/>
  <c r="BN89" i="2"/>
  <c r="BN137" i="2"/>
  <c r="Y140" i="2"/>
  <c r="BN179" i="2"/>
  <c r="Z229" i="2"/>
  <c r="Z240" i="2"/>
  <c r="Z257" i="2"/>
  <c r="Z282" i="2"/>
  <c r="Z285" i="2"/>
  <c r="Z288" i="2"/>
  <c r="Z464" i="2"/>
  <c r="Z467" i="2" s="1"/>
  <c r="BN521" i="2"/>
  <c r="Y328" i="2"/>
  <c r="P564" i="2"/>
  <c r="BN359" i="2"/>
  <c r="Z359" i="2"/>
  <c r="T564" i="2"/>
  <c r="Y367" i="2"/>
  <c r="Z365" i="2"/>
  <c r="BN365" i="2"/>
  <c r="BP388" i="2"/>
  <c r="BN388" i="2"/>
  <c r="Z388" i="2"/>
  <c r="BP504" i="2"/>
  <c r="BN504" i="2"/>
  <c r="Z504" i="2"/>
  <c r="BP37" i="2"/>
  <c r="BN47" i="2"/>
  <c r="Z50" i="2"/>
  <c r="Z56" i="2"/>
  <c r="Y62" i="2"/>
  <c r="BP80" i="2"/>
  <c r="Y192" i="2"/>
  <c r="BP220" i="2"/>
  <c r="BP262" i="2"/>
  <c r="Y274" i="2"/>
  <c r="Y313" i="2"/>
  <c r="BN312" i="2"/>
  <c r="Z312" i="2"/>
  <c r="Z313" i="2" s="1"/>
  <c r="Z321" i="2"/>
  <c r="Y356" i="2"/>
  <c r="BP352" i="2"/>
  <c r="S564" i="2"/>
  <c r="Y355" i="2"/>
  <c r="BN352" i="2"/>
  <c r="Z352" i="2"/>
  <c r="BP379" i="2"/>
  <c r="BP407" i="2"/>
  <c r="BP428" i="2"/>
  <c r="BN464" i="2"/>
  <c r="Y478" i="2"/>
  <c r="Z95" i="2"/>
  <c r="BN101" i="2"/>
  <c r="Z104" i="2"/>
  <c r="BN112" i="2"/>
  <c r="Z23" i="2"/>
  <c r="Y82" i="2"/>
  <c r="BP78" i="2"/>
  <c r="BN87" i="2"/>
  <c r="Z87" i="2"/>
  <c r="BN115" i="2"/>
  <c r="BP168" i="2"/>
  <c r="BP177" i="2"/>
  <c r="BN177" i="2"/>
  <c r="Z188" i="2"/>
  <c r="Z191" i="2" s="1"/>
  <c r="BP234" i="2"/>
  <c r="BP257" i="2"/>
  <c r="Y327" i="2"/>
  <c r="Y422" i="2"/>
  <c r="BP431" i="2"/>
  <c r="Z438" i="2"/>
  <c r="Y441" i="2"/>
  <c r="BN501" i="2"/>
  <c r="Y508" i="2"/>
  <c r="BP387" i="2"/>
  <c r="BP433" i="2"/>
  <c r="BN443" i="2"/>
  <c r="Y446" i="2"/>
  <c r="BP456" i="2"/>
  <c r="BN466" i="2"/>
  <c r="Y479" i="2"/>
  <c r="Z551" i="2"/>
  <c r="Z552" i="2" s="1"/>
  <c r="Y231" i="2"/>
  <c r="Z449" i="2"/>
  <c r="Z474" i="2"/>
  <c r="Z499" i="2"/>
  <c r="Z519" i="2"/>
  <c r="Z371" i="2"/>
  <c r="Z381" i="2"/>
  <c r="Z286" i="2"/>
  <c r="Z325" i="2"/>
  <c r="Z386" i="2"/>
  <c r="Z420" i="2"/>
  <c r="Z432" i="2"/>
  <c r="Z455" i="2"/>
  <c r="Z457" i="2" s="1"/>
  <c r="Y525" i="2"/>
  <c r="BN551" i="2"/>
  <c r="Z361" i="2"/>
  <c r="Z215" i="2"/>
  <c r="Z256" i="2"/>
  <c r="Z74" i="2"/>
  <c r="Z152" i="2"/>
  <c r="Z175" i="2"/>
  <c r="Z228" i="2"/>
  <c r="Z238" i="2"/>
  <c r="Z261" i="2"/>
  <c r="Z271" i="2"/>
  <c r="Z281" i="2"/>
  <c r="Z302" i="2"/>
  <c r="BP316" i="2"/>
  <c r="Z331" i="2"/>
  <c r="Z334" i="2" s="1"/>
  <c r="Z342" i="2"/>
  <c r="BN361" i="2"/>
  <c r="BN371" i="2"/>
  <c r="BN381" i="2"/>
  <c r="Z401" i="2"/>
  <c r="Z427" i="2"/>
  <c r="Z434" i="2" s="1"/>
  <c r="Z437" i="2"/>
  <c r="BN449" i="2"/>
  <c r="Z460" i="2"/>
  <c r="Z461" i="2" s="1"/>
  <c r="BN474" i="2"/>
  <c r="BP487" i="2"/>
  <c r="BN499" i="2"/>
  <c r="Z507" i="2"/>
  <c r="BN519" i="2"/>
  <c r="BP533" i="2"/>
  <c r="BN420" i="2"/>
  <c r="BN432" i="2"/>
  <c r="BN455" i="2"/>
  <c r="BP551" i="2"/>
  <c r="BN401" i="2"/>
  <c r="BN427" i="2"/>
  <c r="BN437" i="2"/>
  <c r="Y440" i="2"/>
  <c r="BN460" i="2"/>
  <c r="Z472" i="2"/>
  <c r="Z482" i="2"/>
  <c r="Y488" i="2"/>
  <c r="BP499" i="2"/>
  <c r="BN507" i="2"/>
  <c r="Z517" i="2"/>
  <c r="Z529" i="2"/>
  <c r="Z530" i="2" s="1"/>
  <c r="Y534" i="2"/>
  <c r="Z541" i="2"/>
  <c r="Z542" i="2" s="1"/>
  <c r="BP386" i="2"/>
  <c r="BP455" i="2"/>
  <c r="Z546" i="2"/>
  <c r="Z547" i="2" s="1"/>
  <c r="Y552" i="2"/>
  <c r="Z226" i="2"/>
  <c r="Z236" i="2"/>
  <c r="Z246" i="2"/>
  <c r="Z269" i="2"/>
  <c r="Z279" i="2"/>
  <c r="Z300" i="2"/>
  <c r="Z340" i="2"/>
  <c r="Z399" i="2"/>
  <c r="Z445" i="2"/>
  <c r="BN472" i="2"/>
  <c r="Z493" i="2"/>
  <c r="Z505" i="2"/>
  <c r="BN529" i="2"/>
  <c r="BN541" i="2"/>
  <c r="Y564" i="2"/>
  <c r="Y489" i="2"/>
  <c r="BP541" i="2"/>
  <c r="Y553" i="2"/>
  <c r="AB564" i="2"/>
  <c r="Z451" i="2" l="1"/>
  <c r="Z24" i="2"/>
  <c r="Z42" i="2"/>
  <c r="Z154" i="2"/>
  <c r="Z117" i="2"/>
  <c r="Z69" i="2"/>
  <c r="Z139" i="2"/>
  <c r="Z134" i="2"/>
  <c r="Z408" i="2"/>
  <c r="Y554" i="2"/>
  <c r="Z230" i="2"/>
  <c r="Y556" i="2"/>
  <c r="Z51" i="2"/>
  <c r="Y555" i="2"/>
  <c r="Z75" i="2"/>
  <c r="Z494" i="2"/>
  <c r="Z109" i="2"/>
  <c r="Z274" i="2"/>
  <c r="Z242" i="2"/>
  <c r="Z90" i="2"/>
  <c r="Z327" i="2"/>
  <c r="Z62" i="2"/>
  <c r="Z32" i="2"/>
  <c r="Z165" i="2"/>
  <c r="Y558" i="2"/>
  <c r="Z514" i="2"/>
  <c r="Z483" i="2"/>
  <c r="Y557" i="2"/>
  <c r="Z376" i="2"/>
  <c r="Z248" i="2"/>
  <c r="Z305" i="2"/>
  <c r="Z97" i="2"/>
  <c r="Z446" i="2"/>
  <c r="Z421" i="2"/>
  <c r="Z508" i="2"/>
  <c r="Z366" i="2"/>
  <c r="Z343" i="2"/>
  <c r="Z289" i="2"/>
  <c r="Z383" i="2"/>
  <c r="Z185" i="2"/>
  <c r="Z263" i="2"/>
  <c r="Z402" i="2"/>
  <c r="Z389" i="2"/>
  <c r="Z524" i="2"/>
  <c r="Z478" i="2"/>
  <c r="Z440" i="2"/>
  <c r="Z258" i="2"/>
  <c r="Z355" i="2"/>
  <c r="Z559" i="2" l="1"/>
</calcChain>
</file>

<file path=xl/sharedStrings.xml><?xml version="1.0" encoding="utf-8"?>
<sst xmlns="http://schemas.openxmlformats.org/spreadsheetml/2006/main" count="4265" uniqueCount="899">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</sst>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379" sqref="AA37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8" t="s">
        <v>26</v>
      </c>
      <c r="E1" s="648"/>
      <c r="F1" s="648"/>
      <c r="G1" s="14" t="s">
        <v>67</v>
      </c>
      <c r="H1" s="648" t="s">
        <v>47</v>
      </c>
      <c r="I1" s="648"/>
      <c r="J1" s="648"/>
      <c r="K1" s="648"/>
      <c r="L1" s="648"/>
      <c r="M1" s="648"/>
      <c r="N1" s="648"/>
      <c r="O1" s="648"/>
      <c r="P1" s="648"/>
      <c r="Q1" s="648"/>
      <c r="R1" s="649" t="s">
        <v>68</v>
      </c>
      <c r="S1" s="650"/>
      <c r="T1" s="6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1"/>
      <c r="R2" s="651"/>
      <c r="S2" s="651"/>
      <c r="T2" s="651"/>
      <c r="U2" s="651"/>
      <c r="V2" s="651"/>
      <c r="W2" s="6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1"/>
      <c r="Q3" s="651"/>
      <c r="R3" s="651"/>
      <c r="S3" s="651"/>
      <c r="T3" s="651"/>
      <c r="U3" s="651"/>
      <c r="V3" s="651"/>
      <c r="W3" s="6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2" t="s">
        <v>8</v>
      </c>
      <c r="B5" s="652"/>
      <c r="C5" s="652"/>
      <c r="D5" s="653"/>
      <c r="E5" s="653"/>
      <c r="F5" s="654" t="s">
        <v>14</v>
      </c>
      <c r="G5" s="654"/>
      <c r="H5" s="653"/>
      <c r="I5" s="653"/>
      <c r="J5" s="653"/>
      <c r="K5" s="653"/>
      <c r="L5" s="653"/>
      <c r="M5" s="653"/>
      <c r="N5" s="72"/>
      <c r="P5" s="27" t="s">
        <v>4</v>
      </c>
      <c r="Q5" s="655">
        <v>46289</v>
      </c>
      <c r="R5" s="655"/>
      <c r="T5" s="656" t="s">
        <v>3</v>
      </c>
      <c r="U5" s="657"/>
      <c r="V5" s="658" t="s">
        <v>875</v>
      </c>
      <c r="W5" s="659"/>
      <c r="AB5" s="59"/>
      <c r="AC5" s="59"/>
      <c r="AD5" s="59"/>
      <c r="AE5" s="59"/>
    </row>
    <row r="6" spans="1:32" s="17" customFormat="1" ht="24" customHeight="1" x14ac:dyDescent="0.2">
      <c r="A6" s="652" t="s">
        <v>1</v>
      </c>
      <c r="B6" s="652"/>
      <c r="C6" s="652"/>
      <c r="D6" s="660" t="s">
        <v>882</v>
      </c>
      <c r="E6" s="660"/>
      <c r="F6" s="660"/>
      <c r="G6" s="660"/>
      <c r="H6" s="660"/>
      <c r="I6" s="660"/>
      <c r="J6" s="660"/>
      <c r="K6" s="660"/>
      <c r="L6" s="660"/>
      <c r="M6" s="660"/>
      <c r="N6" s="73"/>
      <c r="P6" s="27" t="s">
        <v>27</v>
      </c>
      <c r="Q6" s="661" t="str">
        <f>IF(Q5=0," ",CHOOSE(WEEKDAY(Q5,2),"Понедельник","Вторник","Среда","Четверг","Пятница","Суббота","Воскресенье"))</f>
        <v>Четверг</v>
      </c>
      <c r="R6" s="661"/>
      <c r="T6" s="662" t="s">
        <v>5</v>
      </c>
      <c r="U6" s="663"/>
      <c r="V6" s="664" t="s">
        <v>70</v>
      </c>
      <c r="W6" s="66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0" t="str">
        <f>IFERROR(VLOOKUP(DeliveryAddress,Table,3,0),1)</f>
        <v>3</v>
      </c>
      <c r="E7" s="671"/>
      <c r="F7" s="671"/>
      <c r="G7" s="671"/>
      <c r="H7" s="671"/>
      <c r="I7" s="671"/>
      <c r="J7" s="671"/>
      <c r="K7" s="671"/>
      <c r="L7" s="671"/>
      <c r="M7" s="672"/>
      <c r="N7" s="74"/>
      <c r="P7" s="29"/>
      <c r="Q7" s="48"/>
      <c r="R7" s="48"/>
      <c r="T7" s="662"/>
      <c r="U7" s="663"/>
      <c r="V7" s="666"/>
      <c r="W7" s="667"/>
      <c r="AB7" s="59"/>
      <c r="AC7" s="59"/>
      <c r="AD7" s="59"/>
      <c r="AE7" s="59"/>
    </row>
    <row r="8" spans="1:32" s="17" customFormat="1" ht="25.5" customHeight="1" x14ac:dyDescent="0.2">
      <c r="A8" s="673" t="s">
        <v>58</v>
      </c>
      <c r="B8" s="673"/>
      <c r="C8" s="673"/>
      <c r="D8" s="674"/>
      <c r="E8" s="674"/>
      <c r="F8" s="674"/>
      <c r="G8" s="674"/>
      <c r="H8" s="674"/>
      <c r="I8" s="674"/>
      <c r="J8" s="674"/>
      <c r="K8" s="674"/>
      <c r="L8" s="674"/>
      <c r="M8" s="674"/>
      <c r="N8" s="75"/>
      <c r="P8" s="27" t="s">
        <v>11</v>
      </c>
      <c r="Q8" s="675">
        <v>0.41666666666666669</v>
      </c>
      <c r="R8" s="675"/>
      <c r="T8" s="662"/>
      <c r="U8" s="663"/>
      <c r="V8" s="666"/>
      <c r="W8" s="667"/>
      <c r="AB8" s="59"/>
      <c r="AC8" s="59"/>
      <c r="AD8" s="59"/>
      <c r="AE8" s="59"/>
    </row>
    <row r="9" spans="1:32" s="17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6"/>
      <c r="C9" s="676"/>
      <c r="D9" s="677" t="s">
        <v>46</v>
      </c>
      <c r="E9" s="678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6"/>
      <c r="H9" s="679" t="str">
        <f>IF(AND($A$9="Тип доверенности/получателя при получении в адресе перегруза:",$D$9="Разовая доверенность"),"Введите ФИО","")</f>
        <v/>
      </c>
      <c r="I9" s="679"/>
      <c r="J9" s="67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9"/>
      <c r="L9" s="679"/>
      <c r="M9" s="679"/>
      <c r="N9" s="70"/>
      <c r="P9" s="31" t="s">
        <v>15</v>
      </c>
      <c r="Q9" s="680"/>
      <c r="R9" s="680"/>
      <c r="T9" s="662"/>
      <c r="U9" s="663"/>
      <c r="V9" s="668"/>
      <c r="W9" s="66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6"/>
      <c r="C10" s="676"/>
      <c r="D10" s="677"/>
      <c r="E10" s="678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6"/>
      <c r="H10" s="681" t="str">
        <f>IFERROR(VLOOKUP($D$10,Proxy,2,FALSE),"")</f>
        <v/>
      </c>
      <c r="I10" s="681"/>
      <c r="J10" s="681"/>
      <c r="K10" s="681"/>
      <c r="L10" s="681"/>
      <c r="M10" s="681"/>
      <c r="N10" s="71"/>
      <c r="P10" s="31" t="s">
        <v>32</v>
      </c>
      <c r="Q10" s="682"/>
      <c r="R10" s="682"/>
      <c r="U10" s="29" t="s">
        <v>12</v>
      </c>
      <c r="V10" s="683" t="s">
        <v>71</v>
      </c>
      <c r="W10" s="68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5"/>
      <c r="R11" s="685"/>
      <c r="U11" s="29" t="s">
        <v>28</v>
      </c>
      <c r="V11" s="686" t="s">
        <v>55</v>
      </c>
      <c r="W11" s="68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7" t="s">
        <v>72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7"/>
      <c r="N12" s="76"/>
      <c r="P12" s="27" t="s">
        <v>30</v>
      </c>
      <c r="Q12" s="675"/>
      <c r="R12" s="675"/>
      <c r="S12" s="28"/>
      <c r="T12"/>
      <c r="U12" s="29" t="s">
        <v>46</v>
      </c>
      <c r="V12" s="688"/>
      <c r="W12" s="688"/>
      <c r="X12"/>
      <c r="AB12" s="59"/>
      <c r="AC12" s="59"/>
      <c r="AD12" s="59"/>
      <c r="AE12" s="59"/>
    </row>
    <row r="13" spans="1:32" s="17" customFormat="1" ht="23.25" customHeight="1" x14ac:dyDescent="0.2">
      <c r="A13" s="687" t="s">
        <v>73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7"/>
      <c r="N13" s="76"/>
      <c r="O13" s="31"/>
      <c r="P13" s="31" t="s">
        <v>31</v>
      </c>
      <c r="Q13" s="686"/>
      <c r="R13" s="68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7" t="s">
        <v>74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9" t="s">
        <v>75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89"/>
      <c r="N15" s="77"/>
      <c r="O15"/>
      <c r="P15" s="690" t="s">
        <v>61</v>
      </c>
      <c r="Q15" s="690"/>
      <c r="R15" s="690"/>
      <c r="S15" s="690"/>
      <c r="T15" s="69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1"/>
      <c r="Q16" s="691"/>
      <c r="R16" s="691"/>
      <c r="S16" s="691"/>
      <c r="T16" s="69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4" t="s">
        <v>59</v>
      </c>
      <c r="B17" s="694" t="s">
        <v>49</v>
      </c>
      <c r="C17" s="696" t="s">
        <v>48</v>
      </c>
      <c r="D17" s="698" t="s">
        <v>50</v>
      </c>
      <c r="E17" s="699"/>
      <c r="F17" s="694" t="s">
        <v>21</v>
      </c>
      <c r="G17" s="694" t="s">
        <v>24</v>
      </c>
      <c r="H17" s="694" t="s">
        <v>22</v>
      </c>
      <c r="I17" s="694" t="s">
        <v>23</v>
      </c>
      <c r="J17" s="694" t="s">
        <v>16</v>
      </c>
      <c r="K17" s="694" t="s">
        <v>66</v>
      </c>
      <c r="L17" s="694" t="s">
        <v>64</v>
      </c>
      <c r="M17" s="694" t="s">
        <v>2</v>
      </c>
      <c r="N17" s="694" t="s">
        <v>63</v>
      </c>
      <c r="O17" s="694" t="s">
        <v>25</v>
      </c>
      <c r="P17" s="698" t="s">
        <v>17</v>
      </c>
      <c r="Q17" s="702"/>
      <c r="R17" s="702"/>
      <c r="S17" s="702"/>
      <c r="T17" s="699"/>
      <c r="U17" s="692" t="s">
        <v>56</v>
      </c>
      <c r="V17" s="693"/>
      <c r="W17" s="694" t="s">
        <v>6</v>
      </c>
      <c r="X17" s="694" t="s">
        <v>41</v>
      </c>
      <c r="Y17" s="704" t="s">
        <v>54</v>
      </c>
      <c r="Z17" s="706" t="s">
        <v>18</v>
      </c>
      <c r="AA17" s="708" t="s">
        <v>60</v>
      </c>
      <c r="AB17" s="708" t="s">
        <v>19</v>
      </c>
      <c r="AC17" s="708" t="s">
        <v>65</v>
      </c>
      <c r="AD17" s="710" t="s">
        <v>57</v>
      </c>
      <c r="AE17" s="711"/>
      <c r="AF17" s="712"/>
      <c r="AG17" s="82"/>
      <c r="BD17" s="81" t="s">
        <v>62</v>
      </c>
    </row>
    <row r="18" spans="1:68" ht="14.25" customHeight="1" x14ac:dyDescent="0.2">
      <c r="A18" s="695"/>
      <c r="B18" s="695"/>
      <c r="C18" s="697"/>
      <c r="D18" s="700"/>
      <c r="E18" s="701"/>
      <c r="F18" s="695"/>
      <c r="G18" s="695"/>
      <c r="H18" s="695"/>
      <c r="I18" s="695"/>
      <c r="J18" s="695"/>
      <c r="K18" s="695"/>
      <c r="L18" s="695"/>
      <c r="M18" s="695"/>
      <c r="N18" s="695"/>
      <c r="O18" s="695"/>
      <c r="P18" s="700"/>
      <c r="Q18" s="703"/>
      <c r="R18" s="703"/>
      <c r="S18" s="703"/>
      <c r="T18" s="701"/>
      <c r="U18" s="83" t="s">
        <v>44</v>
      </c>
      <c r="V18" s="83" t="s">
        <v>43</v>
      </c>
      <c r="W18" s="695"/>
      <c r="X18" s="695"/>
      <c r="Y18" s="705"/>
      <c r="Z18" s="707"/>
      <c r="AA18" s="709"/>
      <c r="AB18" s="709"/>
      <c r="AC18" s="709"/>
      <c r="AD18" s="713"/>
      <c r="AE18" s="714"/>
      <c r="AF18" s="715"/>
      <c r="AG18" s="82"/>
      <c r="BD18" s="81"/>
    </row>
    <row r="19" spans="1:68" ht="27.75" hidden="1" customHeight="1" x14ac:dyDescent="0.2">
      <c r="A19" s="716" t="s">
        <v>76</v>
      </c>
      <c r="B19" s="716"/>
      <c r="C19" s="716"/>
      <c r="D19" s="716"/>
      <c r="E19" s="716"/>
      <c r="F19" s="716"/>
      <c r="G19" s="716"/>
      <c r="H19" s="716"/>
      <c r="I19" s="716"/>
      <c r="J19" s="716"/>
      <c r="K19" s="716"/>
      <c r="L19" s="716"/>
      <c r="M19" s="716"/>
      <c r="N19" s="716"/>
      <c r="O19" s="716"/>
      <c r="P19" s="716"/>
      <c r="Q19" s="716"/>
      <c r="R19" s="716"/>
      <c r="S19" s="716"/>
      <c r="T19" s="716"/>
      <c r="U19" s="716"/>
      <c r="V19" s="716"/>
      <c r="W19" s="716"/>
      <c r="X19" s="716"/>
      <c r="Y19" s="716"/>
      <c r="Z19" s="716"/>
      <c r="AA19" s="54"/>
      <c r="AB19" s="54"/>
      <c r="AC19" s="54"/>
    </row>
    <row r="20" spans="1:68" ht="16.5" hidden="1" customHeight="1" x14ac:dyDescent="0.25">
      <c r="A20" s="717" t="s">
        <v>76</v>
      </c>
      <c r="B20" s="717"/>
      <c r="C20" s="717"/>
      <c r="D20" s="717"/>
      <c r="E20" s="717"/>
      <c r="F20" s="717"/>
      <c r="G20" s="717"/>
      <c r="H20" s="717"/>
      <c r="I20" s="717"/>
      <c r="J20" s="717"/>
      <c r="K20" s="717"/>
      <c r="L20" s="717"/>
      <c r="M20" s="717"/>
      <c r="N20" s="717"/>
      <c r="O20" s="717"/>
      <c r="P20" s="717"/>
      <c r="Q20" s="717"/>
      <c r="R20" s="717"/>
      <c r="S20" s="717"/>
      <c r="T20" s="717"/>
      <c r="U20" s="717"/>
      <c r="V20" s="717"/>
      <c r="W20" s="717"/>
      <c r="X20" s="717"/>
      <c r="Y20" s="717"/>
      <c r="Z20" s="717"/>
      <c r="AA20" s="65"/>
      <c r="AB20" s="65"/>
      <c r="AC20" s="79"/>
    </row>
    <row r="21" spans="1:68" ht="14.25" hidden="1" customHeight="1" x14ac:dyDescent="0.25">
      <c r="A21" s="718" t="s">
        <v>77</v>
      </c>
      <c r="B21" s="718"/>
      <c r="C21" s="718"/>
      <c r="D21" s="718"/>
      <c r="E21" s="718"/>
      <c r="F21" s="718"/>
      <c r="G21" s="718"/>
      <c r="H21" s="718"/>
      <c r="I21" s="718"/>
      <c r="J21" s="718"/>
      <c r="K21" s="718"/>
      <c r="L21" s="718"/>
      <c r="M21" s="718"/>
      <c r="N21" s="718"/>
      <c r="O21" s="718"/>
      <c r="P21" s="718"/>
      <c r="Q21" s="718"/>
      <c r="R21" s="718"/>
      <c r="S21" s="718"/>
      <c r="T21" s="718"/>
      <c r="U21" s="718"/>
      <c r="V21" s="718"/>
      <c r="W21" s="718"/>
      <c r="X21" s="718"/>
      <c r="Y21" s="718"/>
      <c r="Z21" s="71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9">
        <v>4680115886643</v>
      </c>
      <c r="E22" s="71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1"/>
      <c r="R22" s="721"/>
      <c r="S22" s="721"/>
      <c r="T22" s="72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9">
        <v>4680115889071</v>
      </c>
      <c r="E23" s="71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1"/>
      <c r="R23" s="721"/>
      <c r="S23" s="721"/>
      <c r="T23" s="72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7"/>
      <c r="B24" s="727"/>
      <c r="C24" s="727"/>
      <c r="D24" s="727"/>
      <c r="E24" s="727"/>
      <c r="F24" s="727"/>
      <c r="G24" s="727"/>
      <c r="H24" s="727"/>
      <c r="I24" s="727"/>
      <c r="J24" s="727"/>
      <c r="K24" s="727"/>
      <c r="L24" s="727"/>
      <c r="M24" s="727"/>
      <c r="N24" s="727"/>
      <c r="O24" s="728"/>
      <c r="P24" s="724" t="s">
        <v>40</v>
      </c>
      <c r="Q24" s="725"/>
      <c r="R24" s="725"/>
      <c r="S24" s="725"/>
      <c r="T24" s="725"/>
      <c r="U24" s="725"/>
      <c r="V24" s="72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7"/>
      <c r="B25" s="727"/>
      <c r="C25" s="727"/>
      <c r="D25" s="727"/>
      <c r="E25" s="727"/>
      <c r="F25" s="727"/>
      <c r="G25" s="727"/>
      <c r="H25" s="727"/>
      <c r="I25" s="727"/>
      <c r="J25" s="727"/>
      <c r="K25" s="727"/>
      <c r="L25" s="727"/>
      <c r="M25" s="727"/>
      <c r="N25" s="727"/>
      <c r="O25" s="728"/>
      <c r="P25" s="724" t="s">
        <v>40</v>
      </c>
      <c r="Q25" s="725"/>
      <c r="R25" s="725"/>
      <c r="S25" s="725"/>
      <c r="T25" s="725"/>
      <c r="U25" s="725"/>
      <c r="V25" s="72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8" t="s">
        <v>86</v>
      </c>
      <c r="B26" s="718"/>
      <c r="C26" s="718"/>
      <c r="D26" s="718"/>
      <c r="E26" s="718"/>
      <c r="F26" s="718"/>
      <c r="G26" s="718"/>
      <c r="H26" s="718"/>
      <c r="I26" s="718"/>
      <c r="J26" s="718"/>
      <c r="K26" s="718"/>
      <c r="L26" s="718"/>
      <c r="M26" s="718"/>
      <c r="N26" s="718"/>
      <c r="O26" s="718"/>
      <c r="P26" s="718"/>
      <c r="Q26" s="718"/>
      <c r="R26" s="718"/>
      <c r="S26" s="718"/>
      <c r="T26" s="718"/>
      <c r="U26" s="718"/>
      <c r="V26" s="718"/>
      <c r="W26" s="718"/>
      <c r="X26" s="718"/>
      <c r="Y26" s="718"/>
      <c r="Z26" s="71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9">
        <v>4680115885912</v>
      </c>
      <c r="E27" s="71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1"/>
      <c r="R27" s="721"/>
      <c r="S27" s="721"/>
      <c r="T27" s="72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9">
        <v>4607091388237</v>
      </c>
      <c r="E28" s="71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1"/>
      <c r="R28" s="721"/>
      <c r="S28" s="721"/>
      <c r="T28" s="72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9">
        <v>4680115887350</v>
      </c>
      <c r="E29" s="71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1"/>
      <c r="R29" s="721"/>
      <c r="S29" s="721"/>
      <c r="T29" s="72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9">
        <v>4680115885905</v>
      </c>
      <c r="E30" s="71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1"/>
      <c r="R30" s="721"/>
      <c r="S30" s="721"/>
      <c r="T30" s="72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9">
        <v>4680115887619</v>
      </c>
      <c r="E31" s="71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1"/>
      <c r="R31" s="721"/>
      <c r="S31" s="721"/>
      <c r="T31" s="72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7"/>
      <c r="B32" s="727"/>
      <c r="C32" s="727"/>
      <c r="D32" s="727"/>
      <c r="E32" s="727"/>
      <c r="F32" s="727"/>
      <c r="G32" s="727"/>
      <c r="H32" s="727"/>
      <c r="I32" s="727"/>
      <c r="J32" s="727"/>
      <c r="K32" s="727"/>
      <c r="L32" s="727"/>
      <c r="M32" s="727"/>
      <c r="N32" s="727"/>
      <c r="O32" s="728"/>
      <c r="P32" s="724" t="s">
        <v>40</v>
      </c>
      <c r="Q32" s="725"/>
      <c r="R32" s="725"/>
      <c r="S32" s="725"/>
      <c r="T32" s="725"/>
      <c r="U32" s="725"/>
      <c r="V32" s="72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7"/>
      <c r="B33" s="727"/>
      <c r="C33" s="727"/>
      <c r="D33" s="727"/>
      <c r="E33" s="727"/>
      <c r="F33" s="727"/>
      <c r="G33" s="727"/>
      <c r="H33" s="727"/>
      <c r="I33" s="727"/>
      <c r="J33" s="727"/>
      <c r="K33" s="727"/>
      <c r="L33" s="727"/>
      <c r="M33" s="727"/>
      <c r="N33" s="727"/>
      <c r="O33" s="728"/>
      <c r="P33" s="724" t="s">
        <v>40</v>
      </c>
      <c r="Q33" s="725"/>
      <c r="R33" s="725"/>
      <c r="S33" s="725"/>
      <c r="T33" s="725"/>
      <c r="U33" s="725"/>
      <c r="V33" s="72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6" t="s">
        <v>45</v>
      </c>
      <c r="B34" s="716"/>
      <c r="C34" s="716"/>
      <c r="D34" s="716"/>
      <c r="E34" s="716"/>
      <c r="F34" s="716"/>
      <c r="G34" s="716"/>
      <c r="H34" s="716"/>
      <c r="I34" s="716"/>
      <c r="J34" s="716"/>
      <c r="K34" s="716"/>
      <c r="L34" s="716"/>
      <c r="M34" s="716"/>
      <c r="N34" s="716"/>
      <c r="O34" s="716"/>
      <c r="P34" s="716"/>
      <c r="Q34" s="716"/>
      <c r="R34" s="716"/>
      <c r="S34" s="716"/>
      <c r="T34" s="716"/>
      <c r="U34" s="716"/>
      <c r="V34" s="716"/>
      <c r="W34" s="716"/>
      <c r="X34" s="716"/>
      <c r="Y34" s="716"/>
      <c r="Z34" s="716"/>
      <c r="AA34" s="54"/>
      <c r="AB34" s="54"/>
      <c r="AC34" s="54"/>
    </row>
    <row r="35" spans="1:68" ht="16.5" hidden="1" customHeight="1" x14ac:dyDescent="0.25">
      <c r="A35" s="717" t="s">
        <v>104</v>
      </c>
      <c r="B35" s="717"/>
      <c r="C35" s="717"/>
      <c r="D35" s="717"/>
      <c r="E35" s="717"/>
      <c r="F35" s="717"/>
      <c r="G35" s="717"/>
      <c r="H35" s="717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Y35" s="717"/>
      <c r="Z35" s="717"/>
      <c r="AA35" s="65"/>
      <c r="AB35" s="65"/>
      <c r="AC35" s="79"/>
    </row>
    <row r="36" spans="1:68" ht="14.25" hidden="1" customHeight="1" x14ac:dyDescent="0.25">
      <c r="A36" s="718" t="s">
        <v>86</v>
      </c>
      <c r="B36" s="718"/>
      <c r="C36" s="718"/>
      <c r="D36" s="718"/>
      <c r="E36" s="718"/>
      <c r="F36" s="718"/>
      <c r="G36" s="718"/>
      <c r="H36" s="718"/>
      <c r="I36" s="718"/>
      <c r="J36" s="718"/>
      <c r="K36" s="718"/>
      <c r="L36" s="718"/>
      <c r="M36" s="718"/>
      <c r="N36" s="718"/>
      <c r="O36" s="718"/>
      <c r="P36" s="718"/>
      <c r="Q36" s="718"/>
      <c r="R36" s="718"/>
      <c r="S36" s="718"/>
      <c r="T36" s="718"/>
      <c r="U36" s="718"/>
      <c r="V36" s="718"/>
      <c r="W36" s="718"/>
      <c r="X36" s="718"/>
      <c r="Y36" s="718"/>
      <c r="Z36" s="718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9">
        <v>4680115889354</v>
      </c>
      <c r="E37" s="71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1"/>
      <c r="R37" s="721"/>
      <c r="S37" s="721"/>
      <c r="T37" s="72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9">
        <v>4680115888463</v>
      </c>
      <c r="E38" s="71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1"/>
      <c r="R38" s="721"/>
      <c r="S38" s="721"/>
      <c r="T38" s="72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19">
        <v>4680115889590</v>
      </c>
      <c r="E39" s="71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1"/>
      <c r="R39" s="721"/>
      <c r="S39" s="721"/>
      <c r="T39" s="72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9">
        <v>4680115888272</v>
      </c>
      <c r="E40" s="71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1"/>
      <c r="R40" s="721"/>
      <c r="S40" s="721"/>
      <c r="T40" s="72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9">
        <v>4680115888364</v>
      </c>
      <c r="E41" s="71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1"/>
      <c r="R41" s="721"/>
      <c r="S41" s="721"/>
      <c r="T41" s="72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7"/>
      <c r="B42" s="727"/>
      <c r="C42" s="727"/>
      <c r="D42" s="727"/>
      <c r="E42" s="727"/>
      <c r="F42" s="727"/>
      <c r="G42" s="727"/>
      <c r="H42" s="727"/>
      <c r="I42" s="727"/>
      <c r="J42" s="727"/>
      <c r="K42" s="727"/>
      <c r="L42" s="727"/>
      <c r="M42" s="727"/>
      <c r="N42" s="727"/>
      <c r="O42" s="728"/>
      <c r="P42" s="724" t="s">
        <v>40</v>
      </c>
      <c r="Q42" s="725"/>
      <c r="R42" s="725"/>
      <c r="S42" s="725"/>
      <c r="T42" s="725"/>
      <c r="U42" s="725"/>
      <c r="V42" s="726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7"/>
      <c r="B43" s="727"/>
      <c r="C43" s="727"/>
      <c r="D43" s="727"/>
      <c r="E43" s="727"/>
      <c r="F43" s="727"/>
      <c r="G43" s="727"/>
      <c r="H43" s="727"/>
      <c r="I43" s="727"/>
      <c r="J43" s="727"/>
      <c r="K43" s="727"/>
      <c r="L43" s="727"/>
      <c r="M43" s="727"/>
      <c r="N43" s="727"/>
      <c r="O43" s="728"/>
      <c r="P43" s="724" t="s">
        <v>40</v>
      </c>
      <c r="Q43" s="725"/>
      <c r="R43" s="725"/>
      <c r="S43" s="725"/>
      <c r="T43" s="725"/>
      <c r="U43" s="725"/>
      <c r="V43" s="726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6" t="s">
        <v>120</v>
      </c>
      <c r="B44" s="716"/>
      <c r="C44" s="716"/>
      <c r="D44" s="716"/>
      <c r="E44" s="716"/>
      <c r="F44" s="716"/>
      <c r="G44" s="716"/>
      <c r="H44" s="716"/>
      <c r="I44" s="716"/>
      <c r="J44" s="716"/>
      <c r="K44" s="716"/>
      <c r="L44" s="716"/>
      <c r="M44" s="716"/>
      <c r="N44" s="716"/>
      <c r="O44" s="716"/>
      <c r="P44" s="716"/>
      <c r="Q44" s="716"/>
      <c r="R44" s="716"/>
      <c r="S44" s="716"/>
      <c r="T44" s="716"/>
      <c r="U44" s="716"/>
      <c r="V44" s="716"/>
      <c r="W44" s="716"/>
      <c r="X44" s="716"/>
      <c r="Y44" s="716"/>
      <c r="Z44" s="716"/>
      <c r="AA44" s="54"/>
      <c r="AB44" s="54"/>
      <c r="AC44" s="54"/>
    </row>
    <row r="45" spans="1:68" ht="16.5" hidden="1" customHeight="1" x14ac:dyDescent="0.25">
      <c r="A45" s="717" t="s">
        <v>121</v>
      </c>
      <c r="B45" s="717"/>
      <c r="C45" s="717"/>
      <c r="D45" s="717"/>
      <c r="E45" s="717"/>
      <c r="F45" s="717"/>
      <c r="G45" s="717"/>
      <c r="H45" s="717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Y45" s="717"/>
      <c r="Z45" s="717"/>
      <c r="AA45" s="65"/>
      <c r="AB45" s="65"/>
      <c r="AC45" s="79"/>
    </row>
    <row r="46" spans="1:68" ht="14.25" hidden="1" customHeight="1" x14ac:dyDescent="0.25">
      <c r="A46" s="718" t="s">
        <v>122</v>
      </c>
      <c r="B46" s="718"/>
      <c r="C46" s="718"/>
      <c r="D46" s="718"/>
      <c r="E46" s="718"/>
      <c r="F46" s="718"/>
      <c r="G46" s="718"/>
      <c r="H46" s="718"/>
      <c r="I46" s="718"/>
      <c r="J46" s="718"/>
      <c r="K46" s="718"/>
      <c r="L46" s="718"/>
      <c r="M46" s="718"/>
      <c r="N46" s="718"/>
      <c r="O46" s="718"/>
      <c r="P46" s="718"/>
      <c r="Q46" s="718"/>
      <c r="R46" s="718"/>
      <c r="S46" s="718"/>
      <c r="T46" s="718"/>
      <c r="U46" s="718"/>
      <c r="V46" s="718"/>
      <c r="W46" s="718"/>
      <c r="X46" s="718"/>
      <c r="Y46" s="718"/>
      <c r="Z46" s="718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19">
        <v>4607091385670</v>
      </c>
      <c r="E47" s="71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1"/>
      <c r="R47" s="721"/>
      <c r="S47" s="721"/>
      <c r="T47" s="722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9">
        <v>4680115887725</v>
      </c>
      <c r="E48" s="71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1"/>
      <c r="R48" s="721"/>
      <c r="S48" s="721"/>
      <c r="T48" s="72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19">
        <v>4607091385687</v>
      </c>
      <c r="E49" s="71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1"/>
      <c r="R49" s="721"/>
      <c r="S49" s="721"/>
      <c r="T49" s="72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9">
        <v>4680115882539</v>
      </c>
      <c r="E50" s="71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1"/>
      <c r="R50" s="721"/>
      <c r="S50" s="721"/>
      <c r="T50" s="72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27"/>
      <c r="B51" s="727"/>
      <c r="C51" s="727"/>
      <c r="D51" s="727"/>
      <c r="E51" s="727"/>
      <c r="F51" s="727"/>
      <c r="G51" s="727"/>
      <c r="H51" s="727"/>
      <c r="I51" s="727"/>
      <c r="J51" s="727"/>
      <c r="K51" s="727"/>
      <c r="L51" s="727"/>
      <c r="M51" s="727"/>
      <c r="N51" s="727"/>
      <c r="O51" s="728"/>
      <c r="P51" s="724" t="s">
        <v>40</v>
      </c>
      <c r="Q51" s="725"/>
      <c r="R51" s="725"/>
      <c r="S51" s="725"/>
      <c r="T51" s="725"/>
      <c r="U51" s="725"/>
      <c r="V51" s="726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27"/>
      <c r="B52" s="727"/>
      <c r="C52" s="727"/>
      <c r="D52" s="727"/>
      <c r="E52" s="727"/>
      <c r="F52" s="727"/>
      <c r="G52" s="727"/>
      <c r="H52" s="727"/>
      <c r="I52" s="727"/>
      <c r="J52" s="727"/>
      <c r="K52" s="727"/>
      <c r="L52" s="727"/>
      <c r="M52" s="727"/>
      <c r="N52" s="727"/>
      <c r="O52" s="728"/>
      <c r="P52" s="724" t="s">
        <v>40</v>
      </c>
      <c r="Q52" s="725"/>
      <c r="R52" s="725"/>
      <c r="S52" s="725"/>
      <c r="T52" s="725"/>
      <c r="U52" s="725"/>
      <c r="V52" s="726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17" t="s">
        <v>137</v>
      </c>
      <c r="B53" s="717"/>
      <c r="C53" s="717"/>
      <c r="D53" s="717"/>
      <c r="E53" s="717"/>
      <c r="F53" s="717"/>
      <c r="G53" s="717"/>
      <c r="H53" s="717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Y53" s="717"/>
      <c r="Z53" s="717"/>
      <c r="AA53" s="65"/>
      <c r="AB53" s="65"/>
      <c r="AC53" s="79"/>
    </row>
    <row r="54" spans="1:68" ht="14.25" hidden="1" customHeight="1" x14ac:dyDescent="0.25">
      <c r="A54" s="718" t="s">
        <v>122</v>
      </c>
      <c r="B54" s="718"/>
      <c r="C54" s="718"/>
      <c r="D54" s="718"/>
      <c r="E54" s="718"/>
      <c r="F54" s="718"/>
      <c r="G54" s="718"/>
      <c r="H54" s="718"/>
      <c r="I54" s="718"/>
      <c r="J54" s="718"/>
      <c r="K54" s="718"/>
      <c r="L54" s="718"/>
      <c r="M54" s="718"/>
      <c r="N54" s="718"/>
      <c r="O54" s="718"/>
      <c r="P54" s="718"/>
      <c r="Q54" s="718"/>
      <c r="R54" s="718"/>
      <c r="S54" s="718"/>
      <c r="T54" s="718"/>
      <c r="U54" s="718"/>
      <c r="V54" s="718"/>
      <c r="W54" s="718"/>
      <c r="X54" s="718"/>
      <c r="Y54" s="718"/>
      <c r="Z54" s="718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19">
        <v>4680115885882</v>
      </c>
      <c r="E55" s="71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1"/>
      <c r="R55" s="721"/>
      <c r="S55" s="721"/>
      <c r="T55" s="72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19">
        <v>4680115881426</v>
      </c>
      <c r="E56" s="71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1"/>
      <c r="R56" s="721"/>
      <c r="S56" s="721"/>
      <c r="T56" s="72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19">
        <v>4680115880283</v>
      </c>
      <c r="E57" s="719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1"/>
      <c r="R57" s="721"/>
      <c r="S57" s="721"/>
      <c r="T57" s="72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19">
        <v>4680115881525</v>
      </c>
      <c r="E58" s="719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1"/>
      <c r="R58" s="721"/>
      <c r="S58" s="721"/>
      <c r="T58" s="72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719">
        <v>4680115881525</v>
      </c>
      <c r="E59" s="71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4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21"/>
      <c r="R59" s="721"/>
      <c r="S59" s="721"/>
      <c r="T59" s="72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719">
        <v>4680115885899</v>
      </c>
      <c r="E60" s="719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74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21"/>
      <c r="R60" s="721"/>
      <c r="S60" s="721"/>
      <c r="T60" s="72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719">
        <v>4680115881419</v>
      </c>
      <c r="E61" s="719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21"/>
      <c r="R61" s="721"/>
      <c r="S61" s="721"/>
      <c r="T61" s="72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727"/>
      <c r="B62" s="727"/>
      <c r="C62" s="727"/>
      <c r="D62" s="727"/>
      <c r="E62" s="727"/>
      <c r="F62" s="727"/>
      <c r="G62" s="727"/>
      <c r="H62" s="727"/>
      <c r="I62" s="727"/>
      <c r="J62" s="727"/>
      <c r="K62" s="727"/>
      <c r="L62" s="727"/>
      <c r="M62" s="727"/>
      <c r="N62" s="727"/>
      <c r="O62" s="728"/>
      <c r="P62" s="724" t="s">
        <v>40</v>
      </c>
      <c r="Q62" s="725"/>
      <c r="R62" s="725"/>
      <c r="S62" s="725"/>
      <c r="T62" s="725"/>
      <c r="U62" s="725"/>
      <c r="V62" s="726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727"/>
      <c r="B63" s="727"/>
      <c r="C63" s="727"/>
      <c r="D63" s="727"/>
      <c r="E63" s="727"/>
      <c r="F63" s="727"/>
      <c r="G63" s="727"/>
      <c r="H63" s="727"/>
      <c r="I63" s="727"/>
      <c r="J63" s="727"/>
      <c r="K63" s="727"/>
      <c r="L63" s="727"/>
      <c r="M63" s="727"/>
      <c r="N63" s="727"/>
      <c r="O63" s="728"/>
      <c r="P63" s="724" t="s">
        <v>40</v>
      </c>
      <c r="Q63" s="725"/>
      <c r="R63" s="725"/>
      <c r="S63" s="725"/>
      <c r="T63" s="725"/>
      <c r="U63" s="725"/>
      <c r="V63" s="726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718" t="s">
        <v>157</v>
      </c>
      <c r="B64" s="718"/>
      <c r="C64" s="718"/>
      <c r="D64" s="718"/>
      <c r="E64" s="718"/>
      <c r="F64" s="718"/>
      <c r="G64" s="718"/>
      <c r="H64" s="718"/>
      <c r="I64" s="718"/>
      <c r="J64" s="718"/>
      <c r="K64" s="718"/>
      <c r="L64" s="718"/>
      <c r="M64" s="718"/>
      <c r="N64" s="718"/>
      <c r="O64" s="718"/>
      <c r="P64" s="718"/>
      <c r="Q64" s="718"/>
      <c r="R64" s="718"/>
      <c r="S64" s="718"/>
      <c r="T64" s="718"/>
      <c r="U64" s="718"/>
      <c r="V64" s="718"/>
      <c r="W64" s="718"/>
      <c r="X64" s="718"/>
      <c r="Y64" s="718"/>
      <c r="Z64" s="718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719">
        <v>4680115881440</v>
      </c>
      <c r="E65" s="71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21"/>
      <c r="R65" s="721"/>
      <c r="S65" s="721"/>
      <c r="T65" s="722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719">
        <v>4680115885950</v>
      </c>
      <c r="E66" s="719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21"/>
      <c r="R66" s="721"/>
      <c r="S66" s="721"/>
      <c r="T66" s="72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719">
        <v>4680115887688</v>
      </c>
      <c r="E67" s="719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75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21"/>
      <c r="R67" s="721"/>
      <c r="S67" s="721"/>
      <c r="T67" s="72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719">
        <v>4680115881433</v>
      </c>
      <c r="E68" s="719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7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21"/>
      <c r="R68" s="721"/>
      <c r="S68" s="721"/>
      <c r="T68" s="72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727"/>
      <c r="B69" s="727"/>
      <c r="C69" s="727"/>
      <c r="D69" s="727"/>
      <c r="E69" s="727"/>
      <c r="F69" s="727"/>
      <c r="G69" s="727"/>
      <c r="H69" s="727"/>
      <c r="I69" s="727"/>
      <c r="J69" s="727"/>
      <c r="K69" s="727"/>
      <c r="L69" s="727"/>
      <c r="M69" s="727"/>
      <c r="N69" s="727"/>
      <c r="O69" s="728"/>
      <c r="P69" s="724" t="s">
        <v>40</v>
      </c>
      <c r="Q69" s="725"/>
      <c r="R69" s="725"/>
      <c r="S69" s="725"/>
      <c r="T69" s="725"/>
      <c r="U69" s="725"/>
      <c r="V69" s="726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727"/>
      <c r="B70" s="727"/>
      <c r="C70" s="727"/>
      <c r="D70" s="727"/>
      <c r="E70" s="727"/>
      <c r="F70" s="727"/>
      <c r="G70" s="727"/>
      <c r="H70" s="727"/>
      <c r="I70" s="727"/>
      <c r="J70" s="727"/>
      <c r="K70" s="727"/>
      <c r="L70" s="727"/>
      <c r="M70" s="727"/>
      <c r="N70" s="727"/>
      <c r="O70" s="728"/>
      <c r="P70" s="724" t="s">
        <v>40</v>
      </c>
      <c r="Q70" s="725"/>
      <c r="R70" s="725"/>
      <c r="S70" s="725"/>
      <c r="T70" s="725"/>
      <c r="U70" s="725"/>
      <c r="V70" s="726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718" t="s">
        <v>86</v>
      </c>
      <c r="B71" s="718"/>
      <c r="C71" s="718"/>
      <c r="D71" s="718"/>
      <c r="E71" s="718"/>
      <c r="F71" s="718"/>
      <c r="G71" s="718"/>
      <c r="H71" s="718"/>
      <c r="I71" s="718"/>
      <c r="J71" s="718"/>
      <c r="K71" s="718"/>
      <c r="L71" s="718"/>
      <c r="M71" s="718"/>
      <c r="N71" s="718"/>
      <c r="O71" s="718"/>
      <c r="P71" s="718"/>
      <c r="Q71" s="718"/>
      <c r="R71" s="718"/>
      <c r="S71" s="718"/>
      <c r="T71" s="718"/>
      <c r="U71" s="718"/>
      <c r="V71" s="718"/>
      <c r="W71" s="718"/>
      <c r="X71" s="718"/>
      <c r="Y71" s="718"/>
      <c r="Z71" s="718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719">
        <v>4680115884311</v>
      </c>
      <c r="E72" s="71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21"/>
      <c r="R72" s="721"/>
      <c r="S72" s="721"/>
      <c r="T72" s="72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719">
        <v>4680115884403</v>
      </c>
      <c r="E73" s="719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21"/>
      <c r="R73" s="721"/>
      <c r="S73" s="721"/>
      <c r="T73" s="72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719">
        <v>4680115884403</v>
      </c>
      <c r="E74" s="71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21"/>
      <c r="R74" s="721"/>
      <c r="S74" s="721"/>
      <c r="T74" s="72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7"/>
      <c r="B75" s="727"/>
      <c r="C75" s="727"/>
      <c r="D75" s="727"/>
      <c r="E75" s="727"/>
      <c r="F75" s="727"/>
      <c r="G75" s="727"/>
      <c r="H75" s="727"/>
      <c r="I75" s="727"/>
      <c r="J75" s="727"/>
      <c r="K75" s="727"/>
      <c r="L75" s="727"/>
      <c r="M75" s="727"/>
      <c r="N75" s="727"/>
      <c r="O75" s="728"/>
      <c r="P75" s="724" t="s">
        <v>40</v>
      </c>
      <c r="Q75" s="725"/>
      <c r="R75" s="725"/>
      <c r="S75" s="725"/>
      <c r="T75" s="725"/>
      <c r="U75" s="725"/>
      <c r="V75" s="726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727"/>
      <c r="B76" s="727"/>
      <c r="C76" s="727"/>
      <c r="D76" s="727"/>
      <c r="E76" s="727"/>
      <c r="F76" s="727"/>
      <c r="G76" s="727"/>
      <c r="H76" s="727"/>
      <c r="I76" s="727"/>
      <c r="J76" s="727"/>
      <c r="K76" s="727"/>
      <c r="L76" s="727"/>
      <c r="M76" s="727"/>
      <c r="N76" s="727"/>
      <c r="O76" s="728"/>
      <c r="P76" s="724" t="s">
        <v>40</v>
      </c>
      <c r="Q76" s="725"/>
      <c r="R76" s="725"/>
      <c r="S76" s="725"/>
      <c r="T76" s="725"/>
      <c r="U76" s="725"/>
      <c r="V76" s="726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718" t="s">
        <v>175</v>
      </c>
      <c r="B77" s="718"/>
      <c r="C77" s="718"/>
      <c r="D77" s="718"/>
      <c r="E77" s="718"/>
      <c r="F77" s="718"/>
      <c r="G77" s="718"/>
      <c r="H77" s="718"/>
      <c r="I77" s="718"/>
      <c r="J77" s="718"/>
      <c r="K77" s="718"/>
      <c r="L77" s="718"/>
      <c r="M77" s="718"/>
      <c r="N77" s="718"/>
      <c r="O77" s="718"/>
      <c r="P77" s="718"/>
      <c r="Q77" s="718"/>
      <c r="R77" s="718"/>
      <c r="S77" s="718"/>
      <c r="T77" s="718"/>
      <c r="U77" s="718"/>
      <c r="V77" s="718"/>
      <c r="W77" s="718"/>
      <c r="X77" s="718"/>
      <c r="Y77" s="718"/>
      <c r="Z77" s="718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19">
        <v>4680115881532</v>
      </c>
      <c r="E78" s="71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21"/>
      <c r="R78" s="721"/>
      <c r="S78" s="721"/>
      <c r="T78" s="72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719">
        <v>4680115881532</v>
      </c>
      <c r="E79" s="71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75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21"/>
      <c r="R79" s="721"/>
      <c r="S79" s="721"/>
      <c r="T79" s="72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719">
        <v>4680115881464</v>
      </c>
      <c r="E80" s="71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5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1"/>
      <c r="R80" s="721"/>
      <c r="S80" s="721"/>
      <c r="T80" s="72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27"/>
      <c r="B81" s="727"/>
      <c r="C81" s="727"/>
      <c r="D81" s="727"/>
      <c r="E81" s="727"/>
      <c r="F81" s="727"/>
      <c r="G81" s="727"/>
      <c r="H81" s="727"/>
      <c r="I81" s="727"/>
      <c r="J81" s="727"/>
      <c r="K81" s="727"/>
      <c r="L81" s="727"/>
      <c r="M81" s="727"/>
      <c r="N81" s="727"/>
      <c r="O81" s="728"/>
      <c r="P81" s="724" t="s">
        <v>40</v>
      </c>
      <c r="Q81" s="725"/>
      <c r="R81" s="725"/>
      <c r="S81" s="725"/>
      <c r="T81" s="725"/>
      <c r="U81" s="725"/>
      <c r="V81" s="726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27"/>
      <c r="B82" s="727"/>
      <c r="C82" s="727"/>
      <c r="D82" s="727"/>
      <c r="E82" s="727"/>
      <c r="F82" s="727"/>
      <c r="G82" s="727"/>
      <c r="H82" s="727"/>
      <c r="I82" s="727"/>
      <c r="J82" s="727"/>
      <c r="K82" s="727"/>
      <c r="L82" s="727"/>
      <c r="M82" s="727"/>
      <c r="N82" s="727"/>
      <c r="O82" s="728"/>
      <c r="P82" s="724" t="s">
        <v>40</v>
      </c>
      <c r="Q82" s="725"/>
      <c r="R82" s="725"/>
      <c r="S82" s="725"/>
      <c r="T82" s="725"/>
      <c r="U82" s="725"/>
      <c r="V82" s="726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717" t="s">
        <v>183</v>
      </c>
      <c r="B83" s="717"/>
      <c r="C83" s="717"/>
      <c r="D83" s="717"/>
      <c r="E83" s="717"/>
      <c r="F83" s="717"/>
      <c r="G83" s="717"/>
      <c r="H83" s="717"/>
      <c r="I83" s="717"/>
      <c r="J83" s="717"/>
      <c r="K83" s="717"/>
      <c r="L83" s="717"/>
      <c r="M83" s="717"/>
      <c r="N83" s="717"/>
      <c r="O83" s="717"/>
      <c r="P83" s="717"/>
      <c r="Q83" s="717"/>
      <c r="R83" s="717"/>
      <c r="S83" s="717"/>
      <c r="T83" s="717"/>
      <c r="U83" s="717"/>
      <c r="V83" s="717"/>
      <c r="W83" s="717"/>
      <c r="X83" s="717"/>
      <c r="Y83" s="717"/>
      <c r="Z83" s="717"/>
      <c r="AA83" s="65"/>
      <c r="AB83" s="65"/>
      <c r="AC83" s="79"/>
    </row>
    <row r="84" spans="1:68" ht="14.25" hidden="1" customHeight="1" x14ac:dyDescent="0.25">
      <c r="A84" s="718" t="s">
        <v>122</v>
      </c>
      <c r="B84" s="718"/>
      <c r="C84" s="718"/>
      <c r="D84" s="718"/>
      <c r="E84" s="718"/>
      <c r="F84" s="718"/>
      <c r="G84" s="718"/>
      <c r="H84" s="718"/>
      <c r="I84" s="718"/>
      <c r="J84" s="718"/>
      <c r="K84" s="718"/>
      <c r="L84" s="718"/>
      <c r="M84" s="718"/>
      <c r="N84" s="718"/>
      <c r="O84" s="718"/>
      <c r="P84" s="718"/>
      <c r="Q84" s="718"/>
      <c r="R84" s="718"/>
      <c r="S84" s="718"/>
      <c r="T84" s="718"/>
      <c r="U84" s="718"/>
      <c r="V84" s="718"/>
      <c r="W84" s="718"/>
      <c r="X84" s="718"/>
      <c r="Y84" s="718"/>
      <c r="Z84" s="718"/>
      <c r="AA84" s="66"/>
      <c r="AB84" s="66"/>
      <c r="AC84" s="80"/>
    </row>
    <row r="85" spans="1:68" ht="27" hidden="1" customHeight="1" x14ac:dyDescent="0.25">
      <c r="A85" s="63" t="s">
        <v>184</v>
      </c>
      <c r="B85" s="63" t="s">
        <v>185</v>
      </c>
      <c r="C85" s="36">
        <v>4301011468</v>
      </c>
      <c r="D85" s="719">
        <v>4680115881327</v>
      </c>
      <c r="E85" s="71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1"/>
      <c r="R85" s="721"/>
      <c r="S85" s="721"/>
      <c r="T85" s="722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719">
        <v>4680115887732</v>
      </c>
      <c r="E86" s="719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1"/>
      <c r="R86" s="721"/>
      <c r="S86" s="721"/>
      <c r="T86" s="722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719">
        <v>4680115887732</v>
      </c>
      <c r="E87" s="71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21"/>
      <c r="R87" s="721"/>
      <c r="S87" s="721"/>
      <c r="T87" s="722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19">
        <v>4680115881518</v>
      </c>
      <c r="E88" s="71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1"/>
      <c r="R88" s="721"/>
      <c r="S88" s="721"/>
      <c r="T88" s="72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4301012250</v>
      </c>
      <c r="D89" s="719">
        <v>4680115881303</v>
      </c>
      <c r="E89" s="719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76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21"/>
      <c r="R89" s="721"/>
      <c r="S89" s="721"/>
      <c r="T89" s="72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27"/>
      <c r="B90" s="727"/>
      <c r="C90" s="727"/>
      <c r="D90" s="727"/>
      <c r="E90" s="727"/>
      <c r="F90" s="727"/>
      <c r="G90" s="727"/>
      <c r="H90" s="727"/>
      <c r="I90" s="727"/>
      <c r="J90" s="727"/>
      <c r="K90" s="727"/>
      <c r="L90" s="727"/>
      <c r="M90" s="727"/>
      <c r="N90" s="727"/>
      <c r="O90" s="728"/>
      <c r="P90" s="724" t="s">
        <v>40</v>
      </c>
      <c r="Q90" s="725"/>
      <c r="R90" s="725"/>
      <c r="S90" s="725"/>
      <c r="T90" s="725"/>
      <c r="U90" s="725"/>
      <c r="V90" s="726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27"/>
      <c r="B91" s="727"/>
      <c r="C91" s="727"/>
      <c r="D91" s="727"/>
      <c r="E91" s="727"/>
      <c r="F91" s="727"/>
      <c r="G91" s="727"/>
      <c r="H91" s="727"/>
      <c r="I91" s="727"/>
      <c r="J91" s="727"/>
      <c r="K91" s="727"/>
      <c r="L91" s="727"/>
      <c r="M91" s="727"/>
      <c r="N91" s="727"/>
      <c r="O91" s="728"/>
      <c r="P91" s="724" t="s">
        <v>40</v>
      </c>
      <c r="Q91" s="725"/>
      <c r="R91" s="725"/>
      <c r="S91" s="725"/>
      <c r="T91" s="725"/>
      <c r="U91" s="725"/>
      <c r="V91" s="726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18" t="s">
        <v>86</v>
      </c>
      <c r="B92" s="718"/>
      <c r="C92" s="718"/>
      <c r="D92" s="718"/>
      <c r="E92" s="718"/>
      <c r="F92" s="718"/>
      <c r="G92" s="718"/>
      <c r="H92" s="718"/>
      <c r="I92" s="718"/>
      <c r="J92" s="718"/>
      <c r="K92" s="718"/>
      <c r="L92" s="718"/>
      <c r="M92" s="718"/>
      <c r="N92" s="718"/>
      <c r="O92" s="718"/>
      <c r="P92" s="718"/>
      <c r="Q92" s="718"/>
      <c r="R92" s="718"/>
      <c r="S92" s="718"/>
      <c r="T92" s="718"/>
      <c r="U92" s="718"/>
      <c r="V92" s="718"/>
      <c r="W92" s="718"/>
      <c r="X92" s="718"/>
      <c r="Y92" s="718"/>
      <c r="Z92" s="718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4301052101</v>
      </c>
      <c r="D93" s="719">
        <v>4607091386967</v>
      </c>
      <c r="E93" s="719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6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21"/>
      <c r="R93" s="721"/>
      <c r="S93" s="721"/>
      <c r="T93" s="722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719">
        <v>4680115884953</v>
      </c>
      <c r="E94" s="719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21"/>
      <c r="R94" s="721"/>
      <c r="S94" s="721"/>
      <c r="T94" s="72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4301052094</v>
      </c>
      <c r="D95" s="719">
        <v>4607091385731</v>
      </c>
      <c r="E95" s="719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76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21"/>
      <c r="R95" s="721"/>
      <c r="S95" s="721"/>
      <c r="T95" s="72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719">
        <v>4680115880894</v>
      </c>
      <c r="E96" s="719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6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21"/>
      <c r="R96" s="721"/>
      <c r="S96" s="721"/>
      <c r="T96" s="72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727"/>
      <c r="B97" s="727"/>
      <c r="C97" s="727"/>
      <c r="D97" s="727"/>
      <c r="E97" s="727"/>
      <c r="F97" s="727"/>
      <c r="G97" s="727"/>
      <c r="H97" s="727"/>
      <c r="I97" s="727"/>
      <c r="J97" s="727"/>
      <c r="K97" s="727"/>
      <c r="L97" s="727"/>
      <c r="M97" s="727"/>
      <c r="N97" s="727"/>
      <c r="O97" s="728"/>
      <c r="P97" s="724" t="s">
        <v>40</v>
      </c>
      <c r="Q97" s="725"/>
      <c r="R97" s="725"/>
      <c r="S97" s="725"/>
      <c r="T97" s="725"/>
      <c r="U97" s="725"/>
      <c r="V97" s="726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727"/>
      <c r="B98" s="727"/>
      <c r="C98" s="727"/>
      <c r="D98" s="727"/>
      <c r="E98" s="727"/>
      <c r="F98" s="727"/>
      <c r="G98" s="727"/>
      <c r="H98" s="727"/>
      <c r="I98" s="727"/>
      <c r="J98" s="727"/>
      <c r="K98" s="727"/>
      <c r="L98" s="727"/>
      <c r="M98" s="727"/>
      <c r="N98" s="727"/>
      <c r="O98" s="728"/>
      <c r="P98" s="724" t="s">
        <v>40</v>
      </c>
      <c r="Q98" s="725"/>
      <c r="R98" s="725"/>
      <c r="S98" s="725"/>
      <c r="T98" s="725"/>
      <c r="U98" s="725"/>
      <c r="V98" s="726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717" t="s">
        <v>206</v>
      </c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7"/>
      <c r="P99" s="717"/>
      <c r="Q99" s="717"/>
      <c r="R99" s="717"/>
      <c r="S99" s="717"/>
      <c r="T99" s="717"/>
      <c r="U99" s="717"/>
      <c r="V99" s="717"/>
      <c r="W99" s="717"/>
      <c r="X99" s="717"/>
      <c r="Y99" s="717"/>
      <c r="Z99" s="717"/>
      <c r="AA99" s="65"/>
      <c r="AB99" s="65"/>
      <c r="AC99" s="79"/>
    </row>
    <row r="100" spans="1:68" ht="14.25" hidden="1" customHeight="1" x14ac:dyDescent="0.25">
      <c r="A100" s="718" t="s">
        <v>122</v>
      </c>
      <c r="B100" s="718"/>
      <c r="C100" s="718"/>
      <c r="D100" s="718"/>
      <c r="E100" s="718"/>
      <c r="F100" s="718"/>
      <c r="G100" s="718"/>
      <c r="H100" s="718"/>
      <c r="I100" s="718"/>
      <c r="J100" s="718"/>
      <c r="K100" s="718"/>
      <c r="L100" s="718"/>
      <c r="M100" s="718"/>
      <c r="N100" s="718"/>
      <c r="O100" s="718"/>
      <c r="P100" s="718"/>
      <c r="Q100" s="718"/>
      <c r="R100" s="718"/>
      <c r="S100" s="718"/>
      <c r="T100" s="718"/>
      <c r="U100" s="718"/>
      <c r="V100" s="718"/>
      <c r="W100" s="718"/>
      <c r="X100" s="718"/>
      <c r="Y100" s="718"/>
      <c r="Z100" s="718"/>
      <c r="AA100" s="66"/>
      <c r="AB100" s="66"/>
      <c r="AC100" s="80"/>
    </row>
    <row r="101" spans="1:68" ht="37.5" hidden="1" customHeight="1" x14ac:dyDescent="0.25">
      <c r="A101" s="63" t="s">
        <v>207</v>
      </c>
      <c r="B101" s="63" t="s">
        <v>208</v>
      </c>
      <c r="C101" s="36">
        <v>4301011514</v>
      </c>
      <c r="D101" s="719">
        <v>4680115882133</v>
      </c>
      <c r="E101" s="719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7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21"/>
      <c r="R101" s="721"/>
      <c r="S101" s="721"/>
      <c r="T101" s="722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8" si="5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0</v>
      </c>
      <c r="BN101" s="78">
        <f t="shared" ref="BN101:BN108" si="7">IFERROR(Y101*I101/H101,"0")</f>
        <v>0</v>
      </c>
      <c r="BO101" s="78">
        <f t="shared" ref="BO101:BO108" si="8">IFERROR(1/J101*(X101/H101),"0")</f>
        <v>0</v>
      </c>
      <c r="BP101" s="78">
        <f t="shared" ref="BP101:BP108" si="9">IFERROR(1/J101*(Y101/H101),"0")</f>
        <v>0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719">
        <v>4680115882133</v>
      </c>
      <c r="E102" s="71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77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21"/>
      <c r="R102" s="721"/>
      <c r="S102" s="721"/>
      <c r="T102" s="72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719">
        <v>4680115887718</v>
      </c>
      <c r="E103" s="719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77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21"/>
      <c r="R103" s="721"/>
      <c r="S103" s="721"/>
      <c r="T103" s="72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215</v>
      </c>
      <c r="B104" s="63" t="s">
        <v>216</v>
      </c>
      <c r="C104" s="36">
        <v>4301011417</v>
      </c>
      <c r="D104" s="719">
        <v>4680115880269</v>
      </c>
      <c r="E104" s="719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21"/>
      <c r="R104" s="721"/>
      <c r="S104" s="721"/>
      <c r="T104" s="72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217</v>
      </c>
      <c r="B105" s="63" t="s">
        <v>218</v>
      </c>
      <c r="C105" s="36">
        <v>4301012254</v>
      </c>
      <c r="D105" s="719">
        <v>4680115880429</v>
      </c>
      <c r="E105" s="719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77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21"/>
      <c r="R105" s="721"/>
      <c r="S105" s="721"/>
      <c r="T105" s="72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719">
        <v>4680115881457</v>
      </c>
      <c r="E106" s="719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21"/>
      <c r="R106" s="721"/>
      <c r="S106" s="721"/>
      <c r="T106" s="72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719">
        <v>4680115881457</v>
      </c>
      <c r="E107" s="71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21"/>
      <c r="R107" s="721"/>
      <c r="S107" s="721"/>
      <c r="T107" s="72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719">
        <v>4680115889477</v>
      </c>
      <c r="E108" s="71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77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21"/>
      <c r="R108" s="721"/>
      <c r="S108" s="721"/>
      <c r="T108" s="72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27"/>
      <c r="B109" s="727"/>
      <c r="C109" s="727"/>
      <c r="D109" s="727"/>
      <c r="E109" s="727"/>
      <c r="F109" s="727"/>
      <c r="G109" s="727"/>
      <c r="H109" s="727"/>
      <c r="I109" s="727"/>
      <c r="J109" s="727"/>
      <c r="K109" s="727"/>
      <c r="L109" s="727"/>
      <c r="M109" s="727"/>
      <c r="N109" s="727"/>
      <c r="O109" s="728"/>
      <c r="P109" s="724" t="s">
        <v>40</v>
      </c>
      <c r="Q109" s="725"/>
      <c r="R109" s="725"/>
      <c r="S109" s="725"/>
      <c r="T109" s="725"/>
      <c r="U109" s="725"/>
      <c r="V109" s="726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0</v>
      </c>
      <c r="Y109" s="43">
        <f>IFERROR(Y101/H101,"0")+IFERROR(Y102/H102,"0")+IFERROR(Y103/H103,"0")+IFERROR(Y104/H104,"0")+IFERROR(Y105/H105,"0")+IFERROR(Y106/H106,"0")+IFERROR(Y107/H107,"0")+IFERROR(Y108/H108,"0")</f>
        <v>0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27"/>
      <c r="B110" s="727"/>
      <c r="C110" s="727"/>
      <c r="D110" s="727"/>
      <c r="E110" s="727"/>
      <c r="F110" s="727"/>
      <c r="G110" s="727"/>
      <c r="H110" s="727"/>
      <c r="I110" s="727"/>
      <c r="J110" s="727"/>
      <c r="K110" s="727"/>
      <c r="L110" s="727"/>
      <c r="M110" s="727"/>
      <c r="N110" s="727"/>
      <c r="O110" s="728"/>
      <c r="P110" s="724" t="s">
        <v>40</v>
      </c>
      <c r="Q110" s="725"/>
      <c r="R110" s="725"/>
      <c r="S110" s="725"/>
      <c r="T110" s="725"/>
      <c r="U110" s="725"/>
      <c r="V110" s="726"/>
      <c r="W110" s="42" t="s">
        <v>0</v>
      </c>
      <c r="X110" s="43">
        <f>IFERROR(SUM(X101:X108),"0")</f>
        <v>0</v>
      </c>
      <c r="Y110" s="43">
        <f>IFERROR(SUM(Y101:Y108),"0")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18" t="s">
        <v>157</v>
      </c>
      <c r="B111" s="718"/>
      <c r="C111" s="718"/>
      <c r="D111" s="718"/>
      <c r="E111" s="718"/>
      <c r="F111" s="718"/>
      <c r="G111" s="718"/>
      <c r="H111" s="718"/>
      <c r="I111" s="718"/>
      <c r="J111" s="718"/>
      <c r="K111" s="718"/>
      <c r="L111" s="718"/>
      <c r="M111" s="718"/>
      <c r="N111" s="718"/>
      <c r="O111" s="718"/>
      <c r="P111" s="718"/>
      <c r="Q111" s="718"/>
      <c r="R111" s="718"/>
      <c r="S111" s="718"/>
      <c r="T111" s="718"/>
      <c r="U111" s="718"/>
      <c r="V111" s="718"/>
      <c r="W111" s="718"/>
      <c r="X111" s="718"/>
      <c r="Y111" s="718"/>
      <c r="Z111" s="718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719">
        <v>4680115881488</v>
      </c>
      <c r="E112" s="71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77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21"/>
      <c r="R112" s="721"/>
      <c r="S112" s="721"/>
      <c r="T112" s="72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719">
        <v>4680115887664</v>
      </c>
      <c r="E113" s="71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7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21"/>
      <c r="R113" s="721"/>
      <c r="S113" s="721"/>
      <c r="T113" s="72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719">
        <v>4680115887664</v>
      </c>
      <c r="E114" s="71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77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21"/>
      <c r="R114" s="721"/>
      <c r="S114" s="721"/>
      <c r="T114" s="72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719">
        <v>4680115882775</v>
      </c>
      <c r="E115" s="71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7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21"/>
      <c r="R115" s="721"/>
      <c r="S115" s="721"/>
      <c r="T115" s="72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4301020392</v>
      </c>
      <c r="D116" s="719">
        <v>4680115880658</v>
      </c>
      <c r="E116" s="71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7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21"/>
      <c r="R116" s="721"/>
      <c r="S116" s="721"/>
      <c r="T116" s="72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27"/>
      <c r="B117" s="727"/>
      <c r="C117" s="727"/>
      <c r="D117" s="727"/>
      <c r="E117" s="727"/>
      <c r="F117" s="727"/>
      <c r="G117" s="727"/>
      <c r="H117" s="727"/>
      <c r="I117" s="727"/>
      <c r="J117" s="727"/>
      <c r="K117" s="727"/>
      <c r="L117" s="727"/>
      <c r="M117" s="727"/>
      <c r="N117" s="727"/>
      <c r="O117" s="728"/>
      <c r="P117" s="724" t="s">
        <v>40</v>
      </c>
      <c r="Q117" s="725"/>
      <c r="R117" s="725"/>
      <c r="S117" s="725"/>
      <c r="T117" s="725"/>
      <c r="U117" s="725"/>
      <c r="V117" s="72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27"/>
      <c r="B118" s="727"/>
      <c r="C118" s="727"/>
      <c r="D118" s="727"/>
      <c r="E118" s="727"/>
      <c r="F118" s="727"/>
      <c r="G118" s="727"/>
      <c r="H118" s="727"/>
      <c r="I118" s="727"/>
      <c r="J118" s="727"/>
      <c r="K118" s="727"/>
      <c r="L118" s="727"/>
      <c r="M118" s="727"/>
      <c r="N118" s="727"/>
      <c r="O118" s="728"/>
      <c r="P118" s="724" t="s">
        <v>40</v>
      </c>
      <c r="Q118" s="725"/>
      <c r="R118" s="725"/>
      <c r="S118" s="725"/>
      <c r="T118" s="725"/>
      <c r="U118" s="725"/>
      <c r="V118" s="72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18" t="s">
        <v>86</v>
      </c>
      <c r="B119" s="718"/>
      <c r="C119" s="718"/>
      <c r="D119" s="718"/>
      <c r="E119" s="718"/>
      <c r="F119" s="718"/>
      <c r="G119" s="718"/>
      <c r="H119" s="718"/>
      <c r="I119" s="718"/>
      <c r="J119" s="718"/>
      <c r="K119" s="718"/>
      <c r="L119" s="718"/>
      <c r="M119" s="718"/>
      <c r="N119" s="718"/>
      <c r="O119" s="718"/>
      <c r="P119" s="718"/>
      <c r="Q119" s="718"/>
      <c r="R119" s="718"/>
      <c r="S119" s="718"/>
      <c r="T119" s="718"/>
      <c r="U119" s="718"/>
      <c r="V119" s="718"/>
      <c r="W119" s="718"/>
      <c r="X119" s="718"/>
      <c r="Y119" s="718"/>
      <c r="Z119" s="718"/>
      <c r="AA119" s="66"/>
      <c r="AB119" s="66"/>
      <c r="AC119" s="80"/>
    </row>
    <row r="120" spans="1:68" ht="27" hidden="1" customHeight="1" x14ac:dyDescent="0.25">
      <c r="A120" s="63" t="s">
        <v>237</v>
      </c>
      <c r="B120" s="63" t="s">
        <v>238</v>
      </c>
      <c r="C120" s="36">
        <v>4301052088</v>
      </c>
      <c r="D120" s="719">
        <v>4607091385168</v>
      </c>
      <c r="E120" s="71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78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21"/>
      <c r="R120" s="721"/>
      <c r="S120" s="721"/>
      <c r="T120" s="72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719">
        <v>4607091383256</v>
      </c>
      <c r="E121" s="71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21"/>
      <c r="R121" s="721"/>
      <c r="S121" s="721"/>
      <c r="T121" s="72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242</v>
      </c>
      <c r="B122" s="63" t="s">
        <v>243</v>
      </c>
      <c r="C122" s="36">
        <v>4301052086</v>
      </c>
      <c r="D122" s="719">
        <v>4607091385748</v>
      </c>
      <c r="E122" s="71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21"/>
      <c r="R122" s="721"/>
      <c r="S122" s="721"/>
      <c r="T122" s="72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244</v>
      </c>
      <c r="B123" s="63" t="s">
        <v>245</v>
      </c>
      <c r="C123" s="36">
        <v>4301052085</v>
      </c>
      <c r="D123" s="719">
        <v>4680115884533</v>
      </c>
      <c r="E123" s="71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21"/>
      <c r="R123" s="721"/>
      <c r="S123" s="721"/>
      <c r="T123" s="72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27"/>
      <c r="B124" s="727"/>
      <c r="C124" s="727"/>
      <c r="D124" s="727"/>
      <c r="E124" s="727"/>
      <c r="F124" s="727"/>
      <c r="G124" s="727"/>
      <c r="H124" s="727"/>
      <c r="I124" s="727"/>
      <c r="J124" s="727"/>
      <c r="K124" s="727"/>
      <c r="L124" s="727"/>
      <c r="M124" s="727"/>
      <c r="N124" s="727"/>
      <c r="O124" s="728"/>
      <c r="P124" s="724" t="s">
        <v>40</v>
      </c>
      <c r="Q124" s="725"/>
      <c r="R124" s="725"/>
      <c r="S124" s="725"/>
      <c r="T124" s="725"/>
      <c r="U124" s="725"/>
      <c r="V124" s="72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27"/>
      <c r="B125" s="727"/>
      <c r="C125" s="727"/>
      <c r="D125" s="727"/>
      <c r="E125" s="727"/>
      <c r="F125" s="727"/>
      <c r="G125" s="727"/>
      <c r="H125" s="727"/>
      <c r="I125" s="727"/>
      <c r="J125" s="727"/>
      <c r="K125" s="727"/>
      <c r="L125" s="727"/>
      <c r="M125" s="727"/>
      <c r="N125" s="727"/>
      <c r="O125" s="728"/>
      <c r="P125" s="724" t="s">
        <v>40</v>
      </c>
      <c r="Q125" s="725"/>
      <c r="R125" s="725"/>
      <c r="S125" s="725"/>
      <c r="T125" s="725"/>
      <c r="U125" s="725"/>
      <c r="V125" s="72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18" t="s">
        <v>175</v>
      </c>
      <c r="B126" s="718"/>
      <c r="C126" s="718"/>
      <c r="D126" s="718"/>
      <c r="E126" s="718"/>
      <c r="F126" s="718"/>
      <c r="G126" s="718"/>
      <c r="H126" s="718"/>
      <c r="I126" s="718"/>
      <c r="J126" s="718"/>
      <c r="K126" s="718"/>
      <c r="L126" s="718"/>
      <c r="M126" s="718"/>
      <c r="N126" s="718"/>
      <c r="O126" s="718"/>
      <c r="P126" s="718"/>
      <c r="Q126" s="718"/>
      <c r="R126" s="718"/>
      <c r="S126" s="718"/>
      <c r="T126" s="718"/>
      <c r="U126" s="718"/>
      <c r="V126" s="718"/>
      <c r="W126" s="718"/>
      <c r="X126" s="718"/>
      <c r="Y126" s="718"/>
      <c r="Z126" s="718"/>
      <c r="AA126" s="66"/>
      <c r="AB126" s="66"/>
      <c r="AC126" s="80"/>
    </row>
    <row r="127" spans="1:68" ht="16.5" hidden="1" customHeight="1" x14ac:dyDescent="0.25">
      <c r="A127" s="63" t="s">
        <v>247</v>
      </c>
      <c r="B127" s="63" t="s">
        <v>248</v>
      </c>
      <c r="C127" s="36">
        <v>4301060525</v>
      </c>
      <c r="D127" s="719">
        <v>4680115880238</v>
      </c>
      <c r="E127" s="71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8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21"/>
      <c r="R127" s="721"/>
      <c r="S127" s="721"/>
      <c r="T127" s="72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27"/>
      <c r="B128" s="727"/>
      <c r="C128" s="727"/>
      <c r="D128" s="727"/>
      <c r="E128" s="727"/>
      <c r="F128" s="727"/>
      <c r="G128" s="727"/>
      <c r="H128" s="727"/>
      <c r="I128" s="727"/>
      <c r="J128" s="727"/>
      <c r="K128" s="727"/>
      <c r="L128" s="727"/>
      <c r="M128" s="727"/>
      <c r="N128" s="727"/>
      <c r="O128" s="728"/>
      <c r="P128" s="724" t="s">
        <v>40</v>
      </c>
      <c r="Q128" s="725"/>
      <c r="R128" s="725"/>
      <c r="S128" s="725"/>
      <c r="T128" s="725"/>
      <c r="U128" s="725"/>
      <c r="V128" s="72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27"/>
      <c r="B129" s="727"/>
      <c r="C129" s="727"/>
      <c r="D129" s="727"/>
      <c r="E129" s="727"/>
      <c r="F129" s="727"/>
      <c r="G129" s="727"/>
      <c r="H129" s="727"/>
      <c r="I129" s="727"/>
      <c r="J129" s="727"/>
      <c r="K129" s="727"/>
      <c r="L129" s="727"/>
      <c r="M129" s="727"/>
      <c r="N129" s="727"/>
      <c r="O129" s="728"/>
      <c r="P129" s="724" t="s">
        <v>40</v>
      </c>
      <c r="Q129" s="725"/>
      <c r="R129" s="725"/>
      <c r="S129" s="725"/>
      <c r="T129" s="725"/>
      <c r="U129" s="725"/>
      <c r="V129" s="72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17" t="s">
        <v>250</v>
      </c>
      <c r="B130" s="717"/>
      <c r="C130" s="717"/>
      <c r="D130" s="717"/>
      <c r="E130" s="717"/>
      <c r="F130" s="717"/>
      <c r="G130" s="717"/>
      <c r="H130" s="717"/>
      <c r="I130" s="717"/>
      <c r="J130" s="717"/>
      <c r="K130" s="717"/>
      <c r="L130" s="717"/>
      <c r="M130" s="717"/>
      <c r="N130" s="717"/>
      <c r="O130" s="717"/>
      <c r="P130" s="717"/>
      <c r="Q130" s="717"/>
      <c r="R130" s="717"/>
      <c r="S130" s="717"/>
      <c r="T130" s="717"/>
      <c r="U130" s="717"/>
      <c r="V130" s="717"/>
      <c r="W130" s="717"/>
      <c r="X130" s="717"/>
      <c r="Y130" s="717"/>
      <c r="Z130" s="717"/>
      <c r="AA130" s="65"/>
      <c r="AB130" s="65"/>
      <c r="AC130" s="79"/>
    </row>
    <row r="131" spans="1:68" ht="14.25" hidden="1" customHeight="1" x14ac:dyDescent="0.25">
      <c r="A131" s="718" t="s">
        <v>122</v>
      </c>
      <c r="B131" s="718"/>
      <c r="C131" s="718"/>
      <c r="D131" s="718"/>
      <c r="E131" s="718"/>
      <c r="F131" s="718"/>
      <c r="G131" s="718"/>
      <c r="H131" s="718"/>
      <c r="I131" s="718"/>
      <c r="J131" s="718"/>
      <c r="K131" s="718"/>
      <c r="L131" s="718"/>
      <c r="M131" s="718"/>
      <c r="N131" s="718"/>
      <c r="O131" s="718"/>
      <c r="P131" s="718"/>
      <c r="Q131" s="718"/>
      <c r="R131" s="718"/>
      <c r="S131" s="718"/>
      <c r="T131" s="718"/>
      <c r="U131" s="718"/>
      <c r="V131" s="718"/>
      <c r="W131" s="718"/>
      <c r="X131" s="718"/>
      <c r="Y131" s="718"/>
      <c r="Z131" s="718"/>
      <c r="AA131" s="66"/>
      <c r="AB131" s="66"/>
      <c r="AC131" s="80"/>
    </row>
    <row r="132" spans="1:68" ht="27" hidden="1" customHeight="1" x14ac:dyDescent="0.25">
      <c r="A132" s="63" t="s">
        <v>251</v>
      </c>
      <c r="B132" s="63" t="s">
        <v>252</v>
      </c>
      <c r="C132" s="36">
        <v>4301011562</v>
      </c>
      <c r="D132" s="719">
        <v>4680115882577</v>
      </c>
      <c r="E132" s="719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7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21"/>
      <c r="R132" s="721"/>
      <c r="S132" s="721"/>
      <c r="T132" s="72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251</v>
      </c>
      <c r="B133" s="63" t="s">
        <v>255</v>
      </c>
      <c r="C133" s="36">
        <v>4301011564</v>
      </c>
      <c r="D133" s="719">
        <v>4680115882577</v>
      </c>
      <c r="E133" s="719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7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21"/>
      <c r="R133" s="721"/>
      <c r="S133" s="721"/>
      <c r="T133" s="72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27"/>
      <c r="B134" s="727"/>
      <c r="C134" s="727"/>
      <c r="D134" s="727"/>
      <c r="E134" s="727"/>
      <c r="F134" s="727"/>
      <c r="G134" s="727"/>
      <c r="H134" s="727"/>
      <c r="I134" s="727"/>
      <c r="J134" s="727"/>
      <c r="K134" s="727"/>
      <c r="L134" s="727"/>
      <c r="M134" s="727"/>
      <c r="N134" s="727"/>
      <c r="O134" s="728"/>
      <c r="P134" s="724" t="s">
        <v>40</v>
      </c>
      <c r="Q134" s="725"/>
      <c r="R134" s="725"/>
      <c r="S134" s="725"/>
      <c r="T134" s="725"/>
      <c r="U134" s="725"/>
      <c r="V134" s="726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27"/>
      <c r="B135" s="727"/>
      <c r="C135" s="727"/>
      <c r="D135" s="727"/>
      <c r="E135" s="727"/>
      <c r="F135" s="727"/>
      <c r="G135" s="727"/>
      <c r="H135" s="727"/>
      <c r="I135" s="727"/>
      <c r="J135" s="727"/>
      <c r="K135" s="727"/>
      <c r="L135" s="727"/>
      <c r="M135" s="727"/>
      <c r="N135" s="727"/>
      <c r="O135" s="728"/>
      <c r="P135" s="724" t="s">
        <v>40</v>
      </c>
      <c r="Q135" s="725"/>
      <c r="R135" s="725"/>
      <c r="S135" s="725"/>
      <c r="T135" s="725"/>
      <c r="U135" s="725"/>
      <c r="V135" s="726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718" t="s">
        <v>77</v>
      </c>
      <c r="B136" s="718"/>
      <c r="C136" s="718"/>
      <c r="D136" s="718"/>
      <c r="E136" s="718"/>
      <c r="F136" s="718"/>
      <c r="G136" s="718"/>
      <c r="H136" s="718"/>
      <c r="I136" s="718"/>
      <c r="J136" s="718"/>
      <c r="K136" s="718"/>
      <c r="L136" s="718"/>
      <c r="M136" s="718"/>
      <c r="N136" s="718"/>
      <c r="O136" s="718"/>
      <c r="P136" s="718"/>
      <c r="Q136" s="718"/>
      <c r="R136" s="718"/>
      <c r="S136" s="718"/>
      <c r="T136" s="718"/>
      <c r="U136" s="718"/>
      <c r="V136" s="718"/>
      <c r="W136" s="718"/>
      <c r="X136" s="718"/>
      <c r="Y136" s="718"/>
      <c r="Z136" s="718"/>
      <c r="AA136" s="66"/>
      <c r="AB136" s="66"/>
      <c r="AC136" s="80"/>
    </row>
    <row r="137" spans="1:68" ht="27" hidden="1" customHeight="1" x14ac:dyDescent="0.25">
      <c r="A137" s="63" t="s">
        <v>256</v>
      </c>
      <c r="B137" s="63" t="s">
        <v>257</v>
      </c>
      <c r="C137" s="36">
        <v>4301031234</v>
      </c>
      <c r="D137" s="719">
        <v>4680115883444</v>
      </c>
      <c r="E137" s="719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21"/>
      <c r="R137" s="721"/>
      <c r="S137" s="721"/>
      <c r="T137" s="722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719">
        <v>4680115883444</v>
      </c>
      <c r="E138" s="719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7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21"/>
      <c r="R138" s="721"/>
      <c r="S138" s="721"/>
      <c r="T138" s="722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27"/>
      <c r="B139" s="727"/>
      <c r="C139" s="727"/>
      <c r="D139" s="727"/>
      <c r="E139" s="727"/>
      <c r="F139" s="727"/>
      <c r="G139" s="727"/>
      <c r="H139" s="727"/>
      <c r="I139" s="727"/>
      <c r="J139" s="727"/>
      <c r="K139" s="727"/>
      <c r="L139" s="727"/>
      <c r="M139" s="727"/>
      <c r="N139" s="727"/>
      <c r="O139" s="728"/>
      <c r="P139" s="724" t="s">
        <v>40</v>
      </c>
      <c r="Q139" s="725"/>
      <c r="R139" s="725"/>
      <c r="S139" s="725"/>
      <c r="T139" s="725"/>
      <c r="U139" s="725"/>
      <c r="V139" s="726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727"/>
      <c r="B140" s="727"/>
      <c r="C140" s="727"/>
      <c r="D140" s="727"/>
      <c r="E140" s="727"/>
      <c r="F140" s="727"/>
      <c r="G140" s="727"/>
      <c r="H140" s="727"/>
      <c r="I140" s="727"/>
      <c r="J140" s="727"/>
      <c r="K140" s="727"/>
      <c r="L140" s="727"/>
      <c r="M140" s="727"/>
      <c r="N140" s="727"/>
      <c r="O140" s="728"/>
      <c r="P140" s="724" t="s">
        <v>40</v>
      </c>
      <c r="Q140" s="725"/>
      <c r="R140" s="725"/>
      <c r="S140" s="725"/>
      <c r="T140" s="725"/>
      <c r="U140" s="725"/>
      <c r="V140" s="726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718" t="s">
        <v>86</v>
      </c>
      <c r="B141" s="718"/>
      <c r="C141" s="718"/>
      <c r="D141" s="718"/>
      <c r="E141" s="718"/>
      <c r="F141" s="718"/>
      <c r="G141" s="718"/>
      <c r="H141" s="718"/>
      <c r="I141" s="718"/>
      <c r="J141" s="718"/>
      <c r="K141" s="718"/>
      <c r="L141" s="718"/>
      <c r="M141" s="718"/>
      <c r="N141" s="718"/>
      <c r="O141" s="718"/>
      <c r="P141" s="718"/>
      <c r="Q141" s="718"/>
      <c r="R141" s="718"/>
      <c r="S141" s="718"/>
      <c r="T141" s="718"/>
      <c r="U141" s="718"/>
      <c r="V141" s="718"/>
      <c r="W141" s="718"/>
      <c r="X141" s="718"/>
      <c r="Y141" s="718"/>
      <c r="Z141" s="718"/>
      <c r="AA141" s="66"/>
      <c r="AB141" s="66"/>
      <c r="AC141" s="80"/>
    </row>
    <row r="142" spans="1:68" ht="16.5" hidden="1" customHeight="1" x14ac:dyDescent="0.25">
      <c r="A142" s="63" t="s">
        <v>260</v>
      </c>
      <c r="B142" s="63" t="s">
        <v>261</v>
      </c>
      <c r="C142" s="36">
        <v>4301051476</v>
      </c>
      <c r="D142" s="719">
        <v>4680115882584</v>
      </c>
      <c r="E142" s="719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7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21"/>
      <c r="R142" s="721"/>
      <c r="S142" s="721"/>
      <c r="T142" s="72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719">
        <v>4680115882584</v>
      </c>
      <c r="E143" s="719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79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21"/>
      <c r="R143" s="721"/>
      <c r="S143" s="721"/>
      <c r="T143" s="722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27"/>
      <c r="B144" s="727"/>
      <c r="C144" s="727"/>
      <c r="D144" s="727"/>
      <c r="E144" s="727"/>
      <c r="F144" s="727"/>
      <c r="G144" s="727"/>
      <c r="H144" s="727"/>
      <c r="I144" s="727"/>
      <c r="J144" s="727"/>
      <c r="K144" s="727"/>
      <c r="L144" s="727"/>
      <c r="M144" s="727"/>
      <c r="N144" s="727"/>
      <c r="O144" s="728"/>
      <c r="P144" s="724" t="s">
        <v>40</v>
      </c>
      <c r="Q144" s="725"/>
      <c r="R144" s="725"/>
      <c r="S144" s="725"/>
      <c r="T144" s="725"/>
      <c r="U144" s="725"/>
      <c r="V144" s="726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727"/>
      <c r="B145" s="727"/>
      <c r="C145" s="727"/>
      <c r="D145" s="727"/>
      <c r="E145" s="727"/>
      <c r="F145" s="727"/>
      <c r="G145" s="727"/>
      <c r="H145" s="727"/>
      <c r="I145" s="727"/>
      <c r="J145" s="727"/>
      <c r="K145" s="727"/>
      <c r="L145" s="727"/>
      <c r="M145" s="727"/>
      <c r="N145" s="727"/>
      <c r="O145" s="728"/>
      <c r="P145" s="724" t="s">
        <v>40</v>
      </c>
      <c r="Q145" s="725"/>
      <c r="R145" s="725"/>
      <c r="S145" s="725"/>
      <c r="T145" s="725"/>
      <c r="U145" s="725"/>
      <c r="V145" s="726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717" t="s">
        <v>263</v>
      </c>
      <c r="B146" s="717"/>
      <c r="C146" s="717"/>
      <c r="D146" s="717"/>
      <c r="E146" s="717"/>
      <c r="F146" s="717"/>
      <c r="G146" s="717"/>
      <c r="H146" s="717"/>
      <c r="I146" s="717"/>
      <c r="J146" s="717"/>
      <c r="K146" s="717"/>
      <c r="L146" s="717"/>
      <c r="M146" s="717"/>
      <c r="N146" s="717"/>
      <c r="O146" s="717"/>
      <c r="P146" s="717"/>
      <c r="Q146" s="717"/>
      <c r="R146" s="717"/>
      <c r="S146" s="717"/>
      <c r="T146" s="717"/>
      <c r="U146" s="717"/>
      <c r="V146" s="717"/>
      <c r="W146" s="717"/>
      <c r="X146" s="717"/>
      <c r="Y146" s="717"/>
      <c r="Z146" s="717"/>
      <c r="AA146" s="65"/>
      <c r="AB146" s="65"/>
      <c r="AC146" s="79"/>
    </row>
    <row r="147" spans="1:68" ht="14.25" hidden="1" customHeight="1" x14ac:dyDescent="0.25">
      <c r="A147" s="718" t="s">
        <v>86</v>
      </c>
      <c r="B147" s="718"/>
      <c r="C147" s="718"/>
      <c r="D147" s="718"/>
      <c r="E147" s="718"/>
      <c r="F147" s="718"/>
      <c r="G147" s="718"/>
      <c r="H147" s="718"/>
      <c r="I147" s="718"/>
      <c r="J147" s="718"/>
      <c r="K147" s="718"/>
      <c r="L147" s="718"/>
      <c r="M147" s="718"/>
      <c r="N147" s="718"/>
      <c r="O147" s="718"/>
      <c r="P147" s="718"/>
      <c r="Q147" s="718"/>
      <c r="R147" s="718"/>
      <c r="S147" s="718"/>
      <c r="T147" s="718"/>
      <c r="U147" s="718"/>
      <c r="V147" s="718"/>
      <c r="W147" s="718"/>
      <c r="X147" s="718"/>
      <c r="Y147" s="718"/>
      <c r="Z147" s="718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719">
        <v>4680115888203</v>
      </c>
      <c r="E148" s="71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9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21"/>
      <c r="R148" s="721"/>
      <c r="S148" s="721"/>
      <c r="T148" s="722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719">
        <v>4680115888180</v>
      </c>
      <c r="E149" s="719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21"/>
      <c r="R149" s="721"/>
      <c r="S149" s="721"/>
      <c r="T149" s="722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719">
        <v>4680115888180</v>
      </c>
      <c r="E150" s="719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21"/>
      <c r="R150" s="721"/>
      <c r="S150" s="721"/>
      <c r="T150" s="722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719">
        <v>4680115888197</v>
      </c>
      <c r="E151" s="719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21"/>
      <c r="R151" s="721"/>
      <c r="S151" s="721"/>
      <c r="T151" s="722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719">
        <v>4680115888210</v>
      </c>
      <c r="E152" s="719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21"/>
      <c r="R152" s="721"/>
      <c r="S152" s="721"/>
      <c r="T152" s="722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719">
        <v>4680115888210</v>
      </c>
      <c r="E153" s="719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21"/>
      <c r="R153" s="721"/>
      <c r="S153" s="721"/>
      <c r="T153" s="722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727"/>
      <c r="B154" s="727"/>
      <c r="C154" s="727"/>
      <c r="D154" s="727"/>
      <c r="E154" s="727"/>
      <c r="F154" s="727"/>
      <c r="G154" s="727"/>
      <c r="H154" s="727"/>
      <c r="I154" s="727"/>
      <c r="J154" s="727"/>
      <c r="K154" s="727"/>
      <c r="L154" s="727"/>
      <c r="M154" s="727"/>
      <c r="N154" s="727"/>
      <c r="O154" s="728"/>
      <c r="P154" s="724" t="s">
        <v>40</v>
      </c>
      <c r="Q154" s="725"/>
      <c r="R154" s="725"/>
      <c r="S154" s="725"/>
      <c r="T154" s="725"/>
      <c r="U154" s="725"/>
      <c r="V154" s="726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727"/>
      <c r="B155" s="727"/>
      <c r="C155" s="727"/>
      <c r="D155" s="727"/>
      <c r="E155" s="727"/>
      <c r="F155" s="727"/>
      <c r="G155" s="727"/>
      <c r="H155" s="727"/>
      <c r="I155" s="727"/>
      <c r="J155" s="727"/>
      <c r="K155" s="727"/>
      <c r="L155" s="727"/>
      <c r="M155" s="727"/>
      <c r="N155" s="727"/>
      <c r="O155" s="728"/>
      <c r="P155" s="724" t="s">
        <v>40</v>
      </c>
      <c r="Q155" s="725"/>
      <c r="R155" s="725"/>
      <c r="S155" s="725"/>
      <c r="T155" s="725"/>
      <c r="U155" s="725"/>
      <c r="V155" s="726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718" t="s">
        <v>278</v>
      </c>
      <c r="B156" s="718"/>
      <c r="C156" s="718"/>
      <c r="D156" s="718"/>
      <c r="E156" s="718"/>
      <c r="F156" s="718"/>
      <c r="G156" s="718"/>
      <c r="H156" s="718"/>
      <c r="I156" s="718"/>
      <c r="J156" s="718"/>
      <c r="K156" s="718"/>
      <c r="L156" s="718"/>
      <c r="M156" s="718"/>
      <c r="N156" s="718"/>
      <c r="O156" s="718"/>
      <c r="P156" s="718"/>
      <c r="Q156" s="718"/>
      <c r="R156" s="718"/>
      <c r="S156" s="718"/>
      <c r="T156" s="718"/>
      <c r="U156" s="718"/>
      <c r="V156" s="718"/>
      <c r="W156" s="718"/>
      <c r="X156" s="718"/>
      <c r="Y156" s="718"/>
      <c r="Z156" s="718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719">
        <v>4680115889132</v>
      </c>
      <c r="E157" s="719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79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21"/>
      <c r="R157" s="721"/>
      <c r="S157" s="721"/>
      <c r="T157" s="72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27"/>
      <c r="B158" s="727"/>
      <c r="C158" s="727"/>
      <c r="D158" s="727"/>
      <c r="E158" s="727"/>
      <c r="F158" s="727"/>
      <c r="G158" s="727"/>
      <c r="H158" s="727"/>
      <c r="I158" s="727"/>
      <c r="J158" s="727"/>
      <c r="K158" s="727"/>
      <c r="L158" s="727"/>
      <c r="M158" s="727"/>
      <c r="N158" s="727"/>
      <c r="O158" s="728"/>
      <c r="P158" s="724" t="s">
        <v>40</v>
      </c>
      <c r="Q158" s="725"/>
      <c r="R158" s="725"/>
      <c r="S158" s="725"/>
      <c r="T158" s="725"/>
      <c r="U158" s="725"/>
      <c r="V158" s="726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727"/>
      <c r="B159" s="727"/>
      <c r="C159" s="727"/>
      <c r="D159" s="727"/>
      <c r="E159" s="727"/>
      <c r="F159" s="727"/>
      <c r="G159" s="727"/>
      <c r="H159" s="727"/>
      <c r="I159" s="727"/>
      <c r="J159" s="727"/>
      <c r="K159" s="727"/>
      <c r="L159" s="727"/>
      <c r="M159" s="727"/>
      <c r="N159" s="727"/>
      <c r="O159" s="728"/>
      <c r="P159" s="724" t="s">
        <v>40</v>
      </c>
      <c r="Q159" s="725"/>
      <c r="R159" s="725"/>
      <c r="S159" s="725"/>
      <c r="T159" s="725"/>
      <c r="U159" s="725"/>
      <c r="V159" s="726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717" t="s">
        <v>120</v>
      </c>
      <c r="B160" s="717"/>
      <c r="C160" s="717"/>
      <c r="D160" s="717"/>
      <c r="E160" s="717"/>
      <c r="F160" s="717"/>
      <c r="G160" s="717"/>
      <c r="H160" s="717"/>
      <c r="I160" s="717"/>
      <c r="J160" s="717"/>
      <c r="K160" s="717"/>
      <c r="L160" s="717"/>
      <c r="M160" s="717"/>
      <c r="N160" s="717"/>
      <c r="O160" s="717"/>
      <c r="P160" s="717"/>
      <c r="Q160" s="717"/>
      <c r="R160" s="717"/>
      <c r="S160" s="717"/>
      <c r="T160" s="717"/>
      <c r="U160" s="717"/>
      <c r="V160" s="717"/>
      <c r="W160" s="717"/>
      <c r="X160" s="717"/>
      <c r="Y160" s="717"/>
      <c r="Z160" s="717"/>
      <c r="AA160" s="65"/>
      <c r="AB160" s="65"/>
      <c r="AC160" s="79"/>
    </row>
    <row r="161" spans="1:68" ht="14.25" hidden="1" customHeight="1" x14ac:dyDescent="0.25">
      <c r="A161" s="718" t="s">
        <v>122</v>
      </c>
      <c r="B161" s="718"/>
      <c r="C161" s="718"/>
      <c r="D161" s="718"/>
      <c r="E161" s="718"/>
      <c r="F161" s="718"/>
      <c r="G161" s="718"/>
      <c r="H161" s="718"/>
      <c r="I161" s="718"/>
      <c r="J161" s="718"/>
      <c r="K161" s="718"/>
      <c r="L161" s="718"/>
      <c r="M161" s="718"/>
      <c r="N161" s="718"/>
      <c r="O161" s="718"/>
      <c r="P161" s="718"/>
      <c r="Q161" s="718"/>
      <c r="R161" s="718"/>
      <c r="S161" s="718"/>
      <c r="T161" s="718"/>
      <c r="U161" s="718"/>
      <c r="V161" s="718"/>
      <c r="W161" s="718"/>
      <c r="X161" s="718"/>
      <c r="Y161" s="718"/>
      <c r="Z161" s="718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719">
        <v>4680115887374</v>
      </c>
      <c r="E162" s="719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0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21"/>
      <c r="R162" s="721"/>
      <c r="S162" s="721"/>
      <c r="T162" s="722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719">
        <v>4607091384604</v>
      </c>
      <c r="E163" s="719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0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21"/>
      <c r="R163" s="721"/>
      <c r="S163" s="721"/>
      <c r="T163" s="722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719">
        <v>4680115888876</v>
      </c>
      <c r="E164" s="719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0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21"/>
      <c r="R164" s="721"/>
      <c r="S164" s="721"/>
      <c r="T164" s="722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27"/>
      <c r="B165" s="727"/>
      <c r="C165" s="727"/>
      <c r="D165" s="727"/>
      <c r="E165" s="727"/>
      <c r="F165" s="727"/>
      <c r="G165" s="727"/>
      <c r="H165" s="727"/>
      <c r="I165" s="727"/>
      <c r="J165" s="727"/>
      <c r="K165" s="727"/>
      <c r="L165" s="727"/>
      <c r="M165" s="727"/>
      <c r="N165" s="727"/>
      <c r="O165" s="728"/>
      <c r="P165" s="724" t="s">
        <v>40</v>
      </c>
      <c r="Q165" s="725"/>
      <c r="R165" s="725"/>
      <c r="S165" s="725"/>
      <c r="T165" s="725"/>
      <c r="U165" s="725"/>
      <c r="V165" s="726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727"/>
      <c r="B166" s="727"/>
      <c r="C166" s="727"/>
      <c r="D166" s="727"/>
      <c r="E166" s="727"/>
      <c r="F166" s="727"/>
      <c r="G166" s="727"/>
      <c r="H166" s="727"/>
      <c r="I166" s="727"/>
      <c r="J166" s="727"/>
      <c r="K166" s="727"/>
      <c r="L166" s="727"/>
      <c r="M166" s="727"/>
      <c r="N166" s="727"/>
      <c r="O166" s="728"/>
      <c r="P166" s="724" t="s">
        <v>40</v>
      </c>
      <c r="Q166" s="725"/>
      <c r="R166" s="725"/>
      <c r="S166" s="725"/>
      <c r="T166" s="725"/>
      <c r="U166" s="725"/>
      <c r="V166" s="726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718" t="s">
        <v>157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66"/>
      <c r="AB167" s="66"/>
      <c r="AC167" s="80"/>
    </row>
    <row r="168" spans="1:68" ht="16.5" hidden="1" customHeight="1" x14ac:dyDescent="0.25">
      <c r="A168" s="63" t="s">
        <v>294</v>
      </c>
      <c r="B168" s="63" t="s">
        <v>295</v>
      </c>
      <c r="C168" s="36">
        <v>4301020410</v>
      </c>
      <c r="D168" s="719">
        <v>4680115887695</v>
      </c>
      <c r="E168" s="719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0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21"/>
      <c r="R168" s="721"/>
      <c r="S168" s="721"/>
      <c r="T168" s="72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719">
        <v>4680115889491</v>
      </c>
      <c r="E169" s="719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0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21"/>
      <c r="R169" s="721"/>
      <c r="S169" s="721"/>
      <c r="T169" s="722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727"/>
      <c r="B170" s="727"/>
      <c r="C170" s="727"/>
      <c r="D170" s="727"/>
      <c r="E170" s="727"/>
      <c r="F170" s="727"/>
      <c r="G170" s="727"/>
      <c r="H170" s="727"/>
      <c r="I170" s="727"/>
      <c r="J170" s="727"/>
      <c r="K170" s="727"/>
      <c r="L170" s="727"/>
      <c r="M170" s="727"/>
      <c r="N170" s="727"/>
      <c r="O170" s="728"/>
      <c r="P170" s="724" t="s">
        <v>40</v>
      </c>
      <c r="Q170" s="725"/>
      <c r="R170" s="725"/>
      <c r="S170" s="725"/>
      <c r="T170" s="725"/>
      <c r="U170" s="725"/>
      <c r="V170" s="726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727"/>
      <c r="B171" s="727"/>
      <c r="C171" s="727"/>
      <c r="D171" s="727"/>
      <c r="E171" s="727"/>
      <c r="F171" s="727"/>
      <c r="G171" s="727"/>
      <c r="H171" s="727"/>
      <c r="I171" s="727"/>
      <c r="J171" s="727"/>
      <c r="K171" s="727"/>
      <c r="L171" s="727"/>
      <c r="M171" s="727"/>
      <c r="N171" s="727"/>
      <c r="O171" s="728"/>
      <c r="P171" s="724" t="s">
        <v>40</v>
      </c>
      <c r="Q171" s="725"/>
      <c r="R171" s="725"/>
      <c r="S171" s="725"/>
      <c r="T171" s="725"/>
      <c r="U171" s="725"/>
      <c r="V171" s="726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718" t="s">
        <v>77</v>
      </c>
      <c r="B172" s="718"/>
      <c r="C172" s="718"/>
      <c r="D172" s="718"/>
      <c r="E172" s="718"/>
      <c r="F172" s="718"/>
      <c r="G172" s="718"/>
      <c r="H172" s="718"/>
      <c r="I172" s="718"/>
      <c r="J172" s="718"/>
      <c r="K172" s="718"/>
      <c r="L172" s="718"/>
      <c r="M172" s="718"/>
      <c r="N172" s="718"/>
      <c r="O172" s="718"/>
      <c r="P172" s="718"/>
      <c r="Q172" s="718"/>
      <c r="R172" s="718"/>
      <c r="S172" s="718"/>
      <c r="T172" s="718"/>
      <c r="U172" s="718"/>
      <c r="V172" s="718"/>
      <c r="W172" s="718"/>
      <c r="X172" s="718"/>
      <c r="Y172" s="718"/>
      <c r="Z172" s="718"/>
      <c r="AA172" s="66"/>
      <c r="AB172" s="66"/>
      <c r="AC172" s="80"/>
    </row>
    <row r="173" spans="1:68" ht="27" hidden="1" customHeight="1" x14ac:dyDescent="0.25">
      <c r="A173" s="63" t="s">
        <v>300</v>
      </c>
      <c r="B173" s="63" t="s">
        <v>301</v>
      </c>
      <c r="C173" s="36">
        <v>4301031496</v>
      </c>
      <c r="D173" s="719">
        <v>4680115887428</v>
      </c>
      <c r="E173" s="71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0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21"/>
      <c r="R173" s="721"/>
      <c r="S173" s="721"/>
      <c r="T173" s="72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4301031509</v>
      </c>
      <c r="D174" s="719">
        <v>4680115889170</v>
      </c>
      <c r="E174" s="719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0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21"/>
      <c r="R174" s="721"/>
      <c r="S174" s="721"/>
      <c r="T174" s="72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4301031498</v>
      </c>
      <c r="D175" s="719">
        <v>4680115887398</v>
      </c>
      <c r="E175" s="719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21"/>
      <c r="R175" s="721"/>
      <c r="S175" s="721"/>
      <c r="T175" s="72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719">
        <v>4680115887398</v>
      </c>
      <c r="E176" s="719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21"/>
      <c r="R176" s="721"/>
      <c r="S176" s="721"/>
      <c r="T176" s="72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4301031520</v>
      </c>
      <c r="D177" s="719">
        <v>4680115887336</v>
      </c>
      <c r="E177" s="71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0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21"/>
      <c r="R177" s="721"/>
      <c r="S177" s="721"/>
      <c r="T177" s="72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719">
        <v>4680115887787</v>
      </c>
      <c r="E178" s="719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1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21"/>
      <c r="R178" s="721"/>
      <c r="S178" s="721"/>
      <c r="T178" s="72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719">
        <v>4680115887787</v>
      </c>
      <c r="E179" s="719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1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21"/>
      <c r="R179" s="721"/>
      <c r="S179" s="721"/>
      <c r="T179" s="72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4301031448</v>
      </c>
      <c r="D180" s="719">
        <v>4680115887503</v>
      </c>
      <c r="E180" s="71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1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21"/>
      <c r="R180" s="721"/>
      <c r="S180" s="721"/>
      <c r="T180" s="72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719">
        <v>4680115887763</v>
      </c>
      <c r="E181" s="71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1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21"/>
      <c r="R181" s="721"/>
      <c r="S181" s="721"/>
      <c r="T181" s="72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4301031521</v>
      </c>
      <c r="D182" s="719">
        <v>4680115887480</v>
      </c>
      <c r="E182" s="71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1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21"/>
      <c r="R182" s="721"/>
      <c r="S182" s="721"/>
      <c r="T182" s="72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719">
        <v>4680115888067</v>
      </c>
      <c r="E183" s="719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1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21"/>
      <c r="R183" s="721"/>
      <c r="S183" s="721"/>
      <c r="T183" s="72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719">
        <v>4680115887435</v>
      </c>
      <c r="E184" s="719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1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21"/>
      <c r="R184" s="721"/>
      <c r="S184" s="721"/>
      <c r="T184" s="72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idden="1" x14ac:dyDescent="0.2">
      <c r="A185" s="727"/>
      <c r="B185" s="727"/>
      <c r="C185" s="727"/>
      <c r="D185" s="727"/>
      <c r="E185" s="727"/>
      <c r="F185" s="727"/>
      <c r="G185" s="727"/>
      <c r="H185" s="727"/>
      <c r="I185" s="727"/>
      <c r="J185" s="727"/>
      <c r="K185" s="727"/>
      <c r="L185" s="727"/>
      <c r="M185" s="727"/>
      <c r="N185" s="727"/>
      <c r="O185" s="728"/>
      <c r="P185" s="724" t="s">
        <v>40</v>
      </c>
      <c r="Q185" s="725"/>
      <c r="R185" s="725"/>
      <c r="S185" s="725"/>
      <c r="T185" s="725"/>
      <c r="U185" s="725"/>
      <c r="V185" s="726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727"/>
      <c r="B186" s="727"/>
      <c r="C186" s="727"/>
      <c r="D186" s="727"/>
      <c r="E186" s="727"/>
      <c r="F186" s="727"/>
      <c r="G186" s="727"/>
      <c r="H186" s="727"/>
      <c r="I186" s="727"/>
      <c r="J186" s="727"/>
      <c r="K186" s="727"/>
      <c r="L186" s="727"/>
      <c r="M186" s="727"/>
      <c r="N186" s="727"/>
      <c r="O186" s="728"/>
      <c r="P186" s="724" t="s">
        <v>40</v>
      </c>
      <c r="Q186" s="725"/>
      <c r="R186" s="725"/>
      <c r="S186" s="725"/>
      <c r="T186" s="725"/>
      <c r="U186" s="725"/>
      <c r="V186" s="726"/>
      <c r="W186" s="42" t="s">
        <v>0</v>
      </c>
      <c r="X186" s="43">
        <f>IFERROR(SUM(X173:X184),"0")</f>
        <v>0</v>
      </c>
      <c r="Y186" s="43">
        <f>IFERROR(SUM(Y173:Y184),"0")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718" t="s">
        <v>86</v>
      </c>
      <c r="B187" s="718"/>
      <c r="C187" s="718"/>
      <c r="D187" s="718"/>
      <c r="E187" s="718"/>
      <c r="F187" s="718"/>
      <c r="G187" s="718"/>
      <c r="H187" s="718"/>
      <c r="I187" s="718"/>
      <c r="J187" s="718"/>
      <c r="K187" s="718"/>
      <c r="L187" s="718"/>
      <c r="M187" s="718"/>
      <c r="N187" s="718"/>
      <c r="O187" s="718"/>
      <c r="P187" s="718"/>
      <c r="Q187" s="718"/>
      <c r="R187" s="718"/>
      <c r="S187" s="718"/>
      <c r="T187" s="718"/>
      <c r="U187" s="718"/>
      <c r="V187" s="718"/>
      <c r="W187" s="718"/>
      <c r="X187" s="718"/>
      <c r="Y187" s="718"/>
      <c r="Z187" s="718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719">
        <v>4680115888395</v>
      </c>
      <c r="E188" s="719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1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21"/>
      <c r="R188" s="721"/>
      <c r="S188" s="721"/>
      <c r="T188" s="722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719">
        <v>4680115888371</v>
      </c>
      <c r="E189" s="719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21"/>
      <c r="R189" s="721"/>
      <c r="S189" s="721"/>
      <c r="T189" s="72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719">
        <v>4680115887459</v>
      </c>
      <c r="E190" s="719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1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21"/>
      <c r="R190" s="721"/>
      <c r="S190" s="721"/>
      <c r="T190" s="722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27"/>
      <c r="B191" s="727"/>
      <c r="C191" s="727"/>
      <c r="D191" s="727"/>
      <c r="E191" s="727"/>
      <c r="F191" s="727"/>
      <c r="G191" s="727"/>
      <c r="H191" s="727"/>
      <c r="I191" s="727"/>
      <c r="J191" s="727"/>
      <c r="K191" s="727"/>
      <c r="L191" s="727"/>
      <c r="M191" s="727"/>
      <c r="N191" s="727"/>
      <c r="O191" s="728"/>
      <c r="P191" s="724" t="s">
        <v>40</v>
      </c>
      <c r="Q191" s="725"/>
      <c r="R191" s="725"/>
      <c r="S191" s="725"/>
      <c r="T191" s="725"/>
      <c r="U191" s="725"/>
      <c r="V191" s="72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27"/>
      <c r="B192" s="727"/>
      <c r="C192" s="727"/>
      <c r="D192" s="727"/>
      <c r="E192" s="727"/>
      <c r="F192" s="727"/>
      <c r="G192" s="727"/>
      <c r="H192" s="727"/>
      <c r="I192" s="727"/>
      <c r="J192" s="727"/>
      <c r="K192" s="727"/>
      <c r="L192" s="727"/>
      <c r="M192" s="727"/>
      <c r="N192" s="727"/>
      <c r="O192" s="728"/>
      <c r="P192" s="724" t="s">
        <v>40</v>
      </c>
      <c r="Q192" s="725"/>
      <c r="R192" s="725"/>
      <c r="S192" s="725"/>
      <c r="T192" s="725"/>
      <c r="U192" s="725"/>
      <c r="V192" s="72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18" t="s">
        <v>339</v>
      </c>
      <c r="B193" s="718"/>
      <c r="C193" s="718"/>
      <c r="D193" s="718"/>
      <c r="E193" s="718"/>
      <c r="F193" s="718"/>
      <c r="G193" s="718"/>
      <c r="H193" s="718"/>
      <c r="I193" s="718"/>
      <c r="J193" s="718"/>
      <c r="K193" s="718"/>
      <c r="L193" s="718"/>
      <c r="M193" s="718"/>
      <c r="N193" s="718"/>
      <c r="O193" s="718"/>
      <c r="P193" s="718"/>
      <c r="Q193" s="718"/>
      <c r="R193" s="718"/>
      <c r="S193" s="718"/>
      <c r="T193" s="718"/>
      <c r="U193" s="718"/>
      <c r="V193" s="718"/>
      <c r="W193" s="718"/>
      <c r="X193" s="718"/>
      <c r="Y193" s="718"/>
      <c r="Z193" s="718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719">
        <v>4680115889033</v>
      </c>
      <c r="E194" s="719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2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21"/>
      <c r="R194" s="721"/>
      <c r="S194" s="721"/>
      <c r="T194" s="722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27"/>
      <c r="B195" s="727"/>
      <c r="C195" s="727"/>
      <c r="D195" s="727"/>
      <c r="E195" s="727"/>
      <c r="F195" s="727"/>
      <c r="G195" s="727"/>
      <c r="H195" s="727"/>
      <c r="I195" s="727"/>
      <c r="J195" s="727"/>
      <c r="K195" s="727"/>
      <c r="L195" s="727"/>
      <c r="M195" s="727"/>
      <c r="N195" s="727"/>
      <c r="O195" s="728"/>
      <c r="P195" s="724" t="s">
        <v>40</v>
      </c>
      <c r="Q195" s="725"/>
      <c r="R195" s="725"/>
      <c r="S195" s="725"/>
      <c r="T195" s="725"/>
      <c r="U195" s="725"/>
      <c r="V195" s="72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27"/>
      <c r="B196" s="727"/>
      <c r="C196" s="727"/>
      <c r="D196" s="727"/>
      <c r="E196" s="727"/>
      <c r="F196" s="727"/>
      <c r="G196" s="727"/>
      <c r="H196" s="727"/>
      <c r="I196" s="727"/>
      <c r="J196" s="727"/>
      <c r="K196" s="727"/>
      <c r="L196" s="727"/>
      <c r="M196" s="727"/>
      <c r="N196" s="727"/>
      <c r="O196" s="728"/>
      <c r="P196" s="724" t="s">
        <v>40</v>
      </c>
      <c r="Q196" s="725"/>
      <c r="R196" s="725"/>
      <c r="S196" s="725"/>
      <c r="T196" s="725"/>
      <c r="U196" s="725"/>
      <c r="V196" s="72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716" t="s">
        <v>344</v>
      </c>
      <c r="B197" s="716"/>
      <c r="C197" s="716"/>
      <c r="D197" s="716"/>
      <c r="E197" s="716"/>
      <c r="F197" s="716"/>
      <c r="G197" s="716"/>
      <c r="H197" s="716"/>
      <c r="I197" s="716"/>
      <c r="J197" s="716"/>
      <c r="K197" s="716"/>
      <c r="L197" s="716"/>
      <c r="M197" s="716"/>
      <c r="N197" s="716"/>
      <c r="O197" s="716"/>
      <c r="P197" s="716"/>
      <c r="Q197" s="716"/>
      <c r="R197" s="716"/>
      <c r="S197" s="716"/>
      <c r="T197" s="716"/>
      <c r="U197" s="716"/>
      <c r="V197" s="716"/>
      <c r="W197" s="716"/>
      <c r="X197" s="716"/>
      <c r="Y197" s="716"/>
      <c r="Z197" s="716"/>
      <c r="AA197" s="54"/>
      <c r="AB197" s="54"/>
      <c r="AC197" s="54"/>
    </row>
    <row r="198" spans="1:68" ht="16.5" hidden="1" customHeight="1" x14ac:dyDescent="0.25">
      <c r="A198" s="717" t="s">
        <v>345</v>
      </c>
      <c r="B198" s="717"/>
      <c r="C198" s="717"/>
      <c r="D198" s="717"/>
      <c r="E198" s="717"/>
      <c r="F198" s="717"/>
      <c r="G198" s="717"/>
      <c r="H198" s="717"/>
      <c r="I198" s="717"/>
      <c r="J198" s="717"/>
      <c r="K198" s="717"/>
      <c r="L198" s="717"/>
      <c r="M198" s="717"/>
      <c r="N198" s="717"/>
      <c r="O198" s="717"/>
      <c r="P198" s="717"/>
      <c r="Q198" s="717"/>
      <c r="R198" s="717"/>
      <c r="S198" s="717"/>
      <c r="T198" s="717"/>
      <c r="U198" s="717"/>
      <c r="V198" s="717"/>
      <c r="W198" s="717"/>
      <c r="X198" s="717"/>
      <c r="Y198" s="717"/>
      <c r="Z198" s="717"/>
      <c r="AA198" s="65"/>
      <c r="AB198" s="65"/>
      <c r="AC198" s="79"/>
    </row>
    <row r="199" spans="1:68" ht="14.25" hidden="1" customHeight="1" x14ac:dyDescent="0.25">
      <c r="A199" s="718" t="s">
        <v>122</v>
      </c>
      <c r="B199" s="718"/>
      <c r="C199" s="718"/>
      <c r="D199" s="718"/>
      <c r="E199" s="718"/>
      <c r="F199" s="718"/>
      <c r="G199" s="718"/>
      <c r="H199" s="718"/>
      <c r="I199" s="718"/>
      <c r="J199" s="718"/>
      <c r="K199" s="718"/>
      <c r="L199" s="718"/>
      <c r="M199" s="718"/>
      <c r="N199" s="718"/>
      <c r="O199" s="718"/>
      <c r="P199" s="718"/>
      <c r="Q199" s="718"/>
      <c r="R199" s="718"/>
      <c r="S199" s="718"/>
      <c r="T199" s="718"/>
      <c r="U199" s="718"/>
      <c r="V199" s="718"/>
      <c r="W199" s="718"/>
      <c r="X199" s="718"/>
      <c r="Y199" s="718"/>
      <c r="Z199" s="718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719">
        <v>4607091383423</v>
      </c>
      <c r="E200" s="719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2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21"/>
      <c r="R200" s="721"/>
      <c r="S200" s="721"/>
      <c r="T200" s="72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719">
        <v>4680115888760</v>
      </c>
      <c r="E201" s="71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2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21"/>
      <c r="R201" s="721"/>
      <c r="S201" s="721"/>
      <c r="T201" s="72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719">
        <v>4680115888807</v>
      </c>
      <c r="E202" s="719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2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21"/>
      <c r="R202" s="721"/>
      <c r="S202" s="721"/>
      <c r="T202" s="72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719">
        <v>4680115888852</v>
      </c>
      <c r="E203" s="719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2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21"/>
      <c r="R203" s="721"/>
      <c r="S203" s="721"/>
      <c r="T203" s="72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719">
        <v>4680115886957</v>
      </c>
      <c r="E204" s="719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2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21"/>
      <c r="R204" s="721"/>
      <c r="S204" s="721"/>
      <c r="T204" s="72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719">
        <v>4680115885660</v>
      </c>
      <c r="E205" s="719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21"/>
      <c r="R205" s="721"/>
      <c r="S205" s="721"/>
      <c r="T205" s="72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719">
        <v>4680115886773</v>
      </c>
      <c r="E206" s="719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21"/>
      <c r="R206" s="721"/>
      <c r="S206" s="721"/>
      <c r="T206" s="722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727"/>
      <c r="B207" s="727"/>
      <c r="C207" s="727"/>
      <c r="D207" s="727"/>
      <c r="E207" s="727"/>
      <c r="F207" s="727"/>
      <c r="G207" s="727"/>
      <c r="H207" s="727"/>
      <c r="I207" s="727"/>
      <c r="J207" s="727"/>
      <c r="K207" s="727"/>
      <c r="L207" s="727"/>
      <c r="M207" s="727"/>
      <c r="N207" s="727"/>
      <c r="O207" s="728"/>
      <c r="P207" s="724" t="s">
        <v>40</v>
      </c>
      <c r="Q207" s="725"/>
      <c r="R207" s="725"/>
      <c r="S207" s="725"/>
      <c r="T207" s="725"/>
      <c r="U207" s="725"/>
      <c r="V207" s="726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727"/>
      <c r="B208" s="727"/>
      <c r="C208" s="727"/>
      <c r="D208" s="727"/>
      <c r="E208" s="727"/>
      <c r="F208" s="727"/>
      <c r="G208" s="727"/>
      <c r="H208" s="727"/>
      <c r="I208" s="727"/>
      <c r="J208" s="727"/>
      <c r="K208" s="727"/>
      <c r="L208" s="727"/>
      <c r="M208" s="727"/>
      <c r="N208" s="727"/>
      <c r="O208" s="728"/>
      <c r="P208" s="724" t="s">
        <v>40</v>
      </c>
      <c r="Q208" s="725"/>
      <c r="R208" s="725"/>
      <c r="S208" s="725"/>
      <c r="T208" s="725"/>
      <c r="U208" s="725"/>
      <c r="V208" s="726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717" t="s">
        <v>366</v>
      </c>
      <c r="B209" s="717"/>
      <c r="C209" s="717"/>
      <c r="D209" s="717"/>
      <c r="E209" s="717"/>
      <c r="F209" s="717"/>
      <c r="G209" s="717"/>
      <c r="H209" s="717"/>
      <c r="I209" s="717"/>
      <c r="J209" s="717"/>
      <c r="K209" s="717"/>
      <c r="L209" s="717"/>
      <c r="M209" s="717"/>
      <c r="N209" s="717"/>
      <c r="O209" s="717"/>
      <c r="P209" s="717"/>
      <c r="Q209" s="717"/>
      <c r="R209" s="717"/>
      <c r="S209" s="717"/>
      <c r="T209" s="717"/>
      <c r="U209" s="717"/>
      <c r="V209" s="717"/>
      <c r="W209" s="717"/>
      <c r="X209" s="717"/>
      <c r="Y209" s="717"/>
      <c r="Z209" s="717"/>
      <c r="AA209" s="65"/>
      <c r="AB209" s="65"/>
      <c r="AC209" s="79"/>
    </row>
    <row r="210" spans="1:68" ht="14.25" hidden="1" customHeight="1" x14ac:dyDescent="0.25">
      <c r="A210" s="718" t="s">
        <v>157</v>
      </c>
      <c r="B210" s="718"/>
      <c r="C210" s="718"/>
      <c r="D210" s="718"/>
      <c r="E210" s="718"/>
      <c r="F210" s="718"/>
      <c r="G210" s="718"/>
      <c r="H210" s="718"/>
      <c r="I210" s="718"/>
      <c r="J210" s="718"/>
      <c r="K210" s="718"/>
      <c r="L210" s="718"/>
      <c r="M210" s="718"/>
      <c r="N210" s="718"/>
      <c r="O210" s="718"/>
      <c r="P210" s="718"/>
      <c r="Q210" s="718"/>
      <c r="R210" s="718"/>
      <c r="S210" s="718"/>
      <c r="T210" s="718"/>
      <c r="U210" s="718"/>
      <c r="V210" s="718"/>
      <c r="W210" s="718"/>
      <c r="X210" s="718"/>
      <c r="Y210" s="718"/>
      <c r="Z210" s="718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719">
        <v>4680115886223</v>
      </c>
      <c r="E211" s="719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21"/>
      <c r="R211" s="721"/>
      <c r="S211" s="721"/>
      <c r="T211" s="722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727"/>
      <c r="B212" s="727"/>
      <c r="C212" s="727"/>
      <c r="D212" s="727"/>
      <c r="E212" s="727"/>
      <c r="F212" s="727"/>
      <c r="G212" s="727"/>
      <c r="H212" s="727"/>
      <c r="I212" s="727"/>
      <c r="J212" s="727"/>
      <c r="K212" s="727"/>
      <c r="L212" s="727"/>
      <c r="M212" s="727"/>
      <c r="N212" s="727"/>
      <c r="O212" s="728"/>
      <c r="P212" s="724" t="s">
        <v>40</v>
      </c>
      <c r="Q212" s="725"/>
      <c r="R212" s="725"/>
      <c r="S212" s="725"/>
      <c r="T212" s="725"/>
      <c r="U212" s="725"/>
      <c r="V212" s="726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727"/>
      <c r="B213" s="727"/>
      <c r="C213" s="727"/>
      <c r="D213" s="727"/>
      <c r="E213" s="727"/>
      <c r="F213" s="727"/>
      <c r="G213" s="727"/>
      <c r="H213" s="727"/>
      <c r="I213" s="727"/>
      <c r="J213" s="727"/>
      <c r="K213" s="727"/>
      <c r="L213" s="727"/>
      <c r="M213" s="727"/>
      <c r="N213" s="727"/>
      <c r="O213" s="728"/>
      <c r="P213" s="724" t="s">
        <v>40</v>
      </c>
      <c r="Q213" s="725"/>
      <c r="R213" s="725"/>
      <c r="S213" s="725"/>
      <c r="T213" s="725"/>
      <c r="U213" s="725"/>
      <c r="V213" s="726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718" t="s">
        <v>77</v>
      </c>
      <c r="B214" s="718"/>
      <c r="C214" s="718"/>
      <c r="D214" s="718"/>
      <c r="E214" s="718"/>
      <c r="F214" s="718"/>
      <c r="G214" s="718"/>
      <c r="H214" s="718"/>
      <c r="I214" s="718"/>
      <c r="J214" s="718"/>
      <c r="K214" s="718"/>
      <c r="L214" s="718"/>
      <c r="M214" s="718"/>
      <c r="N214" s="718"/>
      <c r="O214" s="718"/>
      <c r="P214" s="718"/>
      <c r="Q214" s="718"/>
      <c r="R214" s="718"/>
      <c r="S214" s="718"/>
      <c r="T214" s="718"/>
      <c r="U214" s="718"/>
      <c r="V214" s="718"/>
      <c r="W214" s="718"/>
      <c r="X214" s="718"/>
      <c r="Y214" s="718"/>
      <c r="Z214" s="718"/>
      <c r="AA214" s="66"/>
      <c r="AB214" s="66"/>
      <c r="AC214" s="80"/>
    </row>
    <row r="215" spans="1:68" ht="27" hidden="1" customHeight="1" x14ac:dyDescent="0.25">
      <c r="A215" s="63" t="s">
        <v>370</v>
      </c>
      <c r="B215" s="63" t="s">
        <v>371</v>
      </c>
      <c r="C215" s="36">
        <v>4301031191</v>
      </c>
      <c r="D215" s="719">
        <v>4680115880993</v>
      </c>
      <c r="E215" s="71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21"/>
      <c r="R215" s="721"/>
      <c r="S215" s="721"/>
      <c r="T215" s="72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9" si="27">IFERROR(IF(X215="",0,CEILING((X215/$H215),1)*$H215),"")</f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0</v>
      </c>
      <c r="BN215" s="78">
        <f t="shared" ref="BN215:BN229" si="29">IFERROR(Y215*I215/H215,"0")</f>
        <v>0</v>
      </c>
      <c r="BO215" s="78">
        <f t="shared" ref="BO215:BO229" si="30">IFERROR(1/J215*(X215/H215),"0")</f>
        <v>0</v>
      </c>
      <c r="BP215" s="78">
        <f t="shared" ref="BP215:BP229" si="31">IFERROR(1/J215*(Y215/H215),"0")</f>
        <v>0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4301031204</v>
      </c>
      <c r="D216" s="719">
        <v>4680115881761</v>
      </c>
      <c r="E216" s="719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21"/>
      <c r="R216" s="721"/>
      <c r="S216" s="721"/>
      <c r="T216" s="72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4301031201</v>
      </c>
      <c r="D217" s="719">
        <v>4680115881563</v>
      </c>
      <c r="E217" s="719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21"/>
      <c r="R217" s="721"/>
      <c r="S217" s="721"/>
      <c r="T217" s="72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hidden="1" customHeight="1" x14ac:dyDescent="0.25">
      <c r="A218" s="63" t="s">
        <v>379</v>
      </c>
      <c r="B218" s="63" t="s">
        <v>380</v>
      </c>
      <c r="C218" s="36">
        <v>4301031447</v>
      </c>
      <c r="D218" s="719">
        <v>4680115887565</v>
      </c>
      <c r="E218" s="719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21"/>
      <c r="R218" s="721"/>
      <c r="S218" s="721"/>
      <c r="T218" s="72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hidden="1" customHeight="1" x14ac:dyDescent="0.25">
      <c r="A219" s="63" t="s">
        <v>382</v>
      </c>
      <c r="B219" s="63" t="s">
        <v>383</v>
      </c>
      <c r="C219" s="36">
        <v>4301031199</v>
      </c>
      <c r="D219" s="719">
        <v>4680115880986</v>
      </c>
      <c r="E219" s="719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21"/>
      <c r="R219" s="721"/>
      <c r="S219" s="721"/>
      <c r="T219" s="72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719">
        <v>4680115887213</v>
      </c>
      <c r="E220" s="719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21"/>
      <c r="R220" s="721"/>
      <c r="S220" s="721"/>
      <c r="T220" s="72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387</v>
      </c>
      <c r="B221" s="63" t="s">
        <v>388</v>
      </c>
      <c r="C221" s="36">
        <v>4301031205</v>
      </c>
      <c r="D221" s="719">
        <v>4680115881785</v>
      </c>
      <c r="E221" s="719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21"/>
      <c r="R221" s="721"/>
      <c r="S221" s="721"/>
      <c r="T221" s="72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719">
        <v>4680115888432</v>
      </c>
      <c r="E222" s="71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21"/>
      <c r="R222" s="721"/>
      <c r="S222" s="721"/>
      <c r="T222" s="72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719">
        <v>4680115888104</v>
      </c>
      <c r="E223" s="719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21"/>
      <c r="R223" s="721"/>
      <c r="S223" s="721"/>
      <c r="T223" s="72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719">
        <v>4680115886537</v>
      </c>
      <c r="E224" s="719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21"/>
      <c r="R224" s="721"/>
      <c r="S224" s="721"/>
      <c r="T224" s="72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398</v>
      </c>
      <c r="B225" s="63" t="s">
        <v>399</v>
      </c>
      <c r="C225" s="36">
        <v>4301031279</v>
      </c>
      <c r="D225" s="719">
        <v>4680115887596</v>
      </c>
      <c r="E225" s="719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21"/>
      <c r="R225" s="721"/>
      <c r="S225" s="721"/>
      <c r="T225" s="72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401</v>
      </c>
      <c r="B226" s="63" t="s">
        <v>402</v>
      </c>
      <c r="C226" s="36">
        <v>4301031202</v>
      </c>
      <c r="D226" s="719">
        <v>4680115881679</v>
      </c>
      <c r="E226" s="719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21"/>
      <c r="R226" s="721"/>
      <c r="S226" s="721"/>
      <c r="T226" s="72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719">
        <v>4680115880191</v>
      </c>
      <c r="E227" s="719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21"/>
      <c r="R227" s="721"/>
      <c r="S227" s="721"/>
      <c r="T227" s="72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719">
        <v>4680115880191</v>
      </c>
      <c r="E228" s="719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4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21"/>
      <c r="R228" s="721"/>
      <c r="S228" s="721"/>
      <c r="T228" s="72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719">
        <v>4680115883963</v>
      </c>
      <c r="E229" s="719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4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21"/>
      <c r="R229" s="721"/>
      <c r="S229" s="721"/>
      <c r="T229" s="72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idden="1" x14ac:dyDescent="0.2">
      <c r="A230" s="727"/>
      <c r="B230" s="727"/>
      <c r="C230" s="727"/>
      <c r="D230" s="727"/>
      <c r="E230" s="727"/>
      <c r="F230" s="727"/>
      <c r="G230" s="727"/>
      <c r="H230" s="727"/>
      <c r="I230" s="727"/>
      <c r="J230" s="727"/>
      <c r="K230" s="727"/>
      <c r="L230" s="727"/>
      <c r="M230" s="727"/>
      <c r="N230" s="727"/>
      <c r="O230" s="728"/>
      <c r="P230" s="724" t="s">
        <v>40</v>
      </c>
      <c r="Q230" s="725"/>
      <c r="R230" s="725"/>
      <c r="S230" s="725"/>
      <c r="T230" s="725"/>
      <c r="U230" s="725"/>
      <c r="V230" s="726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7"/>
      <c r="AB230" s="67"/>
      <c r="AC230" s="67"/>
    </row>
    <row r="231" spans="1:68" hidden="1" x14ac:dyDescent="0.2">
      <c r="A231" s="727"/>
      <c r="B231" s="727"/>
      <c r="C231" s="727"/>
      <c r="D231" s="727"/>
      <c r="E231" s="727"/>
      <c r="F231" s="727"/>
      <c r="G231" s="727"/>
      <c r="H231" s="727"/>
      <c r="I231" s="727"/>
      <c r="J231" s="727"/>
      <c r="K231" s="727"/>
      <c r="L231" s="727"/>
      <c r="M231" s="727"/>
      <c r="N231" s="727"/>
      <c r="O231" s="728"/>
      <c r="P231" s="724" t="s">
        <v>40</v>
      </c>
      <c r="Q231" s="725"/>
      <c r="R231" s="725"/>
      <c r="S231" s="725"/>
      <c r="T231" s="725"/>
      <c r="U231" s="725"/>
      <c r="V231" s="726"/>
      <c r="W231" s="42" t="s">
        <v>0</v>
      </c>
      <c r="X231" s="43">
        <f>IFERROR(SUM(X215:X229),"0")</f>
        <v>0</v>
      </c>
      <c r="Y231" s="43">
        <f>IFERROR(SUM(Y215:Y229),"0")</f>
        <v>0</v>
      </c>
      <c r="Z231" s="42"/>
      <c r="AA231" s="67"/>
      <c r="AB231" s="67"/>
      <c r="AC231" s="67"/>
    </row>
    <row r="232" spans="1:68" ht="14.25" hidden="1" customHeight="1" x14ac:dyDescent="0.25">
      <c r="A232" s="718" t="s">
        <v>86</v>
      </c>
      <c r="B232" s="718"/>
      <c r="C232" s="718"/>
      <c r="D232" s="718"/>
      <c r="E232" s="718"/>
      <c r="F232" s="718"/>
      <c r="G232" s="718"/>
      <c r="H232" s="718"/>
      <c r="I232" s="718"/>
      <c r="J232" s="718"/>
      <c r="K232" s="718"/>
      <c r="L232" s="718"/>
      <c r="M232" s="718"/>
      <c r="N232" s="718"/>
      <c r="O232" s="718"/>
      <c r="P232" s="718"/>
      <c r="Q232" s="718"/>
      <c r="R232" s="718"/>
      <c r="S232" s="718"/>
      <c r="T232" s="718"/>
      <c r="U232" s="718"/>
      <c r="V232" s="718"/>
      <c r="W232" s="718"/>
      <c r="X232" s="718"/>
      <c r="Y232" s="718"/>
      <c r="Z232" s="718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719">
        <v>4680115888692</v>
      </c>
      <c r="E233" s="719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4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21"/>
      <c r="R233" s="721"/>
      <c r="S233" s="721"/>
      <c r="T233" s="72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719">
        <v>4680115888692</v>
      </c>
      <c r="E234" s="719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4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21"/>
      <c r="R234" s="721"/>
      <c r="S234" s="721"/>
      <c r="T234" s="72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719">
        <v>4680115888722</v>
      </c>
      <c r="E235" s="719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4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21"/>
      <c r="R235" s="721"/>
      <c r="S235" s="721"/>
      <c r="T235" s="72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719">
        <v>4680115888722</v>
      </c>
      <c r="E236" s="719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4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21"/>
      <c r="R236" s="721"/>
      <c r="S236" s="721"/>
      <c r="T236" s="72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719">
        <v>4680115888951</v>
      </c>
      <c r="E237" s="719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4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21"/>
      <c r="R237" s="721"/>
      <c r="S237" s="721"/>
      <c r="T237" s="722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719">
        <v>4680115888951</v>
      </c>
      <c r="E238" s="719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4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21"/>
      <c r="R238" s="721"/>
      <c r="S238" s="721"/>
      <c r="T238" s="722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719">
        <v>4680115888975</v>
      </c>
      <c r="E239" s="719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5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21"/>
      <c r="R239" s="721"/>
      <c r="S239" s="721"/>
      <c r="T239" s="722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719">
        <v>4680115888982</v>
      </c>
      <c r="E240" s="719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5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21"/>
      <c r="R240" s="721"/>
      <c r="S240" s="721"/>
      <c r="T240" s="722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719">
        <v>4680115888982</v>
      </c>
      <c r="E241" s="719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5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21"/>
      <c r="R241" s="721"/>
      <c r="S241" s="721"/>
      <c r="T241" s="722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727"/>
      <c r="B242" s="727"/>
      <c r="C242" s="727"/>
      <c r="D242" s="727"/>
      <c r="E242" s="727"/>
      <c r="F242" s="727"/>
      <c r="G242" s="727"/>
      <c r="H242" s="727"/>
      <c r="I242" s="727"/>
      <c r="J242" s="727"/>
      <c r="K242" s="727"/>
      <c r="L242" s="727"/>
      <c r="M242" s="727"/>
      <c r="N242" s="727"/>
      <c r="O242" s="728"/>
      <c r="P242" s="724" t="s">
        <v>40</v>
      </c>
      <c r="Q242" s="725"/>
      <c r="R242" s="725"/>
      <c r="S242" s="725"/>
      <c r="T242" s="725"/>
      <c r="U242" s="725"/>
      <c r="V242" s="726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727"/>
      <c r="B243" s="727"/>
      <c r="C243" s="727"/>
      <c r="D243" s="727"/>
      <c r="E243" s="727"/>
      <c r="F243" s="727"/>
      <c r="G243" s="727"/>
      <c r="H243" s="727"/>
      <c r="I243" s="727"/>
      <c r="J243" s="727"/>
      <c r="K243" s="727"/>
      <c r="L243" s="727"/>
      <c r="M243" s="727"/>
      <c r="N243" s="727"/>
      <c r="O243" s="728"/>
      <c r="P243" s="724" t="s">
        <v>40</v>
      </c>
      <c r="Q243" s="725"/>
      <c r="R243" s="725"/>
      <c r="S243" s="725"/>
      <c r="T243" s="725"/>
      <c r="U243" s="725"/>
      <c r="V243" s="726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718" t="s">
        <v>278</v>
      </c>
      <c r="B244" s="718"/>
      <c r="C244" s="718"/>
      <c r="D244" s="718"/>
      <c r="E244" s="718"/>
      <c r="F244" s="718"/>
      <c r="G244" s="718"/>
      <c r="H244" s="718"/>
      <c r="I244" s="718"/>
      <c r="J244" s="718"/>
      <c r="K244" s="718"/>
      <c r="L244" s="718"/>
      <c r="M244" s="718"/>
      <c r="N244" s="718"/>
      <c r="O244" s="718"/>
      <c r="P244" s="718"/>
      <c r="Q244" s="718"/>
      <c r="R244" s="718"/>
      <c r="S244" s="718"/>
      <c r="T244" s="718"/>
      <c r="U244" s="718"/>
      <c r="V244" s="718"/>
      <c r="W244" s="718"/>
      <c r="X244" s="718"/>
      <c r="Y244" s="718"/>
      <c r="Z244" s="718"/>
      <c r="AA244" s="66"/>
      <c r="AB244" s="66"/>
      <c r="AC244" s="80"/>
    </row>
    <row r="245" spans="1:68" ht="27" hidden="1" customHeight="1" x14ac:dyDescent="0.25">
      <c r="A245" s="63" t="s">
        <v>429</v>
      </c>
      <c r="B245" s="63" t="s">
        <v>430</v>
      </c>
      <c r="C245" s="36">
        <v>4301032053</v>
      </c>
      <c r="D245" s="719">
        <v>4680115886780</v>
      </c>
      <c r="E245" s="719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21"/>
      <c r="R245" s="721"/>
      <c r="S245" s="721"/>
      <c r="T245" s="722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4301032051</v>
      </c>
      <c r="D246" s="719">
        <v>4680115886742</v>
      </c>
      <c r="E246" s="719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21"/>
      <c r="R246" s="721"/>
      <c r="S246" s="721"/>
      <c r="T246" s="722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4301032052</v>
      </c>
      <c r="D247" s="719">
        <v>4680115886766</v>
      </c>
      <c r="E247" s="719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5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21"/>
      <c r="R247" s="721"/>
      <c r="S247" s="721"/>
      <c r="T247" s="722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27"/>
      <c r="B248" s="727"/>
      <c r="C248" s="727"/>
      <c r="D248" s="727"/>
      <c r="E248" s="727"/>
      <c r="F248" s="727"/>
      <c r="G248" s="727"/>
      <c r="H248" s="727"/>
      <c r="I248" s="727"/>
      <c r="J248" s="727"/>
      <c r="K248" s="727"/>
      <c r="L248" s="727"/>
      <c r="M248" s="727"/>
      <c r="N248" s="727"/>
      <c r="O248" s="728"/>
      <c r="P248" s="724" t="s">
        <v>40</v>
      </c>
      <c r="Q248" s="725"/>
      <c r="R248" s="725"/>
      <c r="S248" s="725"/>
      <c r="T248" s="725"/>
      <c r="U248" s="725"/>
      <c r="V248" s="726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27"/>
      <c r="B249" s="727"/>
      <c r="C249" s="727"/>
      <c r="D249" s="727"/>
      <c r="E249" s="727"/>
      <c r="F249" s="727"/>
      <c r="G249" s="727"/>
      <c r="H249" s="727"/>
      <c r="I249" s="727"/>
      <c r="J249" s="727"/>
      <c r="K249" s="727"/>
      <c r="L249" s="727"/>
      <c r="M249" s="727"/>
      <c r="N249" s="727"/>
      <c r="O249" s="728"/>
      <c r="P249" s="724" t="s">
        <v>40</v>
      </c>
      <c r="Q249" s="725"/>
      <c r="R249" s="725"/>
      <c r="S249" s="725"/>
      <c r="T249" s="725"/>
      <c r="U249" s="725"/>
      <c r="V249" s="726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18" t="s">
        <v>437</v>
      </c>
      <c r="B250" s="718"/>
      <c r="C250" s="718"/>
      <c r="D250" s="718"/>
      <c r="E250" s="718"/>
      <c r="F250" s="718"/>
      <c r="G250" s="718"/>
      <c r="H250" s="718"/>
      <c r="I250" s="718"/>
      <c r="J250" s="718"/>
      <c r="K250" s="718"/>
      <c r="L250" s="718"/>
      <c r="M250" s="718"/>
      <c r="N250" s="718"/>
      <c r="O250" s="718"/>
      <c r="P250" s="718"/>
      <c r="Q250" s="718"/>
      <c r="R250" s="718"/>
      <c r="S250" s="718"/>
      <c r="T250" s="718"/>
      <c r="U250" s="718"/>
      <c r="V250" s="718"/>
      <c r="W250" s="718"/>
      <c r="X250" s="718"/>
      <c r="Y250" s="718"/>
      <c r="Z250" s="718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4301170013</v>
      </c>
      <c r="D251" s="719">
        <v>4680115886797</v>
      </c>
      <c r="E251" s="719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5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21"/>
      <c r="R251" s="721"/>
      <c r="S251" s="721"/>
      <c r="T251" s="72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27"/>
      <c r="B252" s="727"/>
      <c r="C252" s="727"/>
      <c r="D252" s="727"/>
      <c r="E252" s="727"/>
      <c r="F252" s="727"/>
      <c r="G252" s="727"/>
      <c r="H252" s="727"/>
      <c r="I252" s="727"/>
      <c r="J252" s="727"/>
      <c r="K252" s="727"/>
      <c r="L252" s="727"/>
      <c r="M252" s="727"/>
      <c r="N252" s="727"/>
      <c r="O252" s="728"/>
      <c r="P252" s="724" t="s">
        <v>40</v>
      </c>
      <c r="Q252" s="725"/>
      <c r="R252" s="725"/>
      <c r="S252" s="725"/>
      <c r="T252" s="725"/>
      <c r="U252" s="725"/>
      <c r="V252" s="726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727"/>
      <c r="B253" s="727"/>
      <c r="C253" s="727"/>
      <c r="D253" s="727"/>
      <c r="E253" s="727"/>
      <c r="F253" s="727"/>
      <c r="G253" s="727"/>
      <c r="H253" s="727"/>
      <c r="I253" s="727"/>
      <c r="J253" s="727"/>
      <c r="K253" s="727"/>
      <c r="L253" s="727"/>
      <c r="M253" s="727"/>
      <c r="N253" s="727"/>
      <c r="O253" s="728"/>
      <c r="P253" s="724" t="s">
        <v>40</v>
      </c>
      <c r="Q253" s="725"/>
      <c r="R253" s="725"/>
      <c r="S253" s="725"/>
      <c r="T253" s="725"/>
      <c r="U253" s="725"/>
      <c r="V253" s="726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717" t="s">
        <v>440</v>
      </c>
      <c r="B254" s="717"/>
      <c r="C254" s="717"/>
      <c r="D254" s="717"/>
      <c r="E254" s="717"/>
      <c r="F254" s="717"/>
      <c r="G254" s="717"/>
      <c r="H254" s="717"/>
      <c r="I254" s="717"/>
      <c r="J254" s="717"/>
      <c r="K254" s="717"/>
      <c r="L254" s="717"/>
      <c r="M254" s="717"/>
      <c r="N254" s="717"/>
      <c r="O254" s="717"/>
      <c r="P254" s="717"/>
      <c r="Q254" s="717"/>
      <c r="R254" s="717"/>
      <c r="S254" s="717"/>
      <c r="T254" s="717"/>
      <c r="U254" s="717"/>
      <c r="V254" s="717"/>
      <c r="W254" s="717"/>
      <c r="X254" s="717"/>
      <c r="Y254" s="717"/>
      <c r="Z254" s="717"/>
      <c r="AA254" s="65"/>
      <c r="AB254" s="65"/>
      <c r="AC254" s="79"/>
    </row>
    <row r="255" spans="1:68" ht="14.25" hidden="1" customHeight="1" x14ac:dyDescent="0.25">
      <c r="A255" s="718" t="s">
        <v>122</v>
      </c>
      <c r="B255" s="718"/>
      <c r="C255" s="718"/>
      <c r="D255" s="718"/>
      <c r="E255" s="718"/>
      <c r="F255" s="718"/>
      <c r="G255" s="718"/>
      <c r="H255" s="718"/>
      <c r="I255" s="718"/>
      <c r="J255" s="718"/>
      <c r="K255" s="718"/>
      <c r="L255" s="718"/>
      <c r="M255" s="718"/>
      <c r="N255" s="718"/>
      <c r="O255" s="718"/>
      <c r="P255" s="718"/>
      <c r="Q255" s="718"/>
      <c r="R255" s="718"/>
      <c r="S255" s="718"/>
      <c r="T255" s="718"/>
      <c r="U255" s="718"/>
      <c r="V255" s="718"/>
      <c r="W255" s="718"/>
      <c r="X255" s="718"/>
      <c r="Y255" s="718"/>
      <c r="Z255" s="718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719">
        <v>4680115881402</v>
      </c>
      <c r="E256" s="719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21"/>
      <c r="R256" s="721"/>
      <c r="S256" s="721"/>
      <c r="T256" s="72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444</v>
      </c>
      <c r="B257" s="63" t="s">
        <v>445</v>
      </c>
      <c r="C257" s="36">
        <v>4301011768</v>
      </c>
      <c r="D257" s="719">
        <v>4680115881396</v>
      </c>
      <c r="E257" s="719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21"/>
      <c r="R257" s="721"/>
      <c r="S257" s="721"/>
      <c r="T257" s="722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27"/>
      <c r="B258" s="727"/>
      <c r="C258" s="727"/>
      <c r="D258" s="727"/>
      <c r="E258" s="727"/>
      <c r="F258" s="727"/>
      <c r="G258" s="727"/>
      <c r="H258" s="727"/>
      <c r="I258" s="727"/>
      <c r="J258" s="727"/>
      <c r="K258" s="727"/>
      <c r="L258" s="727"/>
      <c r="M258" s="727"/>
      <c r="N258" s="727"/>
      <c r="O258" s="728"/>
      <c r="P258" s="724" t="s">
        <v>40</v>
      </c>
      <c r="Q258" s="725"/>
      <c r="R258" s="725"/>
      <c r="S258" s="725"/>
      <c r="T258" s="725"/>
      <c r="U258" s="725"/>
      <c r="V258" s="726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727"/>
      <c r="B259" s="727"/>
      <c r="C259" s="727"/>
      <c r="D259" s="727"/>
      <c r="E259" s="727"/>
      <c r="F259" s="727"/>
      <c r="G259" s="727"/>
      <c r="H259" s="727"/>
      <c r="I259" s="727"/>
      <c r="J259" s="727"/>
      <c r="K259" s="727"/>
      <c r="L259" s="727"/>
      <c r="M259" s="727"/>
      <c r="N259" s="727"/>
      <c r="O259" s="728"/>
      <c r="P259" s="724" t="s">
        <v>40</v>
      </c>
      <c r="Q259" s="725"/>
      <c r="R259" s="725"/>
      <c r="S259" s="725"/>
      <c r="T259" s="725"/>
      <c r="U259" s="725"/>
      <c r="V259" s="726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18" t="s">
        <v>157</v>
      </c>
      <c r="B260" s="718"/>
      <c r="C260" s="718"/>
      <c r="D260" s="718"/>
      <c r="E260" s="718"/>
      <c r="F260" s="718"/>
      <c r="G260" s="718"/>
      <c r="H260" s="718"/>
      <c r="I260" s="718"/>
      <c r="J260" s="718"/>
      <c r="K260" s="718"/>
      <c r="L260" s="718"/>
      <c r="M260" s="718"/>
      <c r="N260" s="718"/>
      <c r="O260" s="718"/>
      <c r="P260" s="718"/>
      <c r="Q260" s="718"/>
      <c r="R260" s="718"/>
      <c r="S260" s="718"/>
      <c r="T260" s="718"/>
      <c r="U260" s="718"/>
      <c r="V260" s="718"/>
      <c r="W260" s="718"/>
      <c r="X260" s="718"/>
      <c r="Y260" s="718"/>
      <c r="Z260" s="718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719">
        <v>4680115882935</v>
      </c>
      <c r="E261" s="719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5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21"/>
      <c r="R261" s="721"/>
      <c r="S261" s="721"/>
      <c r="T261" s="722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719">
        <v>4680115880764</v>
      </c>
      <c r="E262" s="719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21"/>
      <c r="R262" s="721"/>
      <c r="S262" s="721"/>
      <c r="T262" s="722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727"/>
      <c r="B263" s="727"/>
      <c r="C263" s="727"/>
      <c r="D263" s="727"/>
      <c r="E263" s="727"/>
      <c r="F263" s="727"/>
      <c r="G263" s="727"/>
      <c r="H263" s="727"/>
      <c r="I263" s="727"/>
      <c r="J263" s="727"/>
      <c r="K263" s="727"/>
      <c r="L263" s="727"/>
      <c r="M263" s="727"/>
      <c r="N263" s="727"/>
      <c r="O263" s="728"/>
      <c r="P263" s="724" t="s">
        <v>40</v>
      </c>
      <c r="Q263" s="725"/>
      <c r="R263" s="725"/>
      <c r="S263" s="725"/>
      <c r="T263" s="725"/>
      <c r="U263" s="725"/>
      <c r="V263" s="726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727"/>
      <c r="B264" s="727"/>
      <c r="C264" s="727"/>
      <c r="D264" s="727"/>
      <c r="E264" s="727"/>
      <c r="F264" s="727"/>
      <c r="G264" s="727"/>
      <c r="H264" s="727"/>
      <c r="I264" s="727"/>
      <c r="J264" s="727"/>
      <c r="K264" s="727"/>
      <c r="L264" s="727"/>
      <c r="M264" s="727"/>
      <c r="N264" s="727"/>
      <c r="O264" s="728"/>
      <c r="P264" s="724" t="s">
        <v>40</v>
      </c>
      <c r="Q264" s="725"/>
      <c r="R264" s="725"/>
      <c r="S264" s="725"/>
      <c r="T264" s="725"/>
      <c r="U264" s="725"/>
      <c r="V264" s="726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718" t="s">
        <v>77</v>
      </c>
      <c r="B265" s="718"/>
      <c r="C265" s="718"/>
      <c r="D265" s="718"/>
      <c r="E265" s="718"/>
      <c r="F265" s="718"/>
      <c r="G265" s="718"/>
      <c r="H265" s="718"/>
      <c r="I265" s="718"/>
      <c r="J265" s="718"/>
      <c r="K265" s="718"/>
      <c r="L265" s="718"/>
      <c r="M265" s="718"/>
      <c r="N265" s="718"/>
      <c r="O265" s="718"/>
      <c r="P265" s="718"/>
      <c r="Q265" s="718"/>
      <c r="R265" s="718"/>
      <c r="S265" s="718"/>
      <c r="T265" s="718"/>
      <c r="U265" s="718"/>
      <c r="V265" s="718"/>
      <c r="W265" s="718"/>
      <c r="X265" s="718"/>
      <c r="Y265" s="718"/>
      <c r="Z265" s="718"/>
      <c r="AA265" s="66"/>
      <c r="AB265" s="66"/>
      <c r="AC265" s="80"/>
    </row>
    <row r="266" spans="1:68" ht="27" hidden="1" customHeight="1" x14ac:dyDescent="0.25">
      <c r="A266" s="63" t="s">
        <v>451</v>
      </c>
      <c r="B266" s="63" t="s">
        <v>452</v>
      </c>
      <c r="C266" s="36">
        <v>4301031224</v>
      </c>
      <c r="D266" s="719">
        <v>4680115882683</v>
      </c>
      <c r="E266" s="719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6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21"/>
      <c r="R266" s="721"/>
      <c r="S266" s="721"/>
      <c r="T266" s="72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3" si="38">IFERROR(IF(X266="",0,CEILING((X266/$H266),1)*$H266),"")</f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0</v>
      </c>
      <c r="BN266" s="78">
        <f t="shared" ref="BN266:BN273" si="40">IFERROR(Y266*I266/H266,"0")</f>
        <v>0</v>
      </c>
      <c r="BO266" s="78">
        <f t="shared" ref="BO266:BO273" si="41">IFERROR(1/J266*(X266/H266),"0")</f>
        <v>0</v>
      </c>
      <c r="BP266" s="78">
        <f t="shared" ref="BP266:BP273" si="42">IFERROR(1/J266*(Y266/H266),"0")</f>
        <v>0</v>
      </c>
    </row>
    <row r="267" spans="1:68" ht="27" hidden="1" customHeight="1" x14ac:dyDescent="0.25">
      <c r="A267" s="63" t="s">
        <v>454</v>
      </c>
      <c r="B267" s="63" t="s">
        <v>455</v>
      </c>
      <c r="C267" s="36">
        <v>4301031230</v>
      </c>
      <c r="D267" s="719">
        <v>4680115882690</v>
      </c>
      <c r="E267" s="719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6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21"/>
      <c r="R267" s="721"/>
      <c r="S267" s="721"/>
      <c r="T267" s="72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8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0</v>
      </c>
      <c r="BN267" s="78">
        <f t="shared" si="40"/>
        <v>0</v>
      </c>
      <c r="BO267" s="78">
        <f t="shared" si="41"/>
        <v>0</v>
      </c>
      <c r="BP267" s="78">
        <f t="shared" si="42"/>
        <v>0</v>
      </c>
    </row>
    <row r="268" spans="1:68" ht="27" hidden="1" customHeight="1" x14ac:dyDescent="0.25">
      <c r="A268" s="63" t="s">
        <v>457</v>
      </c>
      <c r="B268" s="63" t="s">
        <v>458</v>
      </c>
      <c r="C268" s="36">
        <v>4301031220</v>
      </c>
      <c r="D268" s="719">
        <v>4680115882669</v>
      </c>
      <c r="E268" s="719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6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21"/>
      <c r="R268" s="721"/>
      <c r="S268" s="721"/>
      <c r="T268" s="722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8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0</v>
      </c>
      <c r="BN268" s="78">
        <f t="shared" si="40"/>
        <v>0</v>
      </c>
      <c r="BO268" s="78">
        <f t="shared" si="41"/>
        <v>0</v>
      </c>
      <c r="BP268" s="78">
        <f t="shared" si="42"/>
        <v>0</v>
      </c>
    </row>
    <row r="269" spans="1:68" ht="27" hidden="1" customHeight="1" x14ac:dyDescent="0.25">
      <c r="A269" s="63" t="s">
        <v>460</v>
      </c>
      <c r="B269" s="63" t="s">
        <v>461</v>
      </c>
      <c r="C269" s="36">
        <v>4301031221</v>
      </c>
      <c r="D269" s="719">
        <v>4680115882676</v>
      </c>
      <c r="E269" s="71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6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21"/>
      <c r="R269" s="721"/>
      <c r="S269" s="721"/>
      <c r="T269" s="72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8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0</v>
      </c>
      <c r="BN269" s="78">
        <f t="shared" si="40"/>
        <v>0</v>
      </c>
      <c r="BO269" s="78">
        <f t="shared" si="41"/>
        <v>0</v>
      </c>
      <c r="BP269" s="78">
        <f t="shared" si="42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4301031223</v>
      </c>
      <c r="D270" s="719">
        <v>4680115884014</v>
      </c>
      <c r="E270" s="719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6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21"/>
      <c r="R270" s="721"/>
      <c r="S270" s="721"/>
      <c r="T270" s="72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4301031222</v>
      </c>
      <c r="D271" s="719">
        <v>4680115884007</v>
      </c>
      <c r="E271" s="719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21"/>
      <c r="R271" s="721"/>
      <c r="S271" s="721"/>
      <c r="T271" s="72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4301031229</v>
      </c>
      <c r="D272" s="719">
        <v>4680115884038</v>
      </c>
      <c r="E272" s="719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21"/>
      <c r="R272" s="721"/>
      <c r="S272" s="721"/>
      <c r="T272" s="72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4301031225</v>
      </c>
      <c r="D273" s="719">
        <v>4680115884021</v>
      </c>
      <c r="E273" s="719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21"/>
      <c r="R273" s="721"/>
      <c r="S273" s="721"/>
      <c r="T273" s="72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hidden="1" x14ac:dyDescent="0.2">
      <c r="A274" s="727"/>
      <c r="B274" s="727"/>
      <c r="C274" s="727"/>
      <c r="D274" s="727"/>
      <c r="E274" s="727"/>
      <c r="F274" s="727"/>
      <c r="G274" s="727"/>
      <c r="H274" s="727"/>
      <c r="I274" s="727"/>
      <c r="J274" s="727"/>
      <c r="K274" s="727"/>
      <c r="L274" s="727"/>
      <c r="M274" s="727"/>
      <c r="N274" s="727"/>
      <c r="O274" s="728"/>
      <c r="P274" s="724" t="s">
        <v>40</v>
      </c>
      <c r="Q274" s="725"/>
      <c r="R274" s="725"/>
      <c r="S274" s="725"/>
      <c r="T274" s="725"/>
      <c r="U274" s="725"/>
      <c r="V274" s="726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0</v>
      </c>
      <c r="Y274" s="43">
        <f>IFERROR(Y266/H266,"0")+IFERROR(Y267/H267,"0")+IFERROR(Y268/H268,"0")+IFERROR(Y269/H269,"0")+IFERROR(Y270/H270,"0")+IFERROR(Y271/H271,"0")+IFERROR(Y272/H272,"0")+IFERROR(Y273/H273,"0")</f>
        <v>0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hidden="1" x14ac:dyDescent="0.2">
      <c r="A275" s="727"/>
      <c r="B275" s="727"/>
      <c r="C275" s="727"/>
      <c r="D275" s="727"/>
      <c r="E275" s="727"/>
      <c r="F275" s="727"/>
      <c r="G275" s="727"/>
      <c r="H275" s="727"/>
      <c r="I275" s="727"/>
      <c r="J275" s="727"/>
      <c r="K275" s="727"/>
      <c r="L275" s="727"/>
      <c r="M275" s="727"/>
      <c r="N275" s="727"/>
      <c r="O275" s="728"/>
      <c r="P275" s="724" t="s">
        <v>40</v>
      </c>
      <c r="Q275" s="725"/>
      <c r="R275" s="725"/>
      <c r="S275" s="725"/>
      <c r="T275" s="725"/>
      <c r="U275" s="725"/>
      <c r="V275" s="726"/>
      <c r="W275" s="42" t="s">
        <v>0</v>
      </c>
      <c r="X275" s="43">
        <f>IFERROR(SUM(X266:X273),"0")</f>
        <v>0</v>
      </c>
      <c r="Y275" s="43">
        <f>IFERROR(SUM(Y266:Y273),"0")</f>
        <v>0</v>
      </c>
      <c r="Z275" s="42"/>
      <c r="AA275" s="67"/>
      <c r="AB275" s="67"/>
      <c r="AC275" s="67"/>
    </row>
    <row r="276" spans="1:68" ht="14.25" hidden="1" customHeight="1" x14ac:dyDescent="0.25">
      <c r="A276" s="718" t="s">
        <v>86</v>
      </c>
      <c r="B276" s="718"/>
      <c r="C276" s="718"/>
      <c r="D276" s="718"/>
      <c r="E276" s="718"/>
      <c r="F276" s="718"/>
      <c r="G276" s="718"/>
      <c r="H276" s="718"/>
      <c r="I276" s="718"/>
      <c r="J276" s="718"/>
      <c r="K276" s="718"/>
      <c r="L276" s="718"/>
      <c r="M276" s="718"/>
      <c r="N276" s="718"/>
      <c r="O276" s="718"/>
      <c r="P276" s="718"/>
      <c r="Q276" s="718"/>
      <c r="R276" s="718"/>
      <c r="S276" s="718"/>
      <c r="T276" s="718"/>
      <c r="U276" s="718"/>
      <c r="V276" s="718"/>
      <c r="W276" s="718"/>
      <c r="X276" s="718"/>
      <c r="Y276" s="718"/>
      <c r="Z276" s="718"/>
      <c r="AA276" s="66"/>
      <c r="AB276" s="66"/>
      <c r="AC276" s="80"/>
    </row>
    <row r="277" spans="1:68" ht="27" hidden="1" customHeight="1" x14ac:dyDescent="0.25">
      <c r="A277" s="63" t="s">
        <v>471</v>
      </c>
      <c r="B277" s="63" t="s">
        <v>472</v>
      </c>
      <c r="C277" s="36">
        <v>4301051408</v>
      </c>
      <c r="D277" s="719">
        <v>4680115881594</v>
      </c>
      <c r="E277" s="719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6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21"/>
      <c r="R277" s="721"/>
      <c r="S277" s="721"/>
      <c r="T277" s="72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4301051411</v>
      </c>
      <c r="D278" s="719">
        <v>4680115881617</v>
      </c>
      <c r="E278" s="719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7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21"/>
      <c r="R278" s="721"/>
      <c r="S278" s="721"/>
      <c r="T278" s="72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4301051656</v>
      </c>
      <c r="D279" s="719">
        <v>4680115880573</v>
      </c>
      <c r="E279" s="719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7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21"/>
      <c r="R279" s="721"/>
      <c r="S279" s="721"/>
      <c r="T279" s="72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4301051407</v>
      </c>
      <c r="D280" s="719">
        <v>4680115882195</v>
      </c>
      <c r="E280" s="719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7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21"/>
      <c r="R280" s="721"/>
      <c r="S280" s="721"/>
      <c r="T280" s="72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719">
        <v>4680115882607</v>
      </c>
      <c r="E281" s="719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21"/>
      <c r="R281" s="721"/>
      <c r="S281" s="721"/>
      <c r="T281" s="72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719">
        <v>4680115882607</v>
      </c>
      <c r="E282" s="719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87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21"/>
      <c r="R282" s="721"/>
      <c r="S282" s="721"/>
      <c r="T282" s="72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4301051666</v>
      </c>
      <c r="D283" s="719">
        <v>4680115880092</v>
      </c>
      <c r="E283" s="719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87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21"/>
      <c r="R283" s="721"/>
      <c r="S283" s="721"/>
      <c r="T283" s="72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719">
        <v>4680115889064</v>
      </c>
      <c r="E284" s="719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7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21"/>
      <c r="R284" s="721"/>
      <c r="S284" s="721"/>
      <c r="T284" s="72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4301051668</v>
      </c>
      <c r="D285" s="719">
        <v>4680115880221</v>
      </c>
      <c r="E285" s="719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21"/>
      <c r="R285" s="721"/>
      <c r="S285" s="721"/>
      <c r="T285" s="72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4301051945</v>
      </c>
      <c r="D286" s="719">
        <v>4680115880504</v>
      </c>
      <c r="E286" s="71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8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21"/>
      <c r="R286" s="721"/>
      <c r="S286" s="721"/>
      <c r="T286" s="72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4301051410</v>
      </c>
      <c r="D287" s="719">
        <v>4680115882164</v>
      </c>
      <c r="E287" s="719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8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21"/>
      <c r="R287" s="721"/>
      <c r="S287" s="721"/>
      <c r="T287" s="72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719">
        <v>4680115888340</v>
      </c>
      <c r="E288" s="71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21"/>
      <c r="R288" s="721"/>
      <c r="S288" s="721"/>
      <c r="T288" s="72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idden="1" x14ac:dyDescent="0.2">
      <c r="A289" s="727"/>
      <c r="B289" s="727"/>
      <c r="C289" s="727"/>
      <c r="D289" s="727"/>
      <c r="E289" s="727"/>
      <c r="F289" s="727"/>
      <c r="G289" s="727"/>
      <c r="H289" s="727"/>
      <c r="I289" s="727"/>
      <c r="J289" s="727"/>
      <c r="K289" s="727"/>
      <c r="L289" s="727"/>
      <c r="M289" s="727"/>
      <c r="N289" s="727"/>
      <c r="O289" s="728"/>
      <c r="P289" s="724" t="s">
        <v>40</v>
      </c>
      <c r="Q289" s="725"/>
      <c r="R289" s="725"/>
      <c r="S289" s="725"/>
      <c r="T289" s="725"/>
      <c r="U289" s="725"/>
      <c r="V289" s="726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68" hidden="1" x14ac:dyDescent="0.2">
      <c r="A290" s="727"/>
      <c r="B290" s="727"/>
      <c r="C290" s="727"/>
      <c r="D290" s="727"/>
      <c r="E290" s="727"/>
      <c r="F290" s="727"/>
      <c r="G290" s="727"/>
      <c r="H290" s="727"/>
      <c r="I290" s="727"/>
      <c r="J290" s="727"/>
      <c r="K290" s="727"/>
      <c r="L290" s="727"/>
      <c r="M290" s="727"/>
      <c r="N290" s="727"/>
      <c r="O290" s="728"/>
      <c r="P290" s="724" t="s">
        <v>40</v>
      </c>
      <c r="Q290" s="725"/>
      <c r="R290" s="725"/>
      <c r="S290" s="725"/>
      <c r="T290" s="725"/>
      <c r="U290" s="725"/>
      <c r="V290" s="726"/>
      <c r="W290" s="42" t="s">
        <v>0</v>
      </c>
      <c r="X290" s="43">
        <f>IFERROR(SUM(X277:X288),"0")</f>
        <v>0</v>
      </c>
      <c r="Y290" s="43">
        <f>IFERROR(SUM(Y277:Y288),"0")</f>
        <v>0</v>
      </c>
      <c r="Z290" s="42"/>
      <c r="AA290" s="67"/>
      <c r="AB290" s="67"/>
      <c r="AC290" s="67"/>
    </row>
    <row r="291" spans="1:68" ht="14.25" hidden="1" customHeight="1" x14ac:dyDescent="0.25">
      <c r="A291" s="718" t="s">
        <v>175</v>
      </c>
      <c r="B291" s="718"/>
      <c r="C291" s="718"/>
      <c r="D291" s="718"/>
      <c r="E291" s="718"/>
      <c r="F291" s="718"/>
      <c r="G291" s="718"/>
      <c r="H291" s="718"/>
      <c r="I291" s="718"/>
      <c r="J291" s="718"/>
      <c r="K291" s="718"/>
      <c r="L291" s="718"/>
      <c r="M291" s="718"/>
      <c r="N291" s="718"/>
      <c r="O291" s="718"/>
      <c r="P291" s="718"/>
      <c r="Q291" s="718"/>
      <c r="R291" s="718"/>
      <c r="S291" s="718"/>
      <c r="T291" s="718"/>
      <c r="U291" s="718"/>
      <c r="V291" s="718"/>
      <c r="W291" s="718"/>
      <c r="X291" s="718"/>
      <c r="Y291" s="718"/>
      <c r="Z291" s="718"/>
      <c r="AA291" s="66"/>
      <c r="AB291" s="66"/>
      <c r="AC291" s="80"/>
    </row>
    <row r="292" spans="1:68" ht="27" hidden="1" customHeight="1" x14ac:dyDescent="0.25">
      <c r="A292" s="63" t="s">
        <v>502</v>
      </c>
      <c r="B292" s="63" t="s">
        <v>503</v>
      </c>
      <c r="C292" s="36">
        <v>4301060463</v>
      </c>
      <c r="D292" s="719">
        <v>4680115880818</v>
      </c>
      <c r="E292" s="719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21"/>
      <c r="R292" s="721"/>
      <c r="S292" s="721"/>
      <c r="T292" s="722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4301060389</v>
      </c>
      <c r="D293" s="719">
        <v>4680115880801</v>
      </c>
      <c r="E293" s="719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21"/>
      <c r="R293" s="721"/>
      <c r="S293" s="721"/>
      <c r="T293" s="722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727"/>
      <c r="B294" s="727"/>
      <c r="C294" s="727"/>
      <c r="D294" s="727"/>
      <c r="E294" s="727"/>
      <c r="F294" s="727"/>
      <c r="G294" s="727"/>
      <c r="H294" s="727"/>
      <c r="I294" s="727"/>
      <c r="J294" s="727"/>
      <c r="K294" s="727"/>
      <c r="L294" s="727"/>
      <c r="M294" s="727"/>
      <c r="N294" s="727"/>
      <c r="O294" s="728"/>
      <c r="P294" s="724" t="s">
        <v>40</v>
      </c>
      <c r="Q294" s="725"/>
      <c r="R294" s="725"/>
      <c r="S294" s="725"/>
      <c r="T294" s="725"/>
      <c r="U294" s="725"/>
      <c r="V294" s="726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727"/>
      <c r="B295" s="727"/>
      <c r="C295" s="727"/>
      <c r="D295" s="727"/>
      <c r="E295" s="727"/>
      <c r="F295" s="727"/>
      <c r="G295" s="727"/>
      <c r="H295" s="727"/>
      <c r="I295" s="727"/>
      <c r="J295" s="727"/>
      <c r="K295" s="727"/>
      <c r="L295" s="727"/>
      <c r="M295" s="727"/>
      <c r="N295" s="727"/>
      <c r="O295" s="728"/>
      <c r="P295" s="724" t="s">
        <v>40</v>
      </c>
      <c r="Q295" s="725"/>
      <c r="R295" s="725"/>
      <c r="S295" s="725"/>
      <c r="T295" s="725"/>
      <c r="U295" s="725"/>
      <c r="V295" s="726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717" t="s">
        <v>508</v>
      </c>
      <c r="B296" s="717"/>
      <c r="C296" s="717"/>
      <c r="D296" s="717"/>
      <c r="E296" s="717"/>
      <c r="F296" s="717"/>
      <c r="G296" s="717"/>
      <c r="H296" s="717"/>
      <c r="I296" s="717"/>
      <c r="J296" s="717"/>
      <c r="K296" s="717"/>
      <c r="L296" s="717"/>
      <c r="M296" s="717"/>
      <c r="N296" s="717"/>
      <c r="O296" s="717"/>
      <c r="P296" s="717"/>
      <c r="Q296" s="717"/>
      <c r="R296" s="717"/>
      <c r="S296" s="717"/>
      <c r="T296" s="717"/>
      <c r="U296" s="717"/>
      <c r="V296" s="717"/>
      <c r="W296" s="717"/>
      <c r="X296" s="717"/>
      <c r="Y296" s="717"/>
      <c r="Z296" s="717"/>
      <c r="AA296" s="65"/>
      <c r="AB296" s="65"/>
      <c r="AC296" s="79"/>
    </row>
    <row r="297" spans="1:68" ht="14.25" hidden="1" customHeight="1" x14ac:dyDescent="0.25">
      <c r="A297" s="718" t="s">
        <v>122</v>
      </c>
      <c r="B297" s="718"/>
      <c r="C297" s="718"/>
      <c r="D297" s="718"/>
      <c r="E297" s="718"/>
      <c r="F297" s="718"/>
      <c r="G297" s="718"/>
      <c r="H297" s="718"/>
      <c r="I297" s="718"/>
      <c r="J297" s="718"/>
      <c r="K297" s="718"/>
      <c r="L297" s="718"/>
      <c r="M297" s="718"/>
      <c r="N297" s="718"/>
      <c r="O297" s="718"/>
      <c r="P297" s="718"/>
      <c r="Q297" s="718"/>
      <c r="R297" s="718"/>
      <c r="S297" s="718"/>
      <c r="T297" s="718"/>
      <c r="U297" s="718"/>
      <c r="V297" s="718"/>
      <c r="W297" s="718"/>
      <c r="X297" s="718"/>
      <c r="Y297" s="718"/>
      <c r="Z297" s="718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719">
        <v>4680115884137</v>
      </c>
      <c r="E298" s="719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8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21"/>
      <c r="R298" s="721"/>
      <c r="S298" s="721"/>
      <c r="T298" s="72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719">
        <v>4680115884236</v>
      </c>
      <c r="E299" s="719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8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21"/>
      <c r="R299" s="721"/>
      <c r="S299" s="721"/>
      <c r="T299" s="722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719">
        <v>4680115884175</v>
      </c>
      <c r="E300" s="719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21"/>
      <c r="R300" s="721"/>
      <c r="S300" s="721"/>
      <c r="T300" s="722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4301011824</v>
      </c>
      <c r="D301" s="719">
        <v>4680115884144</v>
      </c>
      <c r="E301" s="719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8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21"/>
      <c r="R301" s="721"/>
      <c r="S301" s="721"/>
      <c r="T301" s="72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719">
        <v>4680115886551</v>
      </c>
      <c r="E302" s="719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21"/>
      <c r="R302" s="721"/>
      <c r="S302" s="721"/>
      <c r="T302" s="72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719">
        <v>4680115887282</v>
      </c>
      <c r="E303" s="719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88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21"/>
      <c r="R303" s="721"/>
      <c r="S303" s="721"/>
      <c r="T303" s="72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525</v>
      </c>
      <c r="B304" s="63" t="s">
        <v>526</v>
      </c>
      <c r="C304" s="36">
        <v>4301011722</v>
      </c>
      <c r="D304" s="719">
        <v>4680115884205</v>
      </c>
      <c r="E304" s="71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88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21"/>
      <c r="R304" s="721"/>
      <c r="S304" s="721"/>
      <c r="T304" s="72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727"/>
      <c r="B305" s="727"/>
      <c r="C305" s="727"/>
      <c r="D305" s="727"/>
      <c r="E305" s="727"/>
      <c r="F305" s="727"/>
      <c r="G305" s="727"/>
      <c r="H305" s="727"/>
      <c r="I305" s="727"/>
      <c r="J305" s="727"/>
      <c r="K305" s="727"/>
      <c r="L305" s="727"/>
      <c r="M305" s="727"/>
      <c r="N305" s="727"/>
      <c r="O305" s="728"/>
      <c r="P305" s="724" t="s">
        <v>40</v>
      </c>
      <c r="Q305" s="725"/>
      <c r="R305" s="725"/>
      <c r="S305" s="725"/>
      <c r="T305" s="725"/>
      <c r="U305" s="725"/>
      <c r="V305" s="726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727"/>
      <c r="B306" s="727"/>
      <c r="C306" s="727"/>
      <c r="D306" s="727"/>
      <c r="E306" s="727"/>
      <c r="F306" s="727"/>
      <c r="G306" s="727"/>
      <c r="H306" s="727"/>
      <c r="I306" s="727"/>
      <c r="J306" s="727"/>
      <c r="K306" s="727"/>
      <c r="L306" s="727"/>
      <c r="M306" s="727"/>
      <c r="N306" s="727"/>
      <c r="O306" s="728"/>
      <c r="P306" s="724" t="s">
        <v>40</v>
      </c>
      <c r="Q306" s="725"/>
      <c r="R306" s="725"/>
      <c r="S306" s="725"/>
      <c r="T306" s="725"/>
      <c r="U306" s="725"/>
      <c r="V306" s="726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718" t="s">
        <v>157</v>
      </c>
      <c r="B307" s="718"/>
      <c r="C307" s="718"/>
      <c r="D307" s="718"/>
      <c r="E307" s="718"/>
      <c r="F307" s="718"/>
      <c r="G307" s="718"/>
      <c r="H307" s="718"/>
      <c r="I307" s="718"/>
      <c r="J307" s="718"/>
      <c r="K307" s="718"/>
      <c r="L307" s="718"/>
      <c r="M307" s="718"/>
      <c r="N307" s="718"/>
      <c r="O307" s="718"/>
      <c r="P307" s="718"/>
      <c r="Q307" s="718"/>
      <c r="R307" s="718"/>
      <c r="S307" s="718"/>
      <c r="T307" s="718"/>
      <c r="U307" s="718"/>
      <c r="V307" s="718"/>
      <c r="W307" s="718"/>
      <c r="X307" s="718"/>
      <c r="Y307" s="718"/>
      <c r="Z307" s="718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719">
        <v>4680115885981</v>
      </c>
      <c r="E308" s="719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89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21"/>
      <c r="R308" s="721"/>
      <c r="S308" s="721"/>
      <c r="T308" s="722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727"/>
      <c r="B309" s="727"/>
      <c r="C309" s="727"/>
      <c r="D309" s="727"/>
      <c r="E309" s="727"/>
      <c r="F309" s="727"/>
      <c r="G309" s="727"/>
      <c r="H309" s="727"/>
      <c r="I309" s="727"/>
      <c r="J309" s="727"/>
      <c r="K309" s="727"/>
      <c r="L309" s="727"/>
      <c r="M309" s="727"/>
      <c r="N309" s="727"/>
      <c r="O309" s="728"/>
      <c r="P309" s="724" t="s">
        <v>40</v>
      </c>
      <c r="Q309" s="725"/>
      <c r="R309" s="725"/>
      <c r="S309" s="725"/>
      <c r="T309" s="725"/>
      <c r="U309" s="725"/>
      <c r="V309" s="726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727"/>
      <c r="B310" s="727"/>
      <c r="C310" s="727"/>
      <c r="D310" s="727"/>
      <c r="E310" s="727"/>
      <c r="F310" s="727"/>
      <c r="G310" s="727"/>
      <c r="H310" s="727"/>
      <c r="I310" s="727"/>
      <c r="J310" s="727"/>
      <c r="K310" s="727"/>
      <c r="L310" s="727"/>
      <c r="M310" s="727"/>
      <c r="N310" s="727"/>
      <c r="O310" s="728"/>
      <c r="P310" s="724" t="s">
        <v>40</v>
      </c>
      <c r="Q310" s="725"/>
      <c r="R310" s="725"/>
      <c r="S310" s="725"/>
      <c r="T310" s="725"/>
      <c r="U310" s="725"/>
      <c r="V310" s="726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718" t="s">
        <v>530</v>
      </c>
      <c r="B311" s="718"/>
      <c r="C311" s="718"/>
      <c r="D311" s="718"/>
      <c r="E311" s="718"/>
      <c r="F311" s="718"/>
      <c r="G311" s="718"/>
      <c r="H311" s="718"/>
      <c r="I311" s="718"/>
      <c r="J311" s="718"/>
      <c r="K311" s="718"/>
      <c r="L311" s="718"/>
      <c r="M311" s="718"/>
      <c r="N311" s="718"/>
      <c r="O311" s="718"/>
      <c r="P311" s="718"/>
      <c r="Q311" s="718"/>
      <c r="R311" s="718"/>
      <c r="S311" s="718"/>
      <c r="T311" s="718"/>
      <c r="U311" s="718"/>
      <c r="V311" s="718"/>
      <c r="W311" s="718"/>
      <c r="X311" s="718"/>
      <c r="Y311" s="718"/>
      <c r="Z311" s="718"/>
      <c r="AA311" s="66"/>
      <c r="AB311" s="66"/>
      <c r="AC311" s="80"/>
    </row>
    <row r="312" spans="1:68" ht="27" hidden="1" customHeight="1" x14ac:dyDescent="0.25">
      <c r="A312" s="63" t="s">
        <v>531</v>
      </c>
      <c r="B312" s="63" t="s">
        <v>532</v>
      </c>
      <c r="C312" s="36">
        <v>4301040362</v>
      </c>
      <c r="D312" s="719">
        <v>4680115886803</v>
      </c>
      <c r="E312" s="719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89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21"/>
      <c r="R312" s="721"/>
      <c r="S312" s="721"/>
      <c r="T312" s="72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727"/>
      <c r="B313" s="727"/>
      <c r="C313" s="727"/>
      <c r="D313" s="727"/>
      <c r="E313" s="727"/>
      <c r="F313" s="727"/>
      <c r="G313" s="727"/>
      <c r="H313" s="727"/>
      <c r="I313" s="727"/>
      <c r="J313" s="727"/>
      <c r="K313" s="727"/>
      <c r="L313" s="727"/>
      <c r="M313" s="727"/>
      <c r="N313" s="727"/>
      <c r="O313" s="728"/>
      <c r="P313" s="724" t="s">
        <v>40</v>
      </c>
      <c r="Q313" s="725"/>
      <c r="R313" s="725"/>
      <c r="S313" s="725"/>
      <c r="T313" s="725"/>
      <c r="U313" s="725"/>
      <c r="V313" s="726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727"/>
      <c r="B314" s="727"/>
      <c r="C314" s="727"/>
      <c r="D314" s="727"/>
      <c r="E314" s="727"/>
      <c r="F314" s="727"/>
      <c r="G314" s="727"/>
      <c r="H314" s="727"/>
      <c r="I314" s="727"/>
      <c r="J314" s="727"/>
      <c r="K314" s="727"/>
      <c r="L314" s="727"/>
      <c r="M314" s="727"/>
      <c r="N314" s="727"/>
      <c r="O314" s="728"/>
      <c r="P314" s="724" t="s">
        <v>40</v>
      </c>
      <c r="Q314" s="725"/>
      <c r="R314" s="725"/>
      <c r="S314" s="725"/>
      <c r="T314" s="725"/>
      <c r="U314" s="725"/>
      <c r="V314" s="726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718" t="s">
        <v>339</v>
      </c>
      <c r="B315" s="718"/>
      <c r="C315" s="718"/>
      <c r="D315" s="718"/>
      <c r="E315" s="718"/>
      <c r="F315" s="718"/>
      <c r="G315" s="718"/>
      <c r="H315" s="718"/>
      <c r="I315" s="718"/>
      <c r="J315" s="718"/>
      <c r="K315" s="718"/>
      <c r="L315" s="718"/>
      <c r="M315" s="718"/>
      <c r="N315" s="718"/>
      <c r="O315" s="718"/>
      <c r="P315" s="718"/>
      <c r="Q315" s="718"/>
      <c r="R315" s="718"/>
      <c r="S315" s="718"/>
      <c r="T315" s="718"/>
      <c r="U315" s="718"/>
      <c r="V315" s="718"/>
      <c r="W315" s="718"/>
      <c r="X315" s="718"/>
      <c r="Y315" s="718"/>
      <c r="Z315" s="718"/>
      <c r="AA315" s="66"/>
      <c r="AB315" s="66"/>
      <c r="AC315" s="80"/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719">
        <v>4680115886681</v>
      </c>
      <c r="E316" s="719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89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21"/>
      <c r="R316" s="721"/>
      <c r="S316" s="721"/>
      <c r="T316" s="722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727"/>
      <c r="B317" s="727"/>
      <c r="C317" s="727"/>
      <c r="D317" s="727"/>
      <c r="E317" s="727"/>
      <c r="F317" s="727"/>
      <c r="G317" s="727"/>
      <c r="H317" s="727"/>
      <c r="I317" s="727"/>
      <c r="J317" s="727"/>
      <c r="K317" s="727"/>
      <c r="L317" s="727"/>
      <c r="M317" s="727"/>
      <c r="N317" s="727"/>
      <c r="O317" s="728"/>
      <c r="P317" s="724" t="s">
        <v>40</v>
      </c>
      <c r="Q317" s="725"/>
      <c r="R317" s="725"/>
      <c r="S317" s="725"/>
      <c r="T317" s="725"/>
      <c r="U317" s="725"/>
      <c r="V317" s="726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727"/>
      <c r="B318" s="727"/>
      <c r="C318" s="727"/>
      <c r="D318" s="727"/>
      <c r="E318" s="727"/>
      <c r="F318" s="727"/>
      <c r="G318" s="727"/>
      <c r="H318" s="727"/>
      <c r="I318" s="727"/>
      <c r="J318" s="727"/>
      <c r="K318" s="727"/>
      <c r="L318" s="727"/>
      <c r="M318" s="727"/>
      <c r="N318" s="727"/>
      <c r="O318" s="728"/>
      <c r="P318" s="724" t="s">
        <v>40</v>
      </c>
      <c r="Q318" s="725"/>
      <c r="R318" s="725"/>
      <c r="S318" s="725"/>
      <c r="T318" s="725"/>
      <c r="U318" s="725"/>
      <c r="V318" s="726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717" t="s">
        <v>537</v>
      </c>
      <c r="B319" s="717"/>
      <c r="C319" s="717"/>
      <c r="D319" s="717"/>
      <c r="E319" s="717"/>
      <c r="F319" s="717"/>
      <c r="G319" s="717"/>
      <c r="H319" s="717"/>
      <c r="I319" s="717"/>
      <c r="J319" s="717"/>
      <c r="K319" s="717"/>
      <c r="L319" s="717"/>
      <c r="M319" s="717"/>
      <c r="N319" s="717"/>
      <c r="O319" s="717"/>
      <c r="P319" s="717"/>
      <c r="Q319" s="717"/>
      <c r="R319" s="717"/>
      <c r="S319" s="717"/>
      <c r="T319" s="717"/>
      <c r="U319" s="717"/>
      <c r="V319" s="717"/>
      <c r="W319" s="717"/>
      <c r="X319" s="717"/>
      <c r="Y319" s="717"/>
      <c r="Z319" s="717"/>
      <c r="AA319" s="65"/>
      <c r="AB319" s="65"/>
      <c r="AC319" s="79"/>
    </row>
    <row r="320" spans="1:68" ht="14.25" hidden="1" customHeight="1" x14ac:dyDescent="0.25">
      <c r="A320" s="718" t="s">
        <v>122</v>
      </c>
      <c r="B320" s="718"/>
      <c r="C320" s="718"/>
      <c r="D320" s="718"/>
      <c r="E320" s="718"/>
      <c r="F320" s="718"/>
      <c r="G320" s="718"/>
      <c r="H320" s="718"/>
      <c r="I320" s="718"/>
      <c r="J320" s="718"/>
      <c r="K320" s="718"/>
      <c r="L320" s="718"/>
      <c r="M320" s="718"/>
      <c r="N320" s="718"/>
      <c r="O320" s="718"/>
      <c r="P320" s="718"/>
      <c r="Q320" s="718"/>
      <c r="R320" s="718"/>
      <c r="S320" s="718"/>
      <c r="T320" s="718"/>
      <c r="U320" s="718"/>
      <c r="V320" s="718"/>
      <c r="W320" s="718"/>
      <c r="X320" s="718"/>
      <c r="Y320" s="718"/>
      <c r="Z320" s="718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719">
        <v>4680115889637</v>
      </c>
      <c r="E321" s="71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893" t="s">
        <v>540</v>
      </c>
      <c r="Q321" s="721"/>
      <c r="R321" s="721"/>
      <c r="S321" s="721"/>
      <c r="T321" s="72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543</v>
      </c>
      <c r="B322" s="63" t="s">
        <v>544</v>
      </c>
      <c r="C322" s="36">
        <v>4301011855</v>
      </c>
      <c r="D322" s="719">
        <v>4680115885837</v>
      </c>
      <c r="E322" s="71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89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21"/>
      <c r="R322" s="721"/>
      <c r="S322" s="721"/>
      <c r="T322" s="722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546</v>
      </c>
      <c r="B323" s="63" t="s">
        <v>547</v>
      </c>
      <c r="C323" s="36">
        <v>4301012234</v>
      </c>
      <c r="D323" s="719">
        <v>4680115887237</v>
      </c>
      <c r="E323" s="71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89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21"/>
      <c r="R323" s="721"/>
      <c r="S323" s="721"/>
      <c r="T323" s="722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hidden="1" customHeight="1" x14ac:dyDescent="0.25">
      <c r="A324" s="63" t="s">
        <v>549</v>
      </c>
      <c r="B324" s="63" t="s">
        <v>550</v>
      </c>
      <c r="C324" s="36">
        <v>4301011850</v>
      </c>
      <c r="D324" s="719">
        <v>4680115885806</v>
      </c>
      <c r="E324" s="719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9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21"/>
      <c r="R324" s="721"/>
      <c r="S324" s="721"/>
      <c r="T324" s="722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hidden="1" customHeight="1" x14ac:dyDescent="0.25">
      <c r="A325" s="63" t="s">
        <v>552</v>
      </c>
      <c r="B325" s="63" t="s">
        <v>553</v>
      </c>
      <c r="C325" s="36">
        <v>4301011852</v>
      </c>
      <c r="D325" s="719">
        <v>4680115885844</v>
      </c>
      <c r="E325" s="71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8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21"/>
      <c r="R325" s="721"/>
      <c r="S325" s="721"/>
      <c r="T325" s="722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hidden="1" customHeight="1" x14ac:dyDescent="0.25">
      <c r="A326" s="63" t="s">
        <v>555</v>
      </c>
      <c r="B326" s="63" t="s">
        <v>556</v>
      </c>
      <c r="C326" s="36">
        <v>4301011851</v>
      </c>
      <c r="D326" s="719">
        <v>4680115885820</v>
      </c>
      <c r="E326" s="719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89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21"/>
      <c r="R326" s="721"/>
      <c r="S326" s="721"/>
      <c r="T326" s="722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hidden="1" x14ac:dyDescent="0.2">
      <c r="A327" s="727"/>
      <c r="B327" s="727"/>
      <c r="C327" s="727"/>
      <c r="D327" s="727"/>
      <c r="E327" s="727"/>
      <c r="F327" s="727"/>
      <c r="G327" s="727"/>
      <c r="H327" s="727"/>
      <c r="I327" s="727"/>
      <c r="J327" s="727"/>
      <c r="K327" s="727"/>
      <c r="L327" s="727"/>
      <c r="M327" s="727"/>
      <c r="N327" s="727"/>
      <c r="O327" s="728"/>
      <c r="P327" s="724" t="s">
        <v>40</v>
      </c>
      <c r="Q327" s="725"/>
      <c r="R327" s="725"/>
      <c r="S327" s="725"/>
      <c r="T327" s="725"/>
      <c r="U327" s="725"/>
      <c r="V327" s="726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727"/>
      <c r="B328" s="727"/>
      <c r="C328" s="727"/>
      <c r="D328" s="727"/>
      <c r="E328" s="727"/>
      <c r="F328" s="727"/>
      <c r="G328" s="727"/>
      <c r="H328" s="727"/>
      <c r="I328" s="727"/>
      <c r="J328" s="727"/>
      <c r="K328" s="727"/>
      <c r="L328" s="727"/>
      <c r="M328" s="727"/>
      <c r="N328" s="727"/>
      <c r="O328" s="728"/>
      <c r="P328" s="724" t="s">
        <v>40</v>
      </c>
      <c r="Q328" s="725"/>
      <c r="R328" s="725"/>
      <c r="S328" s="725"/>
      <c r="T328" s="725"/>
      <c r="U328" s="725"/>
      <c r="V328" s="726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hidden="1" customHeight="1" x14ac:dyDescent="0.25">
      <c r="A329" s="717" t="s">
        <v>558</v>
      </c>
      <c r="B329" s="717"/>
      <c r="C329" s="717"/>
      <c r="D329" s="717"/>
      <c r="E329" s="717"/>
      <c r="F329" s="717"/>
      <c r="G329" s="717"/>
      <c r="H329" s="717"/>
      <c r="I329" s="717"/>
      <c r="J329" s="717"/>
      <c r="K329" s="717"/>
      <c r="L329" s="717"/>
      <c r="M329" s="717"/>
      <c r="N329" s="717"/>
      <c r="O329" s="717"/>
      <c r="P329" s="717"/>
      <c r="Q329" s="717"/>
      <c r="R329" s="717"/>
      <c r="S329" s="717"/>
      <c r="T329" s="717"/>
      <c r="U329" s="717"/>
      <c r="V329" s="717"/>
      <c r="W329" s="717"/>
      <c r="X329" s="717"/>
      <c r="Y329" s="717"/>
      <c r="Z329" s="717"/>
      <c r="AA329" s="65"/>
      <c r="AB329" s="65"/>
      <c r="AC329" s="79"/>
    </row>
    <row r="330" spans="1:68" ht="14.25" hidden="1" customHeight="1" x14ac:dyDescent="0.25">
      <c r="A330" s="718" t="s">
        <v>86</v>
      </c>
      <c r="B330" s="718"/>
      <c r="C330" s="718"/>
      <c r="D330" s="718"/>
      <c r="E330" s="718"/>
      <c r="F330" s="718"/>
      <c r="G330" s="718"/>
      <c r="H330" s="718"/>
      <c r="I330" s="718"/>
      <c r="J330" s="718"/>
      <c r="K330" s="718"/>
      <c r="L330" s="718"/>
      <c r="M330" s="718"/>
      <c r="N330" s="718"/>
      <c r="O330" s="718"/>
      <c r="P330" s="718"/>
      <c r="Q330" s="718"/>
      <c r="R330" s="718"/>
      <c r="S330" s="718"/>
      <c r="T330" s="718"/>
      <c r="U330" s="718"/>
      <c r="V330" s="718"/>
      <c r="W330" s="718"/>
      <c r="X330" s="718"/>
      <c r="Y330" s="718"/>
      <c r="Z330" s="718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719">
        <v>4680115886186</v>
      </c>
      <c r="E331" s="719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8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21"/>
      <c r="R331" s="721"/>
      <c r="S331" s="721"/>
      <c r="T331" s="72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562</v>
      </c>
      <c r="B332" s="63" t="s">
        <v>563</v>
      </c>
      <c r="C332" s="36">
        <v>4301051795</v>
      </c>
      <c r="D332" s="719">
        <v>4680115881228</v>
      </c>
      <c r="E332" s="719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90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21"/>
      <c r="R332" s="721"/>
      <c r="S332" s="721"/>
      <c r="T332" s="72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565</v>
      </c>
      <c r="B333" s="63" t="s">
        <v>566</v>
      </c>
      <c r="C333" s="36">
        <v>4301051388</v>
      </c>
      <c r="D333" s="719">
        <v>4680115881211</v>
      </c>
      <c r="E333" s="719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90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21"/>
      <c r="R333" s="721"/>
      <c r="S333" s="721"/>
      <c r="T333" s="72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27"/>
      <c r="B334" s="727"/>
      <c r="C334" s="727"/>
      <c r="D334" s="727"/>
      <c r="E334" s="727"/>
      <c r="F334" s="727"/>
      <c r="G334" s="727"/>
      <c r="H334" s="727"/>
      <c r="I334" s="727"/>
      <c r="J334" s="727"/>
      <c r="K334" s="727"/>
      <c r="L334" s="727"/>
      <c r="M334" s="727"/>
      <c r="N334" s="727"/>
      <c r="O334" s="728"/>
      <c r="P334" s="724" t="s">
        <v>40</v>
      </c>
      <c r="Q334" s="725"/>
      <c r="R334" s="725"/>
      <c r="S334" s="725"/>
      <c r="T334" s="725"/>
      <c r="U334" s="725"/>
      <c r="V334" s="72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27"/>
      <c r="B335" s="727"/>
      <c r="C335" s="727"/>
      <c r="D335" s="727"/>
      <c r="E335" s="727"/>
      <c r="F335" s="727"/>
      <c r="G335" s="727"/>
      <c r="H335" s="727"/>
      <c r="I335" s="727"/>
      <c r="J335" s="727"/>
      <c r="K335" s="727"/>
      <c r="L335" s="727"/>
      <c r="M335" s="727"/>
      <c r="N335" s="727"/>
      <c r="O335" s="728"/>
      <c r="P335" s="724" t="s">
        <v>40</v>
      </c>
      <c r="Q335" s="725"/>
      <c r="R335" s="725"/>
      <c r="S335" s="725"/>
      <c r="T335" s="725"/>
      <c r="U335" s="725"/>
      <c r="V335" s="72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17" t="s">
        <v>567</v>
      </c>
      <c r="B336" s="717"/>
      <c r="C336" s="717"/>
      <c r="D336" s="717"/>
      <c r="E336" s="717"/>
      <c r="F336" s="717"/>
      <c r="G336" s="717"/>
      <c r="H336" s="717"/>
      <c r="I336" s="717"/>
      <c r="J336" s="717"/>
      <c r="K336" s="717"/>
      <c r="L336" s="717"/>
      <c r="M336" s="717"/>
      <c r="N336" s="717"/>
      <c r="O336" s="717"/>
      <c r="P336" s="717"/>
      <c r="Q336" s="717"/>
      <c r="R336" s="717"/>
      <c r="S336" s="717"/>
      <c r="T336" s="717"/>
      <c r="U336" s="717"/>
      <c r="V336" s="717"/>
      <c r="W336" s="717"/>
      <c r="X336" s="717"/>
      <c r="Y336" s="717"/>
      <c r="Z336" s="717"/>
      <c r="AA336" s="65"/>
      <c r="AB336" s="65"/>
      <c r="AC336" s="79"/>
    </row>
    <row r="337" spans="1:68" ht="14.25" hidden="1" customHeight="1" x14ac:dyDescent="0.25">
      <c r="A337" s="718" t="s">
        <v>77</v>
      </c>
      <c r="B337" s="718"/>
      <c r="C337" s="718"/>
      <c r="D337" s="718"/>
      <c r="E337" s="718"/>
      <c r="F337" s="718"/>
      <c r="G337" s="718"/>
      <c r="H337" s="718"/>
      <c r="I337" s="718"/>
      <c r="J337" s="718"/>
      <c r="K337" s="718"/>
      <c r="L337" s="718"/>
      <c r="M337" s="718"/>
      <c r="N337" s="718"/>
      <c r="O337" s="718"/>
      <c r="P337" s="718"/>
      <c r="Q337" s="718"/>
      <c r="R337" s="718"/>
      <c r="S337" s="718"/>
      <c r="T337" s="718"/>
      <c r="U337" s="718"/>
      <c r="V337" s="718"/>
      <c r="W337" s="718"/>
      <c r="X337" s="718"/>
      <c r="Y337" s="718"/>
      <c r="Z337" s="718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719">
        <v>4680115888319</v>
      </c>
      <c r="E338" s="719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90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21"/>
      <c r="R338" s="721"/>
      <c r="S338" s="721"/>
      <c r="T338" s="72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719">
        <v>4680115884700</v>
      </c>
      <c r="E339" s="719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90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21"/>
      <c r="R339" s="721"/>
      <c r="S339" s="721"/>
      <c r="T339" s="72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719">
        <v>4680115880344</v>
      </c>
      <c r="E340" s="719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9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21"/>
      <c r="R340" s="721"/>
      <c r="S340" s="721"/>
      <c r="T340" s="72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719">
        <v>4680115886919</v>
      </c>
      <c r="E341" s="719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90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21"/>
      <c r="R341" s="721"/>
      <c r="S341" s="721"/>
      <c r="T341" s="722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719">
        <v>4680115883970</v>
      </c>
      <c r="E342" s="719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90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21"/>
      <c r="R342" s="721"/>
      <c r="S342" s="721"/>
      <c r="T342" s="72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27"/>
      <c r="B343" s="727"/>
      <c r="C343" s="727"/>
      <c r="D343" s="727"/>
      <c r="E343" s="727"/>
      <c r="F343" s="727"/>
      <c r="G343" s="727"/>
      <c r="H343" s="727"/>
      <c r="I343" s="727"/>
      <c r="J343" s="727"/>
      <c r="K343" s="727"/>
      <c r="L343" s="727"/>
      <c r="M343" s="727"/>
      <c r="N343" s="727"/>
      <c r="O343" s="728"/>
      <c r="P343" s="724" t="s">
        <v>40</v>
      </c>
      <c r="Q343" s="725"/>
      <c r="R343" s="725"/>
      <c r="S343" s="725"/>
      <c r="T343" s="725"/>
      <c r="U343" s="725"/>
      <c r="V343" s="72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27"/>
      <c r="B344" s="727"/>
      <c r="C344" s="727"/>
      <c r="D344" s="727"/>
      <c r="E344" s="727"/>
      <c r="F344" s="727"/>
      <c r="G344" s="727"/>
      <c r="H344" s="727"/>
      <c r="I344" s="727"/>
      <c r="J344" s="727"/>
      <c r="K344" s="727"/>
      <c r="L344" s="727"/>
      <c r="M344" s="727"/>
      <c r="N344" s="727"/>
      <c r="O344" s="728"/>
      <c r="P344" s="724" t="s">
        <v>40</v>
      </c>
      <c r="Q344" s="725"/>
      <c r="R344" s="725"/>
      <c r="S344" s="725"/>
      <c r="T344" s="725"/>
      <c r="U344" s="725"/>
      <c r="V344" s="72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8" t="s">
        <v>86</v>
      </c>
      <c r="B345" s="718"/>
      <c r="C345" s="718"/>
      <c r="D345" s="718"/>
      <c r="E345" s="718"/>
      <c r="F345" s="718"/>
      <c r="G345" s="718"/>
      <c r="H345" s="718"/>
      <c r="I345" s="718"/>
      <c r="J345" s="718"/>
      <c r="K345" s="718"/>
      <c r="L345" s="718"/>
      <c r="M345" s="718"/>
      <c r="N345" s="718"/>
      <c r="O345" s="718"/>
      <c r="P345" s="718"/>
      <c r="Q345" s="718"/>
      <c r="R345" s="718"/>
      <c r="S345" s="718"/>
      <c r="T345" s="718"/>
      <c r="U345" s="718"/>
      <c r="V345" s="718"/>
      <c r="W345" s="718"/>
      <c r="X345" s="718"/>
      <c r="Y345" s="718"/>
      <c r="Z345" s="718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719">
        <v>4680115884618</v>
      </c>
      <c r="E346" s="719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90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21"/>
      <c r="R346" s="721"/>
      <c r="S346" s="721"/>
      <c r="T346" s="72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719">
        <v>4680115887114</v>
      </c>
      <c r="E347" s="719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90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21"/>
      <c r="R347" s="721"/>
      <c r="S347" s="721"/>
      <c r="T347" s="722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27"/>
      <c r="B348" s="727"/>
      <c r="C348" s="727"/>
      <c r="D348" s="727"/>
      <c r="E348" s="727"/>
      <c r="F348" s="727"/>
      <c r="G348" s="727"/>
      <c r="H348" s="727"/>
      <c r="I348" s="727"/>
      <c r="J348" s="727"/>
      <c r="K348" s="727"/>
      <c r="L348" s="727"/>
      <c r="M348" s="727"/>
      <c r="N348" s="727"/>
      <c r="O348" s="728"/>
      <c r="P348" s="724" t="s">
        <v>40</v>
      </c>
      <c r="Q348" s="725"/>
      <c r="R348" s="725"/>
      <c r="S348" s="725"/>
      <c r="T348" s="725"/>
      <c r="U348" s="725"/>
      <c r="V348" s="72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27"/>
      <c r="B349" s="727"/>
      <c r="C349" s="727"/>
      <c r="D349" s="727"/>
      <c r="E349" s="727"/>
      <c r="F349" s="727"/>
      <c r="G349" s="727"/>
      <c r="H349" s="727"/>
      <c r="I349" s="727"/>
      <c r="J349" s="727"/>
      <c r="K349" s="727"/>
      <c r="L349" s="727"/>
      <c r="M349" s="727"/>
      <c r="N349" s="727"/>
      <c r="O349" s="728"/>
      <c r="P349" s="724" t="s">
        <v>40</v>
      </c>
      <c r="Q349" s="725"/>
      <c r="R349" s="725"/>
      <c r="S349" s="725"/>
      <c r="T349" s="725"/>
      <c r="U349" s="725"/>
      <c r="V349" s="72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17" t="s">
        <v>588</v>
      </c>
      <c r="B350" s="717"/>
      <c r="C350" s="717"/>
      <c r="D350" s="717"/>
      <c r="E350" s="717"/>
      <c r="F350" s="717"/>
      <c r="G350" s="717"/>
      <c r="H350" s="717"/>
      <c r="I350" s="717"/>
      <c r="J350" s="717"/>
      <c r="K350" s="717"/>
      <c r="L350" s="717"/>
      <c r="M350" s="717"/>
      <c r="N350" s="717"/>
      <c r="O350" s="717"/>
      <c r="P350" s="717"/>
      <c r="Q350" s="717"/>
      <c r="R350" s="717"/>
      <c r="S350" s="717"/>
      <c r="T350" s="717"/>
      <c r="U350" s="717"/>
      <c r="V350" s="717"/>
      <c r="W350" s="717"/>
      <c r="X350" s="717"/>
      <c r="Y350" s="717"/>
      <c r="Z350" s="717"/>
      <c r="AA350" s="65"/>
      <c r="AB350" s="65"/>
      <c r="AC350" s="79"/>
    </row>
    <row r="351" spans="1:68" ht="14.25" hidden="1" customHeight="1" x14ac:dyDescent="0.25">
      <c r="A351" s="718" t="s">
        <v>122</v>
      </c>
      <c r="B351" s="718"/>
      <c r="C351" s="718"/>
      <c r="D351" s="718"/>
      <c r="E351" s="718"/>
      <c r="F351" s="718"/>
      <c r="G351" s="718"/>
      <c r="H351" s="718"/>
      <c r="I351" s="718"/>
      <c r="J351" s="718"/>
      <c r="K351" s="718"/>
      <c r="L351" s="718"/>
      <c r="M351" s="718"/>
      <c r="N351" s="718"/>
      <c r="O351" s="718"/>
      <c r="P351" s="718"/>
      <c r="Q351" s="718"/>
      <c r="R351" s="718"/>
      <c r="S351" s="718"/>
      <c r="T351" s="718"/>
      <c r="U351" s="718"/>
      <c r="V351" s="718"/>
      <c r="W351" s="718"/>
      <c r="X351" s="718"/>
      <c r="Y351" s="718"/>
      <c r="Z351" s="718"/>
      <c r="AA351" s="66"/>
      <c r="AB351" s="66"/>
      <c r="AC351" s="80"/>
    </row>
    <row r="352" spans="1:68" ht="27" hidden="1" customHeight="1" x14ac:dyDescent="0.25">
      <c r="A352" s="63" t="s">
        <v>589</v>
      </c>
      <c r="B352" s="63" t="s">
        <v>590</v>
      </c>
      <c r="C352" s="36">
        <v>4301012324</v>
      </c>
      <c r="D352" s="719">
        <v>4680115887947</v>
      </c>
      <c r="E352" s="719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90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21"/>
      <c r="R352" s="721"/>
      <c r="S352" s="721"/>
      <c r="T352" s="722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591</v>
      </c>
      <c r="B353" s="63" t="s">
        <v>592</v>
      </c>
      <c r="C353" s="36">
        <v>4301012325</v>
      </c>
      <c r="D353" s="719">
        <v>4680115887978</v>
      </c>
      <c r="E353" s="719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91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21"/>
      <c r="R353" s="721"/>
      <c r="S353" s="721"/>
      <c r="T353" s="722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594</v>
      </c>
      <c r="B354" s="63" t="s">
        <v>595</v>
      </c>
      <c r="C354" s="36">
        <v>4301012327</v>
      </c>
      <c r="D354" s="719">
        <v>4680115887992</v>
      </c>
      <c r="E354" s="719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1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21"/>
      <c r="R354" s="721"/>
      <c r="S354" s="721"/>
      <c r="T354" s="722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27"/>
      <c r="B355" s="727"/>
      <c r="C355" s="727"/>
      <c r="D355" s="727"/>
      <c r="E355" s="727"/>
      <c r="F355" s="727"/>
      <c r="G355" s="727"/>
      <c r="H355" s="727"/>
      <c r="I355" s="727"/>
      <c r="J355" s="727"/>
      <c r="K355" s="727"/>
      <c r="L355" s="727"/>
      <c r="M355" s="727"/>
      <c r="N355" s="727"/>
      <c r="O355" s="728"/>
      <c r="P355" s="724" t="s">
        <v>40</v>
      </c>
      <c r="Q355" s="725"/>
      <c r="R355" s="725"/>
      <c r="S355" s="725"/>
      <c r="T355" s="725"/>
      <c r="U355" s="725"/>
      <c r="V355" s="72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727"/>
      <c r="B356" s="727"/>
      <c r="C356" s="727"/>
      <c r="D356" s="727"/>
      <c r="E356" s="727"/>
      <c r="F356" s="727"/>
      <c r="G356" s="727"/>
      <c r="H356" s="727"/>
      <c r="I356" s="727"/>
      <c r="J356" s="727"/>
      <c r="K356" s="727"/>
      <c r="L356" s="727"/>
      <c r="M356" s="727"/>
      <c r="N356" s="727"/>
      <c r="O356" s="728"/>
      <c r="P356" s="724" t="s">
        <v>40</v>
      </c>
      <c r="Q356" s="725"/>
      <c r="R356" s="725"/>
      <c r="S356" s="725"/>
      <c r="T356" s="725"/>
      <c r="U356" s="725"/>
      <c r="V356" s="72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17" t="s">
        <v>597</v>
      </c>
      <c r="B357" s="717"/>
      <c r="C357" s="717"/>
      <c r="D357" s="717"/>
      <c r="E357" s="717"/>
      <c r="F357" s="717"/>
      <c r="G357" s="717"/>
      <c r="H357" s="717"/>
      <c r="I357" s="717"/>
      <c r="J357" s="717"/>
      <c r="K357" s="717"/>
      <c r="L357" s="717"/>
      <c r="M357" s="717"/>
      <c r="N357" s="717"/>
      <c r="O357" s="717"/>
      <c r="P357" s="717"/>
      <c r="Q357" s="717"/>
      <c r="R357" s="717"/>
      <c r="S357" s="717"/>
      <c r="T357" s="717"/>
      <c r="U357" s="717"/>
      <c r="V357" s="717"/>
      <c r="W357" s="717"/>
      <c r="X357" s="717"/>
      <c r="Y357" s="717"/>
      <c r="Z357" s="717"/>
      <c r="AA357" s="65"/>
      <c r="AB357" s="65"/>
      <c r="AC357" s="79"/>
    </row>
    <row r="358" spans="1:68" ht="14.25" hidden="1" customHeight="1" x14ac:dyDescent="0.25">
      <c r="A358" s="718" t="s">
        <v>122</v>
      </c>
      <c r="B358" s="718"/>
      <c r="C358" s="718"/>
      <c r="D358" s="718"/>
      <c r="E358" s="718"/>
      <c r="F358" s="718"/>
      <c r="G358" s="718"/>
      <c r="H358" s="718"/>
      <c r="I358" s="718"/>
      <c r="J358" s="718"/>
      <c r="K358" s="718"/>
      <c r="L358" s="718"/>
      <c r="M358" s="718"/>
      <c r="N358" s="718"/>
      <c r="O358" s="718"/>
      <c r="P358" s="718"/>
      <c r="Q358" s="718"/>
      <c r="R358" s="718"/>
      <c r="S358" s="718"/>
      <c r="T358" s="718"/>
      <c r="U358" s="718"/>
      <c r="V358" s="718"/>
      <c r="W358" s="718"/>
      <c r="X358" s="718"/>
      <c r="Y358" s="718"/>
      <c r="Z358" s="718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719">
        <v>4680115889880</v>
      </c>
      <c r="E359" s="719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912" t="s">
        <v>600</v>
      </c>
      <c r="Q359" s="721"/>
      <c r="R359" s="721"/>
      <c r="S359" s="721"/>
      <c r="T359" s="722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601</v>
      </c>
      <c r="B360" s="63" t="s">
        <v>602</v>
      </c>
      <c r="C360" s="36">
        <v>4301012360</v>
      </c>
      <c r="D360" s="719">
        <v>4680115889293</v>
      </c>
      <c r="E360" s="719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913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21"/>
      <c r="R360" s="721"/>
      <c r="S360" s="721"/>
      <c r="T360" s="722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hidden="1" customHeight="1" x14ac:dyDescent="0.25">
      <c r="A361" s="63" t="s">
        <v>604</v>
      </c>
      <c r="B361" s="63" t="s">
        <v>605</v>
      </c>
      <c r="C361" s="36">
        <v>4301012235</v>
      </c>
      <c r="D361" s="719">
        <v>4680115887190</v>
      </c>
      <c r="E361" s="719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1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21"/>
      <c r="R361" s="721"/>
      <c r="S361" s="721"/>
      <c r="T361" s="722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hidden="1" customHeight="1" x14ac:dyDescent="0.25">
      <c r="A362" s="63" t="s">
        <v>607</v>
      </c>
      <c r="B362" s="63" t="s">
        <v>608</v>
      </c>
      <c r="C362" s="36">
        <v>4301012233</v>
      </c>
      <c r="D362" s="719">
        <v>4680115887138</v>
      </c>
      <c r="E362" s="719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1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21"/>
      <c r="R362" s="721"/>
      <c r="S362" s="721"/>
      <c r="T362" s="722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hidden="1" customHeight="1" x14ac:dyDescent="0.25">
      <c r="A363" s="63" t="s">
        <v>610</v>
      </c>
      <c r="B363" s="63" t="s">
        <v>611</v>
      </c>
      <c r="C363" s="36">
        <v>4301012016</v>
      </c>
      <c r="D363" s="719">
        <v>4680115885554</v>
      </c>
      <c r="E363" s="71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91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21"/>
      <c r="R363" s="721"/>
      <c r="S363" s="721"/>
      <c r="T363" s="72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719">
        <v>4680115887220</v>
      </c>
      <c r="E364" s="719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91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21"/>
      <c r="R364" s="721"/>
      <c r="S364" s="721"/>
      <c r="T364" s="72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615</v>
      </c>
      <c r="B365" s="63" t="s">
        <v>616</v>
      </c>
      <c r="C365" s="36">
        <v>4301011859</v>
      </c>
      <c r="D365" s="719">
        <v>4680115885608</v>
      </c>
      <c r="E365" s="719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21"/>
      <c r="R365" s="721"/>
      <c r="S365" s="721"/>
      <c r="T365" s="72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idden="1" x14ac:dyDescent="0.2">
      <c r="A366" s="727"/>
      <c r="B366" s="727"/>
      <c r="C366" s="727"/>
      <c r="D366" s="727"/>
      <c r="E366" s="727"/>
      <c r="F366" s="727"/>
      <c r="G366" s="727"/>
      <c r="H366" s="727"/>
      <c r="I366" s="727"/>
      <c r="J366" s="727"/>
      <c r="K366" s="727"/>
      <c r="L366" s="727"/>
      <c r="M366" s="727"/>
      <c r="N366" s="727"/>
      <c r="O366" s="728"/>
      <c r="P366" s="724" t="s">
        <v>40</v>
      </c>
      <c r="Q366" s="725"/>
      <c r="R366" s="725"/>
      <c r="S366" s="725"/>
      <c r="T366" s="725"/>
      <c r="U366" s="725"/>
      <c r="V366" s="726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27"/>
      <c r="B367" s="727"/>
      <c r="C367" s="727"/>
      <c r="D367" s="727"/>
      <c r="E367" s="727"/>
      <c r="F367" s="727"/>
      <c r="G367" s="727"/>
      <c r="H367" s="727"/>
      <c r="I367" s="727"/>
      <c r="J367" s="727"/>
      <c r="K367" s="727"/>
      <c r="L367" s="727"/>
      <c r="M367" s="727"/>
      <c r="N367" s="727"/>
      <c r="O367" s="728"/>
      <c r="P367" s="724" t="s">
        <v>40</v>
      </c>
      <c r="Q367" s="725"/>
      <c r="R367" s="725"/>
      <c r="S367" s="725"/>
      <c r="T367" s="725"/>
      <c r="U367" s="725"/>
      <c r="V367" s="726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718" t="s">
        <v>77</v>
      </c>
      <c r="B368" s="718"/>
      <c r="C368" s="718"/>
      <c r="D368" s="718"/>
      <c r="E368" s="718"/>
      <c r="F368" s="718"/>
      <c r="G368" s="718"/>
      <c r="H368" s="718"/>
      <c r="I368" s="718"/>
      <c r="J368" s="718"/>
      <c r="K368" s="718"/>
      <c r="L368" s="718"/>
      <c r="M368" s="718"/>
      <c r="N368" s="718"/>
      <c r="O368" s="718"/>
      <c r="P368" s="718"/>
      <c r="Q368" s="718"/>
      <c r="R368" s="718"/>
      <c r="S368" s="718"/>
      <c r="T368" s="718"/>
      <c r="U368" s="718"/>
      <c r="V368" s="718"/>
      <c r="W368" s="718"/>
      <c r="X368" s="718"/>
      <c r="Y368" s="718"/>
      <c r="Z368" s="718"/>
      <c r="AA368" s="66"/>
      <c r="AB368" s="66"/>
      <c r="AC368" s="80"/>
    </row>
    <row r="369" spans="1:68" ht="27" hidden="1" customHeight="1" x14ac:dyDescent="0.25">
      <c r="A369" s="63" t="s">
        <v>618</v>
      </c>
      <c r="B369" s="63" t="s">
        <v>619</v>
      </c>
      <c r="C369" s="36">
        <v>4301030878</v>
      </c>
      <c r="D369" s="719">
        <v>4607091387193</v>
      </c>
      <c r="E369" s="719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91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21"/>
      <c r="R369" s="721"/>
      <c r="S369" s="721"/>
      <c r="T369" s="72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63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0</v>
      </c>
      <c r="BN369" s="78">
        <f t="shared" ref="BN369:BN375" si="65">IFERROR(Y369*I369/H369,"0")</f>
        <v>0</v>
      </c>
      <c r="BO369" s="78">
        <f t="shared" ref="BO369:BO375" si="66">IFERROR(1/J369*(X369/H369),"0")</f>
        <v>0</v>
      </c>
      <c r="BP369" s="78">
        <f t="shared" ref="BP369:BP375" si="67">IFERROR(1/J369*(Y369/H369),"0")</f>
        <v>0</v>
      </c>
    </row>
    <row r="370" spans="1:68" ht="27" hidden="1" customHeight="1" x14ac:dyDescent="0.25">
      <c r="A370" s="63" t="s">
        <v>621</v>
      </c>
      <c r="B370" s="63" t="s">
        <v>622</v>
      </c>
      <c r="C370" s="36">
        <v>4301031153</v>
      </c>
      <c r="D370" s="719">
        <v>4607091387230</v>
      </c>
      <c r="E370" s="719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92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21"/>
      <c r="R370" s="721"/>
      <c r="S370" s="721"/>
      <c r="T370" s="72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719">
        <v>4607091387292</v>
      </c>
      <c r="E371" s="719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9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21"/>
      <c r="R371" s="721"/>
      <c r="S371" s="721"/>
      <c r="T371" s="72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627</v>
      </c>
      <c r="B372" s="63" t="s">
        <v>628</v>
      </c>
      <c r="C372" s="36">
        <v>4301031152</v>
      </c>
      <c r="D372" s="719">
        <v>4607091387285</v>
      </c>
      <c r="E372" s="719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92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21"/>
      <c r="R372" s="721"/>
      <c r="S372" s="721"/>
      <c r="T372" s="72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hidden="1" customHeight="1" x14ac:dyDescent="0.25">
      <c r="A373" s="63" t="s">
        <v>629</v>
      </c>
      <c r="B373" s="63" t="s">
        <v>630</v>
      </c>
      <c r="C373" s="36">
        <v>4301031305</v>
      </c>
      <c r="D373" s="719">
        <v>4607091389845</v>
      </c>
      <c r="E373" s="719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2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21"/>
      <c r="R373" s="721"/>
      <c r="S373" s="721"/>
      <c r="T373" s="72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719">
        <v>4680115887442</v>
      </c>
      <c r="E374" s="71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2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21"/>
      <c r="R374" s="721"/>
      <c r="S374" s="721"/>
      <c r="T374" s="72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634</v>
      </c>
      <c r="B375" s="63" t="s">
        <v>635</v>
      </c>
      <c r="C375" s="36">
        <v>4301031066</v>
      </c>
      <c r="D375" s="719">
        <v>4607091383836</v>
      </c>
      <c r="E375" s="719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92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21"/>
      <c r="R375" s="721"/>
      <c r="S375" s="721"/>
      <c r="T375" s="72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idden="1" x14ac:dyDescent="0.2">
      <c r="A376" s="727"/>
      <c r="B376" s="727"/>
      <c r="C376" s="727"/>
      <c r="D376" s="727"/>
      <c r="E376" s="727"/>
      <c r="F376" s="727"/>
      <c r="G376" s="727"/>
      <c r="H376" s="727"/>
      <c r="I376" s="727"/>
      <c r="J376" s="727"/>
      <c r="K376" s="727"/>
      <c r="L376" s="727"/>
      <c r="M376" s="727"/>
      <c r="N376" s="727"/>
      <c r="O376" s="728"/>
      <c r="P376" s="724" t="s">
        <v>40</v>
      </c>
      <c r="Q376" s="725"/>
      <c r="R376" s="725"/>
      <c r="S376" s="725"/>
      <c r="T376" s="725"/>
      <c r="U376" s="725"/>
      <c r="V376" s="726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27"/>
      <c r="B377" s="727"/>
      <c r="C377" s="727"/>
      <c r="D377" s="727"/>
      <c r="E377" s="727"/>
      <c r="F377" s="727"/>
      <c r="G377" s="727"/>
      <c r="H377" s="727"/>
      <c r="I377" s="727"/>
      <c r="J377" s="727"/>
      <c r="K377" s="727"/>
      <c r="L377" s="727"/>
      <c r="M377" s="727"/>
      <c r="N377" s="727"/>
      <c r="O377" s="728"/>
      <c r="P377" s="724" t="s">
        <v>40</v>
      </c>
      <c r="Q377" s="725"/>
      <c r="R377" s="725"/>
      <c r="S377" s="725"/>
      <c r="T377" s="725"/>
      <c r="U377" s="725"/>
      <c r="V377" s="726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18" t="s">
        <v>86</v>
      </c>
      <c r="B378" s="718"/>
      <c r="C378" s="718"/>
      <c r="D378" s="718"/>
      <c r="E378" s="718"/>
      <c r="F378" s="718"/>
      <c r="G378" s="718"/>
      <c r="H378" s="718"/>
      <c r="I378" s="718"/>
      <c r="J378" s="718"/>
      <c r="K378" s="718"/>
      <c r="L378" s="718"/>
      <c r="M378" s="718"/>
      <c r="N378" s="718"/>
      <c r="O378" s="718"/>
      <c r="P378" s="718"/>
      <c r="Q378" s="718"/>
      <c r="R378" s="718"/>
      <c r="S378" s="718"/>
      <c r="T378" s="718"/>
      <c r="U378" s="718"/>
      <c r="V378" s="718"/>
      <c r="W378" s="718"/>
      <c r="X378" s="718"/>
      <c r="Y378" s="718"/>
      <c r="Z378" s="718"/>
      <c r="AA378" s="66"/>
      <c r="AB378" s="66"/>
      <c r="AC378" s="80"/>
    </row>
    <row r="379" spans="1:68" ht="27" customHeight="1" x14ac:dyDescent="0.25">
      <c r="A379" s="63" t="s">
        <v>637</v>
      </c>
      <c r="B379" s="63" t="s">
        <v>638</v>
      </c>
      <c r="C379" s="36">
        <v>4301051100</v>
      </c>
      <c r="D379" s="719">
        <v>4607091387766</v>
      </c>
      <c r="E379" s="719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9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21"/>
      <c r="R379" s="721"/>
      <c r="S379" s="721"/>
      <c r="T379" s="722"/>
      <c r="U379" s="39" t="s">
        <v>46</v>
      </c>
      <c r="V379" s="39" t="s">
        <v>46</v>
      </c>
      <c r="W379" s="40" t="s">
        <v>0</v>
      </c>
      <c r="X379" s="58">
        <v>998.4</v>
      </c>
      <c r="Y379" s="55">
        <f>IFERROR(IF(X379="",0,CEILING((X379/$H379),1)*$H379),"")</f>
        <v>998.4</v>
      </c>
      <c r="Z379" s="41">
        <f>IFERROR(IF(Y379=0,"",ROUNDUP(Y379/H379,0)*0.01898),"")</f>
        <v>2.42944</v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1060.864</v>
      </c>
      <c r="BN379" s="78">
        <f>IFERROR(Y379*I379/H379,"0")</f>
        <v>1060.864</v>
      </c>
      <c r="BO379" s="78">
        <f>IFERROR(1/J379*(X379/H379),"0")</f>
        <v>2</v>
      </c>
      <c r="BP379" s="78">
        <f>IFERROR(1/J379*(Y379/H379),"0")</f>
        <v>2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719">
        <v>4607091387957</v>
      </c>
      <c r="E380" s="719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21"/>
      <c r="R380" s="721"/>
      <c r="S380" s="721"/>
      <c r="T380" s="722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719">
        <v>4607091387964</v>
      </c>
      <c r="E381" s="719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21"/>
      <c r="R381" s="721"/>
      <c r="S381" s="721"/>
      <c r="T381" s="72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646</v>
      </c>
      <c r="B382" s="63" t="s">
        <v>647</v>
      </c>
      <c r="C382" s="36">
        <v>4301051734</v>
      </c>
      <c r="D382" s="719">
        <v>4680115884588</v>
      </c>
      <c r="E382" s="719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9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21"/>
      <c r="R382" s="721"/>
      <c r="S382" s="721"/>
      <c r="T382" s="72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727"/>
      <c r="B383" s="727"/>
      <c r="C383" s="727"/>
      <c r="D383" s="727"/>
      <c r="E383" s="727"/>
      <c r="F383" s="727"/>
      <c r="G383" s="727"/>
      <c r="H383" s="727"/>
      <c r="I383" s="727"/>
      <c r="J383" s="727"/>
      <c r="K383" s="727"/>
      <c r="L383" s="727"/>
      <c r="M383" s="727"/>
      <c r="N383" s="727"/>
      <c r="O383" s="728"/>
      <c r="P383" s="724" t="s">
        <v>40</v>
      </c>
      <c r="Q383" s="725"/>
      <c r="R383" s="725"/>
      <c r="S383" s="725"/>
      <c r="T383" s="725"/>
      <c r="U383" s="725"/>
      <c r="V383" s="726"/>
      <c r="W383" s="42" t="s">
        <v>39</v>
      </c>
      <c r="X383" s="43">
        <f>IFERROR(X379/H379,"0")+IFERROR(X380/H380,"0")+IFERROR(X381/H381,"0")+IFERROR(X382/H382,"0")</f>
        <v>128</v>
      </c>
      <c r="Y383" s="43">
        <f>IFERROR(Y379/H379,"0")+IFERROR(Y380/H380,"0")+IFERROR(Y381/H381,"0")+IFERROR(Y382/H382,"0")</f>
        <v>128</v>
      </c>
      <c r="Z383" s="43">
        <f>IFERROR(IF(Z379="",0,Z379),"0")+IFERROR(IF(Z380="",0,Z380),"0")+IFERROR(IF(Z381="",0,Z381),"0")+IFERROR(IF(Z382="",0,Z382),"0")</f>
        <v>2.42944</v>
      </c>
      <c r="AA383" s="67"/>
      <c r="AB383" s="67"/>
      <c r="AC383" s="67"/>
    </row>
    <row r="384" spans="1:68" x14ac:dyDescent="0.2">
      <c r="A384" s="727"/>
      <c r="B384" s="727"/>
      <c r="C384" s="727"/>
      <c r="D384" s="727"/>
      <c r="E384" s="727"/>
      <c r="F384" s="727"/>
      <c r="G384" s="727"/>
      <c r="H384" s="727"/>
      <c r="I384" s="727"/>
      <c r="J384" s="727"/>
      <c r="K384" s="727"/>
      <c r="L384" s="727"/>
      <c r="M384" s="727"/>
      <c r="N384" s="727"/>
      <c r="O384" s="728"/>
      <c r="P384" s="724" t="s">
        <v>40</v>
      </c>
      <c r="Q384" s="725"/>
      <c r="R384" s="725"/>
      <c r="S384" s="725"/>
      <c r="T384" s="725"/>
      <c r="U384" s="725"/>
      <c r="V384" s="726"/>
      <c r="W384" s="42" t="s">
        <v>0</v>
      </c>
      <c r="X384" s="43">
        <f>IFERROR(SUM(X379:X382),"0")</f>
        <v>998.4</v>
      </c>
      <c r="Y384" s="43">
        <f>IFERROR(SUM(Y379:Y382),"0")</f>
        <v>998.4</v>
      </c>
      <c r="Z384" s="42"/>
      <c r="AA384" s="67"/>
      <c r="AB384" s="67"/>
      <c r="AC384" s="67"/>
    </row>
    <row r="385" spans="1:68" ht="14.25" hidden="1" customHeight="1" x14ac:dyDescent="0.25">
      <c r="A385" s="718" t="s">
        <v>175</v>
      </c>
      <c r="B385" s="718"/>
      <c r="C385" s="718"/>
      <c r="D385" s="718"/>
      <c r="E385" s="718"/>
      <c r="F385" s="718"/>
      <c r="G385" s="718"/>
      <c r="H385" s="718"/>
      <c r="I385" s="718"/>
      <c r="J385" s="718"/>
      <c r="K385" s="718"/>
      <c r="L385" s="718"/>
      <c r="M385" s="718"/>
      <c r="N385" s="718"/>
      <c r="O385" s="718"/>
      <c r="P385" s="718"/>
      <c r="Q385" s="718"/>
      <c r="R385" s="718"/>
      <c r="S385" s="718"/>
      <c r="T385" s="718"/>
      <c r="U385" s="718"/>
      <c r="V385" s="718"/>
      <c r="W385" s="718"/>
      <c r="X385" s="718"/>
      <c r="Y385" s="718"/>
      <c r="Z385" s="718"/>
      <c r="AA385" s="66"/>
      <c r="AB385" s="66"/>
      <c r="AC385" s="80"/>
    </row>
    <row r="386" spans="1:68" ht="27" hidden="1" customHeight="1" x14ac:dyDescent="0.25">
      <c r="A386" s="63" t="s">
        <v>648</v>
      </c>
      <c r="B386" s="63" t="s">
        <v>649</v>
      </c>
      <c r="C386" s="36">
        <v>4301060387</v>
      </c>
      <c r="D386" s="719">
        <v>4607091380880</v>
      </c>
      <c r="E386" s="719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9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21"/>
      <c r="R386" s="721"/>
      <c r="S386" s="721"/>
      <c r="T386" s="722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651</v>
      </c>
      <c r="B387" s="63" t="s">
        <v>652</v>
      </c>
      <c r="C387" s="36">
        <v>4301060406</v>
      </c>
      <c r="D387" s="719">
        <v>4607091384482</v>
      </c>
      <c r="E387" s="719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21"/>
      <c r="R387" s="721"/>
      <c r="S387" s="721"/>
      <c r="T387" s="72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654</v>
      </c>
      <c r="B388" s="63" t="s">
        <v>655</v>
      </c>
      <c r="C388" s="36">
        <v>4301060484</v>
      </c>
      <c r="D388" s="719">
        <v>4607091380897</v>
      </c>
      <c r="E388" s="719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9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21"/>
      <c r="R388" s="721"/>
      <c r="S388" s="721"/>
      <c r="T388" s="72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27"/>
      <c r="B389" s="727"/>
      <c r="C389" s="727"/>
      <c r="D389" s="727"/>
      <c r="E389" s="727"/>
      <c r="F389" s="727"/>
      <c r="G389" s="727"/>
      <c r="H389" s="727"/>
      <c r="I389" s="727"/>
      <c r="J389" s="727"/>
      <c r="K389" s="727"/>
      <c r="L389" s="727"/>
      <c r="M389" s="727"/>
      <c r="N389" s="727"/>
      <c r="O389" s="728"/>
      <c r="P389" s="724" t="s">
        <v>40</v>
      </c>
      <c r="Q389" s="725"/>
      <c r="R389" s="725"/>
      <c r="S389" s="725"/>
      <c r="T389" s="725"/>
      <c r="U389" s="725"/>
      <c r="V389" s="726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27"/>
      <c r="B390" s="727"/>
      <c r="C390" s="727"/>
      <c r="D390" s="727"/>
      <c r="E390" s="727"/>
      <c r="F390" s="727"/>
      <c r="G390" s="727"/>
      <c r="H390" s="727"/>
      <c r="I390" s="727"/>
      <c r="J390" s="727"/>
      <c r="K390" s="727"/>
      <c r="L390" s="727"/>
      <c r="M390" s="727"/>
      <c r="N390" s="727"/>
      <c r="O390" s="728"/>
      <c r="P390" s="724" t="s">
        <v>40</v>
      </c>
      <c r="Q390" s="725"/>
      <c r="R390" s="725"/>
      <c r="S390" s="725"/>
      <c r="T390" s="725"/>
      <c r="U390" s="725"/>
      <c r="V390" s="726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18" t="s">
        <v>278</v>
      </c>
      <c r="B391" s="718"/>
      <c r="C391" s="718"/>
      <c r="D391" s="718"/>
      <c r="E391" s="718"/>
      <c r="F391" s="718"/>
      <c r="G391" s="718"/>
      <c r="H391" s="718"/>
      <c r="I391" s="718"/>
      <c r="J391" s="718"/>
      <c r="K391" s="718"/>
      <c r="L391" s="718"/>
      <c r="M391" s="718"/>
      <c r="N391" s="718"/>
      <c r="O391" s="718"/>
      <c r="P391" s="718"/>
      <c r="Q391" s="718"/>
      <c r="R391" s="718"/>
      <c r="S391" s="718"/>
      <c r="T391" s="718"/>
      <c r="U391" s="718"/>
      <c r="V391" s="718"/>
      <c r="W391" s="718"/>
      <c r="X391" s="718"/>
      <c r="Y391" s="718"/>
      <c r="Z391" s="718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719">
        <v>4607091388381</v>
      </c>
      <c r="E392" s="719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9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21"/>
      <c r="R392" s="721"/>
      <c r="S392" s="721"/>
      <c r="T392" s="722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719">
        <v>4607091388374</v>
      </c>
      <c r="E393" s="719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9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21"/>
      <c r="R393" s="721"/>
      <c r="S393" s="721"/>
      <c r="T393" s="722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662</v>
      </c>
      <c r="B394" s="63" t="s">
        <v>663</v>
      </c>
      <c r="C394" s="36">
        <v>4301032015</v>
      </c>
      <c r="D394" s="719">
        <v>4607091383102</v>
      </c>
      <c r="E394" s="719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9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21"/>
      <c r="R394" s="721"/>
      <c r="S394" s="721"/>
      <c r="T394" s="72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664</v>
      </c>
      <c r="B395" s="63" t="s">
        <v>665</v>
      </c>
      <c r="C395" s="36">
        <v>4301030233</v>
      </c>
      <c r="D395" s="719">
        <v>4607091388404</v>
      </c>
      <c r="E395" s="719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9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21"/>
      <c r="R395" s="721"/>
      <c r="S395" s="721"/>
      <c r="T395" s="72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27"/>
      <c r="B396" s="727"/>
      <c r="C396" s="727"/>
      <c r="D396" s="727"/>
      <c r="E396" s="727"/>
      <c r="F396" s="727"/>
      <c r="G396" s="727"/>
      <c r="H396" s="727"/>
      <c r="I396" s="727"/>
      <c r="J396" s="727"/>
      <c r="K396" s="727"/>
      <c r="L396" s="727"/>
      <c r="M396" s="727"/>
      <c r="N396" s="727"/>
      <c r="O396" s="728"/>
      <c r="P396" s="724" t="s">
        <v>40</v>
      </c>
      <c r="Q396" s="725"/>
      <c r="R396" s="725"/>
      <c r="S396" s="725"/>
      <c r="T396" s="725"/>
      <c r="U396" s="725"/>
      <c r="V396" s="726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27"/>
      <c r="B397" s="727"/>
      <c r="C397" s="727"/>
      <c r="D397" s="727"/>
      <c r="E397" s="727"/>
      <c r="F397" s="727"/>
      <c r="G397" s="727"/>
      <c r="H397" s="727"/>
      <c r="I397" s="727"/>
      <c r="J397" s="727"/>
      <c r="K397" s="727"/>
      <c r="L397" s="727"/>
      <c r="M397" s="727"/>
      <c r="N397" s="727"/>
      <c r="O397" s="728"/>
      <c r="P397" s="724" t="s">
        <v>40</v>
      </c>
      <c r="Q397" s="725"/>
      <c r="R397" s="725"/>
      <c r="S397" s="725"/>
      <c r="T397" s="725"/>
      <c r="U397" s="725"/>
      <c r="V397" s="726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718" t="s">
        <v>666</v>
      </c>
      <c r="B398" s="718"/>
      <c r="C398" s="718"/>
      <c r="D398" s="718"/>
      <c r="E398" s="718"/>
      <c r="F398" s="718"/>
      <c r="G398" s="718"/>
      <c r="H398" s="718"/>
      <c r="I398" s="718"/>
      <c r="J398" s="718"/>
      <c r="K398" s="718"/>
      <c r="L398" s="718"/>
      <c r="M398" s="718"/>
      <c r="N398" s="718"/>
      <c r="O398" s="718"/>
      <c r="P398" s="718"/>
      <c r="Q398" s="718"/>
      <c r="R398" s="718"/>
      <c r="S398" s="718"/>
      <c r="T398" s="718"/>
      <c r="U398" s="718"/>
      <c r="V398" s="718"/>
      <c r="W398" s="718"/>
      <c r="X398" s="718"/>
      <c r="Y398" s="718"/>
      <c r="Z398" s="718"/>
      <c r="AA398" s="66"/>
      <c r="AB398" s="66"/>
      <c r="AC398" s="80"/>
    </row>
    <row r="399" spans="1:68" ht="16.5" hidden="1" customHeight="1" x14ac:dyDescent="0.25">
      <c r="A399" s="63" t="s">
        <v>667</v>
      </c>
      <c r="B399" s="63" t="s">
        <v>668</v>
      </c>
      <c r="C399" s="36">
        <v>4301180007</v>
      </c>
      <c r="D399" s="719">
        <v>4680115881808</v>
      </c>
      <c r="E399" s="719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9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21"/>
      <c r="R399" s="721"/>
      <c r="S399" s="721"/>
      <c r="T399" s="722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719">
        <v>4680115881822</v>
      </c>
      <c r="E400" s="719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93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21"/>
      <c r="R400" s="721"/>
      <c r="S400" s="721"/>
      <c r="T400" s="72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673</v>
      </c>
      <c r="B401" s="63" t="s">
        <v>674</v>
      </c>
      <c r="C401" s="36">
        <v>4301180001</v>
      </c>
      <c r="D401" s="719">
        <v>4680115880016</v>
      </c>
      <c r="E401" s="719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93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21"/>
      <c r="R401" s="721"/>
      <c r="S401" s="721"/>
      <c r="T401" s="72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27"/>
      <c r="B402" s="727"/>
      <c r="C402" s="727"/>
      <c r="D402" s="727"/>
      <c r="E402" s="727"/>
      <c r="F402" s="727"/>
      <c r="G402" s="727"/>
      <c r="H402" s="727"/>
      <c r="I402" s="727"/>
      <c r="J402" s="727"/>
      <c r="K402" s="727"/>
      <c r="L402" s="727"/>
      <c r="M402" s="727"/>
      <c r="N402" s="727"/>
      <c r="O402" s="728"/>
      <c r="P402" s="724" t="s">
        <v>40</v>
      </c>
      <c r="Q402" s="725"/>
      <c r="R402" s="725"/>
      <c r="S402" s="725"/>
      <c r="T402" s="725"/>
      <c r="U402" s="725"/>
      <c r="V402" s="726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27"/>
      <c r="B403" s="727"/>
      <c r="C403" s="727"/>
      <c r="D403" s="727"/>
      <c r="E403" s="727"/>
      <c r="F403" s="727"/>
      <c r="G403" s="727"/>
      <c r="H403" s="727"/>
      <c r="I403" s="727"/>
      <c r="J403" s="727"/>
      <c r="K403" s="727"/>
      <c r="L403" s="727"/>
      <c r="M403" s="727"/>
      <c r="N403" s="727"/>
      <c r="O403" s="728"/>
      <c r="P403" s="724" t="s">
        <v>40</v>
      </c>
      <c r="Q403" s="725"/>
      <c r="R403" s="725"/>
      <c r="S403" s="725"/>
      <c r="T403" s="725"/>
      <c r="U403" s="725"/>
      <c r="V403" s="726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18" t="s">
        <v>675</v>
      </c>
      <c r="B404" s="718"/>
      <c r="C404" s="718"/>
      <c r="D404" s="718"/>
      <c r="E404" s="718"/>
      <c r="F404" s="718"/>
      <c r="G404" s="718"/>
      <c r="H404" s="718"/>
      <c r="I404" s="718"/>
      <c r="J404" s="718"/>
      <c r="K404" s="718"/>
      <c r="L404" s="718"/>
      <c r="M404" s="718"/>
      <c r="N404" s="718"/>
      <c r="O404" s="718"/>
      <c r="P404" s="718"/>
      <c r="Q404" s="718"/>
      <c r="R404" s="718"/>
      <c r="S404" s="718"/>
      <c r="T404" s="718"/>
      <c r="U404" s="718"/>
      <c r="V404" s="718"/>
      <c r="W404" s="718"/>
      <c r="X404" s="718"/>
      <c r="Y404" s="718"/>
      <c r="Z404" s="718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719">
        <v>4680115888678</v>
      </c>
      <c r="E405" s="719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94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21"/>
      <c r="R405" s="721"/>
      <c r="S405" s="721"/>
      <c r="T405" s="722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719">
        <v>4680115888654</v>
      </c>
      <c r="E406" s="719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94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21"/>
      <c r="R406" s="721"/>
      <c r="S406" s="721"/>
      <c r="T406" s="722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719">
        <v>4680115888753</v>
      </c>
      <c r="E407" s="719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94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21"/>
      <c r="R407" s="721"/>
      <c r="S407" s="721"/>
      <c r="T407" s="72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27"/>
      <c r="B408" s="727"/>
      <c r="C408" s="727"/>
      <c r="D408" s="727"/>
      <c r="E408" s="727"/>
      <c r="F408" s="727"/>
      <c r="G408" s="727"/>
      <c r="H408" s="727"/>
      <c r="I408" s="727"/>
      <c r="J408" s="727"/>
      <c r="K408" s="727"/>
      <c r="L408" s="727"/>
      <c r="M408" s="727"/>
      <c r="N408" s="727"/>
      <c r="O408" s="728"/>
      <c r="P408" s="724" t="s">
        <v>40</v>
      </c>
      <c r="Q408" s="725"/>
      <c r="R408" s="725"/>
      <c r="S408" s="725"/>
      <c r="T408" s="725"/>
      <c r="U408" s="725"/>
      <c r="V408" s="726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27"/>
      <c r="B409" s="727"/>
      <c r="C409" s="727"/>
      <c r="D409" s="727"/>
      <c r="E409" s="727"/>
      <c r="F409" s="727"/>
      <c r="G409" s="727"/>
      <c r="H409" s="727"/>
      <c r="I409" s="727"/>
      <c r="J409" s="727"/>
      <c r="K409" s="727"/>
      <c r="L409" s="727"/>
      <c r="M409" s="727"/>
      <c r="N409" s="727"/>
      <c r="O409" s="728"/>
      <c r="P409" s="724" t="s">
        <v>40</v>
      </c>
      <c r="Q409" s="725"/>
      <c r="R409" s="725"/>
      <c r="S409" s="725"/>
      <c r="T409" s="725"/>
      <c r="U409" s="725"/>
      <c r="V409" s="726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717" t="s">
        <v>684</v>
      </c>
      <c r="B410" s="717"/>
      <c r="C410" s="717"/>
      <c r="D410" s="717"/>
      <c r="E410" s="717"/>
      <c r="F410" s="717"/>
      <c r="G410" s="717"/>
      <c r="H410" s="717"/>
      <c r="I410" s="717"/>
      <c r="J410" s="717"/>
      <c r="K410" s="717"/>
      <c r="L410" s="717"/>
      <c r="M410" s="717"/>
      <c r="N410" s="717"/>
      <c r="O410" s="717"/>
      <c r="P410" s="717"/>
      <c r="Q410" s="717"/>
      <c r="R410" s="717"/>
      <c r="S410" s="717"/>
      <c r="T410" s="717"/>
      <c r="U410" s="717"/>
      <c r="V410" s="717"/>
      <c r="W410" s="717"/>
      <c r="X410" s="717"/>
      <c r="Y410" s="717"/>
      <c r="Z410" s="717"/>
      <c r="AA410" s="65"/>
      <c r="AB410" s="65"/>
      <c r="AC410" s="79"/>
    </row>
    <row r="411" spans="1:68" ht="14.25" hidden="1" customHeight="1" x14ac:dyDescent="0.25">
      <c r="A411" s="718" t="s">
        <v>86</v>
      </c>
      <c r="B411" s="718"/>
      <c r="C411" s="718"/>
      <c r="D411" s="718"/>
      <c r="E411" s="718"/>
      <c r="F411" s="718"/>
      <c r="G411" s="718"/>
      <c r="H411" s="718"/>
      <c r="I411" s="718"/>
      <c r="J411" s="718"/>
      <c r="K411" s="718"/>
      <c r="L411" s="718"/>
      <c r="M411" s="718"/>
      <c r="N411" s="718"/>
      <c r="O411" s="718"/>
      <c r="P411" s="718"/>
      <c r="Q411" s="718"/>
      <c r="R411" s="718"/>
      <c r="S411" s="718"/>
      <c r="T411" s="718"/>
      <c r="U411" s="718"/>
      <c r="V411" s="718"/>
      <c r="W411" s="718"/>
      <c r="X411" s="718"/>
      <c r="Y411" s="718"/>
      <c r="Z411" s="718"/>
      <c r="AA411" s="66"/>
      <c r="AB411" s="66"/>
      <c r="AC411" s="80"/>
    </row>
    <row r="412" spans="1:68" ht="16.5" hidden="1" customHeight="1" x14ac:dyDescent="0.25">
      <c r="A412" s="63" t="s">
        <v>685</v>
      </c>
      <c r="B412" s="63" t="s">
        <v>686</v>
      </c>
      <c r="C412" s="36">
        <v>4301052235</v>
      </c>
      <c r="D412" s="719">
        <v>4680115889415</v>
      </c>
      <c r="E412" s="719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94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21"/>
      <c r="R412" s="721"/>
      <c r="S412" s="721"/>
      <c r="T412" s="722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688</v>
      </c>
      <c r="B413" s="63" t="s">
        <v>689</v>
      </c>
      <c r="C413" s="36">
        <v>4301052236</v>
      </c>
      <c r="D413" s="719">
        <v>4680115889422</v>
      </c>
      <c r="E413" s="719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4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21"/>
      <c r="R413" s="721"/>
      <c r="S413" s="721"/>
      <c r="T413" s="72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27"/>
      <c r="B414" s="727"/>
      <c r="C414" s="727"/>
      <c r="D414" s="727"/>
      <c r="E414" s="727"/>
      <c r="F414" s="727"/>
      <c r="G414" s="727"/>
      <c r="H414" s="727"/>
      <c r="I414" s="727"/>
      <c r="J414" s="727"/>
      <c r="K414" s="727"/>
      <c r="L414" s="727"/>
      <c r="M414" s="727"/>
      <c r="N414" s="727"/>
      <c r="O414" s="728"/>
      <c r="P414" s="724" t="s">
        <v>40</v>
      </c>
      <c r="Q414" s="725"/>
      <c r="R414" s="725"/>
      <c r="S414" s="725"/>
      <c r="T414" s="725"/>
      <c r="U414" s="725"/>
      <c r="V414" s="726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727"/>
      <c r="B415" s="727"/>
      <c r="C415" s="727"/>
      <c r="D415" s="727"/>
      <c r="E415" s="727"/>
      <c r="F415" s="727"/>
      <c r="G415" s="727"/>
      <c r="H415" s="727"/>
      <c r="I415" s="727"/>
      <c r="J415" s="727"/>
      <c r="K415" s="727"/>
      <c r="L415" s="727"/>
      <c r="M415" s="727"/>
      <c r="N415" s="727"/>
      <c r="O415" s="728"/>
      <c r="P415" s="724" t="s">
        <v>40</v>
      </c>
      <c r="Q415" s="725"/>
      <c r="R415" s="725"/>
      <c r="S415" s="725"/>
      <c r="T415" s="725"/>
      <c r="U415" s="725"/>
      <c r="V415" s="726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17" t="s">
        <v>691</v>
      </c>
      <c r="B416" s="717"/>
      <c r="C416" s="717"/>
      <c r="D416" s="717"/>
      <c r="E416" s="717"/>
      <c r="F416" s="717"/>
      <c r="G416" s="717"/>
      <c r="H416" s="717"/>
      <c r="I416" s="717"/>
      <c r="J416" s="717"/>
      <c r="K416" s="717"/>
      <c r="L416" s="717"/>
      <c r="M416" s="717"/>
      <c r="N416" s="717"/>
      <c r="O416" s="717"/>
      <c r="P416" s="717"/>
      <c r="Q416" s="717"/>
      <c r="R416" s="717"/>
      <c r="S416" s="717"/>
      <c r="T416" s="717"/>
      <c r="U416" s="717"/>
      <c r="V416" s="717"/>
      <c r="W416" s="717"/>
      <c r="X416" s="717"/>
      <c r="Y416" s="717"/>
      <c r="Z416" s="717"/>
      <c r="AA416" s="65"/>
      <c r="AB416" s="65"/>
      <c r="AC416" s="79"/>
    </row>
    <row r="417" spans="1:68" ht="14.25" hidden="1" customHeight="1" x14ac:dyDescent="0.25">
      <c r="A417" s="718" t="s">
        <v>86</v>
      </c>
      <c r="B417" s="718"/>
      <c r="C417" s="718"/>
      <c r="D417" s="718"/>
      <c r="E417" s="718"/>
      <c r="F417" s="718"/>
      <c r="G417" s="718"/>
      <c r="H417" s="718"/>
      <c r="I417" s="718"/>
      <c r="J417" s="718"/>
      <c r="K417" s="718"/>
      <c r="L417" s="718"/>
      <c r="M417" s="718"/>
      <c r="N417" s="718"/>
      <c r="O417" s="718"/>
      <c r="P417" s="718"/>
      <c r="Q417" s="718"/>
      <c r="R417" s="718"/>
      <c r="S417" s="718"/>
      <c r="T417" s="718"/>
      <c r="U417" s="718"/>
      <c r="V417" s="718"/>
      <c r="W417" s="718"/>
      <c r="X417" s="718"/>
      <c r="Y417" s="718"/>
      <c r="Z417" s="718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4301051489</v>
      </c>
      <c r="D418" s="719">
        <v>4607091387919</v>
      </c>
      <c r="E418" s="719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9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21"/>
      <c r="R418" s="721"/>
      <c r="S418" s="721"/>
      <c r="T418" s="722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4301051461</v>
      </c>
      <c r="D419" s="719">
        <v>4680115883604</v>
      </c>
      <c r="E419" s="719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94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21"/>
      <c r="R419" s="721"/>
      <c r="S419" s="721"/>
      <c r="T419" s="722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4301051864</v>
      </c>
      <c r="D420" s="719">
        <v>4680115883567</v>
      </c>
      <c r="E420" s="719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94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21"/>
      <c r="R420" s="721"/>
      <c r="S420" s="721"/>
      <c r="T420" s="72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727"/>
      <c r="B421" s="727"/>
      <c r="C421" s="727"/>
      <c r="D421" s="727"/>
      <c r="E421" s="727"/>
      <c r="F421" s="727"/>
      <c r="G421" s="727"/>
      <c r="H421" s="727"/>
      <c r="I421" s="727"/>
      <c r="J421" s="727"/>
      <c r="K421" s="727"/>
      <c r="L421" s="727"/>
      <c r="M421" s="727"/>
      <c r="N421" s="727"/>
      <c r="O421" s="728"/>
      <c r="P421" s="724" t="s">
        <v>40</v>
      </c>
      <c r="Q421" s="725"/>
      <c r="R421" s="725"/>
      <c r="S421" s="725"/>
      <c r="T421" s="725"/>
      <c r="U421" s="725"/>
      <c r="V421" s="726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727"/>
      <c r="B422" s="727"/>
      <c r="C422" s="727"/>
      <c r="D422" s="727"/>
      <c r="E422" s="727"/>
      <c r="F422" s="727"/>
      <c r="G422" s="727"/>
      <c r="H422" s="727"/>
      <c r="I422" s="727"/>
      <c r="J422" s="727"/>
      <c r="K422" s="727"/>
      <c r="L422" s="727"/>
      <c r="M422" s="727"/>
      <c r="N422" s="727"/>
      <c r="O422" s="728"/>
      <c r="P422" s="724" t="s">
        <v>40</v>
      </c>
      <c r="Q422" s="725"/>
      <c r="R422" s="725"/>
      <c r="S422" s="725"/>
      <c r="T422" s="725"/>
      <c r="U422" s="725"/>
      <c r="V422" s="726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716" t="s">
        <v>701</v>
      </c>
      <c r="B423" s="716"/>
      <c r="C423" s="716"/>
      <c r="D423" s="716"/>
      <c r="E423" s="716"/>
      <c r="F423" s="716"/>
      <c r="G423" s="716"/>
      <c r="H423" s="716"/>
      <c r="I423" s="716"/>
      <c r="J423" s="716"/>
      <c r="K423" s="716"/>
      <c r="L423" s="716"/>
      <c r="M423" s="716"/>
      <c r="N423" s="716"/>
      <c r="O423" s="716"/>
      <c r="P423" s="716"/>
      <c r="Q423" s="716"/>
      <c r="R423" s="716"/>
      <c r="S423" s="716"/>
      <c r="T423" s="716"/>
      <c r="U423" s="716"/>
      <c r="V423" s="716"/>
      <c r="W423" s="716"/>
      <c r="X423" s="716"/>
      <c r="Y423" s="716"/>
      <c r="Z423" s="716"/>
      <c r="AA423" s="54"/>
      <c r="AB423" s="54"/>
      <c r="AC423" s="54"/>
    </row>
    <row r="424" spans="1:68" ht="16.5" hidden="1" customHeight="1" x14ac:dyDescent="0.25">
      <c r="A424" s="717" t="s">
        <v>702</v>
      </c>
      <c r="B424" s="717"/>
      <c r="C424" s="717"/>
      <c r="D424" s="717"/>
      <c r="E424" s="717"/>
      <c r="F424" s="717"/>
      <c r="G424" s="717"/>
      <c r="H424" s="717"/>
      <c r="I424" s="717"/>
      <c r="J424" s="717"/>
      <c r="K424" s="717"/>
      <c r="L424" s="717"/>
      <c r="M424" s="717"/>
      <c r="N424" s="717"/>
      <c r="O424" s="717"/>
      <c r="P424" s="717"/>
      <c r="Q424" s="717"/>
      <c r="R424" s="717"/>
      <c r="S424" s="717"/>
      <c r="T424" s="717"/>
      <c r="U424" s="717"/>
      <c r="V424" s="717"/>
      <c r="W424" s="717"/>
      <c r="X424" s="717"/>
      <c r="Y424" s="717"/>
      <c r="Z424" s="717"/>
      <c r="AA424" s="65"/>
      <c r="AB424" s="65"/>
      <c r="AC424" s="79"/>
    </row>
    <row r="425" spans="1:68" ht="14.25" hidden="1" customHeight="1" x14ac:dyDescent="0.25">
      <c r="A425" s="718" t="s">
        <v>122</v>
      </c>
      <c r="B425" s="718"/>
      <c r="C425" s="718"/>
      <c r="D425" s="718"/>
      <c r="E425" s="718"/>
      <c r="F425" s="718"/>
      <c r="G425" s="718"/>
      <c r="H425" s="718"/>
      <c r="I425" s="718"/>
      <c r="J425" s="718"/>
      <c r="K425" s="718"/>
      <c r="L425" s="718"/>
      <c r="M425" s="718"/>
      <c r="N425" s="718"/>
      <c r="O425" s="718"/>
      <c r="P425" s="718"/>
      <c r="Q425" s="718"/>
      <c r="R425" s="718"/>
      <c r="S425" s="718"/>
      <c r="T425" s="718"/>
      <c r="U425" s="718"/>
      <c r="V425" s="718"/>
      <c r="W425" s="718"/>
      <c r="X425" s="718"/>
      <c r="Y425" s="718"/>
      <c r="Z425" s="718"/>
      <c r="AA425" s="66"/>
      <c r="AB425" s="66"/>
      <c r="AC425" s="80"/>
    </row>
    <row r="426" spans="1:68" ht="27" hidden="1" customHeight="1" x14ac:dyDescent="0.25">
      <c r="A426" s="63" t="s">
        <v>703</v>
      </c>
      <c r="B426" s="63" t="s">
        <v>704</v>
      </c>
      <c r="C426" s="36">
        <v>4301012332</v>
      </c>
      <c r="D426" s="719">
        <v>4680115888401</v>
      </c>
      <c r="E426" s="71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94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21"/>
      <c r="R426" s="721"/>
      <c r="S426" s="721"/>
      <c r="T426" s="72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hidden="1" customHeight="1" x14ac:dyDescent="0.25">
      <c r="A427" s="63" t="s">
        <v>706</v>
      </c>
      <c r="B427" s="63" t="s">
        <v>707</v>
      </c>
      <c r="C427" s="36">
        <v>4301011869</v>
      </c>
      <c r="D427" s="719">
        <v>4680115884847</v>
      </c>
      <c r="E427" s="71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9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21"/>
      <c r="R427" s="721"/>
      <c r="S427" s="721"/>
      <c r="T427" s="72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8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0</v>
      </c>
      <c r="BN427" s="78">
        <f t="shared" si="70"/>
        <v>0</v>
      </c>
      <c r="BO427" s="78">
        <f t="shared" si="71"/>
        <v>0</v>
      </c>
      <c r="BP427" s="78">
        <f t="shared" si="72"/>
        <v>0</v>
      </c>
    </row>
    <row r="428" spans="1:68" ht="27" hidden="1" customHeight="1" x14ac:dyDescent="0.25">
      <c r="A428" s="63" t="s">
        <v>709</v>
      </c>
      <c r="B428" s="63" t="s">
        <v>710</v>
      </c>
      <c r="C428" s="36">
        <v>4301012083</v>
      </c>
      <c r="D428" s="719">
        <v>4680115884854</v>
      </c>
      <c r="E428" s="719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95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21"/>
      <c r="R428" s="721"/>
      <c r="S428" s="721"/>
      <c r="T428" s="72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0</v>
      </c>
      <c r="BN428" s="78">
        <f t="shared" si="70"/>
        <v>0</v>
      </c>
      <c r="BO428" s="78">
        <f t="shared" si="71"/>
        <v>0</v>
      </c>
      <c r="BP428" s="78">
        <f t="shared" si="72"/>
        <v>0</v>
      </c>
    </row>
    <row r="429" spans="1:68" ht="27" hidden="1" customHeight="1" x14ac:dyDescent="0.25">
      <c r="A429" s="63" t="s">
        <v>712</v>
      </c>
      <c r="B429" s="63" t="s">
        <v>713</v>
      </c>
      <c r="C429" s="36">
        <v>4301011867</v>
      </c>
      <c r="D429" s="719">
        <v>4680115884830</v>
      </c>
      <c r="E429" s="719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95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21"/>
      <c r="R429" s="721"/>
      <c r="S429" s="721"/>
      <c r="T429" s="72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0</v>
      </c>
      <c r="BN429" s="78">
        <f t="shared" si="70"/>
        <v>0</v>
      </c>
      <c r="BO429" s="78">
        <f t="shared" si="71"/>
        <v>0</v>
      </c>
      <c r="BP429" s="78">
        <f t="shared" si="72"/>
        <v>0</v>
      </c>
    </row>
    <row r="430" spans="1:68" ht="27" hidden="1" customHeight="1" x14ac:dyDescent="0.25">
      <c r="A430" s="63" t="s">
        <v>715</v>
      </c>
      <c r="B430" s="63" t="s">
        <v>716</v>
      </c>
      <c r="C430" s="36">
        <v>4301012356</v>
      </c>
      <c r="D430" s="719">
        <v>4680115889231</v>
      </c>
      <c r="E430" s="719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95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21"/>
      <c r="R430" s="721"/>
      <c r="S430" s="721"/>
      <c r="T430" s="72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719">
        <v>4680115882638</v>
      </c>
      <c r="E431" s="719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95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21"/>
      <c r="R431" s="721"/>
      <c r="S431" s="721"/>
      <c r="T431" s="722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719">
        <v>4680115884922</v>
      </c>
      <c r="E432" s="719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95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21"/>
      <c r="R432" s="721"/>
      <c r="S432" s="721"/>
      <c r="T432" s="722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hidden="1" customHeight="1" x14ac:dyDescent="0.25">
      <c r="A433" s="63" t="s">
        <v>724</v>
      </c>
      <c r="B433" s="63" t="s">
        <v>725</v>
      </c>
      <c r="C433" s="36">
        <v>4301011868</v>
      </c>
      <c r="D433" s="719">
        <v>4680115884861</v>
      </c>
      <c r="E433" s="719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5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21"/>
      <c r="R433" s="721"/>
      <c r="S433" s="721"/>
      <c r="T433" s="722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idden="1" x14ac:dyDescent="0.2">
      <c r="A434" s="727"/>
      <c r="B434" s="727"/>
      <c r="C434" s="727"/>
      <c r="D434" s="727"/>
      <c r="E434" s="727"/>
      <c r="F434" s="727"/>
      <c r="G434" s="727"/>
      <c r="H434" s="727"/>
      <c r="I434" s="727"/>
      <c r="J434" s="727"/>
      <c r="K434" s="727"/>
      <c r="L434" s="727"/>
      <c r="M434" s="727"/>
      <c r="N434" s="727"/>
      <c r="O434" s="728"/>
      <c r="P434" s="724" t="s">
        <v>40</v>
      </c>
      <c r="Q434" s="725"/>
      <c r="R434" s="725"/>
      <c r="S434" s="725"/>
      <c r="T434" s="725"/>
      <c r="U434" s="725"/>
      <c r="V434" s="726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0</v>
      </c>
      <c r="Y434" s="43">
        <f>IFERROR(Y426/H426,"0")+IFERROR(Y427/H427,"0")+IFERROR(Y428/H428,"0")+IFERROR(Y429/H429,"0")+IFERROR(Y430/H430,"0")+IFERROR(Y431/H431,"0")+IFERROR(Y432/H432,"0")+IFERROR(Y433/H433,"0")</f>
        <v>0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727"/>
      <c r="B435" s="727"/>
      <c r="C435" s="727"/>
      <c r="D435" s="727"/>
      <c r="E435" s="727"/>
      <c r="F435" s="727"/>
      <c r="G435" s="727"/>
      <c r="H435" s="727"/>
      <c r="I435" s="727"/>
      <c r="J435" s="727"/>
      <c r="K435" s="727"/>
      <c r="L435" s="727"/>
      <c r="M435" s="727"/>
      <c r="N435" s="727"/>
      <c r="O435" s="728"/>
      <c r="P435" s="724" t="s">
        <v>40</v>
      </c>
      <c r="Q435" s="725"/>
      <c r="R435" s="725"/>
      <c r="S435" s="725"/>
      <c r="T435" s="725"/>
      <c r="U435" s="725"/>
      <c r="V435" s="726"/>
      <c r="W435" s="42" t="s">
        <v>0</v>
      </c>
      <c r="X435" s="43">
        <f>IFERROR(SUM(X426:X433),"0")</f>
        <v>0</v>
      </c>
      <c r="Y435" s="43">
        <f>IFERROR(SUM(Y426:Y433),"0")</f>
        <v>0</v>
      </c>
      <c r="Z435" s="42"/>
      <c r="AA435" s="67"/>
      <c r="AB435" s="67"/>
      <c r="AC435" s="67"/>
    </row>
    <row r="436" spans="1:68" ht="14.25" hidden="1" customHeight="1" x14ac:dyDescent="0.25">
      <c r="A436" s="718" t="s">
        <v>157</v>
      </c>
      <c r="B436" s="718"/>
      <c r="C436" s="718"/>
      <c r="D436" s="718"/>
      <c r="E436" s="718"/>
      <c r="F436" s="718"/>
      <c r="G436" s="718"/>
      <c r="H436" s="718"/>
      <c r="I436" s="718"/>
      <c r="J436" s="718"/>
      <c r="K436" s="718"/>
      <c r="L436" s="718"/>
      <c r="M436" s="718"/>
      <c r="N436" s="718"/>
      <c r="O436" s="718"/>
      <c r="P436" s="718"/>
      <c r="Q436" s="718"/>
      <c r="R436" s="718"/>
      <c r="S436" s="718"/>
      <c r="T436" s="718"/>
      <c r="U436" s="718"/>
      <c r="V436" s="718"/>
      <c r="W436" s="718"/>
      <c r="X436" s="718"/>
      <c r="Y436" s="718"/>
      <c r="Z436" s="718"/>
      <c r="AA436" s="66"/>
      <c r="AB436" s="66"/>
      <c r="AC436" s="80"/>
    </row>
    <row r="437" spans="1:68" ht="27" hidden="1" customHeight="1" x14ac:dyDescent="0.25">
      <c r="A437" s="63" t="s">
        <v>727</v>
      </c>
      <c r="B437" s="63" t="s">
        <v>728</v>
      </c>
      <c r="C437" s="36">
        <v>4301020178</v>
      </c>
      <c r="D437" s="719">
        <v>4607091383980</v>
      </c>
      <c r="E437" s="71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95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21"/>
      <c r="R437" s="721"/>
      <c r="S437" s="721"/>
      <c r="T437" s="722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719">
        <v>4680115888425</v>
      </c>
      <c r="E438" s="71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21"/>
      <c r="R438" s="721"/>
      <c r="S438" s="721"/>
      <c r="T438" s="722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733</v>
      </c>
      <c r="B439" s="63" t="s">
        <v>734</v>
      </c>
      <c r="C439" s="36">
        <v>4301020179</v>
      </c>
      <c r="D439" s="719">
        <v>4607091384178</v>
      </c>
      <c r="E439" s="719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95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21"/>
      <c r="R439" s="721"/>
      <c r="S439" s="721"/>
      <c r="T439" s="72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727"/>
      <c r="B440" s="727"/>
      <c r="C440" s="727"/>
      <c r="D440" s="727"/>
      <c r="E440" s="727"/>
      <c r="F440" s="727"/>
      <c r="G440" s="727"/>
      <c r="H440" s="727"/>
      <c r="I440" s="727"/>
      <c r="J440" s="727"/>
      <c r="K440" s="727"/>
      <c r="L440" s="727"/>
      <c r="M440" s="727"/>
      <c r="N440" s="727"/>
      <c r="O440" s="728"/>
      <c r="P440" s="724" t="s">
        <v>40</v>
      </c>
      <c r="Q440" s="725"/>
      <c r="R440" s="725"/>
      <c r="S440" s="725"/>
      <c r="T440" s="725"/>
      <c r="U440" s="725"/>
      <c r="V440" s="726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727"/>
      <c r="B441" s="727"/>
      <c r="C441" s="727"/>
      <c r="D441" s="727"/>
      <c r="E441" s="727"/>
      <c r="F441" s="727"/>
      <c r="G441" s="727"/>
      <c r="H441" s="727"/>
      <c r="I441" s="727"/>
      <c r="J441" s="727"/>
      <c r="K441" s="727"/>
      <c r="L441" s="727"/>
      <c r="M441" s="727"/>
      <c r="N441" s="727"/>
      <c r="O441" s="728"/>
      <c r="P441" s="724" t="s">
        <v>40</v>
      </c>
      <c r="Q441" s="725"/>
      <c r="R441" s="725"/>
      <c r="S441" s="725"/>
      <c r="T441" s="725"/>
      <c r="U441" s="725"/>
      <c r="V441" s="726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718" t="s">
        <v>86</v>
      </c>
      <c r="B442" s="718"/>
      <c r="C442" s="718"/>
      <c r="D442" s="718"/>
      <c r="E442" s="718"/>
      <c r="F442" s="718"/>
      <c r="G442" s="718"/>
      <c r="H442" s="718"/>
      <c r="I442" s="718"/>
      <c r="J442" s="718"/>
      <c r="K442" s="718"/>
      <c r="L442" s="718"/>
      <c r="M442" s="718"/>
      <c r="N442" s="718"/>
      <c r="O442" s="718"/>
      <c r="P442" s="718"/>
      <c r="Q442" s="718"/>
      <c r="R442" s="718"/>
      <c r="S442" s="718"/>
      <c r="T442" s="718"/>
      <c r="U442" s="718"/>
      <c r="V442" s="718"/>
      <c r="W442" s="718"/>
      <c r="X442" s="718"/>
      <c r="Y442" s="718"/>
      <c r="Z442" s="718"/>
      <c r="AA442" s="66"/>
      <c r="AB442" s="66"/>
      <c r="AC442" s="80"/>
    </row>
    <row r="443" spans="1:68" ht="27" hidden="1" customHeight="1" x14ac:dyDescent="0.25">
      <c r="A443" s="63" t="s">
        <v>736</v>
      </c>
      <c r="B443" s="63" t="s">
        <v>737</v>
      </c>
      <c r="C443" s="36">
        <v>4301051903</v>
      </c>
      <c r="D443" s="719">
        <v>4607091383928</v>
      </c>
      <c r="E443" s="719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9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21"/>
      <c r="R443" s="721"/>
      <c r="S443" s="721"/>
      <c r="T443" s="722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739</v>
      </c>
      <c r="B444" s="63" t="s">
        <v>740</v>
      </c>
      <c r="C444" s="36">
        <v>4301051897</v>
      </c>
      <c r="D444" s="719">
        <v>4607091384260</v>
      </c>
      <c r="E444" s="719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6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21"/>
      <c r="R444" s="721"/>
      <c r="S444" s="721"/>
      <c r="T444" s="722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719">
        <v>4680115889538</v>
      </c>
      <c r="E445" s="719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96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21"/>
      <c r="R445" s="721"/>
      <c r="S445" s="721"/>
      <c r="T445" s="722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727"/>
      <c r="B446" s="727"/>
      <c r="C446" s="727"/>
      <c r="D446" s="727"/>
      <c r="E446" s="727"/>
      <c r="F446" s="727"/>
      <c r="G446" s="727"/>
      <c r="H446" s="727"/>
      <c r="I446" s="727"/>
      <c r="J446" s="727"/>
      <c r="K446" s="727"/>
      <c r="L446" s="727"/>
      <c r="M446" s="727"/>
      <c r="N446" s="727"/>
      <c r="O446" s="728"/>
      <c r="P446" s="724" t="s">
        <v>40</v>
      </c>
      <c r="Q446" s="725"/>
      <c r="R446" s="725"/>
      <c r="S446" s="725"/>
      <c r="T446" s="725"/>
      <c r="U446" s="725"/>
      <c r="V446" s="726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727"/>
      <c r="B447" s="727"/>
      <c r="C447" s="727"/>
      <c r="D447" s="727"/>
      <c r="E447" s="727"/>
      <c r="F447" s="727"/>
      <c r="G447" s="727"/>
      <c r="H447" s="727"/>
      <c r="I447" s="727"/>
      <c r="J447" s="727"/>
      <c r="K447" s="727"/>
      <c r="L447" s="727"/>
      <c r="M447" s="727"/>
      <c r="N447" s="727"/>
      <c r="O447" s="728"/>
      <c r="P447" s="724" t="s">
        <v>40</v>
      </c>
      <c r="Q447" s="725"/>
      <c r="R447" s="725"/>
      <c r="S447" s="725"/>
      <c r="T447" s="725"/>
      <c r="U447" s="725"/>
      <c r="V447" s="726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718" t="s">
        <v>175</v>
      </c>
      <c r="B448" s="718"/>
      <c r="C448" s="718"/>
      <c r="D448" s="718"/>
      <c r="E448" s="718"/>
      <c r="F448" s="718"/>
      <c r="G448" s="718"/>
      <c r="H448" s="718"/>
      <c r="I448" s="718"/>
      <c r="J448" s="718"/>
      <c r="K448" s="718"/>
      <c r="L448" s="718"/>
      <c r="M448" s="718"/>
      <c r="N448" s="718"/>
      <c r="O448" s="718"/>
      <c r="P448" s="718"/>
      <c r="Q448" s="718"/>
      <c r="R448" s="718"/>
      <c r="S448" s="718"/>
      <c r="T448" s="718"/>
      <c r="U448" s="718"/>
      <c r="V448" s="718"/>
      <c r="W448" s="718"/>
      <c r="X448" s="718"/>
      <c r="Y448" s="718"/>
      <c r="Z448" s="718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719">
        <v>4680115889545</v>
      </c>
      <c r="E449" s="719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96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21"/>
      <c r="R449" s="721"/>
      <c r="S449" s="721"/>
      <c r="T449" s="72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748</v>
      </c>
      <c r="B450" s="63" t="s">
        <v>749</v>
      </c>
      <c r="C450" s="36">
        <v>4301060524</v>
      </c>
      <c r="D450" s="719">
        <v>4607091384673</v>
      </c>
      <c r="E450" s="719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21"/>
      <c r="R450" s="721"/>
      <c r="S450" s="721"/>
      <c r="T450" s="722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727"/>
      <c r="B451" s="727"/>
      <c r="C451" s="727"/>
      <c r="D451" s="727"/>
      <c r="E451" s="727"/>
      <c r="F451" s="727"/>
      <c r="G451" s="727"/>
      <c r="H451" s="727"/>
      <c r="I451" s="727"/>
      <c r="J451" s="727"/>
      <c r="K451" s="727"/>
      <c r="L451" s="727"/>
      <c r="M451" s="727"/>
      <c r="N451" s="727"/>
      <c r="O451" s="728"/>
      <c r="P451" s="724" t="s">
        <v>40</v>
      </c>
      <c r="Q451" s="725"/>
      <c r="R451" s="725"/>
      <c r="S451" s="725"/>
      <c r="T451" s="725"/>
      <c r="U451" s="725"/>
      <c r="V451" s="726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727"/>
      <c r="B452" s="727"/>
      <c r="C452" s="727"/>
      <c r="D452" s="727"/>
      <c r="E452" s="727"/>
      <c r="F452" s="727"/>
      <c r="G452" s="727"/>
      <c r="H452" s="727"/>
      <c r="I452" s="727"/>
      <c r="J452" s="727"/>
      <c r="K452" s="727"/>
      <c r="L452" s="727"/>
      <c r="M452" s="727"/>
      <c r="N452" s="727"/>
      <c r="O452" s="728"/>
      <c r="P452" s="724" t="s">
        <v>40</v>
      </c>
      <c r="Q452" s="725"/>
      <c r="R452" s="725"/>
      <c r="S452" s="725"/>
      <c r="T452" s="725"/>
      <c r="U452" s="725"/>
      <c r="V452" s="726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717" t="s">
        <v>751</v>
      </c>
      <c r="B453" s="717"/>
      <c r="C453" s="717"/>
      <c r="D453" s="717"/>
      <c r="E453" s="717"/>
      <c r="F453" s="717"/>
      <c r="G453" s="717"/>
      <c r="H453" s="717"/>
      <c r="I453" s="717"/>
      <c r="J453" s="717"/>
      <c r="K453" s="717"/>
      <c r="L453" s="717"/>
      <c r="M453" s="717"/>
      <c r="N453" s="717"/>
      <c r="O453" s="717"/>
      <c r="P453" s="717"/>
      <c r="Q453" s="717"/>
      <c r="R453" s="717"/>
      <c r="S453" s="717"/>
      <c r="T453" s="717"/>
      <c r="U453" s="717"/>
      <c r="V453" s="717"/>
      <c r="W453" s="717"/>
      <c r="X453" s="717"/>
      <c r="Y453" s="717"/>
      <c r="Z453" s="717"/>
      <c r="AA453" s="65"/>
      <c r="AB453" s="65"/>
      <c r="AC453" s="79"/>
    </row>
    <row r="454" spans="1:68" ht="14.25" hidden="1" customHeight="1" x14ac:dyDescent="0.25">
      <c r="A454" s="718" t="s">
        <v>122</v>
      </c>
      <c r="B454" s="718"/>
      <c r="C454" s="718"/>
      <c r="D454" s="718"/>
      <c r="E454" s="718"/>
      <c r="F454" s="718"/>
      <c r="G454" s="718"/>
      <c r="H454" s="718"/>
      <c r="I454" s="718"/>
      <c r="J454" s="718"/>
      <c r="K454" s="718"/>
      <c r="L454" s="718"/>
      <c r="M454" s="718"/>
      <c r="N454" s="718"/>
      <c r="O454" s="718"/>
      <c r="P454" s="718"/>
      <c r="Q454" s="718"/>
      <c r="R454" s="718"/>
      <c r="S454" s="718"/>
      <c r="T454" s="718"/>
      <c r="U454" s="718"/>
      <c r="V454" s="718"/>
      <c r="W454" s="718"/>
      <c r="X454" s="718"/>
      <c r="Y454" s="718"/>
      <c r="Z454" s="718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719">
        <v>4680115884885</v>
      </c>
      <c r="E455" s="719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96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21"/>
      <c r="R455" s="721"/>
      <c r="S455" s="721"/>
      <c r="T455" s="722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719">
        <v>4680115884908</v>
      </c>
      <c r="E456" s="719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96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21"/>
      <c r="R456" s="721"/>
      <c r="S456" s="721"/>
      <c r="T456" s="72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27"/>
      <c r="B457" s="727"/>
      <c r="C457" s="727"/>
      <c r="D457" s="727"/>
      <c r="E457" s="727"/>
      <c r="F457" s="727"/>
      <c r="G457" s="727"/>
      <c r="H457" s="727"/>
      <c r="I457" s="727"/>
      <c r="J457" s="727"/>
      <c r="K457" s="727"/>
      <c r="L457" s="727"/>
      <c r="M457" s="727"/>
      <c r="N457" s="727"/>
      <c r="O457" s="728"/>
      <c r="P457" s="724" t="s">
        <v>40</v>
      </c>
      <c r="Q457" s="725"/>
      <c r="R457" s="725"/>
      <c r="S457" s="725"/>
      <c r="T457" s="725"/>
      <c r="U457" s="725"/>
      <c r="V457" s="726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27"/>
      <c r="B458" s="727"/>
      <c r="C458" s="727"/>
      <c r="D458" s="727"/>
      <c r="E458" s="727"/>
      <c r="F458" s="727"/>
      <c r="G458" s="727"/>
      <c r="H458" s="727"/>
      <c r="I458" s="727"/>
      <c r="J458" s="727"/>
      <c r="K458" s="727"/>
      <c r="L458" s="727"/>
      <c r="M458" s="727"/>
      <c r="N458" s="727"/>
      <c r="O458" s="728"/>
      <c r="P458" s="724" t="s">
        <v>40</v>
      </c>
      <c r="Q458" s="725"/>
      <c r="R458" s="725"/>
      <c r="S458" s="725"/>
      <c r="T458" s="725"/>
      <c r="U458" s="725"/>
      <c r="V458" s="726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718" t="s">
        <v>77</v>
      </c>
      <c r="B459" s="718"/>
      <c r="C459" s="718"/>
      <c r="D459" s="718"/>
      <c r="E459" s="718"/>
      <c r="F459" s="718"/>
      <c r="G459" s="718"/>
      <c r="H459" s="718"/>
      <c r="I459" s="718"/>
      <c r="J459" s="718"/>
      <c r="K459" s="718"/>
      <c r="L459" s="718"/>
      <c r="M459" s="718"/>
      <c r="N459" s="718"/>
      <c r="O459" s="718"/>
      <c r="P459" s="718"/>
      <c r="Q459" s="718"/>
      <c r="R459" s="718"/>
      <c r="S459" s="718"/>
      <c r="T459" s="718"/>
      <c r="U459" s="718"/>
      <c r="V459" s="718"/>
      <c r="W459" s="718"/>
      <c r="X459" s="718"/>
      <c r="Y459" s="718"/>
      <c r="Z459" s="718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719">
        <v>4607091384802</v>
      </c>
      <c r="E460" s="719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96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21"/>
      <c r="R460" s="721"/>
      <c r="S460" s="721"/>
      <c r="T460" s="72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27"/>
      <c r="B461" s="727"/>
      <c r="C461" s="727"/>
      <c r="D461" s="727"/>
      <c r="E461" s="727"/>
      <c r="F461" s="727"/>
      <c r="G461" s="727"/>
      <c r="H461" s="727"/>
      <c r="I461" s="727"/>
      <c r="J461" s="727"/>
      <c r="K461" s="727"/>
      <c r="L461" s="727"/>
      <c r="M461" s="727"/>
      <c r="N461" s="727"/>
      <c r="O461" s="728"/>
      <c r="P461" s="724" t="s">
        <v>40</v>
      </c>
      <c r="Q461" s="725"/>
      <c r="R461" s="725"/>
      <c r="S461" s="725"/>
      <c r="T461" s="725"/>
      <c r="U461" s="725"/>
      <c r="V461" s="726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727"/>
      <c r="B462" s="727"/>
      <c r="C462" s="727"/>
      <c r="D462" s="727"/>
      <c r="E462" s="727"/>
      <c r="F462" s="727"/>
      <c r="G462" s="727"/>
      <c r="H462" s="727"/>
      <c r="I462" s="727"/>
      <c r="J462" s="727"/>
      <c r="K462" s="727"/>
      <c r="L462" s="727"/>
      <c r="M462" s="727"/>
      <c r="N462" s="727"/>
      <c r="O462" s="728"/>
      <c r="P462" s="724" t="s">
        <v>40</v>
      </c>
      <c r="Q462" s="725"/>
      <c r="R462" s="725"/>
      <c r="S462" s="725"/>
      <c r="T462" s="725"/>
      <c r="U462" s="725"/>
      <c r="V462" s="726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718" t="s">
        <v>86</v>
      </c>
      <c r="B463" s="718"/>
      <c r="C463" s="718"/>
      <c r="D463" s="718"/>
      <c r="E463" s="718"/>
      <c r="F463" s="718"/>
      <c r="G463" s="718"/>
      <c r="H463" s="718"/>
      <c r="I463" s="718"/>
      <c r="J463" s="718"/>
      <c r="K463" s="718"/>
      <c r="L463" s="718"/>
      <c r="M463" s="718"/>
      <c r="N463" s="718"/>
      <c r="O463" s="718"/>
      <c r="P463" s="718"/>
      <c r="Q463" s="718"/>
      <c r="R463" s="718"/>
      <c r="S463" s="718"/>
      <c r="T463" s="718"/>
      <c r="U463" s="718"/>
      <c r="V463" s="718"/>
      <c r="W463" s="718"/>
      <c r="X463" s="718"/>
      <c r="Y463" s="718"/>
      <c r="Z463" s="718"/>
      <c r="AA463" s="66"/>
      <c r="AB463" s="66"/>
      <c r="AC463" s="80"/>
    </row>
    <row r="464" spans="1:68" ht="27" hidden="1" customHeight="1" x14ac:dyDescent="0.25">
      <c r="A464" s="63" t="s">
        <v>760</v>
      </c>
      <c r="B464" s="63" t="s">
        <v>761</v>
      </c>
      <c r="C464" s="36">
        <v>4301051899</v>
      </c>
      <c r="D464" s="719">
        <v>4607091384246</v>
      </c>
      <c r="E464" s="719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96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21"/>
      <c r="R464" s="721"/>
      <c r="S464" s="721"/>
      <c r="T464" s="722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719">
        <v>4607091384253</v>
      </c>
      <c r="E465" s="719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96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21"/>
      <c r="R465" s="721"/>
      <c r="S465" s="721"/>
      <c r="T465" s="722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719">
        <v>4607091384253</v>
      </c>
      <c r="E466" s="719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21"/>
      <c r="R466" s="721"/>
      <c r="S466" s="721"/>
      <c r="T466" s="72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27"/>
      <c r="B467" s="727"/>
      <c r="C467" s="727"/>
      <c r="D467" s="727"/>
      <c r="E467" s="727"/>
      <c r="F467" s="727"/>
      <c r="G467" s="727"/>
      <c r="H467" s="727"/>
      <c r="I467" s="727"/>
      <c r="J467" s="727"/>
      <c r="K467" s="727"/>
      <c r="L467" s="727"/>
      <c r="M467" s="727"/>
      <c r="N467" s="727"/>
      <c r="O467" s="728"/>
      <c r="P467" s="724" t="s">
        <v>40</v>
      </c>
      <c r="Q467" s="725"/>
      <c r="R467" s="725"/>
      <c r="S467" s="725"/>
      <c r="T467" s="725"/>
      <c r="U467" s="725"/>
      <c r="V467" s="726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727"/>
      <c r="B468" s="727"/>
      <c r="C468" s="727"/>
      <c r="D468" s="727"/>
      <c r="E468" s="727"/>
      <c r="F468" s="727"/>
      <c r="G468" s="727"/>
      <c r="H468" s="727"/>
      <c r="I468" s="727"/>
      <c r="J468" s="727"/>
      <c r="K468" s="727"/>
      <c r="L468" s="727"/>
      <c r="M468" s="727"/>
      <c r="N468" s="727"/>
      <c r="O468" s="728"/>
      <c r="P468" s="724" t="s">
        <v>40</v>
      </c>
      <c r="Q468" s="725"/>
      <c r="R468" s="725"/>
      <c r="S468" s="725"/>
      <c r="T468" s="725"/>
      <c r="U468" s="725"/>
      <c r="V468" s="726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716" t="s">
        <v>767</v>
      </c>
      <c r="B469" s="716"/>
      <c r="C469" s="716"/>
      <c r="D469" s="716"/>
      <c r="E469" s="716"/>
      <c r="F469" s="716"/>
      <c r="G469" s="716"/>
      <c r="H469" s="716"/>
      <c r="I469" s="716"/>
      <c r="J469" s="716"/>
      <c r="K469" s="716"/>
      <c r="L469" s="716"/>
      <c r="M469" s="716"/>
      <c r="N469" s="716"/>
      <c r="O469" s="716"/>
      <c r="P469" s="716"/>
      <c r="Q469" s="716"/>
      <c r="R469" s="716"/>
      <c r="S469" s="716"/>
      <c r="T469" s="716"/>
      <c r="U469" s="716"/>
      <c r="V469" s="716"/>
      <c r="W469" s="716"/>
      <c r="X469" s="716"/>
      <c r="Y469" s="716"/>
      <c r="Z469" s="716"/>
      <c r="AA469" s="54"/>
      <c r="AB469" s="54"/>
      <c r="AC469" s="54"/>
    </row>
    <row r="470" spans="1:68" ht="16.5" hidden="1" customHeight="1" x14ac:dyDescent="0.25">
      <c r="A470" s="717" t="s">
        <v>768</v>
      </c>
      <c r="B470" s="717"/>
      <c r="C470" s="717"/>
      <c r="D470" s="717"/>
      <c r="E470" s="717"/>
      <c r="F470" s="717"/>
      <c r="G470" s="717"/>
      <c r="H470" s="717"/>
      <c r="I470" s="717"/>
      <c r="J470" s="717"/>
      <c r="K470" s="717"/>
      <c r="L470" s="717"/>
      <c r="M470" s="717"/>
      <c r="N470" s="717"/>
      <c r="O470" s="717"/>
      <c r="P470" s="717"/>
      <c r="Q470" s="717"/>
      <c r="R470" s="717"/>
      <c r="S470" s="717"/>
      <c r="T470" s="717"/>
      <c r="U470" s="717"/>
      <c r="V470" s="717"/>
      <c r="W470" s="717"/>
      <c r="X470" s="717"/>
      <c r="Y470" s="717"/>
      <c r="Z470" s="717"/>
      <c r="AA470" s="65"/>
      <c r="AB470" s="65"/>
      <c r="AC470" s="79"/>
    </row>
    <row r="471" spans="1:68" ht="14.25" hidden="1" customHeight="1" x14ac:dyDescent="0.25">
      <c r="A471" s="718" t="s">
        <v>77</v>
      </c>
      <c r="B471" s="718"/>
      <c r="C471" s="718"/>
      <c r="D471" s="718"/>
      <c r="E471" s="718"/>
      <c r="F471" s="718"/>
      <c r="G471" s="718"/>
      <c r="H471" s="718"/>
      <c r="I471" s="718"/>
      <c r="J471" s="718"/>
      <c r="K471" s="718"/>
      <c r="L471" s="718"/>
      <c r="M471" s="718"/>
      <c r="N471" s="718"/>
      <c r="O471" s="718"/>
      <c r="P471" s="718"/>
      <c r="Q471" s="718"/>
      <c r="R471" s="718"/>
      <c r="S471" s="718"/>
      <c r="T471" s="718"/>
      <c r="U471" s="718"/>
      <c r="V471" s="718"/>
      <c r="W471" s="718"/>
      <c r="X471" s="718"/>
      <c r="Y471" s="718"/>
      <c r="Z471" s="718"/>
      <c r="AA471" s="66"/>
      <c r="AB471" s="66"/>
      <c r="AC471" s="80"/>
    </row>
    <row r="472" spans="1:68" ht="27" hidden="1" customHeight="1" x14ac:dyDescent="0.25">
      <c r="A472" s="63" t="s">
        <v>769</v>
      </c>
      <c r="B472" s="63" t="s">
        <v>770</v>
      </c>
      <c r="C472" s="36">
        <v>4301031405</v>
      </c>
      <c r="D472" s="719">
        <v>4680115886100</v>
      </c>
      <c r="E472" s="719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9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21"/>
      <c r="R472" s="721"/>
      <c r="S472" s="721"/>
      <c r="T472" s="72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hidden="1" customHeight="1" x14ac:dyDescent="0.25">
      <c r="A473" s="63" t="s">
        <v>772</v>
      </c>
      <c r="B473" s="63" t="s">
        <v>773</v>
      </c>
      <c r="C473" s="36">
        <v>4301031402</v>
      </c>
      <c r="D473" s="719">
        <v>4680115886124</v>
      </c>
      <c r="E473" s="719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21"/>
      <c r="R473" s="721"/>
      <c r="S473" s="721"/>
      <c r="T473" s="72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719">
        <v>4607091384338</v>
      </c>
      <c r="E474" s="71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21"/>
      <c r="R474" s="721"/>
      <c r="S474" s="721"/>
      <c r="T474" s="72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719">
        <v>4680115883161</v>
      </c>
      <c r="E475" s="719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7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21"/>
      <c r="R475" s="721"/>
      <c r="S475" s="721"/>
      <c r="T475" s="722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719">
        <v>4607091389531</v>
      </c>
      <c r="E476" s="719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21"/>
      <c r="R476" s="721"/>
      <c r="S476" s="721"/>
      <c r="T476" s="722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719">
        <v>4607091384345</v>
      </c>
      <c r="E477" s="719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7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21"/>
      <c r="R477" s="721"/>
      <c r="S477" s="721"/>
      <c r="T477" s="722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idden="1" x14ac:dyDescent="0.2">
      <c r="A478" s="727"/>
      <c r="B478" s="727"/>
      <c r="C478" s="727"/>
      <c r="D478" s="727"/>
      <c r="E478" s="727"/>
      <c r="F478" s="727"/>
      <c r="G478" s="727"/>
      <c r="H478" s="727"/>
      <c r="I478" s="727"/>
      <c r="J478" s="727"/>
      <c r="K478" s="727"/>
      <c r="L478" s="727"/>
      <c r="M478" s="727"/>
      <c r="N478" s="727"/>
      <c r="O478" s="728"/>
      <c r="P478" s="724" t="s">
        <v>40</v>
      </c>
      <c r="Q478" s="725"/>
      <c r="R478" s="725"/>
      <c r="S478" s="725"/>
      <c r="T478" s="725"/>
      <c r="U478" s="725"/>
      <c r="V478" s="726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727"/>
      <c r="B479" s="727"/>
      <c r="C479" s="727"/>
      <c r="D479" s="727"/>
      <c r="E479" s="727"/>
      <c r="F479" s="727"/>
      <c r="G479" s="727"/>
      <c r="H479" s="727"/>
      <c r="I479" s="727"/>
      <c r="J479" s="727"/>
      <c r="K479" s="727"/>
      <c r="L479" s="727"/>
      <c r="M479" s="727"/>
      <c r="N479" s="727"/>
      <c r="O479" s="728"/>
      <c r="P479" s="724" t="s">
        <v>40</v>
      </c>
      <c r="Q479" s="725"/>
      <c r="R479" s="725"/>
      <c r="S479" s="725"/>
      <c r="T479" s="725"/>
      <c r="U479" s="725"/>
      <c r="V479" s="726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718" t="s">
        <v>86</v>
      </c>
      <c r="B480" s="718"/>
      <c r="C480" s="718"/>
      <c r="D480" s="718"/>
      <c r="E480" s="718"/>
      <c r="F480" s="718"/>
      <c r="G480" s="718"/>
      <c r="H480" s="718"/>
      <c r="I480" s="718"/>
      <c r="J480" s="718"/>
      <c r="K480" s="718"/>
      <c r="L480" s="718"/>
      <c r="M480" s="718"/>
      <c r="N480" s="718"/>
      <c r="O480" s="718"/>
      <c r="P480" s="718"/>
      <c r="Q480" s="718"/>
      <c r="R480" s="718"/>
      <c r="S480" s="718"/>
      <c r="T480" s="718"/>
      <c r="U480" s="718"/>
      <c r="V480" s="718"/>
      <c r="W480" s="718"/>
      <c r="X480" s="718"/>
      <c r="Y480" s="718"/>
      <c r="Z480" s="718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719">
        <v>4607091384352</v>
      </c>
      <c r="E481" s="719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9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21"/>
      <c r="R481" s="721"/>
      <c r="S481" s="721"/>
      <c r="T481" s="722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719">
        <v>4607091389654</v>
      </c>
      <c r="E482" s="719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9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21"/>
      <c r="R482" s="721"/>
      <c r="S482" s="721"/>
      <c r="T482" s="722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727"/>
      <c r="B483" s="727"/>
      <c r="C483" s="727"/>
      <c r="D483" s="727"/>
      <c r="E483" s="727"/>
      <c r="F483" s="727"/>
      <c r="G483" s="727"/>
      <c r="H483" s="727"/>
      <c r="I483" s="727"/>
      <c r="J483" s="727"/>
      <c r="K483" s="727"/>
      <c r="L483" s="727"/>
      <c r="M483" s="727"/>
      <c r="N483" s="727"/>
      <c r="O483" s="728"/>
      <c r="P483" s="724" t="s">
        <v>40</v>
      </c>
      <c r="Q483" s="725"/>
      <c r="R483" s="725"/>
      <c r="S483" s="725"/>
      <c r="T483" s="725"/>
      <c r="U483" s="725"/>
      <c r="V483" s="726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727"/>
      <c r="B484" s="727"/>
      <c r="C484" s="727"/>
      <c r="D484" s="727"/>
      <c r="E484" s="727"/>
      <c r="F484" s="727"/>
      <c r="G484" s="727"/>
      <c r="H484" s="727"/>
      <c r="I484" s="727"/>
      <c r="J484" s="727"/>
      <c r="K484" s="727"/>
      <c r="L484" s="727"/>
      <c r="M484" s="727"/>
      <c r="N484" s="727"/>
      <c r="O484" s="728"/>
      <c r="P484" s="724" t="s">
        <v>40</v>
      </c>
      <c r="Q484" s="725"/>
      <c r="R484" s="725"/>
      <c r="S484" s="725"/>
      <c r="T484" s="725"/>
      <c r="U484" s="725"/>
      <c r="V484" s="726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717" t="s">
        <v>791</v>
      </c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7"/>
      <c r="P485" s="717"/>
      <c r="Q485" s="717"/>
      <c r="R485" s="717"/>
      <c r="S485" s="717"/>
      <c r="T485" s="717"/>
      <c r="U485" s="717"/>
      <c r="V485" s="717"/>
      <c r="W485" s="717"/>
      <c r="X485" s="717"/>
      <c r="Y485" s="717"/>
      <c r="Z485" s="717"/>
      <c r="AA485" s="65"/>
      <c r="AB485" s="65"/>
      <c r="AC485" s="79"/>
    </row>
    <row r="486" spans="1:68" ht="14.25" hidden="1" customHeight="1" x14ac:dyDescent="0.25">
      <c r="A486" s="718" t="s">
        <v>157</v>
      </c>
      <c r="B486" s="718"/>
      <c r="C486" s="718"/>
      <c r="D486" s="718"/>
      <c r="E486" s="718"/>
      <c r="F486" s="718"/>
      <c r="G486" s="718"/>
      <c r="H486" s="718"/>
      <c r="I486" s="718"/>
      <c r="J486" s="718"/>
      <c r="K486" s="718"/>
      <c r="L486" s="718"/>
      <c r="M486" s="718"/>
      <c r="N486" s="718"/>
      <c r="O486" s="718"/>
      <c r="P486" s="718"/>
      <c r="Q486" s="718"/>
      <c r="R486" s="718"/>
      <c r="S486" s="718"/>
      <c r="T486" s="718"/>
      <c r="U486" s="718"/>
      <c r="V486" s="718"/>
      <c r="W486" s="718"/>
      <c r="X486" s="718"/>
      <c r="Y486" s="718"/>
      <c r="Z486" s="718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719">
        <v>4680115885240</v>
      </c>
      <c r="E487" s="719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9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21"/>
      <c r="R487" s="721"/>
      <c r="S487" s="721"/>
      <c r="T487" s="72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727"/>
      <c r="B488" s="727"/>
      <c r="C488" s="727"/>
      <c r="D488" s="727"/>
      <c r="E488" s="727"/>
      <c r="F488" s="727"/>
      <c r="G488" s="727"/>
      <c r="H488" s="727"/>
      <c r="I488" s="727"/>
      <c r="J488" s="727"/>
      <c r="K488" s="727"/>
      <c r="L488" s="727"/>
      <c r="M488" s="727"/>
      <c r="N488" s="727"/>
      <c r="O488" s="728"/>
      <c r="P488" s="724" t="s">
        <v>40</v>
      </c>
      <c r="Q488" s="725"/>
      <c r="R488" s="725"/>
      <c r="S488" s="725"/>
      <c r="T488" s="725"/>
      <c r="U488" s="725"/>
      <c r="V488" s="726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727"/>
      <c r="B489" s="727"/>
      <c r="C489" s="727"/>
      <c r="D489" s="727"/>
      <c r="E489" s="727"/>
      <c r="F489" s="727"/>
      <c r="G489" s="727"/>
      <c r="H489" s="727"/>
      <c r="I489" s="727"/>
      <c r="J489" s="727"/>
      <c r="K489" s="727"/>
      <c r="L489" s="727"/>
      <c r="M489" s="727"/>
      <c r="N489" s="727"/>
      <c r="O489" s="728"/>
      <c r="P489" s="724" t="s">
        <v>40</v>
      </c>
      <c r="Q489" s="725"/>
      <c r="R489" s="725"/>
      <c r="S489" s="725"/>
      <c r="T489" s="725"/>
      <c r="U489" s="725"/>
      <c r="V489" s="726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18" t="s">
        <v>77</v>
      </c>
      <c r="B490" s="718"/>
      <c r="C490" s="718"/>
      <c r="D490" s="718"/>
      <c r="E490" s="718"/>
      <c r="F490" s="718"/>
      <c r="G490" s="718"/>
      <c r="H490" s="718"/>
      <c r="I490" s="718"/>
      <c r="J490" s="718"/>
      <c r="K490" s="718"/>
      <c r="L490" s="718"/>
      <c r="M490" s="718"/>
      <c r="N490" s="718"/>
      <c r="O490" s="718"/>
      <c r="P490" s="718"/>
      <c r="Q490" s="718"/>
      <c r="R490" s="718"/>
      <c r="S490" s="718"/>
      <c r="T490" s="718"/>
      <c r="U490" s="718"/>
      <c r="V490" s="718"/>
      <c r="W490" s="718"/>
      <c r="X490" s="718"/>
      <c r="Y490" s="718"/>
      <c r="Z490" s="718"/>
      <c r="AA490" s="66"/>
      <c r="AB490" s="66"/>
      <c r="AC490" s="80"/>
    </row>
    <row r="491" spans="1:68" ht="27" hidden="1" customHeight="1" x14ac:dyDescent="0.25">
      <c r="A491" s="63" t="s">
        <v>795</v>
      </c>
      <c r="B491" s="63" t="s">
        <v>796</v>
      </c>
      <c r="C491" s="36">
        <v>4301031407</v>
      </c>
      <c r="D491" s="719">
        <v>4680115886094</v>
      </c>
      <c r="E491" s="719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9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21"/>
      <c r="R491" s="721"/>
      <c r="S491" s="721"/>
      <c r="T491" s="72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719">
        <v>4680115880771</v>
      </c>
      <c r="E492" s="719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9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21"/>
      <c r="R492" s="721"/>
      <c r="S492" s="721"/>
      <c r="T492" s="722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801</v>
      </c>
      <c r="B493" s="63" t="s">
        <v>802</v>
      </c>
      <c r="C493" s="36">
        <v>4301031359</v>
      </c>
      <c r="D493" s="719">
        <v>4607091389500</v>
      </c>
      <c r="E493" s="719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8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21"/>
      <c r="R493" s="721"/>
      <c r="S493" s="721"/>
      <c r="T493" s="722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27"/>
      <c r="B494" s="727"/>
      <c r="C494" s="727"/>
      <c r="D494" s="727"/>
      <c r="E494" s="727"/>
      <c r="F494" s="727"/>
      <c r="G494" s="727"/>
      <c r="H494" s="727"/>
      <c r="I494" s="727"/>
      <c r="J494" s="727"/>
      <c r="K494" s="727"/>
      <c r="L494" s="727"/>
      <c r="M494" s="727"/>
      <c r="N494" s="727"/>
      <c r="O494" s="728"/>
      <c r="P494" s="724" t="s">
        <v>40</v>
      </c>
      <c r="Q494" s="725"/>
      <c r="R494" s="725"/>
      <c r="S494" s="725"/>
      <c r="T494" s="725"/>
      <c r="U494" s="725"/>
      <c r="V494" s="726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727"/>
      <c r="B495" s="727"/>
      <c r="C495" s="727"/>
      <c r="D495" s="727"/>
      <c r="E495" s="727"/>
      <c r="F495" s="727"/>
      <c r="G495" s="727"/>
      <c r="H495" s="727"/>
      <c r="I495" s="727"/>
      <c r="J495" s="727"/>
      <c r="K495" s="727"/>
      <c r="L495" s="727"/>
      <c r="M495" s="727"/>
      <c r="N495" s="727"/>
      <c r="O495" s="728"/>
      <c r="P495" s="724" t="s">
        <v>40</v>
      </c>
      <c r="Q495" s="725"/>
      <c r="R495" s="725"/>
      <c r="S495" s="725"/>
      <c r="T495" s="725"/>
      <c r="U495" s="725"/>
      <c r="V495" s="726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716" t="s">
        <v>803</v>
      </c>
      <c r="B496" s="716"/>
      <c r="C496" s="716"/>
      <c r="D496" s="716"/>
      <c r="E496" s="716"/>
      <c r="F496" s="716"/>
      <c r="G496" s="716"/>
      <c r="H496" s="716"/>
      <c r="I496" s="716"/>
      <c r="J496" s="716"/>
      <c r="K496" s="716"/>
      <c r="L496" s="716"/>
      <c r="M496" s="716"/>
      <c r="N496" s="716"/>
      <c r="O496" s="716"/>
      <c r="P496" s="716"/>
      <c r="Q496" s="716"/>
      <c r="R496" s="716"/>
      <c r="S496" s="716"/>
      <c r="T496" s="716"/>
      <c r="U496" s="716"/>
      <c r="V496" s="716"/>
      <c r="W496" s="716"/>
      <c r="X496" s="716"/>
      <c r="Y496" s="716"/>
      <c r="Z496" s="716"/>
      <c r="AA496" s="54"/>
      <c r="AB496" s="54"/>
      <c r="AC496" s="54"/>
    </row>
    <row r="497" spans="1:68" ht="16.5" hidden="1" customHeight="1" x14ac:dyDescent="0.25">
      <c r="A497" s="717" t="s">
        <v>803</v>
      </c>
      <c r="B497" s="717"/>
      <c r="C497" s="717"/>
      <c r="D497" s="717"/>
      <c r="E497" s="717"/>
      <c r="F497" s="717"/>
      <c r="G497" s="717"/>
      <c r="H497" s="717"/>
      <c r="I497" s="717"/>
      <c r="J497" s="717"/>
      <c r="K497" s="717"/>
      <c r="L497" s="717"/>
      <c r="M497" s="717"/>
      <c r="N497" s="717"/>
      <c r="O497" s="717"/>
      <c r="P497" s="717"/>
      <c r="Q497" s="717"/>
      <c r="R497" s="717"/>
      <c r="S497" s="717"/>
      <c r="T497" s="717"/>
      <c r="U497" s="717"/>
      <c r="V497" s="717"/>
      <c r="W497" s="717"/>
      <c r="X497" s="717"/>
      <c r="Y497" s="717"/>
      <c r="Z497" s="717"/>
      <c r="AA497" s="65"/>
      <c r="AB497" s="65"/>
      <c r="AC497" s="79"/>
    </row>
    <row r="498" spans="1:68" ht="14.25" hidden="1" customHeight="1" x14ac:dyDescent="0.25">
      <c r="A498" s="718" t="s">
        <v>122</v>
      </c>
      <c r="B498" s="718"/>
      <c r="C498" s="718"/>
      <c r="D498" s="718"/>
      <c r="E498" s="718"/>
      <c r="F498" s="718"/>
      <c r="G498" s="718"/>
      <c r="H498" s="718"/>
      <c r="I498" s="718"/>
      <c r="J498" s="718"/>
      <c r="K498" s="718"/>
      <c r="L498" s="718"/>
      <c r="M498" s="718"/>
      <c r="N498" s="718"/>
      <c r="O498" s="718"/>
      <c r="P498" s="718"/>
      <c r="Q498" s="718"/>
      <c r="R498" s="718"/>
      <c r="S498" s="718"/>
      <c r="T498" s="718"/>
      <c r="U498" s="718"/>
      <c r="V498" s="718"/>
      <c r="W498" s="718"/>
      <c r="X498" s="718"/>
      <c r="Y498" s="718"/>
      <c r="Z498" s="718"/>
      <c r="AA498" s="66"/>
      <c r="AB498" s="66"/>
      <c r="AC498" s="80"/>
    </row>
    <row r="499" spans="1:68" ht="27" hidden="1" customHeight="1" x14ac:dyDescent="0.25">
      <c r="A499" s="63" t="s">
        <v>804</v>
      </c>
      <c r="B499" s="63" t="s">
        <v>805</v>
      </c>
      <c r="C499" s="36">
        <v>4301011769</v>
      </c>
      <c r="D499" s="719">
        <v>4607091389067</v>
      </c>
      <c r="E499" s="71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21"/>
      <c r="R499" s="721"/>
      <c r="S499" s="721"/>
      <c r="T499" s="72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719">
        <v>4680115889576</v>
      </c>
      <c r="E500" s="71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98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21"/>
      <c r="R500" s="721"/>
      <c r="S500" s="721"/>
      <c r="T500" s="72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4301011961</v>
      </c>
      <c r="D501" s="719">
        <v>4680115885271</v>
      </c>
      <c r="E501" s="71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21"/>
      <c r="R501" s="721"/>
      <c r="S501" s="721"/>
      <c r="T501" s="72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hidden="1" customHeight="1" x14ac:dyDescent="0.25">
      <c r="A502" s="63" t="s">
        <v>812</v>
      </c>
      <c r="B502" s="63" t="s">
        <v>813</v>
      </c>
      <c r="C502" s="36">
        <v>4301011369</v>
      </c>
      <c r="D502" s="719">
        <v>4680115885226</v>
      </c>
      <c r="E502" s="719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8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21"/>
      <c r="R502" s="721"/>
      <c r="S502" s="721"/>
      <c r="T502" s="72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8"/>
        <v>0</v>
      </c>
      <c r="Z502" s="41" t="str">
        <f t="shared" si="79"/>
        <v/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719">
        <v>4680115884502</v>
      </c>
      <c r="E503" s="719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9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21"/>
      <c r="R503" s="721"/>
      <c r="S503" s="721"/>
      <c r="T503" s="72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818</v>
      </c>
      <c r="B504" s="63" t="s">
        <v>819</v>
      </c>
      <c r="C504" s="36">
        <v>4301011771</v>
      </c>
      <c r="D504" s="719">
        <v>4607091389104</v>
      </c>
      <c r="E504" s="719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98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21"/>
      <c r="R504" s="721"/>
      <c r="S504" s="721"/>
      <c r="T504" s="72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719">
        <v>4680115886391</v>
      </c>
      <c r="E505" s="719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98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21"/>
      <c r="R505" s="721"/>
      <c r="S505" s="721"/>
      <c r="T505" s="722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823</v>
      </c>
      <c r="B506" s="63" t="s">
        <v>824</v>
      </c>
      <c r="C506" s="36">
        <v>4301012048</v>
      </c>
      <c r="D506" s="719">
        <v>4680115880603</v>
      </c>
      <c r="E506" s="719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98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21"/>
      <c r="R506" s="721"/>
      <c r="S506" s="721"/>
      <c r="T506" s="722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825</v>
      </c>
      <c r="B507" s="63" t="s">
        <v>826</v>
      </c>
      <c r="C507" s="36">
        <v>4301012034</v>
      </c>
      <c r="D507" s="719">
        <v>4607091389982</v>
      </c>
      <c r="E507" s="719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9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21"/>
      <c r="R507" s="721"/>
      <c r="S507" s="721"/>
      <c r="T507" s="722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idden="1" x14ac:dyDescent="0.2">
      <c r="A508" s="727"/>
      <c r="B508" s="727"/>
      <c r="C508" s="727"/>
      <c r="D508" s="727"/>
      <c r="E508" s="727"/>
      <c r="F508" s="727"/>
      <c r="G508" s="727"/>
      <c r="H508" s="727"/>
      <c r="I508" s="727"/>
      <c r="J508" s="727"/>
      <c r="K508" s="727"/>
      <c r="L508" s="727"/>
      <c r="M508" s="727"/>
      <c r="N508" s="727"/>
      <c r="O508" s="728"/>
      <c r="P508" s="724" t="s">
        <v>40</v>
      </c>
      <c r="Q508" s="725"/>
      <c r="R508" s="725"/>
      <c r="S508" s="725"/>
      <c r="T508" s="725"/>
      <c r="U508" s="725"/>
      <c r="V508" s="726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hidden="1" x14ac:dyDescent="0.2">
      <c r="A509" s="727"/>
      <c r="B509" s="727"/>
      <c r="C509" s="727"/>
      <c r="D509" s="727"/>
      <c r="E509" s="727"/>
      <c r="F509" s="727"/>
      <c r="G509" s="727"/>
      <c r="H509" s="727"/>
      <c r="I509" s="727"/>
      <c r="J509" s="727"/>
      <c r="K509" s="727"/>
      <c r="L509" s="727"/>
      <c r="M509" s="727"/>
      <c r="N509" s="727"/>
      <c r="O509" s="728"/>
      <c r="P509" s="724" t="s">
        <v>40</v>
      </c>
      <c r="Q509" s="725"/>
      <c r="R509" s="725"/>
      <c r="S509" s="725"/>
      <c r="T509" s="725"/>
      <c r="U509" s="725"/>
      <c r="V509" s="726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hidden="1" customHeight="1" x14ac:dyDescent="0.25">
      <c r="A510" s="718" t="s">
        <v>157</v>
      </c>
      <c r="B510" s="718"/>
      <c r="C510" s="718"/>
      <c r="D510" s="718"/>
      <c r="E510" s="718"/>
      <c r="F510" s="718"/>
      <c r="G510" s="718"/>
      <c r="H510" s="718"/>
      <c r="I510" s="718"/>
      <c r="J510" s="718"/>
      <c r="K510" s="718"/>
      <c r="L510" s="718"/>
      <c r="M510" s="718"/>
      <c r="N510" s="718"/>
      <c r="O510" s="718"/>
      <c r="P510" s="718"/>
      <c r="Q510" s="718"/>
      <c r="R510" s="718"/>
      <c r="S510" s="718"/>
      <c r="T510" s="718"/>
      <c r="U510" s="718"/>
      <c r="V510" s="718"/>
      <c r="W510" s="718"/>
      <c r="X510" s="718"/>
      <c r="Y510" s="718"/>
      <c r="Z510" s="718"/>
      <c r="AA510" s="66"/>
      <c r="AB510" s="66"/>
      <c r="AC510" s="80"/>
    </row>
    <row r="511" spans="1:68" ht="16.5" hidden="1" customHeight="1" x14ac:dyDescent="0.25">
      <c r="A511" s="63" t="s">
        <v>827</v>
      </c>
      <c r="B511" s="63" t="s">
        <v>828</v>
      </c>
      <c r="C511" s="36">
        <v>4301020334</v>
      </c>
      <c r="D511" s="719">
        <v>4607091388930</v>
      </c>
      <c r="E511" s="71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99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21"/>
      <c r="R511" s="721"/>
      <c r="S511" s="721"/>
      <c r="T511" s="722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719">
        <v>4680115886407</v>
      </c>
      <c r="E512" s="719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99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21"/>
      <c r="R512" s="721"/>
      <c r="S512" s="721"/>
      <c r="T512" s="722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832</v>
      </c>
      <c r="B513" s="63" t="s">
        <v>833</v>
      </c>
      <c r="C513" s="36">
        <v>4301020385</v>
      </c>
      <c r="D513" s="719">
        <v>4680115880054</v>
      </c>
      <c r="E513" s="719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99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21"/>
      <c r="R513" s="721"/>
      <c r="S513" s="721"/>
      <c r="T513" s="722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727"/>
      <c r="B514" s="727"/>
      <c r="C514" s="727"/>
      <c r="D514" s="727"/>
      <c r="E514" s="727"/>
      <c r="F514" s="727"/>
      <c r="G514" s="727"/>
      <c r="H514" s="727"/>
      <c r="I514" s="727"/>
      <c r="J514" s="727"/>
      <c r="K514" s="727"/>
      <c r="L514" s="727"/>
      <c r="M514" s="727"/>
      <c r="N514" s="727"/>
      <c r="O514" s="728"/>
      <c r="P514" s="724" t="s">
        <v>40</v>
      </c>
      <c r="Q514" s="725"/>
      <c r="R514" s="725"/>
      <c r="S514" s="725"/>
      <c r="T514" s="725"/>
      <c r="U514" s="725"/>
      <c r="V514" s="726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27"/>
      <c r="B515" s="727"/>
      <c r="C515" s="727"/>
      <c r="D515" s="727"/>
      <c r="E515" s="727"/>
      <c r="F515" s="727"/>
      <c r="G515" s="727"/>
      <c r="H515" s="727"/>
      <c r="I515" s="727"/>
      <c r="J515" s="727"/>
      <c r="K515" s="727"/>
      <c r="L515" s="727"/>
      <c r="M515" s="727"/>
      <c r="N515" s="727"/>
      <c r="O515" s="728"/>
      <c r="P515" s="724" t="s">
        <v>40</v>
      </c>
      <c r="Q515" s="725"/>
      <c r="R515" s="725"/>
      <c r="S515" s="725"/>
      <c r="T515" s="725"/>
      <c r="U515" s="725"/>
      <c r="V515" s="726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18" t="s">
        <v>77</v>
      </c>
      <c r="B516" s="718"/>
      <c r="C516" s="718"/>
      <c r="D516" s="718"/>
      <c r="E516" s="718"/>
      <c r="F516" s="718"/>
      <c r="G516" s="718"/>
      <c r="H516" s="718"/>
      <c r="I516" s="718"/>
      <c r="J516" s="718"/>
      <c r="K516" s="718"/>
      <c r="L516" s="718"/>
      <c r="M516" s="718"/>
      <c r="N516" s="718"/>
      <c r="O516" s="718"/>
      <c r="P516" s="718"/>
      <c r="Q516" s="718"/>
      <c r="R516" s="718"/>
      <c r="S516" s="718"/>
      <c r="T516" s="718"/>
      <c r="U516" s="718"/>
      <c r="V516" s="718"/>
      <c r="W516" s="718"/>
      <c r="X516" s="718"/>
      <c r="Y516" s="718"/>
      <c r="Z516" s="718"/>
      <c r="AA516" s="66"/>
      <c r="AB516" s="66"/>
      <c r="AC516" s="80"/>
    </row>
    <row r="517" spans="1:68" ht="27" hidden="1" customHeight="1" x14ac:dyDescent="0.25">
      <c r="A517" s="63" t="s">
        <v>834</v>
      </c>
      <c r="B517" s="63" t="s">
        <v>835</v>
      </c>
      <c r="C517" s="36">
        <v>4301031349</v>
      </c>
      <c r="D517" s="719">
        <v>4680115883116</v>
      </c>
      <c r="E517" s="719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99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21"/>
      <c r="R517" s="721"/>
      <c r="S517" s="721"/>
      <c r="T517" s="72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84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0</v>
      </c>
      <c r="BN517" s="78">
        <f t="shared" ref="BN517:BN523" si="86">IFERROR(Y517*I517/H517,"0")</f>
        <v>0</v>
      </c>
      <c r="BO517" s="78">
        <f t="shared" ref="BO517:BO523" si="87">IFERROR(1/J517*(X517/H517),"0")</f>
        <v>0</v>
      </c>
      <c r="BP517" s="78">
        <f t="shared" ref="BP517:BP523" si="88">IFERROR(1/J517*(Y517/H517),"0")</f>
        <v>0</v>
      </c>
    </row>
    <row r="518" spans="1:68" ht="27" hidden="1" customHeight="1" x14ac:dyDescent="0.25">
      <c r="A518" s="63" t="s">
        <v>837</v>
      </c>
      <c r="B518" s="63" t="s">
        <v>838</v>
      </c>
      <c r="C518" s="36">
        <v>4301031350</v>
      </c>
      <c r="D518" s="719">
        <v>4680115883093</v>
      </c>
      <c r="E518" s="719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99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21"/>
      <c r="R518" s="721"/>
      <c r="S518" s="721"/>
      <c r="T518" s="72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4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0</v>
      </c>
      <c r="BN518" s="78">
        <f t="shared" si="86"/>
        <v>0</v>
      </c>
      <c r="BO518" s="78">
        <f t="shared" si="87"/>
        <v>0</v>
      </c>
      <c r="BP518" s="78">
        <f t="shared" si="88"/>
        <v>0</v>
      </c>
    </row>
    <row r="519" spans="1:68" ht="27" hidden="1" customHeight="1" x14ac:dyDescent="0.25">
      <c r="A519" s="63" t="s">
        <v>840</v>
      </c>
      <c r="B519" s="63" t="s">
        <v>841</v>
      </c>
      <c r="C519" s="36">
        <v>4301031353</v>
      </c>
      <c r="D519" s="719">
        <v>4680115883109</v>
      </c>
      <c r="E519" s="71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9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21"/>
      <c r="R519" s="721"/>
      <c r="S519" s="721"/>
      <c r="T519" s="72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0</v>
      </c>
      <c r="BN519" s="78">
        <f t="shared" si="86"/>
        <v>0</v>
      </c>
      <c r="BO519" s="78">
        <f t="shared" si="87"/>
        <v>0</v>
      </c>
      <c r="BP519" s="78">
        <f t="shared" si="88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4301031419</v>
      </c>
      <c r="D520" s="719">
        <v>4680115882072</v>
      </c>
      <c r="E520" s="719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99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21"/>
      <c r="R520" s="721"/>
      <c r="S520" s="721"/>
      <c r="T520" s="72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719">
        <v>4680115882102</v>
      </c>
      <c r="E521" s="719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99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21"/>
      <c r="R521" s="721"/>
      <c r="S521" s="721"/>
      <c r="T521" s="722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719">
        <v>4680115882102</v>
      </c>
      <c r="E522" s="719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21"/>
      <c r="R522" s="721"/>
      <c r="S522" s="721"/>
      <c r="T522" s="722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848</v>
      </c>
      <c r="B523" s="63" t="s">
        <v>849</v>
      </c>
      <c r="C523" s="36">
        <v>4301031417</v>
      </c>
      <c r="D523" s="719">
        <v>4680115882096</v>
      </c>
      <c r="E523" s="719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100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21"/>
      <c r="R523" s="721"/>
      <c r="S523" s="721"/>
      <c r="T523" s="722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idden="1" x14ac:dyDescent="0.2">
      <c r="A524" s="727"/>
      <c r="B524" s="727"/>
      <c r="C524" s="727"/>
      <c r="D524" s="727"/>
      <c r="E524" s="727"/>
      <c r="F524" s="727"/>
      <c r="G524" s="727"/>
      <c r="H524" s="727"/>
      <c r="I524" s="727"/>
      <c r="J524" s="727"/>
      <c r="K524" s="727"/>
      <c r="L524" s="727"/>
      <c r="M524" s="727"/>
      <c r="N524" s="727"/>
      <c r="O524" s="728"/>
      <c r="P524" s="724" t="s">
        <v>40</v>
      </c>
      <c r="Q524" s="725"/>
      <c r="R524" s="725"/>
      <c r="S524" s="725"/>
      <c r="T524" s="725"/>
      <c r="U524" s="725"/>
      <c r="V524" s="726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727"/>
      <c r="B525" s="727"/>
      <c r="C525" s="727"/>
      <c r="D525" s="727"/>
      <c r="E525" s="727"/>
      <c r="F525" s="727"/>
      <c r="G525" s="727"/>
      <c r="H525" s="727"/>
      <c r="I525" s="727"/>
      <c r="J525" s="727"/>
      <c r="K525" s="727"/>
      <c r="L525" s="727"/>
      <c r="M525" s="727"/>
      <c r="N525" s="727"/>
      <c r="O525" s="728"/>
      <c r="P525" s="724" t="s">
        <v>40</v>
      </c>
      <c r="Q525" s="725"/>
      <c r="R525" s="725"/>
      <c r="S525" s="725"/>
      <c r="T525" s="725"/>
      <c r="U525" s="725"/>
      <c r="V525" s="726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hidden="1" customHeight="1" x14ac:dyDescent="0.2">
      <c r="A526" s="716" t="s">
        <v>850</v>
      </c>
      <c r="B526" s="716"/>
      <c r="C526" s="716"/>
      <c r="D526" s="716"/>
      <c r="E526" s="716"/>
      <c r="F526" s="716"/>
      <c r="G526" s="716"/>
      <c r="H526" s="716"/>
      <c r="I526" s="716"/>
      <c r="J526" s="716"/>
      <c r="K526" s="716"/>
      <c r="L526" s="716"/>
      <c r="M526" s="716"/>
      <c r="N526" s="716"/>
      <c r="O526" s="716"/>
      <c r="P526" s="716"/>
      <c r="Q526" s="716"/>
      <c r="R526" s="716"/>
      <c r="S526" s="716"/>
      <c r="T526" s="716"/>
      <c r="U526" s="716"/>
      <c r="V526" s="716"/>
      <c r="W526" s="716"/>
      <c r="X526" s="716"/>
      <c r="Y526" s="716"/>
      <c r="Z526" s="716"/>
      <c r="AA526" s="54"/>
      <c r="AB526" s="54"/>
      <c r="AC526" s="54"/>
    </row>
    <row r="527" spans="1:68" ht="16.5" hidden="1" customHeight="1" x14ac:dyDescent="0.25">
      <c r="A527" s="717" t="s">
        <v>850</v>
      </c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7"/>
      <c r="P527" s="717"/>
      <c r="Q527" s="717"/>
      <c r="R527" s="717"/>
      <c r="S527" s="717"/>
      <c r="T527" s="717"/>
      <c r="U527" s="717"/>
      <c r="V527" s="717"/>
      <c r="W527" s="717"/>
      <c r="X527" s="717"/>
      <c r="Y527" s="717"/>
      <c r="Z527" s="717"/>
      <c r="AA527" s="65"/>
      <c r="AB527" s="65"/>
      <c r="AC527" s="79"/>
    </row>
    <row r="528" spans="1:68" ht="14.25" hidden="1" customHeight="1" x14ac:dyDescent="0.25">
      <c r="A528" s="718" t="s">
        <v>122</v>
      </c>
      <c r="B528" s="718"/>
      <c r="C528" s="718"/>
      <c r="D528" s="718"/>
      <c r="E528" s="718"/>
      <c r="F528" s="718"/>
      <c r="G528" s="718"/>
      <c r="H528" s="718"/>
      <c r="I528" s="718"/>
      <c r="J528" s="718"/>
      <c r="K528" s="718"/>
      <c r="L528" s="718"/>
      <c r="M528" s="718"/>
      <c r="N528" s="718"/>
      <c r="O528" s="718"/>
      <c r="P528" s="718"/>
      <c r="Q528" s="718"/>
      <c r="R528" s="718"/>
      <c r="S528" s="718"/>
      <c r="T528" s="718"/>
      <c r="U528" s="718"/>
      <c r="V528" s="718"/>
      <c r="W528" s="718"/>
      <c r="X528" s="718"/>
      <c r="Y528" s="718"/>
      <c r="Z528" s="718"/>
      <c r="AA528" s="66"/>
      <c r="AB528" s="66"/>
      <c r="AC528" s="80"/>
    </row>
    <row r="529" spans="1:68" ht="27" hidden="1" customHeight="1" x14ac:dyDescent="0.25">
      <c r="A529" s="63" t="s">
        <v>851</v>
      </c>
      <c r="B529" s="63" t="s">
        <v>852</v>
      </c>
      <c r="C529" s="36">
        <v>4301011584</v>
      </c>
      <c r="D529" s="719">
        <v>4640242180564</v>
      </c>
      <c r="E529" s="719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10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21"/>
      <c r="R529" s="721"/>
      <c r="S529" s="721"/>
      <c r="T529" s="722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27"/>
      <c r="B530" s="727"/>
      <c r="C530" s="727"/>
      <c r="D530" s="727"/>
      <c r="E530" s="727"/>
      <c r="F530" s="727"/>
      <c r="G530" s="727"/>
      <c r="H530" s="727"/>
      <c r="I530" s="727"/>
      <c r="J530" s="727"/>
      <c r="K530" s="727"/>
      <c r="L530" s="727"/>
      <c r="M530" s="727"/>
      <c r="N530" s="727"/>
      <c r="O530" s="728"/>
      <c r="P530" s="724" t="s">
        <v>40</v>
      </c>
      <c r="Q530" s="725"/>
      <c r="R530" s="725"/>
      <c r="S530" s="725"/>
      <c r="T530" s="725"/>
      <c r="U530" s="725"/>
      <c r="V530" s="726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27"/>
      <c r="B531" s="727"/>
      <c r="C531" s="727"/>
      <c r="D531" s="727"/>
      <c r="E531" s="727"/>
      <c r="F531" s="727"/>
      <c r="G531" s="727"/>
      <c r="H531" s="727"/>
      <c r="I531" s="727"/>
      <c r="J531" s="727"/>
      <c r="K531" s="727"/>
      <c r="L531" s="727"/>
      <c r="M531" s="727"/>
      <c r="N531" s="727"/>
      <c r="O531" s="728"/>
      <c r="P531" s="724" t="s">
        <v>40</v>
      </c>
      <c r="Q531" s="725"/>
      <c r="R531" s="725"/>
      <c r="S531" s="725"/>
      <c r="T531" s="725"/>
      <c r="U531" s="725"/>
      <c r="V531" s="726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718" t="s">
        <v>157</v>
      </c>
      <c r="B532" s="718"/>
      <c r="C532" s="718"/>
      <c r="D532" s="718"/>
      <c r="E532" s="718"/>
      <c r="F532" s="718"/>
      <c r="G532" s="718"/>
      <c r="H532" s="718"/>
      <c r="I532" s="718"/>
      <c r="J532" s="718"/>
      <c r="K532" s="718"/>
      <c r="L532" s="718"/>
      <c r="M532" s="718"/>
      <c r="N532" s="718"/>
      <c r="O532" s="718"/>
      <c r="P532" s="718"/>
      <c r="Q532" s="718"/>
      <c r="R532" s="718"/>
      <c r="S532" s="718"/>
      <c r="T532" s="718"/>
      <c r="U532" s="718"/>
      <c r="V532" s="718"/>
      <c r="W532" s="718"/>
      <c r="X532" s="718"/>
      <c r="Y532" s="718"/>
      <c r="Z532" s="718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719">
        <v>4640242180519</v>
      </c>
      <c r="E533" s="719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100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21"/>
      <c r="R533" s="721"/>
      <c r="S533" s="721"/>
      <c r="T533" s="72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27"/>
      <c r="B534" s="727"/>
      <c r="C534" s="727"/>
      <c r="D534" s="727"/>
      <c r="E534" s="727"/>
      <c r="F534" s="727"/>
      <c r="G534" s="727"/>
      <c r="H534" s="727"/>
      <c r="I534" s="727"/>
      <c r="J534" s="727"/>
      <c r="K534" s="727"/>
      <c r="L534" s="727"/>
      <c r="M534" s="727"/>
      <c r="N534" s="727"/>
      <c r="O534" s="728"/>
      <c r="P534" s="724" t="s">
        <v>40</v>
      </c>
      <c r="Q534" s="725"/>
      <c r="R534" s="725"/>
      <c r="S534" s="725"/>
      <c r="T534" s="725"/>
      <c r="U534" s="725"/>
      <c r="V534" s="726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27"/>
      <c r="B535" s="727"/>
      <c r="C535" s="727"/>
      <c r="D535" s="727"/>
      <c r="E535" s="727"/>
      <c r="F535" s="727"/>
      <c r="G535" s="727"/>
      <c r="H535" s="727"/>
      <c r="I535" s="727"/>
      <c r="J535" s="727"/>
      <c r="K535" s="727"/>
      <c r="L535" s="727"/>
      <c r="M535" s="727"/>
      <c r="N535" s="727"/>
      <c r="O535" s="728"/>
      <c r="P535" s="724" t="s">
        <v>40</v>
      </c>
      <c r="Q535" s="725"/>
      <c r="R535" s="725"/>
      <c r="S535" s="725"/>
      <c r="T535" s="725"/>
      <c r="U535" s="725"/>
      <c r="V535" s="726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718" t="s">
        <v>77</v>
      </c>
      <c r="B536" s="718"/>
      <c r="C536" s="718"/>
      <c r="D536" s="718"/>
      <c r="E536" s="718"/>
      <c r="F536" s="718"/>
      <c r="G536" s="718"/>
      <c r="H536" s="718"/>
      <c r="I536" s="718"/>
      <c r="J536" s="718"/>
      <c r="K536" s="718"/>
      <c r="L536" s="718"/>
      <c r="M536" s="718"/>
      <c r="N536" s="718"/>
      <c r="O536" s="718"/>
      <c r="P536" s="718"/>
      <c r="Q536" s="718"/>
      <c r="R536" s="718"/>
      <c r="S536" s="718"/>
      <c r="T536" s="718"/>
      <c r="U536" s="718"/>
      <c r="V536" s="718"/>
      <c r="W536" s="718"/>
      <c r="X536" s="718"/>
      <c r="Y536" s="718"/>
      <c r="Z536" s="718"/>
      <c r="AA536" s="66"/>
      <c r="AB536" s="66"/>
      <c r="AC536" s="80"/>
    </row>
    <row r="537" spans="1:68" ht="27" hidden="1" customHeight="1" x14ac:dyDescent="0.25">
      <c r="A537" s="63" t="s">
        <v>857</v>
      </c>
      <c r="B537" s="63" t="s">
        <v>858</v>
      </c>
      <c r="C537" s="36">
        <v>4301031500</v>
      </c>
      <c r="D537" s="719">
        <v>4640242180595</v>
      </c>
      <c r="E537" s="719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100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21"/>
      <c r="R537" s="721"/>
      <c r="S537" s="721"/>
      <c r="T537" s="72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727"/>
      <c r="B538" s="727"/>
      <c r="C538" s="727"/>
      <c r="D538" s="727"/>
      <c r="E538" s="727"/>
      <c r="F538" s="727"/>
      <c r="G538" s="727"/>
      <c r="H538" s="727"/>
      <c r="I538" s="727"/>
      <c r="J538" s="727"/>
      <c r="K538" s="727"/>
      <c r="L538" s="727"/>
      <c r="M538" s="727"/>
      <c r="N538" s="727"/>
      <c r="O538" s="728"/>
      <c r="P538" s="724" t="s">
        <v>40</v>
      </c>
      <c r="Q538" s="725"/>
      <c r="R538" s="725"/>
      <c r="S538" s="725"/>
      <c r="T538" s="725"/>
      <c r="U538" s="725"/>
      <c r="V538" s="726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727"/>
      <c r="B539" s="727"/>
      <c r="C539" s="727"/>
      <c r="D539" s="727"/>
      <c r="E539" s="727"/>
      <c r="F539" s="727"/>
      <c r="G539" s="727"/>
      <c r="H539" s="727"/>
      <c r="I539" s="727"/>
      <c r="J539" s="727"/>
      <c r="K539" s="727"/>
      <c r="L539" s="727"/>
      <c r="M539" s="727"/>
      <c r="N539" s="727"/>
      <c r="O539" s="728"/>
      <c r="P539" s="724" t="s">
        <v>40</v>
      </c>
      <c r="Q539" s="725"/>
      <c r="R539" s="725"/>
      <c r="S539" s="725"/>
      <c r="T539" s="725"/>
      <c r="U539" s="725"/>
      <c r="V539" s="726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718" t="s">
        <v>86</v>
      </c>
      <c r="B540" s="718"/>
      <c r="C540" s="718"/>
      <c r="D540" s="718"/>
      <c r="E540" s="718"/>
      <c r="F540" s="718"/>
      <c r="G540" s="718"/>
      <c r="H540" s="718"/>
      <c r="I540" s="718"/>
      <c r="J540" s="718"/>
      <c r="K540" s="718"/>
      <c r="L540" s="718"/>
      <c r="M540" s="718"/>
      <c r="N540" s="718"/>
      <c r="O540" s="718"/>
      <c r="P540" s="718"/>
      <c r="Q540" s="718"/>
      <c r="R540" s="718"/>
      <c r="S540" s="718"/>
      <c r="T540" s="718"/>
      <c r="U540" s="718"/>
      <c r="V540" s="718"/>
      <c r="W540" s="718"/>
      <c r="X540" s="718"/>
      <c r="Y540" s="718"/>
      <c r="Z540" s="718"/>
      <c r="AA540" s="66"/>
      <c r="AB540" s="66"/>
      <c r="AC540" s="80"/>
    </row>
    <row r="541" spans="1:68" ht="27" hidden="1" customHeight="1" x14ac:dyDescent="0.25">
      <c r="A541" s="63" t="s">
        <v>860</v>
      </c>
      <c r="B541" s="63" t="s">
        <v>861</v>
      </c>
      <c r="C541" s="36">
        <v>4301052043</v>
      </c>
      <c r="D541" s="719">
        <v>4640242180533</v>
      </c>
      <c r="E541" s="719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100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21"/>
      <c r="R541" s="721"/>
      <c r="S541" s="721"/>
      <c r="T541" s="72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727"/>
      <c r="B542" s="727"/>
      <c r="C542" s="727"/>
      <c r="D542" s="727"/>
      <c r="E542" s="727"/>
      <c r="F542" s="727"/>
      <c r="G542" s="727"/>
      <c r="H542" s="727"/>
      <c r="I542" s="727"/>
      <c r="J542" s="727"/>
      <c r="K542" s="727"/>
      <c r="L542" s="727"/>
      <c r="M542" s="727"/>
      <c r="N542" s="727"/>
      <c r="O542" s="728"/>
      <c r="P542" s="724" t="s">
        <v>40</v>
      </c>
      <c r="Q542" s="725"/>
      <c r="R542" s="725"/>
      <c r="S542" s="725"/>
      <c r="T542" s="725"/>
      <c r="U542" s="725"/>
      <c r="V542" s="726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727"/>
      <c r="B543" s="727"/>
      <c r="C543" s="727"/>
      <c r="D543" s="727"/>
      <c r="E543" s="727"/>
      <c r="F543" s="727"/>
      <c r="G543" s="727"/>
      <c r="H543" s="727"/>
      <c r="I543" s="727"/>
      <c r="J543" s="727"/>
      <c r="K543" s="727"/>
      <c r="L543" s="727"/>
      <c r="M543" s="727"/>
      <c r="N543" s="727"/>
      <c r="O543" s="728"/>
      <c r="P543" s="724" t="s">
        <v>40</v>
      </c>
      <c r="Q543" s="725"/>
      <c r="R543" s="725"/>
      <c r="S543" s="725"/>
      <c r="T543" s="725"/>
      <c r="U543" s="725"/>
      <c r="V543" s="726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718" t="s">
        <v>175</v>
      </c>
      <c r="B544" s="718"/>
      <c r="C544" s="718"/>
      <c r="D544" s="718"/>
      <c r="E544" s="718"/>
      <c r="F544" s="718"/>
      <c r="G544" s="718"/>
      <c r="H544" s="718"/>
      <c r="I544" s="718"/>
      <c r="J544" s="718"/>
      <c r="K544" s="718"/>
      <c r="L544" s="718"/>
      <c r="M544" s="718"/>
      <c r="N544" s="718"/>
      <c r="O544" s="718"/>
      <c r="P544" s="718"/>
      <c r="Q544" s="718"/>
      <c r="R544" s="718"/>
      <c r="S544" s="718"/>
      <c r="T544" s="718"/>
      <c r="U544" s="718"/>
      <c r="V544" s="718"/>
      <c r="W544" s="718"/>
      <c r="X544" s="718"/>
      <c r="Y544" s="718"/>
      <c r="Z544" s="718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719">
        <v>4640242180120</v>
      </c>
      <c r="E545" s="719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100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21"/>
      <c r="R545" s="721"/>
      <c r="S545" s="721"/>
      <c r="T545" s="722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719">
        <v>4640242180137</v>
      </c>
      <c r="E546" s="719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100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21"/>
      <c r="R546" s="721"/>
      <c r="S546" s="721"/>
      <c r="T546" s="722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727"/>
      <c r="B547" s="727"/>
      <c r="C547" s="727"/>
      <c r="D547" s="727"/>
      <c r="E547" s="727"/>
      <c r="F547" s="727"/>
      <c r="G547" s="727"/>
      <c r="H547" s="727"/>
      <c r="I547" s="727"/>
      <c r="J547" s="727"/>
      <c r="K547" s="727"/>
      <c r="L547" s="727"/>
      <c r="M547" s="727"/>
      <c r="N547" s="727"/>
      <c r="O547" s="728"/>
      <c r="P547" s="724" t="s">
        <v>40</v>
      </c>
      <c r="Q547" s="725"/>
      <c r="R547" s="725"/>
      <c r="S547" s="725"/>
      <c r="T547" s="725"/>
      <c r="U547" s="725"/>
      <c r="V547" s="726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727"/>
      <c r="B548" s="727"/>
      <c r="C548" s="727"/>
      <c r="D548" s="727"/>
      <c r="E548" s="727"/>
      <c r="F548" s="727"/>
      <c r="G548" s="727"/>
      <c r="H548" s="727"/>
      <c r="I548" s="727"/>
      <c r="J548" s="727"/>
      <c r="K548" s="727"/>
      <c r="L548" s="727"/>
      <c r="M548" s="727"/>
      <c r="N548" s="727"/>
      <c r="O548" s="728"/>
      <c r="P548" s="724" t="s">
        <v>40</v>
      </c>
      <c r="Q548" s="725"/>
      <c r="R548" s="725"/>
      <c r="S548" s="725"/>
      <c r="T548" s="725"/>
      <c r="U548" s="725"/>
      <c r="V548" s="726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717" t="s">
        <v>869</v>
      </c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7"/>
      <c r="P549" s="717"/>
      <c r="Q549" s="717"/>
      <c r="R549" s="717"/>
      <c r="S549" s="717"/>
      <c r="T549" s="717"/>
      <c r="U549" s="717"/>
      <c r="V549" s="717"/>
      <c r="W549" s="717"/>
      <c r="X549" s="717"/>
      <c r="Y549" s="717"/>
      <c r="Z549" s="717"/>
      <c r="AA549" s="65"/>
      <c r="AB549" s="65"/>
      <c r="AC549" s="79"/>
    </row>
    <row r="550" spans="1:68" ht="14.25" hidden="1" customHeight="1" x14ac:dyDescent="0.25">
      <c r="A550" s="718" t="s">
        <v>157</v>
      </c>
      <c r="B550" s="718"/>
      <c r="C550" s="718"/>
      <c r="D550" s="718"/>
      <c r="E550" s="718"/>
      <c r="F550" s="718"/>
      <c r="G550" s="718"/>
      <c r="H550" s="718"/>
      <c r="I550" s="718"/>
      <c r="J550" s="718"/>
      <c r="K550" s="718"/>
      <c r="L550" s="718"/>
      <c r="M550" s="718"/>
      <c r="N550" s="718"/>
      <c r="O550" s="718"/>
      <c r="P550" s="718"/>
      <c r="Q550" s="718"/>
      <c r="R550" s="718"/>
      <c r="S550" s="718"/>
      <c r="T550" s="718"/>
      <c r="U550" s="718"/>
      <c r="V550" s="718"/>
      <c r="W550" s="718"/>
      <c r="X550" s="718"/>
      <c r="Y550" s="718"/>
      <c r="Z550" s="718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719">
        <v>4680115889798</v>
      </c>
      <c r="E551" s="719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1007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21"/>
      <c r="R551" s="721"/>
      <c r="S551" s="721"/>
      <c r="T551" s="722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27"/>
      <c r="B552" s="727"/>
      <c r="C552" s="727"/>
      <c r="D552" s="727"/>
      <c r="E552" s="727"/>
      <c r="F552" s="727"/>
      <c r="G552" s="727"/>
      <c r="H552" s="727"/>
      <c r="I552" s="727"/>
      <c r="J552" s="727"/>
      <c r="K552" s="727"/>
      <c r="L552" s="727"/>
      <c r="M552" s="727"/>
      <c r="N552" s="727"/>
      <c r="O552" s="728"/>
      <c r="P552" s="724" t="s">
        <v>40</v>
      </c>
      <c r="Q552" s="725"/>
      <c r="R552" s="725"/>
      <c r="S552" s="725"/>
      <c r="T552" s="725"/>
      <c r="U552" s="725"/>
      <c r="V552" s="726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27"/>
      <c r="B553" s="727"/>
      <c r="C553" s="727"/>
      <c r="D553" s="727"/>
      <c r="E553" s="727"/>
      <c r="F553" s="727"/>
      <c r="G553" s="727"/>
      <c r="H553" s="727"/>
      <c r="I553" s="727"/>
      <c r="J553" s="727"/>
      <c r="K553" s="727"/>
      <c r="L553" s="727"/>
      <c r="M553" s="727"/>
      <c r="N553" s="727"/>
      <c r="O553" s="728"/>
      <c r="P553" s="724" t="s">
        <v>40</v>
      </c>
      <c r="Q553" s="725"/>
      <c r="R553" s="725"/>
      <c r="S553" s="725"/>
      <c r="T553" s="725"/>
      <c r="U553" s="725"/>
      <c r="V553" s="726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727"/>
      <c r="B554" s="727"/>
      <c r="C554" s="727"/>
      <c r="D554" s="727"/>
      <c r="E554" s="727"/>
      <c r="F554" s="727"/>
      <c r="G554" s="727"/>
      <c r="H554" s="727"/>
      <c r="I554" s="727"/>
      <c r="J554" s="727"/>
      <c r="K554" s="727"/>
      <c r="L554" s="727"/>
      <c r="M554" s="727"/>
      <c r="N554" s="727"/>
      <c r="O554" s="1011"/>
      <c r="P554" s="1008" t="s">
        <v>33</v>
      </c>
      <c r="Q554" s="1009"/>
      <c r="R554" s="1009"/>
      <c r="S554" s="1009"/>
      <c r="T554" s="1009"/>
      <c r="U554" s="1009"/>
      <c r="V554" s="1010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998.4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998.4</v>
      </c>
      <c r="Z554" s="42"/>
      <c r="AA554" s="67"/>
      <c r="AB554" s="67"/>
      <c r="AC554" s="67"/>
    </row>
    <row r="555" spans="1:68" x14ac:dyDescent="0.2">
      <c r="A555" s="727"/>
      <c r="B555" s="727"/>
      <c r="C555" s="727"/>
      <c r="D555" s="727"/>
      <c r="E555" s="727"/>
      <c r="F555" s="727"/>
      <c r="G555" s="727"/>
      <c r="H555" s="727"/>
      <c r="I555" s="727"/>
      <c r="J555" s="727"/>
      <c r="K555" s="727"/>
      <c r="L555" s="727"/>
      <c r="M555" s="727"/>
      <c r="N555" s="727"/>
      <c r="O555" s="1011"/>
      <c r="P555" s="1008" t="s">
        <v>34</v>
      </c>
      <c r="Q555" s="1009"/>
      <c r="R555" s="1009"/>
      <c r="S555" s="1009"/>
      <c r="T555" s="1009"/>
      <c r="U555" s="1009"/>
      <c r="V555" s="1010"/>
      <c r="W555" s="42" t="s">
        <v>0</v>
      </c>
      <c r="X555" s="43">
        <f>IFERROR(SUM(BM22:BM551),"0")</f>
        <v>1060.864</v>
      </c>
      <c r="Y555" s="43">
        <f>IFERROR(SUM(BN22:BN551),"0")</f>
        <v>1060.864</v>
      </c>
      <c r="Z555" s="42"/>
      <c r="AA555" s="67"/>
      <c r="AB555" s="67"/>
      <c r="AC555" s="67"/>
    </row>
    <row r="556" spans="1:68" x14ac:dyDescent="0.2">
      <c r="A556" s="727"/>
      <c r="B556" s="727"/>
      <c r="C556" s="727"/>
      <c r="D556" s="727"/>
      <c r="E556" s="727"/>
      <c r="F556" s="727"/>
      <c r="G556" s="727"/>
      <c r="H556" s="727"/>
      <c r="I556" s="727"/>
      <c r="J556" s="727"/>
      <c r="K556" s="727"/>
      <c r="L556" s="727"/>
      <c r="M556" s="727"/>
      <c r="N556" s="727"/>
      <c r="O556" s="1011"/>
      <c r="P556" s="1008" t="s">
        <v>35</v>
      </c>
      <c r="Q556" s="1009"/>
      <c r="R556" s="1009"/>
      <c r="S556" s="1009"/>
      <c r="T556" s="1009"/>
      <c r="U556" s="1009"/>
      <c r="V556" s="1010"/>
      <c r="W556" s="42" t="s">
        <v>20</v>
      </c>
      <c r="X556" s="44">
        <f>ROUNDUP(SUM(BO22:BO551),0)</f>
        <v>2</v>
      </c>
      <c r="Y556" s="44">
        <f>ROUNDUP(SUM(BP22:BP551),0)</f>
        <v>2</v>
      </c>
      <c r="Z556" s="42"/>
      <c r="AA556" s="67"/>
      <c r="AB556" s="67"/>
      <c r="AC556" s="67"/>
    </row>
    <row r="557" spans="1:68" x14ac:dyDescent="0.2">
      <c r="A557" s="727"/>
      <c r="B557" s="727"/>
      <c r="C557" s="727"/>
      <c r="D557" s="727"/>
      <c r="E557" s="727"/>
      <c r="F557" s="727"/>
      <c r="G557" s="727"/>
      <c r="H557" s="727"/>
      <c r="I557" s="727"/>
      <c r="J557" s="727"/>
      <c r="K557" s="727"/>
      <c r="L557" s="727"/>
      <c r="M557" s="727"/>
      <c r="N557" s="727"/>
      <c r="O557" s="1011"/>
      <c r="P557" s="1008" t="s">
        <v>36</v>
      </c>
      <c r="Q557" s="1009"/>
      <c r="R557" s="1009"/>
      <c r="S557" s="1009"/>
      <c r="T557" s="1009"/>
      <c r="U557" s="1009"/>
      <c r="V557" s="1010"/>
      <c r="W557" s="42" t="s">
        <v>0</v>
      </c>
      <c r="X557" s="43">
        <f>GrossWeightTotal+PalletQtyTotal*25</f>
        <v>1110.864</v>
      </c>
      <c r="Y557" s="43">
        <f>GrossWeightTotalR+PalletQtyTotalR*25</f>
        <v>1110.864</v>
      </c>
      <c r="Z557" s="42"/>
      <c r="AA557" s="67"/>
      <c r="AB557" s="67"/>
      <c r="AC557" s="67"/>
    </row>
    <row r="558" spans="1:68" x14ac:dyDescent="0.2">
      <c r="A558" s="727"/>
      <c r="B558" s="727"/>
      <c r="C558" s="727"/>
      <c r="D558" s="727"/>
      <c r="E558" s="727"/>
      <c r="F558" s="727"/>
      <c r="G558" s="727"/>
      <c r="H558" s="727"/>
      <c r="I558" s="727"/>
      <c r="J558" s="727"/>
      <c r="K558" s="727"/>
      <c r="L558" s="727"/>
      <c r="M558" s="727"/>
      <c r="N558" s="727"/>
      <c r="O558" s="1011"/>
      <c r="P558" s="1008" t="s">
        <v>37</v>
      </c>
      <c r="Q558" s="1009"/>
      <c r="R558" s="1009"/>
      <c r="S558" s="1009"/>
      <c r="T558" s="1009"/>
      <c r="U558" s="1009"/>
      <c r="V558" s="1010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128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128</v>
      </c>
      <c r="Z558" s="42"/>
      <c r="AA558" s="67"/>
      <c r="AB558" s="67"/>
      <c r="AC558" s="67"/>
    </row>
    <row r="559" spans="1:68" ht="14.25" hidden="1" x14ac:dyDescent="0.2">
      <c r="A559" s="727"/>
      <c r="B559" s="727"/>
      <c r="C559" s="727"/>
      <c r="D559" s="727"/>
      <c r="E559" s="727"/>
      <c r="F559" s="727"/>
      <c r="G559" s="727"/>
      <c r="H559" s="727"/>
      <c r="I559" s="727"/>
      <c r="J559" s="727"/>
      <c r="K559" s="727"/>
      <c r="L559" s="727"/>
      <c r="M559" s="727"/>
      <c r="N559" s="727"/>
      <c r="O559" s="1011"/>
      <c r="P559" s="1008" t="s">
        <v>38</v>
      </c>
      <c r="Q559" s="1009"/>
      <c r="R559" s="1009"/>
      <c r="S559" s="1009"/>
      <c r="T559" s="1009"/>
      <c r="U559" s="1009"/>
      <c r="V559" s="1010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2.42944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1012" t="s">
        <v>120</v>
      </c>
      <c r="E561" s="1012" t="s">
        <v>120</v>
      </c>
      <c r="F561" s="1012" t="s">
        <v>120</v>
      </c>
      <c r="G561" s="1012" t="s">
        <v>120</v>
      </c>
      <c r="H561" s="1012" t="s">
        <v>120</v>
      </c>
      <c r="I561" s="1012" t="s">
        <v>120</v>
      </c>
      <c r="J561" s="1012" t="s">
        <v>120</v>
      </c>
      <c r="K561" s="1012" t="s">
        <v>344</v>
      </c>
      <c r="L561" s="1012" t="s">
        <v>344</v>
      </c>
      <c r="M561" s="1012" t="s">
        <v>344</v>
      </c>
      <c r="N561" s="1013"/>
      <c r="O561" s="1012" t="s">
        <v>344</v>
      </c>
      <c r="P561" s="1012" t="s">
        <v>344</v>
      </c>
      <c r="Q561" s="1012" t="s">
        <v>344</v>
      </c>
      <c r="R561" s="1012" t="s">
        <v>344</v>
      </c>
      <c r="S561" s="1012" t="s">
        <v>344</v>
      </c>
      <c r="T561" s="1012" t="s">
        <v>344</v>
      </c>
      <c r="U561" s="1012" t="s">
        <v>344</v>
      </c>
      <c r="V561" s="1012" t="s">
        <v>344</v>
      </c>
      <c r="W561" s="1012" t="s">
        <v>701</v>
      </c>
      <c r="X561" s="1012" t="s">
        <v>701</v>
      </c>
      <c r="Y561" s="1012" t="s">
        <v>767</v>
      </c>
      <c r="Z561" s="1012" t="s">
        <v>767</v>
      </c>
      <c r="AA561" s="85" t="s">
        <v>803</v>
      </c>
      <c r="AB561" s="1012" t="s">
        <v>850</v>
      </c>
      <c r="AC561" s="1012" t="s">
        <v>850</v>
      </c>
      <c r="AF561" s="1"/>
    </row>
    <row r="562" spans="1:32" ht="14.25" customHeight="1" thickTop="1" x14ac:dyDescent="0.2">
      <c r="A562" s="1014" t="s">
        <v>10</v>
      </c>
      <c r="B562" s="1012" t="s">
        <v>76</v>
      </c>
      <c r="C562" s="1012" t="s">
        <v>104</v>
      </c>
      <c r="D562" s="1012" t="s">
        <v>121</v>
      </c>
      <c r="E562" s="1012" t="s">
        <v>137</v>
      </c>
      <c r="F562" s="1012" t="s">
        <v>183</v>
      </c>
      <c r="G562" s="1012" t="s">
        <v>206</v>
      </c>
      <c r="H562" s="1012" t="s">
        <v>250</v>
      </c>
      <c r="I562" s="1012" t="s">
        <v>263</v>
      </c>
      <c r="J562" s="1012" t="s">
        <v>120</v>
      </c>
      <c r="K562" s="1012" t="s">
        <v>345</v>
      </c>
      <c r="L562" s="1012" t="s">
        <v>366</v>
      </c>
      <c r="M562" s="1012" t="s">
        <v>440</v>
      </c>
      <c r="N562" s="1"/>
      <c r="O562" s="1012" t="s">
        <v>508</v>
      </c>
      <c r="P562" s="1012" t="s">
        <v>537</v>
      </c>
      <c r="Q562" s="1012" t="s">
        <v>558</v>
      </c>
      <c r="R562" s="1012" t="s">
        <v>567</v>
      </c>
      <c r="S562" s="1012" t="s">
        <v>588</v>
      </c>
      <c r="T562" s="1012" t="s">
        <v>597</v>
      </c>
      <c r="U562" s="1012" t="s">
        <v>684</v>
      </c>
      <c r="V562" s="1012" t="s">
        <v>691</v>
      </c>
      <c r="W562" s="1012" t="s">
        <v>702</v>
      </c>
      <c r="X562" s="1012" t="s">
        <v>751</v>
      </c>
      <c r="Y562" s="1012" t="s">
        <v>768</v>
      </c>
      <c r="Z562" s="1012" t="s">
        <v>791</v>
      </c>
      <c r="AA562" s="1012" t="s">
        <v>803</v>
      </c>
      <c r="AB562" s="1012" t="s">
        <v>850</v>
      </c>
      <c r="AC562" s="1012" t="s">
        <v>869</v>
      </c>
      <c r="AF562" s="1"/>
    </row>
    <row r="563" spans="1:32" ht="13.5" thickBot="1" x14ac:dyDescent="0.25">
      <c r="A563" s="1015"/>
      <c r="B563" s="1012"/>
      <c r="C563" s="1012"/>
      <c r="D563" s="1012"/>
      <c r="E563" s="1012"/>
      <c r="F563" s="1012"/>
      <c r="G563" s="1012"/>
      <c r="H563" s="1012"/>
      <c r="I563" s="1012"/>
      <c r="J563" s="1012"/>
      <c r="K563" s="1012"/>
      <c r="L563" s="1012"/>
      <c r="M563" s="1012"/>
      <c r="N563" s="1"/>
      <c r="O563" s="1012"/>
      <c r="P563" s="1012"/>
      <c r="Q563" s="1012"/>
      <c r="R563" s="1012"/>
      <c r="S563" s="1012"/>
      <c r="T563" s="1012"/>
      <c r="U563" s="1012"/>
      <c r="V563" s="1012"/>
      <c r="W563" s="1012"/>
      <c r="X563" s="1012"/>
      <c r="Y563" s="1012"/>
      <c r="Z563" s="1012"/>
      <c r="AA563" s="1012"/>
      <c r="AB563" s="1012"/>
      <c r="AC563" s="101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2">
        <f>IFERROR(Y85*1,"0")+IFERROR(Y86*1,"0")+IFERROR(Y87*1,"0")+IFERROR(Y88*1,"0")+IFERROR(Y89*1,"0")+IFERROR(Y93*1,"0")+IFERROR(Y94*1,"0")+IFERROR(Y95*1,"0")+IFERROR(Y96*1,"0")</f>
        <v>0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998.4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0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HF3uR11qeg+RcpaZmskYZ0l/jGXLtszTznQ/gDkqUu8uUAznomPPKV6FqXRROy6an4Ovlj47AMLbGnfCjTN1VA==" saltValue="SVXOacclDSC6uj9WJfZk8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60,86"/>
        <filter val="1 110,86"/>
        <filter val="128,00"/>
        <filter val="2"/>
        <filter val="998,40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1FyrRSmyrC/1K/D+fc5jkIQh1nVZqjP4AaFuXYnaKgr2TcSZLsX1JN2MHfeSO4K5+P0YBPO57ylrUpDDc4Ym3Q==" saltValue="WiSFyYiUDH+wnsfxSy0gA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1169</vt:i4>
      </vt:variant>
    </vt:vector>
  </HeadingPairs>
  <TitlesOfParts>
    <vt:vector size="11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2026-09-17T08:52:58Z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