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08,09 Кочевой КИ ЛП ближ\"/>
    </mc:Choice>
  </mc:AlternateContent>
  <xr:revisionPtr revIDLastSave="0" documentId="13_ncr:1_{2946B083-2FE2-4B2A-AB09-0D4066AA174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P539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P527" i="2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Z492" i="2" s="1"/>
  <c r="P492" i="2"/>
  <c r="BO491" i="2"/>
  <c r="BM491" i="2"/>
  <c r="Y491" i="2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P466" i="2"/>
  <c r="BP465" i="2"/>
  <c r="BO465" i="2"/>
  <c r="BM465" i="2"/>
  <c r="Y465" i="2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P455" i="2"/>
  <c r="BO454" i="2"/>
  <c r="BM454" i="2"/>
  <c r="Z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P441" i="2"/>
  <c r="BP440" i="2"/>
  <c r="BO440" i="2"/>
  <c r="BM440" i="2"/>
  <c r="Y440" i="2"/>
  <c r="P440" i="2"/>
  <c r="BO439" i="2"/>
  <c r="BM439" i="2"/>
  <c r="Y439" i="2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P410" i="2"/>
  <c r="BO410" i="2"/>
  <c r="BM410" i="2"/>
  <c r="Y410" i="2"/>
  <c r="BN410" i="2" s="1"/>
  <c r="P410" i="2"/>
  <c r="BO409" i="2"/>
  <c r="BM409" i="2"/>
  <c r="Z409" i="2"/>
  <c r="Y409" i="2"/>
  <c r="P409" i="2"/>
  <c r="X407" i="2"/>
  <c r="X406" i="2"/>
  <c r="BO405" i="2"/>
  <c r="BM405" i="2"/>
  <c r="Y405" i="2"/>
  <c r="P405" i="2"/>
  <c r="BO404" i="2"/>
  <c r="BM404" i="2"/>
  <c r="Y404" i="2"/>
  <c r="P404" i="2"/>
  <c r="BO403" i="2"/>
  <c r="BM403" i="2"/>
  <c r="Z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P397" i="2"/>
  <c r="BP396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N383" i="2"/>
  <c r="BM383" i="2"/>
  <c r="Z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Y367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P298" i="2"/>
  <c r="BO298" i="2"/>
  <c r="BM298" i="2"/>
  <c r="Y298" i="2"/>
  <c r="BN298" i="2" s="1"/>
  <c r="P298" i="2"/>
  <c r="BO297" i="2"/>
  <c r="BM297" i="2"/>
  <c r="Y297" i="2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P277" i="2"/>
  <c r="BO277" i="2"/>
  <c r="BN277" i="2"/>
  <c r="BM277" i="2"/>
  <c r="Z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P255" i="2"/>
  <c r="X253" i="2"/>
  <c r="X252" i="2"/>
  <c r="BO251" i="2"/>
  <c r="BM251" i="2"/>
  <c r="Y251" i="2"/>
  <c r="BP251" i="2" s="1"/>
  <c r="P251" i="2"/>
  <c r="BO250" i="2"/>
  <c r="BM250" i="2"/>
  <c r="Y250" i="2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Z201" i="2" s="1"/>
  <c r="P201" i="2"/>
  <c r="BP200" i="2"/>
  <c r="BO200" i="2"/>
  <c r="BM200" i="2"/>
  <c r="Y200" i="2"/>
  <c r="P200" i="2"/>
  <c r="BO199" i="2"/>
  <c r="BM199" i="2"/>
  <c r="Y199" i="2"/>
  <c r="Y202" i="2" s="1"/>
  <c r="P199" i="2"/>
  <c r="X197" i="2"/>
  <c r="X196" i="2"/>
  <c r="BO195" i="2"/>
  <c r="BM195" i="2"/>
  <c r="Y195" i="2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Z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P177" i="2"/>
  <c r="BO177" i="2"/>
  <c r="BM177" i="2"/>
  <c r="Y177" i="2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Z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Z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Z106" i="2"/>
  <c r="Y106" i="2"/>
  <c r="BN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Z97" i="2"/>
  <c r="Y97" i="2"/>
  <c r="P97" i="2"/>
  <c r="BO96" i="2"/>
  <c r="BM96" i="2"/>
  <c r="Y96" i="2"/>
  <c r="Z96" i="2" s="1"/>
  <c r="BO95" i="2"/>
  <c r="BN95" i="2"/>
  <c r="BM95" i="2"/>
  <c r="Z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Z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P78" i="2"/>
  <c r="BO78" i="2"/>
  <c r="BN78" i="2"/>
  <c r="BM78" i="2"/>
  <c r="Z78" i="2"/>
  <c r="Y78" i="2"/>
  <c r="P78" i="2"/>
  <c r="BO77" i="2"/>
  <c r="BM77" i="2"/>
  <c r="Z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Z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P41" i="2"/>
  <c r="BO41" i="2"/>
  <c r="BN41" i="2"/>
  <c r="BM41" i="2"/>
  <c r="Z41" i="2"/>
  <c r="Y41" i="2"/>
  <c r="P41" i="2"/>
  <c r="BO40" i="2"/>
  <c r="BM40" i="2"/>
  <c r="Y40" i="2"/>
  <c r="BN40" i="2" s="1"/>
  <c r="P40" i="2"/>
  <c r="BO39" i="2"/>
  <c r="BM39" i="2"/>
  <c r="Z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574" i="2" s="1"/>
  <c r="P22" i="2"/>
  <c r="H10" i="2"/>
  <c r="A9" i="2"/>
  <c r="H9" i="2" s="1"/>
  <c r="D7" i="2"/>
  <c r="Q6" i="2"/>
  <c r="P2" i="2"/>
  <c r="BN23" i="2" l="1"/>
  <c r="BN30" i="2"/>
  <c r="BN80" i="2"/>
  <c r="BP93" i="2"/>
  <c r="BP104" i="2"/>
  <c r="Z104" i="2"/>
  <c r="BN161" i="2"/>
  <c r="BP161" i="2"/>
  <c r="BP185" i="2"/>
  <c r="BN185" i="2"/>
  <c r="Z185" i="2"/>
  <c r="BP195" i="2"/>
  <c r="BN195" i="2"/>
  <c r="Z195" i="2"/>
  <c r="BN199" i="2"/>
  <c r="BN201" i="2"/>
  <c r="BN230" i="2"/>
  <c r="Z230" i="2"/>
  <c r="BP233" i="2"/>
  <c r="BN233" i="2"/>
  <c r="Z233" i="2"/>
  <c r="BN236" i="2"/>
  <c r="BN278" i="2"/>
  <c r="BN289" i="2"/>
  <c r="BN303" i="2"/>
  <c r="BN318" i="2"/>
  <c r="BN351" i="2"/>
  <c r="BN372" i="2"/>
  <c r="BN379" i="2"/>
  <c r="BN397" i="2"/>
  <c r="Z397" i="2"/>
  <c r="BP429" i="2"/>
  <c r="BN429" i="2"/>
  <c r="Z429" i="2"/>
  <c r="BN439" i="2"/>
  <c r="Z439" i="2"/>
  <c r="BN455" i="2"/>
  <c r="Z455" i="2"/>
  <c r="BP466" i="2"/>
  <c r="BN466" i="2"/>
  <c r="Z466" i="2"/>
  <c r="BP491" i="2"/>
  <c r="Y493" i="2"/>
  <c r="BN492" i="2"/>
  <c r="BN515" i="2"/>
  <c r="Y24" i="2"/>
  <c r="Z27" i="2"/>
  <c r="BP40" i="2"/>
  <c r="Y61" i="2"/>
  <c r="Z64" i="2"/>
  <c r="BP77" i="2"/>
  <c r="Z86" i="2"/>
  <c r="BN86" i="2"/>
  <c r="Z93" i="2"/>
  <c r="BN119" i="2"/>
  <c r="BN145" i="2"/>
  <c r="BN184" i="2"/>
  <c r="BP184" i="2"/>
  <c r="BP191" i="2"/>
  <c r="BN191" i="2"/>
  <c r="Z191" i="2"/>
  <c r="BN205" i="2"/>
  <c r="Z205" i="2"/>
  <c r="Z206" i="2" s="1"/>
  <c r="Z226" i="2"/>
  <c r="Z227" i="2" s="1"/>
  <c r="Y227" i="2"/>
  <c r="BN226" i="2"/>
  <c r="BP250" i="2"/>
  <c r="BN250" i="2"/>
  <c r="Z250" i="2"/>
  <c r="Y258" i="2"/>
  <c r="BP255" i="2"/>
  <c r="BP267" i="2"/>
  <c r="BN267" i="2"/>
  <c r="Z267" i="2"/>
  <c r="BN283" i="2"/>
  <c r="BP297" i="2"/>
  <c r="BN297" i="2"/>
  <c r="Z297" i="2"/>
  <c r="BN310" i="2"/>
  <c r="BN336" i="2"/>
  <c r="BN396" i="2"/>
  <c r="Y400" i="2"/>
  <c r="Z396" i="2"/>
  <c r="BP405" i="2"/>
  <c r="BN405" i="2"/>
  <c r="Z405" i="2"/>
  <c r="BP411" i="2"/>
  <c r="Z411" i="2"/>
  <c r="BN415" i="2"/>
  <c r="BP441" i="2"/>
  <c r="BN441" i="2"/>
  <c r="Z441" i="2"/>
  <c r="BN449" i="2"/>
  <c r="Z449" i="2"/>
  <c r="BP455" i="2"/>
  <c r="Y468" i="2"/>
  <c r="Z465" i="2"/>
  <c r="Z467" i="2" s="1"/>
  <c r="Y499" i="2"/>
  <c r="Z497" i="2"/>
  <c r="Z498" i="2" s="1"/>
  <c r="BN510" i="2"/>
  <c r="BN530" i="2"/>
  <c r="BN556" i="2"/>
  <c r="BN99" i="2"/>
  <c r="BP105" i="2"/>
  <c r="BP106" i="2"/>
  <c r="BN107" i="2"/>
  <c r="BN115" i="2"/>
  <c r="BN123" i="2"/>
  <c r="BN128" i="2"/>
  <c r="Y137" i="2"/>
  <c r="BN160" i="2"/>
  <c r="BN215" i="2"/>
  <c r="BN231" i="2"/>
  <c r="BN234" i="2"/>
  <c r="BN249" i="2"/>
  <c r="BN256" i="2"/>
  <c r="BN282" i="2"/>
  <c r="BN287" i="2"/>
  <c r="BN293" i="2"/>
  <c r="BN314" i="2"/>
  <c r="BN326" i="2"/>
  <c r="BN343" i="2"/>
  <c r="BN352" i="2"/>
  <c r="BN389" i="2"/>
  <c r="Y413" i="2"/>
  <c r="BP409" i="2"/>
  <c r="Y412" i="2"/>
  <c r="BN422" i="2"/>
  <c r="BN430" i="2"/>
  <c r="BN442" i="2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74" i="2" s="1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29" i="2" l="1"/>
  <c r="Z112" i="2"/>
  <c r="Z244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<sst xmlns="http://schemas.openxmlformats.org/spreadsheetml/2006/main" count="4373" uniqueCount="914">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</sst>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4" sqref="AA47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46275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Четверг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0.41666666666666669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4000</v>
      </c>
      <c r="Y474" s="55">
        <f>IFERROR(IF(X474="",0,CEILING((X474/$H474),1)*$H474),"")</f>
        <v>4005</v>
      </c>
      <c r="Z474" s="41">
        <f>IFERROR(IF(Y474=0,"",ROUNDUP(Y474/H474,0)*0.01898),"")</f>
        <v>8.4460999999999995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4219.5555555555557</v>
      </c>
      <c r="BN474" s="78">
        <f>IFERROR(Y474*I474/H474,"0")</f>
        <v>4224.83</v>
      </c>
      <c r="BO474" s="78">
        <f>IFERROR(1/J474*(X474/H474),"0")</f>
        <v>6.9444444444444446</v>
      </c>
      <c r="BP474" s="78">
        <f>IFERROR(1/J474*(Y474/H474),"0")</f>
        <v>6.953125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444.44444444444446</v>
      </c>
      <c r="Y477" s="43">
        <f>IFERROR(Y474/H474,"0")+IFERROR(Y475/H475,"0")+IFERROR(Y476/H476,"0")</f>
        <v>445</v>
      </c>
      <c r="Z477" s="43">
        <f>IFERROR(IF(Z474="",0,Z474),"0")+IFERROR(IF(Z475="",0,Z475),"0")+IFERROR(IF(Z476="",0,Z476),"0")</f>
        <v>8.4460999999999995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4000</v>
      </c>
      <c r="Y478" s="43">
        <f>IFERROR(SUM(Y474:Y476),"0")</f>
        <v>4005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4000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4005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4219.5555555555557</v>
      </c>
      <c r="Y565" s="43">
        <f>IFERROR(SUM(BN22:BN561),"0")</f>
        <v>4224.83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7</v>
      </c>
      <c r="Y566" s="44">
        <f>ROUNDUP(SUM(BP22:BP561),0)</f>
        <v>7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4394.5555555555557</v>
      </c>
      <c r="Y567" s="43">
        <f>GrossWeightTotalR+PalletQtyTotalR*25</f>
        <v>4399.83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444.44444444444446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445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8.4460999999999995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4005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4 000,00"/>
        <filter val="4 219,56"/>
        <filter val="4 394,56"/>
        <filter val="444,44"/>
        <filter val="7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