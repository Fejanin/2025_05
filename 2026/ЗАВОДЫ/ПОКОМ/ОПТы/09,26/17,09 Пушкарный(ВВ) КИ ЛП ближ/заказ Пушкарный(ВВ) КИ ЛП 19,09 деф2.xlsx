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19,09,26\17,09 Пушкарный(ВВ) КИ ЛП ближ\"/>
    </mc:Choice>
  </mc:AlternateContent>
  <xr:revisionPtr revIDLastSave="0" documentId="13_ncr:1_{AB09EB4E-9338-45D8-90D1-23B8EC3F881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Z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Z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P465" i="2"/>
  <c r="BO465" i="2"/>
  <c r="BN465" i="2"/>
  <c r="BM465" i="2"/>
  <c r="Z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Z443" i="2" s="1"/>
  <c r="P443" i="2"/>
  <c r="X441" i="2"/>
  <c r="X440" i="2"/>
  <c r="BO439" i="2"/>
  <c r="BN439" i="2"/>
  <c r="BM439" i="2"/>
  <c r="Z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P412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Y384" i="2"/>
  <c r="X384" i="2"/>
  <c r="Y383" i="2"/>
  <c r="X383" i="2"/>
  <c r="BP382" i="2"/>
  <c r="BO382" i="2"/>
  <c r="BN382" i="2"/>
  <c r="BM382" i="2"/>
  <c r="Z382" i="2"/>
  <c r="Y382" i="2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P370" i="2"/>
  <c r="BO370" i="2"/>
  <c r="BN370" i="2"/>
  <c r="BM370" i="2"/>
  <c r="Z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Y366" i="2" s="1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P324" i="2"/>
  <c r="BO324" i="2"/>
  <c r="BN324" i="2"/>
  <c r="BM324" i="2"/>
  <c r="Z324" i="2"/>
  <c r="Y324" i="2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P303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P298" i="2"/>
  <c r="BO298" i="2"/>
  <c r="BM298" i="2"/>
  <c r="Y298" i="2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Z283" i="2"/>
  <c r="Y283" i="2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N272" i="2"/>
  <c r="BM272" i="2"/>
  <c r="Z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P266" i="2"/>
  <c r="BO266" i="2"/>
  <c r="BN266" i="2"/>
  <c r="BM266" i="2"/>
  <c r="Z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Z203" i="2" s="1"/>
  <c r="P203" i="2"/>
  <c r="BP202" i="2"/>
  <c r="BO202" i="2"/>
  <c r="BN202" i="2"/>
  <c r="BM202" i="2"/>
  <c r="Z202" i="2"/>
  <c r="Y202" i="2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P169" i="2"/>
  <c r="BO169" i="2"/>
  <c r="BM169" i="2"/>
  <c r="Y169" i="2"/>
  <c r="P169" i="2"/>
  <c r="BO168" i="2"/>
  <c r="BM168" i="2"/>
  <c r="Y168" i="2"/>
  <c r="P168" i="2"/>
  <c r="X166" i="2"/>
  <c r="X165" i="2"/>
  <c r="BO164" i="2"/>
  <c r="BM164" i="2"/>
  <c r="Y164" i="2"/>
  <c r="BP164" i="2" s="1"/>
  <c r="P164" i="2"/>
  <c r="BO163" i="2"/>
  <c r="BM163" i="2"/>
  <c r="Z163" i="2"/>
  <c r="Y163" i="2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Z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Z127" i="2"/>
  <c r="Z128" i="2" s="1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P93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Z66" i="2"/>
  <c r="Y66" i="2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554" i="2" s="1"/>
  <c r="X24" i="2"/>
  <c r="BO23" i="2"/>
  <c r="BM23" i="2"/>
  <c r="Y23" i="2"/>
  <c r="P23" i="2"/>
  <c r="BO22" i="2"/>
  <c r="X556" i="2" s="1"/>
  <c r="BM22" i="2"/>
  <c r="Y22" i="2"/>
  <c r="B564" i="2" s="1"/>
  <c r="P22" i="2"/>
  <c r="H10" i="2"/>
  <c r="A9" i="2"/>
  <c r="A10" i="2" s="1"/>
  <c r="D7" i="2"/>
  <c r="Q6" i="2"/>
  <c r="P2" i="2"/>
  <c r="BP48" i="2" l="1"/>
  <c r="Y69" i="2"/>
  <c r="Z78" i="2"/>
  <c r="BN78" i="2"/>
  <c r="Z79" i="2"/>
  <c r="Z115" i="2"/>
  <c r="Z132" i="2"/>
  <c r="BN132" i="2"/>
  <c r="Y139" i="2"/>
  <c r="Z142" i="2"/>
  <c r="Z144" i="2" s="1"/>
  <c r="BN142" i="2"/>
  <c r="Z153" i="2"/>
  <c r="BN153" i="2"/>
  <c r="Z157" i="2"/>
  <c r="Z158" i="2" s="1"/>
  <c r="BN157" i="2"/>
  <c r="BP157" i="2"/>
  <c r="Z164" i="2"/>
  <c r="BN164" i="2"/>
  <c r="Z194" i="2"/>
  <c r="Z195" i="2" s="1"/>
  <c r="BN194" i="2"/>
  <c r="Z200" i="2"/>
  <c r="Z207" i="2" s="1"/>
  <c r="BN200" i="2"/>
  <c r="Z211" i="2"/>
  <c r="Z212" i="2" s="1"/>
  <c r="BN211" i="2"/>
  <c r="BP211" i="2"/>
  <c r="Y212" i="2"/>
  <c r="Z219" i="2"/>
  <c r="BN219" i="2"/>
  <c r="Z233" i="2"/>
  <c r="BN233" i="2"/>
  <c r="Y259" i="2"/>
  <c r="BP270" i="2"/>
  <c r="Y289" i="2"/>
  <c r="Z326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X555" i="2"/>
  <c r="Z29" i="2"/>
  <c r="Z31" i="2"/>
  <c r="BP40" i="2"/>
  <c r="BP47" i="2"/>
  <c r="Z49" i="2"/>
  <c r="Z55" i="2"/>
  <c r="BP57" i="2"/>
  <c r="Z60" i="2"/>
  <c r="BP65" i="2"/>
  <c r="Z67" i="2"/>
  <c r="BN72" i="2"/>
  <c r="BN74" i="2"/>
  <c r="BP85" i="2"/>
  <c r="Y91" i="2"/>
  <c r="Z94" i="2"/>
  <c r="BN94" i="2"/>
  <c r="Z96" i="2"/>
  <c r="BN96" i="2"/>
  <c r="BP101" i="2"/>
  <c r="Y110" i="2"/>
  <c r="BP106" i="2"/>
  <c r="BP112" i="2"/>
  <c r="BN113" i="2"/>
  <c r="BP113" i="2"/>
  <c r="Y118" i="2"/>
  <c r="Y144" i="2"/>
  <c r="BN152" i="2"/>
  <c r="Y158" i="2"/>
  <c r="BN174" i="2"/>
  <c r="BP174" i="2"/>
  <c r="BN175" i="2"/>
  <c r="BP178" i="2"/>
  <c r="BN178" i="2"/>
  <c r="Z178" i="2"/>
  <c r="BN180" i="2"/>
  <c r="BP180" i="2"/>
  <c r="BP182" i="2"/>
  <c r="BN182" i="2"/>
  <c r="Z182" i="2"/>
  <c r="BN183" i="2"/>
  <c r="Z183" i="2"/>
  <c r="BN190" i="2"/>
  <c r="BP190" i="2"/>
  <c r="Y191" i="2"/>
  <c r="BN203" i="2"/>
  <c r="BP203" i="2"/>
  <c r="BN204" i="2"/>
  <c r="Z204" i="2"/>
  <c r="BP217" i="2"/>
  <c r="BN217" i="2"/>
  <c r="Z217" i="2"/>
  <c r="BN218" i="2"/>
  <c r="Z218" i="2"/>
  <c r="Z224" i="2"/>
  <c r="BP224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Z58" i="2"/>
  <c r="BN59" i="2"/>
  <c r="BP59" i="2"/>
  <c r="BP60" i="2"/>
  <c r="BP67" i="2"/>
  <c r="BN68" i="2"/>
  <c r="Y75" i="2"/>
  <c r="Z81" i="2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BP137" i="2"/>
  <c r="BP149" i="2"/>
  <c r="BN163" i="2"/>
  <c r="BP163" i="2"/>
  <c r="BN168" i="2"/>
  <c r="Z168" i="2"/>
  <c r="Y171" i="2"/>
  <c r="Z169" i="2"/>
  <c r="BN188" i="2"/>
  <c r="BN189" i="2"/>
  <c r="Z189" i="2"/>
  <c r="BP221" i="2"/>
  <c r="BN221" i="2"/>
  <c r="Z221" i="2"/>
  <c r="BN215" i="2"/>
  <c r="BN226" i="2"/>
  <c r="BP227" i="2"/>
  <c r="BN228" i="2"/>
  <c r="BP229" i="2"/>
  <c r="BN236" i="2"/>
  <c r="Z237" i="2"/>
  <c r="BN237" i="2"/>
  <c r="BN241" i="2"/>
  <c r="BN246" i="2"/>
  <c r="Z247" i="2"/>
  <c r="BN247" i="2"/>
  <c r="Z251" i="2"/>
  <c r="Z252" i="2" s="1"/>
  <c r="BN251" i="2"/>
  <c r="BP251" i="2"/>
  <c r="Y252" i="2"/>
  <c r="BN256" i="2"/>
  <c r="Y264" i="2"/>
  <c r="BN262" i="2"/>
  <c r="Z268" i="2"/>
  <c r="BP277" i="2"/>
  <c r="BN279" i="2"/>
  <c r="BP280" i="2"/>
  <c r="BN281" i="2"/>
  <c r="BP282" i="2"/>
  <c r="BP285" i="2"/>
  <c r="BN286" i="2"/>
  <c r="Z287" i="2"/>
  <c r="Y294" i="2"/>
  <c r="Y295" i="2"/>
  <c r="Z304" i="2"/>
  <c r="BN304" i="2"/>
  <c r="BP312" i="2"/>
  <c r="Z316" i="2"/>
  <c r="Z317" i="2" s="1"/>
  <c r="BN316" i="2"/>
  <c r="Y318" i="2"/>
  <c r="Z322" i="2"/>
  <c r="BN322" i="2"/>
  <c r="Z323" i="2"/>
  <c r="BN323" i="2"/>
  <c r="BP326" i="2"/>
  <c r="BN331" i="2"/>
  <c r="Z333" i="2"/>
  <c r="BN333" i="2"/>
  <c r="BN340" i="2"/>
  <c r="Z346" i="2"/>
  <c r="BN346" i="2"/>
  <c r="Z347" i="2"/>
  <c r="BN347" i="2"/>
  <c r="Y348" i="2"/>
  <c r="Y349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N234" i="2"/>
  <c r="BN238" i="2"/>
  <c r="Y258" i="2"/>
  <c r="BN261" i="2"/>
  <c r="Y263" i="2"/>
  <c r="BN267" i="2"/>
  <c r="BP267" i="2"/>
  <c r="BP268" i="2"/>
  <c r="BN269" i="2"/>
  <c r="BN271" i="2"/>
  <c r="Y275" i="2"/>
  <c r="BN300" i="2"/>
  <c r="BN302" i="2"/>
  <c r="BN325" i="2"/>
  <c r="BN338" i="2"/>
  <c r="BN342" i="2"/>
  <c r="BP360" i="2"/>
  <c r="BN360" i="2"/>
  <c r="Z360" i="2"/>
  <c r="BP372" i="2"/>
  <c r="BN372" i="2"/>
  <c r="Z372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X557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Z117" i="2" s="1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2" i="2" s="1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4" i="2" s="1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Y554" i="2" l="1"/>
  <c r="Z274" i="2"/>
  <c r="Z242" i="2"/>
  <c r="Z90" i="2"/>
  <c r="Z24" i="2"/>
  <c r="Z62" i="2"/>
  <c r="Z467" i="2"/>
  <c r="Z408" i="2"/>
  <c r="Z69" i="2"/>
  <c r="Z514" i="2"/>
  <c r="Z134" i="2"/>
  <c r="Z327" i="2"/>
  <c r="Y558" i="2"/>
  <c r="Z483" i="2"/>
  <c r="Z230" i="2"/>
  <c r="Y556" i="2"/>
  <c r="Z51" i="2"/>
  <c r="Z42" i="2"/>
  <c r="Y555" i="2"/>
  <c r="Y557" i="2" s="1"/>
  <c r="Z75" i="2"/>
  <c r="Z154" i="2"/>
  <c r="Z494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<sst xmlns="http://schemas.openxmlformats.org/spreadsheetml/2006/main" count="4265" uniqueCount="899">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</sst>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43" sqref="AA44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630</v>
      </c>
      <c r="Y443" s="55">
        <f>IFERROR(IF(X443="",0,CEILING((X443/$H443),1)*$H443),"")</f>
        <v>630</v>
      </c>
      <c r="Z443" s="41">
        <f>IFERROR(IF(Y443=0,"",ROUNDUP(Y443/H443,0)*0.01898),"")</f>
        <v>1.3286</v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665</v>
      </c>
      <c r="BN443" s="78">
        <f>IFERROR(Y443*I443/H443,"0")</f>
        <v>665</v>
      </c>
      <c r="BO443" s="78">
        <f>IFERROR(1/J443*(X443/H443),"0")</f>
        <v>1.09375</v>
      </c>
      <c r="BP443" s="78">
        <f>IFERROR(1/J443*(Y443/H443),"0")</f>
        <v>1.09375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70</v>
      </c>
      <c r="Y446" s="43">
        <f>IFERROR(Y443/H443,"0")+IFERROR(Y444/H444,"0")+IFERROR(Y445/H445,"0")</f>
        <v>70</v>
      </c>
      <c r="Z446" s="43">
        <f>IFERROR(IF(Z443="",0,Z443),"0")+IFERROR(IF(Z444="",0,Z444),"0")+IFERROR(IF(Z445="",0,Z445),"0")</f>
        <v>1.3286</v>
      </c>
      <c r="AA446" s="67"/>
      <c r="AB446" s="67"/>
      <c r="AC446" s="67"/>
    </row>
    <row r="447" spans="1:68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630</v>
      </c>
      <c r="Y447" s="43">
        <f>IFERROR(SUM(Y443:Y445),"0")</f>
        <v>630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630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630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665</v>
      </c>
      <c r="Y555" s="43">
        <f>IFERROR(SUM(BN22:BN551),"0")</f>
        <v>665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715</v>
      </c>
      <c r="Y557" s="43">
        <f>GrossWeightTotalR+PalletQtyTotalR*25</f>
        <v>715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70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70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1.3286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630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630,00"/>
        <filter val="665,00"/>
        <filter val="70,00"/>
        <filter val="715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2026-09-17T09:08:05Z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