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8FAE6E63-D9DC-4B06-AD88-A6EBC8A26C2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Y432" i="2" s="1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P192" i="2"/>
  <c r="BO191" i="2"/>
  <c r="BM191" i="2"/>
  <c r="Y191" i="2"/>
  <c r="BP191" i="2" s="1"/>
  <c r="P191" i="2"/>
  <c r="BO190" i="2"/>
  <c r="BM190" i="2"/>
  <c r="Y190" i="2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BP158" i="2" s="1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Y148" i="2" s="1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P104" i="2"/>
  <c r="X101" i="2"/>
  <c r="X100" i="2"/>
  <c r="BO99" i="2"/>
  <c r="BM99" i="2"/>
  <c r="Y99" i="2"/>
  <c r="P99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Y86" i="2"/>
  <c r="BP86" i="2" s="1"/>
  <c r="P86" i="2"/>
  <c r="BO85" i="2"/>
  <c r="BM85" i="2"/>
  <c r="Y85" i="2"/>
  <c r="Z85" i="2" s="1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P28" i="2"/>
  <c r="BO27" i="2"/>
  <c r="BM27" i="2"/>
  <c r="Y27" i="2"/>
  <c r="Y33" i="2" s="1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Z521" i="2" l="1"/>
  <c r="BN521" i="2"/>
  <c r="Z318" i="2"/>
  <c r="Z319" i="2" s="1"/>
  <c r="Z105" i="2"/>
  <c r="Z127" i="2"/>
  <c r="Y451" i="2"/>
  <c r="Z31" i="2"/>
  <c r="BN31" i="2"/>
  <c r="BP38" i="2"/>
  <c r="Z240" i="2"/>
  <c r="BN240" i="2"/>
  <c r="Z241" i="2"/>
  <c r="Z353" i="2"/>
  <c r="BP80" i="2"/>
  <c r="Z221" i="2"/>
  <c r="Z277" i="2"/>
  <c r="Z337" i="2"/>
  <c r="Z436" i="2"/>
  <c r="BN436" i="2"/>
  <c r="Z48" i="2"/>
  <c r="Z86" i="2"/>
  <c r="BN86" i="2"/>
  <c r="Z93" i="2"/>
  <c r="BN93" i="2"/>
  <c r="BP98" i="2"/>
  <c r="Z107" i="2"/>
  <c r="BN107" i="2"/>
  <c r="BP115" i="2"/>
  <c r="Z161" i="2"/>
  <c r="BN161" i="2"/>
  <c r="Z191" i="2"/>
  <c r="BN191" i="2"/>
  <c r="Z199" i="2"/>
  <c r="BN199" i="2"/>
  <c r="Z205" i="2"/>
  <c r="Z206" i="2" s="1"/>
  <c r="Z231" i="2"/>
  <c r="Z261" i="2"/>
  <c r="Z262" i="2" s="1"/>
  <c r="Z293" i="2"/>
  <c r="BN293" i="2"/>
  <c r="Z295" i="2"/>
  <c r="BP333" i="2"/>
  <c r="Z349" i="2"/>
  <c r="Y399" i="2"/>
  <c r="Z397" i="2"/>
  <c r="BN397" i="2"/>
  <c r="BP422" i="2"/>
  <c r="Z474" i="2"/>
  <c r="BN474" i="2"/>
  <c r="Z476" i="2"/>
  <c r="Z512" i="2"/>
  <c r="BN512" i="2"/>
  <c r="BN41" i="2"/>
  <c r="Z50" i="2"/>
  <c r="BP50" i="2"/>
  <c r="Y82" i="2"/>
  <c r="BP77" i="2"/>
  <c r="BN77" i="2"/>
  <c r="Z77" i="2"/>
  <c r="Y112" i="2"/>
  <c r="Z104" i="2"/>
  <c r="BN145" i="2"/>
  <c r="BN159" i="2"/>
  <c r="BN173" i="2"/>
  <c r="BP173" i="2"/>
  <c r="BP184" i="2"/>
  <c r="BN184" i="2"/>
  <c r="Z184" i="2"/>
  <c r="BN187" i="2"/>
  <c r="BN190" i="2"/>
  <c r="Z190" i="2"/>
  <c r="X565" i="2"/>
  <c r="BP28" i="2"/>
  <c r="BN28" i="2"/>
  <c r="Z28" i="2"/>
  <c r="BN106" i="2"/>
  <c r="BN118" i="2"/>
  <c r="BP134" i="2"/>
  <c r="Y136" i="2"/>
  <c r="BP185" i="2"/>
  <c r="BN185" i="2"/>
  <c r="Z185" i="2"/>
  <c r="Z192" i="2"/>
  <c r="BN192" i="2"/>
  <c r="Y366" i="2"/>
  <c r="Y387" i="2"/>
  <c r="BN384" i="2"/>
  <c r="BN443" i="2"/>
  <c r="BN454" i="2"/>
  <c r="BN460" i="2"/>
  <c r="Y462" i="2"/>
  <c r="BP465" i="2"/>
  <c r="Y467" i="2"/>
  <c r="BN502" i="2"/>
  <c r="BN510" i="2"/>
  <c r="BN516" i="2"/>
  <c r="BN194" i="2"/>
  <c r="BN266" i="2"/>
  <c r="Y299" i="2"/>
  <c r="BN292" i="2"/>
  <c r="BN298" i="2"/>
  <c r="BN313" i="2"/>
  <c r="BN336" i="2"/>
  <c r="BN343" i="2"/>
  <c r="BN351" i="2"/>
  <c r="X568" i="2"/>
  <c r="Y100" i="2"/>
  <c r="Y179" i="2"/>
  <c r="BN218" i="2"/>
  <c r="Z219" i="2"/>
  <c r="Z230" i="2"/>
  <c r="Z233" i="2"/>
  <c r="BN233" i="2"/>
  <c r="Z242" i="2"/>
  <c r="Y252" i="2"/>
  <c r="BN250" i="2"/>
  <c r="Z251" i="2"/>
  <c r="Z326" i="2"/>
  <c r="BN326" i="2"/>
  <c r="Z327" i="2"/>
  <c r="BN327" i="2"/>
  <c r="Z328" i="2"/>
  <c r="Z363" i="2"/>
  <c r="BN372" i="2"/>
  <c r="Z374" i="2"/>
  <c r="BN374" i="2"/>
  <c r="BP379" i="2"/>
  <c r="BN382" i="2"/>
  <c r="BP389" i="2"/>
  <c r="BN392" i="2"/>
  <c r="Y394" i="2"/>
  <c r="BP396" i="2"/>
  <c r="Z404" i="2"/>
  <c r="BN410" i="2"/>
  <c r="Z415" i="2"/>
  <c r="BN416" i="2"/>
  <c r="Z417" i="2"/>
  <c r="BP428" i="2"/>
  <c r="BN429" i="2"/>
  <c r="Z440" i="2"/>
  <c r="Z442" i="2"/>
  <c r="BN442" i="2"/>
  <c r="BN455" i="2"/>
  <c r="Z465" i="2"/>
  <c r="Z466" i="2"/>
  <c r="BN466" i="2"/>
  <c r="Z486" i="2"/>
  <c r="BN486" i="2"/>
  <c r="BN503" i="2"/>
  <c r="BN515" i="2"/>
  <c r="BN530" i="2"/>
  <c r="Z532" i="2"/>
  <c r="H9" i="2"/>
  <c r="X566" i="2"/>
  <c r="X564" i="2"/>
  <c r="Z27" i="2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Z304" i="2" s="1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BN337" i="2"/>
  <c r="Y339" i="2"/>
  <c r="BP343" i="2"/>
  <c r="BP351" i="2"/>
  <c r="BN353" i="2"/>
  <c r="BN363" i="2"/>
  <c r="Z364" i="2"/>
  <c r="Y386" i="2"/>
  <c r="BN396" i="2"/>
  <c r="Z403" i="2"/>
  <c r="BP404" i="2"/>
  <c r="BN415" i="2"/>
  <c r="Z416" i="2"/>
  <c r="Z418" i="2" s="1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Z366" i="2" s="1"/>
  <c r="Y424" i="2"/>
  <c r="Y445" i="2"/>
  <c r="Z454" i="2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44" i="2"/>
  <c r="BN357" i="2"/>
  <c r="Z379" i="2"/>
  <c r="Z389" i="2"/>
  <c r="BN411" i="2"/>
  <c r="Z422" i="2"/>
  <c r="BN437" i="2"/>
  <c r="BN447" i="2"/>
  <c r="Y450" i="2"/>
  <c r="BN470" i="2"/>
  <c r="Z482" i="2"/>
  <c r="Z492" i="2"/>
  <c r="Y498" i="2"/>
  <c r="BP509" i="2"/>
  <c r="BN517" i="2"/>
  <c r="Z527" i="2"/>
  <c r="Z539" i="2"/>
  <c r="Z540" i="2" s="1"/>
  <c r="Y544" i="2"/>
  <c r="Z551" i="2"/>
  <c r="Z552" i="2" s="1"/>
  <c r="D574" i="2"/>
  <c r="Y197" i="2"/>
  <c r="BN522" i="2"/>
  <c r="BN532" i="2"/>
  <c r="Z556" i="2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354" i="2" l="1"/>
  <c r="Z399" i="2"/>
  <c r="Z147" i="2"/>
  <c r="Z406" i="2"/>
  <c r="Z431" i="2"/>
  <c r="Z467" i="2"/>
  <c r="Z557" i="2"/>
  <c r="Z534" i="2"/>
  <c r="Z493" i="2"/>
  <c r="Z338" i="2"/>
  <c r="Z131" i="2"/>
  <c r="Z273" i="2"/>
  <c r="Z90" i="2"/>
  <c r="Z32" i="2"/>
  <c r="Z329" i="2"/>
  <c r="Z477" i="2"/>
  <c r="X567" i="2"/>
  <c r="Z386" i="2"/>
  <c r="Z345" i="2"/>
  <c r="Z174" i="2"/>
  <c r="Z120" i="2"/>
  <c r="Z444" i="2"/>
  <c r="Z456" i="2"/>
  <c r="Z142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<sst xmlns="http://schemas.openxmlformats.org/spreadsheetml/2006/main" count="4365" uniqueCount="909">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</sst>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4"/>
  <sheetViews>
    <sheetView showGridLines="0" tabSelected="1" topLeftCell="A543" zoomScaleNormal="100" zoomScaleSheetLayoutView="100" workbookViewId="0">
      <selection activeCell="X570" sqref="X57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/>
      <c r="I5" s="1013"/>
      <c r="J5" s="1013"/>
      <c r="K5" s="1013"/>
      <c r="L5" s="1013"/>
      <c r="M5" s="1013"/>
      <c r="N5" s="72"/>
      <c r="P5" s="27" t="s">
        <v>4</v>
      </c>
      <c r="Q5" s="1015">
        <v>46271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891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Воскресенье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1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0.375</v>
      </c>
      <c r="R8" s="993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5" t="str">
        <f>IF(AND($A$9="Тип доверенности/получателя при получении в адресе перегруза:",$D$9="Разовая доверенность"),"Введите ФИО","")</f>
        <v/>
      </c>
      <c r="I9" s="1035"/>
      <c r="J9" s="103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5"/>
      <c r="L9" s="1035"/>
      <c r="M9" s="1035"/>
      <c r="N9" s="70"/>
      <c r="P9" s="31" t="s">
        <v>15</v>
      </c>
      <c r="Q9" s="1036"/>
      <c r="R9" s="1036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30</v>
      </c>
      <c r="Y47" s="55">
        <f>IFERROR(IF(X47="",0,CEILING((X47/$H47),1)*$H47),"")</f>
        <v>32.400000000000006</v>
      </c>
      <c r="Z47" s="41">
        <f>IFERROR(IF(Y47=0,"",ROUNDUP(Y47/H47,0)*0.01898),"")</f>
        <v>5.6940000000000004E-2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31.138888888888889</v>
      </c>
      <c r="BN47" s="78">
        <f>IFERROR(Y47*I47/H47,"0")</f>
        <v>33.630000000000003</v>
      </c>
      <c r="BO47" s="78">
        <f>IFERROR(1/J47*(X47/H47),"0")</f>
        <v>4.3402777777777776E-2</v>
      </c>
      <c r="BP47" s="78">
        <f>IFERROR(1/J47*(Y47/H47),"0")</f>
        <v>4.6875000000000007E-2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12</v>
      </c>
      <c r="Y49" s="55">
        <f>IFERROR(IF(X49="",0,CEILING((X49/$H49),1)*$H49),"")</f>
        <v>12</v>
      </c>
      <c r="Z49" s="41">
        <f>IFERROR(IF(Y49=0,"",ROUNDUP(Y49/H49,0)*0.00902),"")</f>
        <v>2.7060000000000001E-2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12.57</v>
      </c>
      <c r="BN49" s="78">
        <f>IFERROR(Y49*I49/H49,"0")</f>
        <v>12.57</v>
      </c>
      <c r="BO49" s="78">
        <f>IFERROR(1/J49*(X49/H49),"0")</f>
        <v>2.2727272727272728E-2</v>
      </c>
      <c r="BP49" s="78">
        <f>IFERROR(1/J49*(Y49/H49),"0")</f>
        <v>2.2727272727272728E-2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5.7777777777777777</v>
      </c>
      <c r="Y51" s="43">
        <f>IFERROR(Y47/H47,"0")+IFERROR(Y48/H48,"0")+IFERROR(Y49/H49,"0")+IFERROR(Y50/H50,"0")</f>
        <v>6</v>
      </c>
      <c r="Z51" s="43">
        <f>IFERROR(IF(Z47="",0,Z47),"0")+IFERROR(IF(Z48="",0,Z48),"0")+IFERROR(IF(Z49="",0,Z49),"0")+IFERROR(IF(Z50="",0,Z50),"0")</f>
        <v>8.4000000000000005E-2</v>
      </c>
      <c r="AA51" s="67"/>
      <c r="AB51" s="67"/>
      <c r="AC51" s="67"/>
    </row>
    <row r="52" spans="1:68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42</v>
      </c>
      <c r="Y52" s="43">
        <f>IFERROR(SUM(Y47:Y50),"0")</f>
        <v>44.400000000000006</v>
      </c>
      <c r="Z52" s="42"/>
      <c r="AA52" s="67"/>
      <c r="AB52" s="67"/>
      <c r="AC52" s="67"/>
    </row>
    <row r="53" spans="1:68" ht="16.5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18</v>
      </c>
      <c r="Y60" s="55">
        <f t="shared" si="0"/>
        <v>18</v>
      </c>
      <c r="Z60" s="41">
        <f>IFERROR(IF(Y60=0,"",ROUNDUP(Y60/H60,0)*0.00902),"")</f>
        <v>3.6080000000000001E-2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18.760000000000002</v>
      </c>
      <c r="BN60" s="78">
        <f t="shared" si="2"/>
        <v>18.760000000000002</v>
      </c>
      <c r="BO60" s="78">
        <f t="shared" si="3"/>
        <v>3.0303030303030304E-2</v>
      </c>
      <c r="BP60" s="78">
        <f t="shared" si="4"/>
        <v>3.0303030303030304E-2</v>
      </c>
    </row>
    <row r="61" spans="1:68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4</v>
      </c>
      <c r="Y61" s="43">
        <f>IFERROR(Y55/H55,"0")+IFERROR(Y56/H56,"0")+IFERROR(Y57/H57,"0")+IFERROR(Y58/H58,"0")+IFERROR(Y59/H59,"0")+IFERROR(Y60/H60,"0")</f>
        <v>4</v>
      </c>
      <c r="Z61" s="43">
        <f>IFERROR(IF(Z55="",0,Z55),"0")+IFERROR(IF(Z56="",0,Z56),"0")+IFERROR(IF(Z57="",0,Z57),"0")+IFERROR(IF(Z58="",0,Z58),"0")+IFERROR(IF(Z59="",0,Z59),"0")+IFERROR(IF(Z60="",0,Z60),"0")</f>
        <v>3.6080000000000001E-2</v>
      </c>
      <c r="AA61" s="67"/>
      <c r="AB61" s="67"/>
      <c r="AC61" s="67"/>
    </row>
    <row r="62" spans="1:68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18</v>
      </c>
      <c r="Y62" s="43">
        <f>IFERROR(SUM(Y55:Y60),"0")</f>
        <v>18</v>
      </c>
      <c r="Z62" s="42"/>
      <c r="AA62" s="67"/>
      <c r="AB62" s="67"/>
      <c r="AC62" s="67"/>
    </row>
    <row r="63" spans="1:68" ht="14.25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40</v>
      </c>
      <c r="Y64" s="55">
        <f>IFERROR(IF(X64="",0,CEILING((X64/$H64),1)*$H64),"")</f>
        <v>43.2</v>
      </c>
      <c r="Z64" s="41">
        <f>IFERROR(IF(Y64=0,"",ROUNDUP(Y64/H64,0)*0.01898),"")</f>
        <v>7.5920000000000001E-2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41.518518518518519</v>
      </c>
      <c r="BN64" s="78">
        <f>IFERROR(Y64*I64/H64,"0")</f>
        <v>44.84</v>
      </c>
      <c r="BO64" s="78">
        <f>IFERROR(1/J64*(X64/H64),"0")</f>
        <v>5.7870370370370364E-2</v>
      </c>
      <c r="BP64" s="78">
        <f>IFERROR(1/J64*(Y64/H64),"0")</f>
        <v>6.25E-2</v>
      </c>
    </row>
    <row r="65" spans="1:68" ht="16.5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9</v>
      </c>
      <c r="Y67" s="55">
        <f>IFERROR(IF(X67="",0,CEILING((X67/$H67),1)*$H67),"")</f>
        <v>10.8</v>
      </c>
      <c r="Z67" s="41">
        <f>IFERROR(IF(Y67=0,"",ROUNDUP(Y67/H67,0)*0.00651),"")</f>
        <v>2.6040000000000001E-2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9.5999999999999979</v>
      </c>
      <c r="BN67" s="78">
        <f>IFERROR(Y67*I67/H67,"0")</f>
        <v>11.52</v>
      </c>
      <c r="BO67" s="78">
        <f>IFERROR(1/J67*(X67/H67),"0")</f>
        <v>1.8315018315018316E-2</v>
      </c>
      <c r="BP67" s="78">
        <f>IFERROR(1/J67*(Y67/H67),"0")</f>
        <v>2.197802197802198E-2</v>
      </c>
    </row>
    <row r="68" spans="1:68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7.0370370370370363</v>
      </c>
      <c r="Y68" s="43">
        <f>IFERROR(Y64/H64,"0")+IFERROR(Y65/H65,"0")+IFERROR(Y66/H66,"0")+IFERROR(Y67/H67,"0")</f>
        <v>8</v>
      </c>
      <c r="Z68" s="43">
        <f>IFERROR(IF(Z64="",0,Z64),"0")+IFERROR(IF(Z65="",0,Z65),"0")+IFERROR(IF(Z66="",0,Z66),"0")+IFERROR(IF(Z67="",0,Z67),"0")</f>
        <v>0.10196</v>
      </c>
      <c r="AA68" s="67"/>
      <c r="AB68" s="67"/>
      <c r="AC68" s="67"/>
    </row>
    <row r="69" spans="1:68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49</v>
      </c>
      <c r="Y69" s="43">
        <f>IFERROR(SUM(Y64:Y67),"0")</f>
        <v>54</v>
      </c>
      <c r="Z69" s="42"/>
      <c r="AA69" s="67"/>
      <c r="AB69" s="67"/>
      <c r="AC69" s="67"/>
    </row>
    <row r="70" spans="1:68" ht="14.25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30</v>
      </c>
      <c r="Y85" s="55">
        <f>IFERROR(IF(X85="",0,CEILING((X85/$H85),1)*$H85),"")</f>
        <v>32.400000000000006</v>
      </c>
      <c r="Z85" s="41">
        <f>IFERROR(IF(Y85=0,"",ROUNDUP(Y85/H85,0)*0.01898),"")</f>
        <v>5.6940000000000004E-2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31.138888888888889</v>
      </c>
      <c r="BN85" s="78">
        <f>IFERROR(Y85*I85/H85,"0")</f>
        <v>33.630000000000003</v>
      </c>
      <c r="BO85" s="78">
        <f>IFERROR(1/J85*(X85/H85),"0")</f>
        <v>4.3402777777777776E-2</v>
      </c>
      <c r="BP85" s="78">
        <f>IFERROR(1/J85*(Y85/H85),"0")</f>
        <v>4.6875000000000007E-2</v>
      </c>
    </row>
    <row r="86" spans="1:68" ht="27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18</v>
      </c>
      <c r="Y89" s="55">
        <f>IFERROR(IF(X89="",0,CEILING((X89/$H89),1)*$H89),"")</f>
        <v>18</v>
      </c>
      <c r="Z89" s="41">
        <f>IFERROR(IF(Y89=0,"",ROUNDUP(Y89/H89,0)*0.00902),"")</f>
        <v>3.6080000000000001E-2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18.760000000000002</v>
      </c>
      <c r="BN89" s="78">
        <f>IFERROR(Y89*I89/H89,"0")</f>
        <v>18.760000000000002</v>
      </c>
      <c r="BO89" s="78">
        <f>IFERROR(1/J89*(X89/H89),"0")</f>
        <v>3.0303030303030304E-2</v>
      </c>
      <c r="BP89" s="78">
        <f>IFERROR(1/J89*(Y89/H89),"0")</f>
        <v>3.0303030303030304E-2</v>
      </c>
    </row>
    <row r="90" spans="1:68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6.7777777777777777</v>
      </c>
      <c r="Y90" s="43">
        <f>IFERROR(Y85/H85,"0")+IFERROR(Y86/H86,"0")+IFERROR(Y87/H87,"0")+IFERROR(Y88/H88,"0")+IFERROR(Y89/H89,"0")</f>
        <v>7</v>
      </c>
      <c r="Z90" s="43">
        <f>IFERROR(IF(Z85="",0,Z85),"0")+IFERROR(IF(Z86="",0,Z86),"0")+IFERROR(IF(Z87="",0,Z87),"0")+IFERROR(IF(Z88="",0,Z88),"0")+IFERROR(IF(Z89="",0,Z89),"0")</f>
        <v>9.3020000000000005E-2</v>
      </c>
      <c r="AA90" s="67"/>
      <c r="AB90" s="67"/>
      <c r="AC90" s="67"/>
    </row>
    <row r="91" spans="1:68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48</v>
      </c>
      <c r="Y91" s="43">
        <f>IFERROR(SUM(Y85:Y89),"0")</f>
        <v>50.400000000000006</v>
      </c>
      <c r="Z91" s="42"/>
      <c r="AA91" s="67"/>
      <c r="AB91" s="67"/>
      <c r="AC91" s="67"/>
    </row>
    <row r="92" spans="1:68" ht="14.25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60</v>
      </c>
      <c r="Y93" s="55">
        <f t="shared" ref="Y93:Y99" si="5">IFERROR(IF(X93="",0,CEILING((X93/$H93),1)*$H93),"")</f>
        <v>64.8</v>
      </c>
      <c r="Z93" s="41">
        <f>IFERROR(IF(Y93=0,"",ROUNDUP(Y93/H93,0)*0.01898),"")</f>
        <v>0.15184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63.659259259259258</v>
      </c>
      <c r="BN93" s="78">
        <f t="shared" ref="BN93:BN99" si="7">IFERROR(Y93*I93/H93,"0")</f>
        <v>68.751999999999995</v>
      </c>
      <c r="BO93" s="78">
        <f t="shared" ref="BO93:BO99" si="8">IFERROR(1/J93*(X93/H93),"0")</f>
        <v>0.11574074074074074</v>
      </c>
      <c r="BP93" s="78">
        <f t="shared" ref="BP93:BP99" si="9">IFERROR(1/J93*(Y93/H93),"0")</f>
        <v>0.125</v>
      </c>
    </row>
    <row r="94" spans="1:68" ht="27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18</v>
      </c>
      <c r="Y97" s="55">
        <f t="shared" si="5"/>
        <v>18.900000000000002</v>
      </c>
      <c r="Z97" s="41">
        <f>IFERROR(IF(Y97=0,"",ROUNDUP(Y97/H97,0)*0.00651),"")</f>
        <v>4.5569999999999999E-2</v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19.679999999999996</v>
      </c>
      <c r="BN97" s="78">
        <f t="shared" si="7"/>
        <v>20.664000000000001</v>
      </c>
      <c r="BO97" s="78">
        <f t="shared" si="8"/>
        <v>3.6630036630036632E-2</v>
      </c>
      <c r="BP97" s="78">
        <f t="shared" si="9"/>
        <v>3.8461538461538464E-2</v>
      </c>
    </row>
    <row r="98" spans="1:68" ht="27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14.074074074074073</v>
      </c>
      <c r="Y100" s="43">
        <f>IFERROR(Y93/H93,"0")+IFERROR(Y94/H94,"0")+IFERROR(Y95/H95,"0")+IFERROR(Y96/H96,"0")+IFERROR(Y97/H97,"0")+IFERROR(Y98/H98,"0")+IFERROR(Y99/H99,"0")</f>
        <v>15</v>
      </c>
      <c r="Z100" s="43">
        <f>IFERROR(IF(Z93="",0,Z93),"0")+IFERROR(IF(Z94="",0,Z94),"0")+IFERROR(IF(Z95="",0,Z95),"0")+IFERROR(IF(Z96="",0,Z96),"0")+IFERROR(IF(Z97="",0,Z97),"0")+IFERROR(IF(Z98="",0,Z98),"0")+IFERROR(IF(Z99="",0,Z99),"0")</f>
        <v>0.19741</v>
      </c>
      <c r="AA100" s="67"/>
      <c r="AB100" s="67"/>
      <c r="AC100" s="67"/>
    </row>
    <row r="101" spans="1:68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78</v>
      </c>
      <c r="Y101" s="43">
        <f>IFERROR(SUM(Y93:Y99),"0")</f>
        <v>83.7</v>
      </c>
      <c r="Z101" s="42"/>
      <c r="AA101" s="67"/>
      <c r="AB101" s="67"/>
      <c r="AC101" s="67"/>
    </row>
    <row r="102" spans="1:68" ht="16.5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30</v>
      </c>
      <c r="Y104" s="55">
        <f t="shared" ref="Y104:Y111" si="10">IFERROR(IF(X104="",0,CEILING((X104/$H104),1)*$H104),"")</f>
        <v>32.400000000000006</v>
      </c>
      <c r="Z104" s="41">
        <f>IFERROR(IF(Y104=0,"",ROUNDUP(Y104/H104,0)*0.01898),"")</f>
        <v>5.6940000000000004E-2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31.138888888888889</v>
      </c>
      <c r="BN104" s="78">
        <f t="shared" ref="BN104:BN111" si="12">IFERROR(Y104*I104/H104,"0")</f>
        <v>33.630000000000003</v>
      </c>
      <c r="BO104" s="78">
        <f t="shared" ref="BO104:BO111" si="13">IFERROR(1/J104*(X104/H104),"0")</f>
        <v>4.3402777777777776E-2</v>
      </c>
      <c r="BP104" s="78">
        <f t="shared" ref="BP104:BP111" si="14">IFERROR(1/J104*(Y104/H104),"0")</f>
        <v>4.6875000000000007E-2</v>
      </c>
    </row>
    <row r="105" spans="1:68" ht="27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9</v>
      </c>
      <c r="Y109" s="55">
        <f t="shared" si="10"/>
        <v>9</v>
      </c>
      <c r="Z109" s="41">
        <f>IFERROR(IF(Y109=0,"",ROUNDUP(Y109/H109,0)*0.00902),"")</f>
        <v>1.804E-2</v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9.3800000000000008</v>
      </c>
      <c r="BN109" s="78">
        <f t="shared" si="12"/>
        <v>9.3800000000000008</v>
      </c>
      <c r="BO109" s="78">
        <f t="shared" si="13"/>
        <v>1.5151515151515152E-2</v>
      </c>
      <c r="BP109" s="78">
        <f t="shared" si="14"/>
        <v>1.5151515151515152E-2</v>
      </c>
    </row>
    <row r="110" spans="1:68" ht="27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4.7777777777777777</v>
      </c>
      <c r="Y112" s="43">
        <f>IFERROR(Y104/H104,"0")+IFERROR(Y105/H105,"0")+IFERROR(Y106/H106,"0")+IFERROR(Y107/H107,"0")+IFERROR(Y108/H108,"0")+IFERROR(Y109/H109,"0")+IFERROR(Y110/H110,"0")+IFERROR(Y111/H111,"0")</f>
        <v>5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7.4980000000000005E-2</v>
      </c>
      <c r="AA112" s="67"/>
      <c r="AB112" s="67"/>
      <c r="AC112" s="67"/>
    </row>
    <row r="113" spans="1:68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39</v>
      </c>
      <c r="Y113" s="43">
        <f>IFERROR(SUM(Y104:Y111),"0")</f>
        <v>41.400000000000006</v>
      </c>
      <c r="Z113" s="42"/>
      <c r="AA113" s="67"/>
      <c r="AB113" s="67"/>
      <c r="AC113" s="67"/>
    </row>
    <row r="114" spans="1:68" ht="14.25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80</v>
      </c>
      <c r="Y123" s="55">
        <f t="shared" ref="Y123:Y130" si="15">IFERROR(IF(X123="",0,CEILING((X123/$H123),1)*$H123),"")</f>
        <v>81</v>
      </c>
      <c r="Z123" s="41">
        <f>IFERROR(IF(Y123=0,"",ROUNDUP(Y123/H123,0)*0.01898),"")</f>
        <v>0.1898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84.819753086419752</v>
      </c>
      <c r="BN123" s="78">
        <f t="shared" ref="BN123:BN130" si="17">IFERROR(Y123*I123/H123,"0")</f>
        <v>85.88</v>
      </c>
      <c r="BO123" s="78">
        <f t="shared" ref="BO123:BO130" si="18">IFERROR(1/J123*(X123/H123),"0")</f>
        <v>0.15432098765432101</v>
      </c>
      <c r="BP123" s="78">
        <f t="shared" ref="BP123:BP130" si="19">IFERROR(1/J123*(Y123/H123),"0")</f>
        <v>0.15625</v>
      </c>
    </row>
    <row r="124" spans="1:68" ht="27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9.8765432098765444</v>
      </c>
      <c r="Y131" s="43">
        <f>IFERROR(Y123/H123,"0")+IFERROR(Y124/H124,"0")+IFERROR(Y125/H125,"0")+IFERROR(Y126/H126,"0")+IFERROR(Y127/H127,"0")+IFERROR(Y128/H128,"0")+IFERROR(Y129/H129,"0")+IFERROR(Y130/H130,"0")</f>
        <v>10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0.1898</v>
      </c>
      <c r="AA131" s="67"/>
      <c r="AB131" s="67"/>
      <c r="AC131" s="67"/>
    </row>
    <row r="132" spans="1:68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80</v>
      </c>
      <c r="Y132" s="43">
        <f>IFERROR(SUM(Y123:Y130),"0")</f>
        <v>81</v>
      </c>
      <c r="Z132" s="42"/>
      <c r="AA132" s="67"/>
      <c r="AB132" s="67"/>
      <c r="AC132" s="67"/>
    </row>
    <row r="133" spans="1:68" ht="14.25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60</v>
      </c>
      <c r="Y276" s="55">
        <f t="shared" ref="Y276:Y283" si="45">IFERROR(IF(X276="",0,CEILING((X276/$H276),1)*$H276),"")</f>
        <v>64.800000000000011</v>
      </c>
      <c r="Z276" s="41">
        <f>IFERROR(IF(Y276=0,"",ROUNDUP(Y276/H276,0)*0.00902),"")</f>
        <v>0.10824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62.1111111111111</v>
      </c>
      <c r="BN276" s="78">
        <f t="shared" ref="BN276:BN283" si="47">IFERROR(Y276*I276/H276,"0")</f>
        <v>67.08</v>
      </c>
      <c r="BO276" s="78">
        <f t="shared" ref="BO276:BO283" si="48">IFERROR(1/J276*(X276/H276),"0")</f>
        <v>8.4175084175084181E-2</v>
      </c>
      <c r="BP276" s="78">
        <f t="shared" ref="BP276:BP283" si="49">IFERROR(1/J276*(Y276/H276),"0")</f>
        <v>9.0909090909090925E-2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60</v>
      </c>
      <c r="Y277" s="55">
        <f t="shared" si="45"/>
        <v>64.800000000000011</v>
      </c>
      <c r="Z277" s="41">
        <f>IFERROR(IF(Y277=0,"",ROUNDUP(Y277/H277,0)*0.00902),"")</f>
        <v>0.10824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62.1111111111111</v>
      </c>
      <c r="BN277" s="78">
        <f t="shared" si="47"/>
        <v>67.08</v>
      </c>
      <c r="BO277" s="78">
        <f t="shared" si="48"/>
        <v>8.4175084175084181E-2</v>
      </c>
      <c r="BP277" s="78">
        <f t="shared" si="49"/>
        <v>9.0909090909090925E-2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70</v>
      </c>
      <c r="Y278" s="55">
        <f t="shared" si="45"/>
        <v>70.2</v>
      </c>
      <c r="Z278" s="41">
        <f>IFERROR(IF(Y278=0,"",ROUNDUP(Y278/H278,0)*0.00902),"")</f>
        <v>0.11726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72.462962962962962</v>
      </c>
      <c r="BN278" s="78">
        <f t="shared" si="47"/>
        <v>72.67</v>
      </c>
      <c r="BO278" s="78">
        <f t="shared" si="48"/>
        <v>9.8204264870931535E-2</v>
      </c>
      <c r="BP278" s="78">
        <f t="shared" si="49"/>
        <v>9.8484848484848481E-2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60</v>
      </c>
      <c r="Y279" s="55">
        <f t="shared" si="45"/>
        <v>64.800000000000011</v>
      </c>
      <c r="Z279" s="41">
        <f>IFERROR(IF(Y279=0,"",ROUNDUP(Y279/H279,0)*0.00902),"")</f>
        <v>0.10824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62.1111111111111</v>
      </c>
      <c r="BN279" s="78">
        <f t="shared" si="47"/>
        <v>67.08</v>
      </c>
      <c r="BO279" s="78">
        <f t="shared" si="48"/>
        <v>8.4175084175084181E-2</v>
      </c>
      <c r="BP279" s="78">
        <f t="shared" si="49"/>
        <v>9.0909090909090925E-2</v>
      </c>
    </row>
    <row r="280" spans="1:68" ht="27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46.296296296296291</v>
      </c>
      <c r="Y284" s="43">
        <f>IFERROR(Y276/H276,"0")+IFERROR(Y277/H277,"0")+IFERROR(Y278/H278,"0")+IFERROR(Y279/H279,"0")+IFERROR(Y280/H280,"0")+IFERROR(Y281/H281,"0")+IFERROR(Y282/H282,"0")+IFERROR(Y283/H283,"0")</f>
        <v>49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0.44198000000000004</v>
      </c>
      <c r="AA284" s="67"/>
      <c r="AB284" s="67"/>
      <c r="AC284" s="67"/>
    </row>
    <row r="285" spans="1:68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250</v>
      </c>
      <c r="Y285" s="43">
        <f>IFERROR(SUM(Y276:Y283),"0")</f>
        <v>264.60000000000002</v>
      </c>
      <c r="Z285" s="42"/>
      <c r="AA285" s="67"/>
      <c r="AB285" s="67"/>
      <c r="AC285" s="67"/>
    </row>
    <row r="286" spans="1:68" ht="14.25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15</v>
      </c>
      <c r="Y289" s="55">
        <f t="shared" si="50"/>
        <v>17.399999999999999</v>
      </c>
      <c r="Z289" s="41">
        <f>IFERROR(IF(Y289=0,"",ROUNDUP(Y289/H289,0)*0.01898),"")</f>
        <v>3.7960000000000001E-2</v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15.851724137931038</v>
      </c>
      <c r="BN289" s="78">
        <f t="shared" si="52"/>
        <v>18.388000000000002</v>
      </c>
      <c r="BO289" s="78">
        <f t="shared" si="53"/>
        <v>2.6939655172413795E-2</v>
      </c>
      <c r="BP289" s="78">
        <f t="shared" si="54"/>
        <v>3.125E-2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>
        <v>8</v>
      </c>
      <c r="Y290" s="55">
        <f t="shared" si="50"/>
        <v>9.6</v>
      </c>
      <c r="Z290" s="41">
        <f>IFERROR(IF(Y290=0,"",ROUNDUP(Y290/H290,0)*0.00651),"")</f>
        <v>2.6040000000000001E-2</v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8.9</v>
      </c>
      <c r="BN290" s="78">
        <f t="shared" si="52"/>
        <v>10.68</v>
      </c>
      <c r="BO290" s="78">
        <f t="shared" si="53"/>
        <v>1.8315018315018316E-2</v>
      </c>
      <c r="BP290" s="78">
        <f t="shared" si="54"/>
        <v>2.197802197802198E-2</v>
      </c>
    </row>
    <row r="291" spans="1:68" ht="27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12</v>
      </c>
      <c r="Y293" s="55">
        <f t="shared" si="50"/>
        <v>12</v>
      </c>
      <c r="Z293" s="41">
        <f>IFERROR(IF(Y293=0,"",ROUNDUP(Y293/H293,0)*0.00651),"")</f>
        <v>3.2550000000000003E-2</v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13.260000000000002</v>
      </c>
      <c r="BN293" s="78">
        <f t="shared" si="52"/>
        <v>13.260000000000002</v>
      </c>
      <c r="BO293" s="78">
        <f t="shared" si="53"/>
        <v>2.7472527472527476E-2</v>
      </c>
      <c r="BP293" s="78">
        <f t="shared" si="54"/>
        <v>2.7472527472527476E-2</v>
      </c>
    </row>
    <row r="294" spans="1:68" ht="27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20</v>
      </c>
      <c r="Y295" s="55">
        <f t="shared" si="50"/>
        <v>21.599999999999998</v>
      </c>
      <c r="Z295" s="41">
        <f>IFERROR(IF(Y295=0,"",ROUNDUP(Y295/H295,0)*0.00651),"")</f>
        <v>5.8590000000000003E-2</v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22.100000000000005</v>
      </c>
      <c r="BN295" s="78">
        <f t="shared" si="52"/>
        <v>23.868000000000002</v>
      </c>
      <c r="BO295" s="78">
        <f t="shared" si="53"/>
        <v>4.5787545787545791E-2</v>
      </c>
      <c r="BP295" s="78">
        <f t="shared" si="54"/>
        <v>4.9450549450549455E-2</v>
      </c>
    </row>
    <row r="296" spans="1:68" ht="27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12</v>
      </c>
      <c r="Y297" s="55">
        <f t="shared" si="50"/>
        <v>12</v>
      </c>
      <c r="Z297" s="41">
        <f>IFERROR(IF(Y297=0,"",ROUNDUP(Y297/H297,0)*0.00651),"")</f>
        <v>3.2550000000000003E-2</v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13.290000000000001</v>
      </c>
      <c r="BN297" s="78">
        <f t="shared" si="52"/>
        <v>13.290000000000001</v>
      </c>
      <c r="BO297" s="78">
        <f t="shared" si="53"/>
        <v>2.7472527472527476E-2</v>
      </c>
      <c r="BP297" s="78">
        <f t="shared" si="54"/>
        <v>2.7472527472527476E-2</v>
      </c>
    </row>
    <row r="298" spans="1:68" ht="27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23.390804597701148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25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0.18769</v>
      </c>
      <c r="AA299" s="67"/>
      <c r="AB299" s="67"/>
      <c r="AC299" s="67"/>
    </row>
    <row r="300" spans="1:68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67</v>
      </c>
      <c r="Y300" s="43">
        <f>IFERROR(SUM(Y287:Y298),"0")</f>
        <v>72.599999999999994</v>
      </c>
      <c r="Z300" s="42"/>
      <c r="AA300" s="67"/>
      <c r="AB300" s="67"/>
      <c r="AC300" s="67"/>
    </row>
    <row r="301" spans="1:68" ht="14.25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12</v>
      </c>
      <c r="Y343" s="55">
        <f>IFERROR(IF(X343="",0,CEILING((X343/$H343),1)*$H343),"")</f>
        <v>12</v>
      </c>
      <c r="Z343" s="41">
        <f>IFERROR(IF(Y343=0,"",ROUNDUP(Y343/H343,0)*0.00651),"")</f>
        <v>3.2550000000000003E-2</v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13.260000000000002</v>
      </c>
      <c r="BN343" s="78">
        <f>IFERROR(Y343*I343/H343,"0")</f>
        <v>13.260000000000002</v>
      </c>
      <c r="BO343" s="78">
        <f>IFERROR(1/J343*(X343/H343),"0")</f>
        <v>2.7472527472527476E-2</v>
      </c>
      <c r="BP343" s="78">
        <f>IFERROR(1/J343*(Y343/H343),"0")</f>
        <v>2.7472527472527476E-2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8</v>
      </c>
      <c r="Y344" s="55">
        <f>IFERROR(IF(X344="",0,CEILING((X344/$H344),1)*$H344),"")</f>
        <v>9.6</v>
      </c>
      <c r="Z344" s="41">
        <f>IFERROR(IF(Y344=0,"",ROUNDUP(Y344/H344,0)*0.00651),"")</f>
        <v>2.6040000000000001E-2</v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8.6000000000000014</v>
      </c>
      <c r="BN344" s="78">
        <f>IFERROR(Y344*I344/H344,"0")</f>
        <v>10.32</v>
      </c>
      <c r="BO344" s="78">
        <f>IFERROR(1/J344*(X344/H344),"0")</f>
        <v>1.8315018315018316E-2</v>
      </c>
      <c r="BP344" s="78">
        <f>IFERROR(1/J344*(Y344/H344),"0")</f>
        <v>2.197802197802198E-2</v>
      </c>
    </row>
    <row r="345" spans="1:68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8.3333333333333339</v>
      </c>
      <c r="Y345" s="43">
        <f>IFERROR(Y342/H342,"0")+IFERROR(Y343/H343,"0")+IFERROR(Y344/H344,"0")</f>
        <v>9</v>
      </c>
      <c r="Z345" s="43">
        <f>IFERROR(IF(Z342="",0,Z342),"0")+IFERROR(IF(Z343="",0,Z343),"0")+IFERROR(IF(Z344="",0,Z344),"0")</f>
        <v>5.8590000000000003E-2</v>
      </c>
      <c r="AA345" s="67"/>
      <c r="AB345" s="67"/>
      <c r="AC345" s="67"/>
    </row>
    <row r="346" spans="1:68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20</v>
      </c>
      <c r="Y346" s="43">
        <f>IFERROR(SUM(Y342:Y344),"0")</f>
        <v>21.6</v>
      </c>
      <c r="Z346" s="42"/>
      <c r="AA346" s="67"/>
      <c r="AB346" s="67"/>
      <c r="AC346" s="67"/>
    </row>
    <row r="347" spans="1:68" ht="16.5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25</v>
      </c>
      <c r="Y380" s="55">
        <f t="shared" si="65"/>
        <v>25.200000000000003</v>
      </c>
      <c r="Z380" s="41">
        <f>IFERROR(IF(Y380=0,"",ROUNDUP(Y380/H380,0)*0.00902),"")</f>
        <v>5.4120000000000001E-2</v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26.488095238095237</v>
      </c>
      <c r="BN380" s="78">
        <f t="shared" si="67"/>
        <v>26.700000000000003</v>
      </c>
      <c r="BO380" s="78">
        <f t="shared" si="68"/>
        <v>4.5093795093795096E-2</v>
      </c>
      <c r="BP380" s="78">
        <f t="shared" si="69"/>
        <v>4.5454545454545456E-2</v>
      </c>
    </row>
    <row r="381" spans="1:68" ht="27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10.5</v>
      </c>
      <c r="Y382" s="55">
        <f t="shared" si="65"/>
        <v>10.5</v>
      </c>
      <c r="Z382" s="41">
        <f>IFERROR(IF(Y382=0,"",ROUNDUP(Y382/H382,0)*0.00502),"")</f>
        <v>2.5100000000000001E-2</v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11.149999999999999</v>
      </c>
      <c r="BN382" s="78">
        <f t="shared" si="67"/>
        <v>11.149999999999999</v>
      </c>
      <c r="BO382" s="78">
        <f t="shared" si="68"/>
        <v>2.1367521367521368E-2</v>
      </c>
      <c r="BP382" s="78">
        <f t="shared" si="69"/>
        <v>2.1367521367521368E-2</v>
      </c>
    </row>
    <row r="383" spans="1:68" ht="27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10.952380952380953</v>
      </c>
      <c r="Y386" s="43">
        <f>IFERROR(Y379/H379,"0")+IFERROR(Y380/H380,"0")+IFERROR(Y381/H381,"0")+IFERROR(Y382/H382,"0")+IFERROR(Y383/H383,"0")+IFERROR(Y384/H384,"0")+IFERROR(Y385/H385,"0")</f>
        <v>11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7.9219999999999999E-2</v>
      </c>
      <c r="AA386" s="67"/>
      <c r="AB386" s="67"/>
      <c r="AC386" s="67"/>
    </row>
    <row r="387" spans="1:68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35.5</v>
      </c>
      <c r="Y387" s="43">
        <f>IFERROR(SUM(Y379:Y385),"0")</f>
        <v>35.700000000000003</v>
      </c>
      <c r="Z387" s="42"/>
      <c r="AA387" s="67"/>
      <c r="AB387" s="67"/>
      <c r="AC387" s="67"/>
    </row>
    <row r="388" spans="1:68" ht="14.25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20</v>
      </c>
      <c r="Y397" s="55">
        <f>IFERROR(IF(X397="",0,CEILING((X397/$H397),1)*$H397),"")</f>
        <v>23.4</v>
      </c>
      <c r="Z397" s="41">
        <f>IFERROR(IF(Y397=0,"",ROUNDUP(Y397/H397,0)*0.01898),"")</f>
        <v>5.6940000000000004E-2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21.266666666666666</v>
      </c>
      <c r="BN397" s="78">
        <f>IFERROR(Y397*I397/H397,"0")</f>
        <v>24.882000000000001</v>
      </c>
      <c r="BO397" s="78">
        <f>IFERROR(1/J397*(X397/H397),"0")</f>
        <v>4.0064102564102567E-2</v>
      </c>
      <c r="BP397" s="78">
        <f>IFERROR(1/J397*(Y397/H397),"0")</f>
        <v>4.6875E-2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2.5641025641025643</v>
      </c>
      <c r="Y399" s="43">
        <f>IFERROR(Y396/H396,"0")+IFERROR(Y397/H397,"0")+IFERROR(Y398/H398,"0")</f>
        <v>3</v>
      </c>
      <c r="Z399" s="43">
        <f>IFERROR(IF(Z396="",0,Z396),"0")+IFERROR(IF(Z397="",0,Z397),"0")+IFERROR(IF(Z398="",0,Z398),"0")</f>
        <v>5.6940000000000004E-2</v>
      </c>
      <c r="AA399" s="67"/>
      <c r="AB399" s="67"/>
      <c r="AC399" s="67"/>
    </row>
    <row r="400" spans="1:68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20</v>
      </c>
      <c r="Y400" s="43">
        <f>IFERROR(SUM(Y396:Y398),"0")</f>
        <v>23.4</v>
      </c>
      <c r="Z400" s="42"/>
      <c r="AA400" s="67"/>
      <c r="AB400" s="67"/>
      <c r="AC400" s="67"/>
    </row>
    <row r="401" spans="1:68" ht="14.25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15</v>
      </c>
      <c r="Y428" s="55">
        <f>IFERROR(IF(X428="",0,CEILING((X428/$H428),1)*$H428),"")</f>
        <v>16.2</v>
      </c>
      <c r="Z428" s="41">
        <f>IFERROR(IF(Y428=0,"",ROUNDUP(Y428/H428,0)*0.01898),"")</f>
        <v>3.7960000000000001E-2</v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15.914814814814815</v>
      </c>
      <c r="BN428" s="78">
        <f>IFERROR(Y428*I428/H428,"0")</f>
        <v>17.187999999999999</v>
      </c>
      <c r="BO428" s="78">
        <f>IFERROR(1/J428*(X428/H428),"0")</f>
        <v>2.8935185185185185E-2</v>
      </c>
      <c r="BP428" s="78">
        <f>IFERROR(1/J428*(Y428/H428),"0")</f>
        <v>3.125E-2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24.5</v>
      </c>
      <c r="Y429" s="55">
        <f>IFERROR(IF(X429="",0,CEILING((X429/$H429),1)*$H429),"")</f>
        <v>25.200000000000003</v>
      </c>
      <c r="Z429" s="41">
        <f>IFERROR(IF(Y429=0,"",ROUNDUP(Y429/H429,0)*0.00651),"")</f>
        <v>7.8119999999999995E-2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27.439999999999998</v>
      </c>
      <c r="BN429" s="78">
        <f>IFERROR(Y429*I429/H429,"0")</f>
        <v>28.224</v>
      </c>
      <c r="BO429" s="78">
        <f>IFERROR(1/J429*(X429/H429),"0")</f>
        <v>6.4102564102564111E-2</v>
      </c>
      <c r="BP429" s="78">
        <f>IFERROR(1/J429*(Y429/H429),"0")</f>
        <v>6.5934065934065936E-2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24.5</v>
      </c>
      <c r="Y430" s="55">
        <f>IFERROR(IF(X430="",0,CEILING((X430/$H430),1)*$H430),"")</f>
        <v>25.200000000000003</v>
      </c>
      <c r="Z430" s="41">
        <f>IFERROR(IF(Y430=0,"",ROUNDUP(Y430/H430,0)*0.00651),"")</f>
        <v>7.8119999999999995E-2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27.299999999999997</v>
      </c>
      <c r="BN430" s="78">
        <f>IFERROR(Y430*I430/H430,"0")</f>
        <v>28.080000000000002</v>
      </c>
      <c r="BO430" s="78">
        <f>IFERROR(1/J430*(X430/H430),"0")</f>
        <v>6.4102564102564111E-2</v>
      </c>
      <c r="BP430" s="78">
        <f>IFERROR(1/J430*(Y430/H430),"0")</f>
        <v>6.5934065934065936E-2</v>
      </c>
    </row>
    <row r="431" spans="1:68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25.185185185185183</v>
      </c>
      <c r="Y431" s="43">
        <f>IFERROR(Y428/H428,"0")+IFERROR(Y429/H429,"0")+IFERROR(Y430/H430,"0")</f>
        <v>26</v>
      </c>
      <c r="Z431" s="43">
        <f>IFERROR(IF(Z428="",0,Z428),"0")+IFERROR(IF(Z429="",0,Z429),"0")+IFERROR(IF(Z430="",0,Z430),"0")</f>
        <v>0.19419999999999998</v>
      </c>
      <c r="AA431" s="67"/>
      <c r="AB431" s="67"/>
      <c r="AC431" s="67"/>
    </row>
    <row r="432" spans="1:68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64</v>
      </c>
      <c r="Y432" s="43">
        <f>IFERROR(SUM(Y428:Y430),"0")</f>
        <v>66.600000000000009</v>
      </c>
      <c r="Z432" s="42"/>
      <c r="AA432" s="67"/>
      <c r="AB432" s="67"/>
      <c r="AC432" s="67"/>
    </row>
    <row r="433" spans="1:68" ht="27.75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100</v>
      </c>
      <c r="Y437" s="55">
        <f t="shared" si="70"/>
        <v>105</v>
      </c>
      <c r="Z437" s="41">
        <f>IFERROR(IF(Y437=0,"",ROUNDUP(Y437/H437,0)*0.02175),"")</f>
        <v>0.15225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103.13333333333334</v>
      </c>
      <c r="BN437" s="78">
        <f t="shared" si="72"/>
        <v>108.29</v>
      </c>
      <c r="BO437" s="78">
        <f t="shared" si="73"/>
        <v>0.1388888888888889</v>
      </c>
      <c r="BP437" s="78">
        <f t="shared" si="74"/>
        <v>0.14583333333333331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250</v>
      </c>
      <c r="Y438" s="55">
        <f t="shared" si="70"/>
        <v>255</v>
      </c>
      <c r="Z438" s="41">
        <f>IFERROR(IF(Y438=0,"",ROUNDUP(Y438/H438,0)*0.02175),"")</f>
        <v>0.36974999999999997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257.83333333333331</v>
      </c>
      <c r="BN438" s="78">
        <f t="shared" si="72"/>
        <v>262.99</v>
      </c>
      <c r="BO438" s="78">
        <f t="shared" si="73"/>
        <v>0.34722222222222221</v>
      </c>
      <c r="BP438" s="78">
        <f t="shared" si="74"/>
        <v>0.35416666666666663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250</v>
      </c>
      <c r="Y439" s="55">
        <f t="shared" si="70"/>
        <v>255</v>
      </c>
      <c r="Z439" s="41">
        <f>IFERROR(IF(Y439=0,"",ROUNDUP(Y439/H439,0)*0.02175),"")</f>
        <v>0.36974999999999997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257.83333333333331</v>
      </c>
      <c r="BN439" s="78">
        <f t="shared" si="72"/>
        <v>262.99</v>
      </c>
      <c r="BO439" s="78">
        <f t="shared" si="73"/>
        <v>0.34722222222222221</v>
      </c>
      <c r="BP439" s="78">
        <f t="shared" si="74"/>
        <v>0.35416666666666663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40</v>
      </c>
      <c r="Y444" s="43">
        <f>IFERROR(Y436/H436,"0")+IFERROR(Y437/H437,"0")+IFERROR(Y438/H438,"0")+IFERROR(Y439/H439,"0")+IFERROR(Y440/H440,"0")+IFERROR(Y441/H441,"0")+IFERROR(Y442/H442,"0")+IFERROR(Y443/H443,"0")</f>
        <v>41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0.89175000000000004</v>
      </c>
      <c r="AA444" s="67"/>
      <c r="AB444" s="67"/>
      <c r="AC444" s="67"/>
    </row>
    <row r="445" spans="1:68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600</v>
      </c>
      <c r="Y445" s="43">
        <f>IFERROR(SUM(Y436:Y443),"0")</f>
        <v>615</v>
      </c>
      <c r="Z445" s="42"/>
      <c r="AA445" s="67"/>
      <c r="AB445" s="67"/>
      <c r="AC445" s="67"/>
    </row>
    <row r="446" spans="1:68" ht="14.25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200</v>
      </c>
      <c r="Y447" s="55">
        <f>IFERROR(IF(X447="",0,CEILING((X447/$H447),1)*$H447),"")</f>
        <v>210</v>
      </c>
      <c r="Z447" s="41">
        <f>IFERROR(IF(Y447=0,"",ROUNDUP(Y447/H447,0)*0.02175),"")</f>
        <v>0.30449999999999999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206.26666666666668</v>
      </c>
      <c r="BN447" s="78">
        <f>IFERROR(Y447*I447/H447,"0")</f>
        <v>216.58</v>
      </c>
      <c r="BO447" s="78">
        <f>IFERROR(1/J447*(X447/H447),"0")</f>
        <v>0.27777777777777779</v>
      </c>
      <c r="BP447" s="78">
        <f>IFERROR(1/J447*(Y447/H447),"0")</f>
        <v>0.29166666666666663</v>
      </c>
    </row>
    <row r="448" spans="1:68" ht="27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13.333333333333334</v>
      </c>
      <c r="Y450" s="43">
        <f>IFERROR(Y447/H447,"0")+IFERROR(Y448/H448,"0")+IFERROR(Y449/H449,"0")</f>
        <v>14</v>
      </c>
      <c r="Z450" s="43">
        <f>IFERROR(IF(Z447="",0,Z447),"0")+IFERROR(IF(Z448="",0,Z448),"0")+IFERROR(IF(Z449="",0,Z449),"0")</f>
        <v>0.30449999999999999</v>
      </c>
      <c r="AA450" s="67"/>
      <c r="AB450" s="67"/>
      <c r="AC450" s="67"/>
    </row>
    <row r="451" spans="1:68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200</v>
      </c>
      <c r="Y451" s="43">
        <f>IFERROR(SUM(Y447:Y449),"0")</f>
        <v>210</v>
      </c>
      <c r="Z451" s="42"/>
      <c r="AA451" s="67"/>
      <c r="AB451" s="67"/>
      <c r="AC451" s="67"/>
    </row>
    <row r="452" spans="1:68" ht="14.25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150</v>
      </c>
      <c r="Y454" s="55">
        <f>IFERROR(IF(X454="",0,CEILING((X454/$H454),1)*$H454),"")</f>
        <v>153</v>
      </c>
      <c r="Z454" s="41">
        <f>IFERROR(IF(Y454=0,"",ROUNDUP(Y454/H454,0)*0.01898),"")</f>
        <v>0.32266</v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158.23333333333332</v>
      </c>
      <c r="BN454" s="78">
        <f>IFERROR(Y454*I454/H454,"0")</f>
        <v>161.398</v>
      </c>
      <c r="BO454" s="78">
        <f>IFERROR(1/J454*(X454/H454),"0")</f>
        <v>0.26041666666666669</v>
      </c>
      <c r="BP454" s="78">
        <f>IFERROR(1/J454*(Y454/H454),"0")</f>
        <v>0.265625</v>
      </c>
    </row>
    <row r="455" spans="1:68" ht="27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16.666666666666668</v>
      </c>
      <c r="Y456" s="43">
        <f>IFERROR(Y453/H453,"0")+IFERROR(Y454/H454,"0")+IFERROR(Y455/H455,"0")</f>
        <v>17</v>
      </c>
      <c r="Z456" s="43">
        <f>IFERROR(IF(Z453="",0,Z453),"0")+IFERROR(IF(Z454="",0,Z454),"0")+IFERROR(IF(Z455="",0,Z455),"0")</f>
        <v>0.32266</v>
      </c>
      <c r="AA456" s="67"/>
      <c r="AB456" s="67"/>
      <c r="AC456" s="67"/>
    </row>
    <row r="457" spans="1:68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150</v>
      </c>
      <c r="Y457" s="43">
        <f>IFERROR(SUM(Y453:Y455),"0")</f>
        <v>153</v>
      </c>
      <c r="Z457" s="42"/>
      <c r="AA457" s="67"/>
      <c r="AB457" s="67"/>
      <c r="AC457" s="67"/>
    </row>
    <row r="458" spans="1:68" ht="14.25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20</v>
      </c>
      <c r="Y465" s="55">
        <f>IFERROR(IF(X465="",0,CEILING((X465/$H465),1)*$H465),"")</f>
        <v>24</v>
      </c>
      <c r="Z465" s="41">
        <f>IFERROR(IF(Y465=0,"",ROUNDUP(Y465/H465,0)*0.01898),"")</f>
        <v>3.7960000000000001E-2</v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20.683333333333334</v>
      </c>
      <c r="BN465" s="78">
        <f>IFERROR(Y465*I465/H465,"0")</f>
        <v>24.820000000000004</v>
      </c>
      <c r="BO465" s="78">
        <f>IFERROR(1/J465*(X465/H465),"0")</f>
        <v>2.6041666666666668E-2</v>
      </c>
      <c r="BP465" s="78">
        <f>IFERROR(1/J465*(Y465/H465),"0")</f>
        <v>3.125E-2</v>
      </c>
    </row>
    <row r="466" spans="1:68" ht="37.5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1.6666666666666667</v>
      </c>
      <c r="Y467" s="43">
        <f>IFERROR(Y465/H465,"0")+IFERROR(Y466/H466,"0")</f>
        <v>2</v>
      </c>
      <c r="Z467" s="43">
        <f>IFERROR(IF(Z465="",0,Z465),"0")+IFERROR(IF(Z466="",0,Z466),"0")</f>
        <v>3.7960000000000001E-2</v>
      </c>
      <c r="AA467" s="67"/>
      <c r="AB467" s="67"/>
      <c r="AC467" s="67"/>
    </row>
    <row r="468" spans="1:68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20</v>
      </c>
      <c r="Y468" s="43">
        <f>IFERROR(SUM(Y465:Y466),"0")</f>
        <v>24</v>
      </c>
      <c r="Z468" s="42"/>
      <c r="AA468" s="67"/>
      <c r="AB468" s="67"/>
      <c r="AC468" s="67"/>
    </row>
    <row r="469" spans="1:68" ht="14.25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30</v>
      </c>
      <c r="Y474" s="55">
        <f>IFERROR(IF(X474="",0,CEILING((X474/$H474),1)*$H474),"")</f>
        <v>36</v>
      </c>
      <c r="Z474" s="41">
        <f>IFERROR(IF(Y474=0,"",ROUNDUP(Y474/H474,0)*0.01898),"")</f>
        <v>7.5920000000000001E-2</v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31.646666666666665</v>
      </c>
      <c r="BN474" s="78">
        <f>IFERROR(Y474*I474/H474,"0")</f>
        <v>37.975999999999999</v>
      </c>
      <c r="BO474" s="78">
        <f>IFERROR(1/J474*(X474/H474),"0")</f>
        <v>5.2083333333333336E-2</v>
      </c>
      <c r="BP474" s="78">
        <f>IFERROR(1/J474*(Y474/H474),"0")</f>
        <v>6.25E-2</v>
      </c>
    </row>
    <row r="475" spans="1:68" ht="27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8</v>
      </c>
      <c r="Y475" s="55">
        <f>IFERROR(IF(X475="",0,CEILING((X475/$H475),1)*$H475),"")</f>
        <v>9.6</v>
      </c>
      <c r="Z475" s="41">
        <f>IFERROR(IF(Y475=0,"",ROUNDUP(Y475/H475,0)*0.00651),"")</f>
        <v>2.6040000000000001E-2</v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8.8800000000000008</v>
      </c>
      <c r="BN475" s="78">
        <f>IFERROR(Y475*I475/H475,"0")</f>
        <v>10.656000000000001</v>
      </c>
      <c r="BO475" s="78">
        <f>IFERROR(1/J475*(X475/H475),"0")</f>
        <v>1.8315018315018316E-2</v>
      </c>
      <c r="BP475" s="78">
        <f>IFERROR(1/J475*(Y475/H475),"0")</f>
        <v>2.197802197802198E-2</v>
      </c>
    </row>
    <row r="476" spans="1:68" ht="27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6.666666666666667</v>
      </c>
      <c r="Y477" s="43">
        <f>IFERROR(Y474/H474,"0")+IFERROR(Y475/H475,"0")+IFERROR(Y476/H476,"0")</f>
        <v>8</v>
      </c>
      <c r="Z477" s="43">
        <f>IFERROR(IF(Z474="",0,Z474),"0")+IFERROR(IF(Z475="",0,Z475),"0")+IFERROR(IF(Z476="",0,Z476),"0")</f>
        <v>0.10196</v>
      </c>
      <c r="AA477" s="67"/>
      <c r="AB477" s="67"/>
      <c r="AC477" s="67"/>
    </row>
    <row r="478" spans="1:68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38</v>
      </c>
      <c r="Y478" s="43">
        <f>IFERROR(SUM(Y474:Y476),"0")</f>
        <v>45.6</v>
      </c>
      <c r="Z478" s="42"/>
      <c r="AA478" s="67"/>
      <c r="AB478" s="67"/>
      <c r="AC478" s="67"/>
    </row>
    <row r="479" spans="1:68" ht="27.75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7</v>
      </c>
      <c r="Y487" s="55">
        <f t="shared" si="75"/>
        <v>8.4</v>
      </c>
      <c r="Z487" s="41">
        <f>IFERROR(IF(Y487=0,"",ROUNDUP(Y487/H487,0)*0.00502),"")</f>
        <v>2.0080000000000001E-2</v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7.4333333333333327</v>
      </c>
      <c r="BN487" s="78">
        <f t="shared" si="77"/>
        <v>8.92</v>
      </c>
      <c r="BO487" s="78">
        <f t="shared" si="78"/>
        <v>1.4245014245014245E-2</v>
      </c>
      <c r="BP487" s="78">
        <f t="shared" si="79"/>
        <v>1.7094017094017096E-2</v>
      </c>
    </row>
    <row r="488" spans="1:68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3.333333333333333</v>
      </c>
      <c r="Y488" s="43">
        <f>IFERROR(Y482/H482,"0")+IFERROR(Y483/H483,"0")+IFERROR(Y484/H484,"0")+IFERROR(Y485/H485,"0")+IFERROR(Y486/H486,"0")+IFERROR(Y487/H487,"0")</f>
        <v>4</v>
      </c>
      <c r="Z488" s="43">
        <f>IFERROR(IF(Z482="",0,Z482),"0")+IFERROR(IF(Z483="",0,Z483),"0")+IFERROR(IF(Z484="",0,Z484),"0")+IFERROR(IF(Z485="",0,Z485),"0")+IFERROR(IF(Z486="",0,Z486),"0")+IFERROR(IF(Z487="",0,Z487),"0")</f>
        <v>2.0080000000000001E-2</v>
      </c>
      <c r="AA488" s="67"/>
      <c r="AB488" s="67"/>
      <c r="AC488" s="67"/>
    </row>
    <row r="489" spans="1:68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7</v>
      </c>
      <c r="Y489" s="43">
        <f>IFERROR(SUM(Y482:Y487),"0")</f>
        <v>8.4</v>
      </c>
      <c r="Z489" s="42"/>
      <c r="AA489" s="67"/>
      <c r="AB489" s="67"/>
      <c r="AC489" s="67"/>
    </row>
    <row r="490" spans="1:68" ht="14.25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20</v>
      </c>
      <c r="Y501" s="55">
        <f>IFERROR(IF(X501="",0,CEILING((X501/$H501),1)*$H501),"")</f>
        <v>21.6</v>
      </c>
      <c r="Z501" s="41">
        <f>IFERROR(IF(Y501=0,"",ROUNDUP(Y501/H501,0)*0.00902),"")</f>
        <v>3.6080000000000001E-2</v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20.703703703703702</v>
      </c>
      <c r="BN501" s="78">
        <f>IFERROR(Y501*I501/H501,"0")</f>
        <v>22.36</v>
      </c>
      <c r="BO501" s="78">
        <f>IFERROR(1/J501*(X501/H501),"0")</f>
        <v>2.8058361391694722E-2</v>
      </c>
      <c r="BP501" s="78">
        <f>IFERROR(1/J501*(Y501/H501),"0")</f>
        <v>3.0303030303030304E-2</v>
      </c>
    </row>
    <row r="502" spans="1:68" ht="27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10.5</v>
      </c>
      <c r="Y503" s="55">
        <f>IFERROR(IF(X503="",0,CEILING((X503/$H503),1)*$H503),"")</f>
        <v>10.5</v>
      </c>
      <c r="Z503" s="41">
        <f>IFERROR(IF(Y503=0,"",ROUNDUP(Y503/H503,0)*0.00502),"")</f>
        <v>2.5100000000000001E-2</v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11.149999999999999</v>
      </c>
      <c r="BN503" s="78">
        <f>IFERROR(Y503*I503/H503,"0")</f>
        <v>11.149999999999999</v>
      </c>
      <c r="BO503" s="78">
        <f>IFERROR(1/J503*(X503/H503),"0")</f>
        <v>2.1367521367521368E-2</v>
      </c>
      <c r="BP503" s="78">
        <f>IFERROR(1/J503*(Y503/H503),"0")</f>
        <v>2.1367521367521368E-2</v>
      </c>
    </row>
    <row r="504" spans="1:68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8.7037037037037024</v>
      </c>
      <c r="Y504" s="43">
        <f>IFERROR(Y501/H501,"0")+IFERROR(Y502/H502,"0")+IFERROR(Y503/H503,"0")</f>
        <v>9</v>
      </c>
      <c r="Z504" s="43">
        <f>IFERROR(IF(Z501="",0,Z501),"0")+IFERROR(IF(Z502="",0,Z502),"0")+IFERROR(IF(Z503="",0,Z503),"0")</f>
        <v>6.1179999999999998E-2</v>
      </c>
      <c r="AA504" s="67"/>
      <c r="AB504" s="67"/>
      <c r="AC504" s="67"/>
    </row>
    <row r="505" spans="1:68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30.5</v>
      </c>
      <c r="Y505" s="43">
        <f>IFERROR(SUM(Y501:Y503),"0")</f>
        <v>32.1</v>
      </c>
      <c r="Z505" s="42"/>
      <c r="AA505" s="67"/>
      <c r="AB505" s="67"/>
      <c r="AC505" s="67"/>
    </row>
    <row r="506" spans="1:68" ht="27.75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30</v>
      </c>
      <c r="Y509" s="55">
        <f t="shared" ref="Y509:Y517" si="80">IFERROR(IF(X509="",0,CEILING((X509/$H509),1)*$H509),"")</f>
        <v>31.68</v>
      </c>
      <c r="Z509" s="41">
        <f t="shared" ref="Z509:Z514" si="81">IFERROR(IF(Y509=0,"",ROUNDUP(Y509/H509,0)*0.01196),"")</f>
        <v>7.1760000000000004E-2</v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31.988636363636363</v>
      </c>
      <c r="BN509" s="78">
        <f t="shared" ref="BN509:BN517" si="83">IFERROR(Y509*I509/H509,"0")</f>
        <v>33.779999999999994</v>
      </c>
      <c r="BO509" s="78">
        <f t="shared" ref="BO509:BO517" si="84">IFERROR(1/J509*(X509/H509),"0")</f>
        <v>5.4632867132867136E-2</v>
      </c>
      <c r="BP509" s="78">
        <f t="shared" ref="BP509:BP517" si="85">IFERROR(1/J509*(Y509/H509),"0")</f>
        <v>5.7692307692307696E-2</v>
      </c>
    </row>
    <row r="510" spans="1:68" ht="16.5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15</v>
      </c>
      <c r="Y511" s="55">
        <f t="shared" si="80"/>
        <v>15.84</v>
      </c>
      <c r="Z511" s="41">
        <f t="shared" si="81"/>
        <v>3.5880000000000002E-2</v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15.994318181818182</v>
      </c>
      <c r="BN511" s="78">
        <f t="shared" si="83"/>
        <v>16.889999999999997</v>
      </c>
      <c r="BO511" s="78">
        <f t="shared" si="84"/>
        <v>2.7316433566433568E-2</v>
      </c>
      <c r="BP511" s="78">
        <f t="shared" si="85"/>
        <v>2.8846153846153848E-2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50</v>
      </c>
      <c r="Y514" s="55">
        <f t="shared" si="80"/>
        <v>52.800000000000004</v>
      </c>
      <c r="Z514" s="41">
        <f t="shared" si="81"/>
        <v>0.1196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53.314393939393938</v>
      </c>
      <c r="BN514" s="78">
        <f t="shared" si="83"/>
        <v>56.3</v>
      </c>
      <c r="BO514" s="78">
        <f t="shared" si="84"/>
        <v>9.1054778554778545E-2</v>
      </c>
      <c r="BP514" s="78">
        <f t="shared" si="85"/>
        <v>9.6153846153846159E-2</v>
      </c>
    </row>
    <row r="515" spans="1:68" ht="27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17.992424242424242</v>
      </c>
      <c r="Y518" s="43">
        <f>IFERROR(Y509/H509,"0")+IFERROR(Y510/H510,"0")+IFERROR(Y511/H511,"0")+IFERROR(Y512/H512,"0")+IFERROR(Y513/H513,"0")+IFERROR(Y514/H514,"0")+IFERROR(Y515/H515,"0")+IFERROR(Y516/H516,"0")+IFERROR(Y517/H517,"0")</f>
        <v>19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0.22724</v>
      </c>
      <c r="AA518" s="67"/>
      <c r="AB518" s="67"/>
      <c r="AC518" s="67"/>
    </row>
    <row r="519" spans="1:68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95</v>
      </c>
      <c r="Y519" s="43">
        <f>IFERROR(SUM(Y509:Y517),"0")</f>
        <v>100.32</v>
      </c>
      <c r="Z519" s="42"/>
      <c r="AA519" s="67"/>
      <c r="AB519" s="67"/>
      <c r="AC519" s="67"/>
    </row>
    <row r="520" spans="1:68" ht="14.25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20</v>
      </c>
      <c r="Y521" s="55">
        <f>IFERROR(IF(X521="",0,CEILING((X521/$H521),1)*$H521),"")</f>
        <v>21.12</v>
      </c>
      <c r="Z521" s="41">
        <f>IFERROR(IF(Y521=0,"",ROUNDUP(Y521/H521,0)*0.01196),"")</f>
        <v>4.7840000000000001E-2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21.325757575757574</v>
      </c>
      <c r="BN521" s="78">
        <f>IFERROR(Y521*I521/H521,"0")</f>
        <v>22.52</v>
      </c>
      <c r="BO521" s="78">
        <f>IFERROR(1/J521*(X521/H521),"0")</f>
        <v>3.6421911421911424E-2</v>
      </c>
      <c r="BP521" s="78">
        <f>IFERROR(1/J521*(Y521/H521),"0")</f>
        <v>3.8461538461538464E-2</v>
      </c>
    </row>
    <row r="522" spans="1:68" ht="16.5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3.7878787878787876</v>
      </c>
      <c r="Y524" s="43">
        <f>IFERROR(Y521/H521,"0")+IFERROR(Y522/H522,"0")+IFERROR(Y523/H523,"0")</f>
        <v>4</v>
      </c>
      <c r="Z524" s="43">
        <f>IFERROR(IF(Z521="",0,Z521),"0")+IFERROR(IF(Z522="",0,Z522),"0")+IFERROR(IF(Z523="",0,Z523),"0")</f>
        <v>4.7840000000000001E-2</v>
      </c>
      <c r="AA524" s="67"/>
      <c r="AB524" s="67"/>
      <c r="AC524" s="67"/>
    </row>
    <row r="525" spans="1:68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20</v>
      </c>
      <c r="Y525" s="43">
        <f>IFERROR(SUM(Y521:Y523),"0")</f>
        <v>21.12</v>
      </c>
      <c r="Z525" s="42"/>
      <c r="AA525" s="67"/>
      <c r="AB525" s="67"/>
      <c r="AC525" s="67"/>
    </row>
    <row r="526" spans="1:68" ht="14.25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15</v>
      </c>
      <c r="Y527" s="55">
        <f t="shared" ref="Y527:Y533" si="86">IFERROR(IF(X527="",0,CEILING((X527/$H527),1)*$H527),"")</f>
        <v>15.84</v>
      </c>
      <c r="Z527" s="41">
        <f>IFERROR(IF(Y527=0,"",ROUNDUP(Y527/H527,0)*0.01196),"")</f>
        <v>3.5880000000000002E-2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15.994318181818182</v>
      </c>
      <c r="BN527" s="78">
        <f t="shared" ref="BN527:BN533" si="88">IFERROR(Y527*I527/H527,"0")</f>
        <v>16.889999999999997</v>
      </c>
      <c r="BO527" s="78">
        <f t="shared" ref="BO527:BO533" si="89">IFERROR(1/J527*(X527/H527),"0")</f>
        <v>2.7316433566433568E-2</v>
      </c>
      <c r="BP527" s="78">
        <f t="shared" ref="BP527:BP533" si="90">IFERROR(1/J527*(Y527/H527),"0")</f>
        <v>2.8846153846153848E-2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15</v>
      </c>
      <c r="Y528" s="55">
        <f t="shared" si="86"/>
        <v>15.84</v>
      </c>
      <c r="Z528" s="41">
        <f>IFERROR(IF(Y528=0,"",ROUNDUP(Y528/H528,0)*0.01196),"")</f>
        <v>3.5880000000000002E-2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15.994318181818182</v>
      </c>
      <c r="BN528" s="78">
        <f t="shared" si="88"/>
        <v>16.889999999999997</v>
      </c>
      <c r="BO528" s="78">
        <f t="shared" si="89"/>
        <v>2.7316433566433568E-2</v>
      </c>
      <c r="BP528" s="78">
        <f t="shared" si="90"/>
        <v>2.8846153846153848E-2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30</v>
      </c>
      <c r="Y529" s="55">
        <f t="shared" si="86"/>
        <v>31.68</v>
      </c>
      <c r="Z529" s="41">
        <f>IFERROR(IF(Y529=0,"",ROUNDUP(Y529/H529,0)*0.01196),"")</f>
        <v>7.1760000000000004E-2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31.988636363636363</v>
      </c>
      <c r="BN529" s="78">
        <f t="shared" si="88"/>
        <v>33.779999999999994</v>
      </c>
      <c r="BO529" s="78">
        <f t="shared" si="89"/>
        <v>5.4632867132867136E-2</v>
      </c>
      <c r="BP529" s="78">
        <f t="shared" si="90"/>
        <v>5.7692307692307696E-2</v>
      </c>
    </row>
    <row r="530" spans="1:68" ht="27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11.363636363636363</v>
      </c>
      <c r="Y534" s="43">
        <f>IFERROR(Y527/H527,"0")+IFERROR(Y528/H528,"0")+IFERROR(Y529/H529,"0")+IFERROR(Y530/H530,"0")+IFERROR(Y531/H531,"0")+IFERROR(Y532/H532,"0")+IFERROR(Y533/H533,"0")</f>
        <v>12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0.14352000000000001</v>
      </c>
      <c r="AA534" s="67"/>
      <c r="AB534" s="67"/>
      <c r="AC534" s="67"/>
    </row>
    <row r="535" spans="1:68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60</v>
      </c>
      <c r="Y535" s="43">
        <f>IFERROR(SUM(Y527:Y533),"0")</f>
        <v>63.36</v>
      </c>
      <c r="Z535" s="42"/>
      <c r="AA535" s="67"/>
      <c r="AB535" s="67"/>
      <c r="AC535" s="67"/>
    </row>
    <row r="536" spans="1:68" ht="27.75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20</v>
      </c>
      <c r="Y547" s="55">
        <f>IFERROR(IF(X547="",0,CEILING((X547/$H547),1)*$H547),"")</f>
        <v>21</v>
      </c>
      <c r="Z547" s="41">
        <f>IFERROR(IF(Y547=0,"",ROUNDUP(Y547/H547,0)*0.00902),"")</f>
        <v>4.5100000000000001E-2</v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21.19047619047619</v>
      </c>
      <c r="BN547" s="78">
        <f>IFERROR(Y547*I547/H547,"0")</f>
        <v>22.25</v>
      </c>
      <c r="BO547" s="78">
        <f>IFERROR(1/J547*(X547/H547),"0")</f>
        <v>3.6075036075036072E-2</v>
      </c>
      <c r="BP547" s="78">
        <f>IFERROR(1/J547*(Y547/H547),"0")</f>
        <v>3.787878787878788E-2</v>
      </c>
    </row>
    <row r="548" spans="1:68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4.7619047619047619</v>
      </c>
      <c r="Y548" s="43">
        <f>IFERROR(Y547/H547,"0")</f>
        <v>5</v>
      </c>
      <c r="Z548" s="43">
        <f>IFERROR(IF(Z547="",0,Z547),"0")</f>
        <v>4.5100000000000001E-2</v>
      </c>
      <c r="AA548" s="67"/>
      <c r="AB548" s="67"/>
      <c r="AC548" s="67"/>
    </row>
    <row r="549" spans="1:68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20</v>
      </c>
      <c r="Y549" s="43">
        <f>IFERROR(SUM(Y547:Y547),"0")</f>
        <v>21</v>
      </c>
      <c r="Z549" s="42"/>
      <c r="AA549" s="67"/>
      <c r="AB549" s="67"/>
      <c r="AC549" s="67"/>
    </row>
    <row r="550" spans="1:68" ht="14.25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100</v>
      </c>
      <c r="Y551" s="55">
        <f>IFERROR(IF(X551="",0,CEILING((X551/$H551),1)*$H551),"")</f>
        <v>108</v>
      </c>
      <c r="Z551" s="41">
        <f>IFERROR(IF(Y551=0,"",ROUNDUP(Y551/H551,0)*0.01898),"")</f>
        <v>0.22776000000000002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105.48888888888888</v>
      </c>
      <c r="BN551" s="78">
        <f>IFERROR(Y551*I551/H551,"0")</f>
        <v>113.92799999999998</v>
      </c>
      <c r="BO551" s="78">
        <f>IFERROR(1/J551*(X551/H551),"0")</f>
        <v>0.1736111111111111</v>
      </c>
      <c r="BP551" s="78">
        <f>IFERROR(1/J551*(Y551/H551),"0")</f>
        <v>0.1875</v>
      </c>
    </row>
    <row r="552" spans="1:68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11.111111111111111</v>
      </c>
      <c r="Y552" s="43">
        <f>IFERROR(Y551/H551,"0")</f>
        <v>12</v>
      </c>
      <c r="Z552" s="43">
        <f>IFERROR(IF(Z551="",0,Z551),"0")</f>
        <v>0.22776000000000002</v>
      </c>
      <c r="AA552" s="67"/>
      <c r="AB552" s="67"/>
      <c r="AC552" s="67"/>
    </row>
    <row r="553" spans="1:68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100</v>
      </c>
      <c r="Y553" s="43">
        <f>IFERROR(SUM(Y551:Y551),"0")</f>
        <v>108</v>
      </c>
      <c r="Z553" s="42"/>
      <c r="AA553" s="67"/>
      <c r="AB553" s="67"/>
      <c r="AC553" s="67"/>
    </row>
    <row r="554" spans="1:68" ht="14.25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2151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2259.3000000000002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2252.8585755889494</v>
      </c>
      <c r="Y565" s="43">
        <f>IFERROR(SUM(BN22:BN561),"0")</f>
        <v>2366.5739999999996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4</v>
      </c>
      <c r="Y566" s="44">
        <f>ROUNDUP(SUM(BP22:BP561),0)</f>
        <v>4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2352.8585755889494</v>
      </c>
      <c r="Y567" s="43">
        <f>GrossWeightTotalR+PalletQtyTotalR*25</f>
        <v>2466.5739999999996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308.43041622064612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325</v>
      </c>
      <c r="Z568" s="42"/>
      <c r="AA568" s="67"/>
      <c r="AB568" s="67"/>
      <c r="AC568" s="67"/>
    </row>
    <row r="569" spans="1:68" ht="14.25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4.2274200000000004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44.400000000000006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72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134.1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122.4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337.20000000000005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21.6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59.1</v>
      </c>
      <c r="U574" s="52">
        <f>IFERROR(Y422*1,"0")+IFERROR(Y423*1,"0")</f>
        <v>0</v>
      </c>
      <c r="V574" s="52">
        <f>IFERROR(Y428*1,"0")+IFERROR(Y429*1,"0")+IFERROR(Y430*1,"0")</f>
        <v>66.600000000000009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978</v>
      </c>
      <c r="X574" s="52">
        <f>IFERROR(Y465*1,"0")+IFERROR(Y466*1,"0")+IFERROR(Y470*1,"0")+IFERROR(Y474*1,"0")+IFERROR(Y475*1,"0")+IFERROR(Y476*1,"0")</f>
        <v>69.599999999999994</v>
      </c>
      <c r="Y574" s="52">
        <f>IFERROR(Y482*1,"0")+IFERROR(Y483*1,"0")+IFERROR(Y484*1,"0")+IFERROR(Y485*1,"0")+IFERROR(Y486*1,"0")+IFERROR(Y487*1,"0")+IFERROR(Y491*1,"0")+IFERROR(Y492*1,"0")</f>
        <v>8.4</v>
      </c>
      <c r="Z574" s="52">
        <f>IFERROR(Y497*1,"0")+IFERROR(Y501*1,"0")+IFERROR(Y502*1,"0")+IFERROR(Y503*1,"0")</f>
        <v>32.1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184.8</v>
      </c>
      <c r="AB574" s="52">
        <f>IFERROR(Y539*1,"0")+IFERROR(Y543*1,"0")+IFERROR(Y547*1,"0")+IFERROR(Y551*1,"0")+IFERROR(Y555*1,"0")+IFERROR(Y556*1,"0")</f>
        <v>129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2026-09-10T11:32:32Z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