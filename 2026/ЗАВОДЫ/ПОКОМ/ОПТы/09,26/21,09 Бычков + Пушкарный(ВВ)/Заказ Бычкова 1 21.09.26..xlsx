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C9CAF20-52FD-43C1-8E18-FD7AE176A09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BN487" i="2" s="1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P466" i="2"/>
  <c r="BO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P387" i="2"/>
  <c r="BO386" i="2"/>
  <c r="BM386" i="2"/>
  <c r="Y386" i="2"/>
  <c r="BN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Y294" i="2" s="1"/>
  <c r="P292" i="2"/>
  <c r="X290" i="2"/>
  <c r="X289" i="2"/>
  <c r="BO288" i="2"/>
  <c r="BM288" i="2"/>
  <c r="Y288" i="2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2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Y189" i="2"/>
  <c r="P189" i="2"/>
  <c r="BO188" i="2"/>
  <c r="BM188" i="2"/>
  <c r="Y188" i="2"/>
  <c r="Y191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39" i="2" s="1"/>
  <c r="P137" i="2"/>
  <c r="X135" i="2"/>
  <c r="X134" i="2"/>
  <c r="BO133" i="2"/>
  <c r="BM133" i="2"/>
  <c r="Y133" i="2"/>
  <c r="BN133" i="2" s="1"/>
  <c r="P133" i="2"/>
  <c r="BO132" i="2"/>
  <c r="BM132" i="2"/>
  <c r="Y132" i="2"/>
  <c r="H564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Z85" i="2" s="1"/>
  <c r="P85" i="2"/>
  <c r="X82" i="2"/>
  <c r="X81" i="2"/>
  <c r="BO80" i="2"/>
  <c r="BM80" i="2"/>
  <c r="Y80" i="2"/>
  <c r="Z80" i="2" s="1"/>
  <c r="P80" i="2"/>
  <c r="BO79" i="2"/>
  <c r="BM79" i="2"/>
  <c r="Y79" i="2"/>
  <c r="P79" i="2"/>
  <c r="BO78" i="2"/>
  <c r="BM78" i="2"/>
  <c r="Y78" i="2"/>
  <c r="P78" i="2"/>
  <c r="X76" i="2"/>
  <c r="X75" i="2"/>
  <c r="BO74" i="2"/>
  <c r="BM74" i="2"/>
  <c r="Y74" i="2"/>
  <c r="BP74" i="2" s="1"/>
  <c r="P74" i="2"/>
  <c r="BO73" i="2"/>
  <c r="BM73" i="2"/>
  <c r="Y73" i="2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A10" i="2" s="1"/>
  <c r="D7" i="2"/>
  <c r="Q6" i="2"/>
  <c r="P2" i="2"/>
  <c r="Y384" i="2" l="1"/>
  <c r="BP227" i="2"/>
  <c r="Z393" i="2"/>
  <c r="BN393" i="2"/>
  <c r="Z394" i="2"/>
  <c r="BN394" i="2"/>
  <c r="Z101" i="2"/>
  <c r="Z58" i="2"/>
  <c r="Z133" i="2"/>
  <c r="BP285" i="2"/>
  <c r="Z475" i="2"/>
  <c r="BN475" i="2"/>
  <c r="Z204" i="2"/>
  <c r="Z268" i="2"/>
  <c r="Z370" i="2"/>
  <c r="BN370" i="2"/>
  <c r="Z439" i="2"/>
  <c r="BN439" i="2"/>
  <c r="BP443" i="2"/>
  <c r="Z520" i="2"/>
  <c r="BP41" i="2"/>
  <c r="Z88" i="2"/>
  <c r="BN88" i="2"/>
  <c r="Z106" i="2"/>
  <c r="BP116" i="2"/>
  <c r="Z178" i="2"/>
  <c r="BN178" i="2"/>
  <c r="Z182" i="2"/>
  <c r="BN182" i="2"/>
  <c r="Z183" i="2"/>
  <c r="Z221" i="2"/>
  <c r="BN221" i="2"/>
  <c r="Z237" i="2"/>
  <c r="BN237" i="2"/>
  <c r="BP280" i="2"/>
  <c r="Z304" i="2"/>
  <c r="BN304" i="2"/>
  <c r="BP312" i="2"/>
  <c r="Z333" i="2"/>
  <c r="BN333" i="2"/>
  <c r="Z382" i="2"/>
  <c r="BN382" i="2"/>
  <c r="Z465" i="2"/>
  <c r="BN465" i="2"/>
  <c r="Z487" i="2"/>
  <c r="Z488" i="2" s="1"/>
  <c r="Z501" i="2"/>
  <c r="BP529" i="2"/>
  <c r="BP86" i="2"/>
  <c r="BN86" i="2"/>
  <c r="Z86" i="2"/>
  <c r="BN114" i="2"/>
  <c r="BP114" i="2"/>
  <c r="BN168" i="2"/>
  <c r="Z168" i="2"/>
  <c r="Z170" i="2" s="1"/>
  <c r="BP217" i="2"/>
  <c r="BN217" i="2"/>
  <c r="Z217" i="2"/>
  <c r="BN218" i="2"/>
  <c r="Z218" i="2"/>
  <c r="BN229" i="2"/>
  <c r="BP229" i="2"/>
  <c r="BN287" i="2"/>
  <c r="Z287" i="2"/>
  <c r="BP322" i="2"/>
  <c r="BN322" i="2"/>
  <c r="Z322" i="2"/>
  <c r="BP323" i="2"/>
  <c r="BN323" i="2"/>
  <c r="Z323" i="2"/>
  <c r="BP346" i="2"/>
  <c r="Y349" i="2"/>
  <c r="Y348" i="2"/>
  <c r="BN346" i="2"/>
  <c r="Z346" i="2"/>
  <c r="BP347" i="2"/>
  <c r="BN347" i="2"/>
  <c r="Z347" i="2"/>
  <c r="BP374" i="2"/>
  <c r="BN374" i="2"/>
  <c r="Z374" i="2"/>
  <c r="BP400" i="2"/>
  <c r="BN400" i="2"/>
  <c r="Z400" i="2"/>
  <c r="BP449" i="2"/>
  <c r="Y452" i="2"/>
  <c r="Y451" i="2"/>
  <c r="BP450" i="2"/>
  <c r="BN450" i="2"/>
  <c r="Z450" i="2"/>
  <c r="BP477" i="2"/>
  <c r="BN477" i="2"/>
  <c r="Z477" i="2"/>
  <c r="BN522" i="2"/>
  <c r="Z522" i="2"/>
  <c r="Z22" i="2"/>
  <c r="BN22" i="2"/>
  <c r="Y25" i="2"/>
  <c r="Z38" i="2"/>
  <c r="BP48" i="2"/>
  <c r="Y75" i="2"/>
  <c r="BN78" i="2"/>
  <c r="Z78" i="2"/>
  <c r="BP79" i="2"/>
  <c r="BN79" i="2"/>
  <c r="Z79" i="2"/>
  <c r="BP107" i="2"/>
  <c r="BN107" i="2"/>
  <c r="Z107" i="2"/>
  <c r="BP121" i="2"/>
  <c r="BN121" i="2"/>
  <c r="Z121" i="2"/>
  <c r="BN189" i="2"/>
  <c r="Z189" i="2"/>
  <c r="Z224" i="2"/>
  <c r="BP224" i="2"/>
  <c r="BP247" i="2"/>
  <c r="BN247" i="2"/>
  <c r="Z247" i="2"/>
  <c r="Y253" i="2"/>
  <c r="Y252" i="2"/>
  <c r="BP251" i="2"/>
  <c r="BN251" i="2"/>
  <c r="Z251" i="2"/>
  <c r="Z252" i="2" s="1"/>
  <c r="BN282" i="2"/>
  <c r="BP282" i="2"/>
  <c r="Y317" i="2"/>
  <c r="Y318" i="2"/>
  <c r="BN316" i="2"/>
  <c r="Z316" i="2"/>
  <c r="Z317" i="2" s="1"/>
  <c r="BP362" i="2"/>
  <c r="BN362" i="2"/>
  <c r="Z362" i="2"/>
  <c r="BN387" i="2"/>
  <c r="Z387" i="2"/>
  <c r="BP418" i="2"/>
  <c r="BN418" i="2"/>
  <c r="Z418" i="2"/>
  <c r="BN517" i="2"/>
  <c r="BP517" i="2"/>
  <c r="Y535" i="2"/>
  <c r="BN533" i="2"/>
  <c r="Z533" i="2"/>
  <c r="Z534" i="2" s="1"/>
  <c r="Y542" i="2"/>
  <c r="Y543" i="2"/>
  <c r="Y69" i="2"/>
  <c r="Y91" i="2"/>
  <c r="Y118" i="2"/>
  <c r="Y264" i="2"/>
  <c r="Y275" i="2"/>
  <c r="Y344" i="2"/>
  <c r="BN340" i="2"/>
  <c r="BN23" i="2"/>
  <c r="Y24" i="2"/>
  <c r="BP29" i="2"/>
  <c r="Y52" i="2"/>
  <c r="BP60" i="2"/>
  <c r="BN68" i="2"/>
  <c r="BN123" i="2"/>
  <c r="BP127" i="2"/>
  <c r="BP137" i="2"/>
  <c r="Y213" i="2"/>
  <c r="BN226" i="2"/>
  <c r="BN228" i="2"/>
  <c r="BN236" i="2"/>
  <c r="BN262" i="2"/>
  <c r="BN279" i="2"/>
  <c r="BN286" i="2"/>
  <c r="Y295" i="2"/>
  <c r="BP326" i="2"/>
  <c r="BN331" i="2"/>
  <c r="BP354" i="2"/>
  <c r="BN354" i="2"/>
  <c r="Z354" i="2"/>
  <c r="BP364" i="2"/>
  <c r="BN364" i="2"/>
  <c r="Z364" i="2"/>
  <c r="BP380" i="2"/>
  <c r="BN380" i="2"/>
  <c r="Z380" i="2"/>
  <c r="BN399" i="2"/>
  <c r="Y402" i="2"/>
  <c r="Y403" i="2"/>
  <c r="BN405" i="2"/>
  <c r="Z405" i="2"/>
  <c r="BP406" i="2"/>
  <c r="BN406" i="2"/>
  <c r="Z406" i="2"/>
  <c r="W564" i="2"/>
  <c r="BP426" i="2"/>
  <c r="BN426" i="2"/>
  <c r="Z426" i="2"/>
  <c r="BP429" i="2"/>
  <c r="BN429" i="2"/>
  <c r="Z429" i="2"/>
  <c r="BP430" i="2"/>
  <c r="BN430" i="2"/>
  <c r="Z430" i="2"/>
  <c r="BN433" i="2"/>
  <c r="Z433" i="2"/>
  <c r="Z466" i="2"/>
  <c r="BP466" i="2"/>
  <c r="BN476" i="2"/>
  <c r="BN482" i="2"/>
  <c r="BP482" i="2"/>
  <c r="BP500" i="2"/>
  <c r="BN500" i="2"/>
  <c r="Z500" i="2"/>
  <c r="BP518" i="2"/>
  <c r="BN518" i="2"/>
  <c r="Z518" i="2"/>
  <c r="BP545" i="2"/>
  <c r="Y548" i="2"/>
  <c r="Y547" i="2"/>
  <c r="BN545" i="2"/>
  <c r="Z545" i="2"/>
  <c r="BN546" i="2"/>
  <c r="BP23" i="2"/>
  <c r="BN28" i="2"/>
  <c r="BP28" i="2"/>
  <c r="BN59" i="2"/>
  <c r="BP59" i="2"/>
  <c r="BP67" i="2"/>
  <c r="Y81" i="2"/>
  <c r="BN103" i="2"/>
  <c r="BP103" i="2"/>
  <c r="BN105" i="2"/>
  <c r="BP123" i="2"/>
  <c r="BP149" i="2"/>
  <c r="BP163" i="2"/>
  <c r="BN215" i="2"/>
  <c r="BN241" i="2"/>
  <c r="BN246" i="2"/>
  <c r="BN256" i="2"/>
  <c r="BN281" i="2"/>
  <c r="B564" i="2"/>
  <c r="X555" i="2"/>
  <c r="X556" i="2"/>
  <c r="X554" i="2"/>
  <c r="Y32" i="2"/>
  <c r="Z29" i="2"/>
  <c r="Z31" i="2"/>
  <c r="Y42" i="2"/>
  <c r="BP40" i="2"/>
  <c r="Z49" i="2"/>
  <c r="Z55" i="2"/>
  <c r="BP57" i="2"/>
  <c r="Z60" i="2"/>
  <c r="BP65" i="2"/>
  <c r="Z67" i="2"/>
  <c r="BN72" i="2"/>
  <c r="Z73" i="2"/>
  <c r="BN74" i="2"/>
  <c r="BP85" i="2"/>
  <c r="Z94" i="2"/>
  <c r="BN94" i="2"/>
  <c r="Z96" i="2"/>
  <c r="BN96" i="2"/>
  <c r="Y110" i="2"/>
  <c r="BP106" i="2"/>
  <c r="BP112" i="2"/>
  <c r="BN113" i="2"/>
  <c r="BP113" i="2"/>
  <c r="Z115" i="2"/>
  <c r="Z127" i="2"/>
  <c r="Z128" i="2" s="1"/>
  <c r="Z132" i="2"/>
  <c r="Z134" i="2" s="1"/>
  <c r="BN132" i="2"/>
  <c r="BP132" i="2"/>
  <c r="Z137" i="2"/>
  <c r="Z142" i="2"/>
  <c r="Z144" i="2" s="1"/>
  <c r="BN142" i="2"/>
  <c r="Y144" i="2"/>
  <c r="Z149" i="2"/>
  <c r="BN152" i="2"/>
  <c r="Z153" i="2"/>
  <c r="BN153" i="2"/>
  <c r="Z157" i="2"/>
  <c r="Z158" i="2" s="1"/>
  <c r="BN157" i="2"/>
  <c r="BP157" i="2"/>
  <c r="Y158" i="2"/>
  <c r="Z163" i="2"/>
  <c r="Z164" i="2"/>
  <c r="BN164" i="2"/>
  <c r="Y171" i="2"/>
  <c r="BP169" i="2"/>
  <c r="BN174" i="2"/>
  <c r="BP174" i="2"/>
  <c r="BN175" i="2"/>
  <c r="BN180" i="2"/>
  <c r="BP180" i="2"/>
  <c r="Z184" i="2"/>
  <c r="BN184" i="2"/>
  <c r="BN188" i="2"/>
  <c r="BP188" i="2"/>
  <c r="BP189" i="2"/>
  <c r="BN190" i="2"/>
  <c r="BP190" i="2"/>
  <c r="Z194" i="2"/>
  <c r="Z195" i="2" s="1"/>
  <c r="BN194" i="2"/>
  <c r="Z200" i="2"/>
  <c r="BN200" i="2"/>
  <c r="Z202" i="2"/>
  <c r="BN202" i="2"/>
  <c r="BN203" i="2"/>
  <c r="BP203" i="2"/>
  <c r="Z211" i="2"/>
  <c r="Z212" i="2" s="1"/>
  <c r="BN211" i="2"/>
  <c r="BP211" i="2"/>
  <c r="Z219" i="2"/>
  <c r="BN219" i="2"/>
  <c r="Z223" i="2"/>
  <c r="BN223" i="2"/>
  <c r="Z233" i="2"/>
  <c r="BN233" i="2"/>
  <c r="BN234" i="2"/>
  <c r="BN238" i="2"/>
  <c r="Y258" i="2"/>
  <c r="Y259" i="2"/>
  <c r="BN261" i="2"/>
  <c r="Y263" i="2"/>
  <c r="Z266" i="2"/>
  <c r="BN266" i="2"/>
  <c r="BP266" i="2"/>
  <c r="BN267" i="2"/>
  <c r="BP267" i="2"/>
  <c r="BP268" i="2"/>
  <c r="BN269" i="2"/>
  <c r="BP270" i="2"/>
  <c r="BN271" i="2"/>
  <c r="Z272" i="2"/>
  <c r="BN272" i="2"/>
  <c r="Y289" i="2"/>
  <c r="Z292" i="2"/>
  <c r="BN300" i="2"/>
  <c r="BN302" i="2"/>
  <c r="BP303" i="2"/>
  <c r="Z324" i="2"/>
  <c r="BN324" i="2"/>
  <c r="BN325" i="2"/>
  <c r="Z326" i="2"/>
  <c r="BN338" i="2"/>
  <c r="BN342" i="2"/>
  <c r="Y366" i="2"/>
  <c r="BP360" i="2"/>
  <c r="BN360" i="2"/>
  <c r="Z360" i="2"/>
  <c r="BP372" i="2"/>
  <c r="BN372" i="2"/>
  <c r="Z372" i="2"/>
  <c r="Y383" i="2"/>
  <c r="Y389" i="2"/>
  <c r="BP413" i="2"/>
  <c r="BN413" i="2"/>
  <c r="Z413" i="2"/>
  <c r="BN445" i="2"/>
  <c r="X564" i="2"/>
  <c r="Y458" i="2"/>
  <c r="Y457" i="2"/>
  <c r="BN456" i="2"/>
  <c r="Z456" i="2"/>
  <c r="BP473" i="2"/>
  <c r="BN473" i="2"/>
  <c r="Z473" i="2"/>
  <c r="BP502" i="2"/>
  <c r="BN502" i="2"/>
  <c r="Z502" i="2"/>
  <c r="BP506" i="2"/>
  <c r="BN506" i="2"/>
  <c r="Z506" i="2"/>
  <c r="BP512" i="2"/>
  <c r="BN512" i="2"/>
  <c r="Z512" i="2"/>
  <c r="BN431" i="2"/>
  <c r="BN438" i="2"/>
  <c r="Y461" i="2"/>
  <c r="Y462" i="2"/>
  <c r="BN491" i="2"/>
  <c r="BP491" i="2"/>
  <c r="BN493" i="2"/>
  <c r="BN503" i="2"/>
  <c r="BP503" i="2"/>
  <c r="Y509" i="2"/>
  <c r="BN505" i="2"/>
  <c r="BN513" i="2"/>
  <c r="BP513" i="2"/>
  <c r="BP520" i="2"/>
  <c r="BP522" i="2"/>
  <c r="BN523" i="2"/>
  <c r="BP523" i="2"/>
  <c r="Y531" i="2"/>
  <c r="BN537" i="2"/>
  <c r="BP537" i="2"/>
  <c r="Y538" i="2"/>
  <c r="Y539" i="2"/>
  <c r="F10" i="2"/>
  <c r="BP56" i="2"/>
  <c r="BN56" i="2"/>
  <c r="BN50" i="2"/>
  <c r="BN206" i="2"/>
  <c r="BP301" i="2"/>
  <c r="BN301" i="2"/>
  <c r="BN321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Z139" i="2" s="1"/>
  <c r="Y207" i="2"/>
  <c r="BP201" i="2"/>
  <c r="K564" i="2"/>
  <c r="Z341" i="2"/>
  <c r="Z363" i="2"/>
  <c r="BN412" i="2"/>
  <c r="Z412" i="2"/>
  <c r="Z414" i="2" s="1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Y82" i="2"/>
  <c r="BP78" i="2"/>
  <c r="BN87" i="2"/>
  <c r="Z87" i="2"/>
  <c r="BN115" i="2"/>
  <c r="BP168" i="2"/>
  <c r="BP177" i="2"/>
  <c r="BN177" i="2"/>
  <c r="Z188" i="2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74" i="2"/>
  <c r="Z499" i="2"/>
  <c r="Z519" i="2"/>
  <c r="Z371" i="2"/>
  <c r="Z381" i="2"/>
  <c r="Z286" i="2"/>
  <c r="Z325" i="2"/>
  <c r="Z386" i="2"/>
  <c r="Z420" i="2"/>
  <c r="Z432" i="2"/>
  <c r="Z455" i="2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396" i="2" l="1"/>
  <c r="Z457" i="2"/>
  <c r="Z451" i="2"/>
  <c r="Z24" i="2"/>
  <c r="Z124" i="2"/>
  <c r="Z81" i="2"/>
  <c r="Z207" i="2"/>
  <c r="Z274" i="2"/>
  <c r="Z242" i="2"/>
  <c r="Z90" i="2"/>
  <c r="Z62" i="2"/>
  <c r="Z467" i="2"/>
  <c r="Z408" i="2"/>
  <c r="Z117" i="2"/>
  <c r="Z69" i="2"/>
  <c r="Z514" i="2"/>
  <c r="X557" i="2"/>
  <c r="Z348" i="2"/>
  <c r="Z547" i="2"/>
  <c r="Z334" i="2"/>
  <c r="Z191" i="2"/>
  <c r="Y554" i="2"/>
  <c r="Z32" i="2"/>
  <c r="Z294" i="2"/>
  <c r="Z165" i="2"/>
  <c r="Z327" i="2"/>
  <c r="Y558" i="2"/>
  <c r="Z483" i="2"/>
  <c r="Z434" i="2"/>
  <c r="Z230" i="2"/>
  <c r="Y556" i="2"/>
  <c r="Z51" i="2"/>
  <c r="Z42" i="2"/>
  <c r="Y555" i="2"/>
  <c r="Z75" i="2"/>
  <c r="Z154" i="2"/>
  <c r="Z494" i="2"/>
  <c r="Z109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Y557" i="2" l="1"/>
  <c r="Z559" i="2"/>
</calcChain>
</file>

<file path=xl/sharedStrings.xml><?xml version="1.0" encoding="utf-8"?>
<sst xmlns="http://schemas.openxmlformats.org/spreadsheetml/2006/main" count="4265" uniqueCount="899">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</sst>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topLeftCell="A439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/>
      <c r="I5" s="1009"/>
      <c r="J5" s="1009"/>
      <c r="K5" s="1009"/>
      <c r="L5" s="1009"/>
      <c r="M5" s="1009"/>
      <c r="N5" s="72"/>
      <c r="P5" s="27" t="s">
        <v>4</v>
      </c>
      <c r="Q5" s="1011">
        <v>46289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882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Четверг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3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0.41666666666666669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30</v>
      </c>
      <c r="Y47" s="55">
        <f>IFERROR(IF(X47="",0,CEILING((X47/$H47),1)*$H47),"")</f>
        <v>32.400000000000006</v>
      </c>
      <c r="Z47" s="41">
        <f>IFERROR(IF(Y47=0,"",ROUNDUP(Y47/H47,0)*0.01898),"")</f>
        <v>5.6940000000000004E-2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31.138888888888889</v>
      </c>
      <c r="BN47" s="78">
        <f>IFERROR(Y47*I47/H47,"0")</f>
        <v>33.630000000000003</v>
      </c>
      <c r="BO47" s="78">
        <f>IFERROR(1/J47*(X47/H47),"0")</f>
        <v>4.3402777777777776E-2</v>
      </c>
      <c r="BP47" s="78">
        <f>IFERROR(1/J47*(Y47/H47),"0")</f>
        <v>4.6875000000000007E-2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20</v>
      </c>
      <c r="Y49" s="55">
        <f>IFERROR(IF(X49="",0,CEILING((X49/$H49),1)*$H49),"")</f>
        <v>20</v>
      </c>
      <c r="Z49" s="41">
        <f>IFERROR(IF(Y49=0,"",ROUNDUP(Y49/H49,0)*0.00902),"")</f>
        <v>4.5100000000000001E-2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20.950000000000003</v>
      </c>
      <c r="BN49" s="78">
        <f>IFERROR(Y49*I49/H49,"0")</f>
        <v>20.950000000000003</v>
      </c>
      <c r="BO49" s="78">
        <f>IFERROR(1/J49*(X49/H49),"0")</f>
        <v>3.787878787878788E-2</v>
      </c>
      <c r="BP49" s="78">
        <f>IFERROR(1/J49*(Y49/H49),"0")</f>
        <v>3.787878787878788E-2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7.7777777777777777</v>
      </c>
      <c r="Y51" s="43">
        <f>IFERROR(Y47/H47,"0")+IFERROR(Y48/H48,"0")+IFERROR(Y49/H49,"0")+IFERROR(Y50/H50,"0")</f>
        <v>8</v>
      </c>
      <c r="Z51" s="43">
        <f>IFERROR(IF(Z47="",0,Z47),"0")+IFERROR(IF(Z48="",0,Z48),"0")+IFERROR(IF(Z49="",0,Z49),"0")+IFERROR(IF(Z50="",0,Z50),"0")</f>
        <v>0.10204000000000001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50</v>
      </c>
      <c r="Y52" s="43">
        <f>IFERROR(SUM(Y47:Y50),"0")</f>
        <v>52.400000000000006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80</v>
      </c>
      <c r="Y65" s="55">
        <f>IFERROR(IF(X65="",0,CEILING((X65/$H65),1)*$H65),"")</f>
        <v>86.4</v>
      </c>
      <c r="Z65" s="41">
        <f>IFERROR(IF(Y65=0,"",ROUNDUP(Y65/H65,0)*0.01898),"")</f>
        <v>0.15184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83.037037037037038</v>
      </c>
      <c r="BN65" s="78">
        <f>IFERROR(Y65*I65/H65,"0")</f>
        <v>89.68</v>
      </c>
      <c r="BO65" s="78">
        <f>IFERROR(1/J65*(X65/H65),"0")</f>
        <v>0.11574074074074073</v>
      </c>
      <c r="BP65" s="78">
        <f>IFERROR(1/J65*(Y65/H65),"0")</f>
        <v>0.125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31.5</v>
      </c>
      <c r="Y68" s="55">
        <f>IFERROR(IF(X68="",0,CEILING((X68/$H68),1)*$H68),"")</f>
        <v>32.400000000000006</v>
      </c>
      <c r="Z68" s="41">
        <f>IFERROR(IF(Y68=0,"",ROUNDUP(Y68/H68,0)*0.00651),"")</f>
        <v>7.8119999999999995E-2</v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33.599999999999994</v>
      </c>
      <c r="BN68" s="78">
        <f>IFERROR(Y68*I68/H68,"0")</f>
        <v>34.56</v>
      </c>
      <c r="BO68" s="78">
        <f>IFERROR(1/J68*(X68/H68),"0")</f>
        <v>6.4102564102564111E-2</v>
      </c>
      <c r="BP68" s="78">
        <f>IFERROR(1/J68*(Y68/H68),"0")</f>
        <v>6.593406593406595E-2</v>
      </c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19.074074074074073</v>
      </c>
      <c r="Y69" s="43">
        <f>IFERROR(Y65/H65,"0")+IFERROR(Y66/H66,"0")+IFERROR(Y67/H67,"0")+IFERROR(Y68/H68,"0")</f>
        <v>20</v>
      </c>
      <c r="Z69" s="43">
        <f>IFERROR(IF(Z65="",0,Z65),"0")+IFERROR(IF(Z66="",0,Z66),"0")+IFERROR(IF(Z67="",0,Z67),"0")+IFERROR(IF(Z68="",0,Z68),"0")</f>
        <v>0.22996</v>
      </c>
      <c r="AA69" s="67"/>
      <c r="AB69" s="67"/>
      <c r="AC69" s="67"/>
    </row>
    <row r="70" spans="1:68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111.5</v>
      </c>
      <c r="Y70" s="43">
        <f>IFERROR(SUM(Y65:Y68),"0")</f>
        <v>118.80000000000001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16</v>
      </c>
      <c r="Y93" s="55">
        <f>IFERROR(IF(X93="",0,CEILING((X93/$H93),1)*$H93),"")</f>
        <v>16.2</v>
      </c>
      <c r="Z93" s="41">
        <f>IFERROR(IF(Y93=0,"",ROUNDUP(Y93/H93,0)*0.01898),"")</f>
        <v>3.7960000000000001E-2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16.975802469135804</v>
      </c>
      <c r="BN93" s="78">
        <f>IFERROR(Y93*I93/H93,"0")</f>
        <v>17.187999999999999</v>
      </c>
      <c r="BO93" s="78">
        <f>IFERROR(1/J93*(X93/H93),"0")</f>
        <v>3.0864197530864199E-2</v>
      </c>
      <c r="BP93" s="78">
        <f>IFERROR(1/J93*(Y93/H93),"0")</f>
        <v>3.125E-2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16.2</v>
      </c>
      <c r="Y95" s="55">
        <f>IFERROR(IF(X95="",0,CEILING((X95/$H95),1)*$H95),"")</f>
        <v>16.200000000000003</v>
      </c>
      <c r="Z95" s="41">
        <f>IFERROR(IF(Y95=0,"",ROUNDUP(Y95/H95,0)*0.00651),"")</f>
        <v>3.9059999999999997E-2</v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17.711999999999996</v>
      </c>
      <c r="BN95" s="78">
        <f>IFERROR(Y95*I95/H95,"0")</f>
        <v>17.712000000000003</v>
      </c>
      <c r="BO95" s="78">
        <f>IFERROR(1/J95*(X95/H95),"0")</f>
        <v>3.2967032967032968E-2</v>
      </c>
      <c r="BP95" s="78">
        <f>IFERROR(1/J95*(Y95/H95),"0")</f>
        <v>3.2967032967032975E-2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7.9753086419753076</v>
      </c>
      <c r="Y97" s="43">
        <f>IFERROR(Y93/H93,"0")+IFERROR(Y94/H94,"0")+IFERROR(Y95/H95,"0")+IFERROR(Y96/H96,"0")</f>
        <v>8</v>
      </c>
      <c r="Z97" s="43">
        <f>IFERROR(IF(Z93="",0,Z93),"0")+IFERROR(IF(Z94="",0,Z94),"0")+IFERROR(IF(Z95="",0,Z95),"0")+IFERROR(IF(Z96="",0,Z96),"0")</f>
        <v>7.7020000000000005E-2</v>
      </c>
      <c r="AA97" s="67"/>
      <c r="AB97" s="67"/>
      <c r="AC97" s="67"/>
    </row>
    <row r="98" spans="1:68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32.200000000000003</v>
      </c>
      <c r="Y98" s="43">
        <f>IFERROR(SUM(Y93:Y96),"0")</f>
        <v>32.400000000000006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10</v>
      </c>
      <c r="Y101" s="55">
        <f t="shared" ref="Y101:Y108" si="5">IFERROR(IF(X101="",0,CEILING((X101/$H101),1)*$H101),"")</f>
        <v>10.8</v>
      </c>
      <c r="Z101" s="41">
        <f>IFERROR(IF(Y101=0,"",ROUNDUP(Y101/H101,0)*0.01898),"")</f>
        <v>1.898E-2</v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10.37962962962963</v>
      </c>
      <c r="BN101" s="78">
        <f t="shared" ref="BN101:BN108" si="7">IFERROR(Y101*I101/H101,"0")</f>
        <v>11.21</v>
      </c>
      <c r="BO101" s="78">
        <f t="shared" ref="BO101:BO108" si="8">IFERROR(1/J101*(X101/H101),"0")</f>
        <v>1.4467592592592591E-2</v>
      </c>
      <c r="BP101" s="78">
        <f t="shared" ref="BP101:BP108" si="9">IFERROR(1/J101*(Y101/H101),"0")</f>
        <v>1.5625E-2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11.25</v>
      </c>
      <c r="Y104" s="55">
        <f t="shared" si="5"/>
        <v>11.25</v>
      </c>
      <c r="Z104" s="41">
        <f>IFERROR(IF(Y104=0,"",ROUNDUP(Y104/H104,0)*0.00902),"")</f>
        <v>2.7060000000000001E-2</v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11.82</v>
      </c>
      <c r="BN104" s="78">
        <f t="shared" si="7"/>
        <v>11.82</v>
      </c>
      <c r="BO104" s="78">
        <f t="shared" si="8"/>
        <v>2.2727272727272728E-2</v>
      </c>
      <c r="BP104" s="78">
        <f t="shared" si="9"/>
        <v>2.2727272727272728E-2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3.9259259259259256</v>
      </c>
      <c r="Y109" s="43">
        <f>IFERROR(Y101/H101,"0")+IFERROR(Y102/H102,"0")+IFERROR(Y103/H103,"0")+IFERROR(Y104/H104,"0")+IFERROR(Y105/H105,"0")+IFERROR(Y106/H106,"0")+IFERROR(Y107/H107,"0")+IFERROR(Y108/H108,"0")</f>
        <v>4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4.6039999999999998E-2</v>
      </c>
      <c r="AA109" s="67"/>
      <c r="AB109" s="67"/>
      <c r="AC109" s="67"/>
    </row>
    <row r="110" spans="1:68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21.25</v>
      </c>
      <c r="Y110" s="43">
        <f>IFERROR(SUM(Y101:Y108),"0")</f>
        <v>22.05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65</v>
      </c>
      <c r="Y120" s="55">
        <f>IFERROR(IF(X120="",0,CEILING((X120/$H120),1)*$H120),"")</f>
        <v>72.899999999999991</v>
      </c>
      <c r="Z120" s="41">
        <f>IFERROR(IF(Y120=0,"",ROUNDUP(Y120/H120,0)*0.01898),"")</f>
        <v>0.17082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68.916049382716039</v>
      </c>
      <c r="BN120" s="78">
        <f>IFERROR(Y120*I120/H120,"0")</f>
        <v>77.291999999999987</v>
      </c>
      <c r="BO120" s="78">
        <f>IFERROR(1/J120*(X120/H120),"0")</f>
        <v>0.1253858024691358</v>
      </c>
      <c r="BP120" s="78">
        <f>IFERROR(1/J120*(Y120/H120),"0")</f>
        <v>0.140625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8.0246913580246915</v>
      </c>
      <c r="Y124" s="43">
        <f>IFERROR(Y120/H120,"0")+IFERROR(Y121/H121,"0")+IFERROR(Y122/H122,"0")+IFERROR(Y123/H123,"0")</f>
        <v>9</v>
      </c>
      <c r="Z124" s="43">
        <f>IFERROR(IF(Z120="",0,Z120),"0")+IFERROR(IF(Z121="",0,Z121),"0")+IFERROR(IF(Z122="",0,Z122),"0")+IFERROR(IF(Z123="",0,Z123),"0")</f>
        <v>0.17082</v>
      </c>
      <c r="AA124" s="67"/>
      <c r="AB124" s="67"/>
      <c r="AC124" s="67"/>
    </row>
    <row r="125" spans="1:68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65</v>
      </c>
      <c r="Y125" s="43">
        <f>IFERROR(SUM(Y120:Y123),"0")</f>
        <v>72.899999999999991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6.4</v>
      </c>
      <c r="Y132" s="55">
        <f>IFERROR(IF(X132="",0,CEILING((X132/$H132),1)*$H132),"")</f>
        <v>6.4</v>
      </c>
      <c r="Z132" s="41">
        <f>IFERROR(IF(Y132=0,"",ROUNDUP(Y132/H132,0)*0.00651),"")</f>
        <v>1.302E-2</v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6.76</v>
      </c>
      <c r="BN132" s="78">
        <f>IFERROR(Y132*I132/H132,"0")</f>
        <v>6.76</v>
      </c>
      <c r="BO132" s="78">
        <f>IFERROR(1/J132*(X132/H132),"0")</f>
        <v>1.098901098901099E-2</v>
      </c>
      <c r="BP132" s="78">
        <f>IFERROR(1/J132*(Y132/H132),"0")</f>
        <v>1.098901098901099E-2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2</v>
      </c>
      <c r="Y134" s="43">
        <f>IFERROR(Y132/H132,"0")+IFERROR(Y133/H133,"0")</f>
        <v>2</v>
      </c>
      <c r="Z134" s="43">
        <f>IFERROR(IF(Z132="",0,Z132),"0")+IFERROR(IF(Z133="",0,Z133),"0")</f>
        <v>1.302E-2</v>
      </c>
      <c r="AA134" s="67"/>
      <c r="AB134" s="67"/>
      <c r="AC134" s="67"/>
    </row>
    <row r="135" spans="1:68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6.4</v>
      </c>
      <c r="Y135" s="43">
        <f>IFERROR(SUM(Y132:Y133),"0")</f>
        <v>6.4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14.4</v>
      </c>
      <c r="Y280" s="55">
        <f t="shared" si="43"/>
        <v>14.399999999999999</v>
      </c>
      <c r="Z280" s="41">
        <f>IFERROR(IF(Y280=0,"",ROUNDUP(Y280/H280,0)*0.00651),"")</f>
        <v>3.9059999999999997E-2</v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16.02</v>
      </c>
      <c r="BN280" s="78">
        <f t="shared" si="45"/>
        <v>16.019999999999996</v>
      </c>
      <c r="BO280" s="78">
        <f t="shared" si="46"/>
        <v>3.2967032967032968E-2</v>
      </c>
      <c r="BP280" s="78">
        <f t="shared" si="47"/>
        <v>3.2967032967032968E-2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6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6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3.9059999999999997E-2</v>
      </c>
      <c r="AA289" s="67"/>
      <c r="AB289" s="67"/>
      <c r="AC289" s="67"/>
    </row>
    <row r="290" spans="1:68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14.4</v>
      </c>
      <c r="Y290" s="43">
        <f>IFERROR(SUM(Y277:Y288),"0")</f>
        <v>14.399999999999999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30</v>
      </c>
      <c r="Y322" s="55">
        <f t="shared" si="53"/>
        <v>32.400000000000006</v>
      </c>
      <c r="Z322" s="41">
        <f>IFERROR(IF(Y322=0,"",ROUNDUP(Y322/H322,0)*0.01898),"")</f>
        <v>5.6940000000000004E-2</v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31.138888888888889</v>
      </c>
      <c r="BN322" s="78">
        <f t="shared" si="55"/>
        <v>33.630000000000003</v>
      </c>
      <c r="BO322" s="78">
        <f t="shared" si="56"/>
        <v>4.3402777777777776E-2</v>
      </c>
      <c r="BP322" s="78">
        <f t="shared" si="57"/>
        <v>4.6875000000000007E-2</v>
      </c>
    </row>
    <row r="323" spans="1:68" ht="37.5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20</v>
      </c>
      <c r="Y323" s="55">
        <f t="shared" si="53"/>
        <v>21.6</v>
      </c>
      <c r="Z323" s="41">
        <f>IFERROR(IF(Y323=0,"",ROUNDUP(Y323/H323,0)*0.01898),"")</f>
        <v>3.7960000000000001E-2</v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20.75925925925926</v>
      </c>
      <c r="BN323" s="78">
        <f t="shared" si="55"/>
        <v>22.42</v>
      </c>
      <c r="BO323" s="78">
        <f t="shared" si="56"/>
        <v>2.8935185185185182E-2</v>
      </c>
      <c r="BP323" s="78">
        <f t="shared" si="57"/>
        <v>3.125E-2</v>
      </c>
    </row>
    <row r="324" spans="1:68" ht="27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40</v>
      </c>
      <c r="Y324" s="55">
        <f t="shared" si="53"/>
        <v>43.2</v>
      </c>
      <c r="Z324" s="41">
        <f>IFERROR(IF(Y324=0,"",ROUNDUP(Y324/H324,0)*0.01898),"")</f>
        <v>7.5920000000000001E-2</v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41.518518518518519</v>
      </c>
      <c r="BN324" s="78">
        <f t="shared" si="55"/>
        <v>44.84</v>
      </c>
      <c r="BO324" s="78">
        <f t="shared" si="56"/>
        <v>5.7870370370370364E-2</v>
      </c>
      <c r="BP324" s="78">
        <f t="shared" si="57"/>
        <v>6.25E-2</v>
      </c>
    </row>
    <row r="325" spans="1:68" ht="27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4</v>
      </c>
      <c r="Y325" s="55">
        <f t="shared" si="53"/>
        <v>4</v>
      </c>
      <c r="Z325" s="41">
        <f>IFERROR(IF(Y325=0,"",ROUNDUP(Y325/H325,0)*0.00902),"")</f>
        <v>9.0200000000000002E-3</v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4.1900000000000004</v>
      </c>
      <c r="BN325" s="78">
        <f t="shared" si="55"/>
        <v>4.1900000000000004</v>
      </c>
      <c r="BO325" s="78">
        <f t="shared" si="56"/>
        <v>7.575757575757576E-3</v>
      </c>
      <c r="BP325" s="78">
        <f t="shared" si="57"/>
        <v>7.575757575757576E-3</v>
      </c>
    </row>
    <row r="326" spans="1:68" ht="37.5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12</v>
      </c>
      <c r="Y326" s="55">
        <f t="shared" si="53"/>
        <v>12</v>
      </c>
      <c r="Z326" s="41">
        <f>IFERROR(IF(Y326=0,"",ROUNDUP(Y326/H326,0)*0.00902),"")</f>
        <v>2.7060000000000001E-2</v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12.57</v>
      </c>
      <c r="BN326" s="78">
        <f t="shared" si="55"/>
        <v>12.57</v>
      </c>
      <c r="BO326" s="78">
        <f t="shared" si="56"/>
        <v>2.2727272727272728E-2</v>
      </c>
      <c r="BP326" s="78">
        <f t="shared" si="57"/>
        <v>2.2727272727272728E-2</v>
      </c>
    </row>
    <row r="327" spans="1:68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12.333333333333332</v>
      </c>
      <c r="Y327" s="43">
        <f>IFERROR(Y321/H321,"0")+IFERROR(Y322/H322,"0")+IFERROR(Y323/H323,"0")+IFERROR(Y324/H324,"0")+IFERROR(Y325/H325,"0")+IFERROR(Y326/H326,"0")</f>
        <v>13</v>
      </c>
      <c r="Z327" s="43">
        <f>IFERROR(IF(Z321="",0,Z321),"0")+IFERROR(IF(Z322="",0,Z322),"0")+IFERROR(IF(Z323="",0,Z323),"0")+IFERROR(IF(Z324="",0,Z324),"0")+IFERROR(IF(Z325="",0,Z325),"0")+IFERROR(IF(Z326="",0,Z326),"0")</f>
        <v>0.20690000000000003</v>
      </c>
      <c r="AA327" s="67"/>
      <c r="AB327" s="67"/>
      <c r="AC327" s="67"/>
    </row>
    <row r="328" spans="1:68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106</v>
      </c>
      <c r="Y328" s="43">
        <f>IFERROR(SUM(Y321:Y326),"0")</f>
        <v>113.20000000000002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30</v>
      </c>
      <c r="Y362" s="55">
        <f t="shared" si="58"/>
        <v>32.400000000000006</v>
      </c>
      <c r="Z362" s="41">
        <f>IFERROR(IF(Y362=0,"",ROUNDUP(Y362/H362,0)*0.01898),"")</f>
        <v>5.6940000000000004E-2</v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31.138888888888889</v>
      </c>
      <c r="BN362" s="78">
        <f t="shared" si="60"/>
        <v>33.630000000000003</v>
      </c>
      <c r="BO362" s="78">
        <f t="shared" si="61"/>
        <v>4.3402777777777776E-2</v>
      </c>
      <c r="BP362" s="78">
        <f t="shared" si="62"/>
        <v>4.6875000000000007E-2</v>
      </c>
    </row>
    <row r="363" spans="1:68" ht="27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180</v>
      </c>
      <c r="Y363" s="55">
        <f t="shared" si="58"/>
        <v>183.60000000000002</v>
      </c>
      <c r="Z363" s="41">
        <f>IFERROR(IF(Y363=0,"",ROUNDUP(Y363/H363,0)*0.01898),"")</f>
        <v>0.32266</v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186.83333333333334</v>
      </c>
      <c r="BN363" s="78">
        <f t="shared" si="60"/>
        <v>190.57000000000002</v>
      </c>
      <c r="BO363" s="78">
        <f t="shared" si="61"/>
        <v>0.26041666666666663</v>
      </c>
      <c r="BP363" s="78">
        <f t="shared" si="62"/>
        <v>0.265625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28</v>
      </c>
      <c r="Y365" s="55">
        <f t="shared" si="58"/>
        <v>28</v>
      </c>
      <c r="Z365" s="41">
        <f>IFERROR(IF(Y365=0,"",ROUNDUP(Y365/H365,0)*0.00902),"")</f>
        <v>6.3140000000000002E-2</v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29.330000000000002</v>
      </c>
      <c r="BN365" s="78">
        <f t="shared" si="60"/>
        <v>29.330000000000002</v>
      </c>
      <c r="BO365" s="78">
        <f t="shared" si="61"/>
        <v>5.3030303030303032E-2</v>
      </c>
      <c r="BP365" s="78">
        <f t="shared" si="62"/>
        <v>5.3030303030303032E-2</v>
      </c>
    </row>
    <row r="366" spans="1:68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26.444444444444443</v>
      </c>
      <c r="Y366" s="43">
        <f>IFERROR(Y359/H359,"0")+IFERROR(Y360/H360,"0")+IFERROR(Y361/H361,"0")+IFERROR(Y362/H362,"0")+IFERROR(Y363/H363,"0")+IFERROR(Y364/H364,"0")+IFERROR(Y365/H365,"0")</f>
        <v>27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0.44274000000000002</v>
      </c>
      <c r="AA366" s="67"/>
      <c r="AB366" s="67"/>
      <c r="AC366" s="67"/>
    </row>
    <row r="367" spans="1:68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238</v>
      </c>
      <c r="Y367" s="43">
        <f>IFERROR(SUM(Y359:Y365),"0")</f>
        <v>244.00000000000003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40</v>
      </c>
      <c r="Y370" s="55">
        <f t="shared" si="63"/>
        <v>42</v>
      </c>
      <c r="Z370" s="41">
        <f>IFERROR(IF(Y370=0,"",ROUNDUP(Y370/H370,0)*0.00902),"")</f>
        <v>9.0200000000000002E-2</v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42.38095238095238</v>
      </c>
      <c r="BN370" s="78">
        <f t="shared" si="65"/>
        <v>44.5</v>
      </c>
      <c r="BO370" s="78">
        <f t="shared" si="66"/>
        <v>7.2150072150072145E-2</v>
      </c>
      <c r="BP370" s="78">
        <f t="shared" si="67"/>
        <v>7.575757575757576E-2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18.899999999999999</v>
      </c>
      <c r="Y372" s="55">
        <f t="shared" si="63"/>
        <v>18.900000000000002</v>
      </c>
      <c r="Z372" s="41">
        <f>IFERROR(IF(Y372=0,"",ROUNDUP(Y372/H372,0)*0.00502),"")</f>
        <v>4.5179999999999998E-2</v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20.069999999999997</v>
      </c>
      <c r="BN372" s="78">
        <f t="shared" si="65"/>
        <v>20.07</v>
      </c>
      <c r="BO372" s="78">
        <f t="shared" si="66"/>
        <v>3.8461538461538457E-2</v>
      </c>
      <c r="BP372" s="78">
        <f t="shared" si="67"/>
        <v>3.8461538461538464E-2</v>
      </c>
    </row>
    <row r="373" spans="1:68" ht="27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12.6</v>
      </c>
      <c r="Y373" s="55">
        <f t="shared" si="63"/>
        <v>12.600000000000001</v>
      </c>
      <c r="Z373" s="41">
        <f>IFERROR(IF(Y373=0,"",ROUNDUP(Y373/H373,0)*0.00502),"")</f>
        <v>3.0120000000000001E-2</v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13.200000000000001</v>
      </c>
      <c r="BN373" s="78">
        <f t="shared" si="65"/>
        <v>13.200000000000003</v>
      </c>
      <c r="BO373" s="78">
        <f t="shared" si="66"/>
        <v>2.5641025641025644E-2</v>
      </c>
      <c r="BP373" s="78">
        <f t="shared" si="67"/>
        <v>2.5641025641025644E-2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24.523809523809522</v>
      </c>
      <c r="Y376" s="43">
        <f>IFERROR(Y369/H369,"0")+IFERROR(Y370/H370,"0")+IFERROR(Y371/H371,"0")+IFERROR(Y372/H372,"0")+IFERROR(Y373/H373,"0")+IFERROR(Y374/H374,"0")+IFERROR(Y375/H375,"0")</f>
        <v>25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0.16550000000000001</v>
      </c>
      <c r="AA376" s="67"/>
      <c r="AB376" s="67"/>
      <c r="AC376" s="67"/>
    </row>
    <row r="377" spans="1:68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71.5</v>
      </c>
      <c r="Y377" s="43">
        <f>IFERROR(SUM(Y369:Y375),"0")</f>
        <v>73.5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36</v>
      </c>
      <c r="Y382" s="55">
        <f>IFERROR(IF(X382="",0,CEILING((X382/$H382),1)*$H382),"")</f>
        <v>36</v>
      </c>
      <c r="Z382" s="41">
        <f>IFERROR(IF(Y382=0,"",ROUNDUP(Y382/H382,0)*0.00651),"")</f>
        <v>7.8119999999999995E-2</v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38.951999999999998</v>
      </c>
      <c r="BN382" s="78">
        <f>IFERROR(Y382*I382/H382,"0")</f>
        <v>38.951999999999998</v>
      </c>
      <c r="BO382" s="78">
        <f>IFERROR(1/J382*(X382/H382),"0")</f>
        <v>6.5934065934065936E-2</v>
      </c>
      <c r="BP382" s="78">
        <f>IFERROR(1/J382*(Y382/H382),"0")</f>
        <v>6.5934065934065936E-2</v>
      </c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12</v>
      </c>
      <c r="Y383" s="43">
        <f>IFERROR(Y379/H379,"0")+IFERROR(Y380/H380,"0")+IFERROR(Y381/H381,"0")+IFERROR(Y382/H382,"0")</f>
        <v>12</v>
      </c>
      <c r="Z383" s="43">
        <f>IFERROR(IF(Z379="",0,Z379),"0")+IFERROR(IF(Z380="",0,Z380),"0")+IFERROR(IF(Z381="",0,Z381),"0")+IFERROR(IF(Z382="",0,Z382),"0")</f>
        <v>7.8119999999999995E-2</v>
      </c>
      <c r="AA383" s="67"/>
      <c r="AB383" s="67"/>
      <c r="AC383" s="67"/>
    </row>
    <row r="384" spans="1:68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36</v>
      </c>
      <c r="Y384" s="43">
        <f>IFERROR(SUM(Y379:Y382),"0")</f>
        <v>36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100</v>
      </c>
      <c r="Y387" s="55">
        <f>IFERROR(IF(X387="",0,CEILING((X387/$H387),1)*$H387),"")</f>
        <v>101.39999999999999</v>
      </c>
      <c r="Z387" s="41">
        <f>IFERROR(IF(Y387=0,"",ROUNDUP(Y387/H387,0)*0.01898),"")</f>
        <v>0.24674000000000001</v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106.33333333333334</v>
      </c>
      <c r="BN387" s="78">
        <f>IFERROR(Y387*I387/H387,"0")</f>
        <v>107.82199999999999</v>
      </c>
      <c r="BO387" s="78">
        <f>IFERROR(1/J387*(X387/H387),"0")</f>
        <v>0.20032051282051283</v>
      </c>
      <c r="BP387" s="78">
        <f>IFERROR(1/J387*(Y387/H387),"0")</f>
        <v>0.203125</v>
      </c>
    </row>
    <row r="388" spans="1:68" ht="27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75</v>
      </c>
      <c r="Y388" s="55">
        <f>IFERROR(IF(X388="",0,CEILING((X388/$H388),1)*$H388),"")</f>
        <v>75.600000000000009</v>
      </c>
      <c r="Z388" s="41">
        <f>IFERROR(IF(Y388=0,"",ROUNDUP(Y388/H388,0)*0.01898),"")</f>
        <v>0.17082</v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79.410714285714278</v>
      </c>
      <c r="BN388" s="78">
        <f>IFERROR(Y388*I388/H388,"0")</f>
        <v>80.046000000000006</v>
      </c>
      <c r="BO388" s="78">
        <f>IFERROR(1/J388*(X388/H388),"0")</f>
        <v>0.13950892857142858</v>
      </c>
      <c r="BP388" s="78">
        <f>IFERROR(1/J388*(Y388/H388),"0")</f>
        <v>0.140625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21.749084249084248</v>
      </c>
      <c r="Y389" s="43">
        <f>IFERROR(Y386/H386,"0")+IFERROR(Y387/H387,"0")+IFERROR(Y388/H388,"0")</f>
        <v>22</v>
      </c>
      <c r="Z389" s="43">
        <f>IFERROR(IF(Z386="",0,Z386),"0")+IFERROR(IF(Z387="",0,Z387),"0")+IFERROR(IF(Z388="",0,Z388),"0")</f>
        <v>0.41756000000000004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175</v>
      </c>
      <c r="Y390" s="43">
        <f>IFERROR(SUM(Y386:Y388),"0")</f>
        <v>177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50</v>
      </c>
      <c r="Y418" s="55">
        <f>IFERROR(IF(X418="",0,CEILING((X418/$H418),1)*$H418),"")</f>
        <v>56.699999999999996</v>
      </c>
      <c r="Z418" s="41">
        <f>IFERROR(IF(Y418=0,"",ROUNDUP(Y418/H418,0)*0.01898),"")</f>
        <v>0.13286000000000001</v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53.049382716049386</v>
      </c>
      <c r="BN418" s="78">
        <f>IFERROR(Y418*I418/H418,"0")</f>
        <v>60.157999999999994</v>
      </c>
      <c r="BO418" s="78">
        <f>IFERROR(1/J418*(X418/H418),"0")</f>
        <v>9.6450617283950615E-2</v>
      </c>
      <c r="BP418" s="78">
        <f>IFERROR(1/J418*(Y418/H418),"0")</f>
        <v>0.109375</v>
      </c>
    </row>
    <row r="419" spans="1:68" ht="27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29.4</v>
      </c>
      <c r="Y419" s="55">
        <f>IFERROR(IF(X419="",0,CEILING((X419/$H419),1)*$H419),"")</f>
        <v>29.400000000000002</v>
      </c>
      <c r="Z419" s="41">
        <f>IFERROR(IF(Y419=0,"",ROUNDUP(Y419/H419,0)*0.00651),"")</f>
        <v>9.1139999999999999E-2</v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32.927999999999997</v>
      </c>
      <c r="BN419" s="78">
        <f>IFERROR(Y419*I419/H419,"0")</f>
        <v>32.927999999999997</v>
      </c>
      <c r="BO419" s="78">
        <f>IFERROR(1/J419*(X419/H419),"0")</f>
        <v>7.6923076923076913E-2</v>
      </c>
      <c r="BP419" s="78">
        <f>IFERROR(1/J419*(Y419/H419),"0")</f>
        <v>7.6923076923076927E-2</v>
      </c>
    </row>
    <row r="420" spans="1:68" ht="27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29.4</v>
      </c>
      <c r="Y420" s="55">
        <f>IFERROR(IF(X420="",0,CEILING((X420/$H420),1)*$H420),"")</f>
        <v>29.400000000000002</v>
      </c>
      <c r="Z420" s="41">
        <f>IFERROR(IF(Y420=0,"",ROUNDUP(Y420/H420,0)*0.00651),"")</f>
        <v>9.1139999999999999E-2</v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32.76</v>
      </c>
      <c r="BN420" s="78">
        <f>IFERROR(Y420*I420/H420,"0")</f>
        <v>32.760000000000005</v>
      </c>
      <c r="BO420" s="78">
        <f>IFERROR(1/J420*(X420/H420),"0")</f>
        <v>7.6923076923076913E-2</v>
      </c>
      <c r="BP420" s="78">
        <f>IFERROR(1/J420*(Y420/H420),"0")</f>
        <v>7.6923076923076927E-2</v>
      </c>
    </row>
    <row r="421" spans="1:68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34.172839506172835</v>
      </c>
      <c r="Y421" s="43">
        <f>IFERROR(Y418/H418,"0")+IFERROR(Y419/H419,"0")+IFERROR(Y420/H420,"0")</f>
        <v>35</v>
      </c>
      <c r="Z421" s="43">
        <f>IFERROR(IF(Z418="",0,Z418),"0")+IFERROR(IF(Z419="",0,Z419),"0")+IFERROR(IF(Z420="",0,Z420),"0")</f>
        <v>0.31513999999999998</v>
      </c>
      <c r="AA421" s="67"/>
      <c r="AB421" s="67"/>
      <c r="AC421" s="67"/>
    </row>
    <row r="422" spans="1:68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108.80000000000001</v>
      </c>
      <c r="Y422" s="43">
        <f>IFERROR(SUM(Y418:Y420),"0")</f>
        <v>115.5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150</v>
      </c>
      <c r="Y427" s="55">
        <f t="shared" si="68"/>
        <v>150</v>
      </c>
      <c r="Z427" s="41">
        <f>IFERROR(IF(Y427=0,"",ROUNDUP(Y427/H427,0)*0.02175),"")</f>
        <v>0.21749999999999997</v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154.69999999999999</v>
      </c>
      <c r="BN427" s="78">
        <f t="shared" si="70"/>
        <v>154.69999999999999</v>
      </c>
      <c r="BO427" s="78">
        <f t="shared" si="71"/>
        <v>0.20833333333333331</v>
      </c>
      <c r="BP427" s="78">
        <f t="shared" si="72"/>
        <v>0.20833333333333331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260</v>
      </c>
      <c r="Y428" s="55">
        <f t="shared" si="68"/>
        <v>270</v>
      </c>
      <c r="Z428" s="41">
        <f>IFERROR(IF(Y428=0,"",ROUNDUP(Y428/H428,0)*0.02175),"")</f>
        <v>0.39149999999999996</v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268.1466666666667</v>
      </c>
      <c r="BN428" s="78">
        <f t="shared" si="70"/>
        <v>278.46000000000004</v>
      </c>
      <c r="BO428" s="78">
        <f t="shared" si="71"/>
        <v>0.36111111111111105</v>
      </c>
      <c r="BP428" s="78">
        <f t="shared" si="72"/>
        <v>0.375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250</v>
      </c>
      <c r="Y430" s="55">
        <f t="shared" si="68"/>
        <v>255</v>
      </c>
      <c r="Z430" s="41">
        <f>IFERROR(IF(Y430=0,"",ROUNDUP(Y430/H430,0)*0.02175),"")</f>
        <v>0.36974999999999997</v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257.83333333333331</v>
      </c>
      <c r="BN430" s="78">
        <f t="shared" si="70"/>
        <v>262.99</v>
      </c>
      <c r="BO430" s="78">
        <f t="shared" si="71"/>
        <v>0.34722222222222221</v>
      </c>
      <c r="BP430" s="78">
        <f t="shared" si="72"/>
        <v>0.35416666666666663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10</v>
      </c>
      <c r="Y433" s="55">
        <f t="shared" si="68"/>
        <v>10</v>
      </c>
      <c r="Z433" s="41">
        <f>IFERROR(IF(Y433=0,"",ROUNDUP(Y433/H433,0)*0.00902),"")</f>
        <v>1.804E-2</v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10.38</v>
      </c>
      <c r="BN433" s="78">
        <f t="shared" si="70"/>
        <v>10.38</v>
      </c>
      <c r="BO433" s="78">
        <f t="shared" si="71"/>
        <v>1.5151515151515152E-2</v>
      </c>
      <c r="BP433" s="78">
        <f t="shared" si="72"/>
        <v>1.5151515151515152E-2</v>
      </c>
    </row>
    <row r="434" spans="1:68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46</v>
      </c>
      <c r="Y434" s="43">
        <f>IFERROR(Y426/H426,"0")+IFERROR(Y427/H427,"0")+IFERROR(Y428/H428,"0")+IFERROR(Y429/H429,"0")+IFERROR(Y430/H430,"0")+IFERROR(Y431/H431,"0")+IFERROR(Y432/H432,"0")+IFERROR(Y433/H433,"0")</f>
        <v>47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0.99679000000000006</v>
      </c>
      <c r="AA434" s="67"/>
      <c r="AB434" s="67"/>
      <c r="AC434" s="67"/>
    </row>
    <row r="435" spans="1:68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670</v>
      </c>
      <c r="Y435" s="43">
        <f>IFERROR(SUM(Y426:Y433),"0")</f>
        <v>685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150</v>
      </c>
      <c r="Y437" s="55">
        <f>IFERROR(IF(X437="",0,CEILING((X437/$H437),1)*$H437),"")</f>
        <v>150</v>
      </c>
      <c r="Z437" s="41">
        <f>IFERROR(IF(Y437=0,"",ROUNDUP(Y437/H437,0)*0.02175),"")</f>
        <v>0.21749999999999997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154.69999999999999</v>
      </c>
      <c r="BN437" s="78">
        <f>IFERROR(Y437*I437/H437,"0")</f>
        <v>154.69999999999999</v>
      </c>
      <c r="BO437" s="78">
        <f>IFERROR(1/J437*(X437/H437),"0")</f>
        <v>0.20833333333333331</v>
      </c>
      <c r="BP437" s="78">
        <f>IFERROR(1/J437*(Y437/H437),"0")</f>
        <v>0.20833333333333331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4</v>
      </c>
      <c r="Y439" s="55">
        <f>IFERROR(IF(X439="",0,CEILING((X439/$H439),1)*$H439),"")</f>
        <v>4</v>
      </c>
      <c r="Z439" s="41">
        <f>IFERROR(IF(Y439=0,"",ROUNDUP(Y439/H439,0)*0.00902),"")</f>
        <v>9.0200000000000002E-3</v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4.1900000000000004</v>
      </c>
      <c r="BN439" s="78">
        <f>IFERROR(Y439*I439/H439,"0")</f>
        <v>4.1900000000000004</v>
      </c>
      <c r="BO439" s="78">
        <f>IFERROR(1/J439*(X439/H439),"0")</f>
        <v>7.575757575757576E-3</v>
      </c>
      <c r="BP439" s="78">
        <f>IFERROR(1/J439*(Y439/H439),"0")</f>
        <v>7.575757575757576E-3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11</v>
      </c>
      <c r="Y440" s="43">
        <f>IFERROR(Y437/H437,"0")+IFERROR(Y438/H438,"0")+IFERROR(Y439/H439,"0")</f>
        <v>11</v>
      </c>
      <c r="Z440" s="43">
        <f>IFERROR(IF(Z437="",0,Z437),"0")+IFERROR(IF(Z438="",0,Z438),"0")+IFERROR(IF(Z439="",0,Z439),"0")</f>
        <v>0.22651999999999997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154</v>
      </c>
      <c r="Y441" s="43">
        <f>IFERROR(SUM(Y437:Y439),"0")</f>
        <v>154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2.1</v>
      </c>
      <c r="Y493" s="55">
        <f>IFERROR(IF(X493="",0,CEILING((X493/$H493),1)*$H493),"")</f>
        <v>2.1</v>
      </c>
      <c r="Z493" s="41">
        <f>IFERROR(IF(Y493=0,"",ROUNDUP(Y493/H493,0)*0.00502),"")</f>
        <v>5.0200000000000002E-3</v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2.23</v>
      </c>
      <c r="BN493" s="78">
        <f>IFERROR(Y493*I493/H493,"0")</f>
        <v>2.23</v>
      </c>
      <c r="BO493" s="78">
        <f>IFERROR(1/J493*(X493/H493),"0")</f>
        <v>4.2735042735042739E-3</v>
      </c>
      <c r="BP493" s="78">
        <f>IFERROR(1/J493*(Y493/H493),"0")</f>
        <v>4.2735042735042739E-3</v>
      </c>
    </row>
    <row r="494" spans="1:68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1</v>
      </c>
      <c r="Y494" s="43">
        <f>IFERROR(Y491/H491,"0")+IFERROR(Y492/H492,"0")+IFERROR(Y493/H493,"0")</f>
        <v>1</v>
      </c>
      <c r="Z494" s="43">
        <f>IFERROR(IF(Z491="",0,Z491),"0")+IFERROR(IF(Z492="",0,Z492),"0")+IFERROR(IF(Z493="",0,Z493),"0")</f>
        <v>5.0200000000000002E-3</v>
      </c>
      <c r="AA494" s="67"/>
      <c r="AB494" s="67"/>
      <c r="AC494" s="67"/>
    </row>
    <row r="495" spans="1:68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2.1</v>
      </c>
      <c r="Y495" s="43">
        <f>IFERROR(SUM(Y491:Y493),"0")</f>
        <v>2.1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20</v>
      </c>
      <c r="Y499" s="55">
        <f t="shared" ref="Y499:Y507" si="78">IFERROR(IF(X499="",0,CEILING((X499/$H499),1)*$H499),"")</f>
        <v>21.12</v>
      </c>
      <c r="Z499" s="41">
        <f t="shared" ref="Z499:Z504" si="79">IFERROR(IF(Y499=0,"",ROUNDUP(Y499/H499,0)*0.01196),"")</f>
        <v>4.7840000000000001E-2</v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21.325757575757574</v>
      </c>
      <c r="BN499" s="78">
        <f t="shared" ref="BN499:BN507" si="81">IFERROR(Y499*I499/H499,"0")</f>
        <v>22.52</v>
      </c>
      <c r="BO499" s="78">
        <f t="shared" ref="BO499:BO507" si="82">IFERROR(1/J499*(X499/H499),"0")</f>
        <v>3.6421911421911424E-2</v>
      </c>
      <c r="BP499" s="78">
        <f t="shared" ref="BP499:BP507" si="83">IFERROR(1/J499*(Y499/H499),"0")</f>
        <v>3.8461538461538464E-2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5</v>
      </c>
      <c r="Y501" s="55">
        <f t="shared" si="78"/>
        <v>5.28</v>
      </c>
      <c r="Z501" s="41">
        <f t="shared" si="79"/>
        <v>1.196E-2</v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5.3314393939393936</v>
      </c>
      <c r="BN501" s="78">
        <f t="shared" si="81"/>
        <v>5.63</v>
      </c>
      <c r="BO501" s="78">
        <f t="shared" si="82"/>
        <v>9.1054778554778559E-3</v>
      </c>
      <c r="BP501" s="78">
        <f t="shared" si="83"/>
        <v>9.6153846153846159E-3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5</v>
      </c>
      <c r="Y502" s="55">
        <f t="shared" si="78"/>
        <v>5.28</v>
      </c>
      <c r="Z502" s="41">
        <f t="shared" si="79"/>
        <v>1.196E-2</v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5.3314393939393936</v>
      </c>
      <c r="BN502" s="78">
        <f t="shared" si="81"/>
        <v>5.63</v>
      </c>
      <c r="BO502" s="78">
        <f t="shared" si="82"/>
        <v>9.1054778554778559E-3</v>
      </c>
      <c r="BP502" s="78">
        <f t="shared" si="83"/>
        <v>9.6153846153846159E-3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5.6818181818181817</v>
      </c>
      <c r="Y508" s="43">
        <f>IFERROR(Y499/H499,"0")+IFERROR(Y500/H500,"0")+IFERROR(Y501/H501,"0")+IFERROR(Y502/H502,"0")+IFERROR(Y503/H503,"0")+IFERROR(Y504/H504,"0")+IFERROR(Y505/H505,"0")+IFERROR(Y506/H506,"0")+IFERROR(Y507/H507,"0")</f>
        <v>6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7.1760000000000004E-2</v>
      </c>
      <c r="AA508" s="67"/>
      <c r="AB508" s="67"/>
      <c r="AC508" s="67"/>
    </row>
    <row r="509" spans="1:68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30</v>
      </c>
      <c r="Y509" s="43">
        <f>IFERROR(SUM(Y499:Y507),"0")</f>
        <v>31.680000000000003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10</v>
      </c>
      <c r="Y517" s="55">
        <f t="shared" ref="Y517:Y523" si="84">IFERROR(IF(X517="",0,CEILING((X517/$H517),1)*$H517),"")</f>
        <v>10.56</v>
      </c>
      <c r="Z517" s="41">
        <f>IFERROR(IF(Y517=0,"",ROUNDUP(Y517/H517,0)*0.01196),"")</f>
        <v>2.392E-2</v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10.662878787878787</v>
      </c>
      <c r="BN517" s="78">
        <f t="shared" ref="BN517:BN523" si="86">IFERROR(Y517*I517/H517,"0")</f>
        <v>11.26</v>
      </c>
      <c r="BO517" s="78">
        <f t="shared" ref="BO517:BO523" si="87">IFERROR(1/J517*(X517/H517),"0")</f>
        <v>1.8210955710955712E-2</v>
      </c>
      <c r="BP517" s="78">
        <f t="shared" ref="BP517:BP523" si="88">IFERROR(1/J517*(Y517/H517),"0")</f>
        <v>1.9230769230769232E-2</v>
      </c>
    </row>
    <row r="518" spans="1:68" ht="27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5</v>
      </c>
      <c r="Y518" s="55">
        <f t="shared" si="84"/>
        <v>5.28</v>
      </c>
      <c r="Z518" s="41">
        <f>IFERROR(IF(Y518=0,"",ROUNDUP(Y518/H518,0)*0.01196),"")</f>
        <v>1.196E-2</v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5.3314393939393936</v>
      </c>
      <c r="BN518" s="78">
        <f t="shared" si="86"/>
        <v>5.63</v>
      </c>
      <c r="BO518" s="78">
        <f t="shared" si="87"/>
        <v>9.1054778554778559E-3</v>
      </c>
      <c r="BP518" s="78">
        <f t="shared" si="88"/>
        <v>9.6153846153846159E-3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2.8409090909090908</v>
      </c>
      <c r="Y524" s="43">
        <f>IFERROR(Y517/H517,"0")+IFERROR(Y518/H518,"0")+IFERROR(Y519/H519,"0")+IFERROR(Y520/H520,"0")+IFERROR(Y521/H521,"0")+IFERROR(Y522/H522,"0")+IFERROR(Y523/H523,"0")</f>
        <v>3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3.5880000000000002E-2</v>
      </c>
      <c r="AA524" s="67"/>
      <c r="AB524" s="67"/>
      <c r="AC524" s="67"/>
    </row>
    <row r="525" spans="1:68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15</v>
      </c>
      <c r="Y525" s="43">
        <f>IFERROR(SUM(Y517:Y523),"0")</f>
        <v>15.84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10</v>
      </c>
      <c r="Y529" s="55">
        <f>IFERROR(IF(X529="",0,CEILING((X529/$H529),1)*$H529),"")</f>
        <v>12</v>
      </c>
      <c r="Z529" s="41">
        <f>IFERROR(IF(Y529=0,"",ROUNDUP(Y529/H529,0)*0.01898),"")</f>
        <v>1.898E-2</v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10.341666666666667</v>
      </c>
      <c r="BN529" s="78">
        <f>IFERROR(Y529*I529/H529,"0")</f>
        <v>12.410000000000002</v>
      </c>
      <c r="BO529" s="78">
        <f>IFERROR(1/J529*(X529/H529),"0")</f>
        <v>1.3020833333333334E-2</v>
      </c>
      <c r="BP529" s="78">
        <f>IFERROR(1/J529*(Y529/H529),"0")</f>
        <v>1.5625E-2</v>
      </c>
    </row>
    <row r="530" spans="1:68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0.83333333333333337</v>
      </c>
      <c r="Y530" s="43">
        <f>IFERROR(Y529/H529,"0")</f>
        <v>1</v>
      </c>
      <c r="Z530" s="43">
        <f>IFERROR(IF(Z529="",0,Z529),"0")</f>
        <v>1.898E-2</v>
      </c>
      <c r="AA530" s="67"/>
      <c r="AB530" s="67"/>
      <c r="AC530" s="67"/>
    </row>
    <row r="531" spans="1:68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10</v>
      </c>
      <c r="Y531" s="43">
        <f>IFERROR(SUM(Y529:Y529),"0")</f>
        <v>12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60</v>
      </c>
      <c r="Y537" s="55">
        <f>IFERROR(IF(X537="",0,CEILING((X537/$H537),1)*$H537),"")</f>
        <v>63</v>
      </c>
      <c r="Z537" s="41">
        <f>IFERROR(IF(Y537=0,"",ROUNDUP(Y537/H537,0)*0.00902),"")</f>
        <v>0.1353</v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63.571428571428569</v>
      </c>
      <c r="BN537" s="78">
        <f>IFERROR(Y537*I537/H537,"0")</f>
        <v>66.75</v>
      </c>
      <c r="BO537" s="78">
        <f>IFERROR(1/J537*(X537/H537),"0")</f>
        <v>0.10822510822510822</v>
      </c>
      <c r="BP537" s="78">
        <f>IFERROR(1/J537*(Y537/H537),"0")</f>
        <v>0.11363636363636365</v>
      </c>
    </row>
    <row r="538" spans="1:68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14.285714285714285</v>
      </c>
      <c r="Y538" s="43">
        <f>IFERROR(Y537/H537,"0")</f>
        <v>15</v>
      </c>
      <c r="Z538" s="43">
        <f>IFERROR(IF(Z537="",0,Z537),"0")</f>
        <v>0.1353</v>
      </c>
      <c r="AA538" s="67"/>
      <c r="AB538" s="67"/>
      <c r="AC538" s="67"/>
    </row>
    <row r="539" spans="1:68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60</v>
      </c>
      <c r="Y539" s="43">
        <f>IFERROR(SUM(Y537:Y537),"0")</f>
        <v>63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1977.1499999999999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2042.1699999999998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2067.9487287958959</v>
      </c>
      <c r="Y555" s="43">
        <f>IFERROR(SUM(BN22:BN551),"0")</f>
        <v>2135.918000000001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4</v>
      </c>
      <c r="Y556" s="44">
        <f>ROUNDUP(SUM(BP22:BP551),0)</f>
        <v>4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2167.9487287958959</v>
      </c>
      <c r="Y557" s="43">
        <f>GrossWeightTotalR+PalletQtyTotalR*25</f>
        <v>2235.918000000001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267.64306372639709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275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3.7941699999999994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52.400000000000006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118.80000000000001</v>
      </c>
      <c r="F564" s="52">
        <f>IFERROR(Y85*1,"0")+IFERROR(Y86*1,"0")+IFERROR(Y87*1,"0")+IFERROR(Y88*1,"0")+IFERROR(Y89*1,"0")+IFERROR(Y93*1,"0")+IFERROR(Y94*1,"0")+IFERROR(Y95*1,"0")+IFERROR(Y96*1,"0")</f>
        <v>32.400000000000006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94.949999999999989</v>
      </c>
      <c r="H564" s="52">
        <f>IFERROR(Y132*1,"0")+IFERROR(Y133*1,"0")+IFERROR(Y137*1,"0")+IFERROR(Y138*1,"0")+IFERROR(Y142*1,"0")+IFERROR(Y143*1,"0")</f>
        <v>6.4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14.399999999999999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113.20000000000002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530.5</v>
      </c>
      <c r="U564" s="52">
        <f>IFERROR(Y412*1,"0")+IFERROR(Y413*1,"0")</f>
        <v>0</v>
      </c>
      <c r="V564" s="52">
        <f>IFERROR(Y418*1,"0")+IFERROR(Y419*1,"0")+IFERROR(Y420*1,"0")</f>
        <v>115.5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839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2.1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47.52</v>
      </c>
      <c r="AB564" s="52">
        <f>IFERROR(Y529*1,"0")+IFERROR(Y533*1,"0")+IFERROR(Y537*1,"0")+IFERROR(Y541*1,"0")+IFERROR(Y545*1,"0")+IFERROR(Y546*1,"0")</f>
        <v>75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977,15"/>
        <filter val="1,00"/>
        <filter val="10,00"/>
        <filter val="100,00"/>
        <filter val="106,00"/>
        <filter val="108,80"/>
        <filter val="11,00"/>
        <filter val="11,25"/>
        <filter val="111,50"/>
        <filter val="12,00"/>
        <filter val="12,33"/>
        <filter val="12,60"/>
        <filter val="14,29"/>
        <filter val="14,40"/>
        <filter val="15,00"/>
        <filter val="150,00"/>
        <filter val="154,00"/>
        <filter val="16,00"/>
        <filter val="16,20"/>
        <filter val="175,00"/>
        <filter val="18,90"/>
        <filter val="180,00"/>
        <filter val="19,07"/>
        <filter val="2 067,95"/>
        <filter val="2 167,95"/>
        <filter val="2,00"/>
        <filter val="2,10"/>
        <filter val="2,84"/>
        <filter val="20,00"/>
        <filter val="21,25"/>
        <filter val="21,75"/>
        <filter val="238,00"/>
        <filter val="24,52"/>
        <filter val="250,00"/>
        <filter val="26,44"/>
        <filter val="260,00"/>
        <filter val="267,64"/>
        <filter val="28,00"/>
        <filter val="29,40"/>
        <filter val="3,93"/>
        <filter val="30,00"/>
        <filter val="31,50"/>
        <filter val="32,20"/>
        <filter val="34,17"/>
        <filter val="36,00"/>
        <filter val="4"/>
        <filter val="4,00"/>
        <filter val="40,00"/>
        <filter val="46,00"/>
        <filter val="5,00"/>
        <filter val="5,68"/>
        <filter val="50,00"/>
        <filter val="6,00"/>
        <filter val="6,40"/>
        <filter val="60,00"/>
        <filter val="65,00"/>
        <filter val="670,00"/>
        <filter val="7,78"/>
        <filter val="7,98"/>
        <filter val="71,50"/>
        <filter val="75,00"/>
        <filter val="8,02"/>
        <filter val="80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2026-09-21T09:01:13Z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