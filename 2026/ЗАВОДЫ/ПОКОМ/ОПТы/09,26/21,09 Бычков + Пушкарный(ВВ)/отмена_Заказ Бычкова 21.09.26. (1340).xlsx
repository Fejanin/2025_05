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CA261EBE-DA11-41F7-869F-59999C3C6FE1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заказа'!$A$18:$AF$559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заказа'!$X$555:$X$555</definedName>
    <definedName name="GrossWeightTotalR">'Бланк заказа'!$Y$555:$Y$555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заказа'!$X$556:$X$556</definedName>
    <definedName name="PalletQtyTotalR">'Бланк заказа'!$Y$556:$Y$556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заказа'!$B$39:$B$39</definedName>
    <definedName name="ProductId100">'Бланк заказа'!$B$205:$B$205</definedName>
    <definedName name="ProductId101">'Бланк заказа'!$B$206:$B$206</definedName>
    <definedName name="ProductId102">'Бланк заказа'!$B$211:$B$211</definedName>
    <definedName name="ProductId103">'Бланк заказа'!$B$215:$B$215</definedName>
    <definedName name="ProductId104">'Бланк заказа'!$B$216:$B$216</definedName>
    <definedName name="ProductId105">'Бланк заказа'!$B$217:$B$217</definedName>
    <definedName name="ProductId106">'Бланк заказа'!$B$218:$B$218</definedName>
    <definedName name="ProductId107">'Бланк заказа'!$B$219:$B$219</definedName>
    <definedName name="ProductId108">'Бланк заказа'!$B$220:$B$220</definedName>
    <definedName name="ProductId109">'Бланк заказа'!$B$221:$B$221</definedName>
    <definedName name="ProductId11">'Бланк заказа'!$B$40:$B$40</definedName>
    <definedName name="ProductId110">'Бланк заказа'!$B$222:$B$222</definedName>
    <definedName name="ProductId111">'Бланк заказа'!$B$223:$B$223</definedName>
    <definedName name="ProductId112">'Бланк заказа'!$B$224:$B$224</definedName>
    <definedName name="ProductId113">'Бланк заказа'!$B$225:$B$225</definedName>
    <definedName name="ProductId114">'Бланк заказа'!$B$226:$B$226</definedName>
    <definedName name="ProductId115">'Бланк заказа'!$B$227:$B$227</definedName>
    <definedName name="ProductId116">'Бланк заказа'!$B$228:$B$228</definedName>
    <definedName name="ProductId117">'Бланк заказа'!$B$229:$B$229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заказа'!$B$236:$B$236</definedName>
    <definedName name="ProductId122">'Бланк заказа'!$B$237:$B$237</definedName>
    <definedName name="ProductId123">'Бланк заказа'!$B$238:$B$238</definedName>
    <definedName name="ProductId124">'Бланк заказа'!$B$239:$B$239</definedName>
    <definedName name="ProductId125">'Бланк заказа'!$B$240:$B$240</definedName>
    <definedName name="ProductId126">'Бланк заказа'!$B$241:$B$241</definedName>
    <definedName name="ProductId127">'Бланк заказа'!$B$245:$B$245</definedName>
    <definedName name="ProductId128">'Бланк заказа'!$B$246:$B$246</definedName>
    <definedName name="ProductId129">'Бланк заказа'!$B$247:$B$247</definedName>
    <definedName name="ProductId13">'Бланк заказа'!$B$47:$B$47</definedName>
    <definedName name="ProductId130">'Бланк заказа'!$B$251:$B$251</definedName>
    <definedName name="ProductId131">'Бланк заказа'!$B$256:$B$256</definedName>
    <definedName name="ProductId132">'Бланк заказа'!$B$257:$B$257</definedName>
    <definedName name="ProductId133">'Бланк заказа'!$B$261:$B$261</definedName>
    <definedName name="ProductId134">'Бланк заказа'!$B$262:$B$262</definedName>
    <definedName name="ProductId135">'Бланк заказа'!$B$266:$B$266</definedName>
    <definedName name="ProductId136">'Бланк заказа'!$B$267:$B$267</definedName>
    <definedName name="ProductId137">'Бланк заказа'!$B$268:$B$268</definedName>
    <definedName name="ProductId138">'Бланк заказа'!$B$269:$B$269</definedName>
    <definedName name="ProductId139">'Бланк заказа'!$B$270:$B$270</definedName>
    <definedName name="ProductId14">'Бланк заказа'!$B$48:$B$48</definedName>
    <definedName name="ProductId140">'Бланк заказа'!$B$271:$B$271</definedName>
    <definedName name="ProductId141">'Бланк заказа'!$B$272:$B$272</definedName>
    <definedName name="ProductId142">'Бланк заказа'!$B$273:$B$273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заказа'!$B$280:$B$280</definedName>
    <definedName name="ProductId147">'Бланк заказа'!$B$281:$B$281</definedName>
    <definedName name="ProductId148">'Бланк заказа'!$B$282:$B$282</definedName>
    <definedName name="ProductId149">'Бланк заказа'!$B$283:$B$283</definedName>
    <definedName name="ProductId15">'Бланк заказа'!$B$49:$B$49</definedName>
    <definedName name="ProductId150">'Бланк заказа'!$B$284:$B$284</definedName>
    <definedName name="ProductId151">'Бланк заказа'!$B$285:$B$285</definedName>
    <definedName name="ProductId152">'Бланк заказа'!$B$286:$B$286</definedName>
    <definedName name="ProductId153">'Бланк заказа'!$B$287:$B$287</definedName>
    <definedName name="ProductId154">'Бланк заказа'!$B$288:$B$288</definedName>
    <definedName name="ProductId155">'Бланк заказа'!$B$292:$B$292</definedName>
    <definedName name="ProductId156">'Бланк заказа'!$B$293:$B$293</definedName>
    <definedName name="ProductId157">'Бланк заказа'!$B$298:$B$298</definedName>
    <definedName name="ProductId158">'Бланк заказа'!$B$299:$B$299</definedName>
    <definedName name="ProductId159">'Бланк заказа'!$B$300:$B$300</definedName>
    <definedName name="ProductId16">'Бланк заказа'!$B$50:$B$50</definedName>
    <definedName name="ProductId160">'Бланк заказа'!$B$301:$B$301</definedName>
    <definedName name="ProductId161">'Бланк заказа'!$B$302:$B$302</definedName>
    <definedName name="ProductId162">'Бланк заказа'!$B$303:$B$303</definedName>
    <definedName name="ProductId163">'Бланк заказа'!$B$304:$B$304</definedName>
    <definedName name="ProductId164">'Бланк заказа'!$B$308:$B$308</definedName>
    <definedName name="ProductId165">'Бланк заказа'!$B$312:$B$312</definedName>
    <definedName name="ProductId166">'Бланк заказа'!$B$316:$B$316</definedName>
    <definedName name="ProductId167">'Бланк заказа'!$B$321:$B$321</definedName>
    <definedName name="ProductId168">'Бланк заказа'!$B$322:$B$322</definedName>
    <definedName name="ProductId169">'Бланк заказа'!$B$323:$B$323</definedName>
    <definedName name="ProductId17">'Бланк заказа'!$B$55:$B$55</definedName>
    <definedName name="ProductId170">'Бланк заказа'!$B$324:$B$324</definedName>
    <definedName name="ProductId171">'Бланк заказа'!$B$325:$B$325</definedName>
    <definedName name="ProductId172">'Бланк заказа'!$B$326:$B$326</definedName>
    <definedName name="ProductId173">'Бланк заказа'!$B$331:$B$331</definedName>
    <definedName name="ProductId174">'Бланк заказа'!$B$332:$B$332</definedName>
    <definedName name="ProductId175">'Бланк заказа'!$B$333:$B$333</definedName>
    <definedName name="ProductId176">'Бланк заказа'!$B$338:$B$338</definedName>
    <definedName name="ProductId177">'Бланк заказа'!$B$339:$B$339</definedName>
    <definedName name="ProductId178">'Бланк заказа'!$B$340:$B$340</definedName>
    <definedName name="ProductId179">'Бланк заказа'!$B$341:$B$341</definedName>
    <definedName name="ProductId18">'Бланк заказа'!$B$56:$B$56</definedName>
    <definedName name="ProductId180">'Бланк заказа'!$B$342:$B$342</definedName>
    <definedName name="ProductId181">'Бланк заказа'!$B$346:$B$346</definedName>
    <definedName name="ProductId182">'Бланк заказа'!$B$347:$B$347</definedName>
    <definedName name="ProductId183">'Бланк заказа'!$B$352:$B$352</definedName>
    <definedName name="ProductId184">'Бланк заказа'!$B$353:$B$353</definedName>
    <definedName name="ProductId185">'Бланк заказа'!$B$354:$B$354</definedName>
    <definedName name="ProductId186">'Бланк заказа'!$B$359:$B$359</definedName>
    <definedName name="ProductId187">'Бланк заказа'!$B$360:$B$360</definedName>
    <definedName name="ProductId188">'Бланк заказа'!$B$361:$B$361</definedName>
    <definedName name="ProductId189">'Бланк заказа'!$B$362:$B$362</definedName>
    <definedName name="ProductId19">'Бланк заказа'!$B$57:$B$57</definedName>
    <definedName name="ProductId190">'Бланк заказа'!$B$363:$B$363</definedName>
    <definedName name="ProductId191">'Бланк заказа'!$B$364:$B$364</definedName>
    <definedName name="ProductId192">'Бланк заказа'!$B$365:$B$365</definedName>
    <definedName name="ProductId193">'Бланк заказа'!$B$369:$B$369</definedName>
    <definedName name="ProductId194">'Бланк заказа'!$B$370:$B$370</definedName>
    <definedName name="ProductId195">'Бланк заказа'!$B$371:$B$371</definedName>
    <definedName name="ProductId196">'Бланк заказа'!$B$372:$B$372</definedName>
    <definedName name="ProductId197">'Бланк заказа'!$B$373:$B$373</definedName>
    <definedName name="ProductId198">'Бланк заказа'!$B$374:$B$374</definedName>
    <definedName name="ProductId199">'Бланк заказа'!$B$375:$B$375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заказа'!$B$382:$B$382</definedName>
    <definedName name="ProductId204">'Бланк заказа'!$B$386:$B$386</definedName>
    <definedName name="ProductId205">'Бланк заказа'!$B$387:$B$387</definedName>
    <definedName name="ProductId206">'Бланк заказа'!$B$388:$B$388</definedName>
    <definedName name="ProductId207">'Бланк заказа'!$B$392:$B$392</definedName>
    <definedName name="ProductId208">'Бланк заказа'!$B$393:$B$393</definedName>
    <definedName name="ProductId209">'Бланк заказа'!$B$394:$B$394</definedName>
    <definedName name="ProductId21">'Бланк заказа'!$B$59:$B$59</definedName>
    <definedName name="ProductId210">'Бланк заказа'!$B$395:$B$395</definedName>
    <definedName name="ProductId211">'Бланк заказа'!$B$399:$B$399</definedName>
    <definedName name="ProductId212">'Бланк заказа'!$B$400:$B$400</definedName>
    <definedName name="ProductId213">'Бланк заказа'!$B$401:$B$401</definedName>
    <definedName name="ProductId214">'Бланк заказа'!$B$405:$B$405</definedName>
    <definedName name="ProductId215">'Бланк заказа'!$B$406:$B$406</definedName>
    <definedName name="ProductId216">'Бланк заказа'!$B$407:$B$407</definedName>
    <definedName name="ProductId217">'Бланк заказа'!$B$412:$B$412</definedName>
    <definedName name="ProductId218">'Бланк заказа'!$B$413:$B$413</definedName>
    <definedName name="ProductId219">'Бланк заказа'!$B$418:$B$418</definedName>
    <definedName name="ProductId22">'Бланк заказа'!$B$60:$B$60</definedName>
    <definedName name="ProductId220">'Бланк заказа'!$B$419:$B$419</definedName>
    <definedName name="ProductId221">'Бланк заказа'!$B$420:$B$420</definedName>
    <definedName name="ProductId222">'Бланк заказа'!$B$426:$B$426</definedName>
    <definedName name="ProductId223">'Бланк заказа'!$B$427:$B$427</definedName>
    <definedName name="ProductId224">'Бланк заказа'!$B$428:$B$428</definedName>
    <definedName name="ProductId225">'Бланк заказа'!$B$429:$B$429</definedName>
    <definedName name="ProductId226">'Бланк заказа'!$B$430:$B$430</definedName>
    <definedName name="ProductId227">'Бланк заказа'!$B$431:$B$431</definedName>
    <definedName name="ProductId228">'Бланк заказа'!$B$432:$B$432</definedName>
    <definedName name="ProductId229">'Бланк заказа'!$B$433:$B$433</definedName>
    <definedName name="ProductId23">'Бланк заказа'!$B$61:$B$61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заказа'!$B$443:$B$443</definedName>
    <definedName name="ProductId234">'Бланк заказа'!$B$444:$B$444</definedName>
    <definedName name="ProductId235">'Бланк заказа'!$B$445:$B$445</definedName>
    <definedName name="ProductId236">'Бланк заказа'!$B$449:$B$449</definedName>
    <definedName name="ProductId237">'Бланк заказа'!$B$450:$B$450</definedName>
    <definedName name="ProductId238">'Бланк заказа'!$B$455:$B$455</definedName>
    <definedName name="ProductId239">'Бланк заказа'!$B$456:$B$456</definedName>
    <definedName name="ProductId24">'Бланк заказа'!$B$65:$B$65</definedName>
    <definedName name="ProductId240">'Бланк заказа'!$B$460:$B$460</definedName>
    <definedName name="ProductId241">'Бланк заказа'!$B$464:$B$464</definedName>
    <definedName name="ProductId242">'Бланк заказа'!$B$465:$B$465</definedName>
    <definedName name="ProductId243">'Бланк заказа'!$B$466:$B$466</definedName>
    <definedName name="ProductId244">'Бланк заказа'!$B$472:$B$472</definedName>
    <definedName name="ProductId245">'Бланк заказа'!$B$473:$B$473</definedName>
    <definedName name="ProductId246">'Бланк заказа'!$B$474:$B$474</definedName>
    <definedName name="ProductId247">'Бланк заказа'!$B$475:$B$475</definedName>
    <definedName name="ProductId248">'Бланк заказа'!$B$476:$B$476</definedName>
    <definedName name="ProductId249">'Бланк заказа'!$B$477:$B$477</definedName>
    <definedName name="ProductId25">'Бланк заказа'!$B$66:$B$66</definedName>
    <definedName name="ProductId250">'Бланк заказа'!$B$481:$B$481</definedName>
    <definedName name="ProductId251">'Бланк заказа'!$B$482:$B$482</definedName>
    <definedName name="ProductId252">'Бланк заказа'!$B$487:$B$487</definedName>
    <definedName name="ProductId253">'Бланк заказа'!$B$491:$B$491</definedName>
    <definedName name="ProductId254">'Бланк заказа'!$B$492:$B$492</definedName>
    <definedName name="ProductId255">'Бланк заказа'!$B$493:$B$493</definedName>
    <definedName name="ProductId256">'Бланк заказа'!$B$499:$B$499</definedName>
    <definedName name="ProductId257">'Бланк заказа'!$B$500:$B$500</definedName>
    <definedName name="ProductId258">'Бланк заказа'!$B$501:$B$501</definedName>
    <definedName name="ProductId259">'Бланк заказа'!$B$502:$B$502</definedName>
    <definedName name="ProductId26">'Бланк заказа'!$B$67:$B$67</definedName>
    <definedName name="ProductId260">'Бланк заказа'!$B$503:$B$503</definedName>
    <definedName name="ProductId261">'Бланк заказа'!$B$504:$B$504</definedName>
    <definedName name="ProductId262">'Бланк заказа'!$B$505:$B$505</definedName>
    <definedName name="ProductId263">'Бланк заказа'!$B$506:$B$506</definedName>
    <definedName name="ProductId264">'Бланк заказа'!$B$507:$B$507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заказа'!$B$517:$B$517</definedName>
    <definedName name="ProductId269">'Бланк заказа'!$B$518:$B$518</definedName>
    <definedName name="ProductId27">'Бланк заказа'!$B$68:$B$68</definedName>
    <definedName name="ProductId270">'Бланк заказа'!$B$519:$B$519</definedName>
    <definedName name="ProductId271">'Бланк заказа'!$B$520:$B$520</definedName>
    <definedName name="ProductId272">'Бланк заказа'!$B$521:$B$521</definedName>
    <definedName name="ProductId273">'Бланк заказа'!$B$522:$B$522</definedName>
    <definedName name="ProductId274">'Бланк заказа'!$B$523:$B$523</definedName>
    <definedName name="ProductId275">'Бланк заказа'!$B$529:$B$529</definedName>
    <definedName name="ProductId276">'Бланк заказа'!$B$533:$B$533</definedName>
    <definedName name="ProductId277">'Бланк заказа'!$B$537:$B$537</definedName>
    <definedName name="ProductId278">'Бланк заказа'!$B$541:$B$541</definedName>
    <definedName name="ProductId279">'Бланк заказа'!$B$545:$B$545</definedName>
    <definedName name="ProductId28">'Бланк заказа'!$B$72:$B$72</definedName>
    <definedName name="ProductId280">'Бланк заказа'!$B$546:$B$546</definedName>
    <definedName name="ProductId281">'Бланк заказа'!$B$551:$B$551</definedName>
    <definedName name="ProductId29">'Бланк заказа'!$B$73:$B$73</definedName>
    <definedName name="ProductId3">'Бланк заказа'!$B$27:$B$27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заказа'!$B$112:$B$112</definedName>
    <definedName name="ProductId52">'Бланк заказа'!$B$113:$B$113</definedName>
    <definedName name="ProductId53">'Бланк заказа'!$B$114:$B$114</definedName>
    <definedName name="ProductId54">'Бланк заказа'!$B$115:$B$115</definedName>
    <definedName name="ProductId55">'Бланк заказа'!$B$116:$B$116</definedName>
    <definedName name="ProductId56">'Бланк заказа'!$B$120:$B$120</definedName>
    <definedName name="ProductId57">'Бланк заказа'!$B$121:$B$121</definedName>
    <definedName name="ProductId58">'Бланк заказа'!$B$122:$B$122</definedName>
    <definedName name="ProductId59">'Бланк заказа'!$B$123:$B$123</definedName>
    <definedName name="ProductId6">'Бланк заказа'!$B$30:$B$30</definedName>
    <definedName name="ProductId60">'Бланк заказа'!$B$127:$B$127</definedName>
    <definedName name="ProductId61">'Бланк заказа'!$B$132:$B$132</definedName>
    <definedName name="ProductId62">'Бланк заказа'!$B$133:$B$133</definedName>
    <definedName name="ProductId63">'Бланк заказа'!$B$137:$B$137</definedName>
    <definedName name="ProductId64">'Бланк заказа'!$B$138:$B$138</definedName>
    <definedName name="ProductId65">'Бланк заказа'!$B$142:$B$142</definedName>
    <definedName name="ProductId66">'Бланк заказа'!$B$143:$B$143</definedName>
    <definedName name="ProductId67">'Бланк заказа'!$B$148:$B$148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заказа'!$B$157:$B$157</definedName>
    <definedName name="ProductId74">'Бланк заказа'!$B$162:$B$162</definedName>
    <definedName name="ProductId75">'Бланк заказа'!$B$163:$B$163</definedName>
    <definedName name="ProductId76">'Бланк заказа'!$B$164:$B$164</definedName>
    <definedName name="ProductId77">'Бланк заказа'!$B$168:$B$168</definedName>
    <definedName name="ProductId78">'Бланк заказа'!$B$169:$B$169</definedName>
    <definedName name="ProductId79">'Бланк заказа'!$B$173:$B$173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заказа'!$B$188:$B$188</definedName>
    <definedName name="ProductId92">'Бланк заказа'!$B$189:$B$189</definedName>
    <definedName name="ProductId93">'Бланк заказа'!$B$190:$B$190</definedName>
    <definedName name="ProductId94">'Бланк заказа'!$B$194:$B$194</definedName>
    <definedName name="ProductId95">'Бланк заказа'!$B$200:$B$200</definedName>
    <definedName name="ProductId96">'Бланк заказа'!$B$201:$B$201</definedName>
    <definedName name="ProductId97">'Бланк заказа'!$B$202:$B$202</definedName>
    <definedName name="ProductId98">'Бланк заказа'!$B$203:$B$203</definedName>
    <definedName name="ProductId99">'Бланк заказа'!$B$204:$B$204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заказа'!$X$205:$X$205</definedName>
    <definedName name="SalesQty101">'Бланк заказа'!$X$206:$X$206</definedName>
    <definedName name="SalesQty102">'Бланк заказа'!$X$211:$X$211</definedName>
    <definedName name="SalesQty103">'Бланк заказа'!$X$215:$X$215</definedName>
    <definedName name="SalesQty104">'Бланк заказа'!$X$216:$X$216</definedName>
    <definedName name="SalesQty105">'Бланк заказа'!$X$217:$X$217</definedName>
    <definedName name="SalesQty106">'Бланк заказа'!$X$218:$X$218</definedName>
    <definedName name="SalesQty107">'Бланк заказа'!$X$219:$X$219</definedName>
    <definedName name="SalesQty108">'Бланк заказа'!$X$220:$X$220</definedName>
    <definedName name="SalesQty109">'Бланк заказа'!$X$221:$X$221</definedName>
    <definedName name="SalesQty11">'Бланк заказа'!$X$40:$X$40</definedName>
    <definedName name="SalesQty110">'Бланк заказа'!$X$222:$X$222</definedName>
    <definedName name="SalesQty111">'Бланк заказа'!$X$223:$X$223</definedName>
    <definedName name="SalesQty112">'Бланк заказа'!$X$224:$X$224</definedName>
    <definedName name="SalesQty113">'Бланк заказа'!$X$225:$X$225</definedName>
    <definedName name="SalesQty114">'Бланк заказа'!$X$226:$X$226</definedName>
    <definedName name="SalesQty115">'Бланк заказа'!$X$227:$X$227</definedName>
    <definedName name="SalesQty116">'Бланк заказа'!$X$228:$X$228</definedName>
    <definedName name="SalesQty117">'Бланк заказа'!$X$229:$X$229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заказа'!$X$236:$X$236</definedName>
    <definedName name="SalesQty122">'Бланк заказа'!$X$237:$X$237</definedName>
    <definedName name="SalesQty123">'Бланк заказа'!$X$238:$X$238</definedName>
    <definedName name="SalesQty124">'Бланк заказа'!$X$239:$X$239</definedName>
    <definedName name="SalesQty125">'Бланк заказа'!$X$240:$X$240</definedName>
    <definedName name="SalesQty126">'Бланк заказа'!$X$241:$X$241</definedName>
    <definedName name="SalesQty127">'Бланк заказа'!$X$245:$X$245</definedName>
    <definedName name="SalesQty128">'Бланк заказа'!$X$246:$X$246</definedName>
    <definedName name="SalesQty129">'Бланк заказа'!$X$247:$X$247</definedName>
    <definedName name="SalesQty13">'Бланк заказа'!$X$47:$X$47</definedName>
    <definedName name="SalesQty130">'Бланк заказа'!$X$251:$X$251</definedName>
    <definedName name="SalesQty131">'Бланк заказа'!$X$256:$X$256</definedName>
    <definedName name="SalesQty132">'Бланк заказа'!$X$257:$X$257</definedName>
    <definedName name="SalesQty133">'Бланк заказа'!$X$261:$X$261</definedName>
    <definedName name="SalesQty134">'Бланк заказа'!$X$262:$X$262</definedName>
    <definedName name="SalesQty135">'Бланк заказа'!$X$266:$X$266</definedName>
    <definedName name="SalesQty136">'Бланк заказа'!$X$267:$X$267</definedName>
    <definedName name="SalesQty137">'Бланк заказа'!$X$268:$X$268</definedName>
    <definedName name="SalesQty138">'Бланк заказа'!$X$269:$X$269</definedName>
    <definedName name="SalesQty139">'Бланк заказа'!$X$270:$X$270</definedName>
    <definedName name="SalesQty14">'Бланк заказа'!$X$48:$X$48</definedName>
    <definedName name="SalesQty140">'Бланк заказа'!$X$271:$X$271</definedName>
    <definedName name="SalesQty141">'Бланк заказа'!$X$272:$X$272</definedName>
    <definedName name="SalesQty142">'Бланк заказа'!$X$273:$X$273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заказа'!$X$280:$X$280</definedName>
    <definedName name="SalesQty147">'Бланк заказа'!$X$281:$X$281</definedName>
    <definedName name="SalesQty148">'Бланк заказа'!$X$282:$X$282</definedName>
    <definedName name="SalesQty149">'Бланк заказа'!$X$283:$X$283</definedName>
    <definedName name="SalesQty15">'Бланк заказа'!$X$49:$X$49</definedName>
    <definedName name="SalesQty150">'Бланк заказа'!$X$284:$X$284</definedName>
    <definedName name="SalesQty151">'Бланк заказа'!$X$285:$X$285</definedName>
    <definedName name="SalesQty152">'Бланк заказа'!$X$286:$X$286</definedName>
    <definedName name="SalesQty153">'Бланк заказа'!$X$287:$X$287</definedName>
    <definedName name="SalesQty154">'Бланк заказа'!$X$288:$X$288</definedName>
    <definedName name="SalesQty155">'Бланк заказа'!$X$292:$X$292</definedName>
    <definedName name="SalesQty156">'Бланк заказа'!$X$293:$X$293</definedName>
    <definedName name="SalesQty157">'Бланк заказа'!$X$298:$X$298</definedName>
    <definedName name="SalesQty158">'Бланк заказа'!$X$299:$X$299</definedName>
    <definedName name="SalesQty159">'Бланк заказа'!$X$300:$X$300</definedName>
    <definedName name="SalesQty16">'Бланк заказа'!$X$50:$X$50</definedName>
    <definedName name="SalesQty160">'Бланк заказа'!$X$301:$X$301</definedName>
    <definedName name="SalesQty161">'Бланк заказа'!$X$302:$X$302</definedName>
    <definedName name="SalesQty162">'Бланк заказа'!$X$303:$X$303</definedName>
    <definedName name="SalesQty163">'Бланк заказа'!$X$304:$X$304</definedName>
    <definedName name="SalesQty164">'Бланк заказа'!$X$308:$X$308</definedName>
    <definedName name="SalesQty165">'Бланк заказа'!$X$312:$X$312</definedName>
    <definedName name="SalesQty166">'Бланк заказа'!$X$316:$X$316</definedName>
    <definedName name="SalesQty167">'Бланк заказа'!$X$321:$X$321</definedName>
    <definedName name="SalesQty168">'Бланк заказа'!$X$322:$X$322</definedName>
    <definedName name="SalesQty169">'Бланк заказа'!$X$323:$X$323</definedName>
    <definedName name="SalesQty17">'Бланк заказа'!$X$55:$X$55</definedName>
    <definedName name="SalesQty170">'Бланк заказа'!$X$324:$X$324</definedName>
    <definedName name="SalesQty171">'Бланк заказа'!$X$325:$X$325</definedName>
    <definedName name="SalesQty172">'Бланк заказа'!$X$326:$X$326</definedName>
    <definedName name="SalesQty173">'Бланк заказа'!$X$331:$X$331</definedName>
    <definedName name="SalesQty174">'Бланк заказа'!$X$332:$X$332</definedName>
    <definedName name="SalesQty175">'Бланк заказа'!$X$333:$X$333</definedName>
    <definedName name="SalesQty176">'Бланк заказа'!$X$338:$X$338</definedName>
    <definedName name="SalesQty177">'Бланк заказа'!$X$339:$X$339</definedName>
    <definedName name="SalesQty178">'Бланк заказа'!$X$340:$X$340</definedName>
    <definedName name="SalesQty179">'Бланк заказа'!$X$341:$X$341</definedName>
    <definedName name="SalesQty18">'Бланк заказа'!$X$56:$X$56</definedName>
    <definedName name="SalesQty180">'Бланк заказа'!$X$342:$X$342</definedName>
    <definedName name="SalesQty181">'Бланк заказа'!$X$346:$X$346</definedName>
    <definedName name="SalesQty182">'Бланк заказа'!$X$347:$X$347</definedName>
    <definedName name="SalesQty183">'Бланк заказа'!$X$352:$X$352</definedName>
    <definedName name="SalesQty184">'Бланк заказа'!$X$353:$X$353</definedName>
    <definedName name="SalesQty185">'Бланк заказа'!$X$354:$X$354</definedName>
    <definedName name="SalesQty186">'Бланк заказа'!$X$359:$X$359</definedName>
    <definedName name="SalesQty187">'Бланк заказа'!$X$360:$X$360</definedName>
    <definedName name="SalesQty188">'Бланк заказа'!$X$361:$X$361</definedName>
    <definedName name="SalesQty189">'Бланк заказа'!$X$362:$X$362</definedName>
    <definedName name="SalesQty19">'Бланк заказа'!$X$57:$X$57</definedName>
    <definedName name="SalesQty190">'Бланк заказа'!$X$363:$X$363</definedName>
    <definedName name="SalesQty191">'Бланк заказа'!$X$364:$X$364</definedName>
    <definedName name="SalesQty192">'Бланк заказа'!$X$365:$X$365</definedName>
    <definedName name="SalesQty193">'Бланк заказа'!$X$369:$X$369</definedName>
    <definedName name="SalesQty194">'Бланк заказа'!$X$370:$X$370</definedName>
    <definedName name="SalesQty195">'Бланк заказа'!$X$371:$X$371</definedName>
    <definedName name="SalesQty196">'Бланк заказа'!$X$372:$X$372</definedName>
    <definedName name="SalesQty197">'Бланк заказа'!$X$373:$X$373</definedName>
    <definedName name="SalesQty198">'Бланк заказа'!$X$374:$X$374</definedName>
    <definedName name="SalesQty199">'Бланк заказа'!$X$375:$X$375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заказа'!$X$382:$X$382</definedName>
    <definedName name="SalesQty204">'Бланк заказа'!$X$386:$X$386</definedName>
    <definedName name="SalesQty205">'Бланк заказа'!$X$387:$X$387</definedName>
    <definedName name="SalesQty206">'Бланк заказа'!$X$388:$X$388</definedName>
    <definedName name="SalesQty207">'Бланк заказа'!$X$392:$X$392</definedName>
    <definedName name="SalesQty208">'Бланк заказа'!$X$393:$X$393</definedName>
    <definedName name="SalesQty209">'Бланк заказа'!$X$394:$X$394</definedName>
    <definedName name="SalesQty21">'Бланк заказа'!$X$59:$X$59</definedName>
    <definedName name="SalesQty210">'Бланк заказа'!$X$395:$X$395</definedName>
    <definedName name="SalesQty211">'Бланк заказа'!$X$399:$X$399</definedName>
    <definedName name="SalesQty212">'Бланк заказа'!$X$400:$X$400</definedName>
    <definedName name="SalesQty213">'Бланк заказа'!$X$401:$X$401</definedName>
    <definedName name="SalesQty214">'Бланк заказа'!$X$405:$X$405</definedName>
    <definedName name="SalesQty215">'Бланк заказа'!$X$406:$X$406</definedName>
    <definedName name="SalesQty216">'Бланк заказа'!$X$407:$X$407</definedName>
    <definedName name="SalesQty217">'Бланк заказа'!$X$412:$X$412</definedName>
    <definedName name="SalesQty218">'Бланк заказа'!$X$413:$X$413</definedName>
    <definedName name="SalesQty219">'Бланк заказа'!$X$418:$X$418</definedName>
    <definedName name="SalesQty22">'Бланк заказа'!$X$60:$X$60</definedName>
    <definedName name="SalesQty220">'Бланк заказа'!$X$419:$X$419</definedName>
    <definedName name="SalesQty221">'Бланк заказа'!$X$420:$X$420</definedName>
    <definedName name="SalesQty222">'Бланк заказа'!$X$426:$X$426</definedName>
    <definedName name="SalesQty223">'Бланк заказа'!$X$427:$X$427</definedName>
    <definedName name="SalesQty224">'Бланк заказа'!$X$428:$X$428</definedName>
    <definedName name="SalesQty225">'Бланк заказа'!$X$429:$X$429</definedName>
    <definedName name="SalesQty226">'Бланк заказа'!$X$430:$X$430</definedName>
    <definedName name="SalesQty227">'Бланк заказа'!$X$431:$X$431</definedName>
    <definedName name="SalesQty228">'Бланк заказа'!$X$432:$X$432</definedName>
    <definedName name="SalesQty229">'Бланк заказа'!$X$433:$X$433</definedName>
    <definedName name="SalesQty23">'Бланк заказа'!$X$61:$X$61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заказа'!$X$443:$X$443</definedName>
    <definedName name="SalesQty234">'Бланк заказа'!$X$444:$X$444</definedName>
    <definedName name="SalesQty235">'Бланк заказа'!$X$445:$X$445</definedName>
    <definedName name="SalesQty236">'Бланк заказа'!$X$449:$X$449</definedName>
    <definedName name="SalesQty237">'Бланк заказа'!$X$450:$X$450</definedName>
    <definedName name="SalesQty238">'Бланк заказа'!$X$455:$X$455</definedName>
    <definedName name="SalesQty239">'Бланк заказа'!$X$456:$X$456</definedName>
    <definedName name="SalesQty24">'Бланк заказа'!$X$65:$X$65</definedName>
    <definedName name="SalesQty240">'Бланк заказа'!$X$460:$X$460</definedName>
    <definedName name="SalesQty241">'Бланк заказа'!$X$464:$X$464</definedName>
    <definedName name="SalesQty242">'Бланк заказа'!$X$465:$X$465</definedName>
    <definedName name="SalesQty243">'Бланк заказа'!$X$466:$X$466</definedName>
    <definedName name="SalesQty244">'Бланк заказа'!$X$472:$X$472</definedName>
    <definedName name="SalesQty245">'Бланк заказа'!$X$473:$X$473</definedName>
    <definedName name="SalesQty246">'Бланк заказа'!$X$474:$X$474</definedName>
    <definedName name="SalesQty247">'Бланк заказа'!$X$475:$X$475</definedName>
    <definedName name="SalesQty248">'Бланк заказа'!$X$476:$X$476</definedName>
    <definedName name="SalesQty249">'Бланк заказа'!$X$477:$X$477</definedName>
    <definedName name="SalesQty25">'Бланк заказа'!$X$66:$X$66</definedName>
    <definedName name="SalesQty250">'Бланк заказа'!$X$481:$X$481</definedName>
    <definedName name="SalesQty251">'Бланк заказа'!$X$482:$X$482</definedName>
    <definedName name="SalesQty252">'Бланк заказа'!$X$487:$X$487</definedName>
    <definedName name="SalesQty253">'Бланк заказа'!$X$491:$X$491</definedName>
    <definedName name="SalesQty254">'Бланк заказа'!$X$492:$X$492</definedName>
    <definedName name="SalesQty255">'Бланк заказа'!$X$493:$X$493</definedName>
    <definedName name="SalesQty256">'Бланк заказа'!$X$499:$X$499</definedName>
    <definedName name="SalesQty257">'Бланк заказа'!$X$500:$X$500</definedName>
    <definedName name="SalesQty258">'Бланк заказа'!$X$501:$X$501</definedName>
    <definedName name="SalesQty259">'Бланк заказа'!$X$502:$X$502</definedName>
    <definedName name="SalesQty26">'Бланк заказа'!$X$67:$X$67</definedName>
    <definedName name="SalesQty260">'Бланк заказа'!$X$503:$X$503</definedName>
    <definedName name="SalesQty261">'Бланк заказа'!$X$504:$X$504</definedName>
    <definedName name="SalesQty262">'Бланк заказа'!$X$505:$X$505</definedName>
    <definedName name="SalesQty263">'Бланк заказа'!$X$506:$X$506</definedName>
    <definedName name="SalesQty264">'Бланк заказа'!$X$507:$X$507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заказа'!$X$517:$X$517</definedName>
    <definedName name="SalesQty269">'Бланк заказа'!$X$518:$X$518</definedName>
    <definedName name="SalesQty27">'Бланк заказа'!$X$68:$X$68</definedName>
    <definedName name="SalesQty270">'Бланк заказа'!$X$519:$X$519</definedName>
    <definedName name="SalesQty271">'Бланк заказа'!$X$520:$X$520</definedName>
    <definedName name="SalesQty272">'Бланк заказа'!$X$521:$X$521</definedName>
    <definedName name="SalesQty273">'Бланк заказа'!$X$522:$X$522</definedName>
    <definedName name="SalesQty274">'Бланк заказа'!$X$523:$X$523</definedName>
    <definedName name="SalesQty275">'Бланк заказа'!$X$529:$X$529</definedName>
    <definedName name="SalesQty276">'Бланк заказа'!$X$533:$X$533</definedName>
    <definedName name="SalesQty277">'Бланк заказа'!$X$537:$X$537</definedName>
    <definedName name="SalesQty278">'Бланк заказа'!$X$541:$X$541</definedName>
    <definedName name="SalesQty279">'Бланк заказа'!$X$545:$X$545</definedName>
    <definedName name="SalesQty28">'Бланк заказа'!$X$72:$X$72</definedName>
    <definedName name="SalesQty280">'Бланк заказа'!$X$546:$X$546</definedName>
    <definedName name="SalesQty281">'Бланк заказа'!$X$551:$X$551</definedName>
    <definedName name="SalesQty29">'Бланк заказа'!$X$73:$X$73</definedName>
    <definedName name="SalesQty3">'Бланк заказа'!$X$27:$X$27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заказа'!$X$112:$X$112</definedName>
    <definedName name="SalesQty52">'Бланк заказа'!$X$113:$X$113</definedName>
    <definedName name="SalesQty53">'Бланк заказа'!$X$114:$X$114</definedName>
    <definedName name="SalesQty54">'Бланк заказа'!$X$115:$X$115</definedName>
    <definedName name="SalesQty55">'Бланк заказа'!$X$116:$X$116</definedName>
    <definedName name="SalesQty56">'Бланк заказа'!$X$120:$X$120</definedName>
    <definedName name="SalesQty57">'Бланк заказа'!$X$121:$X$121</definedName>
    <definedName name="SalesQty58">'Бланк заказа'!$X$122:$X$122</definedName>
    <definedName name="SalesQty59">'Бланк заказа'!$X$123:$X$123</definedName>
    <definedName name="SalesQty6">'Бланк заказа'!$X$30:$X$30</definedName>
    <definedName name="SalesQty60">'Бланк заказа'!$X$127:$X$127</definedName>
    <definedName name="SalesQty61">'Бланк заказа'!$X$132:$X$132</definedName>
    <definedName name="SalesQty62">'Бланк заказа'!$X$133:$X$133</definedName>
    <definedName name="SalesQty63">'Бланк заказа'!$X$137:$X$137</definedName>
    <definedName name="SalesQty64">'Бланк заказа'!$X$138:$X$138</definedName>
    <definedName name="SalesQty65">'Бланк заказа'!$X$142:$X$142</definedName>
    <definedName name="SalesQty66">'Бланк заказа'!$X$143:$X$143</definedName>
    <definedName name="SalesQty67">'Бланк заказа'!$X$148:$X$148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заказа'!$X$157:$X$157</definedName>
    <definedName name="SalesQty74">'Бланк заказа'!$X$162:$X$162</definedName>
    <definedName name="SalesQty75">'Бланк заказа'!$X$163:$X$163</definedName>
    <definedName name="SalesQty76">'Бланк заказа'!$X$164:$X$164</definedName>
    <definedName name="SalesQty77">'Бланк заказа'!$X$168:$X$168</definedName>
    <definedName name="SalesQty78">'Бланк заказа'!$X$169:$X$169</definedName>
    <definedName name="SalesQty79">'Бланк заказа'!$X$173:$X$173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заказа'!$X$188:$X$188</definedName>
    <definedName name="SalesQty92">'Бланк заказа'!$X$189:$X$189</definedName>
    <definedName name="SalesQty93">'Бланк заказа'!$X$190:$X$190</definedName>
    <definedName name="SalesQty94">'Бланк заказа'!$X$194:$X$194</definedName>
    <definedName name="SalesQty95">'Бланк заказа'!$X$200:$X$200</definedName>
    <definedName name="SalesQty96">'Бланк заказа'!$X$201:$X$201</definedName>
    <definedName name="SalesQty97">'Бланк заказа'!$X$202:$X$202</definedName>
    <definedName name="SalesQty98">'Бланк заказа'!$X$203:$X$203</definedName>
    <definedName name="SalesQty99">'Бланк заказа'!$X$204:$X$204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заказа'!$Y$205:$Y$205</definedName>
    <definedName name="SalesRoundBox101">'Бланк заказа'!$Y$206:$Y$206</definedName>
    <definedName name="SalesRoundBox102">'Бланк заказа'!$Y$211:$Y$211</definedName>
    <definedName name="SalesRoundBox103">'Бланк заказа'!$Y$215:$Y$215</definedName>
    <definedName name="SalesRoundBox104">'Бланк заказа'!$Y$216:$Y$216</definedName>
    <definedName name="SalesRoundBox105">'Бланк заказа'!$Y$217:$Y$217</definedName>
    <definedName name="SalesRoundBox106">'Бланк заказа'!$Y$218:$Y$218</definedName>
    <definedName name="SalesRoundBox107">'Бланк заказа'!$Y$219:$Y$219</definedName>
    <definedName name="SalesRoundBox108">'Бланк заказа'!$Y$220:$Y$220</definedName>
    <definedName name="SalesRoundBox109">'Бланк заказа'!$Y$221:$Y$221</definedName>
    <definedName name="SalesRoundBox11">'Бланк заказа'!$Y$40:$Y$40</definedName>
    <definedName name="SalesRoundBox110">'Бланк заказа'!$Y$222:$Y$222</definedName>
    <definedName name="SalesRoundBox111">'Бланк заказа'!$Y$223:$Y$223</definedName>
    <definedName name="SalesRoundBox112">'Бланк заказа'!$Y$224:$Y$224</definedName>
    <definedName name="SalesRoundBox113">'Бланк заказа'!$Y$225:$Y$225</definedName>
    <definedName name="SalesRoundBox114">'Бланк заказа'!$Y$226:$Y$226</definedName>
    <definedName name="SalesRoundBox115">'Бланк заказа'!$Y$227:$Y$227</definedName>
    <definedName name="SalesRoundBox116">'Бланк заказа'!$Y$228:$Y$228</definedName>
    <definedName name="SalesRoundBox117">'Бланк заказа'!$Y$229:$Y$229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заказа'!$Y$236:$Y$236</definedName>
    <definedName name="SalesRoundBox122">'Бланк заказа'!$Y$237:$Y$237</definedName>
    <definedName name="SalesRoundBox123">'Бланк заказа'!$Y$238:$Y$238</definedName>
    <definedName name="SalesRoundBox124">'Бланк заказа'!$Y$239:$Y$239</definedName>
    <definedName name="SalesRoundBox125">'Бланк заказа'!$Y$240:$Y$240</definedName>
    <definedName name="SalesRoundBox126">'Бланк заказа'!$Y$241:$Y$241</definedName>
    <definedName name="SalesRoundBox127">'Бланк заказа'!$Y$245:$Y$245</definedName>
    <definedName name="SalesRoundBox128">'Бланк заказа'!$Y$246:$Y$246</definedName>
    <definedName name="SalesRoundBox129">'Бланк заказа'!$Y$247:$Y$247</definedName>
    <definedName name="SalesRoundBox13">'Бланк заказа'!$Y$47:$Y$47</definedName>
    <definedName name="SalesRoundBox130">'Бланк заказа'!$Y$251:$Y$251</definedName>
    <definedName name="SalesRoundBox131">'Бланк заказа'!$Y$256:$Y$256</definedName>
    <definedName name="SalesRoundBox132">'Бланк заказа'!$Y$257:$Y$257</definedName>
    <definedName name="SalesRoundBox133">'Бланк заказа'!$Y$261:$Y$261</definedName>
    <definedName name="SalesRoundBox134">'Бланк заказа'!$Y$262:$Y$262</definedName>
    <definedName name="SalesRoundBox135">'Бланк заказа'!$Y$266:$Y$266</definedName>
    <definedName name="SalesRoundBox136">'Бланк заказа'!$Y$267:$Y$267</definedName>
    <definedName name="SalesRoundBox137">'Бланк заказа'!$Y$268:$Y$268</definedName>
    <definedName name="SalesRoundBox138">'Бланк заказа'!$Y$269:$Y$269</definedName>
    <definedName name="SalesRoundBox139">'Бланк заказа'!$Y$270:$Y$270</definedName>
    <definedName name="SalesRoundBox14">'Бланк заказа'!$Y$48:$Y$48</definedName>
    <definedName name="SalesRoundBox140">'Бланк заказа'!$Y$271:$Y$271</definedName>
    <definedName name="SalesRoundBox141">'Бланк заказа'!$Y$272:$Y$272</definedName>
    <definedName name="SalesRoundBox142">'Бланк заказа'!$Y$273:$Y$273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заказа'!$Y$280:$Y$280</definedName>
    <definedName name="SalesRoundBox147">'Бланк заказа'!$Y$281:$Y$281</definedName>
    <definedName name="SalesRoundBox148">'Бланк заказа'!$Y$282:$Y$282</definedName>
    <definedName name="SalesRoundBox149">'Бланк заказа'!$Y$283:$Y$283</definedName>
    <definedName name="SalesRoundBox15">'Бланк заказа'!$Y$49:$Y$49</definedName>
    <definedName name="SalesRoundBox150">'Бланк заказа'!$Y$284:$Y$284</definedName>
    <definedName name="SalesRoundBox151">'Бланк заказа'!$Y$285:$Y$285</definedName>
    <definedName name="SalesRoundBox152">'Бланк заказа'!$Y$286:$Y$286</definedName>
    <definedName name="SalesRoundBox153">'Бланк заказа'!$Y$287:$Y$287</definedName>
    <definedName name="SalesRoundBox154">'Бланк заказа'!$Y$288:$Y$288</definedName>
    <definedName name="SalesRoundBox155">'Бланк заказа'!$Y$292:$Y$292</definedName>
    <definedName name="SalesRoundBox156">'Бланк заказа'!$Y$293:$Y$293</definedName>
    <definedName name="SalesRoundBox157">'Бланк заказа'!$Y$298:$Y$298</definedName>
    <definedName name="SalesRoundBox158">'Бланк заказа'!$Y$299:$Y$299</definedName>
    <definedName name="SalesRoundBox159">'Бланк заказа'!$Y$300:$Y$300</definedName>
    <definedName name="SalesRoundBox16">'Бланк заказа'!$Y$50:$Y$50</definedName>
    <definedName name="SalesRoundBox160">'Бланк заказа'!$Y$301:$Y$301</definedName>
    <definedName name="SalesRoundBox161">'Бланк заказа'!$Y$302:$Y$302</definedName>
    <definedName name="SalesRoundBox162">'Бланк заказа'!$Y$303:$Y$303</definedName>
    <definedName name="SalesRoundBox163">'Бланк заказа'!$Y$304:$Y$304</definedName>
    <definedName name="SalesRoundBox164">'Бланк заказа'!$Y$308:$Y$308</definedName>
    <definedName name="SalesRoundBox165">'Бланк заказа'!$Y$312:$Y$312</definedName>
    <definedName name="SalesRoundBox166">'Бланк заказа'!$Y$316:$Y$316</definedName>
    <definedName name="SalesRoundBox167">'Бланк заказа'!$Y$321:$Y$321</definedName>
    <definedName name="SalesRoundBox168">'Бланк заказа'!$Y$322:$Y$322</definedName>
    <definedName name="SalesRoundBox169">'Бланк заказа'!$Y$323:$Y$323</definedName>
    <definedName name="SalesRoundBox17">'Бланк заказа'!$Y$55:$Y$55</definedName>
    <definedName name="SalesRoundBox170">'Бланк заказа'!$Y$324:$Y$324</definedName>
    <definedName name="SalesRoundBox171">'Бланк заказа'!$Y$325:$Y$325</definedName>
    <definedName name="SalesRoundBox172">'Бланк заказа'!$Y$326:$Y$326</definedName>
    <definedName name="SalesRoundBox173">'Бланк заказа'!$Y$331:$Y$331</definedName>
    <definedName name="SalesRoundBox174">'Бланк заказа'!$Y$332:$Y$332</definedName>
    <definedName name="SalesRoundBox175">'Бланк заказа'!$Y$333:$Y$333</definedName>
    <definedName name="SalesRoundBox176">'Бланк заказа'!$Y$338:$Y$338</definedName>
    <definedName name="SalesRoundBox177">'Бланк заказа'!$Y$339:$Y$339</definedName>
    <definedName name="SalesRoundBox178">'Бланк заказа'!$Y$340:$Y$340</definedName>
    <definedName name="SalesRoundBox179">'Бланк заказа'!$Y$341:$Y$341</definedName>
    <definedName name="SalesRoundBox18">'Бланк заказа'!$Y$56:$Y$56</definedName>
    <definedName name="SalesRoundBox180">'Бланк заказа'!$Y$342:$Y$342</definedName>
    <definedName name="SalesRoundBox181">'Бланк заказа'!$Y$346:$Y$346</definedName>
    <definedName name="SalesRoundBox182">'Бланк заказа'!$Y$347:$Y$347</definedName>
    <definedName name="SalesRoundBox183">'Бланк заказа'!$Y$352:$Y$352</definedName>
    <definedName name="SalesRoundBox184">'Бланк заказа'!$Y$353:$Y$353</definedName>
    <definedName name="SalesRoundBox185">'Бланк заказа'!$Y$354:$Y$354</definedName>
    <definedName name="SalesRoundBox186">'Бланк заказа'!$Y$359:$Y$359</definedName>
    <definedName name="SalesRoundBox187">'Бланк заказа'!$Y$360:$Y$360</definedName>
    <definedName name="SalesRoundBox188">'Бланк заказа'!$Y$361:$Y$361</definedName>
    <definedName name="SalesRoundBox189">'Бланк заказа'!$Y$362:$Y$362</definedName>
    <definedName name="SalesRoundBox19">'Бланк заказа'!$Y$57:$Y$57</definedName>
    <definedName name="SalesRoundBox190">'Бланк заказа'!$Y$363:$Y$363</definedName>
    <definedName name="SalesRoundBox191">'Бланк заказа'!$Y$364:$Y$364</definedName>
    <definedName name="SalesRoundBox192">'Бланк заказа'!$Y$365:$Y$365</definedName>
    <definedName name="SalesRoundBox193">'Бланк заказа'!$Y$369:$Y$369</definedName>
    <definedName name="SalesRoundBox194">'Бланк заказа'!$Y$370:$Y$370</definedName>
    <definedName name="SalesRoundBox195">'Бланк заказа'!$Y$371:$Y$371</definedName>
    <definedName name="SalesRoundBox196">'Бланк заказа'!$Y$372:$Y$372</definedName>
    <definedName name="SalesRoundBox197">'Бланк заказа'!$Y$373:$Y$373</definedName>
    <definedName name="SalesRoundBox198">'Бланк заказа'!$Y$374:$Y$374</definedName>
    <definedName name="SalesRoundBox199">'Бланк заказа'!$Y$375:$Y$375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заказа'!$Y$382:$Y$382</definedName>
    <definedName name="SalesRoundBox204">'Бланк заказа'!$Y$386:$Y$386</definedName>
    <definedName name="SalesRoundBox205">'Бланк заказа'!$Y$387:$Y$387</definedName>
    <definedName name="SalesRoundBox206">'Бланк заказа'!$Y$388:$Y$388</definedName>
    <definedName name="SalesRoundBox207">'Бланк заказа'!$Y$392:$Y$392</definedName>
    <definedName name="SalesRoundBox208">'Бланк заказа'!$Y$393:$Y$393</definedName>
    <definedName name="SalesRoundBox209">'Бланк заказа'!$Y$394:$Y$394</definedName>
    <definedName name="SalesRoundBox21">'Бланк заказа'!$Y$59:$Y$59</definedName>
    <definedName name="SalesRoundBox210">'Бланк заказа'!$Y$395:$Y$395</definedName>
    <definedName name="SalesRoundBox211">'Бланк заказа'!$Y$399:$Y$399</definedName>
    <definedName name="SalesRoundBox212">'Бланк заказа'!$Y$400:$Y$400</definedName>
    <definedName name="SalesRoundBox213">'Бланк заказа'!$Y$401:$Y$401</definedName>
    <definedName name="SalesRoundBox214">'Бланк заказа'!$Y$405:$Y$405</definedName>
    <definedName name="SalesRoundBox215">'Бланк заказа'!$Y$406:$Y$406</definedName>
    <definedName name="SalesRoundBox216">'Бланк заказа'!$Y$407:$Y$407</definedName>
    <definedName name="SalesRoundBox217">'Бланк заказа'!$Y$412:$Y$412</definedName>
    <definedName name="SalesRoundBox218">'Бланк заказа'!$Y$413:$Y$413</definedName>
    <definedName name="SalesRoundBox219">'Бланк заказа'!$Y$418:$Y$418</definedName>
    <definedName name="SalesRoundBox22">'Бланк заказа'!$Y$60:$Y$60</definedName>
    <definedName name="SalesRoundBox220">'Бланк заказа'!$Y$419:$Y$419</definedName>
    <definedName name="SalesRoundBox221">'Бланк заказа'!$Y$420:$Y$420</definedName>
    <definedName name="SalesRoundBox222">'Бланк заказа'!$Y$426:$Y$426</definedName>
    <definedName name="SalesRoundBox223">'Бланк заказа'!$Y$427:$Y$427</definedName>
    <definedName name="SalesRoundBox224">'Бланк заказа'!$Y$428:$Y$428</definedName>
    <definedName name="SalesRoundBox225">'Бланк заказа'!$Y$429:$Y$429</definedName>
    <definedName name="SalesRoundBox226">'Бланк заказа'!$Y$430:$Y$430</definedName>
    <definedName name="SalesRoundBox227">'Бланк заказа'!$Y$431:$Y$431</definedName>
    <definedName name="SalesRoundBox228">'Бланк заказа'!$Y$432:$Y$432</definedName>
    <definedName name="SalesRoundBox229">'Бланк заказа'!$Y$433:$Y$433</definedName>
    <definedName name="SalesRoundBox23">'Бланк заказа'!$Y$61:$Y$61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заказа'!$Y$443:$Y$443</definedName>
    <definedName name="SalesRoundBox234">'Бланк заказа'!$Y$444:$Y$444</definedName>
    <definedName name="SalesRoundBox235">'Бланк заказа'!$Y$445:$Y$445</definedName>
    <definedName name="SalesRoundBox236">'Бланк заказа'!$Y$449:$Y$449</definedName>
    <definedName name="SalesRoundBox237">'Бланк заказа'!$Y$450:$Y$450</definedName>
    <definedName name="SalesRoundBox238">'Бланк заказа'!$Y$455:$Y$455</definedName>
    <definedName name="SalesRoundBox239">'Бланк заказа'!$Y$456:$Y$456</definedName>
    <definedName name="SalesRoundBox24">'Бланк заказа'!$Y$65:$Y$65</definedName>
    <definedName name="SalesRoundBox240">'Бланк заказа'!$Y$460:$Y$460</definedName>
    <definedName name="SalesRoundBox241">'Бланк заказа'!$Y$464:$Y$464</definedName>
    <definedName name="SalesRoundBox242">'Бланк заказа'!$Y$465:$Y$465</definedName>
    <definedName name="SalesRoundBox243">'Бланк заказа'!$Y$466:$Y$466</definedName>
    <definedName name="SalesRoundBox244">'Бланк заказа'!$Y$472:$Y$472</definedName>
    <definedName name="SalesRoundBox245">'Бланк заказа'!$Y$473:$Y$473</definedName>
    <definedName name="SalesRoundBox246">'Бланк заказа'!$Y$474:$Y$474</definedName>
    <definedName name="SalesRoundBox247">'Бланк заказа'!$Y$475:$Y$475</definedName>
    <definedName name="SalesRoundBox248">'Бланк заказа'!$Y$476:$Y$476</definedName>
    <definedName name="SalesRoundBox249">'Бланк заказа'!$Y$477:$Y$477</definedName>
    <definedName name="SalesRoundBox25">'Бланк заказа'!$Y$66:$Y$66</definedName>
    <definedName name="SalesRoundBox250">'Бланк заказа'!$Y$481:$Y$481</definedName>
    <definedName name="SalesRoundBox251">'Бланк заказа'!$Y$482:$Y$482</definedName>
    <definedName name="SalesRoundBox252">'Бланк заказа'!$Y$487:$Y$487</definedName>
    <definedName name="SalesRoundBox253">'Бланк заказа'!$Y$491:$Y$491</definedName>
    <definedName name="SalesRoundBox254">'Бланк заказа'!$Y$492:$Y$492</definedName>
    <definedName name="SalesRoundBox255">'Бланк заказа'!$Y$493:$Y$493</definedName>
    <definedName name="SalesRoundBox256">'Бланк заказа'!$Y$499:$Y$499</definedName>
    <definedName name="SalesRoundBox257">'Бланк заказа'!$Y$500:$Y$500</definedName>
    <definedName name="SalesRoundBox258">'Бланк заказа'!$Y$501:$Y$501</definedName>
    <definedName name="SalesRoundBox259">'Бланк заказа'!$Y$502:$Y$502</definedName>
    <definedName name="SalesRoundBox26">'Бланк заказа'!$Y$67:$Y$67</definedName>
    <definedName name="SalesRoundBox260">'Бланк заказа'!$Y$503:$Y$503</definedName>
    <definedName name="SalesRoundBox261">'Бланк заказа'!$Y$504:$Y$504</definedName>
    <definedName name="SalesRoundBox262">'Бланк заказа'!$Y$505:$Y$505</definedName>
    <definedName name="SalesRoundBox263">'Бланк заказа'!$Y$506:$Y$506</definedName>
    <definedName name="SalesRoundBox264">'Бланк заказа'!$Y$507:$Y$507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заказа'!$Y$517:$Y$517</definedName>
    <definedName name="SalesRoundBox269">'Бланк заказа'!$Y$518:$Y$518</definedName>
    <definedName name="SalesRoundBox27">'Бланк заказа'!$Y$68:$Y$68</definedName>
    <definedName name="SalesRoundBox270">'Бланк заказа'!$Y$519:$Y$519</definedName>
    <definedName name="SalesRoundBox271">'Бланк заказа'!$Y$520:$Y$520</definedName>
    <definedName name="SalesRoundBox272">'Бланк заказа'!$Y$521:$Y$521</definedName>
    <definedName name="SalesRoundBox273">'Бланк заказа'!$Y$522:$Y$522</definedName>
    <definedName name="SalesRoundBox274">'Бланк заказа'!$Y$523:$Y$523</definedName>
    <definedName name="SalesRoundBox275">'Бланк заказа'!$Y$529:$Y$529</definedName>
    <definedName name="SalesRoundBox276">'Бланк заказа'!$Y$533:$Y$533</definedName>
    <definedName name="SalesRoundBox277">'Бланк заказа'!$Y$537:$Y$537</definedName>
    <definedName name="SalesRoundBox278">'Бланк заказа'!$Y$541:$Y$541</definedName>
    <definedName name="SalesRoundBox279">'Бланк заказа'!$Y$545:$Y$545</definedName>
    <definedName name="SalesRoundBox28">'Бланк заказа'!$Y$72:$Y$72</definedName>
    <definedName name="SalesRoundBox280">'Бланк заказа'!$Y$546:$Y$546</definedName>
    <definedName name="SalesRoundBox281">'Бланк заказа'!$Y$551:$Y$551</definedName>
    <definedName name="SalesRoundBox29">'Бланк заказа'!$Y$73:$Y$73</definedName>
    <definedName name="SalesRoundBox3">'Бланк заказа'!$Y$27:$Y$27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заказа'!$Y$112:$Y$112</definedName>
    <definedName name="SalesRoundBox52">'Бланк заказа'!$Y$113:$Y$113</definedName>
    <definedName name="SalesRoundBox53">'Бланк заказа'!$Y$114:$Y$114</definedName>
    <definedName name="SalesRoundBox54">'Бланк заказа'!$Y$115:$Y$115</definedName>
    <definedName name="SalesRoundBox55">'Бланк заказа'!$Y$116:$Y$116</definedName>
    <definedName name="SalesRoundBox56">'Бланк заказа'!$Y$120:$Y$120</definedName>
    <definedName name="SalesRoundBox57">'Бланк заказа'!$Y$121:$Y$121</definedName>
    <definedName name="SalesRoundBox58">'Бланк заказа'!$Y$122:$Y$122</definedName>
    <definedName name="SalesRoundBox59">'Бланк заказа'!$Y$123:$Y$123</definedName>
    <definedName name="SalesRoundBox6">'Бланк заказа'!$Y$30:$Y$30</definedName>
    <definedName name="SalesRoundBox60">'Бланк заказа'!$Y$127:$Y$127</definedName>
    <definedName name="SalesRoundBox61">'Бланк заказа'!$Y$132:$Y$132</definedName>
    <definedName name="SalesRoundBox62">'Бланк заказа'!$Y$133:$Y$133</definedName>
    <definedName name="SalesRoundBox63">'Бланк заказа'!$Y$137:$Y$137</definedName>
    <definedName name="SalesRoundBox64">'Бланк заказа'!$Y$138:$Y$138</definedName>
    <definedName name="SalesRoundBox65">'Бланк заказа'!$Y$142:$Y$142</definedName>
    <definedName name="SalesRoundBox66">'Бланк заказа'!$Y$143:$Y$143</definedName>
    <definedName name="SalesRoundBox67">'Бланк заказа'!$Y$148:$Y$148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заказа'!$Y$157:$Y$157</definedName>
    <definedName name="SalesRoundBox74">'Бланк заказа'!$Y$162:$Y$162</definedName>
    <definedName name="SalesRoundBox75">'Бланк заказа'!$Y$163:$Y$163</definedName>
    <definedName name="SalesRoundBox76">'Бланк заказа'!$Y$164:$Y$164</definedName>
    <definedName name="SalesRoundBox77">'Бланк заказа'!$Y$168:$Y$168</definedName>
    <definedName name="SalesRoundBox78">'Бланк заказа'!$Y$169:$Y$169</definedName>
    <definedName name="SalesRoundBox79">'Бланк заказа'!$Y$173:$Y$173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заказа'!$Y$188:$Y$188</definedName>
    <definedName name="SalesRoundBox92">'Бланк заказа'!$Y$189:$Y$189</definedName>
    <definedName name="SalesRoundBox93">'Бланк заказа'!$Y$190:$Y$190</definedName>
    <definedName name="SalesRoundBox94">'Бланк заказа'!$Y$194:$Y$194</definedName>
    <definedName name="SalesRoundBox95">'Бланк заказа'!$Y$200:$Y$200</definedName>
    <definedName name="SalesRoundBox96">'Бланк заказа'!$Y$201:$Y$201</definedName>
    <definedName name="SalesRoundBox97">'Бланк заказа'!$Y$202:$Y$202</definedName>
    <definedName name="SalesRoundBox98">'Бланк заказа'!$Y$203:$Y$203</definedName>
    <definedName name="SalesRoundBox99">'Бланк заказа'!$Y$204:$Y$204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заказа'!$W$205:$W$205</definedName>
    <definedName name="UnitOfMeasure101">'Бланк заказа'!$W$206:$W$206</definedName>
    <definedName name="UnitOfMeasure102">'Бланк заказа'!$W$211:$W$211</definedName>
    <definedName name="UnitOfMeasure103">'Бланк заказа'!$W$215:$W$215</definedName>
    <definedName name="UnitOfMeasure104">'Бланк заказа'!$W$216:$W$216</definedName>
    <definedName name="UnitOfMeasure105">'Бланк заказа'!$W$217:$W$217</definedName>
    <definedName name="UnitOfMeasure106">'Бланк заказа'!$W$218:$W$218</definedName>
    <definedName name="UnitOfMeasure107">'Бланк заказа'!$W$219:$W$219</definedName>
    <definedName name="UnitOfMeasure108">'Бланк заказа'!$W$220:$W$220</definedName>
    <definedName name="UnitOfMeasure109">'Бланк заказа'!$W$221:$W$221</definedName>
    <definedName name="UnitOfMeasure11">'Бланк заказа'!$W$40:$W$40</definedName>
    <definedName name="UnitOfMeasure110">'Бланк заказа'!$W$222:$W$222</definedName>
    <definedName name="UnitOfMeasure111">'Бланк заказа'!$W$223:$W$223</definedName>
    <definedName name="UnitOfMeasure112">'Бланк заказа'!$W$224:$W$224</definedName>
    <definedName name="UnitOfMeasure113">'Бланк заказа'!$W$225:$W$225</definedName>
    <definedName name="UnitOfMeasure114">'Бланк заказа'!$W$226:$W$226</definedName>
    <definedName name="UnitOfMeasure115">'Бланк заказа'!$W$227:$W$227</definedName>
    <definedName name="UnitOfMeasure116">'Бланк заказа'!$W$228:$W$228</definedName>
    <definedName name="UnitOfMeasure117">'Бланк заказа'!$W$229:$W$229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заказа'!$W$236:$W$236</definedName>
    <definedName name="UnitOfMeasure122">'Бланк заказа'!$W$237:$W$237</definedName>
    <definedName name="UnitOfMeasure123">'Бланк заказа'!$W$238:$W$238</definedName>
    <definedName name="UnitOfMeasure124">'Бланк заказа'!$W$239:$W$239</definedName>
    <definedName name="UnitOfMeasure125">'Бланк заказа'!$W$240:$W$240</definedName>
    <definedName name="UnitOfMeasure126">'Бланк заказа'!$W$241:$W$241</definedName>
    <definedName name="UnitOfMeasure127">'Бланк заказа'!$W$245:$W$245</definedName>
    <definedName name="UnitOfMeasure128">'Бланк заказа'!$W$246:$W$246</definedName>
    <definedName name="UnitOfMeasure129">'Бланк заказа'!$W$247:$W$247</definedName>
    <definedName name="UnitOfMeasure13">'Бланк заказа'!$W$47:$W$47</definedName>
    <definedName name="UnitOfMeasure130">'Бланк заказа'!$W$251:$W$251</definedName>
    <definedName name="UnitOfMeasure131">'Бланк заказа'!$W$256:$W$256</definedName>
    <definedName name="UnitOfMeasure132">'Бланк заказа'!$W$257:$W$257</definedName>
    <definedName name="UnitOfMeasure133">'Бланк заказа'!$W$261:$W$261</definedName>
    <definedName name="UnitOfMeasure134">'Бланк заказа'!$W$262:$W$262</definedName>
    <definedName name="UnitOfMeasure135">'Бланк заказа'!$W$266:$W$266</definedName>
    <definedName name="UnitOfMeasure136">'Бланк заказа'!$W$267:$W$267</definedName>
    <definedName name="UnitOfMeasure137">'Бланк заказа'!$W$268:$W$268</definedName>
    <definedName name="UnitOfMeasure138">'Бланк заказа'!$W$269:$W$269</definedName>
    <definedName name="UnitOfMeasure139">'Бланк заказа'!$W$270:$W$270</definedName>
    <definedName name="UnitOfMeasure14">'Бланк заказа'!$W$48:$W$48</definedName>
    <definedName name="UnitOfMeasure140">'Бланк заказа'!$W$271:$W$271</definedName>
    <definedName name="UnitOfMeasure141">'Бланк заказа'!$W$272:$W$272</definedName>
    <definedName name="UnitOfMeasure142">'Бланк заказа'!$W$273:$W$273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заказа'!$W$280:$W$280</definedName>
    <definedName name="UnitOfMeasure147">'Бланк заказа'!$W$281:$W$281</definedName>
    <definedName name="UnitOfMeasure148">'Бланк заказа'!$W$282:$W$282</definedName>
    <definedName name="UnitOfMeasure149">'Бланк заказа'!$W$283:$W$283</definedName>
    <definedName name="UnitOfMeasure15">'Бланк заказа'!$W$49:$W$49</definedName>
    <definedName name="UnitOfMeasure150">'Бланк заказа'!$W$284:$W$284</definedName>
    <definedName name="UnitOfMeasure151">'Бланк заказа'!$W$285:$W$285</definedName>
    <definedName name="UnitOfMeasure152">'Бланк заказа'!$W$286:$W$286</definedName>
    <definedName name="UnitOfMeasure153">'Бланк заказа'!$W$287:$W$287</definedName>
    <definedName name="UnitOfMeasure154">'Бланк заказа'!$W$288:$W$288</definedName>
    <definedName name="UnitOfMeasure155">'Бланк заказа'!$W$292:$W$292</definedName>
    <definedName name="UnitOfMeasure156">'Бланк заказа'!$W$293:$W$293</definedName>
    <definedName name="UnitOfMeasure157">'Бланк заказа'!$W$298:$W$298</definedName>
    <definedName name="UnitOfMeasure158">'Бланк заказа'!$W$299:$W$299</definedName>
    <definedName name="UnitOfMeasure159">'Бланк заказа'!$W$300:$W$300</definedName>
    <definedName name="UnitOfMeasure16">'Бланк заказа'!$W$50:$W$50</definedName>
    <definedName name="UnitOfMeasure160">'Бланк заказа'!$W$301:$W$301</definedName>
    <definedName name="UnitOfMeasure161">'Бланк заказа'!$W$302:$W$302</definedName>
    <definedName name="UnitOfMeasure162">'Бланк заказа'!$W$303:$W$303</definedName>
    <definedName name="UnitOfMeasure163">'Бланк заказа'!$W$304:$W$304</definedName>
    <definedName name="UnitOfMeasure164">'Бланк заказа'!$W$308:$W$308</definedName>
    <definedName name="UnitOfMeasure165">'Бланк заказа'!$W$312:$W$312</definedName>
    <definedName name="UnitOfMeasure166">'Бланк заказа'!$W$316:$W$316</definedName>
    <definedName name="UnitOfMeasure167">'Бланк заказа'!$W$321:$W$321</definedName>
    <definedName name="UnitOfMeasure168">'Бланк заказа'!$W$322:$W$322</definedName>
    <definedName name="UnitOfMeasure169">'Бланк заказа'!$W$323:$W$323</definedName>
    <definedName name="UnitOfMeasure17">'Бланк заказа'!$W$55:$W$55</definedName>
    <definedName name="UnitOfMeasure170">'Бланк заказа'!$W$324:$W$324</definedName>
    <definedName name="UnitOfMeasure171">'Бланк заказа'!$W$325:$W$325</definedName>
    <definedName name="UnitOfMeasure172">'Бланк заказа'!$W$326:$W$326</definedName>
    <definedName name="UnitOfMeasure173">'Бланк заказа'!$W$331:$W$331</definedName>
    <definedName name="UnitOfMeasure174">'Бланк заказа'!$W$332:$W$332</definedName>
    <definedName name="UnitOfMeasure175">'Бланк заказа'!$W$333:$W$333</definedName>
    <definedName name="UnitOfMeasure176">'Бланк заказа'!$W$338:$W$338</definedName>
    <definedName name="UnitOfMeasure177">'Бланк заказа'!$W$339:$W$339</definedName>
    <definedName name="UnitOfMeasure178">'Бланк заказа'!$W$340:$W$340</definedName>
    <definedName name="UnitOfMeasure179">'Бланк заказа'!$W$341:$W$341</definedName>
    <definedName name="UnitOfMeasure18">'Бланк заказа'!$W$56:$W$56</definedName>
    <definedName name="UnitOfMeasure180">'Бланк заказа'!$W$342:$W$342</definedName>
    <definedName name="UnitOfMeasure181">'Бланк заказа'!$W$346:$W$346</definedName>
    <definedName name="UnitOfMeasure182">'Бланк заказа'!$W$347:$W$347</definedName>
    <definedName name="UnitOfMeasure183">'Бланк заказа'!$W$352:$W$352</definedName>
    <definedName name="UnitOfMeasure184">'Бланк заказа'!$W$353:$W$353</definedName>
    <definedName name="UnitOfMeasure185">'Бланк заказа'!$W$354:$W$354</definedName>
    <definedName name="UnitOfMeasure186">'Бланк заказа'!$W$359:$W$359</definedName>
    <definedName name="UnitOfMeasure187">'Бланк заказа'!$W$360:$W$360</definedName>
    <definedName name="UnitOfMeasure188">'Бланк заказа'!$W$361:$W$361</definedName>
    <definedName name="UnitOfMeasure189">'Бланк заказа'!$W$362:$W$362</definedName>
    <definedName name="UnitOfMeasure19">'Бланк заказа'!$W$57:$W$57</definedName>
    <definedName name="UnitOfMeasure190">'Бланк заказа'!$W$363:$W$363</definedName>
    <definedName name="UnitOfMeasure191">'Бланк заказа'!$W$364:$W$364</definedName>
    <definedName name="UnitOfMeasure192">'Бланк заказа'!$W$365:$W$365</definedName>
    <definedName name="UnitOfMeasure193">'Бланк заказа'!$W$369:$W$369</definedName>
    <definedName name="UnitOfMeasure194">'Бланк заказа'!$W$370:$W$370</definedName>
    <definedName name="UnitOfMeasure195">'Бланк заказа'!$W$371:$W$371</definedName>
    <definedName name="UnitOfMeasure196">'Бланк заказа'!$W$372:$W$372</definedName>
    <definedName name="UnitOfMeasure197">'Бланк заказа'!$W$373:$W$373</definedName>
    <definedName name="UnitOfMeasure198">'Бланк заказа'!$W$374:$W$374</definedName>
    <definedName name="UnitOfMeasure199">'Бланк заказа'!$W$375:$W$375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заказа'!$W$382:$W$382</definedName>
    <definedName name="UnitOfMeasure204">'Бланк заказа'!$W$386:$W$386</definedName>
    <definedName name="UnitOfMeasure205">'Бланк заказа'!$W$387:$W$387</definedName>
    <definedName name="UnitOfMeasure206">'Бланк заказа'!$W$388:$W$388</definedName>
    <definedName name="UnitOfMeasure207">'Бланк заказа'!$W$392:$W$392</definedName>
    <definedName name="UnitOfMeasure208">'Бланк заказа'!$W$393:$W$393</definedName>
    <definedName name="UnitOfMeasure209">'Бланк заказа'!$W$394:$W$394</definedName>
    <definedName name="UnitOfMeasure21">'Бланк заказа'!$W$59:$W$59</definedName>
    <definedName name="UnitOfMeasure210">'Бланк заказа'!$W$395:$W$395</definedName>
    <definedName name="UnitOfMeasure211">'Бланк заказа'!$W$399:$W$399</definedName>
    <definedName name="UnitOfMeasure212">'Бланк заказа'!$W$400:$W$400</definedName>
    <definedName name="UnitOfMeasure213">'Бланк заказа'!$W$401:$W$401</definedName>
    <definedName name="UnitOfMeasure214">'Бланк заказа'!$W$405:$W$405</definedName>
    <definedName name="UnitOfMeasure215">'Бланк заказа'!$W$406:$W$406</definedName>
    <definedName name="UnitOfMeasure216">'Бланк заказа'!$W$407:$W$407</definedName>
    <definedName name="UnitOfMeasure217">'Бланк заказа'!$W$412:$W$412</definedName>
    <definedName name="UnitOfMeasure218">'Бланк заказа'!$W$413:$W$413</definedName>
    <definedName name="UnitOfMeasure219">'Бланк заказа'!$W$418:$W$418</definedName>
    <definedName name="UnitOfMeasure22">'Бланк заказа'!$W$60:$W$60</definedName>
    <definedName name="UnitOfMeasure220">'Бланк заказа'!$W$419:$W$419</definedName>
    <definedName name="UnitOfMeasure221">'Бланк заказа'!$W$420:$W$420</definedName>
    <definedName name="UnitOfMeasure222">'Бланк заказа'!$W$426:$W$426</definedName>
    <definedName name="UnitOfMeasure223">'Бланк заказа'!$W$427:$W$427</definedName>
    <definedName name="UnitOfMeasure224">'Бланк заказа'!$W$428:$W$428</definedName>
    <definedName name="UnitOfMeasure225">'Бланк заказа'!$W$429:$W$429</definedName>
    <definedName name="UnitOfMeasure226">'Бланк заказа'!$W$430:$W$430</definedName>
    <definedName name="UnitOfMeasure227">'Бланк заказа'!$W$431:$W$431</definedName>
    <definedName name="UnitOfMeasure228">'Бланк заказа'!$W$432:$W$432</definedName>
    <definedName name="UnitOfMeasure229">'Бланк заказа'!$W$433:$W$433</definedName>
    <definedName name="UnitOfMeasure23">'Бланк заказа'!$W$61:$W$61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заказа'!$W$443:$W$443</definedName>
    <definedName name="UnitOfMeasure234">'Бланк заказа'!$W$444:$W$444</definedName>
    <definedName name="UnitOfMeasure235">'Бланк заказа'!$W$445:$W$445</definedName>
    <definedName name="UnitOfMeasure236">'Бланк заказа'!$W$449:$W$449</definedName>
    <definedName name="UnitOfMeasure237">'Бланк заказа'!$W$450:$W$450</definedName>
    <definedName name="UnitOfMeasure238">'Бланк заказа'!$W$455:$W$455</definedName>
    <definedName name="UnitOfMeasure239">'Бланк заказа'!$W$456:$W$456</definedName>
    <definedName name="UnitOfMeasure24">'Бланк заказа'!$W$65:$W$65</definedName>
    <definedName name="UnitOfMeasure240">'Бланк заказа'!$W$460:$W$460</definedName>
    <definedName name="UnitOfMeasure241">'Бланк заказа'!$W$464:$W$464</definedName>
    <definedName name="UnitOfMeasure242">'Бланк заказа'!$W$465:$W$465</definedName>
    <definedName name="UnitOfMeasure243">'Бланк заказа'!$W$466:$W$466</definedName>
    <definedName name="UnitOfMeasure244">'Бланк заказа'!$W$472:$W$472</definedName>
    <definedName name="UnitOfMeasure245">'Бланк заказа'!$W$473:$W$473</definedName>
    <definedName name="UnitOfMeasure246">'Бланк заказа'!$W$474:$W$474</definedName>
    <definedName name="UnitOfMeasure247">'Бланк заказа'!$W$475:$W$475</definedName>
    <definedName name="UnitOfMeasure248">'Бланк заказа'!$W$476:$W$476</definedName>
    <definedName name="UnitOfMeasure249">'Бланк заказа'!$W$477:$W$477</definedName>
    <definedName name="UnitOfMeasure25">'Бланк заказа'!$W$66:$W$66</definedName>
    <definedName name="UnitOfMeasure250">'Бланк заказа'!$W$481:$W$481</definedName>
    <definedName name="UnitOfMeasure251">'Бланк заказа'!$W$482:$W$482</definedName>
    <definedName name="UnitOfMeasure252">'Бланк заказа'!$W$487:$W$487</definedName>
    <definedName name="UnitOfMeasure253">'Бланк заказа'!$W$491:$W$491</definedName>
    <definedName name="UnitOfMeasure254">'Бланк заказа'!$W$492:$W$492</definedName>
    <definedName name="UnitOfMeasure255">'Бланк заказа'!$W$493:$W$493</definedName>
    <definedName name="UnitOfMeasure256">'Бланк заказа'!$W$499:$W$499</definedName>
    <definedName name="UnitOfMeasure257">'Бланк заказа'!$W$500:$W$500</definedName>
    <definedName name="UnitOfMeasure258">'Бланк заказа'!$W$501:$W$501</definedName>
    <definedName name="UnitOfMeasure259">'Бланк заказа'!$W$502:$W$502</definedName>
    <definedName name="UnitOfMeasure26">'Бланк заказа'!$W$67:$W$67</definedName>
    <definedName name="UnitOfMeasure260">'Бланк заказа'!$W$503:$W$503</definedName>
    <definedName name="UnitOfMeasure261">'Бланк заказа'!$W$504:$W$504</definedName>
    <definedName name="UnitOfMeasure262">'Бланк заказа'!$W$505:$W$505</definedName>
    <definedName name="UnitOfMeasure263">'Бланк заказа'!$W$506:$W$506</definedName>
    <definedName name="UnitOfMeasure264">'Бланк заказа'!$W$507:$W$507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заказа'!$W$517:$W$517</definedName>
    <definedName name="UnitOfMeasure269">'Бланк заказа'!$W$518:$W$518</definedName>
    <definedName name="UnitOfMeasure27">'Бланк заказа'!$W$68:$W$68</definedName>
    <definedName name="UnitOfMeasure270">'Бланк заказа'!$W$519:$W$519</definedName>
    <definedName name="UnitOfMeasure271">'Бланк заказа'!$W$520:$W$520</definedName>
    <definedName name="UnitOfMeasure272">'Бланк заказа'!$W$521:$W$521</definedName>
    <definedName name="UnitOfMeasure273">'Бланк заказа'!$W$522:$W$522</definedName>
    <definedName name="UnitOfMeasure274">'Бланк заказа'!$W$523:$W$523</definedName>
    <definedName name="UnitOfMeasure275">'Бланк заказа'!$W$529:$W$529</definedName>
    <definedName name="UnitOfMeasure276">'Бланк заказа'!$W$533:$W$533</definedName>
    <definedName name="UnitOfMeasure277">'Бланк заказа'!$W$537:$W$537</definedName>
    <definedName name="UnitOfMeasure278">'Бланк заказа'!$W$541:$W$541</definedName>
    <definedName name="UnitOfMeasure279">'Бланк заказа'!$W$545:$W$545</definedName>
    <definedName name="UnitOfMeasure28">'Бланк заказа'!$W$72:$W$72</definedName>
    <definedName name="UnitOfMeasure280">'Бланк заказа'!$W$546:$W$546</definedName>
    <definedName name="UnitOfMeasure281">'Бланк заказа'!$W$551:$W$551</definedName>
    <definedName name="UnitOfMeasure29">'Бланк заказа'!$W$73:$W$73</definedName>
    <definedName name="UnitOfMeasure3">'Бланк заказа'!$W$27:$W$27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заказа'!$W$112:$W$112</definedName>
    <definedName name="UnitOfMeasure52">'Бланк заказа'!$W$113:$W$113</definedName>
    <definedName name="UnitOfMeasure53">'Бланк заказа'!$W$114:$W$114</definedName>
    <definedName name="UnitOfMeasure54">'Бланк заказа'!$W$115:$W$115</definedName>
    <definedName name="UnitOfMeasure55">'Бланк заказа'!$W$116:$W$116</definedName>
    <definedName name="UnitOfMeasure56">'Бланк заказа'!$W$120:$W$120</definedName>
    <definedName name="UnitOfMeasure57">'Бланк заказа'!$W$121:$W$121</definedName>
    <definedName name="UnitOfMeasure58">'Бланк заказа'!$W$122:$W$122</definedName>
    <definedName name="UnitOfMeasure59">'Бланк заказа'!$W$123:$W$123</definedName>
    <definedName name="UnitOfMeasure6">'Бланк заказа'!$W$30:$W$30</definedName>
    <definedName name="UnitOfMeasure60">'Бланк заказа'!$W$127:$W$127</definedName>
    <definedName name="UnitOfMeasure61">'Бланк заказа'!$W$132:$W$132</definedName>
    <definedName name="UnitOfMeasure62">'Бланк заказа'!$W$133:$W$133</definedName>
    <definedName name="UnitOfMeasure63">'Бланк заказа'!$W$137:$W$137</definedName>
    <definedName name="UnitOfMeasure64">'Бланк заказа'!$W$138:$W$138</definedName>
    <definedName name="UnitOfMeasure65">'Бланк заказа'!$W$142:$W$142</definedName>
    <definedName name="UnitOfMeasure66">'Бланк заказа'!$W$143:$W$143</definedName>
    <definedName name="UnitOfMeasure67">'Бланк заказа'!$W$148:$W$148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заказа'!$W$157:$W$157</definedName>
    <definedName name="UnitOfMeasure74">'Бланк заказа'!$W$162:$W$162</definedName>
    <definedName name="UnitOfMeasure75">'Бланк заказа'!$W$163:$W$163</definedName>
    <definedName name="UnitOfMeasure76">'Бланк заказа'!$W$164:$W$164</definedName>
    <definedName name="UnitOfMeasure77">'Бланк заказа'!$W$168:$W$168</definedName>
    <definedName name="UnitOfMeasure78">'Бланк заказа'!$W$169:$W$169</definedName>
    <definedName name="UnitOfMeasure79">'Бланк заказа'!$W$173:$W$173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заказа'!$W$188:$W$188</definedName>
    <definedName name="UnitOfMeasure92">'Бланк заказа'!$W$189:$W$189</definedName>
    <definedName name="UnitOfMeasure93">'Бланк заказа'!$W$190:$W$190</definedName>
    <definedName name="UnitOfMeasure94">'Бланк заказа'!$W$194:$W$194</definedName>
    <definedName name="UnitOfMeasure95">'Бланк заказа'!$W$200:$W$200</definedName>
    <definedName name="UnitOfMeasure96">'Бланк заказа'!$W$201:$W$201</definedName>
    <definedName name="UnitOfMeasure97">'Бланк заказа'!$W$202:$W$202</definedName>
    <definedName name="UnitOfMeasure98">'Бланк заказа'!$W$203:$W$203</definedName>
    <definedName name="UnitOfMeasure99">'Бланк заказа'!$W$204:$W$204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53" i="2" l="1"/>
  <c r="X552" i="2"/>
  <c r="BO551" i="2"/>
  <c r="BM551" i="2"/>
  <c r="Y551" i="2"/>
  <c r="AC564" i="2" s="1"/>
  <c r="P551" i="2"/>
  <c r="X548" i="2"/>
  <c r="X547" i="2"/>
  <c r="BO546" i="2"/>
  <c r="BM546" i="2"/>
  <c r="Y546" i="2"/>
  <c r="BP546" i="2" s="1"/>
  <c r="P546" i="2"/>
  <c r="BO545" i="2"/>
  <c r="BM545" i="2"/>
  <c r="Y545" i="2"/>
  <c r="P545" i="2"/>
  <c r="X543" i="2"/>
  <c r="X542" i="2"/>
  <c r="BO541" i="2"/>
  <c r="BM541" i="2"/>
  <c r="Y541" i="2"/>
  <c r="Y542" i="2" s="1"/>
  <c r="P541" i="2"/>
  <c r="X539" i="2"/>
  <c r="X538" i="2"/>
  <c r="BO537" i="2"/>
  <c r="BM537" i="2"/>
  <c r="Y537" i="2"/>
  <c r="Z537" i="2" s="1"/>
  <c r="Z538" i="2" s="1"/>
  <c r="P537" i="2"/>
  <c r="X535" i="2"/>
  <c r="X534" i="2"/>
  <c r="BO533" i="2"/>
  <c r="BM533" i="2"/>
  <c r="Y533" i="2"/>
  <c r="Y535" i="2" s="1"/>
  <c r="P533" i="2"/>
  <c r="X531" i="2"/>
  <c r="X530" i="2"/>
  <c r="BO529" i="2"/>
  <c r="BM529" i="2"/>
  <c r="Y529" i="2"/>
  <c r="Y530" i="2" s="1"/>
  <c r="P529" i="2"/>
  <c r="X525" i="2"/>
  <c r="X524" i="2"/>
  <c r="BO523" i="2"/>
  <c r="BM523" i="2"/>
  <c r="Y523" i="2"/>
  <c r="Z523" i="2" s="1"/>
  <c r="P523" i="2"/>
  <c r="BO522" i="2"/>
  <c r="BM522" i="2"/>
  <c r="Y522" i="2"/>
  <c r="BN522" i="2" s="1"/>
  <c r="P522" i="2"/>
  <c r="BO521" i="2"/>
  <c r="BM521" i="2"/>
  <c r="Y521" i="2"/>
  <c r="BP521" i="2" s="1"/>
  <c r="P521" i="2"/>
  <c r="BO520" i="2"/>
  <c r="BM520" i="2"/>
  <c r="Y520" i="2"/>
  <c r="BN520" i="2" s="1"/>
  <c r="P520" i="2"/>
  <c r="BO519" i="2"/>
  <c r="BM519" i="2"/>
  <c r="Y519" i="2"/>
  <c r="BP519" i="2" s="1"/>
  <c r="P519" i="2"/>
  <c r="BO518" i="2"/>
  <c r="BM518" i="2"/>
  <c r="Y518" i="2"/>
  <c r="P518" i="2"/>
  <c r="BO517" i="2"/>
  <c r="BM517" i="2"/>
  <c r="Y517" i="2"/>
  <c r="BN517" i="2" s="1"/>
  <c r="P517" i="2"/>
  <c r="X515" i="2"/>
  <c r="X514" i="2"/>
  <c r="BO513" i="2"/>
  <c r="BM513" i="2"/>
  <c r="Y513" i="2"/>
  <c r="Z513" i="2" s="1"/>
  <c r="P513" i="2"/>
  <c r="BO512" i="2"/>
  <c r="BM512" i="2"/>
  <c r="Y512" i="2"/>
  <c r="P512" i="2"/>
  <c r="BO511" i="2"/>
  <c r="BM511" i="2"/>
  <c r="Y511" i="2"/>
  <c r="BN511" i="2" s="1"/>
  <c r="P511" i="2"/>
  <c r="X509" i="2"/>
  <c r="X508" i="2"/>
  <c r="BO507" i="2"/>
  <c r="BM507" i="2"/>
  <c r="Y507" i="2"/>
  <c r="BP507" i="2" s="1"/>
  <c r="P507" i="2"/>
  <c r="BO506" i="2"/>
  <c r="BM506" i="2"/>
  <c r="Y506" i="2"/>
  <c r="P506" i="2"/>
  <c r="BO505" i="2"/>
  <c r="BM505" i="2"/>
  <c r="Y505" i="2"/>
  <c r="BP505" i="2" s="1"/>
  <c r="P505" i="2"/>
  <c r="BO504" i="2"/>
  <c r="BM504" i="2"/>
  <c r="Y504" i="2"/>
  <c r="P504" i="2"/>
  <c r="BO503" i="2"/>
  <c r="BM503" i="2"/>
  <c r="Y503" i="2"/>
  <c r="Z503" i="2" s="1"/>
  <c r="P503" i="2"/>
  <c r="BO502" i="2"/>
  <c r="BM502" i="2"/>
  <c r="Y502" i="2"/>
  <c r="P502" i="2"/>
  <c r="BO501" i="2"/>
  <c r="BM501" i="2"/>
  <c r="Y501" i="2"/>
  <c r="BP501" i="2" s="1"/>
  <c r="P501" i="2"/>
  <c r="BO500" i="2"/>
  <c r="BM500" i="2"/>
  <c r="Y500" i="2"/>
  <c r="P500" i="2"/>
  <c r="BO499" i="2"/>
  <c r="BM499" i="2"/>
  <c r="Y499" i="2"/>
  <c r="P499" i="2"/>
  <c r="X495" i="2"/>
  <c r="X494" i="2"/>
  <c r="BO493" i="2"/>
  <c r="BM493" i="2"/>
  <c r="Y493" i="2"/>
  <c r="BP493" i="2" s="1"/>
  <c r="P493" i="2"/>
  <c r="BO492" i="2"/>
  <c r="BM492" i="2"/>
  <c r="Y492" i="2"/>
  <c r="P492" i="2"/>
  <c r="BO491" i="2"/>
  <c r="BM491" i="2"/>
  <c r="Y491" i="2"/>
  <c r="Z491" i="2" s="1"/>
  <c r="P491" i="2"/>
  <c r="X489" i="2"/>
  <c r="X488" i="2"/>
  <c r="BO487" i="2"/>
  <c r="BM487" i="2"/>
  <c r="Y487" i="2"/>
  <c r="BN487" i="2" s="1"/>
  <c r="P487" i="2"/>
  <c r="X484" i="2"/>
  <c r="X483" i="2"/>
  <c r="BO482" i="2"/>
  <c r="BM482" i="2"/>
  <c r="Y482" i="2"/>
  <c r="P482" i="2"/>
  <c r="BO481" i="2"/>
  <c r="BM481" i="2"/>
  <c r="Y481" i="2"/>
  <c r="P481" i="2"/>
  <c r="X479" i="2"/>
  <c r="X478" i="2"/>
  <c r="BO477" i="2"/>
  <c r="BM477" i="2"/>
  <c r="Y477" i="2"/>
  <c r="BP477" i="2" s="1"/>
  <c r="P477" i="2"/>
  <c r="BO476" i="2"/>
  <c r="BM476" i="2"/>
  <c r="Y476" i="2"/>
  <c r="BP476" i="2" s="1"/>
  <c r="P476" i="2"/>
  <c r="BP475" i="2"/>
  <c r="BO475" i="2"/>
  <c r="BN475" i="2"/>
  <c r="BM475" i="2"/>
  <c r="Z475" i="2"/>
  <c r="Y475" i="2"/>
  <c r="P475" i="2"/>
  <c r="BO474" i="2"/>
  <c r="BM474" i="2"/>
  <c r="Y474" i="2"/>
  <c r="BP474" i="2" s="1"/>
  <c r="P474" i="2"/>
  <c r="BO473" i="2"/>
  <c r="BM473" i="2"/>
  <c r="Y473" i="2"/>
  <c r="P473" i="2"/>
  <c r="BO472" i="2"/>
  <c r="BM472" i="2"/>
  <c r="Y472" i="2"/>
  <c r="BP472" i="2" s="1"/>
  <c r="P472" i="2"/>
  <c r="X468" i="2"/>
  <c r="X467" i="2"/>
  <c r="BO466" i="2"/>
  <c r="BM466" i="2"/>
  <c r="Y466" i="2"/>
  <c r="P466" i="2"/>
  <c r="BO465" i="2"/>
  <c r="BM465" i="2"/>
  <c r="Y465" i="2"/>
  <c r="BP465" i="2" s="1"/>
  <c r="P465" i="2"/>
  <c r="BO464" i="2"/>
  <c r="BM464" i="2"/>
  <c r="Y464" i="2"/>
  <c r="P464" i="2"/>
  <c r="X462" i="2"/>
  <c r="X461" i="2"/>
  <c r="BO460" i="2"/>
  <c r="BM460" i="2"/>
  <c r="Y460" i="2"/>
  <c r="BP460" i="2" s="1"/>
  <c r="P460" i="2"/>
  <c r="X458" i="2"/>
  <c r="X457" i="2"/>
  <c r="BO456" i="2"/>
  <c r="BM456" i="2"/>
  <c r="Y456" i="2"/>
  <c r="P456" i="2"/>
  <c r="BO455" i="2"/>
  <c r="BM455" i="2"/>
  <c r="Y455" i="2"/>
  <c r="P455" i="2"/>
  <c r="X452" i="2"/>
  <c r="X451" i="2"/>
  <c r="BO450" i="2"/>
  <c r="BM450" i="2"/>
  <c r="Y450" i="2"/>
  <c r="BP450" i="2" s="1"/>
  <c r="P450" i="2"/>
  <c r="BO449" i="2"/>
  <c r="BM449" i="2"/>
  <c r="Y449" i="2"/>
  <c r="BP449" i="2" s="1"/>
  <c r="P449" i="2"/>
  <c r="X447" i="2"/>
  <c r="X446" i="2"/>
  <c r="BO445" i="2"/>
  <c r="BM445" i="2"/>
  <c r="Y445" i="2"/>
  <c r="BP445" i="2" s="1"/>
  <c r="P445" i="2"/>
  <c r="BO444" i="2"/>
  <c r="BM444" i="2"/>
  <c r="Y444" i="2"/>
  <c r="P444" i="2"/>
  <c r="BO443" i="2"/>
  <c r="BM443" i="2"/>
  <c r="Y443" i="2"/>
  <c r="Z443" i="2" s="1"/>
  <c r="P443" i="2"/>
  <c r="X441" i="2"/>
  <c r="X440" i="2"/>
  <c r="BO439" i="2"/>
  <c r="BM439" i="2"/>
  <c r="Y439" i="2"/>
  <c r="BP439" i="2" s="1"/>
  <c r="P439" i="2"/>
  <c r="BO438" i="2"/>
  <c r="BM438" i="2"/>
  <c r="Y438" i="2"/>
  <c r="BP438" i="2" s="1"/>
  <c r="P438" i="2"/>
  <c r="BO437" i="2"/>
  <c r="BM437" i="2"/>
  <c r="Y437" i="2"/>
  <c r="BP437" i="2" s="1"/>
  <c r="P437" i="2"/>
  <c r="X435" i="2"/>
  <c r="X434" i="2"/>
  <c r="BO433" i="2"/>
  <c r="BM433" i="2"/>
  <c r="Y433" i="2"/>
  <c r="P433" i="2"/>
  <c r="BO432" i="2"/>
  <c r="BM432" i="2"/>
  <c r="Y432" i="2"/>
  <c r="BP432" i="2" s="1"/>
  <c r="P432" i="2"/>
  <c r="BO431" i="2"/>
  <c r="BM431" i="2"/>
  <c r="Y431" i="2"/>
  <c r="Z431" i="2" s="1"/>
  <c r="P431" i="2"/>
  <c r="BO430" i="2"/>
  <c r="BM430" i="2"/>
  <c r="Y430" i="2"/>
  <c r="P430" i="2"/>
  <c r="BO429" i="2"/>
  <c r="BM429" i="2"/>
  <c r="Y429" i="2"/>
  <c r="P429" i="2"/>
  <c r="BO428" i="2"/>
  <c r="BM428" i="2"/>
  <c r="Y428" i="2"/>
  <c r="BN428" i="2" s="1"/>
  <c r="P428" i="2"/>
  <c r="BO427" i="2"/>
  <c r="BM427" i="2"/>
  <c r="Y427" i="2"/>
  <c r="BP427" i="2" s="1"/>
  <c r="P427" i="2"/>
  <c r="BO426" i="2"/>
  <c r="BM426" i="2"/>
  <c r="Y426" i="2"/>
  <c r="P426" i="2"/>
  <c r="X422" i="2"/>
  <c r="X421" i="2"/>
  <c r="BO420" i="2"/>
  <c r="BM420" i="2"/>
  <c r="Y420" i="2"/>
  <c r="BP420" i="2" s="1"/>
  <c r="P420" i="2"/>
  <c r="BO419" i="2"/>
  <c r="BM419" i="2"/>
  <c r="Y419" i="2"/>
  <c r="P419" i="2"/>
  <c r="BO418" i="2"/>
  <c r="BM418" i="2"/>
  <c r="Y418" i="2"/>
  <c r="BP418" i="2" s="1"/>
  <c r="P418" i="2"/>
  <c r="X415" i="2"/>
  <c r="X414" i="2"/>
  <c r="BO413" i="2"/>
  <c r="BM413" i="2"/>
  <c r="Y413" i="2"/>
  <c r="P413" i="2"/>
  <c r="BO412" i="2"/>
  <c r="BM412" i="2"/>
  <c r="Y412" i="2"/>
  <c r="BP412" i="2" s="1"/>
  <c r="P412" i="2"/>
  <c r="X409" i="2"/>
  <c r="X408" i="2"/>
  <c r="BO407" i="2"/>
  <c r="BM407" i="2"/>
  <c r="Y407" i="2"/>
  <c r="P407" i="2"/>
  <c r="BO406" i="2"/>
  <c r="BM406" i="2"/>
  <c r="Y406" i="2"/>
  <c r="P406" i="2"/>
  <c r="BO405" i="2"/>
  <c r="BM405" i="2"/>
  <c r="Y405" i="2"/>
  <c r="P405" i="2"/>
  <c r="X403" i="2"/>
  <c r="X402" i="2"/>
  <c r="BO401" i="2"/>
  <c r="BM401" i="2"/>
  <c r="Y401" i="2"/>
  <c r="BP401" i="2" s="1"/>
  <c r="P401" i="2"/>
  <c r="BO400" i="2"/>
  <c r="BM400" i="2"/>
  <c r="Y400" i="2"/>
  <c r="BP400" i="2" s="1"/>
  <c r="P400" i="2"/>
  <c r="BO399" i="2"/>
  <c r="BM399" i="2"/>
  <c r="Y399" i="2"/>
  <c r="BP399" i="2" s="1"/>
  <c r="P399" i="2"/>
  <c r="X397" i="2"/>
  <c r="X396" i="2"/>
  <c r="BO395" i="2"/>
  <c r="BM395" i="2"/>
  <c r="Y395" i="2"/>
  <c r="Z395" i="2" s="1"/>
  <c r="P395" i="2"/>
  <c r="BP394" i="2"/>
  <c r="BO394" i="2"/>
  <c r="BN394" i="2"/>
  <c r="BM394" i="2"/>
  <c r="Z394" i="2"/>
  <c r="Y394" i="2"/>
  <c r="P394" i="2"/>
  <c r="BO393" i="2"/>
  <c r="BN393" i="2"/>
  <c r="BM393" i="2"/>
  <c r="Z393" i="2"/>
  <c r="Y393" i="2"/>
  <c r="BP393" i="2" s="1"/>
  <c r="P393" i="2"/>
  <c r="BO392" i="2"/>
  <c r="BM392" i="2"/>
  <c r="Y392" i="2"/>
  <c r="Z392" i="2" s="1"/>
  <c r="P392" i="2"/>
  <c r="X390" i="2"/>
  <c r="X389" i="2"/>
  <c r="BO388" i="2"/>
  <c r="BM388" i="2"/>
  <c r="Y388" i="2"/>
  <c r="P388" i="2"/>
  <c r="BO387" i="2"/>
  <c r="BM387" i="2"/>
  <c r="Y387" i="2"/>
  <c r="BN387" i="2" s="1"/>
  <c r="P387" i="2"/>
  <c r="BO386" i="2"/>
  <c r="BM386" i="2"/>
  <c r="Y386" i="2"/>
  <c r="BN386" i="2" s="1"/>
  <c r="P386" i="2"/>
  <c r="X384" i="2"/>
  <c r="X383" i="2"/>
  <c r="BO382" i="2"/>
  <c r="BM382" i="2"/>
  <c r="Y382" i="2"/>
  <c r="BP382" i="2" s="1"/>
  <c r="P382" i="2"/>
  <c r="BO381" i="2"/>
  <c r="BM381" i="2"/>
  <c r="Y381" i="2"/>
  <c r="BP381" i="2" s="1"/>
  <c r="P381" i="2"/>
  <c r="BO380" i="2"/>
  <c r="BM380" i="2"/>
  <c r="Y380" i="2"/>
  <c r="P380" i="2"/>
  <c r="BO379" i="2"/>
  <c r="BM379" i="2"/>
  <c r="Y379" i="2"/>
  <c r="Y384" i="2" s="1"/>
  <c r="P379" i="2"/>
  <c r="X377" i="2"/>
  <c r="X376" i="2"/>
  <c r="BO375" i="2"/>
  <c r="BM375" i="2"/>
  <c r="Y375" i="2"/>
  <c r="P375" i="2"/>
  <c r="BO374" i="2"/>
  <c r="BM374" i="2"/>
  <c r="Y374" i="2"/>
  <c r="BP374" i="2" s="1"/>
  <c r="P374" i="2"/>
  <c r="BO373" i="2"/>
  <c r="BM373" i="2"/>
  <c r="Y373" i="2"/>
  <c r="BP373" i="2" s="1"/>
  <c r="P373" i="2"/>
  <c r="BO372" i="2"/>
  <c r="BM372" i="2"/>
  <c r="Y372" i="2"/>
  <c r="P372" i="2"/>
  <c r="BO371" i="2"/>
  <c r="BM371" i="2"/>
  <c r="Y371" i="2"/>
  <c r="BP371" i="2" s="1"/>
  <c r="P371" i="2"/>
  <c r="BO370" i="2"/>
  <c r="BM370" i="2"/>
  <c r="Y370" i="2"/>
  <c r="BP370" i="2" s="1"/>
  <c r="P370" i="2"/>
  <c r="BO369" i="2"/>
  <c r="BM369" i="2"/>
  <c r="Y369" i="2"/>
  <c r="P369" i="2"/>
  <c r="X367" i="2"/>
  <c r="X366" i="2"/>
  <c r="BO365" i="2"/>
  <c r="BM365" i="2"/>
  <c r="Y365" i="2"/>
  <c r="BP365" i="2" s="1"/>
  <c r="P365" i="2"/>
  <c r="BO364" i="2"/>
  <c r="BM364" i="2"/>
  <c r="Y364" i="2"/>
  <c r="P364" i="2"/>
  <c r="BO363" i="2"/>
  <c r="BM363" i="2"/>
  <c r="Y363" i="2"/>
  <c r="BP363" i="2" s="1"/>
  <c r="P363" i="2"/>
  <c r="BO362" i="2"/>
  <c r="BM362" i="2"/>
  <c r="Y362" i="2"/>
  <c r="BP362" i="2" s="1"/>
  <c r="P362" i="2"/>
  <c r="BO361" i="2"/>
  <c r="BM361" i="2"/>
  <c r="Y361" i="2"/>
  <c r="BP361" i="2" s="1"/>
  <c r="P361" i="2"/>
  <c r="BO360" i="2"/>
  <c r="BM360" i="2"/>
  <c r="Y360" i="2"/>
  <c r="P360" i="2"/>
  <c r="BO359" i="2"/>
  <c r="BM359" i="2"/>
  <c r="Y359" i="2"/>
  <c r="X356" i="2"/>
  <c r="X355" i="2"/>
  <c r="BO354" i="2"/>
  <c r="BM354" i="2"/>
  <c r="Y354" i="2"/>
  <c r="P354" i="2"/>
  <c r="BO353" i="2"/>
  <c r="BM353" i="2"/>
  <c r="Y353" i="2"/>
  <c r="P353" i="2"/>
  <c r="BO352" i="2"/>
  <c r="BM352" i="2"/>
  <c r="Y352" i="2"/>
  <c r="P352" i="2"/>
  <c r="X349" i="2"/>
  <c r="X348" i="2"/>
  <c r="BO347" i="2"/>
  <c r="BM347" i="2"/>
  <c r="Y347" i="2"/>
  <c r="BP347" i="2" s="1"/>
  <c r="P347" i="2"/>
  <c r="BO346" i="2"/>
  <c r="BM346" i="2"/>
  <c r="Y346" i="2"/>
  <c r="BP346" i="2" s="1"/>
  <c r="P346" i="2"/>
  <c r="X344" i="2"/>
  <c r="X343" i="2"/>
  <c r="BO342" i="2"/>
  <c r="BM342" i="2"/>
  <c r="Y342" i="2"/>
  <c r="BP342" i="2" s="1"/>
  <c r="P342" i="2"/>
  <c r="BO341" i="2"/>
  <c r="BM341" i="2"/>
  <c r="Y341" i="2"/>
  <c r="P341" i="2"/>
  <c r="BO340" i="2"/>
  <c r="BM340" i="2"/>
  <c r="Y340" i="2"/>
  <c r="BP340" i="2" s="1"/>
  <c r="P340" i="2"/>
  <c r="BO339" i="2"/>
  <c r="BM339" i="2"/>
  <c r="Y339" i="2"/>
  <c r="P339" i="2"/>
  <c r="BO338" i="2"/>
  <c r="BM338" i="2"/>
  <c r="Y338" i="2"/>
  <c r="Y344" i="2" s="1"/>
  <c r="P338" i="2"/>
  <c r="X335" i="2"/>
  <c r="X334" i="2"/>
  <c r="BO333" i="2"/>
  <c r="BM333" i="2"/>
  <c r="Y333" i="2"/>
  <c r="BP333" i="2" s="1"/>
  <c r="P333" i="2"/>
  <c r="BO332" i="2"/>
  <c r="BM332" i="2"/>
  <c r="Y332" i="2"/>
  <c r="P332" i="2"/>
  <c r="BO331" i="2"/>
  <c r="BM331" i="2"/>
  <c r="Y331" i="2"/>
  <c r="BP331" i="2" s="1"/>
  <c r="P331" i="2"/>
  <c r="X328" i="2"/>
  <c r="X327" i="2"/>
  <c r="BO326" i="2"/>
  <c r="BM326" i="2"/>
  <c r="Y326" i="2"/>
  <c r="BN326" i="2" s="1"/>
  <c r="P326" i="2"/>
  <c r="BO325" i="2"/>
  <c r="BM325" i="2"/>
  <c r="Y325" i="2"/>
  <c r="BP325" i="2" s="1"/>
  <c r="P325" i="2"/>
  <c r="BO324" i="2"/>
  <c r="BM324" i="2"/>
  <c r="Y324" i="2"/>
  <c r="BP324" i="2" s="1"/>
  <c r="P324" i="2"/>
  <c r="BO323" i="2"/>
  <c r="BM323" i="2"/>
  <c r="Y323" i="2"/>
  <c r="BP323" i="2" s="1"/>
  <c r="P323" i="2"/>
  <c r="BO322" i="2"/>
  <c r="BM322" i="2"/>
  <c r="Y322" i="2"/>
  <c r="BP322" i="2" s="1"/>
  <c r="P322" i="2"/>
  <c r="BO321" i="2"/>
  <c r="BM321" i="2"/>
  <c r="Y321" i="2"/>
  <c r="BP321" i="2" s="1"/>
  <c r="X318" i="2"/>
  <c r="X317" i="2"/>
  <c r="BO316" i="2"/>
  <c r="BM316" i="2"/>
  <c r="Y316" i="2"/>
  <c r="Y317" i="2" s="1"/>
  <c r="P316" i="2"/>
  <c r="X314" i="2"/>
  <c r="X313" i="2"/>
  <c r="BO312" i="2"/>
  <c r="BM312" i="2"/>
  <c r="Y312" i="2"/>
  <c r="Y314" i="2" s="1"/>
  <c r="P312" i="2"/>
  <c r="X310" i="2"/>
  <c r="X309" i="2"/>
  <c r="BO308" i="2"/>
  <c r="BM308" i="2"/>
  <c r="Y308" i="2"/>
  <c r="P308" i="2"/>
  <c r="X306" i="2"/>
  <c r="X305" i="2"/>
  <c r="BO304" i="2"/>
  <c r="BM304" i="2"/>
  <c r="Y304" i="2"/>
  <c r="BP304" i="2" s="1"/>
  <c r="P304" i="2"/>
  <c r="BO303" i="2"/>
  <c r="BM303" i="2"/>
  <c r="Y303" i="2"/>
  <c r="BN303" i="2" s="1"/>
  <c r="P303" i="2"/>
  <c r="BO302" i="2"/>
  <c r="BM302" i="2"/>
  <c r="Y302" i="2"/>
  <c r="BP302" i="2" s="1"/>
  <c r="P302" i="2"/>
  <c r="BO301" i="2"/>
  <c r="BM301" i="2"/>
  <c r="Y301" i="2"/>
  <c r="Z301" i="2" s="1"/>
  <c r="P301" i="2"/>
  <c r="BO300" i="2"/>
  <c r="BM300" i="2"/>
  <c r="Y300" i="2"/>
  <c r="BP300" i="2" s="1"/>
  <c r="P300" i="2"/>
  <c r="BO299" i="2"/>
  <c r="BM299" i="2"/>
  <c r="Y299" i="2"/>
  <c r="P299" i="2"/>
  <c r="BO298" i="2"/>
  <c r="BM298" i="2"/>
  <c r="Y298" i="2"/>
  <c r="BP298" i="2" s="1"/>
  <c r="P298" i="2"/>
  <c r="X295" i="2"/>
  <c r="X294" i="2"/>
  <c r="BO293" i="2"/>
  <c r="BM293" i="2"/>
  <c r="Y293" i="2"/>
  <c r="P293" i="2"/>
  <c r="BO292" i="2"/>
  <c r="BM292" i="2"/>
  <c r="Y292" i="2"/>
  <c r="Y294" i="2" s="1"/>
  <c r="P292" i="2"/>
  <c r="X290" i="2"/>
  <c r="X289" i="2"/>
  <c r="BO288" i="2"/>
  <c r="BM288" i="2"/>
  <c r="Y288" i="2"/>
  <c r="P288" i="2"/>
  <c r="BO287" i="2"/>
  <c r="BM287" i="2"/>
  <c r="Y287" i="2"/>
  <c r="BN287" i="2" s="1"/>
  <c r="P287" i="2"/>
  <c r="BO286" i="2"/>
  <c r="BM286" i="2"/>
  <c r="Y286" i="2"/>
  <c r="BP286" i="2" s="1"/>
  <c r="P286" i="2"/>
  <c r="BO285" i="2"/>
  <c r="BM285" i="2"/>
  <c r="Y285" i="2"/>
  <c r="BN285" i="2" s="1"/>
  <c r="P285" i="2"/>
  <c r="BO284" i="2"/>
  <c r="BM284" i="2"/>
  <c r="Y284" i="2"/>
  <c r="Z284" i="2" s="1"/>
  <c r="P284" i="2"/>
  <c r="BO283" i="2"/>
  <c r="BM283" i="2"/>
  <c r="Y283" i="2"/>
  <c r="Z283" i="2" s="1"/>
  <c r="P283" i="2"/>
  <c r="BP282" i="2"/>
  <c r="BO282" i="2"/>
  <c r="BM282" i="2"/>
  <c r="Y282" i="2"/>
  <c r="BN282" i="2" s="1"/>
  <c r="P282" i="2"/>
  <c r="BO281" i="2"/>
  <c r="BM281" i="2"/>
  <c r="Y281" i="2"/>
  <c r="BP281" i="2" s="1"/>
  <c r="P281" i="2"/>
  <c r="BO280" i="2"/>
  <c r="BM280" i="2"/>
  <c r="Y280" i="2"/>
  <c r="BN280" i="2" s="1"/>
  <c r="P280" i="2"/>
  <c r="BO279" i="2"/>
  <c r="BM279" i="2"/>
  <c r="Y279" i="2"/>
  <c r="BP279" i="2" s="1"/>
  <c r="P279" i="2"/>
  <c r="BO278" i="2"/>
  <c r="BM278" i="2"/>
  <c r="Y278" i="2"/>
  <c r="BN278" i="2" s="1"/>
  <c r="P278" i="2"/>
  <c r="BO277" i="2"/>
  <c r="BM277" i="2"/>
  <c r="Y277" i="2"/>
  <c r="BP277" i="2" s="1"/>
  <c r="P277" i="2"/>
  <c r="X275" i="2"/>
  <c r="X274" i="2"/>
  <c r="BO273" i="2"/>
  <c r="BM273" i="2"/>
  <c r="Y273" i="2"/>
  <c r="P273" i="2"/>
  <c r="BO272" i="2"/>
  <c r="BM272" i="2"/>
  <c r="Y272" i="2"/>
  <c r="BP272" i="2" s="1"/>
  <c r="P272" i="2"/>
  <c r="BO271" i="2"/>
  <c r="BM271" i="2"/>
  <c r="Y271" i="2"/>
  <c r="BP271" i="2" s="1"/>
  <c r="P271" i="2"/>
  <c r="BO270" i="2"/>
  <c r="BM270" i="2"/>
  <c r="Y270" i="2"/>
  <c r="BN270" i="2" s="1"/>
  <c r="P270" i="2"/>
  <c r="BO269" i="2"/>
  <c r="BM269" i="2"/>
  <c r="Y269" i="2"/>
  <c r="BP269" i="2" s="1"/>
  <c r="P269" i="2"/>
  <c r="BO268" i="2"/>
  <c r="BM268" i="2"/>
  <c r="Y268" i="2"/>
  <c r="BN268" i="2" s="1"/>
  <c r="P268" i="2"/>
  <c r="BO267" i="2"/>
  <c r="BM267" i="2"/>
  <c r="Y267" i="2"/>
  <c r="Z267" i="2" s="1"/>
  <c r="P267" i="2"/>
  <c r="BO266" i="2"/>
  <c r="BM266" i="2"/>
  <c r="Y266" i="2"/>
  <c r="Y275" i="2" s="1"/>
  <c r="P266" i="2"/>
  <c r="X264" i="2"/>
  <c r="X263" i="2"/>
  <c r="BO262" i="2"/>
  <c r="BM262" i="2"/>
  <c r="Y262" i="2"/>
  <c r="P262" i="2"/>
  <c r="BO261" i="2"/>
  <c r="BM261" i="2"/>
  <c r="Y261" i="2"/>
  <c r="BP261" i="2" s="1"/>
  <c r="P261" i="2"/>
  <c r="X259" i="2"/>
  <c r="X258" i="2"/>
  <c r="BO257" i="2"/>
  <c r="BM257" i="2"/>
  <c r="Y257" i="2"/>
  <c r="P257" i="2"/>
  <c r="BO256" i="2"/>
  <c r="BM256" i="2"/>
  <c r="Y256" i="2"/>
  <c r="BP256" i="2" s="1"/>
  <c r="P256" i="2"/>
  <c r="X253" i="2"/>
  <c r="X252" i="2"/>
  <c r="BO251" i="2"/>
  <c r="BM251" i="2"/>
  <c r="Y251" i="2"/>
  <c r="Y253" i="2" s="1"/>
  <c r="P251" i="2"/>
  <c r="X249" i="2"/>
  <c r="X248" i="2"/>
  <c r="BO247" i="2"/>
  <c r="BM247" i="2"/>
  <c r="Y247" i="2"/>
  <c r="BP247" i="2" s="1"/>
  <c r="P247" i="2"/>
  <c r="BO246" i="2"/>
  <c r="BM246" i="2"/>
  <c r="Y246" i="2"/>
  <c r="BP246" i="2" s="1"/>
  <c r="P246" i="2"/>
  <c r="BO245" i="2"/>
  <c r="BM245" i="2"/>
  <c r="Y245" i="2"/>
  <c r="BP245" i="2" s="1"/>
  <c r="P245" i="2"/>
  <c r="X243" i="2"/>
  <c r="X242" i="2"/>
  <c r="BO241" i="2"/>
  <c r="BM241" i="2"/>
  <c r="Y241" i="2"/>
  <c r="Z241" i="2" s="1"/>
  <c r="P241" i="2"/>
  <c r="BO240" i="2"/>
  <c r="BM240" i="2"/>
  <c r="Y240" i="2"/>
  <c r="P240" i="2"/>
  <c r="BO239" i="2"/>
  <c r="BM239" i="2"/>
  <c r="Y239" i="2"/>
  <c r="BP239" i="2" s="1"/>
  <c r="P239" i="2"/>
  <c r="BO238" i="2"/>
  <c r="BM238" i="2"/>
  <c r="Y238" i="2"/>
  <c r="BP238" i="2" s="1"/>
  <c r="P238" i="2"/>
  <c r="BO237" i="2"/>
  <c r="BM237" i="2"/>
  <c r="Y237" i="2"/>
  <c r="BP237" i="2" s="1"/>
  <c r="P237" i="2"/>
  <c r="BO236" i="2"/>
  <c r="BM236" i="2"/>
  <c r="Y236" i="2"/>
  <c r="BP236" i="2" s="1"/>
  <c r="P236" i="2"/>
  <c r="BO235" i="2"/>
  <c r="BM235" i="2"/>
  <c r="Y235" i="2"/>
  <c r="BN235" i="2" s="1"/>
  <c r="P235" i="2"/>
  <c r="BO234" i="2"/>
  <c r="BM234" i="2"/>
  <c r="Y234" i="2"/>
  <c r="Z234" i="2" s="1"/>
  <c r="P234" i="2"/>
  <c r="BO233" i="2"/>
  <c r="BM233" i="2"/>
  <c r="Y233" i="2"/>
  <c r="BP233" i="2" s="1"/>
  <c r="P233" i="2"/>
  <c r="X231" i="2"/>
  <c r="X230" i="2"/>
  <c r="BO229" i="2"/>
  <c r="BM229" i="2"/>
  <c r="Y229" i="2"/>
  <c r="BN229" i="2" s="1"/>
  <c r="P229" i="2"/>
  <c r="BO228" i="2"/>
  <c r="BM228" i="2"/>
  <c r="Y228" i="2"/>
  <c r="BP228" i="2" s="1"/>
  <c r="P228" i="2"/>
  <c r="BO227" i="2"/>
  <c r="BM227" i="2"/>
  <c r="Y227" i="2"/>
  <c r="BN227" i="2" s="1"/>
  <c r="P227" i="2"/>
  <c r="BO226" i="2"/>
  <c r="BM226" i="2"/>
  <c r="Y226" i="2"/>
  <c r="P226" i="2"/>
  <c r="BO225" i="2"/>
  <c r="BM225" i="2"/>
  <c r="Y225" i="2"/>
  <c r="BN225" i="2" s="1"/>
  <c r="P225" i="2"/>
  <c r="BP224" i="2"/>
  <c r="BO224" i="2"/>
  <c r="BM224" i="2"/>
  <c r="Y224" i="2"/>
  <c r="Z224" i="2" s="1"/>
  <c r="P224" i="2"/>
  <c r="BO223" i="2"/>
  <c r="BM223" i="2"/>
  <c r="Y223" i="2"/>
  <c r="P223" i="2"/>
  <c r="BO222" i="2"/>
  <c r="BM222" i="2"/>
  <c r="Y222" i="2"/>
  <c r="BP222" i="2" s="1"/>
  <c r="P222" i="2"/>
  <c r="BO221" i="2"/>
  <c r="BM221" i="2"/>
  <c r="Y221" i="2"/>
  <c r="BP221" i="2" s="1"/>
  <c r="P221" i="2"/>
  <c r="BO220" i="2"/>
  <c r="BM220" i="2"/>
  <c r="Y220" i="2"/>
  <c r="P220" i="2"/>
  <c r="BO219" i="2"/>
  <c r="BM219" i="2"/>
  <c r="Y219" i="2"/>
  <c r="P219" i="2"/>
  <c r="BO218" i="2"/>
  <c r="BM218" i="2"/>
  <c r="Y218" i="2"/>
  <c r="BN218" i="2" s="1"/>
  <c r="P218" i="2"/>
  <c r="BO217" i="2"/>
  <c r="BM217" i="2"/>
  <c r="Y217" i="2"/>
  <c r="BP217" i="2" s="1"/>
  <c r="P217" i="2"/>
  <c r="BO216" i="2"/>
  <c r="BM216" i="2"/>
  <c r="Y216" i="2"/>
  <c r="BN216" i="2" s="1"/>
  <c r="P216" i="2"/>
  <c r="BO215" i="2"/>
  <c r="BM215" i="2"/>
  <c r="Y215" i="2"/>
  <c r="BP215" i="2" s="1"/>
  <c r="P215" i="2"/>
  <c r="X213" i="2"/>
  <c r="X212" i="2"/>
  <c r="BO211" i="2"/>
  <c r="BM211" i="2"/>
  <c r="Y211" i="2"/>
  <c r="P211" i="2"/>
  <c r="X208" i="2"/>
  <c r="X207" i="2"/>
  <c r="BO206" i="2"/>
  <c r="BM206" i="2"/>
  <c r="Y206" i="2"/>
  <c r="Z206" i="2" s="1"/>
  <c r="P206" i="2"/>
  <c r="BO205" i="2"/>
  <c r="BM205" i="2"/>
  <c r="Y205" i="2"/>
  <c r="P205" i="2"/>
  <c r="BO204" i="2"/>
  <c r="BM204" i="2"/>
  <c r="Y204" i="2"/>
  <c r="BN204" i="2" s="1"/>
  <c r="P204" i="2"/>
  <c r="BO203" i="2"/>
  <c r="BM203" i="2"/>
  <c r="Y203" i="2"/>
  <c r="Z203" i="2" s="1"/>
  <c r="P203" i="2"/>
  <c r="BO202" i="2"/>
  <c r="BM202" i="2"/>
  <c r="Y202" i="2"/>
  <c r="P202" i="2"/>
  <c r="BO201" i="2"/>
  <c r="BM201" i="2"/>
  <c r="Y201" i="2"/>
  <c r="BN201" i="2" s="1"/>
  <c r="P201" i="2"/>
  <c r="BO200" i="2"/>
  <c r="BM200" i="2"/>
  <c r="Y200" i="2"/>
  <c r="P200" i="2"/>
  <c r="X196" i="2"/>
  <c r="X195" i="2"/>
  <c r="BO194" i="2"/>
  <c r="BM194" i="2"/>
  <c r="Y194" i="2"/>
  <c r="P194" i="2"/>
  <c r="X192" i="2"/>
  <c r="X191" i="2"/>
  <c r="BO190" i="2"/>
  <c r="BM190" i="2"/>
  <c r="Y190" i="2"/>
  <c r="Z190" i="2" s="1"/>
  <c r="P190" i="2"/>
  <c r="BO189" i="2"/>
  <c r="BM189" i="2"/>
  <c r="Y189" i="2"/>
  <c r="BN189" i="2" s="1"/>
  <c r="P189" i="2"/>
  <c r="BO188" i="2"/>
  <c r="BM188" i="2"/>
  <c r="Y188" i="2"/>
  <c r="P188" i="2"/>
  <c r="X186" i="2"/>
  <c r="X185" i="2"/>
  <c r="BO184" i="2"/>
  <c r="BM184" i="2"/>
  <c r="Y184" i="2"/>
  <c r="P184" i="2"/>
  <c r="BO183" i="2"/>
  <c r="BM183" i="2"/>
  <c r="Y183" i="2"/>
  <c r="BN183" i="2" s="1"/>
  <c r="P183" i="2"/>
  <c r="BO182" i="2"/>
  <c r="BM182" i="2"/>
  <c r="Y182" i="2"/>
  <c r="BP182" i="2" s="1"/>
  <c r="P182" i="2"/>
  <c r="BO181" i="2"/>
  <c r="BM181" i="2"/>
  <c r="Y181" i="2"/>
  <c r="BN181" i="2" s="1"/>
  <c r="P181" i="2"/>
  <c r="BO180" i="2"/>
  <c r="BM180" i="2"/>
  <c r="Y180" i="2"/>
  <c r="Z180" i="2" s="1"/>
  <c r="P180" i="2"/>
  <c r="BO179" i="2"/>
  <c r="BM179" i="2"/>
  <c r="Y179" i="2"/>
  <c r="BP179" i="2" s="1"/>
  <c r="P179" i="2"/>
  <c r="BO178" i="2"/>
  <c r="BM178" i="2"/>
  <c r="Y178" i="2"/>
  <c r="BP178" i="2" s="1"/>
  <c r="P178" i="2"/>
  <c r="BO177" i="2"/>
  <c r="BM177" i="2"/>
  <c r="Y177" i="2"/>
  <c r="Z177" i="2" s="1"/>
  <c r="P177" i="2"/>
  <c r="BO176" i="2"/>
  <c r="BM176" i="2"/>
  <c r="Y176" i="2"/>
  <c r="BP176" i="2" s="1"/>
  <c r="P176" i="2"/>
  <c r="BO175" i="2"/>
  <c r="BM175" i="2"/>
  <c r="Y175" i="2"/>
  <c r="BP175" i="2" s="1"/>
  <c r="P175" i="2"/>
  <c r="BO174" i="2"/>
  <c r="BM174" i="2"/>
  <c r="Y174" i="2"/>
  <c r="Z174" i="2" s="1"/>
  <c r="P174" i="2"/>
  <c r="BO173" i="2"/>
  <c r="BM173" i="2"/>
  <c r="Y173" i="2"/>
  <c r="P173" i="2"/>
  <c r="X171" i="2"/>
  <c r="X170" i="2"/>
  <c r="BO169" i="2"/>
  <c r="BM169" i="2"/>
  <c r="Y169" i="2"/>
  <c r="Z169" i="2" s="1"/>
  <c r="P169" i="2"/>
  <c r="BO168" i="2"/>
  <c r="BM168" i="2"/>
  <c r="Y168" i="2"/>
  <c r="BN168" i="2" s="1"/>
  <c r="P168" i="2"/>
  <c r="X166" i="2"/>
  <c r="X165" i="2"/>
  <c r="BO164" i="2"/>
  <c r="BM164" i="2"/>
  <c r="Y164" i="2"/>
  <c r="P164" i="2"/>
  <c r="BO163" i="2"/>
  <c r="BM163" i="2"/>
  <c r="Y163" i="2"/>
  <c r="P163" i="2"/>
  <c r="BO162" i="2"/>
  <c r="BM162" i="2"/>
  <c r="Y162" i="2"/>
  <c r="BN162" i="2" s="1"/>
  <c r="P162" i="2"/>
  <c r="X159" i="2"/>
  <c r="X158" i="2"/>
  <c r="BO157" i="2"/>
  <c r="BM157" i="2"/>
  <c r="Y157" i="2"/>
  <c r="P157" i="2"/>
  <c r="X155" i="2"/>
  <c r="X154" i="2"/>
  <c r="BO153" i="2"/>
  <c r="BM153" i="2"/>
  <c r="Y153" i="2"/>
  <c r="P153" i="2"/>
  <c r="BO152" i="2"/>
  <c r="BM152" i="2"/>
  <c r="Y152" i="2"/>
  <c r="BP152" i="2" s="1"/>
  <c r="P152" i="2"/>
  <c r="BO151" i="2"/>
  <c r="BM151" i="2"/>
  <c r="Y151" i="2"/>
  <c r="BP151" i="2" s="1"/>
  <c r="P151" i="2"/>
  <c r="BO150" i="2"/>
  <c r="BM150" i="2"/>
  <c r="Y150" i="2"/>
  <c r="BN150" i="2" s="1"/>
  <c r="P150" i="2"/>
  <c r="BO149" i="2"/>
  <c r="BM149" i="2"/>
  <c r="Y149" i="2"/>
  <c r="P149" i="2"/>
  <c r="BO148" i="2"/>
  <c r="BM148" i="2"/>
  <c r="Y148" i="2"/>
  <c r="BP148" i="2" s="1"/>
  <c r="P148" i="2"/>
  <c r="X145" i="2"/>
  <c r="X144" i="2"/>
  <c r="BO143" i="2"/>
  <c r="BM143" i="2"/>
  <c r="Y143" i="2"/>
  <c r="Z143" i="2" s="1"/>
  <c r="P143" i="2"/>
  <c r="BO142" i="2"/>
  <c r="BM142" i="2"/>
  <c r="Y142" i="2"/>
  <c r="P142" i="2"/>
  <c r="X140" i="2"/>
  <c r="X139" i="2"/>
  <c r="BO138" i="2"/>
  <c r="BM138" i="2"/>
  <c r="Y138" i="2"/>
  <c r="BP138" i="2" s="1"/>
  <c r="P138" i="2"/>
  <c r="BP137" i="2"/>
  <c r="BO137" i="2"/>
  <c r="BM137" i="2"/>
  <c r="Y137" i="2"/>
  <c r="P137" i="2"/>
  <c r="X135" i="2"/>
  <c r="X134" i="2"/>
  <c r="BO133" i="2"/>
  <c r="BN133" i="2"/>
  <c r="BM133" i="2"/>
  <c r="Z133" i="2"/>
  <c r="Y133" i="2"/>
  <c r="P133" i="2"/>
  <c r="BO132" i="2"/>
  <c r="BM132" i="2"/>
  <c r="Y132" i="2"/>
  <c r="P132" i="2"/>
  <c r="X129" i="2"/>
  <c r="X128" i="2"/>
  <c r="BO127" i="2"/>
  <c r="BM127" i="2"/>
  <c r="Y127" i="2"/>
  <c r="P127" i="2"/>
  <c r="X125" i="2"/>
  <c r="X124" i="2"/>
  <c r="BO123" i="2"/>
  <c r="BM123" i="2"/>
  <c r="Y123" i="2"/>
  <c r="Z123" i="2" s="1"/>
  <c r="P123" i="2"/>
  <c r="BO122" i="2"/>
  <c r="BM122" i="2"/>
  <c r="Y122" i="2"/>
  <c r="Z122" i="2" s="1"/>
  <c r="P122" i="2"/>
  <c r="BO121" i="2"/>
  <c r="BM121" i="2"/>
  <c r="Y121" i="2"/>
  <c r="BP121" i="2" s="1"/>
  <c r="P121" i="2"/>
  <c r="BO120" i="2"/>
  <c r="BM120" i="2"/>
  <c r="Y120" i="2"/>
  <c r="P120" i="2"/>
  <c r="X118" i="2"/>
  <c r="X117" i="2"/>
  <c r="BO116" i="2"/>
  <c r="BM116" i="2"/>
  <c r="Y116" i="2"/>
  <c r="BN116" i="2" s="1"/>
  <c r="P116" i="2"/>
  <c r="BO115" i="2"/>
  <c r="BM115" i="2"/>
  <c r="Y115" i="2"/>
  <c r="P115" i="2"/>
  <c r="BO114" i="2"/>
  <c r="BM114" i="2"/>
  <c r="Y114" i="2"/>
  <c r="BN114" i="2" s="1"/>
  <c r="P114" i="2"/>
  <c r="BO113" i="2"/>
  <c r="BM113" i="2"/>
  <c r="Y113" i="2"/>
  <c r="Z113" i="2" s="1"/>
  <c r="P113" i="2"/>
  <c r="BO112" i="2"/>
  <c r="BM112" i="2"/>
  <c r="Y112" i="2"/>
  <c r="Z112" i="2" s="1"/>
  <c r="P112" i="2"/>
  <c r="X110" i="2"/>
  <c r="X109" i="2"/>
  <c r="BO108" i="2"/>
  <c r="BM108" i="2"/>
  <c r="Y108" i="2"/>
  <c r="BP108" i="2" s="1"/>
  <c r="P108" i="2"/>
  <c r="BO107" i="2"/>
  <c r="BM107" i="2"/>
  <c r="Y107" i="2"/>
  <c r="BP107" i="2" s="1"/>
  <c r="P107" i="2"/>
  <c r="BO106" i="2"/>
  <c r="BM106" i="2"/>
  <c r="Y106" i="2"/>
  <c r="BN106" i="2" s="1"/>
  <c r="P106" i="2"/>
  <c r="BO105" i="2"/>
  <c r="BM105" i="2"/>
  <c r="Y105" i="2"/>
  <c r="BP105" i="2" s="1"/>
  <c r="P105" i="2"/>
  <c r="BO104" i="2"/>
  <c r="BM104" i="2"/>
  <c r="Y104" i="2"/>
  <c r="BN104" i="2" s="1"/>
  <c r="P104" i="2"/>
  <c r="BO103" i="2"/>
  <c r="BM103" i="2"/>
  <c r="Y103" i="2"/>
  <c r="Z103" i="2" s="1"/>
  <c r="P103" i="2"/>
  <c r="BO102" i="2"/>
  <c r="BM102" i="2"/>
  <c r="Y102" i="2"/>
  <c r="BP102" i="2" s="1"/>
  <c r="P102" i="2"/>
  <c r="BO101" i="2"/>
  <c r="BM101" i="2"/>
  <c r="Z101" i="2"/>
  <c r="Y101" i="2"/>
  <c r="BP101" i="2" s="1"/>
  <c r="P101" i="2"/>
  <c r="X98" i="2"/>
  <c r="X97" i="2"/>
  <c r="BO96" i="2"/>
  <c r="BM96" i="2"/>
  <c r="Y96" i="2"/>
  <c r="P96" i="2"/>
  <c r="BO95" i="2"/>
  <c r="BM95" i="2"/>
  <c r="Y95" i="2"/>
  <c r="BN95" i="2" s="1"/>
  <c r="P95" i="2"/>
  <c r="BO94" i="2"/>
  <c r="BM94" i="2"/>
  <c r="Y94" i="2"/>
  <c r="P94" i="2"/>
  <c r="BO93" i="2"/>
  <c r="BM93" i="2"/>
  <c r="Y93" i="2"/>
  <c r="BP93" i="2" s="1"/>
  <c r="P93" i="2"/>
  <c r="X91" i="2"/>
  <c r="X90" i="2"/>
  <c r="BO89" i="2"/>
  <c r="BM89" i="2"/>
  <c r="Y89" i="2"/>
  <c r="BP89" i="2" s="1"/>
  <c r="P89" i="2"/>
  <c r="BO88" i="2"/>
  <c r="BM88" i="2"/>
  <c r="Y88" i="2"/>
  <c r="BP88" i="2" s="1"/>
  <c r="P88" i="2"/>
  <c r="BO87" i="2"/>
  <c r="BM87" i="2"/>
  <c r="Y87" i="2"/>
  <c r="BP87" i="2" s="1"/>
  <c r="P87" i="2"/>
  <c r="BO86" i="2"/>
  <c r="BM86" i="2"/>
  <c r="Y86" i="2"/>
  <c r="BP86" i="2" s="1"/>
  <c r="P86" i="2"/>
  <c r="BO85" i="2"/>
  <c r="BM85" i="2"/>
  <c r="Y85" i="2"/>
  <c r="Z85" i="2" s="1"/>
  <c r="P85" i="2"/>
  <c r="X82" i="2"/>
  <c r="X81" i="2"/>
  <c r="BO80" i="2"/>
  <c r="BM80" i="2"/>
  <c r="Y80" i="2"/>
  <c r="Z80" i="2" s="1"/>
  <c r="P80" i="2"/>
  <c r="BO79" i="2"/>
  <c r="BM79" i="2"/>
  <c r="Y79" i="2"/>
  <c r="BP79" i="2" s="1"/>
  <c r="P79" i="2"/>
  <c r="BO78" i="2"/>
  <c r="BM78" i="2"/>
  <c r="Y78" i="2"/>
  <c r="BN78" i="2" s="1"/>
  <c r="P78" i="2"/>
  <c r="X76" i="2"/>
  <c r="X75" i="2"/>
  <c r="BO74" i="2"/>
  <c r="BM74" i="2"/>
  <c r="Y74" i="2"/>
  <c r="BP74" i="2" s="1"/>
  <c r="P74" i="2"/>
  <c r="BO73" i="2"/>
  <c r="BM73" i="2"/>
  <c r="Y73" i="2"/>
  <c r="P73" i="2"/>
  <c r="BO72" i="2"/>
  <c r="BM72" i="2"/>
  <c r="Y72" i="2"/>
  <c r="Y76" i="2" s="1"/>
  <c r="P72" i="2"/>
  <c r="X70" i="2"/>
  <c r="X69" i="2"/>
  <c r="BO68" i="2"/>
  <c r="BM68" i="2"/>
  <c r="Y68" i="2"/>
  <c r="BP68" i="2" s="1"/>
  <c r="P68" i="2"/>
  <c r="BO67" i="2"/>
  <c r="BM67" i="2"/>
  <c r="Y67" i="2"/>
  <c r="BP67" i="2" s="1"/>
  <c r="P67" i="2"/>
  <c r="BO66" i="2"/>
  <c r="BM66" i="2"/>
  <c r="Y66" i="2"/>
  <c r="Z66" i="2" s="1"/>
  <c r="P66" i="2"/>
  <c r="BO65" i="2"/>
  <c r="BM65" i="2"/>
  <c r="Y65" i="2"/>
  <c r="P65" i="2"/>
  <c r="X63" i="2"/>
  <c r="X62" i="2"/>
  <c r="BO61" i="2"/>
  <c r="BM61" i="2"/>
  <c r="Y61" i="2"/>
  <c r="BP61" i="2" s="1"/>
  <c r="P61" i="2"/>
  <c r="BP60" i="2"/>
  <c r="BO60" i="2"/>
  <c r="BM60" i="2"/>
  <c r="Y60" i="2"/>
  <c r="P60" i="2"/>
  <c r="BO59" i="2"/>
  <c r="BM59" i="2"/>
  <c r="Y59" i="2"/>
  <c r="Z59" i="2" s="1"/>
  <c r="P59" i="2"/>
  <c r="BO58" i="2"/>
  <c r="BM58" i="2"/>
  <c r="Y58" i="2"/>
  <c r="BP58" i="2" s="1"/>
  <c r="P58" i="2"/>
  <c r="BO57" i="2"/>
  <c r="BM57" i="2"/>
  <c r="Y57" i="2"/>
  <c r="P57" i="2"/>
  <c r="BO56" i="2"/>
  <c r="BM56" i="2"/>
  <c r="Y56" i="2"/>
  <c r="P56" i="2"/>
  <c r="BO55" i="2"/>
  <c r="BM55" i="2"/>
  <c r="Y55" i="2"/>
  <c r="P55" i="2"/>
  <c r="X52" i="2"/>
  <c r="X51" i="2"/>
  <c r="BO50" i="2"/>
  <c r="BM50" i="2"/>
  <c r="Y50" i="2"/>
  <c r="BP50" i="2" s="1"/>
  <c r="P50" i="2"/>
  <c r="BO49" i="2"/>
  <c r="BM49" i="2"/>
  <c r="Y49" i="2"/>
  <c r="P49" i="2"/>
  <c r="BO48" i="2"/>
  <c r="BM48" i="2"/>
  <c r="Y48" i="2"/>
  <c r="Z48" i="2" s="1"/>
  <c r="P48" i="2"/>
  <c r="BO47" i="2"/>
  <c r="BM47" i="2"/>
  <c r="Y47" i="2"/>
  <c r="BP47" i="2" s="1"/>
  <c r="P47" i="2"/>
  <c r="X43" i="2"/>
  <c r="X42" i="2"/>
  <c r="BO41" i="2"/>
  <c r="BM41" i="2"/>
  <c r="Y41" i="2"/>
  <c r="BN41" i="2" s="1"/>
  <c r="P41" i="2"/>
  <c r="BO40" i="2"/>
  <c r="BM40" i="2"/>
  <c r="Y40" i="2"/>
  <c r="P40" i="2"/>
  <c r="BO39" i="2"/>
  <c r="BM39" i="2"/>
  <c r="Y39" i="2"/>
  <c r="BP39" i="2" s="1"/>
  <c r="P39" i="2"/>
  <c r="BO38" i="2"/>
  <c r="BM38" i="2"/>
  <c r="Y38" i="2"/>
  <c r="BP38" i="2" s="1"/>
  <c r="P38" i="2"/>
  <c r="BO37" i="2"/>
  <c r="BM37" i="2"/>
  <c r="Y37" i="2"/>
  <c r="P37" i="2"/>
  <c r="X33" i="2"/>
  <c r="X32" i="2"/>
  <c r="BO31" i="2"/>
  <c r="BM31" i="2"/>
  <c r="Y31" i="2"/>
  <c r="P31" i="2"/>
  <c r="BO30" i="2"/>
  <c r="BM30" i="2"/>
  <c r="Y30" i="2"/>
  <c r="BP30" i="2" s="1"/>
  <c r="P30" i="2"/>
  <c r="BO29" i="2"/>
  <c r="BM29" i="2"/>
  <c r="Y29" i="2"/>
  <c r="BP29" i="2" s="1"/>
  <c r="P29" i="2"/>
  <c r="BO28" i="2"/>
  <c r="BM28" i="2"/>
  <c r="Y28" i="2"/>
  <c r="Z28" i="2" s="1"/>
  <c r="P28" i="2"/>
  <c r="BO27" i="2"/>
  <c r="BM27" i="2"/>
  <c r="Y27" i="2"/>
  <c r="Z27" i="2" s="1"/>
  <c r="P27" i="2"/>
  <c r="X25" i="2"/>
  <c r="X24" i="2"/>
  <c r="BO23" i="2"/>
  <c r="BM23" i="2"/>
  <c r="Y23" i="2"/>
  <c r="P23" i="2"/>
  <c r="BO22" i="2"/>
  <c r="BM22" i="2"/>
  <c r="Y22" i="2"/>
  <c r="BP22" i="2" s="1"/>
  <c r="P22" i="2"/>
  <c r="H10" i="2"/>
  <c r="A9" i="2"/>
  <c r="A10" i="2" s="1"/>
  <c r="D7" i="2"/>
  <c r="Q6" i="2"/>
  <c r="P2" i="2"/>
  <c r="Z38" i="2" l="1"/>
  <c r="Z189" i="2"/>
  <c r="Z247" i="2"/>
  <c r="BN247" i="2"/>
  <c r="Z251" i="2"/>
  <c r="Z252" i="2" s="1"/>
  <c r="BN251" i="2"/>
  <c r="BP251" i="2"/>
  <c r="Y252" i="2"/>
  <c r="Z316" i="2"/>
  <c r="Z317" i="2" s="1"/>
  <c r="BN316" i="2"/>
  <c r="Y318" i="2"/>
  <c r="Z322" i="2"/>
  <c r="BN322" i="2"/>
  <c r="Z323" i="2"/>
  <c r="BN323" i="2"/>
  <c r="Z370" i="2"/>
  <c r="BN370" i="2"/>
  <c r="Z439" i="2"/>
  <c r="BN439" i="2"/>
  <c r="BP443" i="2"/>
  <c r="Z520" i="2"/>
  <c r="BP48" i="2"/>
  <c r="Z88" i="2"/>
  <c r="BN88" i="2"/>
  <c r="Z106" i="2"/>
  <c r="BP116" i="2"/>
  <c r="Z168" i="2"/>
  <c r="Z170" i="2" s="1"/>
  <c r="Z217" i="2"/>
  <c r="BN217" i="2"/>
  <c r="Z218" i="2"/>
  <c r="BP229" i="2"/>
  <c r="Z287" i="2"/>
  <c r="Z382" i="2"/>
  <c r="BN382" i="2"/>
  <c r="Z465" i="2"/>
  <c r="BN465" i="2"/>
  <c r="Z487" i="2"/>
  <c r="Z488" i="2" s="1"/>
  <c r="Z501" i="2"/>
  <c r="BP529" i="2"/>
  <c r="Y264" i="2"/>
  <c r="Z22" i="2"/>
  <c r="BN22" i="2"/>
  <c r="Y25" i="2"/>
  <c r="BP41" i="2"/>
  <c r="Z58" i="2"/>
  <c r="Z78" i="2"/>
  <c r="Z79" i="2"/>
  <c r="BN79" i="2"/>
  <c r="Z86" i="2"/>
  <c r="BN86" i="2"/>
  <c r="Z107" i="2"/>
  <c r="BN107" i="2"/>
  <c r="Y118" i="2"/>
  <c r="BP114" i="2"/>
  <c r="Z121" i="2"/>
  <c r="BN121" i="2"/>
  <c r="Z178" i="2"/>
  <c r="BN178" i="2"/>
  <c r="Z182" i="2"/>
  <c r="BN182" i="2"/>
  <c r="Z183" i="2"/>
  <c r="Y191" i="2"/>
  <c r="Z204" i="2"/>
  <c r="Z221" i="2"/>
  <c r="BN221" i="2"/>
  <c r="BP227" i="2"/>
  <c r="Z237" i="2"/>
  <c r="BN237" i="2"/>
  <c r="Z268" i="2"/>
  <c r="BP280" i="2"/>
  <c r="BP285" i="2"/>
  <c r="Z304" i="2"/>
  <c r="BN304" i="2"/>
  <c r="BP312" i="2"/>
  <c r="Z333" i="2"/>
  <c r="BN333" i="2"/>
  <c r="Z346" i="2"/>
  <c r="BN346" i="2"/>
  <c r="Z347" i="2"/>
  <c r="BN347" i="2"/>
  <c r="Y348" i="2"/>
  <c r="Y349" i="2"/>
  <c r="Z362" i="2"/>
  <c r="BN362" i="2"/>
  <c r="Z374" i="2"/>
  <c r="BN374" i="2"/>
  <c r="Z387" i="2"/>
  <c r="Z400" i="2"/>
  <c r="BN400" i="2"/>
  <c r="Z418" i="2"/>
  <c r="BN418" i="2"/>
  <c r="Z450" i="2"/>
  <c r="BN450" i="2"/>
  <c r="Y451" i="2"/>
  <c r="Y452" i="2"/>
  <c r="Z477" i="2"/>
  <c r="BN477" i="2"/>
  <c r="BP517" i="2"/>
  <c r="Z522" i="2"/>
  <c r="Z533" i="2"/>
  <c r="Z534" i="2" s="1"/>
  <c r="BN533" i="2"/>
  <c r="Y543" i="2"/>
  <c r="BP31" i="2"/>
  <c r="Z31" i="2"/>
  <c r="Y52" i="2"/>
  <c r="BN55" i="2"/>
  <c r="Z55" i="2"/>
  <c r="BN57" i="2"/>
  <c r="BP57" i="2"/>
  <c r="Y69" i="2"/>
  <c r="BP65" i="2"/>
  <c r="BN68" i="2"/>
  <c r="Z81" i="2"/>
  <c r="Y81" i="2"/>
  <c r="BP115" i="2"/>
  <c r="Z115" i="2"/>
  <c r="BN123" i="2"/>
  <c r="BP123" i="2"/>
  <c r="Y128" i="2"/>
  <c r="Z127" i="2"/>
  <c r="Z128" i="2" s="1"/>
  <c r="BP142" i="2"/>
  <c r="Y144" i="2"/>
  <c r="BN142" i="2"/>
  <c r="Z142" i="2"/>
  <c r="Z144" i="2" s="1"/>
  <c r="BN149" i="2"/>
  <c r="Z149" i="2"/>
  <c r="BP153" i="2"/>
  <c r="BN153" i="2"/>
  <c r="Z153" i="2"/>
  <c r="Y159" i="2"/>
  <c r="Y158" i="2"/>
  <c r="BP157" i="2"/>
  <c r="BN157" i="2"/>
  <c r="Z157" i="2"/>
  <c r="Z158" i="2" s="1"/>
  <c r="BN163" i="2"/>
  <c r="Z163" i="2"/>
  <c r="Y195" i="2"/>
  <c r="BN194" i="2"/>
  <c r="Z194" i="2"/>
  <c r="Z195" i="2" s="1"/>
  <c r="BP200" i="2"/>
  <c r="BN200" i="2"/>
  <c r="Z200" i="2"/>
  <c r="BP202" i="2"/>
  <c r="BN202" i="2"/>
  <c r="Z202" i="2"/>
  <c r="BP223" i="2"/>
  <c r="BN223" i="2"/>
  <c r="Z223" i="2"/>
  <c r="BN23" i="2"/>
  <c r="BP23" i="2"/>
  <c r="Y24" i="2"/>
  <c r="BN28" i="2"/>
  <c r="BP28" i="2"/>
  <c r="BN29" i="2"/>
  <c r="Z29" i="2"/>
  <c r="BN40" i="2"/>
  <c r="BP40" i="2"/>
  <c r="BN49" i="2"/>
  <c r="Z49" i="2"/>
  <c r="BN59" i="2"/>
  <c r="BP59" i="2"/>
  <c r="BN60" i="2"/>
  <c r="Z60" i="2"/>
  <c r="BN67" i="2"/>
  <c r="Z67" i="2"/>
  <c r="Y75" i="2"/>
  <c r="Z73" i="2"/>
  <c r="Y91" i="2"/>
  <c r="BP94" i="2"/>
  <c r="BN94" i="2"/>
  <c r="Z94" i="2"/>
  <c r="BP96" i="2"/>
  <c r="BN96" i="2"/>
  <c r="Z96" i="2"/>
  <c r="BN103" i="2"/>
  <c r="BP103" i="2"/>
  <c r="BN105" i="2"/>
  <c r="BP127" i="2"/>
  <c r="H564" i="2"/>
  <c r="BP132" i="2"/>
  <c r="BN132" i="2"/>
  <c r="Z132" i="2"/>
  <c r="Z134" i="2" s="1"/>
  <c r="Y139" i="2"/>
  <c r="Z137" i="2"/>
  <c r="BP149" i="2"/>
  <c r="BP163" i="2"/>
  <c r="BP164" i="2"/>
  <c r="BN164" i="2"/>
  <c r="Z164" i="2"/>
  <c r="BP184" i="2"/>
  <c r="BN184" i="2"/>
  <c r="Z184" i="2"/>
  <c r="Y212" i="2"/>
  <c r="BP211" i="2"/>
  <c r="BN211" i="2"/>
  <c r="Z211" i="2"/>
  <c r="Z212" i="2" s="1"/>
  <c r="Y213" i="2"/>
  <c r="BN215" i="2"/>
  <c r="BP219" i="2"/>
  <c r="BN219" i="2"/>
  <c r="Z219" i="2"/>
  <c r="BP226" i="2"/>
  <c r="BN226" i="2"/>
  <c r="BN228" i="2"/>
  <c r="BN236" i="2"/>
  <c r="BN241" i="2"/>
  <c r="BN246" i="2"/>
  <c r="BN256" i="2"/>
  <c r="BN262" i="2"/>
  <c r="BN279" i="2"/>
  <c r="BN281" i="2"/>
  <c r="BN286" i="2"/>
  <c r="Y295" i="2"/>
  <c r="BP326" i="2"/>
  <c r="BN331" i="2"/>
  <c r="BN340" i="2"/>
  <c r="BP354" i="2"/>
  <c r="BN354" i="2"/>
  <c r="Z354" i="2"/>
  <c r="BP364" i="2"/>
  <c r="BN364" i="2"/>
  <c r="Z364" i="2"/>
  <c r="BP380" i="2"/>
  <c r="BN380" i="2"/>
  <c r="Z380" i="2"/>
  <c r="BN399" i="2"/>
  <c r="Y402" i="2"/>
  <c r="Y403" i="2"/>
  <c r="BN405" i="2"/>
  <c r="Z405" i="2"/>
  <c r="BP406" i="2"/>
  <c r="BN406" i="2"/>
  <c r="Z406" i="2"/>
  <c r="W564" i="2"/>
  <c r="BP426" i="2"/>
  <c r="BN426" i="2"/>
  <c r="Z426" i="2"/>
  <c r="BP429" i="2"/>
  <c r="BN429" i="2"/>
  <c r="Z429" i="2"/>
  <c r="BP430" i="2"/>
  <c r="BN430" i="2"/>
  <c r="Z430" i="2"/>
  <c r="BN433" i="2"/>
  <c r="Z433" i="2"/>
  <c r="Z466" i="2"/>
  <c r="BP466" i="2"/>
  <c r="BN476" i="2"/>
  <c r="BN482" i="2"/>
  <c r="BP482" i="2"/>
  <c r="BP500" i="2"/>
  <c r="BN500" i="2"/>
  <c r="Z500" i="2"/>
  <c r="BP518" i="2"/>
  <c r="BN518" i="2"/>
  <c r="Z518" i="2"/>
  <c r="BP545" i="2"/>
  <c r="Y548" i="2"/>
  <c r="Y547" i="2"/>
  <c r="BN545" i="2"/>
  <c r="Z545" i="2"/>
  <c r="BN546" i="2"/>
  <c r="B564" i="2"/>
  <c r="X555" i="2"/>
  <c r="X556" i="2"/>
  <c r="X554" i="2"/>
  <c r="Y32" i="2"/>
  <c r="Y42" i="2"/>
  <c r="BN72" i="2"/>
  <c r="BN74" i="2"/>
  <c r="BP85" i="2"/>
  <c r="Y110" i="2"/>
  <c r="BP106" i="2"/>
  <c r="BP112" i="2"/>
  <c r="BN113" i="2"/>
  <c r="BP113" i="2"/>
  <c r="BN152" i="2"/>
  <c r="Y171" i="2"/>
  <c r="BP169" i="2"/>
  <c r="BN174" i="2"/>
  <c r="BP174" i="2"/>
  <c r="BN175" i="2"/>
  <c r="BN180" i="2"/>
  <c r="BP180" i="2"/>
  <c r="BN188" i="2"/>
  <c r="BP188" i="2"/>
  <c r="BP189" i="2"/>
  <c r="BN190" i="2"/>
  <c r="BP190" i="2"/>
  <c r="BN203" i="2"/>
  <c r="BP203" i="2"/>
  <c r="Z233" i="2"/>
  <c r="BN233" i="2"/>
  <c r="BN234" i="2"/>
  <c r="BN238" i="2"/>
  <c r="Y258" i="2"/>
  <c r="Y259" i="2"/>
  <c r="BN261" i="2"/>
  <c r="Y263" i="2"/>
  <c r="Z266" i="2"/>
  <c r="BN266" i="2"/>
  <c r="BP266" i="2"/>
  <c r="BN267" i="2"/>
  <c r="BP267" i="2"/>
  <c r="BP268" i="2"/>
  <c r="BN269" i="2"/>
  <c r="BP270" i="2"/>
  <c r="BN271" i="2"/>
  <c r="Z272" i="2"/>
  <c r="BN272" i="2"/>
  <c r="Y289" i="2"/>
  <c r="Z292" i="2"/>
  <c r="BN300" i="2"/>
  <c r="BN302" i="2"/>
  <c r="BP303" i="2"/>
  <c r="Z324" i="2"/>
  <c r="BN324" i="2"/>
  <c r="BN325" i="2"/>
  <c r="Z326" i="2"/>
  <c r="BN338" i="2"/>
  <c r="BN342" i="2"/>
  <c r="Y366" i="2"/>
  <c r="BP360" i="2"/>
  <c r="BN360" i="2"/>
  <c r="Z360" i="2"/>
  <c r="BP372" i="2"/>
  <c r="BN372" i="2"/>
  <c r="Z372" i="2"/>
  <c r="Y383" i="2"/>
  <c r="Y389" i="2"/>
  <c r="BP413" i="2"/>
  <c r="BN413" i="2"/>
  <c r="Z413" i="2"/>
  <c r="BN445" i="2"/>
  <c r="X564" i="2"/>
  <c r="Y458" i="2"/>
  <c r="Y457" i="2"/>
  <c r="BN456" i="2"/>
  <c r="Z456" i="2"/>
  <c r="BP473" i="2"/>
  <c r="BN473" i="2"/>
  <c r="Z473" i="2"/>
  <c r="BP502" i="2"/>
  <c r="BN502" i="2"/>
  <c r="Z502" i="2"/>
  <c r="BP506" i="2"/>
  <c r="BN506" i="2"/>
  <c r="Z506" i="2"/>
  <c r="BP512" i="2"/>
  <c r="BN512" i="2"/>
  <c r="Z512" i="2"/>
  <c r="BN431" i="2"/>
  <c r="BN438" i="2"/>
  <c r="Y461" i="2"/>
  <c r="Y462" i="2"/>
  <c r="BN491" i="2"/>
  <c r="BP491" i="2"/>
  <c r="BN493" i="2"/>
  <c r="BN503" i="2"/>
  <c r="BP503" i="2"/>
  <c r="Y509" i="2"/>
  <c r="BN505" i="2"/>
  <c r="BN513" i="2"/>
  <c r="BP513" i="2"/>
  <c r="BP520" i="2"/>
  <c r="BP522" i="2"/>
  <c r="BN523" i="2"/>
  <c r="BP523" i="2"/>
  <c r="Y531" i="2"/>
  <c r="BN537" i="2"/>
  <c r="BP537" i="2"/>
  <c r="Y538" i="2"/>
  <c r="Y539" i="2"/>
  <c r="F10" i="2"/>
  <c r="X557" i="2"/>
  <c r="BP56" i="2"/>
  <c r="BN56" i="2"/>
  <c r="BN50" i="2"/>
  <c r="BN206" i="2"/>
  <c r="BP301" i="2"/>
  <c r="BN301" i="2"/>
  <c r="BN321" i="2"/>
  <c r="Z348" i="2"/>
  <c r="BP359" i="2"/>
  <c r="Y409" i="2"/>
  <c r="BP405" i="2"/>
  <c r="Y408" i="2"/>
  <c r="BP444" i="2"/>
  <c r="BN444" i="2"/>
  <c r="Z444" i="2"/>
  <c r="Y447" i="2"/>
  <c r="Y483" i="2"/>
  <c r="BP481" i="2"/>
  <c r="BN481" i="2"/>
  <c r="Z481" i="2"/>
  <c r="BP95" i="2"/>
  <c r="BP104" i="2"/>
  <c r="Y124" i="2"/>
  <c r="BP143" i="2"/>
  <c r="BN143" i="2"/>
  <c r="BP206" i="2"/>
  <c r="Z227" i="2"/>
  <c r="Y230" i="2"/>
  <c r="Z235" i="2"/>
  <c r="Z277" i="2"/>
  <c r="Y290" i="2"/>
  <c r="Z280" i="2"/>
  <c r="BP283" i="2"/>
  <c r="BN283" i="2"/>
  <c r="Z298" i="2"/>
  <c r="Y306" i="2"/>
  <c r="Y305" i="2"/>
  <c r="O564" i="2"/>
  <c r="BP341" i="2"/>
  <c r="BN341" i="2"/>
  <c r="BN353" i="2"/>
  <c r="Z353" i="2"/>
  <c r="Z138" i="2"/>
  <c r="Z139" i="2" s="1"/>
  <c r="Y207" i="2"/>
  <c r="BP201" i="2"/>
  <c r="K564" i="2"/>
  <c r="Z341" i="2"/>
  <c r="Z363" i="2"/>
  <c r="BN412" i="2"/>
  <c r="Z412" i="2"/>
  <c r="Z414" i="2" s="1"/>
  <c r="U564" i="2"/>
  <c r="Y415" i="2"/>
  <c r="Y414" i="2"/>
  <c r="AA564" i="2"/>
  <c r="Y515" i="2"/>
  <c r="BP511" i="2"/>
  <c r="BN38" i="2"/>
  <c r="BN93" i="2"/>
  <c r="Y98" i="2"/>
  <c r="Z102" i="2"/>
  <c r="Z116" i="2"/>
  <c r="J9" i="2"/>
  <c r="X558" i="2"/>
  <c r="BN48" i="2"/>
  <c r="Z68" i="2"/>
  <c r="F564" i="2"/>
  <c r="BN85" i="2"/>
  <c r="Y90" i="2"/>
  <c r="Z93" i="2"/>
  <c r="Z105" i="2"/>
  <c r="BN108" i="2"/>
  <c r="Z108" i="2"/>
  <c r="Y134" i="2"/>
  <c r="BP133" i="2"/>
  <c r="BN169" i="2"/>
  <c r="BP183" i="2"/>
  <c r="Z201" i="2"/>
  <c r="BP218" i="2"/>
  <c r="BN224" i="2"/>
  <c r="BP241" i="2"/>
  <c r="BN277" i="2"/>
  <c r="BN298" i="2"/>
  <c r="Z338" i="2"/>
  <c r="R564" i="2"/>
  <c r="Y396" i="2"/>
  <c r="Z476" i="2"/>
  <c r="Z511" i="2"/>
  <c r="Y514" i="2"/>
  <c r="F9" i="2"/>
  <c r="H9" i="2"/>
  <c r="BN31" i="2"/>
  <c r="Z41" i="2"/>
  <c r="Y51" i="2"/>
  <c r="Z57" i="2"/>
  <c r="Z65" i="2"/>
  <c r="BN73" i="2"/>
  <c r="BN65" i="2"/>
  <c r="BP73" i="2"/>
  <c r="BN102" i="2"/>
  <c r="BN138" i="2"/>
  <c r="BP150" i="2"/>
  <c r="Z150" i="2"/>
  <c r="Y208" i="2"/>
  <c r="BP235" i="2"/>
  <c r="BP353" i="2"/>
  <c r="BN363" i="2"/>
  <c r="BN369" i="2"/>
  <c r="Z369" i="2"/>
  <c r="Y377" i="2"/>
  <c r="Z375" i="2"/>
  <c r="BN375" i="2"/>
  <c r="Y390" i="2"/>
  <c r="Z396" i="2"/>
  <c r="Y242" i="2"/>
  <c r="Y421" i="2"/>
  <c r="V564" i="2"/>
  <c r="Z419" i="2"/>
  <c r="BN292" i="2"/>
  <c r="Z308" i="2"/>
  <c r="Z309" i="2" s="1"/>
  <c r="Y310" i="2"/>
  <c r="Y335" i="2"/>
  <c r="Y334" i="2"/>
  <c r="Q564" i="2"/>
  <c r="BN392" i="2"/>
  <c r="Z181" i="2"/>
  <c r="L564" i="2"/>
  <c r="Z216" i="2"/>
  <c r="Z239" i="2"/>
  <c r="Y63" i="2"/>
  <c r="E564" i="2"/>
  <c r="BN127" i="2"/>
  <c r="J564" i="2"/>
  <c r="Y166" i="2"/>
  <c r="BP162" i="2"/>
  <c r="BP204" i="2"/>
  <c r="Z222" i="2"/>
  <c r="BN299" i="2"/>
  <c r="Z299" i="2"/>
  <c r="Z332" i="2"/>
  <c r="BP338" i="2"/>
  <c r="BP369" i="2"/>
  <c r="BP375" i="2"/>
  <c r="BN395" i="2"/>
  <c r="BN419" i="2"/>
  <c r="Y33" i="2"/>
  <c r="BN39" i="2"/>
  <c r="BP66" i="2"/>
  <c r="BN66" i="2"/>
  <c r="Z114" i="2"/>
  <c r="Z117" i="2" s="1"/>
  <c r="BN122" i="2"/>
  <c r="Y145" i="2"/>
  <c r="Z162" i="2"/>
  <c r="Z165" i="2" s="1"/>
  <c r="Y165" i="2"/>
  <c r="BP194" i="2"/>
  <c r="Z225" i="2"/>
  <c r="BN239" i="2"/>
  <c r="Y243" i="2"/>
  <c r="Z278" i="2"/>
  <c r="BN284" i="2"/>
  <c r="BP292" i="2"/>
  <c r="BN308" i="2"/>
  <c r="BP392" i="2"/>
  <c r="BP492" i="2"/>
  <c r="BN492" i="2"/>
  <c r="Z492" i="2"/>
  <c r="Y495" i="2"/>
  <c r="Y494" i="2"/>
  <c r="BN332" i="2"/>
  <c r="BN339" i="2"/>
  <c r="Z339" i="2"/>
  <c r="Y376" i="2"/>
  <c r="BP395" i="2"/>
  <c r="BP419" i="2"/>
  <c r="Y434" i="2"/>
  <c r="BP205" i="2"/>
  <c r="Z205" i="2"/>
  <c r="BP216" i="2"/>
  <c r="BN222" i="2"/>
  <c r="Y70" i="2"/>
  <c r="BP122" i="2"/>
  <c r="Z148" i="2"/>
  <c r="I564" i="2"/>
  <c r="Y155" i="2"/>
  <c r="Z151" i="2"/>
  <c r="Y154" i="2"/>
  <c r="BP173" i="2"/>
  <c r="Z173" i="2"/>
  <c r="Y186" i="2"/>
  <c r="Z176" i="2"/>
  <c r="Y248" i="2"/>
  <c r="BN245" i="2"/>
  <c r="Z270" i="2"/>
  <c r="BP273" i="2"/>
  <c r="BN273" i="2"/>
  <c r="BP284" i="2"/>
  <c r="BP287" i="2"/>
  <c r="BP293" i="2"/>
  <c r="BN293" i="2"/>
  <c r="BP299" i="2"/>
  <c r="Z303" i="2"/>
  <c r="BP308" i="2"/>
  <c r="Z373" i="2"/>
  <c r="Y484" i="2"/>
  <c r="Y524" i="2"/>
  <c r="Z39" i="2"/>
  <c r="Y97" i="2"/>
  <c r="Z89" i="2"/>
  <c r="Y125" i="2"/>
  <c r="BP120" i="2"/>
  <c r="BN120" i="2"/>
  <c r="Y135" i="2"/>
  <c r="Y170" i="2"/>
  <c r="Z179" i="2"/>
  <c r="Y196" i="2"/>
  <c r="BN205" i="2"/>
  <c r="BP225" i="2"/>
  <c r="Z245" i="2"/>
  <c r="Y249" i="2"/>
  <c r="Z262" i="2"/>
  <c r="Z273" i="2"/>
  <c r="BP278" i="2"/>
  <c r="Z293" i="2"/>
  <c r="Z294" i="2" s="1"/>
  <c r="BP332" i="2"/>
  <c r="Y343" i="2"/>
  <c r="Z428" i="2"/>
  <c r="Y435" i="2"/>
  <c r="Z521" i="2"/>
  <c r="BP181" i="2"/>
  <c r="C564" i="2"/>
  <c r="D564" i="2"/>
  <c r="BP49" i="2"/>
  <c r="BP55" i="2"/>
  <c r="BN61" i="2"/>
  <c r="BP72" i="2"/>
  <c r="Z72" i="2"/>
  <c r="G564" i="2"/>
  <c r="Y109" i="2"/>
  <c r="Y117" i="2"/>
  <c r="Z120" i="2"/>
  <c r="Y129" i="2"/>
  <c r="BN148" i="2"/>
  <c r="BN151" i="2"/>
  <c r="BN173" i="2"/>
  <c r="BN176" i="2"/>
  <c r="Y185" i="2"/>
  <c r="BN220" i="2"/>
  <c r="Z220" i="2"/>
  <c r="BP240" i="2"/>
  <c r="BN240" i="2"/>
  <c r="BN257" i="2"/>
  <c r="M564" i="2"/>
  <c r="BP288" i="2"/>
  <c r="BN288" i="2"/>
  <c r="Y309" i="2"/>
  <c r="BP339" i="2"/>
  <c r="BN373" i="2"/>
  <c r="BN379" i="2"/>
  <c r="Z379" i="2"/>
  <c r="Y397" i="2"/>
  <c r="Z407" i="2"/>
  <c r="BN407" i="2"/>
  <c r="Y468" i="2"/>
  <c r="BP464" i="2"/>
  <c r="Y467" i="2"/>
  <c r="Z564" i="2"/>
  <c r="Y43" i="2"/>
  <c r="Z61" i="2"/>
  <c r="BN27" i="2"/>
  <c r="Z30" i="2"/>
  <c r="Z37" i="2"/>
  <c r="BN58" i="2"/>
  <c r="BP27" i="2"/>
  <c r="BN30" i="2"/>
  <c r="BN37" i="2"/>
  <c r="Z40" i="2"/>
  <c r="Z47" i="2"/>
  <c r="BN80" i="2"/>
  <c r="BN89" i="2"/>
  <c r="BN137" i="2"/>
  <c r="Y140" i="2"/>
  <c r="BN179" i="2"/>
  <c r="Z229" i="2"/>
  <c r="Z240" i="2"/>
  <c r="Z257" i="2"/>
  <c r="Z282" i="2"/>
  <c r="Z285" i="2"/>
  <c r="Z288" i="2"/>
  <c r="Z464" i="2"/>
  <c r="BN521" i="2"/>
  <c r="Y328" i="2"/>
  <c r="P564" i="2"/>
  <c r="BN359" i="2"/>
  <c r="Z359" i="2"/>
  <c r="T564" i="2"/>
  <c r="Y367" i="2"/>
  <c r="Z365" i="2"/>
  <c r="BN365" i="2"/>
  <c r="BP388" i="2"/>
  <c r="BN388" i="2"/>
  <c r="Z388" i="2"/>
  <c r="BP504" i="2"/>
  <c r="BN504" i="2"/>
  <c r="Z504" i="2"/>
  <c r="BP37" i="2"/>
  <c r="BN47" i="2"/>
  <c r="Z50" i="2"/>
  <c r="Z56" i="2"/>
  <c r="Y62" i="2"/>
  <c r="BP80" i="2"/>
  <c r="Y192" i="2"/>
  <c r="BP220" i="2"/>
  <c r="BP262" i="2"/>
  <c r="Y274" i="2"/>
  <c r="Y313" i="2"/>
  <c r="BN312" i="2"/>
  <c r="Z312" i="2"/>
  <c r="Z313" i="2" s="1"/>
  <c r="Z321" i="2"/>
  <c r="Y356" i="2"/>
  <c r="BP352" i="2"/>
  <c r="S564" i="2"/>
  <c r="Y355" i="2"/>
  <c r="BN352" i="2"/>
  <c r="Z352" i="2"/>
  <c r="BP379" i="2"/>
  <c r="BP407" i="2"/>
  <c r="BP428" i="2"/>
  <c r="BN464" i="2"/>
  <c r="Y478" i="2"/>
  <c r="Z95" i="2"/>
  <c r="BN101" i="2"/>
  <c r="Z104" i="2"/>
  <c r="BN112" i="2"/>
  <c r="Z23" i="2"/>
  <c r="Y82" i="2"/>
  <c r="BP78" i="2"/>
  <c r="BN87" i="2"/>
  <c r="Z87" i="2"/>
  <c r="BN115" i="2"/>
  <c r="BP168" i="2"/>
  <c r="BP177" i="2"/>
  <c r="BN177" i="2"/>
  <c r="Z188" i="2"/>
  <c r="Z191" i="2" s="1"/>
  <c r="BP234" i="2"/>
  <c r="BP257" i="2"/>
  <c r="Y327" i="2"/>
  <c r="Y422" i="2"/>
  <c r="BP431" i="2"/>
  <c r="Z438" i="2"/>
  <c r="Y441" i="2"/>
  <c r="BN501" i="2"/>
  <c r="Y508" i="2"/>
  <c r="BP387" i="2"/>
  <c r="BP433" i="2"/>
  <c r="BN443" i="2"/>
  <c r="Y446" i="2"/>
  <c r="BP456" i="2"/>
  <c r="BN466" i="2"/>
  <c r="Y479" i="2"/>
  <c r="Z551" i="2"/>
  <c r="Z552" i="2" s="1"/>
  <c r="Y231" i="2"/>
  <c r="Z449" i="2"/>
  <c r="Z451" i="2" s="1"/>
  <c r="Z474" i="2"/>
  <c r="Z499" i="2"/>
  <c r="Z519" i="2"/>
  <c r="Z371" i="2"/>
  <c r="Z381" i="2"/>
  <c r="Z286" i="2"/>
  <c r="Z325" i="2"/>
  <c r="Z386" i="2"/>
  <c r="Z420" i="2"/>
  <c r="Z432" i="2"/>
  <c r="Z455" i="2"/>
  <c r="Y525" i="2"/>
  <c r="BN551" i="2"/>
  <c r="Z361" i="2"/>
  <c r="Z215" i="2"/>
  <c r="Z256" i="2"/>
  <c r="Z74" i="2"/>
  <c r="Z152" i="2"/>
  <c r="Z175" i="2"/>
  <c r="Z228" i="2"/>
  <c r="Z238" i="2"/>
  <c r="Z261" i="2"/>
  <c r="Z271" i="2"/>
  <c r="Z281" i="2"/>
  <c r="Z302" i="2"/>
  <c r="BP316" i="2"/>
  <c r="Z331" i="2"/>
  <c r="Z342" i="2"/>
  <c r="BN361" i="2"/>
  <c r="BN371" i="2"/>
  <c r="BN381" i="2"/>
  <c r="Z401" i="2"/>
  <c r="Z427" i="2"/>
  <c r="Z437" i="2"/>
  <c r="BN449" i="2"/>
  <c r="Z460" i="2"/>
  <c r="Z461" i="2" s="1"/>
  <c r="BN474" i="2"/>
  <c r="BP487" i="2"/>
  <c r="BN499" i="2"/>
  <c r="Z507" i="2"/>
  <c r="BN519" i="2"/>
  <c r="BP533" i="2"/>
  <c r="BN420" i="2"/>
  <c r="BN432" i="2"/>
  <c r="BN455" i="2"/>
  <c r="BP551" i="2"/>
  <c r="BN401" i="2"/>
  <c r="BN427" i="2"/>
  <c r="BN437" i="2"/>
  <c r="Y440" i="2"/>
  <c r="BN460" i="2"/>
  <c r="Z472" i="2"/>
  <c r="Z482" i="2"/>
  <c r="Y488" i="2"/>
  <c r="BP499" i="2"/>
  <c r="BN507" i="2"/>
  <c r="Z517" i="2"/>
  <c r="Z529" i="2"/>
  <c r="Z530" i="2" s="1"/>
  <c r="Y534" i="2"/>
  <c r="Z541" i="2"/>
  <c r="Z542" i="2" s="1"/>
  <c r="BP386" i="2"/>
  <c r="BP455" i="2"/>
  <c r="Z546" i="2"/>
  <c r="Y552" i="2"/>
  <c r="Z226" i="2"/>
  <c r="Z236" i="2"/>
  <c r="Z246" i="2"/>
  <c r="Z269" i="2"/>
  <c r="Z279" i="2"/>
  <c r="Z300" i="2"/>
  <c r="Z340" i="2"/>
  <c r="Z399" i="2"/>
  <c r="Z445" i="2"/>
  <c r="BN472" i="2"/>
  <c r="Z493" i="2"/>
  <c r="Z505" i="2"/>
  <c r="BN529" i="2"/>
  <c r="BN541" i="2"/>
  <c r="Y564" i="2"/>
  <c r="Y489" i="2"/>
  <c r="BP541" i="2"/>
  <c r="Y553" i="2"/>
  <c r="AB564" i="2"/>
  <c r="Z408" i="2" l="1"/>
  <c r="Z32" i="2"/>
  <c r="Z207" i="2"/>
  <c r="Z547" i="2"/>
  <c r="Z434" i="2"/>
  <c r="Z334" i="2"/>
  <c r="Z457" i="2"/>
  <c r="Z467" i="2"/>
  <c r="Z24" i="2"/>
  <c r="Z42" i="2"/>
  <c r="Z124" i="2"/>
  <c r="Z154" i="2"/>
  <c r="Y554" i="2"/>
  <c r="Z69" i="2"/>
  <c r="Y556" i="2"/>
  <c r="Z75" i="2"/>
  <c r="Z274" i="2"/>
  <c r="Z242" i="2"/>
  <c r="Z90" i="2"/>
  <c r="Z327" i="2"/>
  <c r="Z62" i="2"/>
  <c r="Y558" i="2"/>
  <c r="Z514" i="2"/>
  <c r="Z483" i="2"/>
  <c r="Z230" i="2"/>
  <c r="Z51" i="2"/>
  <c r="Y555" i="2"/>
  <c r="Y557" i="2" s="1"/>
  <c r="Z494" i="2"/>
  <c r="Z109" i="2"/>
  <c r="Z376" i="2"/>
  <c r="Z248" i="2"/>
  <c r="Z305" i="2"/>
  <c r="Z97" i="2"/>
  <c r="Z446" i="2"/>
  <c r="Z421" i="2"/>
  <c r="Z508" i="2"/>
  <c r="Z366" i="2"/>
  <c r="Z343" i="2"/>
  <c r="Z289" i="2"/>
  <c r="Z383" i="2"/>
  <c r="Z185" i="2"/>
  <c r="Z263" i="2"/>
  <c r="Z402" i="2"/>
  <c r="Z389" i="2"/>
  <c r="Z524" i="2"/>
  <c r="Z478" i="2"/>
  <c r="Z440" i="2"/>
  <c r="Z258" i="2"/>
  <c r="Z355" i="2"/>
  <c r="Z559" i="2" l="1"/>
</calcChain>
</file>

<file path=xl/sharedStrings.xml><?xml version="1.0" encoding="utf-8"?>
<sst xmlns="http://schemas.openxmlformats.org/spreadsheetml/2006/main" count="4265" uniqueCount="899">
  <si>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</si>
  <si>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</si>
  <si>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</si>
  <si>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</si>
  <si>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</si>
  <si>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</si>
  <si>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</si>
  <si>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</si>
  <si>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</si>
  <si>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</si>
  <si>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</si>
  <si>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</si>
  <si>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</si>
  <si>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</si>
  <si>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</si>
  <si>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</si>
  <si>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</si>
  <si>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</si>
  <si>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</si>
  <si>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</si>
  <si>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</si>
  <si>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</si>
  <si>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</si>
  <si>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</si>
  <si>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</si>
  <si>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</si>
  <si>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</si>
  <si>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</si>
  <si>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</si>
  <si>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</si>
  <si>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</si>
  <si>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</si>
  <si>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</si>
  <si>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</si>
  <si>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</si>
  <si>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</si>
  <si>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</si>
  <si>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</si>
  <si>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</si>
  <si>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</si>
  <si>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</si>
  <si>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</si>
  <si>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</si>
  <si>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</si>
  <si>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</si>
  <si>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</si>
  <si>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</si>
  <si>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</si>
  <si>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</si>
  <si>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</si>
  <si>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</si>
  <si>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</si>
  <si>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</si>
  <si>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</si>
  <si>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</si>
  <si>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</si>
  <si>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</si>
  <si>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</si>
  <si>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</si>
  <si>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</si>
  <si>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</si>
  <si>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</si>
  <si>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</si>
  <si>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</si>
  <si>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</si>
  <si>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</si>
  <si>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</si>
  <si>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</si>
  <si>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21.09.2026</t>
  </si>
  <si>
    <t>16.09.2026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</si>
  <si>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</si>
  <si>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</si>
  <si>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</si>
  <si>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</si>
  <si>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</si>
  <si>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</si>
  <si>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</si>
  <si>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</si>
  <si>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</si>
  <si>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</si>
  <si>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</si>
  <si>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</si>
  <si>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</si>
  <si>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</si>
  <si>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</si>
  <si>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</si>
  <si>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</si>
  <si>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</si>
  <si>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</si>
  <si>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</si>
  <si>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</si>
  <si>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</si>
  <si>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</si>
  <si>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</si>
  <si>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</si>
  <si>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</si>
  <si>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</si>
  <si>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</si>
  <si>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</si>
  <si>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</si>
  <si>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</si>
  <si>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</si>
  <si>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</si>
  <si>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</si>
  <si>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</si>
  <si>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</si>
  <si>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</si>
  <si>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</si>
  <si>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</si>
  <si>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</si>
  <si>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</si>
  <si>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</si>
  <si>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</si>
  <si>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</si>
  <si>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</si>
  <si>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</si>
  <si>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</si>
  <si>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</si>
  <si>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</si>
  <si>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</si>
  <si>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</si>
  <si>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</si>
  <si>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</si>
  <si>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</si>
  <si>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</si>
  <si>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</si>
  <si>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</si>
  <si>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</si>
  <si>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</si>
  <si>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</si>
  <si>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</si>
  <si>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</si>
  <si>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</si>
  <si>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</si>
  <si>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</si>
  <si>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</si>
  <si>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</si>
  <si>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</si>
  <si>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</si>
  <si>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</si>
  <si>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</si>
  <si>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</si>
  <si>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</si>
  <si>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</si>
  <si>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</si>
  <si>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</si>
  <si>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</si>
  <si>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</si>
  <si>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</si>
  <si>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</si>
  <si>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</si>
  <si>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ЕАЭС N RU Д-RU.РА06.В.81983/26,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</si>
  <si>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</si>
  <si>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</si>
  <si>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</si>
  <si>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</si>
  <si>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</si>
  <si>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</si>
  <si>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</si>
  <si>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</si>
  <si>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</si>
  <si>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</si>
  <si>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</si>
  <si>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</si>
  <si>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</si>
  <si>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</si>
  <si>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</si>
  <si>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</si>
  <si>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</si>
  <si>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</si>
  <si>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</si>
  <si>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</si>
  <si>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</si>
  <si>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</si>
  <si>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</si>
  <si>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</si>
  <si>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</si>
  <si>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</si>
  <si>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</si>
  <si>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</si>
  <si>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</si>
  <si>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</si>
  <si>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</si>
  <si>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</si>
  <si>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</si>
  <si>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</si>
  <si>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</si>
  <si>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</si>
  <si>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</si>
  <si>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</si>
  <si>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</si>
  <si>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SU002832</t>
  </si>
  <si>
    <t>P003245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</si>
  <si>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</si>
  <si>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</si>
  <si>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</si>
  <si>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</si>
  <si>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</si>
  <si>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</si>
  <si>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</si>
  <si>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</si>
  <si>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</si>
  <si>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</si>
  <si>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</si>
  <si>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</si>
  <si>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</si>
  <si>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</si>
  <si>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</si>
  <si>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</si>
  <si>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</si>
  <si>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</si>
  <si>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</si>
  <si>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</si>
  <si>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</si>
  <si>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</si>
  <si>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</si>
  <si>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P003102</t>
  </si>
  <si>
    <t>SU002734</t>
  </si>
  <si>
    <t>P005288</t>
  </si>
  <si>
    <t>SU002827</t>
  </si>
  <si>
    <t>P003233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</si>
  <si>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</si>
  <si>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</si>
  <si>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</si>
  <si>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</si>
  <si>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</si>
  <si>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</si>
  <si>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</si>
  <si>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</si>
  <si>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</si>
  <si>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</si>
  <si>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</si>
  <si>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</si>
  <si>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</si>
  <si>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</si>
  <si>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</si>
  <si>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</si>
  <si>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</si>
  <si>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</si>
  <si>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</si>
  <si>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</si>
  <si>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</si>
  <si>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</si>
  <si>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</si>
  <si>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</si>
  <si>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</si>
  <si>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</si>
  <si>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</si>
  <si>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</si>
  <si>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</si>
  <si>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</si>
  <si>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</si>
  <si>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</si>
  <si>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</si>
  <si>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</si>
  <si>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</si>
  <si>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</si>
  <si>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</si>
  <si>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</si>
  <si>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</si>
  <si>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</si>
  <si>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</si>
  <si>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</si>
  <si>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</si>
  <si>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</si>
  <si>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</si>
  <si>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</si>
  <si>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</si>
  <si>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</si>
  <si>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</si>
  <si>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</si>
  <si>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</si>
  <si>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P005624</t>
  </si>
  <si>
    <t>ЕАЭС N RU Д-RU.РА01.В.67941/26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</si>
  <si>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</si>
  <si>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</si>
  <si>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</si>
  <si>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</si>
  <si>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</si>
  <si>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</si>
  <si>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</si>
  <si>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</si>
  <si>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</si>
  <si>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</si>
  <si>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</si>
  <si>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</si>
  <si>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</si>
  <si>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</si>
  <si>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</si>
  <si>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</si>
  <si>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</si>
  <si>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</si>
  <si>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</si>
  <si>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</si>
  <si>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</si>
  <si>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</si>
  <si>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</si>
  <si>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</si>
  <si>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</si>
  <si>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</si>
  <si>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</si>
  <si>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</si>
  <si>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</si>
  <si>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</si>
  <si>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</si>
  <si>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</si>
  <si>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</si>
  <si>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</si>
  <si>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</si>
  <si>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</si>
  <si>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</si>
  <si>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</si>
  <si>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</si>
  <si>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</si>
  <si>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</si>
  <si>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P004725</t>
  </si>
  <si>
    <t>ЕАЭС N RU Д-RU.РА08.В.64180/25</t>
  </si>
  <si>
    <t>P005665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</si>
  <si>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</si>
  <si>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</si>
  <si>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</si>
  <si>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</si>
  <si>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</si>
  <si>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</si>
  <si>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</si>
  <si>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</si>
  <si>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</si>
  <si>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</si>
  <si>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</si>
  <si>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</si>
  <si>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</si>
  <si>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</si>
  <si>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</si>
  <si>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</si>
  <si>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</si>
  <si>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</si>
  <si>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</si>
  <si>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</si>
  <si>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</si>
  <si>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Деликатесы с/к</t>
  </si>
  <si>
    <t>SU004184</t>
  </si>
  <si>
    <t>P005451</t>
  </si>
  <si>
    <t>ЕАЭС N RU Д-RU.РА03.В.85902/26</t>
  </si>
  <si>
    <t>27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</si>
  <si>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</si>
  <si>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</si>
  <si>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</si>
  <si>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</si>
  <si>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</si>
  <si>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</si>
  <si>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</si>
  <si>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</si>
  <si>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</si>
  <si>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</si>
  <si>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</si>
  <si>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</si>
  <si>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</si>
  <si>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</si>
  <si>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</si>
  <si>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</si>
  <si>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</si>
  <si>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</si>
  <si>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</si>
  <si>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</si>
  <si>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</si>
  <si>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</si>
  <si>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</si>
  <si>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</si>
  <si>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</si>
  <si>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</si>
  <si>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</si>
  <si>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</si>
  <si>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</si>
  <si>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</si>
  <si>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</si>
  <si>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</si>
  <si>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</si>
  <si>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</si>
  <si>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</si>
  <si>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</si>
  <si>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</si>
  <si>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</si>
  <si>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</si>
  <si>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</si>
  <si>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</si>
  <si>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</si>
  <si>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</si>
  <si>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</si>
  <si>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</si>
  <si>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</si>
  <si>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</si>
  <si>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</si>
  <si>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</si>
  <si>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</si>
  <si>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</si>
  <si>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</si>
  <si>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</si>
  <si>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</si>
  <si>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</si>
  <si>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</si>
  <si>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</si>
  <si>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</si>
  <si>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</si>
  <si>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</si>
  <si>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</si>
  <si>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P005668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</si>
  <si>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</si>
  <si>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</si>
  <si>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</si>
  <si>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</si>
  <si>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</si>
  <si>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</si>
  <si>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P005729</t>
  </si>
  <si>
    <t>ЕАЭС N RU Д-RU.РА06.В.32462/26</t>
  </si>
  <si>
    <t>SU004160</t>
  </si>
  <si>
    <t>P005437</t>
  </si>
  <si>
    <t>ЕАЭС N RU Д-RU.РА02.В.11158/26</t>
  </si>
  <si>
    <t>P005730</t>
  </si>
  <si>
    <t>ЕАЭС N RU Д-RU.РА06.В.32392/26</t>
  </si>
  <si>
    <t>SU004100</t>
  </si>
  <si>
    <t>P005357</t>
  </si>
  <si>
    <t>ЕАЭС N RU Д-RU.РА02.В.10651/26</t>
  </si>
  <si>
    <t>P005726</t>
  </si>
  <si>
    <t>SU004101</t>
  </si>
  <si>
    <t>P005358</t>
  </si>
  <si>
    <t>ЕАЭС N RU Д-RU.РА02.В.09472/26</t>
  </si>
  <si>
    <t>SU004102</t>
  </si>
  <si>
    <t>P005359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</si>
  <si>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</si>
  <si>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</si>
  <si>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</si>
  <si>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</si>
  <si>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</si>
  <si>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</si>
  <si>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</si>
  <si>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</si>
  <si>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</si>
  <si>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</si>
  <si>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</si>
  <si>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</si>
  <si>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</si>
  <si>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</si>
  <si>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</si>
  <si>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</si>
  <si>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</si>
  <si>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</si>
  <si>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</si>
  <si>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</si>
  <si>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</si>
  <si>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</si>
  <si>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</si>
  <si>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</si>
  <si>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</si>
  <si>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</si>
  <si>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</si>
  <si>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</si>
  <si>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</si>
  <si>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</si>
  <si>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</si>
  <si>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</si>
  <si>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</si>
  <si>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</si>
  <si>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</si>
  <si>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</si>
  <si>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</si>
  <si>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</si>
  <si>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</si>
  <si>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</si>
  <si>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</si>
  <si>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</si>
  <si>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</si>
  <si>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</si>
  <si>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</si>
  <si>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</si>
  <si>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</si>
  <si>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</si>
  <si>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</si>
  <si>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</si>
  <si>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</si>
  <si>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</si>
  <si>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</si>
  <si>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</si>
  <si>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</si>
  <si>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</si>
  <si>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</si>
  <si>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</si>
  <si>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</si>
  <si>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</si>
  <si>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</si>
  <si>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</si>
  <si>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</si>
  <si>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</si>
  <si>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</si>
  <si>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</si>
  <si>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</si>
  <si>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</si>
  <si>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</si>
  <si>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</si>
  <si>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</si>
  <si>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</si>
  <si>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</si>
  <si>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</si>
  <si>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</si>
  <si>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</si>
  <si>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</si>
  <si>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</si>
  <si>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</si>
  <si>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</si>
  <si>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</si>
  <si>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</si>
  <si>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</si>
  <si>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</si>
  <si>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</si>
  <si>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</si>
  <si>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</si>
  <si>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</si>
  <si>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</si>
  <si>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</si>
  <si>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</si>
  <si>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</si>
  <si>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</si>
  <si>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</si>
  <si>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</si>
  <si>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</si>
  <si>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</si>
  <si>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</si>
  <si>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</si>
  <si>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</si>
  <si>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</si>
  <si>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</si>
  <si>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</si>
  <si>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</si>
  <si>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</si>
  <si>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</si>
  <si>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</si>
  <si>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</si>
  <si>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</si>
  <si>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Филедворская по-стародворски</t>
  </si>
  <si>
    <t>SU004315</t>
  </si>
  <si>
    <t>P005664</t>
  </si>
  <si>
    <t>Вареные колбасы «Сливочная по-стародворски» Весовой п/а ТМ «Стародворье»</t>
  </si>
  <si>
    <t>ЕАЭС N RU Д-RU.РА04.В.39417/26</t>
  </si>
  <si>
    <t>Новинка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</si>
  <si>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</si>
  <si>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</si>
  <si>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</si>
  <si>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</si>
  <si>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</si>
  <si>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</si>
  <si>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</si>
  <si>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</si>
  <si>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</si>
  <si>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</si>
  <si>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</si>
  <si>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</si>
  <si>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</si>
  <si>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</si>
  <si>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</si>
  <si>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</si>
  <si>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</si>
  <si>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</si>
  <si>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</si>
  <si>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</si>
  <si>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</si>
  <si>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</si>
  <si>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</si>
  <si>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</si>
  <si>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</si>
  <si>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</si>
  <si>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</si>
  <si>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</si>
  <si>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</si>
  <si>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</si>
  <si>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</si>
  <si>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</si>
  <si>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</si>
  <si>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</si>
  <si>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</si>
  <si>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</si>
  <si>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</si>
  <si>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</si>
  <si>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</si>
  <si>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</si>
  <si>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</si>
  <si>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</si>
  <si>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</si>
  <si>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</si>
  <si>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</si>
  <si>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</si>
  <si>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</si>
  <si>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</si>
  <si>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</si>
  <si>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</si>
  <si>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</si>
  <si>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</si>
  <si>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</si>
  <si>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</si>
  <si>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</si>
  <si>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SU004332</t>
  </si>
  <si>
    <t>P005680</t>
  </si>
  <si>
    <t>Вареные колбасы «Мясная Стародворская» Весовой п/а ТМ «Стародворье»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</si>
  <si>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</si>
  <si>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</si>
  <si>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</si>
  <si>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</si>
  <si>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</si>
  <si>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</si>
  <si>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</si>
  <si>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</si>
  <si>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</si>
  <si>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</si>
  <si>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</si>
  <si>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</si>
  <si>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</si>
  <si>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</si>
  <si>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</si>
  <si>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</si>
  <si>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</si>
  <si>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</si>
  <si>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</si>
  <si>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</si>
  <si>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</si>
  <si>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</si>
  <si>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</si>
  <si>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</si>
  <si>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</si>
  <si>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</si>
  <si>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</si>
  <si>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</si>
  <si>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</si>
  <si>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</si>
  <si>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</si>
  <si>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</si>
  <si>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</si>
  <si>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</si>
  <si>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</si>
  <si>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</si>
  <si>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</si>
  <si>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</si>
  <si>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</si>
  <si>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</si>
  <si>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</si>
  <si>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</si>
  <si>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</si>
  <si>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</si>
  <si>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</si>
  <si>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</si>
  <si>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</si>
  <si>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</si>
  <si>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</si>
  <si>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</si>
  <si>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</si>
  <si>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</si>
  <si>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</si>
  <si>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</si>
  <si>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</si>
  <si>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</si>
  <si>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</si>
  <si>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</si>
  <si>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</si>
  <si>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</si>
  <si>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</si>
  <si>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</si>
  <si>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</si>
  <si>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</si>
  <si>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</si>
  <si>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</si>
  <si>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</si>
  <si>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</si>
  <si>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</si>
  <si>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</si>
  <si>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</si>
  <si>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</si>
  <si>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</si>
  <si>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</si>
  <si>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</si>
  <si>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</si>
  <si>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</si>
  <si>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</si>
  <si>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</si>
  <si>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</si>
  <si>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</si>
  <si>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</si>
  <si>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</si>
  <si>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</si>
  <si>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</si>
  <si>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</si>
  <si>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</si>
  <si>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</si>
  <si>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</si>
  <si>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</si>
  <si>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</si>
  <si>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</si>
  <si>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</si>
  <si>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</si>
  <si>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</si>
  <si>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</si>
  <si>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</si>
  <si>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</si>
  <si>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</si>
  <si>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</si>
  <si>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</si>
  <si>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</si>
  <si>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</si>
  <si>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</si>
  <si>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</si>
  <si>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</si>
  <si>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</si>
  <si>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</si>
  <si>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</si>
  <si>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</si>
  <si>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</si>
  <si>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</si>
  <si>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</si>
  <si>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</si>
  <si>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</si>
  <si>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</si>
  <si>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</si>
  <si>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</si>
  <si>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</si>
  <si>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</si>
  <si>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</si>
  <si>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</si>
  <si>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</si>
  <si>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</si>
  <si>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</si>
  <si>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</si>
  <si>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</si>
  <si>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</si>
  <si>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</si>
  <si>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</si>
  <si>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</si>
  <si>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</si>
  <si>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</si>
  <si>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</si>
  <si>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</si>
  <si>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</si>
  <si>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</si>
  <si>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</si>
  <si>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</si>
  <si>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</si>
  <si>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</si>
  <si>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</si>
  <si>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</si>
  <si>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</si>
  <si>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</si>
  <si>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</si>
  <si>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</si>
  <si>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</si>
  <si>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</si>
  <si>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</si>
  <si>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</si>
  <si>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</si>
  <si>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</si>
  <si>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</si>
  <si>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</si>
  <si>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</si>
  <si>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</si>
  <si>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</si>
  <si>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</si>
  <si>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</si>
  <si>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</si>
  <si>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</si>
  <si>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</si>
  <si>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</si>
  <si>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</si>
  <si>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</si>
  <si>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</si>
  <si>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</si>
  <si>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</si>
  <si>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</si>
  <si>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</si>
  <si>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</si>
  <si>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</si>
  <si>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</si>
  <si>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</si>
  <si>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</si>
  <si>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</si>
  <si>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</si>
  <si>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</si>
  <si>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</si>
  <si>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</si>
  <si>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</si>
  <si>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</si>
  <si>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</si>
  <si>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</si>
  <si>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</si>
  <si>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</si>
  <si>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</si>
  <si>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</si>
  <si>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</si>
  <si>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</si>
  <si>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</si>
  <si>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</si>
  <si>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</si>
  <si>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</si>
  <si>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</si>
  <si>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</si>
  <si>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</si>
  <si>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</si>
  <si>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</si>
  <si>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</si>
  <si>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</si>
  <si>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</si>
  <si>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</si>
  <si>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</si>
  <si>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</si>
  <si>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</si>
  <si>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</si>
  <si>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</si>
  <si>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</si>
  <si>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</si>
  <si>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</si>
  <si>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</si>
  <si>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</si>
  <si>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</si>
  <si>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</si>
  <si>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</si>
  <si>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</si>
  <si>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</si>
  <si>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</si>
  <si>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</si>
  <si>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</si>
  <si>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</si>
  <si>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</si>
  <si>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</si>
  <si>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</si>
  <si>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</si>
  <si>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</si>
  <si>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</si>
  <si>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</si>
  <si>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</si>
  <si>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</si>
  <si>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</si>
  <si>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</si>
  <si>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</si>
  <si>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</si>
  <si>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</si>
  <si>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</si>
  <si>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</si>
  <si>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</si>
  <si>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</si>
  <si>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</si>
  <si>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</si>
  <si>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</si>
  <si>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</si>
  <si>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</si>
  <si>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</si>
  <si>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</si>
  <si>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</si>
  <si>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</si>
  <si>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</si>
  <si>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</si>
  <si>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</si>
  <si>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</si>
  <si>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</si>
  <si>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</si>
  <si>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</si>
  <si>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</si>
  <si>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</si>
  <si>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</si>
  <si>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</si>
  <si>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</si>
  <si>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</si>
  <si>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</si>
  <si>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</si>
  <si>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</si>
  <si>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</si>
  <si>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</si>
  <si>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</si>
  <si>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SU004381</t>
  </si>
  <si>
    <t>P005645</t>
  </si>
  <si>
    <t>ЕАЭС N RU Д-RU.РА06.В.56779/26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</si>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</sst>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04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16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Fill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Fill="1" applyBorder="1" applyAlignment="1" applyProtection="1">
      <alignment wrapText="1"/>
      <protection hidden="1"/>
    </xf>
    <xf numFmtId="0" fontId="903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90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895" fillId="0" borderId="45" xfId="0" applyFont="1" applyFill="1" applyBorder="1" applyAlignment="1">
      <alignment horizontal="left" vertical="center" wrapText="1"/>
    </xf>
    <xf numFmtId="0" fontId="898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92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83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4"/>
  <sheetViews>
    <sheetView showGridLines="0" tabSelected="1" zoomScaleNormal="100" zoomScaleSheetLayoutView="100" workbookViewId="0">
      <selection activeCell="AA379" sqref="AA379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1005" t="s">
        <v>26</v>
      </c>
      <c r="E1" s="1005"/>
      <c r="F1" s="1005"/>
      <c r="G1" s="14" t="s">
        <v>67</v>
      </c>
      <c r="H1" s="1005" t="s">
        <v>47</v>
      </c>
      <c r="I1" s="1005"/>
      <c r="J1" s="1005"/>
      <c r="K1" s="1005"/>
      <c r="L1" s="1005"/>
      <c r="M1" s="1005"/>
      <c r="N1" s="1005"/>
      <c r="O1" s="1005"/>
      <c r="P1" s="1005"/>
      <c r="Q1" s="1005"/>
      <c r="R1" s="1006" t="s">
        <v>68</v>
      </c>
      <c r="S1" s="1007"/>
      <c r="T1" s="1007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00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1008"/>
      <c r="R2" s="1008"/>
      <c r="S2" s="1008"/>
      <c r="T2" s="1008"/>
      <c r="U2" s="1008"/>
      <c r="V2" s="1008"/>
      <c r="W2" s="1008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1008"/>
      <c r="Q3" s="1008"/>
      <c r="R3" s="1008"/>
      <c r="S3" s="1008"/>
      <c r="T3" s="1008"/>
      <c r="U3" s="1008"/>
      <c r="V3" s="1008"/>
      <c r="W3" s="1008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987" t="s">
        <v>8</v>
      </c>
      <c r="B5" s="987"/>
      <c r="C5" s="987"/>
      <c r="D5" s="1009"/>
      <c r="E5" s="1009"/>
      <c r="F5" s="1010" t="s">
        <v>14</v>
      </c>
      <c r="G5" s="1010"/>
      <c r="H5" s="1009"/>
      <c r="I5" s="1009"/>
      <c r="J5" s="1009"/>
      <c r="K5" s="1009"/>
      <c r="L5" s="1009"/>
      <c r="M5" s="1009"/>
      <c r="N5" s="72"/>
      <c r="P5" s="27" t="s">
        <v>4</v>
      </c>
      <c r="Q5" s="1011">
        <v>46289</v>
      </c>
      <c r="R5" s="1011"/>
      <c r="T5" s="1012" t="s">
        <v>3</v>
      </c>
      <c r="U5" s="1013"/>
      <c r="V5" s="1014" t="s">
        <v>875</v>
      </c>
      <c r="W5" s="1015"/>
      <c r="AB5" s="59"/>
      <c r="AC5" s="59"/>
      <c r="AD5" s="59"/>
      <c r="AE5" s="59"/>
    </row>
    <row r="6" spans="1:32" s="17" customFormat="1" ht="24" customHeight="1" x14ac:dyDescent="0.2">
      <c r="A6" s="987" t="s">
        <v>1</v>
      </c>
      <c r="B6" s="987"/>
      <c r="C6" s="987"/>
      <c r="D6" s="988" t="s">
        <v>882</v>
      </c>
      <c r="E6" s="988"/>
      <c r="F6" s="988"/>
      <c r="G6" s="988"/>
      <c r="H6" s="988"/>
      <c r="I6" s="988"/>
      <c r="J6" s="988"/>
      <c r="K6" s="988"/>
      <c r="L6" s="988"/>
      <c r="M6" s="988"/>
      <c r="N6" s="73"/>
      <c r="P6" s="27" t="s">
        <v>27</v>
      </c>
      <c r="Q6" s="989" t="str">
        <f>IF(Q5=0," ",CHOOSE(WEEKDAY(Q5,2),"Понедельник","Вторник","Среда","Четверг","Пятница","Суббота","Воскресенье"))</f>
        <v>Четверг</v>
      </c>
      <c r="R6" s="989"/>
      <c r="T6" s="990" t="s">
        <v>5</v>
      </c>
      <c r="U6" s="991"/>
      <c r="V6" s="992" t="s">
        <v>70</v>
      </c>
      <c r="W6" s="993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998" t="str">
        <f>IFERROR(VLOOKUP(DeliveryAddress,Table,3,0),1)</f>
        <v>3</v>
      </c>
      <c r="E7" s="999"/>
      <c r="F7" s="999"/>
      <c r="G7" s="999"/>
      <c r="H7" s="999"/>
      <c r="I7" s="999"/>
      <c r="J7" s="999"/>
      <c r="K7" s="999"/>
      <c r="L7" s="999"/>
      <c r="M7" s="1000"/>
      <c r="N7" s="74"/>
      <c r="P7" s="29"/>
      <c r="Q7" s="48"/>
      <c r="R7" s="48"/>
      <c r="T7" s="990"/>
      <c r="U7" s="991"/>
      <c r="V7" s="994"/>
      <c r="W7" s="995"/>
      <c r="AB7" s="59"/>
      <c r="AC7" s="59"/>
      <c r="AD7" s="59"/>
      <c r="AE7" s="59"/>
    </row>
    <row r="8" spans="1:32" s="17" customFormat="1" ht="25.5" customHeight="1" x14ac:dyDescent="0.2">
      <c r="A8" s="1001" t="s">
        <v>58</v>
      </c>
      <c r="B8" s="1001"/>
      <c r="C8" s="1001"/>
      <c r="D8" s="1002"/>
      <c r="E8" s="1002"/>
      <c r="F8" s="1002"/>
      <c r="G8" s="1002"/>
      <c r="H8" s="1002"/>
      <c r="I8" s="1002"/>
      <c r="J8" s="1002"/>
      <c r="K8" s="1002"/>
      <c r="L8" s="1002"/>
      <c r="M8" s="1002"/>
      <c r="N8" s="75"/>
      <c r="P8" s="27" t="s">
        <v>11</v>
      </c>
      <c r="Q8" s="985">
        <v>0.41666666666666669</v>
      </c>
      <c r="R8" s="985"/>
      <c r="T8" s="990"/>
      <c r="U8" s="991"/>
      <c r="V8" s="994"/>
      <c r="W8" s="995"/>
      <c r="AB8" s="59"/>
      <c r="AC8" s="59"/>
      <c r="AD8" s="59"/>
      <c r="AE8" s="59"/>
    </row>
    <row r="9" spans="1:32" s="17" customFormat="1" ht="39.950000000000003" customHeight="1" x14ac:dyDescent="0.2">
      <c r="A9" s="977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77"/>
      <c r="C9" s="977"/>
      <c r="D9" s="978" t="s">
        <v>46</v>
      </c>
      <c r="E9" s="979"/>
      <c r="F9" s="977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77"/>
      <c r="H9" s="1003" t="str">
        <f>IF(AND($A$9="Тип доверенности/получателя при получении в адресе перегруза:",$D$9="Разовая доверенность"),"Введите ФИО","")</f>
        <v/>
      </c>
      <c r="I9" s="1003"/>
      <c r="J9" s="1003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1003"/>
      <c r="L9" s="1003"/>
      <c r="M9" s="1003"/>
      <c r="N9" s="70"/>
      <c r="P9" s="31" t="s">
        <v>15</v>
      </c>
      <c r="Q9" s="1004"/>
      <c r="R9" s="1004"/>
      <c r="T9" s="990"/>
      <c r="U9" s="991"/>
      <c r="V9" s="996"/>
      <c r="W9" s="997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77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77"/>
      <c r="C10" s="977"/>
      <c r="D10" s="978"/>
      <c r="E10" s="979"/>
      <c r="F10" s="977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77"/>
      <c r="H10" s="980" t="str">
        <f>IFERROR(VLOOKUP($D$10,Proxy,2,FALSE),"")</f>
        <v/>
      </c>
      <c r="I10" s="980"/>
      <c r="J10" s="980"/>
      <c r="K10" s="980"/>
      <c r="L10" s="980"/>
      <c r="M10" s="980"/>
      <c r="N10" s="71"/>
      <c r="P10" s="31" t="s">
        <v>32</v>
      </c>
      <c r="Q10" s="981"/>
      <c r="R10" s="981"/>
      <c r="U10" s="29" t="s">
        <v>12</v>
      </c>
      <c r="V10" s="982" t="s">
        <v>71</v>
      </c>
      <c r="W10" s="983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84"/>
      <c r="R11" s="984"/>
      <c r="U11" s="29" t="s">
        <v>28</v>
      </c>
      <c r="V11" s="963" t="s">
        <v>55</v>
      </c>
      <c r="W11" s="963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62" t="s">
        <v>72</v>
      </c>
      <c r="B12" s="962"/>
      <c r="C12" s="962"/>
      <c r="D12" s="962"/>
      <c r="E12" s="962"/>
      <c r="F12" s="962"/>
      <c r="G12" s="962"/>
      <c r="H12" s="962"/>
      <c r="I12" s="962"/>
      <c r="J12" s="962"/>
      <c r="K12" s="962"/>
      <c r="L12" s="962"/>
      <c r="M12" s="962"/>
      <c r="N12" s="76"/>
      <c r="P12" s="27" t="s">
        <v>30</v>
      </c>
      <c r="Q12" s="985"/>
      <c r="R12" s="985"/>
      <c r="S12" s="28"/>
      <c r="T12"/>
      <c r="U12" s="29" t="s">
        <v>46</v>
      </c>
      <c r="V12" s="986"/>
      <c r="W12" s="986"/>
      <c r="X12"/>
      <c r="AB12" s="59"/>
      <c r="AC12" s="59"/>
      <c r="AD12" s="59"/>
      <c r="AE12" s="59"/>
    </row>
    <row r="13" spans="1:32" s="17" customFormat="1" ht="23.25" customHeight="1" x14ac:dyDescent="0.2">
      <c r="A13" s="962" t="s">
        <v>73</v>
      </c>
      <c r="B13" s="962"/>
      <c r="C13" s="962"/>
      <c r="D13" s="962"/>
      <c r="E13" s="962"/>
      <c r="F13" s="962"/>
      <c r="G13" s="962"/>
      <c r="H13" s="962"/>
      <c r="I13" s="962"/>
      <c r="J13" s="962"/>
      <c r="K13" s="962"/>
      <c r="L13" s="962"/>
      <c r="M13" s="962"/>
      <c r="N13" s="76"/>
      <c r="O13" s="31"/>
      <c r="P13" s="31" t="s">
        <v>31</v>
      </c>
      <c r="Q13" s="963"/>
      <c r="R13" s="963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62" t="s">
        <v>74</v>
      </c>
      <c r="B14" s="962"/>
      <c r="C14" s="962"/>
      <c r="D14" s="962"/>
      <c r="E14" s="962"/>
      <c r="F14" s="962"/>
      <c r="G14" s="962"/>
      <c r="H14" s="962"/>
      <c r="I14" s="962"/>
      <c r="J14" s="962"/>
      <c r="K14" s="962"/>
      <c r="L14" s="962"/>
      <c r="M14" s="962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64" t="s">
        <v>75</v>
      </c>
      <c r="B15" s="964"/>
      <c r="C15" s="964"/>
      <c r="D15" s="964"/>
      <c r="E15" s="964"/>
      <c r="F15" s="964"/>
      <c r="G15" s="964"/>
      <c r="H15" s="964"/>
      <c r="I15" s="964"/>
      <c r="J15" s="964"/>
      <c r="K15" s="964"/>
      <c r="L15" s="964"/>
      <c r="M15" s="964"/>
      <c r="N15" s="77"/>
      <c r="O15"/>
      <c r="P15" s="965" t="s">
        <v>61</v>
      </c>
      <c r="Q15" s="965"/>
      <c r="R15" s="965"/>
      <c r="S15" s="965"/>
      <c r="T15" s="965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66"/>
      <c r="Q16" s="966"/>
      <c r="R16" s="966"/>
      <c r="S16" s="966"/>
      <c r="T16" s="966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48" t="s">
        <v>59</v>
      </c>
      <c r="B17" s="948" t="s">
        <v>49</v>
      </c>
      <c r="C17" s="969" t="s">
        <v>48</v>
      </c>
      <c r="D17" s="971" t="s">
        <v>50</v>
      </c>
      <c r="E17" s="972"/>
      <c r="F17" s="948" t="s">
        <v>21</v>
      </c>
      <c r="G17" s="948" t="s">
        <v>24</v>
      </c>
      <c r="H17" s="948" t="s">
        <v>22</v>
      </c>
      <c r="I17" s="948" t="s">
        <v>23</v>
      </c>
      <c r="J17" s="948" t="s">
        <v>16</v>
      </c>
      <c r="K17" s="948" t="s">
        <v>66</v>
      </c>
      <c r="L17" s="948" t="s">
        <v>64</v>
      </c>
      <c r="M17" s="948" t="s">
        <v>2</v>
      </c>
      <c r="N17" s="948" t="s">
        <v>63</v>
      </c>
      <c r="O17" s="948" t="s">
        <v>25</v>
      </c>
      <c r="P17" s="971" t="s">
        <v>17</v>
      </c>
      <c r="Q17" s="975"/>
      <c r="R17" s="975"/>
      <c r="S17" s="975"/>
      <c r="T17" s="972"/>
      <c r="U17" s="967" t="s">
        <v>56</v>
      </c>
      <c r="V17" s="968"/>
      <c r="W17" s="948" t="s">
        <v>6</v>
      </c>
      <c r="X17" s="948" t="s">
        <v>41</v>
      </c>
      <c r="Y17" s="950" t="s">
        <v>54</v>
      </c>
      <c r="Z17" s="952" t="s">
        <v>18</v>
      </c>
      <c r="AA17" s="954" t="s">
        <v>60</v>
      </c>
      <c r="AB17" s="954" t="s">
        <v>19</v>
      </c>
      <c r="AC17" s="954" t="s">
        <v>65</v>
      </c>
      <c r="AD17" s="956" t="s">
        <v>57</v>
      </c>
      <c r="AE17" s="957"/>
      <c r="AF17" s="958"/>
      <c r="AG17" s="82"/>
      <c r="BD17" s="81" t="s">
        <v>62</v>
      </c>
    </row>
    <row r="18" spans="1:68" ht="14.25" customHeight="1" x14ac:dyDescent="0.2">
      <c r="A18" s="949"/>
      <c r="B18" s="949"/>
      <c r="C18" s="970"/>
      <c r="D18" s="973"/>
      <c r="E18" s="974"/>
      <c r="F18" s="949"/>
      <c r="G18" s="949"/>
      <c r="H18" s="949"/>
      <c r="I18" s="949"/>
      <c r="J18" s="949"/>
      <c r="K18" s="949"/>
      <c r="L18" s="949"/>
      <c r="M18" s="949"/>
      <c r="N18" s="949"/>
      <c r="O18" s="949"/>
      <c r="P18" s="973"/>
      <c r="Q18" s="976"/>
      <c r="R18" s="976"/>
      <c r="S18" s="976"/>
      <c r="T18" s="974"/>
      <c r="U18" s="83" t="s">
        <v>44</v>
      </c>
      <c r="V18" s="83" t="s">
        <v>43</v>
      </c>
      <c r="W18" s="949"/>
      <c r="X18" s="949"/>
      <c r="Y18" s="951"/>
      <c r="Z18" s="953"/>
      <c r="AA18" s="955"/>
      <c r="AB18" s="955"/>
      <c r="AC18" s="955"/>
      <c r="AD18" s="959"/>
      <c r="AE18" s="960"/>
      <c r="AF18" s="961"/>
      <c r="AG18" s="82"/>
      <c r="BD18" s="81"/>
    </row>
    <row r="19" spans="1:68" ht="27.75" hidden="1" customHeight="1" x14ac:dyDescent="0.2">
      <c r="A19" s="673" t="s">
        <v>76</v>
      </c>
      <c r="B19" s="673"/>
      <c r="C19" s="673"/>
      <c r="D19" s="673"/>
      <c r="E19" s="673"/>
      <c r="F19" s="673"/>
      <c r="G19" s="673"/>
      <c r="H19" s="673"/>
      <c r="I19" s="673"/>
      <c r="J19" s="673"/>
      <c r="K19" s="673"/>
      <c r="L19" s="673"/>
      <c r="M19" s="673"/>
      <c r="N19" s="673"/>
      <c r="O19" s="673"/>
      <c r="P19" s="673"/>
      <c r="Q19" s="673"/>
      <c r="R19" s="673"/>
      <c r="S19" s="673"/>
      <c r="T19" s="673"/>
      <c r="U19" s="673"/>
      <c r="V19" s="673"/>
      <c r="W19" s="673"/>
      <c r="X19" s="673"/>
      <c r="Y19" s="673"/>
      <c r="Z19" s="673"/>
      <c r="AA19" s="54"/>
      <c r="AB19" s="54"/>
      <c r="AC19" s="54"/>
    </row>
    <row r="20" spans="1:68" ht="16.5" hidden="1" customHeight="1" x14ac:dyDescent="0.25">
      <c r="A20" s="652" t="s">
        <v>76</v>
      </c>
      <c r="B20" s="652"/>
      <c r="C20" s="652"/>
      <c r="D20" s="652"/>
      <c r="E20" s="652"/>
      <c r="F20" s="652"/>
      <c r="G20" s="652"/>
      <c r="H20" s="652"/>
      <c r="I20" s="652"/>
      <c r="J20" s="652"/>
      <c r="K20" s="652"/>
      <c r="L20" s="652"/>
      <c r="M20" s="652"/>
      <c r="N20" s="652"/>
      <c r="O20" s="652"/>
      <c r="P20" s="652"/>
      <c r="Q20" s="652"/>
      <c r="R20" s="652"/>
      <c r="S20" s="652"/>
      <c r="T20" s="652"/>
      <c r="U20" s="652"/>
      <c r="V20" s="652"/>
      <c r="W20" s="652"/>
      <c r="X20" s="652"/>
      <c r="Y20" s="652"/>
      <c r="Z20" s="652"/>
      <c r="AA20" s="65"/>
      <c r="AB20" s="65"/>
      <c r="AC20" s="79"/>
    </row>
    <row r="21" spans="1:68" ht="14.25" hidden="1" customHeight="1" x14ac:dyDescent="0.25">
      <c r="A21" s="653" t="s">
        <v>77</v>
      </c>
      <c r="B21" s="653"/>
      <c r="C21" s="653"/>
      <c r="D21" s="653"/>
      <c r="E21" s="653"/>
      <c r="F21" s="653"/>
      <c r="G21" s="653"/>
      <c r="H21" s="653"/>
      <c r="I21" s="653"/>
      <c r="J21" s="653"/>
      <c r="K21" s="653"/>
      <c r="L21" s="653"/>
      <c r="M21" s="653"/>
      <c r="N21" s="653"/>
      <c r="O21" s="653"/>
      <c r="P21" s="653"/>
      <c r="Q21" s="653"/>
      <c r="R21" s="653"/>
      <c r="S21" s="653"/>
      <c r="T21" s="653"/>
      <c r="U21" s="653"/>
      <c r="V21" s="653"/>
      <c r="W21" s="653"/>
      <c r="X21" s="653"/>
      <c r="Y21" s="653"/>
      <c r="Z21" s="653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654">
        <v>4680115886643</v>
      </c>
      <c r="E22" s="654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946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56"/>
      <c r="R22" s="656"/>
      <c r="S22" s="656"/>
      <c r="T22" s="657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654">
        <v>4680115889071</v>
      </c>
      <c r="E23" s="654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947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56"/>
      <c r="R23" s="656"/>
      <c r="S23" s="656"/>
      <c r="T23" s="657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661"/>
      <c r="B24" s="661"/>
      <c r="C24" s="661"/>
      <c r="D24" s="661"/>
      <c r="E24" s="661"/>
      <c r="F24" s="661"/>
      <c r="G24" s="661"/>
      <c r="H24" s="661"/>
      <c r="I24" s="661"/>
      <c r="J24" s="661"/>
      <c r="K24" s="661"/>
      <c r="L24" s="661"/>
      <c r="M24" s="661"/>
      <c r="N24" s="661"/>
      <c r="O24" s="662"/>
      <c r="P24" s="658" t="s">
        <v>40</v>
      </c>
      <c r="Q24" s="659"/>
      <c r="R24" s="659"/>
      <c r="S24" s="659"/>
      <c r="T24" s="659"/>
      <c r="U24" s="659"/>
      <c r="V24" s="660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661"/>
      <c r="B25" s="661"/>
      <c r="C25" s="661"/>
      <c r="D25" s="661"/>
      <c r="E25" s="661"/>
      <c r="F25" s="661"/>
      <c r="G25" s="661"/>
      <c r="H25" s="661"/>
      <c r="I25" s="661"/>
      <c r="J25" s="661"/>
      <c r="K25" s="661"/>
      <c r="L25" s="661"/>
      <c r="M25" s="661"/>
      <c r="N25" s="661"/>
      <c r="O25" s="662"/>
      <c r="P25" s="658" t="s">
        <v>40</v>
      </c>
      <c r="Q25" s="659"/>
      <c r="R25" s="659"/>
      <c r="S25" s="659"/>
      <c r="T25" s="659"/>
      <c r="U25" s="659"/>
      <c r="V25" s="660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653" t="s">
        <v>86</v>
      </c>
      <c r="B26" s="653"/>
      <c r="C26" s="653"/>
      <c r="D26" s="653"/>
      <c r="E26" s="653"/>
      <c r="F26" s="653"/>
      <c r="G26" s="653"/>
      <c r="H26" s="653"/>
      <c r="I26" s="653"/>
      <c r="J26" s="653"/>
      <c r="K26" s="653"/>
      <c r="L26" s="653"/>
      <c r="M26" s="653"/>
      <c r="N26" s="653"/>
      <c r="O26" s="653"/>
      <c r="P26" s="653"/>
      <c r="Q26" s="653"/>
      <c r="R26" s="653"/>
      <c r="S26" s="653"/>
      <c r="T26" s="653"/>
      <c r="U26" s="653"/>
      <c r="V26" s="653"/>
      <c r="W26" s="653"/>
      <c r="X26" s="653"/>
      <c r="Y26" s="653"/>
      <c r="Z26" s="653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654">
        <v>4680115885912</v>
      </c>
      <c r="E27" s="654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942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56"/>
      <c r="R27" s="656"/>
      <c r="S27" s="656"/>
      <c r="T27" s="657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654">
        <v>4607091388237</v>
      </c>
      <c r="E28" s="654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94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56"/>
      <c r="R28" s="656"/>
      <c r="S28" s="656"/>
      <c r="T28" s="657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654">
        <v>4680115887350</v>
      </c>
      <c r="E29" s="654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944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56"/>
      <c r="R29" s="656"/>
      <c r="S29" s="656"/>
      <c r="T29" s="657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654">
        <v>4680115885905</v>
      </c>
      <c r="E30" s="654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94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56"/>
      <c r="R30" s="656"/>
      <c r="S30" s="656"/>
      <c r="T30" s="657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4301052071</v>
      </c>
      <c r="D31" s="654">
        <v>4680115887619</v>
      </c>
      <c r="E31" s="654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940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56"/>
      <c r="R31" s="656"/>
      <c r="S31" s="656"/>
      <c r="T31" s="657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661"/>
      <c r="B32" s="661"/>
      <c r="C32" s="661"/>
      <c r="D32" s="661"/>
      <c r="E32" s="661"/>
      <c r="F32" s="661"/>
      <c r="G32" s="661"/>
      <c r="H32" s="661"/>
      <c r="I32" s="661"/>
      <c r="J32" s="661"/>
      <c r="K32" s="661"/>
      <c r="L32" s="661"/>
      <c r="M32" s="661"/>
      <c r="N32" s="661"/>
      <c r="O32" s="662"/>
      <c r="P32" s="658" t="s">
        <v>40</v>
      </c>
      <c r="Q32" s="659"/>
      <c r="R32" s="659"/>
      <c r="S32" s="659"/>
      <c r="T32" s="659"/>
      <c r="U32" s="659"/>
      <c r="V32" s="660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661"/>
      <c r="B33" s="661"/>
      <c r="C33" s="661"/>
      <c r="D33" s="661"/>
      <c r="E33" s="661"/>
      <c r="F33" s="661"/>
      <c r="G33" s="661"/>
      <c r="H33" s="661"/>
      <c r="I33" s="661"/>
      <c r="J33" s="661"/>
      <c r="K33" s="661"/>
      <c r="L33" s="661"/>
      <c r="M33" s="661"/>
      <c r="N33" s="661"/>
      <c r="O33" s="662"/>
      <c r="P33" s="658" t="s">
        <v>40</v>
      </c>
      <c r="Q33" s="659"/>
      <c r="R33" s="659"/>
      <c r="S33" s="659"/>
      <c r="T33" s="659"/>
      <c r="U33" s="659"/>
      <c r="V33" s="660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673" t="s">
        <v>45</v>
      </c>
      <c r="B34" s="673"/>
      <c r="C34" s="673"/>
      <c r="D34" s="673"/>
      <c r="E34" s="673"/>
      <c r="F34" s="673"/>
      <c r="G34" s="673"/>
      <c r="H34" s="673"/>
      <c r="I34" s="673"/>
      <c r="J34" s="673"/>
      <c r="K34" s="673"/>
      <c r="L34" s="673"/>
      <c r="M34" s="673"/>
      <c r="N34" s="673"/>
      <c r="O34" s="673"/>
      <c r="P34" s="673"/>
      <c r="Q34" s="673"/>
      <c r="R34" s="673"/>
      <c r="S34" s="673"/>
      <c r="T34" s="673"/>
      <c r="U34" s="673"/>
      <c r="V34" s="673"/>
      <c r="W34" s="673"/>
      <c r="X34" s="673"/>
      <c r="Y34" s="673"/>
      <c r="Z34" s="673"/>
      <c r="AA34" s="54"/>
      <c r="AB34" s="54"/>
      <c r="AC34" s="54"/>
    </row>
    <row r="35" spans="1:68" ht="16.5" hidden="1" customHeight="1" x14ac:dyDescent="0.25">
      <c r="A35" s="652" t="s">
        <v>104</v>
      </c>
      <c r="B35" s="652"/>
      <c r="C35" s="652"/>
      <c r="D35" s="652"/>
      <c r="E35" s="652"/>
      <c r="F35" s="652"/>
      <c r="G35" s="652"/>
      <c r="H35" s="652"/>
      <c r="I35" s="652"/>
      <c r="J35" s="652"/>
      <c r="K35" s="652"/>
      <c r="L35" s="652"/>
      <c r="M35" s="652"/>
      <c r="N35" s="652"/>
      <c r="O35" s="652"/>
      <c r="P35" s="652"/>
      <c r="Q35" s="652"/>
      <c r="R35" s="652"/>
      <c r="S35" s="652"/>
      <c r="T35" s="652"/>
      <c r="U35" s="652"/>
      <c r="V35" s="652"/>
      <c r="W35" s="652"/>
      <c r="X35" s="652"/>
      <c r="Y35" s="652"/>
      <c r="Z35" s="652"/>
      <c r="AA35" s="65"/>
      <c r="AB35" s="65"/>
      <c r="AC35" s="79"/>
    </row>
    <row r="36" spans="1:68" ht="14.25" hidden="1" customHeight="1" x14ac:dyDescent="0.25">
      <c r="A36" s="653" t="s">
        <v>86</v>
      </c>
      <c r="B36" s="653"/>
      <c r="C36" s="653"/>
      <c r="D36" s="653"/>
      <c r="E36" s="653"/>
      <c r="F36" s="653"/>
      <c r="G36" s="653"/>
      <c r="H36" s="653"/>
      <c r="I36" s="653"/>
      <c r="J36" s="653"/>
      <c r="K36" s="653"/>
      <c r="L36" s="653"/>
      <c r="M36" s="653"/>
      <c r="N36" s="653"/>
      <c r="O36" s="653"/>
      <c r="P36" s="653"/>
      <c r="Q36" s="653"/>
      <c r="R36" s="653"/>
      <c r="S36" s="653"/>
      <c r="T36" s="653"/>
      <c r="U36" s="653"/>
      <c r="V36" s="653"/>
      <c r="W36" s="653"/>
      <c r="X36" s="653"/>
      <c r="Y36" s="653"/>
      <c r="Z36" s="653"/>
      <c r="AA36" s="66"/>
      <c r="AB36" s="66"/>
      <c r="AC36" s="80"/>
    </row>
    <row r="37" spans="1:68" ht="27" hidden="1" customHeight="1" x14ac:dyDescent="0.25">
      <c r="A37" s="63" t="s">
        <v>105</v>
      </c>
      <c r="B37" s="63" t="s">
        <v>106</v>
      </c>
      <c r="C37" s="36">
        <v>4301052187</v>
      </c>
      <c r="D37" s="654">
        <v>4680115889354</v>
      </c>
      <c r="E37" s="654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91</v>
      </c>
      <c r="L37" s="37" t="s">
        <v>46</v>
      </c>
      <c r="M37" s="38" t="s">
        <v>97</v>
      </c>
      <c r="N37" s="38"/>
      <c r="O37" s="37">
        <v>40</v>
      </c>
      <c r="P37" s="941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56"/>
      <c r="R37" s="656"/>
      <c r="S37" s="656"/>
      <c r="T37" s="657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108</v>
      </c>
      <c r="B38" s="63" t="s">
        <v>109</v>
      </c>
      <c r="C38" s="36">
        <v>4301052198</v>
      </c>
      <c r="D38" s="654">
        <v>4680115888463</v>
      </c>
      <c r="E38" s="654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91</v>
      </c>
      <c r="L38" s="37" t="s">
        <v>46</v>
      </c>
      <c r="M38" s="38" t="s">
        <v>90</v>
      </c>
      <c r="N38" s="38"/>
      <c r="O38" s="37">
        <v>40</v>
      </c>
      <c r="P38" s="936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56"/>
      <c r="R38" s="656"/>
      <c r="S38" s="656"/>
      <c r="T38" s="657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110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111</v>
      </c>
      <c r="B39" s="63" t="s">
        <v>112</v>
      </c>
      <c r="C39" s="36">
        <v>4301052259</v>
      </c>
      <c r="D39" s="654">
        <v>4680115889590</v>
      </c>
      <c r="E39" s="654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91</v>
      </c>
      <c r="L39" s="37" t="s">
        <v>46</v>
      </c>
      <c r="M39" s="38" t="s">
        <v>90</v>
      </c>
      <c r="N39" s="38"/>
      <c r="O39" s="37">
        <v>40</v>
      </c>
      <c r="P39" s="937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56"/>
      <c r="R39" s="656"/>
      <c r="S39" s="656"/>
      <c r="T39" s="657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113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114</v>
      </c>
      <c r="B40" s="63" t="s">
        <v>115</v>
      </c>
      <c r="C40" s="36">
        <v>4301052184</v>
      </c>
      <c r="D40" s="654">
        <v>4680115888272</v>
      </c>
      <c r="E40" s="654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91</v>
      </c>
      <c r="L40" s="37" t="s">
        <v>46</v>
      </c>
      <c r="M40" s="38" t="s">
        <v>90</v>
      </c>
      <c r="N40" s="38"/>
      <c r="O40" s="37">
        <v>40</v>
      </c>
      <c r="P40" s="938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56"/>
      <c r="R40" s="656"/>
      <c r="S40" s="656"/>
      <c r="T40" s="657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116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hidden="1" customHeight="1" x14ac:dyDescent="0.25">
      <c r="A41" s="63" t="s">
        <v>117</v>
      </c>
      <c r="B41" s="63" t="s">
        <v>118</v>
      </c>
      <c r="C41" s="36">
        <v>4301052188</v>
      </c>
      <c r="D41" s="654">
        <v>4680115888364</v>
      </c>
      <c r="E41" s="654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90</v>
      </c>
      <c r="N41" s="38"/>
      <c r="O41" s="37">
        <v>40</v>
      </c>
      <c r="P41" s="939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56"/>
      <c r="R41" s="656"/>
      <c r="S41" s="656"/>
      <c r="T41" s="657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119</v>
      </c>
      <c r="AG41" s="78"/>
      <c r="AJ41" s="84" t="s">
        <v>46</v>
      </c>
      <c r="AK41" s="84">
        <v>0</v>
      </c>
      <c r="BB41" s="109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idden="1" x14ac:dyDescent="0.2">
      <c r="A42" s="661"/>
      <c r="B42" s="661"/>
      <c r="C42" s="661"/>
      <c r="D42" s="661"/>
      <c r="E42" s="661"/>
      <c r="F42" s="661"/>
      <c r="G42" s="661"/>
      <c r="H42" s="661"/>
      <c r="I42" s="661"/>
      <c r="J42" s="661"/>
      <c r="K42" s="661"/>
      <c r="L42" s="661"/>
      <c r="M42" s="661"/>
      <c r="N42" s="661"/>
      <c r="O42" s="662"/>
      <c r="P42" s="658" t="s">
        <v>40</v>
      </c>
      <c r="Q42" s="659"/>
      <c r="R42" s="659"/>
      <c r="S42" s="659"/>
      <c r="T42" s="659"/>
      <c r="U42" s="659"/>
      <c r="V42" s="660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hidden="1" x14ac:dyDescent="0.2">
      <c r="A43" s="661"/>
      <c r="B43" s="661"/>
      <c r="C43" s="661"/>
      <c r="D43" s="661"/>
      <c r="E43" s="661"/>
      <c r="F43" s="661"/>
      <c r="G43" s="661"/>
      <c r="H43" s="661"/>
      <c r="I43" s="661"/>
      <c r="J43" s="661"/>
      <c r="K43" s="661"/>
      <c r="L43" s="661"/>
      <c r="M43" s="661"/>
      <c r="N43" s="661"/>
      <c r="O43" s="662"/>
      <c r="P43" s="658" t="s">
        <v>40</v>
      </c>
      <c r="Q43" s="659"/>
      <c r="R43" s="659"/>
      <c r="S43" s="659"/>
      <c r="T43" s="659"/>
      <c r="U43" s="659"/>
      <c r="V43" s="660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hidden="1" customHeight="1" x14ac:dyDescent="0.2">
      <c r="A44" s="673" t="s">
        <v>120</v>
      </c>
      <c r="B44" s="673"/>
      <c r="C44" s="673"/>
      <c r="D44" s="673"/>
      <c r="E44" s="673"/>
      <c r="F44" s="673"/>
      <c r="G44" s="673"/>
      <c r="H44" s="673"/>
      <c r="I44" s="673"/>
      <c r="J44" s="673"/>
      <c r="K44" s="673"/>
      <c r="L44" s="673"/>
      <c r="M44" s="673"/>
      <c r="N44" s="673"/>
      <c r="O44" s="673"/>
      <c r="P44" s="673"/>
      <c r="Q44" s="673"/>
      <c r="R44" s="673"/>
      <c r="S44" s="673"/>
      <c r="T44" s="673"/>
      <c r="U44" s="673"/>
      <c r="V44" s="673"/>
      <c r="W44" s="673"/>
      <c r="X44" s="673"/>
      <c r="Y44" s="673"/>
      <c r="Z44" s="673"/>
      <c r="AA44" s="54"/>
      <c r="AB44" s="54"/>
      <c r="AC44" s="54"/>
    </row>
    <row r="45" spans="1:68" ht="16.5" hidden="1" customHeight="1" x14ac:dyDescent="0.25">
      <c r="A45" s="652" t="s">
        <v>121</v>
      </c>
      <c r="B45" s="652"/>
      <c r="C45" s="652"/>
      <c r="D45" s="652"/>
      <c r="E45" s="652"/>
      <c r="F45" s="652"/>
      <c r="G45" s="652"/>
      <c r="H45" s="652"/>
      <c r="I45" s="652"/>
      <c r="J45" s="652"/>
      <c r="K45" s="652"/>
      <c r="L45" s="652"/>
      <c r="M45" s="652"/>
      <c r="N45" s="652"/>
      <c r="O45" s="652"/>
      <c r="P45" s="652"/>
      <c r="Q45" s="652"/>
      <c r="R45" s="652"/>
      <c r="S45" s="652"/>
      <c r="T45" s="652"/>
      <c r="U45" s="652"/>
      <c r="V45" s="652"/>
      <c r="W45" s="652"/>
      <c r="X45" s="652"/>
      <c r="Y45" s="652"/>
      <c r="Z45" s="652"/>
      <c r="AA45" s="65"/>
      <c r="AB45" s="65"/>
      <c r="AC45" s="79"/>
    </row>
    <row r="46" spans="1:68" ht="14.25" hidden="1" customHeight="1" x14ac:dyDescent="0.25">
      <c r="A46" s="653" t="s">
        <v>122</v>
      </c>
      <c r="B46" s="653"/>
      <c r="C46" s="653"/>
      <c r="D46" s="653"/>
      <c r="E46" s="653"/>
      <c r="F46" s="653"/>
      <c r="G46" s="653"/>
      <c r="H46" s="653"/>
      <c r="I46" s="653"/>
      <c r="J46" s="653"/>
      <c r="K46" s="653"/>
      <c r="L46" s="653"/>
      <c r="M46" s="653"/>
      <c r="N46" s="653"/>
      <c r="O46" s="653"/>
      <c r="P46" s="653"/>
      <c r="Q46" s="653"/>
      <c r="R46" s="653"/>
      <c r="S46" s="653"/>
      <c r="T46" s="653"/>
      <c r="U46" s="653"/>
      <c r="V46" s="653"/>
      <c r="W46" s="653"/>
      <c r="X46" s="653"/>
      <c r="Y46" s="653"/>
      <c r="Z46" s="653"/>
      <c r="AA46" s="66"/>
      <c r="AB46" s="66"/>
      <c r="AC46" s="80"/>
    </row>
    <row r="47" spans="1:68" ht="16.5" hidden="1" customHeight="1" x14ac:dyDescent="0.25">
      <c r="A47" s="63" t="s">
        <v>123</v>
      </c>
      <c r="B47" s="63" t="s">
        <v>124</v>
      </c>
      <c r="C47" s="36">
        <v>4301011380</v>
      </c>
      <c r="D47" s="654">
        <v>4607091385670</v>
      </c>
      <c r="E47" s="654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127</v>
      </c>
      <c r="L47" s="37" t="s">
        <v>46</v>
      </c>
      <c r="M47" s="38" t="s">
        <v>126</v>
      </c>
      <c r="N47" s="38"/>
      <c r="O47" s="37">
        <v>50</v>
      </c>
      <c r="P47" s="933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56"/>
      <c r="R47" s="656"/>
      <c r="S47" s="656"/>
      <c r="T47" s="657"/>
      <c r="U47" s="39" t="s">
        <v>46</v>
      </c>
      <c r="V47" s="39" t="s">
        <v>46</v>
      </c>
      <c r="W47" s="40" t="s">
        <v>0</v>
      </c>
      <c r="X47" s="58">
        <v>0</v>
      </c>
      <c r="Y47" s="55">
        <f>IFERROR(IF(X47="",0,CEILING((X47/$H47),1)*$H47),"")</f>
        <v>0</v>
      </c>
      <c r="Z47" s="41" t="str">
        <f>IFERROR(IF(Y47=0,"",ROUNDUP(Y47/H47,0)*0.01898),"")</f>
        <v/>
      </c>
      <c r="AA47" s="68" t="s">
        <v>46</v>
      </c>
      <c r="AB47" s="69" t="s">
        <v>46</v>
      </c>
      <c r="AC47" s="110" t="s">
        <v>125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0</v>
      </c>
      <c r="BN47" s="78">
        <f>IFERROR(Y47*I47/H47,"0")</f>
        <v>0</v>
      </c>
      <c r="BO47" s="78">
        <f>IFERROR(1/J47*(X47/H47),"0")</f>
        <v>0</v>
      </c>
      <c r="BP47" s="78">
        <f>IFERROR(1/J47*(Y47/H47),"0")</f>
        <v>0</v>
      </c>
    </row>
    <row r="48" spans="1:68" ht="27" hidden="1" customHeight="1" x14ac:dyDescent="0.25">
      <c r="A48" s="63" t="s">
        <v>128</v>
      </c>
      <c r="B48" s="63" t="s">
        <v>129</v>
      </c>
      <c r="C48" s="36">
        <v>4301012053</v>
      </c>
      <c r="D48" s="654">
        <v>4680115887725</v>
      </c>
      <c r="E48" s="654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131</v>
      </c>
      <c r="L48" s="37" t="s">
        <v>46</v>
      </c>
      <c r="M48" s="38" t="s">
        <v>81</v>
      </c>
      <c r="N48" s="38"/>
      <c r="O48" s="37">
        <v>30</v>
      </c>
      <c r="P48" s="934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56"/>
      <c r="R48" s="656"/>
      <c r="S48" s="656"/>
      <c r="T48" s="657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130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hidden="1" customHeight="1" x14ac:dyDescent="0.25">
      <c r="A49" s="63" t="s">
        <v>132</v>
      </c>
      <c r="B49" s="63" t="s">
        <v>133</v>
      </c>
      <c r="C49" s="36">
        <v>4301011382</v>
      </c>
      <c r="D49" s="654">
        <v>4607091385687</v>
      </c>
      <c r="E49" s="654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134</v>
      </c>
      <c r="L49" s="37" t="s">
        <v>46</v>
      </c>
      <c r="M49" s="38" t="s">
        <v>90</v>
      </c>
      <c r="N49" s="38"/>
      <c r="O49" s="37">
        <v>50</v>
      </c>
      <c r="P49" s="935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56"/>
      <c r="R49" s="656"/>
      <c r="S49" s="656"/>
      <c r="T49" s="657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IFERROR(IF(Y49=0,"",ROUNDUP(Y49/H49,0)*0.00902),"")</f>
        <v/>
      </c>
      <c r="AA49" s="68" t="s">
        <v>46</v>
      </c>
      <c r="AB49" s="69" t="s">
        <v>46</v>
      </c>
      <c r="AC49" s="114" t="s">
        <v>125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hidden="1" customHeight="1" x14ac:dyDescent="0.25">
      <c r="A50" s="63" t="s">
        <v>135</v>
      </c>
      <c r="B50" s="63" t="s">
        <v>136</v>
      </c>
      <c r="C50" s="36">
        <v>4301011565</v>
      </c>
      <c r="D50" s="654">
        <v>4680115882539</v>
      </c>
      <c r="E50" s="654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134</v>
      </c>
      <c r="L50" s="37" t="s">
        <v>46</v>
      </c>
      <c r="M50" s="38" t="s">
        <v>90</v>
      </c>
      <c r="N50" s="38"/>
      <c r="O50" s="37">
        <v>50</v>
      </c>
      <c r="P50" s="93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56"/>
      <c r="R50" s="656"/>
      <c r="S50" s="656"/>
      <c r="T50" s="657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125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hidden="1" x14ac:dyDescent="0.2">
      <c r="A51" s="661"/>
      <c r="B51" s="661"/>
      <c r="C51" s="661"/>
      <c r="D51" s="661"/>
      <c r="E51" s="661"/>
      <c r="F51" s="661"/>
      <c r="G51" s="661"/>
      <c r="H51" s="661"/>
      <c r="I51" s="661"/>
      <c r="J51" s="661"/>
      <c r="K51" s="661"/>
      <c r="L51" s="661"/>
      <c r="M51" s="661"/>
      <c r="N51" s="661"/>
      <c r="O51" s="662"/>
      <c r="P51" s="658" t="s">
        <v>40</v>
      </c>
      <c r="Q51" s="659"/>
      <c r="R51" s="659"/>
      <c r="S51" s="659"/>
      <c r="T51" s="659"/>
      <c r="U51" s="659"/>
      <c r="V51" s="660"/>
      <c r="W51" s="42" t="s">
        <v>39</v>
      </c>
      <c r="X51" s="43">
        <f>IFERROR(X47/H47,"0")+IFERROR(X48/H48,"0")+IFERROR(X49/H49,"0")+IFERROR(X50/H50,"0")</f>
        <v>0</v>
      </c>
      <c r="Y51" s="43">
        <f>IFERROR(Y47/H47,"0")+IFERROR(Y48/H48,"0")+IFERROR(Y49/H49,"0")+IFERROR(Y50/H50,"0")</f>
        <v>0</v>
      </c>
      <c r="Z51" s="43">
        <f>IFERROR(IF(Z47="",0,Z47),"0")+IFERROR(IF(Z48="",0,Z48),"0")+IFERROR(IF(Z49="",0,Z49),"0")+IFERROR(IF(Z50="",0,Z50),"0")</f>
        <v>0</v>
      </c>
      <c r="AA51" s="67"/>
      <c r="AB51" s="67"/>
      <c r="AC51" s="67"/>
    </row>
    <row r="52" spans="1:68" hidden="1" x14ac:dyDescent="0.2">
      <c r="A52" s="661"/>
      <c r="B52" s="661"/>
      <c r="C52" s="661"/>
      <c r="D52" s="661"/>
      <c r="E52" s="661"/>
      <c r="F52" s="661"/>
      <c r="G52" s="661"/>
      <c r="H52" s="661"/>
      <c r="I52" s="661"/>
      <c r="J52" s="661"/>
      <c r="K52" s="661"/>
      <c r="L52" s="661"/>
      <c r="M52" s="661"/>
      <c r="N52" s="661"/>
      <c r="O52" s="662"/>
      <c r="P52" s="658" t="s">
        <v>40</v>
      </c>
      <c r="Q52" s="659"/>
      <c r="R52" s="659"/>
      <c r="S52" s="659"/>
      <c r="T52" s="659"/>
      <c r="U52" s="659"/>
      <c r="V52" s="660"/>
      <c r="W52" s="42" t="s">
        <v>0</v>
      </c>
      <c r="X52" s="43">
        <f>IFERROR(SUM(X47:X50),"0")</f>
        <v>0</v>
      </c>
      <c r="Y52" s="43">
        <f>IFERROR(SUM(Y47:Y50),"0")</f>
        <v>0</v>
      </c>
      <c r="Z52" s="42"/>
      <c r="AA52" s="67"/>
      <c r="AB52" s="67"/>
      <c r="AC52" s="67"/>
    </row>
    <row r="53" spans="1:68" ht="16.5" hidden="1" customHeight="1" x14ac:dyDescent="0.25">
      <c r="A53" s="652" t="s">
        <v>137</v>
      </c>
      <c r="B53" s="652"/>
      <c r="C53" s="652"/>
      <c r="D53" s="652"/>
      <c r="E53" s="652"/>
      <c r="F53" s="652"/>
      <c r="G53" s="652"/>
      <c r="H53" s="652"/>
      <c r="I53" s="652"/>
      <c r="J53" s="652"/>
      <c r="K53" s="652"/>
      <c r="L53" s="652"/>
      <c r="M53" s="652"/>
      <c r="N53" s="652"/>
      <c r="O53" s="652"/>
      <c r="P53" s="652"/>
      <c r="Q53" s="652"/>
      <c r="R53" s="652"/>
      <c r="S53" s="652"/>
      <c r="T53" s="652"/>
      <c r="U53" s="652"/>
      <c r="V53" s="652"/>
      <c r="W53" s="652"/>
      <c r="X53" s="652"/>
      <c r="Y53" s="652"/>
      <c r="Z53" s="652"/>
      <c r="AA53" s="65"/>
      <c r="AB53" s="65"/>
      <c r="AC53" s="79"/>
    </row>
    <row r="54" spans="1:68" ht="14.25" hidden="1" customHeight="1" x14ac:dyDescent="0.25">
      <c r="A54" s="653" t="s">
        <v>122</v>
      </c>
      <c r="B54" s="653"/>
      <c r="C54" s="653"/>
      <c r="D54" s="653"/>
      <c r="E54" s="653"/>
      <c r="F54" s="653"/>
      <c r="G54" s="653"/>
      <c r="H54" s="653"/>
      <c r="I54" s="653"/>
      <c r="J54" s="653"/>
      <c r="K54" s="653"/>
      <c r="L54" s="653"/>
      <c r="M54" s="653"/>
      <c r="N54" s="653"/>
      <c r="O54" s="653"/>
      <c r="P54" s="653"/>
      <c r="Q54" s="653"/>
      <c r="R54" s="653"/>
      <c r="S54" s="653"/>
      <c r="T54" s="653"/>
      <c r="U54" s="653"/>
      <c r="V54" s="653"/>
      <c r="W54" s="653"/>
      <c r="X54" s="653"/>
      <c r="Y54" s="653"/>
      <c r="Z54" s="653"/>
      <c r="AA54" s="66"/>
      <c r="AB54" s="66"/>
      <c r="AC54" s="80"/>
    </row>
    <row r="55" spans="1:68" ht="27" hidden="1" customHeight="1" x14ac:dyDescent="0.25">
      <c r="A55" s="63" t="s">
        <v>138</v>
      </c>
      <c r="B55" s="63" t="s">
        <v>139</v>
      </c>
      <c r="C55" s="36">
        <v>4301012161</v>
      </c>
      <c r="D55" s="654">
        <v>4680115885882</v>
      </c>
      <c r="E55" s="654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127</v>
      </c>
      <c r="L55" s="37" t="s">
        <v>46</v>
      </c>
      <c r="M55" s="38" t="s">
        <v>126</v>
      </c>
      <c r="N55" s="38"/>
      <c r="O55" s="37">
        <v>50</v>
      </c>
      <c r="P55" s="932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56"/>
      <c r="R55" s="656"/>
      <c r="S55" s="656"/>
      <c r="T55" s="657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1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140</v>
      </c>
      <c r="AG55" s="78"/>
      <c r="AJ55" s="84" t="s">
        <v>46</v>
      </c>
      <c r="AK55" s="84">
        <v>0</v>
      </c>
      <c r="BB55" s="119" t="s">
        <v>67</v>
      </c>
      <c r="BM55" s="78">
        <f t="shared" ref="BM55:BM61" si="1">IFERROR(X55*I55/H55,"0")</f>
        <v>0</v>
      </c>
      <c r="BN55" s="78">
        <f t="shared" ref="BN55:BN61" si="2">IFERROR(Y55*I55/H55,"0")</f>
        <v>0</v>
      </c>
      <c r="BO55" s="78">
        <f t="shared" ref="BO55:BO61" si="3">IFERROR(1/J55*(X55/H55),"0")</f>
        <v>0</v>
      </c>
      <c r="BP55" s="78">
        <f t="shared" ref="BP55:BP61" si="4">IFERROR(1/J55*(Y55/H55),"0")</f>
        <v>0</v>
      </c>
    </row>
    <row r="56" spans="1:68" ht="27" hidden="1" customHeight="1" x14ac:dyDescent="0.25">
      <c r="A56" s="63" t="s">
        <v>141</v>
      </c>
      <c r="B56" s="63" t="s">
        <v>142</v>
      </c>
      <c r="C56" s="36">
        <v>4301011816</v>
      </c>
      <c r="D56" s="654">
        <v>4680115881426</v>
      </c>
      <c r="E56" s="654"/>
      <c r="F56" s="62">
        <v>1.35</v>
      </c>
      <c r="G56" s="37">
        <v>8</v>
      </c>
      <c r="H56" s="62">
        <v>10.8</v>
      </c>
      <c r="I56" s="62">
        <v>11.21</v>
      </c>
      <c r="J56" s="37">
        <v>64</v>
      </c>
      <c r="K56" s="37" t="s">
        <v>127</v>
      </c>
      <c r="L56" s="37" t="s">
        <v>46</v>
      </c>
      <c r="M56" s="38" t="s">
        <v>126</v>
      </c>
      <c r="N56" s="38"/>
      <c r="O56" s="37">
        <v>50</v>
      </c>
      <c r="P56" s="92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56"/>
      <c r="R56" s="656"/>
      <c r="S56" s="656"/>
      <c r="T56" s="657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143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hidden="1" customHeight="1" x14ac:dyDescent="0.25">
      <c r="A57" s="63" t="s">
        <v>144</v>
      </c>
      <c r="B57" s="63" t="s">
        <v>145</v>
      </c>
      <c r="C57" s="36">
        <v>4301012259</v>
      </c>
      <c r="D57" s="654">
        <v>4680115880283</v>
      </c>
      <c r="E57" s="654"/>
      <c r="F57" s="62">
        <v>0.6</v>
      </c>
      <c r="G57" s="37">
        <v>8</v>
      </c>
      <c r="H57" s="62">
        <v>4.8</v>
      </c>
      <c r="I57" s="62">
        <v>4.99</v>
      </c>
      <c r="J57" s="37">
        <v>132</v>
      </c>
      <c r="K57" s="37" t="s">
        <v>134</v>
      </c>
      <c r="L57" s="37" t="s">
        <v>46</v>
      </c>
      <c r="M57" s="38" t="s">
        <v>126</v>
      </c>
      <c r="N57" s="38"/>
      <c r="O57" s="37">
        <v>45</v>
      </c>
      <c r="P57" s="927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656"/>
      <c r="R57" s="656"/>
      <c r="S57" s="656"/>
      <c r="T57" s="657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IFERROR(IF(Y57=0,"",ROUNDUP(Y57/H57,0)*0.00902),"")</f>
        <v/>
      </c>
      <c r="AA57" s="68" t="s">
        <v>46</v>
      </c>
      <c r="AB57" s="69" t="s">
        <v>46</v>
      </c>
      <c r="AC57" s="122" t="s">
        <v>146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hidden="1" customHeight="1" x14ac:dyDescent="0.25">
      <c r="A58" s="63" t="s">
        <v>147</v>
      </c>
      <c r="B58" s="63" t="s">
        <v>148</v>
      </c>
      <c r="C58" s="36">
        <v>4301011806</v>
      </c>
      <c r="D58" s="654">
        <v>4680115881525</v>
      </c>
      <c r="E58" s="654"/>
      <c r="F58" s="62">
        <v>0.4</v>
      </c>
      <c r="G58" s="37">
        <v>10</v>
      </c>
      <c r="H58" s="62">
        <v>4</v>
      </c>
      <c r="I58" s="62">
        <v>4.1900000000000004</v>
      </c>
      <c r="J58" s="37">
        <v>132</v>
      </c>
      <c r="K58" s="37" t="s">
        <v>134</v>
      </c>
      <c r="L58" s="37" t="s">
        <v>46</v>
      </c>
      <c r="M58" s="38" t="s">
        <v>126</v>
      </c>
      <c r="N58" s="38"/>
      <c r="O58" s="37">
        <v>50</v>
      </c>
      <c r="P58" s="928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656"/>
      <c r="R58" s="656"/>
      <c r="S58" s="656"/>
      <c r="T58" s="657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149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147</v>
      </c>
      <c r="B59" s="63" t="s">
        <v>150</v>
      </c>
      <c r="C59" s="36">
        <v>4301012159</v>
      </c>
      <c r="D59" s="654">
        <v>4680115881525</v>
      </c>
      <c r="E59" s="654"/>
      <c r="F59" s="62">
        <v>0.4</v>
      </c>
      <c r="G59" s="37">
        <v>10</v>
      </c>
      <c r="H59" s="62">
        <v>4</v>
      </c>
      <c r="I59" s="62">
        <v>4.1900000000000004</v>
      </c>
      <c r="J59" s="37">
        <v>132</v>
      </c>
      <c r="K59" s="37" t="s">
        <v>134</v>
      </c>
      <c r="L59" s="37" t="s">
        <v>46</v>
      </c>
      <c r="M59" s="38" t="s">
        <v>126</v>
      </c>
      <c r="N59" s="38"/>
      <c r="O59" s="37">
        <v>50</v>
      </c>
      <c r="P59" s="929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59" s="656"/>
      <c r="R59" s="656"/>
      <c r="S59" s="656"/>
      <c r="T59" s="657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IFERROR(IF(Y59=0,"",ROUNDUP(Y59/H59,0)*0.00902),"")</f>
        <v/>
      </c>
      <c r="AA59" s="68" t="s">
        <v>46</v>
      </c>
      <c r="AB59" s="69" t="s">
        <v>46</v>
      </c>
      <c r="AC59" s="126" t="s">
        <v>151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27" hidden="1" customHeight="1" x14ac:dyDescent="0.25">
      <c r="A60" s="63" t="s">
        <v>152</v>
      </c>
      <c r="B60" s="63" t="s">
        <v>153</v>
      </c>
      <c r="C60" s="36">
        <v>4301012165</v>
      </c>
      <c r="D60" s="654">
        <v>4680115885899</v>
      </c>
      <c r="E60" s="654"/>
      <c r="F60" s="62">
        <v>0.35</v>
      </c>
      <c r="G60" s="37">
        <v>6</v>
      </c>
      <c r="H60" s="62">
        <v>2.1</v>
      </c>
      <c r="I60" s="62">
        <v>2.2799999999999998</v>
      </c>
      <c r="J60" s="37">
        <v>182</v>
      </c>
      <c r="K60" s="37" t="s">
        <v>91</v>
      </c>
      <c r="L60" s="37" t="s">
        <v>46</v>
      </c>
      <c r="M60" s="38" t="s">
        <v>126</v>
      </c>
      <c r="N60" s="38"/>
      <c r="O60" s="37">
        <v>50</v>
      </c>
      <c r="P60" s="930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0" s="656"/>
      <c r="R60" s="656"/>
      <c r="S60" s="656"/>
      <c r="T60" s="657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IFERROR(IF(Y60=0,"",ROUNDUP(Y60/H60,0)*0.00651),"")</f>
        <v/>
      </c>
      <c r="AA60" s="68" t="s">
        <v>46</v>
      </c>
      <c r="AB60" s="69" t="s">
        <v>46</v>
      </c>
      <c r="AC60" s="128" t="s">
        <v>140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37.5" hidden="1" customHeight="1" x14ac:dyDescent="0.25">
      <c r="A61" s="63" t="s">
        <v>154</v>
      </c>
      <c r="B61" s="63" t="s">
        <v>155</v>
      </c>
      <c r="C61" s="36">
        <v>4301011801</v>
      </c>
      <c r="D61" s="654">
        <v>4680115881419</v>
      </c>
      <c r="E61" s="654"/>
      <c r="F61" s="62">
        <v>0.45</v>
      </c>
      <c r="G61" s="37">
        <v>10</v>
      </c>
      <c r="H61" s="62">
        <v>4.5</v>
      </c>
      <c r="I61" s="62">
        <v>4.6900000000000004</v>
      </c>
      <c r="J61" s="37">
        <v>132</v>
      </c>
      <c r="K61" s="37" t="s">
        <v>134</v>
      </c>
      <c r="L61" s="37" t="s">
        <v>46</v>
      </c>
      <c r="M61" s="38" t="s">
        <v>126</v>
      </c>
      <c r="N61" s="38"/>
      <c r="O61" s="37">
        <v>50</v>
      </c>
      <c r="P61" s="92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1" s="656"/>
      <c r="R61" s="656"/>
      <c r="S61" s="656"/>
      <c r="T61" s="657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IFERROR(IF(Y61=0,"",ROUNDUP(Y61/H61,0)*0.00902),"")</f>
        <v/>
      </c>
      <c r="AA61" s="68" t="s">
        <v>46</v>
      </c>
      <c r="AB61" s="69" t="s">
        <v>46</v>
      </c>
      <c r="AC61" s="130" t="s">
        <v>156</v>
      </c>
      <c r="AG61" s="78"/>
      <c r="AJ61" s="84" t="s">
        <v>46</v>
      </c>
      <c r="AK61" s="84">
        <v>0</v>
      </c>
      <c r="BB61" s="131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idden="1" x14ac:dyDescent="0.2">
      <c r="A62" s="661"/>
      <c r="B62" s="661"/>
      <c r="C62" s="661"/>
      <c r="D62" s="661"/>
      <c r="E62" s="661"/>
      <c r="F62" s="661"/>
      <c r="G62" s="661"/>
      <c r="H62" s="661"/>
      <c r="I62" s="661"/>
      <c r="J62" s="661"/>
      <c r="K62" s="661"/>
      <c r="L62" s="661"/>
      <c r="M62" s="661"/>
      <c r="N62" s="661"/>
      <c r="O62" s="662"/>
      <c r="P62" s="658" t="s">
        <v>40</v>
      </c>
      <c r="Q62" s="659"/>
      <c r="R62" s="659"/>
      <c r="S62" s="659"/>
      <c r="T62" s="659"/>
      <c r="U62" s="659"/>
      <c r="V62" s="660"/>
      <c r="W62" s="42" t="s">
        <v>39</v>
      </c>
      <c r="X62" s="43">
        <f>IFERROR(X55/H55,"0")+IFERROR(X56/H56,"0")+IFERROR(X57/H57,"0")+IFERROR(X58/H58,"0")+IFERROR(X59/H59,"0")+IFERROR(X60/H60,"0")+IFERROR(X61/H61,"0")</f>
        <v>0</v>
      </c>
      <c r="Y62" s="43">
        <f>IFERROR(Y55/H55,"0")+IFERROR(Y56/H56,"0")+IFERROR(Y57/H57,"0")+IFERROR(Y58/H58,"0")+IFERROR(Y59/H59,"0")+IFERROR(Y60/H60,"0")+IFERROR(Y61/H61,"0")</f>
        <v>0</v>
      </c>
      <c r="Z62" s="43">
        <f>IFERROR(IF(Z55="",0,Z55),"0")+IFERROR(IF(Z56="",0,Z56),"0")+IFERROR(IF(Z57="",0,Z57),"0")+IFERROR(IF(Z58="",0,Z58),"0")+IFERROR(IF(Z59="",0,Z59),"0")+IFERROR(IF(Z60="",0,Z60),"0")+IFERROR(IF(Z61="",0,Z61),"0")</f>
        <v>0</v>
      </c>
      <c r="AA62" s="67"/>
      <c r="AB62" s="67"/>
      <c r="AC62" s="67"/>
    </row>
    <row r="63" spans="1:68" hidden="1" x14ac:dyDescent="0.2">
      <c r="A63" s="661"/>
      <c r="B63" s="661"/>
      <c r="C63" s="661"/>
      <c r="D63" s="661"/>
      <c r="E63" s="661"/>
      <c r="F63" s="661"/>
      <c r="G63" s="661"/>
      <c r="H63" s="661"/>
      <c r="I63" s="661"/>
      <c r="J63" s="661"/>
      <c r="K63" s="661"/>
      <c r="L63" s="661"/>
      <c r="M63" s="661"/>
      <c r="N63" s="661"/>
      <c r="O63" s="662"/>
      <c r="P63" s="658" t="s">
        <v>40</v>
      </c>
      <c r="Q63" s="659"/>
      <c r="R63" s="659"/>
      <c r="S63" s="659"/>
      <c r="T63" s="659"/>
      <c r="U63" s="659"/>
      <c r="V63" s="660"/>
      <c r="W63" s="42" t="s">
        <v>0</v>
      </c>
      <c r="X63" s="43">
        <f>IFERROR(SUM(X55:X61),"0")</f>
        <v>0</v>
      </c>
      <c r="Y63" s="43">
        <f>IFERROR(SUM(Y55:Y61),"0")</f>
        <v>0</v>
      </c>
      <c r="Z63" s="42"/>
      <c r="AA63" s="67"/>
      <c r="AB63" s="67"/>
      <c r="AC63" s="67"/>
    </row>
    <row r="64" spans="1:68" ht="14.25" hidden="1" customHeight="1" x14ac:dyDescent="0.25">
      <c r="A64" s="653" t="s">
        <v>157</v>
      </c>
      <c r="B64" s="653"/>
      <c r="C64" s="653"/>
      <c r="D64" s="653"/>
      <c r="E64" s="653"/>
      <c r="F64" s="653"/>
      <c r="G64" s="653"/>
      <c r="H64" s="653"/>
      <c r="I64" s="653"/>
      <c r="J64" s="653"/>
      <c r="K64" s="653"/>
      <c r="L64" s="653"/>
      <c r="M64" s="653"/>
      <c r="N64" s="653"/>
      <c r="O64" s="653"/>
      <c r="P64" s="653"/>
      <c r="Q64" s="653"/>
      <c r="R64" s="653"/>
      <c r="S64" s="653"/>
      <c r="T64" s="653"/>
      <c r="U64" s="653"/>
      <c r="V64" s="653"/>
      <c r="W64" s="653"/>
      <c r="X64" s="653"/>
      <c r="Y64" s="653"/>
      <c r="Z64" s="653"/>
      <c r="AA64" s="66"/>
      <c r="AB64" s="66"/>
      <c r="AC64" s="80"/>
    </row>
    <row r="65" spans="1:68" ht="16.5" hidden="1" customHeight="1" x14ac:dyDescent="0.25">
      <c r="A65" s="63" t="s">
        <v>158</v>
      </c>
      <c r="B65" s="63" t="s">
        <v>159</v>
      </c>
      <c r="C65" s="36">
        <v>4301020298</v>
      </c>
      <c r="D65" s="654">
        <v>4680115881440</v>
      </c>
      <c r="E65" s="654"/>
      <c r="F65" s="62">
        <v>1.35</v>
      </c>
      <c r="G65" s="37">
        <v>8</v>
      </c>
      <c r="H65" s="62">
        <v>10.8</v>
      </c>
      <c r="I65" s="62">
        <v>11.21</v>
      </c>
      <c r="J65" s="37">
        <v>64</v>
      </c>
      <c r="K65" s="37" t="s">
        <v>127</v>
      </c>
      <c r="L65" s="37" t="s">
        <v>46</v>
      </c>
      <c r="M65" s="38" t="s">
        <v>126</v>
      </c>
      <c r="N65" s="38"/>
      <c r="O65" s="37">
        <v>50</v>
      </c>
      <c r="P65" s="92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5" s="656"/>
      <c r="R65" s="656"/>
      <c r="S65" s="656"/>
      <c r="T65" s="657"/>
      <c r="U65" s="39" t="s">
        <v>46</v>
      </c>
      <c r="V65" s="39" t="s">
        <v>46</v>
      </c>
      <c r="W65" s="40" t="s">
        <v>0</v>
      </c>
      <c r="X65" s="58">
        <v>0</v>
      </c>
      <c r="Y65" s="55">
        <f>IFERROR(IF(X65="",0,CEILING((X65/$H65),1)*$H65),"")</f>
        <v>0</v>
      </c>
      <c r="Z65" s="41" t="str">
        <f>IFERROR(IF(Y65=0,"",ROUNDUP(Y65/H65,0)*0.01898),"")</f>
        <v/>
      </c>
      <c r="AA65" s="68" t="s">
        <v>46</v>
      </c>
      <c r="AB65" s="69" t="s">
        <v>46</v>
      </c>
      <c r="AC65" s="132" t="s">
        <v>160</v>
      </c>
      <c r="AG65" s="78"/>
      <c r="AJ65" s="84" t="s">
        <v>46</v>
      </c>
      <c r="AK65" s="84">
        <v>0</v>
      </c>
      <c r="BB65" s="133" t="s">
        <v>67</v>
      </c>
      <c r="BM65" s="78">
        <f>IFERROR(X65*I65/H65,"0")</f>
        <v>0</v>
      </c>
      <c r="BN65" s="78">
        <f>IFERROR(Y65*I65/H65,"0")</f>
        <v>0</v>
      </c>
      <c r="BO65" s="78">
        <f>IFERROR(1/J65*(X65/H65),"0")</f>
        <v>0</v>
      </c>
      <c r="BP65" s="78">
        <f>IFERROR(1/J65*(Y65/H65),"0")</f>
        <v>0</v>
      </c>
    </row>
    <row r="66" spans="1:68" ht="16.5" hidden="1" customHeight="1" x14ac:dyDescent="0.25">
      <c r="A66" s="63" t="s">
        <v>161</v>
      </c>
      <c r="B66" s="63" t="s">
        <v>162</v>
      </c>
      <c r="C66" s="36">
        <v>4301020358</v>
      </c>
      <c r="D66" s="654">
        <v>4680115885950</v>
      </c>
      <c r="E66" s="654"/>
      <c r="F66" s="62">
        <v>0.37</v>
      </c>
      <c r="G66" s="37">
        <v>6</v>
      </c>
      <c r="H66" s="62">
        <v>2.2200000000000002</v>
      </c>
      <c r="I66" s="62">
        <v>2.4</v>
      </c>
      <c r="J66" s="37">
        <v>182</v>
      </c>
      <c r="K66" s="37" t="s">
        <v>91</v>
      </c>
      <c r="L66" s="37" t="s">
        <v>46</v>
      </c>
      <c r="M66" s="38" t="s">
        <v>90</v>
      </c>
      <c r="N66" s="38"/>
      <c r="O66" s="37">
        <v>50</v>
      </c>
      <c r="P66" s="925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6" s="656"/>
      <c r="R66" s="656"/>
      <c r="S66" s="656"/>
      <c r="T66" s="657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IFERROR(IF(Y66=0,"",ROUNDUP(Y66/H66,0)*0.00651),"")</f>
        <v/>
      </c>
      <c r="AA66" s="68" t="s">
        <v>46</v>
      </c>
      <c r="AB66" s="69" t="s">
        <v>46</v>
      </c>
      <c r="AC66" s="134" t="s">
        <v>160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16.5" hidden="1" customHeight="1" x14ac:dyDescent="0.25">
      <c r="A67" s="63" t="s">
        <v>163</v>
      </c>
      <c r="B67" s="63" t="s">
        <v>164</v>
      </c>
      <c r="C67" s="36">
        <v>4301020371</v>
      </c>
      <c r="D67" s="654">
        <v>4680115887688</v>
      </c>
      <c r="E67" s="654"/>
      <c r="F67" s="62">
        <v>0.1</v>
      </c>
      <c r="G67" s="37">
        <v>10</v>
      </c>
      <c r="H67" s="62">
        <v>1</v>
      </c>
      <c r="I67" s="62">
        <v>1.21</v>
      </c>
      <c r="J67" s="37">
        <v>192</v>
      </c>
      <c r="K67" s="37" t="s">
        <v>131</v>
      </c>
      <c r="L67" s="37" t="s">
        <v>46</v>
      </c>
      <c r="M67" s="38" t="s">
        <v>81</v>
      </c>
      <c r="N67" s="38"/>
      <c r="O67" s="37">
        <v>30</v>
      </c>
      <c r="P67" s="920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7" s="656"/>
      <c r="R67" s="656"/>
      <c r="S67" s="656"/>
      <c r="T67" s="657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IFERROR(IF(Y67=0,"",ROUNDUP(Y67/H67,0)*0.00726),"")</f>
        <v/>
      </c>
      <c r="AA67" s="68" t="s">
        <v>46</v>
      </c>
      <c r="AB67" s="69" t="s">
        <v>46</v>
      </c>
      <c r="AC67" s="136" t="s">
        <v>165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27" hidden="1" customHeight="1" x14ac:dyDescent="0.25">
      <c r="A68" s="63" t="s">
        <v>166</v>
      </c>
      <c r="B68" s="63" t="s">
        <v>167</v>
      </c>
      <c r="C68" s="36">
        <v>4301020296</v>
      </c>
      <c r="D68" s="654">
        <v>4680115881433</v>
      </c>
      <c r="E68" s="654"/>
      <c r="F68" s="62">
        <v>0.45</v>
      </c>
      <c r="G68" s="37">
        <v>6</v>
      </c>
      <c r="H68" s="62">
        <v>2.7</v>
      </c>
      <c r="I68" s="62">
        <v>2.88</v>
      </c>
      <c r="J68" s="37">
        <v>182</v>
      </c>
      <c r="K68" s="37" t="s">
        <v>91</v>
      </c>
      <c r="L68" s="37" t="s">
        <v>46</v>
      </c>
      <c r="M68" s="38" t="s">
        <v>126</v>
      </c>
      <c r="N68" s="38"/>
      <c r="O68" s="37">
        <v>50</v>
      </c>
      <c r="P68" s="921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8" s="656"/>
      <c r="R68" s="656"/>
      <c r="S68" s="656"/>
      <c r="T68" s="657"/>
      <c r="U68" s="39" t="s">
        <v>46</v>
      </c>
      <c r="V68" s="39" t="s">
        <v>46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IFERROR(IF(Y68=0,"",ROUNDUP(Y68/H68,0)*0.00651),"")</f>
        <v/>
      </c>
      <c r="AA68" s="68" t="s">
        <v>46</v>
      </c>
      <c r="AB68" s="69" t="s">
        <v>46</v>
      </c>
      <c r="AC68" s="138" t="s">
        <v>160</v>
      </c>
      <c r="AG68" s="78"/>
      <c r="AJ68" s="84" t="s">
        <v>46</v>
      </c>
      <c r="AK68" s="84">
        <v>0</v>
      </c>
      <c r="BB68" s="139" t="s">
        <v>67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hidden="1" x14ac:dyDescent="0.2">
      <c r="A69" s="661"/>
      <c r="B69" s="661"/>
      <c r="C69" s="661"/>
      <c r="D69" s="661"/>
      <c r="E69" s="661"/>
      <c r="F69" s="661"/>
      <c r="G69" s="661"/>
      <c r="H69" s="661"/>
      <c r="I69" s="661"/>
      <c r="J69" s="661"/>
      <c r="K69" s="661"/>
      <c r="L69" s="661"/>
      <c r="M69" s="661"/>
      <c r="N69" s="661"/>
      <c r="O69" s="662"/>
      <c r="P69" s="658" t="s">
        <v>40</v>
      </c>
      <c r="Q69" s="659"/>
      <c r="R69" s="659"/>
      <c r="S69" s="659"/>
      <c r="T69" s="659"/>
      <c r="U69" s="659"/>
      <c r="V69" s="660"/>
      <c r="W69" s="42" t="s">
        <v>39</v>
      </c>
      <c r="X69" s="43">
        <f>IFERROR(X65/H65,"0")+IFERROR(X66/H66,"0")+IFERROR(X67/H67,"0")+IFERROR(X68/H68,"0")</f>
        <v>0</v>
      </c>
      <c r="Y69" s="43">
        <f>IFERROR(Y65/H65,"0")+IFERROR(Y66/H66,"0")+IFERROR(Y67/H67,"0")+IFERROR(Y68/H68,"0")</f>
        <v>0</v>
      </c>
      <c r="Z69" s="43">
        <f>IFERROR(IF(Z65="",0,Z65),"0")+IFERROR(IF(Z66="",0,Z66),"0")+IFERROR(IF(Z67="",0,Z67),"0")+IFERROR(IF(Z68="",0,Z68),"0")</f>
        <v>0</v>
      </c>
      <c r="AA69" s="67"/>
      <c r="AB69" s="67"/>
      <c r="AC69" s="67"/>
    </row>
    <row r="70" spans="1:68" hidden="1" x14ac:dyDescent="0.2">
      <c r="A70" s="661"/>
      <c r="B70" s="661"/>
      <c r="C70" s="661"/>
      <c r="D70" s="661"/>
      <c r="E70" s="661"/>
      <c r="F70" s="661"/>
      <c r="G70" s="661"/>
      <c r="H70" s="661"/>
      <c r="I70" s="661"/>
      <c r="J70" s="661"/>
      <c r="K70" s="661"/>
      <c r="L70" s="661"/>
      <c r="M70" s="661"/>
      <c r="N70" s="661"/>
      <c r="O70" s="662"/>
      <c r="P70" s="658" t="s">
        <v>40</v>
      </c>
      <c r="Q70" s="659"/>
      <c r="R70" s="659"/>
      <c r="S70" s="659"/>
      <c r="T70" s="659"/>
      <c r="U70" s="659"/>
      <c r="V70" s="660"/>
      <c r="W70" s="42" t="s">
        <v>0</v>
      </c>
      <c r="X70" s="43">
        <f>IFERROR(SUM(X65:X68),"0")</f>
        <v>0</v>
      </c>
      <c r="Y70" s="43">
        <f>IFERROR(SUM(Y65:Y68),"0")</f>
        <v>0</v>
      </c>
      <c r="Z70" s="42"/>
      <c r="AA70" s="67"/>
      <c r="AB70" s="67"/>
      <c r="AC70" s="67"/>
    </row>
    <row r="71" spans="1:68" ht="14.25" hidden="1" customHeight="1" x14ac:dyDescent="0.25">
      <c r="A71" s="653" t="s">
        <v>86</v>
      </c>
      <c r="B71" s="653"/>
      <c r="C71" s="653"/>
      <c r="D71" s="653"/>
      <c r="E71" s="653"/>
      <c r="F71" s="653"/>
      <c r="G71" s="653"/>
      <c r="H71" s="653"/>
      <c r="I71" s="653"/>
      <c r="J71" s="653"/>
      <c r="K71" s="653"/>
      <c r="L71" s="653"/>
      <c r="M71" s="653"/>
      <c r="N71" s="653"/>
      <c r="O71" s="653"/>
      <c r="P71" s="653"/>
      <c r="Q71" s="653"/>
      <c r="R71" s="653"/>
      <c r="S71" s="653"/>
      <c r="T71" s="653"/>
      <c r="U71" s="653"/>
      <c r="V71" s="653"/>
      <c r="W71" s="653"/>
      <c r="X71" s="653"/>
      <c r="Y71" s="653"/>
      <c r="Z71" s="653"/>
      <c r="AA71" s="66"/>
      <c r="AB71" s="66"/>
      <c r="AC71" s="80"/>
    </row>
    <row r="72" spans="1:68" ht="16.5" hidden="1" customHeight="1" x14ac:dyDescent="0.25">
      <c r="A72" s="63" t="s">
        <v>168</v>
      </c>
      <c r="B72" s="63" t="s">
        <v>169</v>
      </c>
      <c r="C72" s="36">
        <v>4301051837</v>
      </c>
      <c r="D72" s="654">
        <v>4680115884311</v>
      </c>
      <c r="E72" s="654"/>
      <c r="F72" s="62">
        <v>0.3</v>
      </c>
      <c r="G72" s="37">
        <v>6</v>
      </c>
      <c r="H72" s="62">
        <v>1.8</v>
      </c>
      <c r="I72" s="62">
        <v>2.0459999999999998</v>
      </c>
      <c r="J72" s="37">
        <v>182</v>
      </c>
      <c r="K72" s="37" t="s">
        <v>91</v>
      </c>
      <c r="L72" s="37" t="s">
        <v>46</v>
      </c>
      <c r="M72" s="38" t="s">
        <v>90</v>
      </c>
      <c r="N72" s="38"/>
      <c r="O72" s="37">
        <v>40</v>
      </c>
      <c r="P72" s="92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656"/>
      <c r="R72" s="656"/>
      <c r="S72" s="656"/>
      <c r="T72" s="657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IFERROR(IF(Y72=0,"",ROUNDUP(Y72/H72,0)*0.00651),"")</f>
        <v/>
      </c>
      <c r="AA72" s="68" t="s">
        <v>46</v>
      </c>
      <c r="AB72" s="69" t="s">
        <v>46</v>
      </c>
      <c r="AC72" s="140" t="s">
        <v>170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171</v>
      </c>
      <c r="B73" s="63" t="s">
        <v>172</v>
      </c>
      <c r="C73" s="36">
        <v>4301051929</v>
      </c>
      <c r="D73" s="654">
        <v>4680115884403</v>
      </c>
      <c r="E73" s="654"/>
      <c r="F73" s="62">
        <v>0.3</v>
      </c>
      <c r="G73" s="37">
        <v>6</v>
      </c>
      <c r="H73" s="62">
        <v>1.8</v>
      </c>
      <c r="I73" s="62">
        <v>1.98</v>
      </c>
      <c r="J73" s="37">
        <v>182</v>
      </c>
      <c r="K73" s="37" t="s">
        <v>91</v>
      </c>
      <c r="L73" s="37" t="s">
        <v>46</v>
      </c>
      <c r="M73" s="38" t="s">
        <v>90</v>
      </c>
      <c r="N73" s="38"/>
      <c r="O73" s="37">
        <v>40</v>
      </c>
      <c r="P73" s="91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3" s="656"/>
      <c r="R73" s="656"/>
      <c r="S73" s="656"/>
      <c r="T73" s="657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173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t="27" hidden="1" customHeight="1" x14ac:dyDescent="0.25">
      <c r="A74" s="63" t="s">
        <v>171</v>
      </c>
      <c r="B74" s="63" t="s">
        <v>174</v>
      </c>
      <c r="C74" s="36">
        <v>4301052083</v>
      </c>
      <c r="D74" s="654">
        <v>4680115884403</v>
      </c>
      <c r="E74" s="654"/>
      <c r="F74" s="62">
        <v>0.3</v>
      </c>
      <c r="G74" s="37">
        <v>6</v>
      </c>
      <c r="H74" s="62">
        <v>1.8</v>
      </c>
      <c r="I74" s="62">
        <v>1.98</v>
      </c>
      <c r="J74" s="37">
        <v>182</v>
      </c>
      <c r="K74" s="37" t="s">
        <v>91</v>
      </c>
      <c r="L74" s="37" t="s">
        <v>46</v>
      </c>
      <c r="M74" s="38" t="s">
        <v>90</v>
      </c>
      <c r="N74" s="38"/>
      <c r="O74" s="37">
        <v>40</v>
      </c>
      <c r="P74" s="918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4" s="656"/>
      <c r="R74" s="656"/>
      <c r="S74" s="656"/>
      <c r="T74" s="657"/>
      <c r="U74" s="39" t="s">
        <v>46</v>
      </c>
      <c r="V74" s="39" t="s">
        <v>46</v>
      </c>
      <c r="W74" s="40" t="s">
        <v>0</v>
      </c>
      <c r="X74" s="58">
        <v>0</v>
      </c>
      <c r="Y74" s="55">
        <f>IFERROR(IF(X74="",0,CEILING((X74/$H74),1)*$H74),"")</f>
        <v>0</v>
      </c>
      <c r="Z74" s="41" t="str">
        <f>IFERROR(IF(Y74=0,"",ROUNDUP(Y74/H74,0)*0.00651),"")</f>
        <v/>
      </c>
      <c r="AA74" s="68" t="s">
        <v>46</v>
      </c>
      <c r="AB74" s="69" t="s">
        <v>46</v>
      </c>
      <c r="AC74" s="144" t="s">
        <v>173</v>
      </c>
      <c r="AG74" s="78"/>
      <c r="AJ74" s="84" t="s">
        <v>46</v>
      </c>
      <c r="AK74" s="84">
        <v>0</v>
      </c>
      <c r="BB74" s="145" t="s">
        <v>67</v>
      </c>
      <c r="BM74" s="78">
        <f>IFERROR(X74*I74/H74,"0")</f>
        <v>0</v>
      </c>
      <c r="BN74" s="78">
        <f>IFERROR(Y74*I74/H74,"0")</f>
        <v>0</v>
      </c>
      <c r="BO74" s="78">
        <f>IFERROR(1/J74*(X74/H74),"0")</f>
        <v>0</v>
      </c>
      <c r="BP74" s="78">
        <f>IFERROR(1/J74*(Y74/H74),"0")</f>
        <v>0</v>
      </c>
    </row>
    <row r="75" spans="1:68" hidden="1" x14ac:dyDescent="0.2">
      <c r="A75" s="661"/>
      <c r="B75" s="661"/>
      <c r="C75" s="661"/>
      <c r="D75" s="661"/>
      <c r="E75" s="661"/>
      <c r="F75" s="661"/>
      <c r="G75" s="661"/>
      <c r="H75" s="661"/>
      <c r="I75" s="661"/>
      <c r="J75" s="661"/>
      <c r="K75" s="661"/>
      <c r="L75" s="661"/>
      <c r="M75" s="661"/>
      <c r="N75" s="661"/>
      <c r="O75" s="662"/>
      <c r="P75" s="658" t="s">
        <v>40</v>
      </c>
      <c r="Q75" s="659"/>
      <c r="R75" s="659"/>
      <c r="S75" s="659"/>
      <c r="T75" s="659"/>
      <c r="U75" s="659"/>
      <c r="V75" s="660"/>
      <c r="W75" s="42" t="s">
        <v>39</v>
      </c>
      <c r="X75" s="43">
        <f>IFERROR(X72/H72,"0")+IFERROR(X73/H73,"0")+IFERROR(X74/H74,"0")</f>
        <v>0</v>
      </c>
      <c r="Y75" s="43">
        <f>IFERROR(Y72/H72,"0")+IFERROR(Y73/H73,"0")+IFERROR(Y74/H74,"0")</f>
        <v>0</v>
      </c>
      <c r="Z75" s="43">
        <f>IFERROR(IF(Z72="",0,Z72),"0")+IFERROR(IF(Z73="",0,Z73),"0")+IFERROR(IF(Z74="",0,Z74),"0")</f>
        <v>0</v>
      </c>
      <c r="AA75" s="67"/>
      <c r="AB75" s="67"/>
      <c r="AC75" s="67"/>
    </row>
    <row r="76" spans="1:68" hidden="1" x14ac:dyDescent="0.2">
      <c r="A76" s="661"/>
      <c r="B76" s="661"/>
      <c r="C76" s="661"/>
      <c r="D76" s="661"/>
      <c r="E76" s="661"/>
      <c r="F76" s="661"/>
      <c r="G76" s="661"/>
      <c r="H76" s="661"/>
      <c r="I76" s="661"/>
      <c r="J76" s="661"/>
      <c r="K76" s="661"/>
      <c r="L76" s="661"/>
      <c r="M76" s="661"/>
      <c r="N76" s="661"/>
      <c r="O76" s="662"/>
      <c r="P76" s="658" t="s">
        <v>40</v>
      </c>
      <c r="Q76" s="659"/>
      <c r="R76" s="659"/>
      <c r="S76" s="659"/>
      <c r="T76" s="659"/>
      <c r="U76" s="659"/>
      <c r="V76" s="660"/>
      <c r="W76" s="42" t="s">
        <v>0</v>
      </c>
      <c r="X76" s="43">
        <f>IFERROR(SUM(X72:X74),"0")</f>
        <v>0</v>
      </c>
      <c r="Y76" s="43">
        <f>IFERROR(SUM(Y72:Y74),"0")</f>
        <v>0</v>
      </c>
      <c r="Z76" s="42"/>
      <c r="AA76" s="67"/>
      <c r="AB76" s="67"/>
      <c r="AC76" s="67"/>
    </row>
    <row r="77" spans="1:68" ht="14.25" hidden="1" customHeight="1" x14ac:dyDescent="0.25">
      <c r="A77" s="653" t="s">
        <v>175</v>
      </c>
      <c r="B77" s="653"/>
      <c r="C77" s="653"/>
      <c r="D77" s="653"/>
      <c r="E77" s="653"/>
      <c r="F77" s="653"/>
      <c r="G77" s="653"/>
      <c r="H77" s="653"/>
      <c r="I77" s="653"/>
      <c r="J77" s="653"/>
      <c r="K77" s="653"/>
      <c r="L77" s="653"/>
      <c r="M77" s="653"/>
      <c r="N77" s="653"/>
      <c r="O77" s="653"/>
      <c r="P77" s="653"/>
      <c r="Q77" s="653"/>
      <c r="R77" s="653"/>
      <c r="S77" s="653"/>
      <c r="T77" s="653"/>
      <c r="U77" s="653"/>
      <c r="V77" s="653"/>
      <c r="W77" s="653"/>
      <c r="X77" s="653"/>
      <c r="Y77" s="653"/>
      <c r="Z77" s="653"/>
      <c r="AA77" s="66"/>
      <c r="AB77" s="66"/>
      <c r="AC77" s="80"/>
    </row>
    <row r="78" spans="1:68" ht="27" hidden="1" customHeight="1" x14ac:dyDescent="0.25">
      <c r="A78" s="63" t="s">
        <v>176</v>
      </c>
      <c r="B78" s="63" t="s">
        <v>177</v>
      </c>
      <c r="C78" s="36">
        <v>4301060455</v>
      </c>
      <c r="D78" s="654">
        <v>4680115881532</v>
      </c>
      <c r="E78" s="654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127</v>
      </c>
      <c r="L78" s="37" t="s">
        <v>46</v>
      </c>
      <c r="M78" s="38" t="s">
        <v>97</v>
      </c>
      <c r="N78" s="38"/>
      <c r="O78" s="37">
        <v>30</v>
      </c>
      <c r="P78" s="91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656"/>
      <c r="R78" s="656"/>
      <c r="S78" s="656"/>
      <c r="T78" s="657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46</v>
      </c>
      <c r="AB78" s="69" t="s">
        <v>46</v>
      </c>
      <c r="AC78" s="146" t="s">
        <v>178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hidden="1" customHeight="1" x14ac:dyDescent="0.25">
      <c r="A79" s="63" t="s">
        <v>176</v>
      </c>
      <c r="B79" s="63" t="s">
        <v>179</v>
      </c>
      <c r="C79" s="36">
        <v>4301060526</v>
      </c>
      <c r="D79" s="654">
        <v>4680115881532</v>
      </c>
      <c r="E79" s="654"/>
      <c r="F79" s="62">
        <v>1.3</v>
      </c>
      <c r="G79" s="37">
        <v>6</v>
      </c>
      <c r="H79" s="62">
        <v>7.8</v>
      </c>
      <c r="I79" s="62">
        <v>8.2100000000000009</v>
      </c>
      <c r="J79" s="37">
        <v>64</v>
      </c>
      <c r="K79" s="37" t="s">
        <v>127</v>
      </c>
      <c r="L79" s="37" t="s">
        <v>46</v>
      </c>
      <c r="M79" s="38" t="s">
        <v>97</v>
      </c>
      <c r="N79" s="38"/>
      <c r="O79" s="37">
        <v>30</v>
      </c>
      <c r="P79" s="915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9" s="656"/>
      <c r="R79" s="656"/>
      <c r="S79" s="656"/>
      <c r="T79" s="657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IFERROR(IF(Y79=0,"",ROUNDUP(Y79/H79,0)*0.01898),"")</f>
        <v/>
      </c>
      <c r="AA79" s="68" t="s">
        <v>46</v>
      </c>
      <c r="AB79" s="69" t="s">
        <v>46</v>
      </c>
      <c r="AC79" s="148" t="s">
        <v>178</v>
      </c>
      <c r="AG79" s="78"/>
      <c r="AJ79" s="84" t="s">
        <v>46</v>
      </c>
      <c r="AK79" s="84">
        <v>0</v>
      </c>
      <c r="BB79" s="149" t="s">
        <v>67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t="27" hidden="1" customHeight="1" x14ac:dyDescent="0.25">
      <c r="A80" s="63" t="s">
        <v>180</v>
      </c>
      <c r="B80" s="63" t="s">
        <v>181</v>
      </c>
      <c r="C80" s="36">
        <v>4301060527</v>
      </c>
      <c r="D80" s="654">
        <v>4680115881464</v>
      </c>
      <c r="E80" s="654"/>
      <c r="F80" s="62">
        <v>0.4</v>
      </c>
      <c r="G80" s="37">
        <v>6</v>
      </c>
      <c r="H80" s="62">
        <v>2.4</v>
      </c>
      <c r="I80" s="62">
        <v>2.59</v>
      </c>
      <c r="J80" s="37">
        <v>132</v>
      </c>
      <c r="K80" s="37" t="s">
        <v>134</v>
      </c>
      <c r="L80" s="37" t="s">
        <v>46</v>
      </c>
      <c r="M80" s="38" t="s">
        <v>90</v>
      </c>
      <c r="N80" s="38"/>
      <c r="O80" s="37">
        <v>30</v>
      </c>
      <c r="P80" s="916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656"/>
      <c r="R80" s="656"/>
      <c r="S80" s="656"/>
      <c r="T80" s="657"/>
      <c r="U80" s="39" t="s">
        <v>46</v>
      </c>
      <c r="V80" s="39" t="s">
        <v>46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IFERROR(IF(Y80=0,"",ROUNDUP(Y80/H80,0)*0.00902),"")</f>
        <v/>
      </c>
      <c r="AA80" s="68" t="s">
        <v>46</v>
      </c>
      <c r="AB80" s="69" t="s">
        <v>46</v>
      </c>
      <c r="AC80" s="150" t="s">
        <v>182</v>
      </c>
      <c r="AG80" s="78"/>
      <c r="AJ80" s="84" t="s">
        <v>46</v>
      </c>
      <c r="AK80" s="84">
        <v>0</v>
      </c>
      <c r="BB80" s="151" t="s">
        <v>67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hidden="1" x14ac:dyDescent="0.2">
      <c r="A81" s="661"/>
      <c r="B81" s="661"/>
      <c r="C81" s="661"/>
      <c r="D81" s="661"/>
      <c r="E81" s="661"/>
      <c r="F81" s="661"/>
      <c r="G81" s="661"/>
      <c r="H81" s="661"/>
      <c r="I81" s="661"/>
      <c r="J81" s="661"/>
      <c r="K81" s="661"/>
      <c r="L81" s="661"/>
      <c r="M81" s="661"/>
      <c r="N81" s="661"/>
      <c r="O81" s="662"/>
      <c r="P81" s="658" t="s">
        <v>40</v>
      </c>
      <c r="Q81" s="659"/>
      <c r="R81" s="659"/>
      <c r="S81" s="659"/>
      <c r="T81" s="659"/>
      <c r="U81" s="659"/>
      <c r="V81" s="660"/>
      <c r="W81" s="42" t="s">
        <v>39</v>
      </c>
      <c r="X81" s="43">
        <f>IFERROR(X78/H78,"0")+IFERROR(X79/H79,"0")+IFERROR(X80/H80,"0")</f>
        <v>0</v>
      </c>
      <c r="Y81" s="43">
        <f>IFERROR(Y78/H78,"0")+IFERROR(Y79/H79,"0")+IFERROR(Y80/H80,"0")</f>
        <v>0</v>
      </c>
      <c r="Z81" s="43">
        <f>IFERROR(IF(Z78="",0,Z78),"0")+IFERROR(IF(Z79="",0,Z79),"0")+IFERROR(IF(Z80="",0,Z80),"0")</f>
        <v>0</v>
      </c>
      <c r="AA81" s="67"/>
      <c r="AB81" s="67"/>
      <c r="AC81" s="67"/>
    </row>
    <row r="82" spans="1:68" hidden="1" x14ac:dyDescent="0.2">
      <c r="A82" s="661"/>
      <c r="B82" s="661"/>
      <c r="C82" s="661"/>
      <c r="D82" s="661"/>
      <c r="E82" s="661"/>
      <c r="F82" s="661"/>
      <c r="G82" s="661"/>
      <c r="H82" s="661"/>
      <c r="I82" s="661"/>
      <c r="J82" s="661"/>
      <c r="K82" s="661"/>
      <c r="L82" s="661"/>
      <c r="M82" s="661"/>
      <c r="N82" s="661"/>
      <c r="O82" s="662"/>
      <c r="P82" s="658" t="s">
        <v>40</v>
      </c>
      <c r="Q82" s="659"/>
      <c r="R82" s="659"/>
      <c r="S82" s="659"/>
      <c r="T82" s="659"/>
      <c r="U82" s="659"/>
      <c r="V82" s="660"/>
      <c r="W82" s="42" t="s">
        <v>0</v>
      </c>
      <c r="X82" s="43">
        <f>IFERROR(SUM(X78:X80),"0")</f>
        <v>0</v>
      </c>
      <c r="Y82" s="43">
        <f>IFERROR(SUM(Y78:Y80),"0")</f>
        <v>0</v>
      </c>
      <c r="Z82" s="42"/>
      <c r="AA82" s="67"/>
      <c r="AB82" s="67"/>
      <c r="AC82" s="67"/>
    </row>
    <row r="83" spans="1:68" ht="16.5" hidden="1" customHeight="1" x14ac:dyDescent="0.25">
      <c r="A83" s="652" t="s">
        <v>183</v>
      </c>
      <c r="B83" s="652"/>
      <c r="C83" s="652"/>
      <c r="D83" s="652"/>
      <c r="E83" s="652"/>
      <c r="F83" s="652"/>
      <c r="G83" s="652"/>
      <c r="H83" s="652"/>
      <c r="I83" s="652"/>
      <c r="J83" s="652"/>
      <c r="K83" s="652"/>
      <c r="L83" s="652"/>
      <c r="M83" s="652"/>
      <c r="N83" s="652"/>
      <c r="O83" s="652"/>
      <c r="P83" s="652"/>
      <c r="Q83" s="652"/>
      <c r="R83" s="652"/>
      <c r="S83" s="652"/>
      <c r="T83" s="652"/>
      <c r="U83" s="652"/>
      <c r="V83" s="652"/>
      <c r="W83" s="652"/>
      <c r="X83" s="652"/>
      <c r="Y83" s="652"/>
      <c r="Z83" s="652"/>
      <c r="AA83" s="65"/>
      <c r="AB83" s="65"/>
      <c r="AC83" s="79"/>
    </row>
    <row r="84" spans="1:68" ht="14.25" hidden="1" customHeight="1" x14ac:dyDescent="0.25">
      <c r="A84" s="653" t="s">
        <v>122</v>
      </c>
      <c r="B84" s="653"/>
      <c r="C84" s="653"/>
      <c r="D84" s="653"/>
      <c r="E84" s="653"/>
      <c r="F84" s="653"/>
      <c r="G84" s="653"/>
      <c r="H84" s="653"/>
      <c r="I84" s="653"/>
      <c r="J84" s="653"/>
      <c r="K84" s="653"/>
      <c r="L84" s="653"/>
      <c r="M84" s="653"/>
      <c r="N84" s="653"/>
      <c r="O84" s="653"/>
      <c r="P84" s="653"/>
      <c r="Q84" s="653"/>
      <c r="R84" s="653"/>
      <c r="S84" s="653"/>
      <c r="T84" s="653"/>
      <c r="U84" s="653"/>
      <c r="V84" s="653"/>
      <c r="W84" s="653"/>
      <c r="X84" s="653"/>
      <c r="Y84" s="653"/>
      <c r="Z84" s="653"/>
      <c r="AA84" s="66"/>
      <c r="AB84" s="66"/>
      <c r="AC84" s="80"/>
    </row>
    <row r="85" spans="1:68" ht="27" hidden="1" customHeight="1" x14ac:dyDescent="0.25">
      <c r="A85" s="63" t="s">
        <v>184</v>
      </c>
      <c r="B85" s="63" t="s">
        <v>185</v>
      </c>
      <c r="C85" s="36">
        <v>4301011468</v>
      </c>
      <c r="D85" s="654">
        <v>4680115881327</v>
      </c>
      <c r="E85" s="654"/>
      <c r="F85" s="62">
        <v>1.35</v>
      </c>
      <c r="G85" s="37">
        <v>8</v>
      </c>
      <c r="H85" s="62">
        <v>10.8</v>
      </c>
      <c r="I85" s="62">
        <v>11.21</v>
      </c>
      <c r="J85" s="37">
        <v>64</v>
      </c>
      <c r="K85" s="37" t="s">
        <v>127</v>
      </c>
      <c r="L85" s="37" t="s">
        <v>46</v>
      </c>
      <c r="M85" s="38" t="s">
        <v>97</v>
      </c>
      <c r="N85" s="38"/>
      <c r="O85" s="37">
        <v>50</v>
      </c>
      <c r="P85" s="91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656"/>
      <c r="R85" s="656"/>
      <c r="S85" s="656"/>
      <c r="T85" s="657"/>
      <c r="U85" s="39" t="s">
        <v>46</v>
      </c>
      <c r="V85" s="39" t="s">
        <v>46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IFERROR(IF(Y85=0,"",ROUNDUP(Y85/H85,0)*0.01898),"")</f>
        <v/>
      </c>
      <c r="AA85" s="68" t="s">
        <v>46</v>
      </c>
      <c r="AB85" s="69" t="s">
        <v>46</v>
      </c>
      <c r="AC85" s="152" t="s">
        <v>186</v>
      </c>
      <c r="AG85" s="78"/>
      <c r="AJ85" s="84" t="s">
        <v>46</v>
      </c>
      <c r="AK85" s="84">
        <v>0</v>
      </c>
      <c r="BB85" s="153" t="s">
        <v>67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hidden="1" customHeight="1" x14ac:dyDescent="0.25">
      <c r="A86" s="63" t="s">
        <v>187</v>
      </c>
      <c r="B86" s="63" t="s">
        <v>188</v>
      </c>
      <c r="C86" s="36">
        <v>4301011261</v>
      </c>
      <c r="D86" s="654">
        <v>4680115887732</v>
      </c>
      <c r="E86" s="654"/>
      <c r="F86" s="62">
        <v>0.17</v>
      </c>
      <c r="G86" s="37">
        <v>10</v>
      </c>
      <c r="H86" s="62">
        <v>1.7</v>
      </c>
      <c r="I86" s="62">
        <v>1.8</v>
      </c>
      <c r="J86" s="37">
        <v>192</v>
      </c>
      <c r="K86" s="37" t="s">
        <v>131</v>
      </c>
      <c r="L86" s="37" t="s">
        <v>46</v>
      </c>
      <c r="M86" s="38" t="s">
        <v>81</v>
      </c>
      <c r="N86" s="38"/>
      <c r="O86" s="37">
        <v>30</v>
      </c>
      <c r="P86" s="911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656"/>
      <c r="R86" s="656"/>
      <c r="S86" s="656"/>
      <c r="T86" s="657"/>
      <c r="U86" s="39" t="s">
        <v>46</v>
      </c>
      <c r="V86" s="39" t="s">
        <v>46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IFERROR(IF(Y86=0,"",ROUNDUP(Y86/H86,0)*0.00726),"")</f>
        <v/>
      </c>
      <c r="AA86" s="68" t="s">
        <v>46</v>
      </c>
      <c r="AB86" s="69" t="s">
        <v>46</v>
      </c>
      <c r="AC86" s="154" t="s">
        <v>189</v>
      </c>
      <c r="AG86" s="78"/>
      <c r="AJ86" s="84" t="s">
        <v>46</v>
      </c>
      <c r="AK86" s="84">
        <v>0</v>
      </c>
      <c r="BB86" s="155" t="s">
        <v>67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hidden="1" customHeight="1" x14ac:dyDescent="0.25">
      <c r="A87" s="63" t="s">
        <v>187</v>
      </c>
      <c r="B87" s="63" t="s">
        <v>190</v>
      </c>
      <c r="C87" s="36">
        <v>4301012392</v>
      </c>
      <c r="D87" s="654">
        <v>4680115887732</v>
      </c>
      <c r="E87" s="654"/>
      <c r="F87" s="62">
        <v>0.17</v>
      </c>
      <c r="G87" s="37">
        <v>8</v>
      </c>
      <c r="H87" s="62">
        <v>1.36</v>
      </c>
      <c r="I87" s="62">
        <v>1.54</v>
      </c>
      <c r="J87" s="37">
        <v>192</v>
      </c>
      <c r="K87" s="37" t="s">
        <v>131</v>
      </c>
      <c r="L87" s="37" t="s">
        <v>46</v>
      </c>
      <c r="M87" s="38" t="s">
        <v>81</v>
      </c>
      <c r="N87" s="38"/>
      <c r="O87" s="37">
        <v>30</v>
      </c>
      <c r="P87" s="912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7" s="656"/>
      <c r="R87" s="656"/>
      <c r="S87" s="656"/>
      <c r="T87" s="657"/>
      <c r="U87" s="39" t="s">
        <v>46</v>
      </c>
      <c r="V87" s="39" t="s">
        <v>46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IFERROR(IF(Y87=0,"",ROUNDUP(Y87/H87,0)*0.00726),"")</f>
        <v/>
      </c>
      <c r="AA87" s="68" t="s">
        <v>46</v>
      </c>
      <c r="AB87" s="69" t="s">
        <v>46</v>
      </c>
      <c r="AC87" s="156" t="s">
        <v>189</v>
      </c>
      <c r="AG87" s="78"/>
      <c r="AJ87" s="84" t="s">
        <v>46</v>
      </c>
      <c r="AK87" s="84">
        <v>0</v>
      </c>
      <c r="BB87" s="157" t="s">
        <v>67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t="27" hidden="1" customHeight="1" x14ac:dyDescent="0.25">
      <c r="A88" s="63" t="s">
        <v>191</v>
      </c>
      <c r="B88" s="63" t="s">
        <v>192</v>
      </c>
      <c r="C88" s="36">
        <v>4301011476</v>
      </c>
      <c r="D88" s="654">
        <v>4680115881518</v>
      </c>
      <c r="E88" s="654"/>
      <c r="F88" s="62">
        <v>0.4</v>
      </c>
      <c r="G88" s="37">
        <v>10</v>
      </c>
      <c r="H88" s="62">
        <v>4</v>
      </c>
      <c r="I88" s="62">
        <v>4.1900000000000004</v>
      </c>
      <c r="J88" s="37">
        <v>132</v>
      </c>
      <c r="K88" s="37" t="s">
        <v>134</v>
      </c>
      <c r="L88" s="37" t="s">
        <v>46</v>
      </c>
      <c r="M88" s="38" t="s">
        <v>90</v>
      </c>
      <c r="N88" s="38"/>
      <c r="O88" s="37">
        <v>50</v>
      </c>
      <c r="P88" s="913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56"/>
      <c r="R88" s="656"/>
      <c r="S88" s="656"/>
      <c r="T88" s="657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IFERROR(IF(Y88=0,"",ROUNDUP(Y88/H88,0)*0.00902),"")</f>
        <v/>
      </c>
      <c r="AA88" s="68" t="s">
        <v>46</v>
      </c>
      <c r="AB88" s="69" t="s">
        <v>46</v>
      </c>
      <c r="AC88" s="158" t="s">
        <v>186</v>
      </c>
      <c r="AG88" s="78"/>
      <c r="AJ88" s="84" t="s">
        <v>46</v>
      </c>
      <c r="AK88" s="84">
        <v>0</v>
      </c>
      <c r="BB88" s="159" t="s">
        <v>67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hidden="1" customHeight="1" x14ac:dyDescent="0.25">
      <c r="A89" s="63" t="s">
        <v>193</v>
      </c>
      <c r="B89" s="63" t="s">
        <v>194</v>
      </c>
      <c r="C89" s="36">
        <v>4301012250</v>
      </c>
      <c r="D89" s="654">
        <v>4680115881303</v>
      </c>
      <c r="E89" s="654"/>
      <c r="F89" s="62">
        <v>0.45</v>
      </c>
      <c r="G89" s="37">
        <v>10</v>
      </c>
      <c r="H89" s="62">
        <v>4.5</v>
      </c>
      <c r="I89" s="62">
        <v>4.6900000000000004</v>
      </c>
      <c r="J89" s="37">
        <v>132</v>
      </c>
      <c r="K89" s="37" t="s">
        <v>134</v>
      </c>
      <c r="L89" s="37" t="s">
        <v>46</v>
      </c>
      <c r="M89" s="38" t="s">
        <v>126</v>
      </c>
      <c r="N89" s="38"/>
      <c r="O89" s="37">
        <v>50</v>
      </c>
      <c r="P89" s="914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89" s="656"/>
      <c r="R89" s="656"/>
      <c r="S89" s="656"/>
      <c r="T89" s="657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IFERROR(IF(Y89=0,"",ROUNDUP(Y89/H89,0)*0.00902),"")</f>
        <v/>
      </c>
      <c r="AA89" s="68" t="s">
        <v>46</v>
      </c>
      <c r="AB89" s="69" t="s">
        <v>46</v>
      </c>
      <c r="AC89" s="160" t="s">
        <v>186</v>
      </c>
      <c r="AG89" s="78"/>
      <c r="AJ89" s="84" t="s">
        <v>46</v>
      </c>
      <c r="AK89" s="84">
        <v>0</v>
      </c>
      <c r="BB89" s="161" t="s">
        <v>67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idden="1" x14ac:dyDescent="0.2">
      <c r="A90" s="661"/>
      <c r="B90" s="661"/>
      <c r="C90" s="661"/>
      <c r="D90" s="661"/>
      <c r="E90" s="661"/>
      <c r="F90" s="661"/>
      <c r="G90" s="661"/>
      <c r="H90" s="661"/>
      <c r="I90" s="661"/>
      <c r="J90" s="661"/>
      <c r="K90" s="661"/>
      <c r="L90" s="661"/>
      <c r="M90" s="661"/>
      <c r="N90" s="661"/>
      <c r="O90" s="662"/>
      <c r="P90" s="658" t="s">
        <v>40</v>
      </c>
      <c r="Q90" s="659"/>
      <c r="R90" s="659"/>
      <c r="S90" s="659"/>
      <c r="T90" s="659"/>
      <c r="U90" s="659"/>
      <c r="V90" s="660"/>
      <c r="W90" s="42" t="s">
        <v>39</v>
      </c>
      <c r="X90" s="43">
        <f>IFERROR(X85/H85,"0")+IFERROR(X86/H86,"0")+IFERROR(X87/H87,"0")+IFERROR(X88/H88,"0")+IFERROR(X89/H89,"0")</f>
        <v>0</v>
      </c>
      <c r="Y90" s="43">
        <f>IFERROR(Y85/H85,"0")+IFERROR(Y86/H86,"0")+IFERROR(Y87/H87,"0")+IFERROR(Y88/H88,"0")+IFERROR(Y89/H89,"0")</f>
        <v>0</v>
      </c>
      <c r="Z90" s="43">
        <f>IFERROR(IF(Z85="",0,Z85),"0")+IFERROR(IF(Z86="",0,Z86),"0")+IFERROR(IF(Z87="",0,Z87),"0")+IFERROR(IF(Z88="",0,Z88),"0")+IFERROR(IF(Z89="",0,Z89),"0")</f>
        <v>0</v>
      </c>
      <c r="AA90" s="67"/>
      <c r="AB90" s="67"/>
      <c r="AC90" s="67"/>
    </row>
    <row r="91" spans="1:68" hidden="1" x14ac:dyDescent="0.2">
      <c r="A91" s="661"/>
      <c r="B91" s="661"/>
      <c r="C91" s="661"/>
      <c r="D91" s="661"/>
      <c r="E91" s="661"/>
      <c r="F91" s="661"/>
      <c r="G91" s="661"/>
      <c r="H91" s="661"/>
      <c r="I91" s="661"/>
      <c r="J91" s="661"/>
      <c r="K91" s="661"/>
      <c r="L91" s="661"/>
      <c r="M91" s="661"/>
      <c r="N91" s="661"/>
      <c r="O91" s="662"/>
      <c r="P91" s="658" t="s">
        <v>40</v>
      </c>
      <c r="Q91" s="659"/>
      <c r="R91" s="659"/>
      <c r="S91" s="659"/>
      <c r="T91" s="659"/>
      <c r="U91" s="659"/>
      <c r="V91" s="660"/>
      <c r="W91" s="42" t="s">
        <v>0</v>
      </c>
      <c r="X91" s="43">
        <f>IFERROR(SUM(X85:X89),"0")</f>
        <v>0</v>
      </c>
      <c r="Y91" s="43">
        <f>IFERROR(SUM(Y85:Y89),"0")</f>
        <v>0</v>
      </c>
      <c r="Z91" s="42"/>
      <c r="AA91" s="67"/>
      <c r="AB91" s="67"/>
      <c r="AC91" s="67"/>
    </row>
    <row r="92" spans="1:68" ht="14.25" hidden="1" customHeight="1" x14ac:dyDescent="0.25">
      <c r="A92" s="653" t="s">
        <v>86</v>
      </c>
      <c r="B92" s="653"/>
      <c r="C92" s="653"/>
      <c r="D92" s="653"/>
      <c r="E92" s="653"/>
      <c r="F92" s="653"/>
      <c r="G92" s="653"/>
      <c r="H92" s="653"/>
      <c r="I92" s="653"/>
      <c r="J92" s="653"/>
      <c r="K92" s="653"/>
      <c r="L92" s="653"/>
      <c r="M92" s="653"/>
      <c r="N92" s="653"/>
      <c r="O92" s="653"/>
      <c r="P92" s="653"/>
      <c r="Q92" s="653"/>
      <c r="R92" s="653"/>
      <c r="S92" s="653"/>
      <c r="T92" s="653"/>
      <c r="U92" s="653"/>
      <c r="V92" s="653"/>
      <c r="W92" s="653"/>
      <c r="X92" s="653"/>
      <c r="Y92" s="653"/>
      <c r="Z92" s="653"/>
      <c r="AA92" s="66"/>
      <c r="AB92" s="66"/>
      <c r="AC92" s="80"/>
    </row>
    <row r="93" spans="1:68" ht="27" hidden="1" customHeight="1" x14ac:dyDescent="0.25">
      <c r="A93" s="63" t="s">
        <v>195</v>
      </c>
      <c r="B93" s="63" t="s">
        <v>196</v>
      </c>
      <c r="C93" s="36">
        <v>4301052101</v>
      </c>
      <c r="D93" s="654">
        <v>4607091386967</v>
      </c>
      <c r="E93" s="654"/>
      <c r="F93" s="62">
        <v>1.35</v>
      </c>
      <c r="G93" s="37">
        <v>6</v>
      </c>
      <c r="H93" s="62">
        <v>8.1</v>
      </c>
      <c r="I93" s="62">
        <v>8.5939999999999994</v>
      </c>
      <c r="J93" s="37">
        <v>64</v>
      </c>
      <c r="K93" s="37" t="s">
        <v>127</v>
      </c>
      <c r="L93" s="37" t="s">
        <v>46</v>
      </c>
      <c r="M93" s="38" t="s">
        <v>97</v>
      </c>
      <c r="N93" s="38"/>
      <c r="O93" s="37">
        <v>45</v>
      </c>
      <c r="P93" s="907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3" s="656"/>
      <c r="R93" s="656"/>
      <c r="S93" s="656"/>
      <c r="T93" s="657"/>
      <c r="U93" s="39" t="s">
        <v>46</v>
      </c>
      <c r="V93" s="39" t="s">
        <v>46</v>
      </c>
      <c r="W93" s="40" t="s">
        <v>0</v>
      </c>
      <c r="X93" s="58">
        <v>0</v>
      </c>
      <c r="Y93" s="55">
        <f>IFERROR(IF(X93="",0,CEILING((X93/$H93),1)*$H93),"")</f>
        <v>0</v>
      </c>
      <c r="Z93" s="41" t="str">
        <f>IFERROR(IF(Y93=0,"",ROUNDUP(Y93/H93,0)*0.01898),"")</f>
        <v/>
      </c>
      <c r="AA93" s="68" t="s">
        <v>46</v>
      </c>
      <c r="AB93" s="69" t="s">
        <v>46</v>
      </c>
      <c r="AC93" s="162" t="s">
        <v>197</v>
      </c>
      <c r="AG93" s="78"/>
      <c r="AJ93" s="84" t="s">
        <v>46</v>
      </c>
      <c r="AK93" s="84">
        <v>0</v>
      </c>
      <c r="BB93" s="163" t="s">
        <v>67</v>
      </c>
      <c r="BM93" s="78">
        <f>IFERROR(X93*I93/H93,"0")</f>
        <v>0</v>
      </c>
      <c r="BN93" s="78">
        <f>IFERROR(Y93*I93/H93,"0")</f>
        <v>0</v>
      </c>
      <c r="BO93" s="78">
        <f>IFERROR(1/J93*(X93/H93),"0")</f>
        <v>0</v>
      </c>
      <c r="BP93" s="78">
        <f>IFERROR(1/J93*(Y93/H93),"0")</f>
        <v>0</v>
      </c>
    </row>
    <row r="94" spans="1:68" ht="27" hidden="1" customHeight="1" x14ac:dyDescent="0.25">
      <c r="A94" s="63" t="s">
        <v>198</v>
      </c>
      <c r="B94" s="63" t="s">
        <v>199</v>
      </c>
      <c r="C94" s="36">
        <v>4301052090</v>
      </c>
      <c r="D94" s="654">
        <v>4680115884953</v>
      </c>
      <c r="E94" s="654"/>
      <c r="F94" s="62">
        <v>0.37</v>
      </c>
      <c r="G94" s="37">
        <v>6</v>
      </c>
      <c r="H94" s="62">
        <v>2.2200000000000002</v>
      </c>
      <c r="I94" s="62">
        <v>2.472</v>
      </c>
      <c r="J94" s="37">
        <v>182</v>
      </c>
      <c r="K94" s="37" t="s">
        <v>91</v>
      </c>
      <c r="L94" s="37" t="s">
        <v>46</v>
      </c>
      <c r="M94" s="38" t="s">
        <v>90</v>
      </c>
      <c r="N94" s="38"/>
      <c r="O94" s="37">
        <v>45</v>
      </c>
      <c r="P94" s="908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4" s="656"/>
      <c r="R94" s="656"/>
      <c r="S94" s="656"/>
      <c r="T94" s="657"/>
      <c r="U94" s="39" t="s">
        <v>46</v>
      </c>
      <c r="V94" s="39" t="s">
        <v>46</v>
      </c>
      <c r="W94" s="40" t="s">
        <v>0</v>
      </c>
      <c r="X94" s="58">
        <v>0</v>
      </c>
      <c r="Y94" s="55">
        <f>IFERROR(IF(X94="",0,CEILING((X94/$H94),1)*$H94),"")</f>
        <v>0</v>
      </c>
      <c r="Z94" s="41" t="str">
        <f>IFERROR(IF(Y94=0,"",ROUNDUP(Y94/H94,0)*0.00651),"")</f>
        <v/>
      </c>
      <c r="AA94" s="68" t="s">
        <v>46</v>
      </c>
      <c r="AB94" s="69" t="s">
        <v>46</v>
      </c>
      <c r="AC94" s="164" t="s">
        <v>200</v>
      </c>
      <c r="AG94" s="78"/>
      <c r="AJ94" s="84" t="s">
        <v>46</v>
      </c>
      <c r="AK94" s="84">
        <v>0</v>
      </c>
      <c r="BB94" s="165" t="s">
        <v>67</v>
      </c>
      <c r="BM94" s="78">
        <f>IFERROR(X94*I94/H94,"0")</f>
        <v>0</v>
      </c>
      <c r="BN94" s="78">
        <f>IFERROR(Y94*I94/H94,"0")</f>
        <v>0</v>
      </c>
      <c r="BO94" s="78">
        <f>IFERROR(1/J94*(X94/H94),"0")</f>
        <v>0</v>
      </c>
      <c r="BP94" s="78">
        <f>IFERROR(1/J94*(Y94/H94),"0")</f>
        <v>0</v>
      </c>
    </row>
    <row r="95" spans="1:68" ht="27" hidden="1" customHeight="1" x14ac:dyDescent="0.25">
      <c r="A95" s="63" t="s">
        <v>201</v>
      </c>
      <c r="B95" s="63" t="s">
        <v>202</v>
      </c>
      <c r="C95" s="36">
        <v>4301052094</v>
      </c>
      <c r="D95" s="654">
        <v>4607091385731</v>
      </c>
      <c r="E95" s="654"/>
      <c r="F95" s="62">
        <v>0.45</v>
      </c>
      <c r="G95" s="37">
        <v>6</v>
      </c>
      <c r="H95" s="62">
        <v>2.7</v>
      </c>
      <c r="I95" s="62">
        <v>2.952</v>
      </c>
      <c r="J95" s="37">
        <v>182</v>
      </c>
      <c r="K95" s="37" t="s">
        <v>91</v>
      </c>
      <c r="L95" s="37" t="s">
        <v>46</v>
      </c>
      <c r="M95" s="38" t="s">
        <v>97</v>
      </c>
      <c r="N95" s="38"/>
      <c r="O95" s="37">
        <v>45</v>
      </c>
      <c r="P95" s="909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5" s="656"/>
      <c r="R95" s="656"/>
      <c r="S95" s="656"/>
      <c r="T95" s="657"/>
      <c r="U95" s="39" t="s">
        <v>46</v>
      </c>
      <c r="V95" s="39" t="s">
        <v>46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IFERROR(IF(Y95=0,"",ROUNDUP(Y95/H95,0)*0.00651),"")</f>
        <v/>
      </c>
      <c r="AA95" s="68" t="s">
        <v>46</v>
      </c>
      <c r="AB95" s="69" t="s">
        <v>46</v>
      </c>
      <c r="AC95" s="166" t="s">
        <v>197</v>
      </c>
      <c r="AG95" s="78"/>
      <c r="AJ95" s="84" t="s">
        <v>46</v>
      </c>
      <c r="AK95" s="84">
        <v>0</v>
      </c>
      <c r="BB95" s="167" t="s">
        <v>67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ht="16.5" hidden="1" customHeight="1" x14ac:dyDescent="0.25">
      <c r="A96" s="63" t="s">
        <v>203</v>
      </c>
      <c r="B96" s="63" t="s">
        <v>204</v>
      </c>
      <c r="C96" s="36">
        <v>4301052092</v>
      </c>
      <c r="D96" s="654">
        <v>4680115880894</v>
      </c>
      <c r="E96" s="654"/>
      <c r="F96" s="62">
        <v>0.33</v>
      </c>
      <c r="G96" s="37">
        <v>6</v>
      </c>
      <c r="H96" s="62">
        <v>1.98</v>
      </c>
      <c r="I96" s="62">
        <v>2.238</v>
      </c>
      <c r="J96" s="37">
        <v>182</v>
      </c>
      <c r="K96" s="37" t="s">
        <v>91</v>
      </c>
      <c r="L96" s="37" t="s">
        <v>46</v>
      </c>
      <c r="M96" s="38" t="s">
        <v>90</v>
      </c>
      <c r="N96" s="38"/>
      <c r="O96" s="37">
        <v>45</v>
      </c>
      <c r="P96" s="905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6" s="656"/>
      <c r="R96" s="656"/>
      <c r="S96" s="656"/>
      <c r="T96" s="657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8" t="s">
        <v>205</v>
      </c>
      <c r="AG96" s="78"/>
      <c r="AJ96" s="84" t="s">
        <v>46</v>
      </c>
      <c r="AK96" s="84">
        <v>0</v>
      </c>
      <c r="BB96" s="169" t="s">
        <v>67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idden="1" x14ac:dyDescent="0.2">
      <c r="A97" s="661"/>
      <c r="B97" s="661"/>
      <c r="C97" s="661"/>
      <c r="D97" s="661"/>
      <c r="E97" s="661"/>
      <c r="F97" s="661"/>
      <c r="G97" s="661"/>
      <c r="H97" s="661"/>
      <c r="I97" s="661"/>
      <c r="J97" s="661"/>
      <c r="K97" s="661"/>
      <c r="L97" s="661"/>
      <c r="M97" s="661"/>
      <c r="N97" s="661"/>
      <c r="O97" s="662"/>
      <c r="P97" s="658" t="s">
        <v>40</v>
      </c>
      <c r="Q97" s="659"/>
      <c r="R97" s="659"/>
      <c r="S97" s="659"/>
      <c r="T97" s="659"/>
      <c r="U97" s="659"/>
      <c r="V97" s="660"/>
      <c r="W97" s="42" t="s">
        <v>39</v>
      </c>
      <c r="X97" s="43">
        <f>IFERROR(X93/H93,"0")+IFERROR(X94/H94,"0")+IFERROR(X95/H95,"0")+IFERROR(X96/H96,"0")</f>
        <v>0</v>
      </c>
      <c r="Y97" s="43">
        <f>IFERROR(Y93/H93,"0")+IFERROR(Y94/H94,"0")+IFERROR(Y95/H95,"0")+IFERROR(Y96/H96,"0")</f>
        <v>0</v>
      </c>
      <c r="Z97" s="43">
        <f>IFERROR(IF(Z93="",0,Z93),"0")+IFERROR(IF(Z94="",0,Z94),"0")+IFERROR(IF(Z95="",0,Z95),"0")+IFERROR(IF(Z96="",0,Z96),"0")</f>
        <v>0</v>
      </c>
      <c r="AA97" s="67"/>
      <c r="AB97" s="67"/>
      <c r="AC97" s="67"/>
    </row>
    <row r="98" spans="1:68" hidden="1" x14ac:dyDescent="0.2">
      <c r="A98" s="661"/>
      <c r="B98" s="661"/>
      <c r="C98" s="661"/>
      <c r="D98" s="661"/>
      <c r="E98" s="661"/>
      <c r="F98" s="661"/>
      <c r="G98" s="661"/>
      <c r="H98" s="661"/>
      <c r="I98" s="661"/>
      <c r="J98" s="661"/>
      <c r="K98" s="661"/>
      <c r="L98" s="661"/>
      <c r="M98" s="661"/>
      <c r="N98" s="661"/>
      <c r="O98" s="662"/>
      <c r="P98" s="658" t="s">
        <v>40</v>
      </c>
      <c r="Q98" s="659"/>
      <c r="R98" s="659"/>
      <c r="S98" s="659"/>
      <c r="T98" s="659"/>
      <c r="U98" s="659"/>
      <c r="V98" s="660"/>
      <c r="W98" s="42" t="s">
        <v>0</v>
      </c>
      <c r="X98" s="43">
        <f>IFERROR(SUM(X93:X96),"0")</f>
        <v>0</v>
      </c>
      <c r="Y98" s="43">
        <f>IFERROR(SUM(Y93:Y96),"0")</f>
        <v>0</v>
      </c>
      <c r="Z98" s="42"/>
      <c r="AA98" s="67"/>
      <c r="AB98" s="67"/>
      <c r="AC98" s="67"/>
    </row>
    <row r="99" spans="1:68" ht="16.5" hidden="1" customHeight="1" x14ac:dyDescent="0.25">
      <c r="A99" s="652" t="s">
        <v>206</v>
      </c>
      <c r="B99" s="652"/>
      <c r="C99" s="652"/>
      <c r="D99" s="652"/>
      <c r="E99" s="652"/>
      <c r="F99" s="652"/>
      <c r="G99" s="652"/>
      <c r="H99" s="652"/>
      <c r="I99" s="652"/>
      <c r="J99" s="652"/>
      <c r="K99" s="652"/>
      <c r="L99" s="652"/>
      <c r="M99" s="652"/>
      <c r="N99" s="652"/>
      <c r="O99" s="652"/>
      <c r="P99" s="652"/>
      <c r="Q99" s="652"/>
      <c r="R99" s="652"/>
      <c r="S99" s="652"/>
      <c r="T99" s="652"/>
      <c r="U99" s="652"/>
      <c r="V99" s="652"/>
      <c r="W99" s="652"/>
      <c r="X99" s="652"/>
      <c r="Y99" s="652"/>
      <c r="Z99" s="652"/>
      <c r="AA99" s="65"/>
      <c r="AB99" s="65"/>
      <c r="AC99" s="79"/>
    </row>
    <row r="100" spans="1:68" ht="14.25" hidden="1" customHeight="1" x14ac:dyDescent="0.25">
      <c r="A100" s="653" t="s">
        <v>122</v>
      </c>
      <c r="B100" s="653"/>
      <c r="C100" s="653"/>
      <c r="D100" s="653"/>
      <c r="E100" s="653"/>
      <c r="F100" s="653"/>
      <c r="G100" s="653"/>
      <c r="H100" s="653"/>
      <c r="I100" s="653"/>
      <c r="J100" s="653"/>
      <c r="K100" s="653"/>
      <c r="L100" s="653"/>
      <c r="M100" s="653"/>
      <c r="N100" s="653"/>
      <c r="O100" s="653"/>
      <c r="P100" s="653"/>
      <c r="Q100" s="653"/>
      <c r="R100" s="653"/>
      <c r="S100" s="653"/>
      <c r="T100" s="653"/>
      <c r="U100" s="653"/>
      <c r="V100" s="653"/>
      <c r="W100" s="653"/>
      <c r="X100" s="653"/>
      <c r="Y100" s="653"/>
      <c r="Z100" s="653"/>
      <c r="AA100" s="66"/>
      <c r="AB100" s="66"/>
      <c r="AC100" s="80"/>
    </row>
    <row r="101" spans="1:68" ht="37.5" hidden="1" customHeight="1" x14ac:dyDescent="0.25">
      <c r="A101" s="63" t="s">
        <v>207</v>
      </c>
      <c r="B101" s="63" t="s">
        <v>208</v>
      </c>
      <c r="C101" s="36">
        <v>4301011514</v>
      </c>
      <c r="D101" s="654">
        <v>4680115882133</v>
      </c>
      <c r="E101" s="654"/>
      <c r="F101" s="62">
        <v>1.35</v>
      </c>
      <c r="G101" s="37">
        <v>8</v>
      </c>
      <c r="H101" s="62">
        <v>10.8</v>
      </c>
      <c r="I101" s="62">
        <v>11.21</v>
      </c>
      <c r="J101" s="37">
        <v>64</v>
      </c>
      <c r="K101" s="37" t="s">
        <v>127</v>
      </c>
      <c r="L101" s="37" t="s">
        <v>46</v>
      </c>
      <c r="M101" s="38" t="s">
        <v>126</v>
      </c>
      <c r="N101" s="38"/>
      <c r="O101" s="37">
        <v>50</v>
      </c>
      <c r="P101" s="906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1" s="656"/>
      <c r="R101" s="656"/>
      <c r="S101" s="656"/>
      <c r="T101" s="657"/>
      <c r="U101" s="39" t="s">
        <v>46</v>
      </c>
      <c r="V101" s="39" t="s">
        <v>46</v>
      </c>
      <c r="W101" s="40" t="s">
        <v>0</v>
      </c>
      <c r="X101" s="58">
        <v>0</v>
      </c>
      <c r="Y101" s="55">
        <f t="shared" ref="Y101:Y108" si="5">IFERROR(IF(X101="",0,CEILING((X101/$H101),1)*$H101),"")</f>
        <v>0</v>
      </c>
      <c r="Z101" s="41" t="str">
        <f>IFERROR(IF(Y101=0,"",ROUNDUP(Y101/H101,0)*0.01898),"")</f>
        <v/>
      </c>
      <c r="AA101" s="68" t="s">
        <v>46</v>
      </c>
      <c r="AB101" s="69" t="s">
        <v>46</v>
      </c>
      <c r="AC101" s="170" t="s">
        <v>209</v>
      </c>
      <c r="AG101" s="78"/>
      <c r="AJ101" s="84" t="s">
        <v>46</v>
      </c>
      <c r="AK101" s="84">
        <v>0</v>
      </c>
      <c r="BB101" s="171" t="s">
        <v>67</v>
      </c>
      <c r="BM101" s="78">
        <f t="shared" ref="BM101:BM108" si="6">IFERROR(X101*I101/H101,"0")</f>
        <v>0</v>
      </c>
      <c r="BN101" s="78">
        <f t="shared" ref="BN101:BN108" si="7">IFERROR(Y101*I101/H101,"0")</f>
        <v>0</v>
      </c>
      <c r="BO101" s="78">
        <f t="shared" ref="BO101:BO108" si="8">IFERROR(1/J101*(X101/H101),"0")</f>
        <v>0</v>
      </c>
      <c r="BP101" s="78">
        <f t="shared" ref="BP101:BP108" si="9">IFERROR(1/J101*(Y101/H101),"0")</f>
        <v>0</v>
      </c>
    </row>
    <row r="102" spans="1:68" ht="27" hidden="1" customHeight="1" x14ac:dyDescent="0.25">
      <c r="A102" s="63" t="s">
        <v>207</v>
      </c>
      <c r="B102" s="63" t="s">
        <v>210</v>
      </c>
      <c r="C102" s="36">
        <v>4301012256</v>
      </c>
      <c r="D102" s="654">
        <v>4680115882133</v>
      </c>
      <c r="E102" s="654"/>
      <c r="F102" s="62">
        <v>1.35</v>
      </c>
      <c r="G102" s="37">
        <v>8</v>
      </c>
      <c r="H102" s="62">
        <v>10.8</v>
      </c>
      <c r="I102" s="62">
        <v>11.21</v>
      </c>
      <c r="J102" s="37">
        <v>64</v>
      </c>
      <c r="K102" s="37" t="s">
        <v>127</v>
      </c>
      <c r="L102" s="37" t="s">
        <v>46</v>
      </c>
      <c r="M102" s="38" t="s">
        <v>126</v>
      </c>
      <c r="N102" s="38"/>
      <c r="O102" s="37">
        <v>50</v>
      </c>
      <c r="P102" s="900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2" s="656"/>
      <c r="R102" s="656"/>
      <c r="S102" s="656"/>
      <c r="T102" s="657"/>
      <c r="U102" s="39" t="s">
        <v>46</v>
      </c>
      <c r="V102" s="39" t="s">
        <v>46</v>
      </c>
      <c r="W102" s="40" t="s">
        <v>0</v>
      </c>
      <c r="X102" s="58">
        <v>0</v>
      </c>
      <c r="Y102" s="55">
        <f t="shared" si="5"/>
        <v>0</v>
      </c>
      <c r="Z102" s="41" t="str">
        <f>IFERROR(IF(Y102=0,"",ROUNDUP(Y102/H102,0)*0.01898),"")</f>
        <v/>
      </c>
      <c r="AA102" s="68" t="s">
        <v>46</v>
      </c>
      <c r="AB102" s="69" t="s">
        <v>46</v>
      </c>
      <c r="AC102" s="172" t="s">
        <v>211</v>
      </c>
      <c r="AG102" s="78"/>
      <c r="AJ102" s="84" t="s">
        <v>46</v>
      </c>
      <c r="AK102" s="84">
        <v>0</v>
      </c>
      <c r="BB102" s="173" t="s">
        <v>67</v>
      </c>
      <c r="BM102" s="78">
        <f t="shared" si="6"/>
        <v>0</v>
      </c>
      <c r="BN102" s="78">
        <f t="shared" si="7"/>
        <v>0</v>
      </c>
      <c r="BO102" s="78">
        <f t="shared" si="8"/>
        <v>0</v>
      </c>
      <c r="BP102" s="78">
        <f t="shared" si="9"/>
        <v>0</v>
      </c>
    </row>
    <row r="103" spans="1:68" ht="27" hidden="1" customHeight="1" x14ac:dyDescent="0.25">
      <c r="A103" s="63" t="s">
        <v>212</v>
      </c>
      <c r="B103" s="63" t="s">
        <v>213</v>
      </c>
      <c r="C103" s="36">
        <v>4301012379</v>
      </c>
      <c r="D103" s="654">
        <v>4680115887718</v>
      </c>
      <c r="E103" s="654"/>
      <c r="F103" s="62">
        <v>0.11</v>
      </c>
      <c r="G103" s="37">
        <v>6</v>
      </c>
      <c r="H103" s="62">
        <v>0.66</v>
      </c>
      <c r="I103" s="62">
        <v>0.82599999999999996</v>
      </c>
      <c r="J103" s="37">
        <v>192</v>
      </c>
      <c r="K103" s="37" t="s">
        <v>131</v>
      </c>
      <c r="L103" s="37" t="s">
        <v>46</v>
      </c>
      <c r="M103" s="38" t="s">
        <v>81</v>
      </c>
      <c r="N103" s="38"/>
      <c r="O103" s="37">
        <v>30</v>
      </c>
      <c r="P103" s="901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3" s="656"/>
      <c r="R103" s="656"/>
      <c r="S103" s="656"/>
      <c r="T103" s="657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si="5"/>
        <v>0</v>
      </c>
      <c r="Z103" s="41" t="str">
        <f>IFERROR(IF(Y103=0,"",ROUNDUP(Y103/H103,0)*0.00726),"")</f>
        <v/>
      </c>
      <c r="AA103" s="68" t="s">
        <v>46</v>
      </c>
      <c r="AB103" s="69" t="s">
        <v>46</v>
      </c>
      <c r="AC103" s="174" t="s">
        <v>214</v>
      </c>
      <c r="AG103" s="78"/>
      <c r="AJ103" s="84" t="s">
        <v>46</v>
      </c>
      <c r="AK103" s="84">
        <v>0</v>
      </c>
      <c r="BB103" s="175" t="s">
        <v>67</v>
      </c>
      <c r="BM103" s="78">
        <f t="shared" si="6"/>
        <v>0</v>
      </c>
      <c r="BN103" s="78">
        <f t="shared" si="7"/>
        <v>0</v>
      </c>
      <c r="BO103" s="78">
        <f t="shared" si="8"/>
        <v>0</v>
      </c>
      <c r="BP103" s="78">
        <f t="shared" si="9"/>
        <v>0</v>
      </c>
    </row>
    <row r="104" spans="1:68" ht="37.5" hidden="1" customHeight="1" x14ac:dyDescent="0.25">
      <c r="A104" s="63" t="s">
        <v>215</v>
      </c>
      <c r="B104" s="63" t="s">
        <v>216</v>
      </c>
      <c r="C104" s="36">
        <v>4301011417</v>
      </c>
      <c r="D104" s="654">
        <v>4680115880269</v>
      </c>
      <c r="E104" s="654"/>
      <c r="F104" s="62">
        <v>0.375</v>
      </c>
      <c r="G104" s="37">
        <v>10</v>
      </c>
      <c r="H104" s="62">
        <v>3.75</v>
      </c>
      <c r="I104" s="62">
        <v>3.94</v>
      </c>
      <c r="J104" s="37">
        <v>132</v>
      </c>
      <c r="K104" s="37" t="s">
        <v>134</v>
      </c>
      <c r="L104" s="37" t="s">
        <v>46</v>
      </c>
      <c r="M104" s="38" t="s">
        <v>90</v>
      </c>
      <c r="N104" s="38"/>
      <c r="O104" s="37">
        <v>50</v>
      </c>
      <c r="P104" s="902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4" s="656"/>
      <c r="R104" s="656"/>
      <c r="S104" s="656"/>
      <c r="T104" s="657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5"/>
        <v>0</v>
      </c>
      <c r="Z104" s="41" t="str">
        <f>IFERROR(IF(Y104=0,"",ROUNDUP(Y104/H104,0)*0.00902),"")</f>
        <v/>
      </c>
      <c r="AA104" s="68" t="s">
        <v>46</v>
      </c>
      <c r="AB104" s="69" t="s">
        <v>46</v>
      </c>
      <c r="AC104" s="176" t="s">
        <v>209</v>
      </c>
      <c r="AG104" s="78"/>
      <c r="AJ104" s="84" t="s">
        <v>46</v>
      </c>
      <c r="AK104" s="84">
        <v>0</v>
      </c>
      <c r="BB104" s="177" t="s">
        <v>67</v>
      </c>
      <c r="BM104" s="78">
        <f t="shared" si="6"/>
        <v>0</v>
      </c>
      <c r="BN104" s="78">
        <f t="shared" si="7"/>
        <v>0</v>
      </c>
      <c r="BO104" s="78">
        <f t="shared" si="8"/>
        <v>0</v>
      </c>
      <c r="BP104" s="78">
        <f t="shared" si="9"/>
        <v>0</v>
      </c>
    </row>
    <row r="105" spans="1:68" ht="27" hidden="1" customHeight="1" x14ac:dyDescent="0.25">
      <c r="A105" s="63" t="s">
        <v>217</v>
      </c>
      <c r="B105" s="63" t="s">
        <v>218</v>
      </c>
      <c r="C105" s="36">
        <v>4301012254</v>
      </c>
      <c r="D105" s="654">
        <v>4680115880429</v>
      </c>
      <c r="E105" s="654"/>
      <c r="F105" s="62">
        <v>0.45</v>
      </c>
      <c r="G105" s="37">
        <v>10</v>
      </c>
      <c r="H105" s="62">
        <v>4.5</v>
      </c>
      <c r="I105" s="62">
        <v>4.6900000000000004</v>
      </c>
      <c r="J105" s="37">
        <v>132</v>
      </c>
      <c r="K105" s="37" t="s">
        <v>134</v>
      </c>
      <c r="L105" s="37" t="s">
        <v>46</v>
      </c>
      <c r="M105" s="38" t="s">
        <v>126</v>
      </c>
      <c r="N105" s="38"/>
      <c r="O105" s="37">
        <v>50</v>
      </c>
      <c r="P105" s="903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5" s="656"/>
      <c r="R105" s="656"/>
      <c r="S105" s="656"/>
      <c r="T105" s="657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IFERROR(IF(Y105=0,"",ROUNDUP(Y105/H105,0)*0.00902),"")</f>
        <v/>
      </c>
      <c r="AA105" s="68" t="s">
        <v>46</v>
      </c>
      <c r="AB105" s="69" t="s">
        <v>46</v>
      </c>
      <c r="AC105" s="178" t="s">
        <v>211</v>
      </c>
      <c r="AG105" s="78"/>
      <c r="AJ105" s="84" t="s">
        <v>46</v>
      </c>
      <c r="AK105" s="84">
        <v>0</v>
      </c>
      <c r="BB105" s="179" t="s">
        <v>67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ht="37.5" hidden="1" customHeight="1" x14ac:dyDescent="0.25">
      <c r="A106" s="63" t="s">
        <v>219</v>
      </c>
      <c r="B106" s="63" t="s">
        <v>220</v>
      </c>
      <c r="C106" s="36">
        <v>4301011462</v>
      </c>
      <c r="D106" s="654">
        <v>4680115881457</v>
      </c>
      <c r="E106" s="654"/>
      <c r="F106" s="62">
        <v>0.75</v>
      </c>
      <c r="G106" s="37">
        <v>6</v>
      </c>
      <c r="H106" s="62">
        <v>4.5</v>
      </c>
      <c r="I106" s="62">
        <v>4.6900000000000004</v>
      </c>
      <c r="J106" s="37">
        <v>132</v>
      </c>
      <c r="K106" s="37" t="s">
        <v>134</v>
      </c>
      <c r="L106" s="37" t="s">
        <v>46</v>
      </c>
      <c r="M106" s="38" t="s">
        <v>90</v>
      </c>
      <c r="N106" s="38"/>
      <c r="O106" s="37">
        <v>50</v>
      </c>
      <c r="P106" s="90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6" s="656"/>
      <c r="R106" s="656"/>
      <c r="S106" s="656"/>
      <c r="T106" s="657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5"/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80" t="s">
        <v>209</v>
      </c>
      <c r="AG106" s="78"/>
      <c r="AJ106" s="84" t="s">
        <v>46</v>
      </c>
      <c r="AK106" s="84">
        <v>0</v>
      </c>
      <c r="BB106" s="181" t="s">
        <v>67</v>
      </c>
      <c r="BM106" s="78">
        <f t="shared" si="6"/>
        <v>0</v>
      </c>
      <c r="BN106" s="78">
        <f t="shared" si="7"/>
        <v>0</v>
      </c>
      <c r="BO106" s="78">
        <f t="shared" si="8"/>
        <v>0</v>
      </c>
      <c r="BP106" s="78">
        <f t="shared" si="9"/>
        <v>0</v>
      </c>
    </row>
    <row r="107" spans="1:68" ht="27" hidden="1" customHeight="1" x14ac:dyDescent="0.25">
      <c r="A107" s="63" t="s">
        <v>219</v>
      </c>
      <c r="B107" s="63" t="s">
        <v>221</v>
      </c>
      <c r="C107" s="36">
        <v>4301012255</v>
      </c>
      <c r="D107" s="654">
        <v>4680115881457</v>
      </c>
      <c r="E107" s="654"/>
      <c r="F107" s="62">
        <v>0.75</v>
      </c>
      <c r="G107" s="37">
        <v>6</v>
      </c>
      <c r="H107" s="62">
        <v>4.5</v>
      </c>
      <c r="I107" s="62">
        <v>4.6900000000000004</v>
      </c>
      <c r="J107" s="37">
        <v>132</v>
      </c>
      <c r="K107" s="37" t="s">
        <v>134</v>
      </c>
      <c r="L107" s="37" t="s">
        <v>46</v>
      </c>
      <c r="M107" s="38" t="s">
        <v>126</v>
      </c>
      <c r="N107" s="38"/>
      <c r="O107" s="37">
        <v>50</v>
      </c>
      <c r="P107" s="897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07" s="656"/>
      <c r="R107" s="656"/>
      <c r="S107" s="656"/>
      <c r="T107" s="657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5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82" t="s">
        <v>211</v>
      </c>
      <c r="AG107" s="78"/>
      <c r="AJ107" s="84" t="s">
        <v>46</v>
      </c>
      <c r="AK107" s="84">
        <v>0</v>
      </c>
      <c r="BB107" s="183" t="s">
        <v>67</v>
      </c>
      <c r="BM107" s="78">
        <f t="shared" si="6"/>
        <v>0</v>
      </c>
      <c r="BN107" s="78">
        <f t="shared" si="7"/>
        <v>0</v>
      </c>
      <c r="BO107" s="78">
        <f t="shared" si="8"/>
        <v>0</v>
      </c>
      <c r="BP107" s="78">
        <f t="shared" si="9"/>
        <v>0</v>
      </c>
    </row>
    <row r="108" spans="1:68" ht="27" hidden="1" customHeight="1" x14ac:dyDescent="0.25">
      <c r="A108" s="63" t="s">
        <v>222</v>
      </c>
      <c r="B108" s="63" t="s">
        <v>223</v>
      </c>
      <c r="C108" s="36">
        <v>4301012366</v>
      </c>
      <c r="D108" s="654">
        <v>4680115889477</v>
      </c>
      <c r="E108" s="654"/>
      <c r="F108" s="62">
        <v>0.4</v>
      </c>
      <c r="G108" s="37">
        <v>6</v>
      </c>
      <c r="H108" s="62">
        <v>2.4</v>
      </c>
      <c r="I108" s="62">
        <v>2.58</v>
      </c>
      <c r="J108" s="37">
        <v>182</v>
      </c>
      <c r="K108" s="37" t="s">
        <v>91</v>
      </c>
      <c r="L108" s="37" t="s">
        <v>46</v>
      </c>
      <c r="M108" s="38" t="s">
        <v>126</v>
      </c>
      <c r="N108" s="38"/>
      <c r="O108" s="37">
        <v>55</v>
      </c>
      <c r="P108" s="898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08" s="656"/>
      <c r="R108" s="656"/>
      <c r="S108" s="656"/>
      <c r="T108" s="657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5"/>
        <v>0</v>
      </c>
      <c r="Z108" s="41" t="str">
        <f>IFERROR(IF(Y108=0,"",ROUNDUP(Y108/H108,0)*0.00651),"")</f>
        <v/>
      </c>
      <c r="AA108" s="68" t="s">
        <v>46</v>
      </c>
      <c r="AB108" s="69" t="s">
        <v>46</v>
      </c>
      <c r="AC108" s="184" t="s">
        <v>224</v>
      </c>
      <c r="AG108" s="78"/>
      <c r="AJ108" s="84" t="s">
        <v>46</v>
      </c>
      <c r="AK108" s="84">
        <v>0</v>
      </c>
      <c r="BB108" s="185" t="s">
        <v>67</v>
      </c>
      <c r="BM108" s="78">
        <f t="shared" si="6"/>
        <v>0</v>
      </c>
      <c r="BN108" s="78">
        <f t="shared" si="7"/>
        <v>0</v>
      </c>
      <c r="BO108" s="78">
        <f t="shared" si="8"/>
        <v>0</v>
      </c>
      <c r="BP108" s="78">
        <f t="shared" si="9"/>
        <v>0</v>
      </c>
    </row>
    <row r="109" spans="1:68" hidden="1" x14ac:dyDescent="0.2">
      <c r="A109" s="661"/>
      <c r="B109" s="661"/>
      <c r="C109" s="661"/>
      <c r="D109" s="661"/>
      <c r="E109" s="661"/>
      <c r="F109" s="661"/>
      <c r="G109" s="661"/>
      <c r="H109" s="661"/>
      <c r="I109" s="661"/>
      <c r="J109" s="661"/>
      <c r="K109" s="661"/>
      <c r="L109" s="661"/>
      <c r="M109" s="661"/>
      <c r="N109" s="661"/>
      <c r="O109" s="662"/>
      <c r="P109" s="658" t="s">
        <v>40</v>
      </c>
      <c r="Q109" s="659"/>
      <c r="R109" s="659"/>
      <c r="S109" s="659"/>
      <c r="T109" s="659"/>
      <c r="U109" s="659"/>
      <c r="V109" s="660"/>
      <c r="W109" s="42" t="s">
        <v>39</v>
      </c>
      <c r="X109" s="43">
        <f>IFERROR(X101/H101,"0")+IFERROR(X102/H102,"0")+IFERROR(X103/H103,"0")+IFERROR(X104/H104,"0")+IFERROR(X105/H105,"0")+IFERROR(X106/H106,"0")+IFERROR(X107/H107,"0")+IFERROR(X108/H108,"0")</f>
        <v>0</v>
      </c>
      <c r="Y109" s="43">
        <f>IFERROR(Y101/H101,"0")+IFERROR(Y102/H102,"0")+IFERROR(Y103/H103,"0")+IFERROR(Y104/H104,"0")+IFERROR(Y105/H105,"0")+IFERROR(Y106/H106,"0")+IFERROR(Y107/H107,"0")+IFERROR(Y108/H108,"0")</f>
        <v>0</v>
      </c>
      <c r="Z109" s="43">
        <f>IFERROR(IF(Z101="",0,Z101),"0")+IFERROR(IF(Z102="",0,Z102),"0")+IFERROR(IF(Z103="",0,Z103),"0")+IFERROR(IF(Z104="",0,Z104),"0")+IFERROR(IF(Z105="",0,Z105),"0")+IFERROR(IF(Z106="",0,Z106),"0")+IFERROR(IF(Z107="",0,Z107),"0")+IFERROR(IF(Z108="",0,Z108),"0")</f>
        <v>0</v>
      </c>
      <c r="AA109" s="67"/>
      <c r="AB109" s="67"/>
      <c r="AC109" s="67"/>
    </row>
    <row r="110" spans="1:68" hidden="1" x14ac:dyDescent="0.2">
      <c r="A110" s="661"/>
      <c r="B110" s="661"/>
      <c r="C110" s="661"/>
      <c r="D110" s="661"/>
      <c r="E110" s="661"/>
      <c r="F110" s="661"/>
      <c r="G110" s="661"/>
      <c r="H110" s="661"/>
      <c r="I110" s="661"/>
      <c r="J110" s="661"/>
      <c r="K110" s="661"/>
      <c r="L110" s="661"/>
      <c r="M110" s="661"/>
      <c r="N110" s="661"/>
      <c r="O110" s="662"/>
      <c r="P110" s="658" t="s">
        <v>40</v>
      </c>
      <c r="Q110" s="659"/>
      <c r="R110" s="659"/>
      <c r="S110" s="659"/>
      <c r="T110" s="659"/>
      <c r="U110" s="659"/>
      <c r="V110" s="660"/>
      <c r="W110" s="42" t="s">
        <v>0</v>
      </c>
      <c r="X110" s="43">
        <f>IFERROR(SUM(X101:X108),"0")</f>
        <v>0</v>
      </c>
      <c r="Y110" s="43">
        <f>IFERROR(SUM(Y101:Y108),"0")</f>
        <v>0</v>
      </c>
      <c r="Z110" s="42"/>
      <c r="AA110" s="67"/>
      <c r="AB110" s="67"/>
      <c r="AC110" s="67"/>
    </row>
    <row r="111" spans="1:68" ht="14.25" hidden="1" customHeight="1" x14ac:dyDescent="0.25">
      <c r="A111" s="653" t="s">
        <v>157</v>
      </c>
      <c r="B111" s="653"/>
      <c r="C111" s="653"/>
      <c r="D111" s="653"/>
      <c r="E111" s="653"/>
      <c r="F111" s="653"/>
      <c r="G111" s="653"/>
      <c r="H111" s="653"/>
      <c r="I111" s="653"/>
      <c r="J111" s="653"/>
      <c r="K111" s="653"/>
      <c r="L111" s="653"/>
      <c r="M111" s="653"/>
      <c r="N111" s="653"/>
      <c r="O111" s="653"/>
      <c r="P111" s="653"/>
      <c r="Q111" s="653"/>
      <c r="R111" s="653"/>
      <c r="S111" s="653"/>
      <c r="T111" s="653"/>
      <c r="U111" s="653"/>
      <c r="V111" s="653"/>
      <c r="W111" s="653"/>
      <c r="X111" s="653"/>
      <c r="Y111" s="653"/>
      <c r="Z111" s="653"/>
      <c r="AA111" s="66"/>
      <c r="AB111" s="66"/>
      <c r="AC111" s="80"/>
    </row>
    <row r="112" spans="1:68" ht="27" hidden="1" customHeight="1" x14ac:dyDescent="0.25">
      <c r="A112" s="63" t="s">
        <v>225</v>
      </c>
      <c r="B112" s="63" t="s">
        <v>226</v>
      </c>
      <c r="C112" s="36">
        <v>4301020391</v>
      </c>
      <c r="D112" s="654">
        <v>4680115881488</v>
      </c>
      <c r="E112" s="654"/>
      <c r="F112" s="62">
        <v>1.35</v>
      </c>
      <c r="G112" s="37">
        <v>8</v>
      </c>
      <c r="H112" s="62">
        <v>10.8</v>
      </c>
      <c r="I112" s="62">
        <v>11.21</v>
      </c>
      <c r="J112" s="37">
        <v>64</v>
      </c>
      <c r="K112" s="37" t="s">
        <v>127</v>
      </c>
      <c r="L112" s="37" t="s">
        <v>46</v>
      </c>
      <c r="M112" s="38" t="s">
        <v>126</v>
      </c>
      <c r="N112" s="38"/>
      <c r="O112" s="37">
        <v>55</v>
      </c>
      <c r="P112" s="899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656"/>
      <c r="R112" s="656"/>
      <c r="S112" s="656"/>
      <c r="T112" s="657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IFERROR(IF(Y112=0,"",ROUNDUP(Y112/H112,0)*0.01898),"")</f>
        <v/>
      </c>
      <c r="AA112" s="68" t="s">
        <v>46</v>
      </c>
      <c r="AB112" s="69" t="s">
        <v>46</v>
      </c>
      <c r="AC112" s="186" t="s">
        <v>227</v>
      </c>
      <c r="AG112" s="78"/>
      <c r="AJ112" s="84" t="s">
        <v>46</v>
      </c>
      <c r="AK112" s="84">
        <v>0</v>
      </c>
      <c r="BB112" s="187" t="s">
        <v>67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hidden="1" customHeight="1" x14ac:dyDescent="0.25">
      <c r="A113" s="63" t="s">
        <v>228</v>
      </c>
      <c r="B113" s="63" t="s">
        <v>229</v>
      </c>
      <c r="C113" s="36">
        <v>4301020186</v>
      </c>
      <c r="D113" s="654">
        <v>4680115887664</v>
      </c>
      <c r="E113" s="654"/>
      <c r="F113" s="62">
        <v>0.1</v>
      </c>
      <c r="G113" s="37">
        <v>10</v>
      </c>
      <c r="H113" s="62">
        <v>1</v>
      </c>
      <c r="I113" s="62">
        <v>1.21</v>
      </c>
      <c r="J113" s="37">
        <v>392</v>
      </c>
      <c r="K113" s="37" t="s">
        <v>231</v>
      </c>
      <c r="L113" s="37" t="s">
        <v>46</v>
      </c>
      <c r="M113" s="38" t="s">
        <v>81</v>
      </c>
      <c r="N113" s="38"/>
      <c r="O113" s="37">
        <v>30</v>
      </c>
      <c r="P113" s="893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56"/>
      <c r="R113" s="656"/>
      <c r="S113" s="656"/>
      <c r="T113" s="657"/>
      <c r="U113" s="39" t="s">
        <v>46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IFERROR(IF(Y113=0,"",ROUNDUP(Y113/H113,0)*0.00358),"")</f>
        <v/>
      </c>
      <c r="AA113" s="68" t="s">
        <v>46</v>
      </c>
      <c r="AB113" s="69" t="s">
        <v>46</v>
      </c>
      <c r="AC113" s="188" t="s">
        <v>230</v>
      </c>
      <c r="AG113" s="78"/>
      <c r="AJ113" s="84" t="s">
        <v>46</v>
      </c>
      <c r="AK113" s="84">
        <v>0</v>
      </c>
      <c r="BB113" s="189" t="s">
        <v>67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t="27" hidden="1" customHeight="1" x14ac:dyDescent="0.25">
      <c r="A114" s="63" t="s">
        <v>228</v>
      </c>
      <c r="B114" s="63" t="s">
        <v>232</v>
      </c>
      <c r="C114" s="36">
        <v>4301020430</v>
      </c>
      <c r="D114" s="654">
        <v>4680115887664</v>
      </c>
      <c r="E114" s="654"/>
      <c r="F114" s="62">
        <v>0.1</v>
      </c>
      <c r="G114" s="37">
        <v>8</v>
      </c>
      <c r="H114" s="62">
        <v>0.8</v>
      </c>
      <c r="I114" s="62">
        <v>0.98799999999999999</v>
      </c>
      <c r="J114" s="37">
        <v>392</v>
      </c>
      <c r="K114" s="37" t="s">
        <v>231</v>
      </c>
      <c r="L114" s="37" t="s">
        <v>46</v>
      </c>
      <c r="M114" s="38" t="s">
        <v>81</v>
      </c>
      <c r="N114" s="38"/>
      <c r="O114" s="37">
        <v>30</v>
      </c>
      <c r="P114" s="894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56"/>
      <c r="R114" s="656"/>
      <c r="S114" s="656"/>
      <c r="T114" s="657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IFERROR(IF(Y114=0,"",ROUNDUP(Y114/H114,0)*0.00358),"")</f>
        <v/>
      </c>
      <c r="AA114" s="68" t="s">
        <v>46</v>
      </c>
      <c r="AB114" s="69" t="s">
        <v>46</v>
      </c>
      <c r="AC114" s="190" t="s">
        <v>230</v>
      </c>
      <c r="AG114" s="78"/>
      <c r="AJ114" s="84" t="s">
        <v>46</v>
      </c>
      <c r="AK114" s="84">
        <v>0</v>
      </c>
      <c r="BB114" s="191" t="s">
        <v>67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hidden="1" customHeight="1" x14ac:dyDescent="0.25">
      <c r="A115" s="63" t="s">
        <v>233</v>
      </c>
      <c r="B115" s="63" t="s">
        <v>234</v>
      </c>
      <c r="C115" s="36">
        <v>4301020393</v>
      </c>
      <c r="D115" s="654">
        <v>4680115882775</v>
      </c>
      <c r="E115" s="654"/>
      <c r="F115" s="62">
        <v>0.3</v>
      </c>
      <c r="G115" s="37">
        <v>8</v>
      </c>
      <c r="H115" s="62">
        <v>2.4</v>
      </c>
      <c r="I115" s="62">
        <v>2.5</v>
      </c>
      <c r="J115" s="37">
        <v>234</v>
      </c>
      <c r="K115" s="37" t="s">
        <v>82</v>
      </c>
      <c r="L115" s="37" t="s">
        <v>46</v>
      </c>
      <c r="M115" s="38" t="s">
        <v>126</v>
      </c>
      <c r="N115" s="38"/>
      <c r="O115" s="37">
        <v>55</v>
      </c>
      <c r="P115" s="895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656"/>
      <c r="R115" s="656"/>
      <c r="S115" s="656"/>
      <c r="T115" s="657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IFERROR(IF(Y115=0,"",ROUNDUP(Y115/H115,0)*0.00502),"")</f>
        <v/>
      </c>
      <c r="AA115" s="68" t="s">
        <v>46</v>
      </c>
      <c r="AB115" s="69" t="s">
        <v>46</v>
      </c>
      <c r="AC115" s="192" t="s">
        <v>227</v>
      </c>
      <c r="AG115" s="78"/>
      <c r="AJ115" s="84" t="s">
        <v>46</v>
      </c>
      <c r="AK115" s="84">
        <v>0</v>
      </c>
      <c r="BB115" s="193" t="s">
        <v>67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hidden="1" customHeight="1" x14ac:dyDescent="0.25">
      <c r="A116" s="63" t="s">
        <v>235</v>
      </c>
      <c r="B116" s="63" t="s">
        <v>236</v>
      </c>
      <c r="C116" s="36">
        <v>4301020392</v>
      </c>
      <c r="D116" s="654">
        <v>4680115880658</v>
      </c>
      <c r="E116" s="654"/>
      <c r="F116" s="62">
        <v>0.4</v>
      </c>
      <c r="G116" s="37">
        <v>6</v>
      </c>
      <c r="H116" s="62">
        <v>2.4</v>
      </c>
      <c r="I116" s="62">
        <v>2.58</v>
      </c>
      <c r="J116" s="37">
        <v>182</v>
      </c>
      <c r="K116" s="37" t="s">
        <v>91</v>
      </c>
      <c r="L116" s="37" t="s">
        <v>46</v>
      </c>
      <c r="M116" s="38" t="s">
        <v>126</v>
      </c>
      <c r="N116" s="38"/>
      <c r="O116" s="37">
        <v>55</v>
      </c>
      <c r="P116" s="896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656"/>
      <c r="R116" s="656"/>
      <c r="S116" s="656"/>
      <c r="T116" s="657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IFERROR(IF(Y116=0,"",ROUNDUP(Y116/H116,0)*0.00651),"")</f>
        <v/>
      </c>
      <c r="AA116" s="68" t="s">
        <v>46</v>
      </c>
      <c r="AB116" s="69" t="s">
        <v>46</v>
      </c>
      <c r="AC116" s="194" t="s">
        <v>227</v>
      </c>
      <c r="AG116" s="78"/>
      <c r="AJ116" s="84" t="s">
        <v>46</v>
      </c>
      <c r="AK116" s="84">
        <v>0</v>
      </c>
      <c r="BB116" s="195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idden="1" x14ac:dyDescent="0.2">
      <c r="A117" s="661"/>
      <c r="B117" s="661"/>
      <c r="C117" s="661"/>
      <c r="D117" s="661"/>
      <c r="E117" s="661"/>
      <c r="F117" s="661"/>
      <c r="G117" s="661"/>
      <c r="H117" s="661"/>
      <c r="I117" s="661"/>
      <c r="J117" s="661"/>
      <c r="K117" s="661"/>
      <c r="L117" s="661"/>
      <c r="M117" s="661"/>
      <c r="N117" s="661"/>
      <c r="O117" s="662"/>
      <c r="P117" s="658" t="s">
        <v>40</v>
      </c>
      <c r="Q117" s="659"/>
      <c r="R117" s="659"/>
      <c r="S117" s="659"/>
      <c r="T117" s="659"/>
      <c r="U117" s="659"/>
      <c r="V117" s="660"/>
      <c r="W117" s="42" t="s">
        <v>39</v>
      </c>
      <c r="X117" s="43">
        <f>IFERROR(X112/H112,"0")+IFERROR(X113/H113,"0")+IFERROR(X114/H114,"0")+IFERROR(X115/H115,"0")+IFERROR(X116/H116,"0")</f>
        <v>0</v>
      </c>
      <c r="Y117" s="43">
        <f>IFERROR(Y112/H112,"0")+IFERROR(Y113/H113,"0")+IFERROR(Y114/H114,"0")+IFERROR(Y115/H115,"0")+IFERROR(Y116/H116,"0")</f>
        <v>0</v>
      </c>
      <c r="Z117" s="43">
        <f>IFERROR(IF(Z112="",0,Z112),"0")+IFERROR(IF(Z113="",0,Z113),"0")+IFERROR(IF(Z114="",0,Z114),"0")+IFERROR(IF(Z115="",0,Z115),"0")+IFERROR(IF(Z116="",0,Z116),"0")</f>
        <v>0</v>
      </c>
      <c r="AA117" s="67"/>
      <c r="AB117" s="67"/>
      <c r="AC117" s="67"/>
    </row>
    <row r="118" spans="1:68" hidden="1" x14ac:dyDescent="0.2">
      <c r="A118" s="661"/>
      <c r="B118" s="661"/>
      <c r="C118" s="661"/>
      <c r="D118" s="661"/>
      <c r="E118" s="661"/>
      <c r="F118" s="661"/>
      <c r="G118" s="661"/>
      <c r="H118" s="661"/>
      <c r="I118" s="661"/>
      <c r="J118" s="661"/>
      <c r="K118" s="661"/>
      <c r="L118" s="661"/>
      <c r="M118" s="661"/>
      <c r="N118" s="661"/>
      <c r="O118" s="662"/>
      <c r="P118" s="658" t="s">
        <v>40</v>
      </c>
      <c r="Q118" s="659"/>
      <c r="R118" s="659"/>
      <c r="S118" s="659"/>
      <c r="T118" s="659"/>
      <c r="U118" s="659"/>
      <c r="V118" s="660"/>
      <c r="W118" s="42" t="s">
        <v>0</v>
      </c>
      <c r="X118" s="43">
        <f>IFERROR(SUM(X112:X116),"0")</f>
        <v>0</v>
      </c>
      <c r="Y118" s="43">
        <f>IFERROR(SUM(Y112:Y116),"0")</f>
        <v>0</v>
      </c>
      <c r="Z118" s="42"/>
      <c r="AA118" s="67"/>
      <c r="AB118" s="67"/>
      <c r="AC118" s="67"/>
    </row>
    <row r="119" spans="1:68" ht="14.25" hidden="1" customHeight="1" x14ac:dyDescent="0.25">
      <c r="A119" s="653" t="s">
        <v>86</v>
      </c>
      <c r="B119" s="653"/>
      <c r="C119" s="653"/>
      <c r="D119" s="653"/>
      <c r="E119" s="653"/>
      <c r="F119" s="653"/>
      <c r="G119" s="653"/>
      <c r="H119" s="653"/>
      <c r="I119" s="653"/>
      <c r="J119" s="653"/>
      <c r="K119" s="653"/>
      <c r="L119" s="653"/>
      <c r="M119" s="653"/>
      <c r="N119" s="653"/>
      <c r="O119" s="653"/>
      <c r="P119" s="653"/>
      <c r="Q119" s="653"/>
      <c r="R119" s="653"/>
      <c r="S119" s="653"/>
      <c r="T119" s="653"/>
      <c r="U119" s="653"/>
      <c r="V119" s="653"/>
      <c r="W119" s="653"/>
      <c r="X119" s="653"/>
      <c r="Y119" s="653"/>
      <c r="Z119" s="653"/>
      <c r="AA119" s="66"/>
      <c r="AB119" s="66"/>
      <c r="AC119" s="80"/>
    </row>
    <row r="120" spans="1:68" ht="27" hidden="1" customHeight="1" x14ac:dyDescent="0.25">
      <c r="A120" s="63" t="s">
        <v>237</v>
      </c>
      <c r="B120" s="63" t="s">
        <v>238</v>
      </c>
      <c r="C120" s="36">
        <v>4301052088</v>
      </c>
      <c r="D120" s="654">
        <v>4607091385168</v>
      </c>
      <c r="E120" s="654"/>
      <c r="F120" s="62">
        <v>1.35</v>
      </c>
      <c r="G120" s="37">
        <v>6</v>
      </c>
      <c r="H120" s="62">
        <v>8.1</v>
      </c>
      <c r="I120" s="62">
        <v>8.5879999999999992</v>
      </c>
      <c r="J120" s="37">
        <v>64</v>
      </c>
      <c r="K120" s="37" t="s">
        <v>127</v>
      </c>
      <c r="L120" s="37" t="s">
        <v>46</v>
      </c>
      <c r="M120" s="38" t="s">
        <v>90</v>
      </c>
      <c r="N120" s="38"/>
      <c r="O120" s="37">
        <v>45</v>
      </c>
      <c r="P120" s="889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0" s="656"/>
      <c r="R120" s="656"/>
      <c r="S120" s="656"/>
      <c r="T120" s="657"/>
      <c r="U120" s="39" t="s">
        <v>46</v>
      </c>
      <c r="V120" s="39" t="s">
        <v>46</v>
      </c>
      <c r="W120" s="40" t="s">
        <v>0</v>
      </c>
      <c r="X120" s="58">
        <v>0</v>
      </c>
      <c r="Y120" s="55">
        <f>IFERROR(IF(X120="",0,CEILING((X120/$H120),1)*$H120),"")</f>
        <v>0</v>
      </c>
      <c r="Z120" s="41" t="str">
        <f>IFERROR(IF(Y120=0,"",ROUNDUP(Y120/H120,0)*0.01898),"")</f>
        <v/>
      </c>
      <c r="AA120" s="68" t="s">
        <v>46</v>
      </c>
      <c r="AB120" s="69" t="s">
        <v>46</v>
      </c>
      <c r="AC120" s="196" t="s">
        <v>239</v>
      </c>
      <c r="AG120" s="78"/>
      <c r="AJ120" s="84" t="s">
        <v>46</v>
      </c>
      <c r="AK120" s="84">
        <v>0</v>
      </c>
      <c r="BB120" s="197" t="s">
        <v>67</v>
      </c>
      <c r="BM120" s="78">
        <f>IFERROR(X120*I120/H120,"0")</f>
        <v>0</v>
      </c>
      <c r="BN120" s="78">
        <f>IFERROR(Y120*I120/H120,"0")</f>
        <v>0</v>
      </c>
      <c r="BO120" s="78">
        <f>IFERROR(1/J120*(X120/H120),"0")</f>
        <v>0</v>
      </c>
      <c r="BP120" s="78">
        <f>IFERROR(1/J120*(Y120/H120),"0")</f>
        <v>0</v>
      </c>
    </row>
    <row r="121" spans="1:68" ht="27" hidden="1" customHeight="1" x14ac:dyDescent="0.25">
      <c r="A121" s="63" t="s">
        <v>240</v>
      </c>
      <c r="B121" s="63" t="s">
        <v>241</v>
      </c>
      <c r="C121" s="36">
        <v>4301052087</v>
      </c>
      <c r="D121" s="654">
        <v>4607091383256</v>
      </c>
      <c r="E121" s="654"/>
      <c r="F121" s="62">
        <v>0.33</v>
      </c>
      <c r="G121" s="37">
        <v>6</v>
      </c>
      <c r="H121" s="62">
        <v>1.98</v>
      </c>
      <c r="I121" s="62">
        <v>2.226</v>
      </c>
      <c r="J121" s="37">
        <v>182</v>
      </c>
      <c r="K121" s="37" t="s">
        <v>91</v>
      </c>
      <c r="L121" s="37" t="s">
        <v>46</v>
      </c>
      <c r="M121" s="38" t="s">
        <v>90</v>
      </c>
      <c r="N121" s="38"/>
      <c r="O121" s="37">
        <v>45</v>
      </c>
      <c r="P121" s="890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1" s="656"/>
      <c r="R121" s="656"/>
      <c r="S121" s="656"/>
      <c r="T121" s="657"/>
      <c r="U121" s="39" t="s">
        <v>46</v>
      </c>
      <c r="V121" s="39" t="s">
        <v>46</v>
      </c>
      <c r="W121" s="40" t="s">
        <v>0</v>
      </c>
      <c r="X121" s="58">
        <v>0</v>
      </c>
      <c r="Y121" s="55">
        <f>IFERROR(IF(X121="",0,CEILING((X121/$H121),1)*$H121),"")</f>
        <v>0</v>
      </c>
      <c r="Z121" s="41" t="str">
        <f>IFERROR(IF(Y121=0,"",ROUNDUP(Y121/H121,0)*0.00651),"")</f>
        <v/>
      </c>
      <c r="AA121" s="68" t="s">
        <v>46</v>
      </c>
      <c r="AB121" s="69" t="s">
        <v>46</v>
      </c>
      <c r="AC121" s="198" t="s">
        <v>239</v>
      </c>
      <c r="AG121" s="78"/>
      <c r="AJ121" s="84" t="s">
        <v>46</v>
      </c>
      <c r="AK121" s="84">
        <v>0</v>
      </c>
      <c r="BB121" s="199" t="s">
        <v>67</v>
      </c>
      <c r="BM121" s="78">
        <f>IFERROR(X121*I121/H121,"0")</f>
        <v>0</v>
      </c>
      <c r="BN121" s="78">
        <f>IFERROR(Y121*I121/H121,"0")</f>
        <v>0</v>
      </c>
      <c r="BO121" s="78">
        <f>IFERROR(1/J121*(X121/H121),"0")</f>
        <v>0</v>
      </c>
      <c r="BP121" s="78">
        <f>IFERROR(1/J121*(Y121/H121),"0")</f>
        <v>0</v>
      </c>
    </row>
    <row r="122" spans="1:68" ht="27" hidden="1" customHeight="1" x14ac:dyDescent="0.25">
      <c r="A122" s="63" t="s">
        <v>242</v>
      </c>
      <c r="B122" s="63" t="s">
        <v>243</v>
      </c>
      <c r="C122" s="36">
        <v>4301052086</v>
      </c>
      <c r="D122" s="654">
        <v>4607091385748</v>
      </c>
      <c r="E122" s="654"/>
      <c r="F122" s="62">
        <v>0.45</v>
      </c>
      <c r="G122" s="37">
        <v>6</v>
      </c>
      <c r="H122" s="62">
        <v>2.7</v>
      </c>
      <c r="I122" s="62">
        <v>2.952</v>
      </c>
      <c r="J122" s="37">
        <v>182</v>
      </c>
      <c r="K122" s="37" t="s">
        <v>91</v>
      </c>
      <c r="L122" s="37" t="s">
        <v>46</v>
      </c>
      <c r="M122" s="38" t="s">
        <v>90</v>
      </c>
      <c r="N122" s="38"/>
      <c r="O122" s="37">
        <v>45</v>
      </c>
      <c r="P122" s="891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2" s="656"/>
      <c r="R122" s="656"/>
      <c r="S122" s="656"/>
      <c r="T122" s="657"/>
      <c r="U122" s="39" t="s">
        <v>46</v>
      </c>
      <c r="V122" s="39" t="s">
        <v>46</v>
      </c>
      <c r="W122" s="40" t="s">
        <v>0</v>
      </c>
      <c r="X122" s="58">
        <v>0</v>
      </c>
      <c r="Y122" s="55">
        <f>IFERROR(IF(X122="",0,CEILING((X122/$H122),1)*$H122),"")</f>
        <v>0</v>
      </c>
      <c r="Z122" s="41" t="str">
        <f>IFERROR(IF(Y122=0,"",ROUNDUP(Y122/H122,0)*0.00651),"")</f>
        <v/>
      </c>
      <c r="AA122" s="68" t="s">
        <v>46</v>
      </c>
      <c r="AB122" s="69" t="s">
        <v>46</v>
      </c>
      <c r="AC122" s="200" t="s">
        <v>239</v>
      </c>
      <c r="AG122" s="78"/>
      <c r="AJ122" s="84" t="s">
        <v>46</v>
      </c>
      <c r="AK122" s="84">
        <v>0</v>
      </c>
      <c r="BB122" s="201" t="s">
        <v>67</v>
      </c>
      <c r="BM122" s="78">
        <f>IFERROR(X122*I122/H122,"0")</f>
        <v>0</v>
      </c>
      <c r="BN122" s="78">
        <f>IFERROR(Y122*I122/H122,"0")</f>
        <v>0</v>
      </c>
      <c r="BO122" s="78">
        <f>IFERROR(1/J122*(X122/H122),"0")</f>
        <v>0</v>
      </c>
      <c r="BP122" s="78">
        <f>IFERROR(1/J122*(Y122/H122),"0")</f>
        <v>0</v>
      </c>
    </row>
    <row r="123" spans="1:68" ht="16.5" hidden="1" customHeight="1" x14ac:dyDescent="0.25">
      <c r="A123" s="63" t="s">
        <v>244</v>
      </c>
      <c r="B123" s="63" t="s">
        <v>245</v>
      </c>
      <c r="C123" s="36">
        <v>4301052085</v>
      </c>
      <c r="D123" s="654">
        <v>4680115884533</v>
      </c>
      <c r="E123" s="654"/>
      <c r="F123" s="62">
        <v>0.3</v>
      </c>
      <c r="G123" s="37">
        <v>6</v>
      </c>
      <c r="H123" s="62">
        <v>1.8</v>
      </c>
      <c r="I123" s="62">
        <v>1.98</v>
      </c>
      <c r="J123" s="37">
        <v>182</v>
      </c>
      <c r="K123" s="37" t="s">
        <v>91</v>
      </c>
      <c r="L123" s="37" t="s">
        <v>46</v>
      </c>
      <c r="M123" s="38" t="s">
        <v>90</v>
      </c>
      <c r="N123" s="38"/>
      <c r="O123" s="37">
        <v>45</v>
      </c>
      <c r="P123" s="892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3" s="656"/>
      <c r="R123" s="656"/>
      <c r="S123" s="656"/>
      <c r="T123" s="657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46</v>
      </c>
      <c r="AB123" s="69" t="s">
        <v>46</v>
      </c>
      <c r="AC123" s="202" t="s">
        <v>246</v>
      </c>
      <c r="AG123" s="78"/>
      <c r="AJ123" s="84" t="s">
        <v>46</v>
      </c>
      <c r="AK123" s="84">
        <v>0</v>
      </c>
      <c r="BB123" s="203" t="s">
        <v>67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hidden="1" x14ac:dyDescent="0.2">
      <c r="A124" s="661"/>
      <c r="B124" s="661"/>
      <c r="C124" s="661"/>
      <c r="D124" s="661"/>
      <c r="E124" s="661"/>
      <c r="F124" s="661"/>
      <c r="G124" s="661"/>
      <c r="H124" s="661"/>
      <c r="I124" s="661"/>
      <c r="J124" s="661"/>
      <c r="K124" s="661"/>
      <c r="L124" s="661"/>
      <c r="M124" s="661"/>
      <c r="N124" s="661"/>
      <c r="O124" s="662"/>
      <c r="P124" s="658" t="s">
        <v>40</v>
      </c>
      <c r="Q124" s="659"/>
      <c r="R124" s="659"/>
      <c r="S124" s="659"/>
      <c r="T124" s="659"/>
      <c r="U124" s="659"/>
      <c r="V124" s="660"/>
      <c r="W124" s="42" t="s">
        <v>39</v>
      </c>
      <c r="X124" s="43">
        <f>IFERROR(X120/H120,"0")+IFERROR(X121/H121,"0")+IFERROR(X122/H122,"0")+IFERROR(X123/H123,"0")</f>
        <v>0</v>
      </c>
      <c r="Y124" s="43">
        <f>IFERROR(Y120/H120,"0")+IFERROR(Y121/H121,"0")+IFERROR(Y122/H122,"0")+IFERROR(Y123/H123,"0")</f>
        <v>0</v>
      </c>
      <c r="Z124" s="43">
        <f>IFERROR(IF(Z120="",0,Z120),"0")+IFERROR(IF(Z121="",0,Z121),"0")+IFERROR(IF(Z122="",0,Z122),"0")+IFERROR(IF(Z123="",0,Z123),"0")</f>
        <v>0</v>
      </c>
      <c r="AA124" s="67"/>
      <c r="AB124" s="67"/>
      <c r="AC124" s="67"/>
    </row>
    <row r="125" spans="1:68" hidden="1" x14ac:dyDescent="0.2">
      <c r="A125" s="661"/>
      <c r="B125" s="661"/>
      <c r="C125" s="661"/>
      <c r="D125" s="661"/>
      <c r="E125" s="661"/>
      <c r="F125" s="661"/>
      <c r="G125" s="661"/>
      <c r="H125" s="661"/>
      <c r="I125" s="661"/>
      <c r="J125" s="661"/>
      <c r="K125" s="661"/>
      <c r="L125" s="661"/>
      <c r="M125" s="661"/>
      <c r="N125" s="661"/>
      <c r="O125" s="662"/>
      <c r="P125" s="658" t="s">
        <v>40</v>
      </c>
      <c r="Q125" s="659"/>
      <c r="R125" s="659"/>
      <c r="S125" s="659"/>
      <c r="T125" s="659"/>
      <c r="U125" s="659"/>
      <c r="V125" s="660"/>
      <c r="W125" s="42" t="s">
        <v>0</v>
      </c>
      <c r="X125" s="43">
        <f>IFERROR(SUM(X120:X123),"0")</f>
        <v>0</v>
      </c>
      <c r="Y125" s="43">
        <f>IFERROR(SUM(Y120:Y123),"0")</f>
        <v>0</v>
      </c>
      <c r="Z125" s="42"/>
      <c r="AA125" s="67"/>
      <c r="AB125" s="67"/>
      <c r="AC125" s="67"/>
    </row>
    <row r="126" spans="1:68" ht="14.25" hidden="1" customHeight="1" x14ac:dyDescent="0.25">
      <c r="A126" s="653" t="s">
        <v>175</v>
      </c>
      <c r="B126" s="653"/>
      <c r="C126" s="653"/>
      <c r="D126" s="653"/>
      <c r="E126" s="653"/>
      <c r="F126" s="653"/>
      <c r="G126" s="653"/>
      <c r="H126" s="653"/>
      <c r="I126" s="653"/>
      <c r="J126" s="653"/>
      <c r="K126" s="653"/>
      <c r="L126" s="653"/>
      <c r="M126" s="653"/>
      <c r="N126" s="653"/>
      <c r="O126" s="653"/>
      <c r="P126" s="653"/>
      <c r="Q126" s="653"/>
      <c r="R126" s="653"/>
      <c r="S126" s="653"/>
      <c r="T126" s="653"/>
      <c r="U126" s="653"/>
      <c r="V126" s="653"/>
      <c r="W126" s="653"/>
      <c r="X126" s="653"/>
      <c r="Y126" s="653"/>
      <c r="Z126" s="653"/>
      <c r="AA126" s="66"/>
      <c r="AB126" s="66"/>
      <c r="AC126" s="80"/>
    </row>
    <row r="127" spans="1:68" ht="16.5" hidden="1" customHeight="1" x14ac:dyDescent="0.25">
      <c r="A127" s="63" t="s">
        <v>247</v>
      </c>
      <c r="B127" s="63" t="s">
        <v>248</v>
      </c>
      <c r="C127" s="36">
        <v>4301060525</v>
      </c>
      <c r="D127" s="654">
        <v>4680115880238</v>
      </c>
      <c r="E127" s="654"/>
      <c r="F127" s="62">
        <v>0.33</v>
      </c>
      <c r="G127" s="37">
        <v>6</v>
      </c>
      <c r="H127" s="62">
        <v>1.98</v>
      </c>
      <c r="I127" s="62">
        <v>2.238</v>
      </c>
      <c r="J127" s="37">
        <v>182</v>
      </c>
      <c r="K127" s="37" t="s">
        <v>91</v>
      </c>
      <c r="L127" s="37" t="s">
        <v>46</v>
      </c>
      <c r="M127" s="38" t="s">
        <v>90</v>
      </c>
      <c r="N127" s="38"/>
      <c r="O127" s="37">
        <v>40</v>
      </c>
      <c r="P127" s="888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7" s="656"/>
      <c r="R127" s="656"/>
      <c r="S127" s="656"/>
      <c r="T127" s="657"/>
      <c r="U127" s="39" t="s">
        <v>46</v>
      </c>
      <c r="V127" s="39" t="s">
        <v>46</v>
      </c>
      <c r="W127" s="40" t="s">
        <v>0</v>
      </c>
      <c r="X127" s="58">
        <v>0</v>
      </c>
      <c r="Y127" s="55">
        <f>IFERROR(IF(X127="",0,CEILING((X127/$H127),1)*$H127),"")</f>
        <v>0</v>
      </c>
      <c r="Z127" s="41" t="str">
        <f>IFERROR(IF(Y127=0,"",ROUNDUP(Y127/H127,0)*0.00651),"")</f>
        <v/>
      </c>
      <c r="AA127" s="68" t="s">
        <v>46</v>
      </c>
      <c r="AB127" s="69" t="s">
        <v>46</v>
      </c>
      <c r="AC127" s="204" t="s">
        <v>249</v>
      </c>
      <c r="AG127" s="78"/>
      <c r="AJ127" s="84" t="s">
        <v>46</v>
      </c>
      <c r="AK127" s="84">
        <v>0</v>
      </c>
      <c r="BB127" s="205" t="s">
        <v>67</v>
      </c>
      <c r="BM127" s="78">
        <f>IFERROR(X127*I127/H127,"0")</f>
        <v>0</v>
      </c>
      <c r="BN127" s="78">
        <f>IFERROR(Y127*I127/H127,"0")</f>
        <v>0</v>
      </c>
      <c r="BO127" s="78">
        <f>IFERROR(1/J127*(X127/H127),"0")</f>
        <v>0</v>
      </c>
      <c r="BP127" s="78">
        <f>IFERROR(1/J127*(Y127/H127),"0")</f>
        <v>0</v>
      </c>
    </row>
    <row r="128" spans="1:68" hidden="1" x14ac:dyDescent="0.2">
      <c r="A128" s="661"/>
      <c r="B128" s="661"/>
      <c r="C128" s="661"/>
      <c r="D128" s="661"/>
      <c r="E128" s="661"/>
      <c r="F128" s="661"/>
      <c r="G128" s="661"/>
      <c r="H128" s="661"/>
      <c r="I128" s="661"/>
      <c r="J128" s="661"/>
      <c r="K128" s="661"/>
      <c r="L128" s="661"/>
      <c r="M128" s="661"/>
      <c r="N128" s="661"/>
      <c r="O128" s="662"/>
      <c r="P128" s="658" t="s">
        <v>40</v>
      </c>
      <c r="Q128" s="659"/>
      <c r="R128" s="659"/>
      <c r="S128" s="659"/>
      <c r="T128" s="659"/>
      <c r="U128" s="659"/>
      <c r="V128" s="660"/>
      <c r="W128" s="42" t="s">
        <v>39</v>
      </c>
      <c r="X128" s="43">
        <f>IFERROR(X127/H127,"0")</f>
        <v>0</v>
      </c>
      <c r="Y128" s="43">
        <f>IFERROR(Y127/H127,"0")</f>
        <v>0</v>
      </c>
      <c r="Z128" s="43">
        <f>IFERROR(IF(Z127="",0,Z127),"0")</f>
        <v>0</v>
      </c>
      <c r="AA128" s="67"/>
      <c r="AB128" s="67"/>
      <c r="AC128" s="67"/>
    </row>
    <row r="129" spans="1:68" hidden="1" x14ac:dyDescent="0.2">
      <c r="A129" s="661"/>
      <c r="B129" s="661"/>
      <c r="C129" s="661"/>
      <c r="D129" s="661"/>
      <c r="E129" s="661"/>
      <c r="F129" s="661"/>
      <c r="G129" s="661"/>
      <c r="H129" s="661"/>
      <c r="I129" s="661"/>
      <c r="J129" s="661"/>
      <c r="K129" s="661"/>
      <c r="L129" s="661"/>
      <c r="M129" s="661"/>
      <c r="N129" s="661"/>
      <c r="O129" s="662"/>
      <c r="P129" s="658" t="s">
        <v>40</v>
      </c>
      <c r="Q129" s="659"/>
      <c r="R129" s="659"/>
      <c r="S129" s="659"/>
      <c r="T129" s="659"/>
      <c r="U129" s="659"/>
      <c r="V129" s="660"/>
      <c r="W129" s="42" t="s">
        <v>0</v>
      </c>
      <c r="X129" s="43">
        <f>IFERROR(SUM(X127:X127),"0")</f>
        <v>0</v>
      </c>
      <c r="Y129" s="43">
        <f>IFERROR(SUM(Y127:Y127),"0")</f>
        <v>0</v>
      </c>
      <c r="Z129" s="42"/>
      <c r="AA129" s="67"/>
      <c r="AB129" s="67"/>
      <c r="AC129" s="67"/>
    </row>
    <row r="130" spans="1:68" ht="16.5" hidden="1" customHeight="1" x14ac:dyDescent="0.25">
      <c r="A130" s="652" t="s">
        <v>250</v>
      </c>
      <c r="B130" s="652"/>
      <c r="C130" s="652"/>
      <c r="D130" s="652"/>
      <c r="E130" s="652"/>
      <c r="F130" s="652"/>
      <c r="G130" s="652"/>
      <c r="H130" s="652"/>
      <c r="I130" s="652"/>
      <c r="J130" s="652"/>
      <c r="K130" s="652"/>
      <c r="L130" s="652"/>
      <c r="M130" s="652"/>
      <c r="N130" s="652"/>
      <c r="O130" s="652"/>
      <c r="P130" s="652"/>
      <c r="Q130" s="652"/>
      <c r="R130" s="652"/>
      <c r="S130" s="652"/>
      <c r="T130" s="652"/>
      <c r="U130" s="652"/>
      <c r="V130" s="652"/>
      <c r="W130" s="652"/>
      <c r="X130" s="652"/>
      <c r="Y130" s="652"/>
      <c r="Z130" s="652"/>
      <c r="AA130" s="65"/>
      <c r="AB130" s="65"/>
      <c r="AC130" s="79"/>
    </row>
    <row r="131" spans="1:68" ht="14.25" hidden="1" customHeight="1" x14ac:dyDescent="0.25">
      <c r="A131" s="653" t="s">
        <v>122</v>
      </c>
      <c r="B131" s="653"/>
      <c r="C131" s="653"/>
      <c r="D131" s="653"/>
      <c r="E131" s="653"/>
      <c r="F131" s="653"/>
      <c r="G131" s="653"/>
      <c r="H131" s="653"/>
      <c r="I131" s="653"/>
      <c r="J131" s="653"/>
      <c r="K131" s="653"/>
      <c r="L131" s="653"/>
      <c r="M131" s="653"/>
      <c r="N131" s="653"/>
      <c r="O131" s="653"/>
      <c r="P131" s="653"/>
      <c r="Q131" s="653"/>
      <c r="R131" s="653"/>
      <c r="S131" s="653"/>
      <c r="T131" s="653"/>
      <c r="U131" s="653"/>
      <c r="V131" s="653"/>
      <c r="W131" s="653"/>
      <c r="X131" s="653"/>
      <c r="Y131" s="653"/>
      <c r="Z131" s="653"/>
      <c r="AA131" s="66"/>
      <c r="AB131" s="66"/>
      <c r="AC131" s="80"/>
    </row>
    <row r="132" spans="1:68" ht="27" hidden="1" customHeight="1" x14ac:dyDescent="0.25">
      <c r="A132" s="63" t="s">
        <v>251</v>
      </c>
      <c r="B132" s="63" t="s">
        <v>252</v>
      </c>
      <c r="C132" s="36">
        <v>4301011562</v>
      </c>
      <c r="D132" s="654">
        <v>4680115882577</v>
      </c>
      <c r="E132" s="654"/>
      <c r="F132" s="62">
        <v>0.4</v>
      </c>
      <c r="G132" s="37">
        <v>8</v>
      </c>
      <c r="H132" s="62">
        <v>3.2</v>
      </c>
      <c r="I132" s="62">
        <v>3.38</v>
      </c>
      <c r="J132" s="37">
        <v>182</v>
      </c>
      <c r="K132" s="37" t="s">
        <v>91</v>
      </c>
      <c r="L132" s="37" t="s">
        <v>46</v>
      </c>
      <c r="M132" s="38" t="s">
        <v>254</v>
      </c>
      <c r="N132" s="38"/>
      <c r="O132" s="37">
        <v>90</v>
      </c>
      <c r="P132" s="886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2" s="656"/>
      <c r="R132" s="656"/>
      <c r="S132" s="656"/>
      <c r="T132" s="657"/>
      <c r="U132" s="39" t="s">
        <v>46</v>
      </c>
      <c r="V132" s="39" t="s">
        <v>46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IFERROR(IF(Y132=0,"",ROUNDUP(Y132/H132,0)*0.00651),"")</f>
        <v/>
      </c>
      <c r="AA132" s="68" t="s">
        <v>46</v>
      </c>
      <c r="AB132" s="69" t="s">
        <v>46</v>
      </c>
      <c r="AC132" s="206" t="s">
        <v>253</v>
      </c>
      <c r="AG132" s="78"/>
      <c r="AJ132" s="84" t="s">
        <v>46</v>
      </c>
      <c r="AK132" s="84">
        <v>0</v>
      </c>
      <c r="BB132" s="207" t="s">
        <v>67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ht="27" hidden="1" customHeight="1" x14ac:dyDescent="0.25">
      <c r="A133" s="63" t="s">
        <v>251</v>
      </c>
      <c r="B133" s="63" t="s">
        <v>255</v>
      </c>
      <c r="C133" s="36">
        <v>4301011564</v>
      </c>
      <c r="D133" s="654">
        <v>4680115882577</v>
      </c>
      <c r="E133" s="654"/>
      <c r="F133" s="62">
        <v>0.4</v>
      </c>
      <c r="G133" s="37">
        <v>8</v>
      </c>
      <c r="H133" s="62">
        <v>3.2</v>
      </c>
      <c r="I133" s="62">
        <v>3.38</v>
      </c>
      <c r="J133" s="37">
        <v>182</v>
      </c>
      <c r="K133" s="37" t="s">
        <v>91</v>
      </c>
      <c r="L133" s="37" t="s">
        <v>46</v>
      </c>
      <c r="M133" s="38" t="s">
        <v>254</v>
      </c>
      <c r="N133" s="38"/>
      <c r="O133" s="37">
        <v>90</v>
      </c>
      <c r="P133" s="887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3" s="656"/>
      <c r="R133" s="656"/>
      <c r="S133" s="656"/>
      <c r="T133" s="657"/>
      <c r="U133" s="39" t="s">
        <v>46</v>
      </c>
      <c r="V133" s="39" t="s">
        <v>46</v>
      </c>
      <c r="W133" s="40" t="s">
        <v>0</v>
      </c>
      <c r="X133" s="58">
        <v>0</v>
      </c>
      <c r="Y133" s="55">
        <f>IFERROR(IF(X133="",0,CEILING((X133/$H133),1)*$H133),"")</f>
        <v>0</v>
      </c>
      <c r="Z133" s="41" t="str">
        <f>IFERROR(IF(Y133=0,"",ROUNDUP(Y133/H133,0)*0.00651),"")</f>
        <v/>
      </c>
      <c r="AA133" s="68" t="s">
        <v>46</v>
      </c>
      <c r="AB133" s="69" t="s">
        <v>46</v>
      </c>
      <c r="AC133" s="208" t="s">
        <v>253</v>
      </c>
      <c r="AG133" s="78"/>
      <c r="AJ133" s="84" t="s">
        <v>46</v>
      </c>
      <c r="AK133" s="84">
        <v>0</v>
      </c>
      <c r="BB133" s="209" t="s">
        <v>67</v>
      </c>
      <c r="BM133" s="78">
        <f>IFERROR(X133*I133/H133,"0")</f>
        <v>0</v>
      </c>
      <c r="BN133" s="78">
        <f>IFERROR(Y133*I133/H133,"0")</f>
        <v>0</v>
      </c>
      <c r="BO133" s="78">
        <f>IFERROR(1/J133*(X133/H133),"0")</f>
        <v>0</v>
      </c>
      <c r="BP133" s="78">
        <f>IFERROR(1/J133*(Y133/H133),"0")</f>
        <v>0</v>
      </c>
    </row>
    <row r="134" spans="1:68" hidden="1" x14ac:dyDescent="0.2">
      <c r="A134" s="661"/>
      <c r="B134" s="661"/>
      <c r="C134" s="661"/>
      <c r="D134" s="661"/>
      <c r="E134" s="661"/>
      <c r="F134" s="661"/>
      <c r="G134" s="661"/>
      <c r="H134" s="661"/>
      <c r="I134" s="661"/>
      <c r="J134" s="661"/>
      <c r="K134" s="661"/>
      <c r="L134" s="661"/>
      <c r="M134" s="661"/>
      <c r="N134" s="661"/>
      <c r="O134" s="662"/>
      <c r="P134" s="658" t="s">
        <v>40</v>
      </c>
      <c r="Q134" s="659"/>
      <c r="R134" s="659"/>
      <c r="S134" s="659"/>
      <c r="T134" s="659"/>
      <c r="U134" s="659"/>
      <c r="V134" s="660"/>
      <c r="W134" s="42" t="s">
        <v>39</v>
      </c>
      <c r="X134" s="43">
        <f>IFERROR(X132/H132,"0")+IFERROR(X133/H133,"0")</f>
        <v>0</v>
      </c>
      <c r="Y134" s="43">
        <f>IFERROR(Y132/H132,"0")+IFERROR(Y133/H133,"0")</f>
        <v>0</v>
      </c>
      <c r="Z134" s="43">
        <f>IFERROR(IF(Z132="",0,Z132),"0")+IFERROR(IF(Z133="",0,Z133),"0")</f>
        <v>0</v>
      </c>
      <c r="AA134" s="67"/>
      <c r="AB134" s="67"/>
      <c r="AC134" s="67"/>
    </row>
    <row r="135" spans="1:68" hidden="1" x14ac:dyDescent="0.2">
      <c r="A135" s="661"/>
      <c r="B135" s="661"/>
      <c r="C135" s="661"/>
      <c r="D135" s="661"/>
      <c r="E135" s="661"/>
      <c r="F135" s="661"/>
      <c r="G135" s="661"/>
      <c r="H135" s="661"/>
      <c r="I135" s="661"/>
      <c r="J135" s="661"/>
      <c r="K135" s="661"/>
      <c r="L135" s="661"/>
      <c r="M135" s="661"/>
      <c r="N135" s="661"/>
      <c r="O135" s="662"/>
      <c r="P135" s="658" t="s">
        <v>40</v>
      </c>
      <c r="Q135" s="659"/>
      <c r="R135" s="659"/>
      <c r="S135" s="659"/>
      <c r="T135" s="659"/>
      <c r="U135" s="659"/>
      <c r="V135" s="660"/>
      <c r="W135" s="42" t="s">
        <v>0</v>
      </c>
      <c r="X135" s="43">
        <f>IFERROR(SUM(X132:X133),"0")</f>
        <v>0</v>
      </c>
      <c r="Y135" s="43">
        <f>IFERROR(SUM(Y132:Y133),"0")</f>
        <v>0</v>
      </c>
      <c r="Z135" s="42"/>
      <c r="AA135" s="67"/>
      <c r="AB135" s="67"/>
      <c r="AC135" s="67"/>
    </row>
    <row r="136" spans="1:68" ht="14.25" hidden="1" customHeight="1" x14ac:dyDescent="0.25">
      <c r="A136" s="653" t="s">
        <v>77</v>
      </c>
      <c r="B136" s="653"/>
      <c r="C136" s="653"/>
      <c r="D136" s="653"/>
      <c r="E136" s="653"/>
      <c r="F136" s="653"/>
      <c r="G136" s="653"/>
      <c r="H136" s="653"/>
      <c r="I136" s="653"/>
      <c r="J136" s="653"/>
      <c r="K136" s="653"/>
      <c r="L136" s="653"/>
      <c r="M136" s="653"/>
      <c r="N136" s="653"/>
      <c r="O136" s="653"/>
      <c r="P136" s="653"/>
      <c r="Q136" s="653"/>
      <c r="R136" s="653"/>
      <c r="S136" s="653"/>
      <c r="T136" s="653"/>
      <c r="U136" s="653"/>
      <c r="V136" s="653"/>
      <c r="W136" s="653"/>
      <c r="X136" s="653"/>
      <c r="Y136" s="653"/>
      <c r="Z136" s="653"/>
      <c r="AA136" s="66"/>
      <c r="AB136" s="66"/>
      <c r="AC136" s="80"/>
    </row>
    <row r="137" spans="1:68" ht="27" hidden="1" customHeight="1" x14ac:dyDescent="0.25">
      <c r="A137" s="63" t="s">
        <v>256</v>
      </c>
      <c r="B137" s="63" t="s">
        <v>257</v>
      </c>
      <c r="C137" s="36">
        <v>4301031234</v>
      </c>
      <c r="D137" s="654">
        <v>4680115883444</v>
      </c>
      <c r="E137" s="654"/>
      <c r="F137" s="62">
        <v>0.35</v>
      </c>
      <c r="G137" s="37">
        <v>8</v>
      </c>
      <c r="H137" s="62">
        <v>2.8</v>
      </c>
      <c r="I137" s="62">
        <v>3.0680000000000001</v>
      </c>
      <c r="J137" s="37">
        <v>182</v>
      </c>
      <c r="K137" s="37" t="s">
        <v>91</v>
      </c>
      <c r="L137" s="37" t="s">
        <v>46</v>
      </c>
      <c r="M137" s="38" t="s">
        <v>254</v>
      </c>
      <c r="N137" s="38"/>
      <c r="O137" s="37">
        <v>90</v>
      </c>
      <c r="P137" s="88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7" s="656"/>
      <c r="R137" s="656"/>
      <c r="S137" s="656"/>
      <c r="T137" s="657"/>
      <c r="U137" s="39" t="s">
        <v>46</v>
      </c>
      <c r="V137" s="39" t="s">
        <v>46</v>
      </c>
      <c r="W137" s="40" t="s">
        <v>0</v>
      </c>
      <c r="X137" s="58">
        <v>0</v>
      </c>
      <c r="Y137" s="55">
        <f>IFERROR(IF(X137="",0,CEILING((X137/$H137),1)*$H137),"")</f>
        <v>0</v>
      </c>
      <c r="Z137" s="41" t="str">
        <f>IFERROR(IF(Y137=0,"",ROUNDUP(Y137/H137,0)*0.00651),"")</f>
        <v/>
      </c>
      <c r="AA137" s="68" t="s">
        <v>46</v>
      </c>
      <c r="AB137" s="69" t="s">
        <v>46</v>
      </c>
      <c r="AC137" s="210" t="s">
        <v>258</v>
      </c>
      <c r="AG137" s="78"/>
      <c r="AJ137" s="84" t="s">
        <v>46</v>
      </c>
      <c r="AK137" s="84">
        <v>0</v>
      </c>
      <c r="BB137" s="211" t="s">
        <v>67</v>
      </c>
      <c r="BM137" s="78">
        <f>IFERROR(X137*I137/H137,"0")</f>
        <v>0</v>
      </c>
      <c r="BN137" s="78">
        <f>IFERROR(Y137*I137/H137,"0")</f>
        <v>0</v>
      </c>
      <c r="BO137" s="78">
        <f>IFERROR(1/J137*(X137/H137),"0")</f>
        <v>0</v>
      </c>
      <c r="BP137" s="78">
        <f>IFERROR(1/J137*(Y137/H137),"0")</f>
        <v>0</v>
      </c>
    </row>
    <row r="138" spans="1:68" ht="27" hidden="1" customHeight="1" x14ac:dyDescent="0.25">
      <c r="A138" s="63" t="s">
        <v>256</v>
      </c>
      <c r="B138" s="63" t="s">
        <v>259</v>
      </c>
      <c r="C138" s="36">
        <v>4301031235</v>
      </c>
      <c r="D138" s="654">
        <v>4680115883444</v>
      </c>
      <c r="E138" s="654"/>
      <c r="F138" s="62">
        <v>0.35</v>
      </c>
      <c r="G138" s="37">
        <v>8</v>
      </c>
      <c r="H138" s="62">
        <v>2.8</v>
      </c>
      <c r="I138" s="62">
        <v>3.0680000000000001</v>
      </c>
      <c r="J138" s="37">
        <v>182</v>
      </c>
      <c r="K138" s="37" t="s">
        <v>91</v>
      </c>
      <c r="L138" s="37" t="s">
        <v>46</v>
      </c>
      <c r="M138" s="38" t="s">
        <v>254</v>
      </c>
      <c r="N138" s="38"/>
      <c r="O138" s="37">
        <v>90</v>
      </c>
      <c r="P138" s="88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8" s="656"/>
      <c r="R138" s="656"/>
      <c r="S138" s="656"/>
      <c r="T138" s="657"/>
      <c r="U138" s="39" t="s">
        <v>46</v>
      </c>
      <c r="V138" s="39" t="s">
        <v>46</v>
      </c>
      <c r="W138" s="40" t="s">
        <v>0</v>
      </c>
      <c r="X138" s="58">
        <v>0</v>
      </c>
      <c r="Y138" s="55">
        <f>IFERROR(IF(X138="",0,CEILING((X138/$H138),1)*$H138),"")</f>
        <v>0</v>
      </c>
      <c r="Z138" s="41" t="str">
        <f>IFERROR(IF(Y138=0,"",ROUNDUP(Y138/H138,0)*0.00651),"")</f>
        <v/>
      </c>
      <c r="AA138" s="68" t="s">
        <v>46</v>
      </c>
      <c r="AB138" s="69" t="s">
        <v>46</v>
      </c>
      <c r="AC138" s="212" t="s">
        <v>258</v>
      </c>
      <c r="AG138" s="78"/>
      <c r="AJ138" s="84" t="s">
        <v>46</v>
      </c>
      <c r="AK138" s="84">
        <v>0</v>
      </c>
      <c r="BB138" s="213" t="s">
        <v>67</v>
      </c>
      <c r="BM138" s="78">
        <f>IFERROR(X138*I138/H138,"0")</f>
        <v>0</v>
      </c>
      <c r="BN138" s="78">
        <f>IFERROR(Y138*I138/H138,"0")</f>
        <v>0</v>
      </c>
      <c r="BO138" s="78">
        <f>IFERROR(1/J138*(X138/H138),"0")</f>
        <v>0</v>
      </c>
      <c r="BP138" s="78">
        <f>IFERROR(1/J138*(Y138/H138),"0")</f>
        <v>0</v>
      </c>
    </row>
    <row r="139" spans="1:68" hidden="1" x14ac:dyDescent="0.2">
      <c r="A139" s="661"/>
      <c r="B139" s="661"/>
      <c r="C139" s="661"/>
      <c r="D139" s="661"/>
      <c r="E139" s="661"/>
      <c r="F139" s="661"/>
      <c r="G139" s="661"/>
      <c r="H139" s="661"/>
      <c r="I139" s="661"/>
      <c r="J139" s="661"/>
      <c r="K139" s="661"/>
      <c r="L139" s="661"/>
      <c r="M139" s="661"/>
      <c r="N139" s="661"/>
      <c r="O139" s="662"/>
      <c r="P139" s="658" t="s">
        <v>40</v>
      </c>
      <c r="Q139" s="659"/>
      <c r="R139" s="659"/>
      <c r="S139" s="659"/>
      <c r="T139" s="659"/>
      <c r="U139" s="659"/>
      <c r="V139" s="660"/>
      <c r="W139" s="42" t="s">
        <v>39</v>
      </c>
      <c r="X139" s="43">
        <f>IFERROR(X137/H137,"0")+IFERROR(X138/H138,"0")</f>
        <v>0</v>
      </c>
      <c r="Y139" s="43">
        <f>IFERROR(Y137/H137,"0")+IFERROR(Y138/H138,"0")</f>
        <v>0</v>
      </c>
      <c r="Z139" s="43">
        <f>IFERROR(IF(Z137="",0,Z137),"0")+IFERROR(IF(Z138="",0,Z138),"0")</f>
        <v>0</v>
      </c>
      <c r="AA139" s="67"/>
      <c r="AB139" s="67"/>
      <c r="AC139" s="67"/>
    </row>
    <row r="140" spans="1:68" hidden="1" x14ac:dyDescent="0.2">
      <c r="A140" s="661"/>
      <c r="B140" s="661"/>
      <c r="C140" s="661"/>
      <c r="D140" s="661"/>
      <c r="E140" s="661"/>
      <c r="F140" s="661"/>
      <c r="G140" s="661"/>
      <c r="H140" s="661"/>
      <c r="I140" s="661"/>
      <c r="J140" s="661"/>
      <c r="K140" s="661"/>
      <c r="L140" s="661"/>
      <c r="M140" s="661"/>
      <c r="N140" s="661"/>
      <c r="O140" s="662"/>
      <c r="P140" s="658" t="s">
        <v>40</v>
      </c>
      <c r="Q140" s="659"/>
      <c r="R140" s="659"/>
      <c r="S140" s="659"/>
      <c r="T140" s="659"/>
      <c r="U140" s="659"/>
      <c r="V140" s="660"/>
      <c r="W140" s="42" t="s">
        <v>0</v>
      </c>
      <c r="X140" s="43">
        <f>IFERROR(SUM(X137:X138),"0")</f>
        <v>0</v>
      </c>
      <c r="Y140" s="43">
        <f>IFERROR(SUM(Y137:Y138),"0")</f>
        <v>0</v>
      </c>
      <c r="Z140" s="42"/>
      <c r="AA140" s="67"/>
      <c r="AB140" s="67"/>
      <c r="AC140" s="67"/>
    </row>
    <row r="141" spans="1:68" ht="14.25" hidden="1" customHeight="1" x14ac:dyDescent="0.25">
      <c r="A141" s="653" t="s">
        <v>86</v>
      </c>
      <c r="B141" s="653"/>
      <c r="C141" s="653"/>
      <c r="D141" s="653"/>
      <c r="E141" s="653"/>
      <c r="F141" s="653"/>
      <c r="G141" s="653"/>
      <c r="H141" s="653"/>
      <c r="I141" s="653"/>
      <c r="J141" s="653"/>
      <c r="K141" s="653"/>
      <c r="L141" s="653"/>
      <c r="M141" s="653"/>
      <c r="N141" s="653"/>
      <c r="O141" s="653"/>
      <c r="P141" s="653"/>
      <c r="Q141" s="653"/>
      <c r="R141" s="653"/>
      <c r="S141" s="653"/>
      <c r="T141" s="653"/>
      <c r="U141" s="653"/>
      <c r="V141" s="653"/>
      <c r="W141" s="653"/>
      <c r="X141" s="653"/>
      <c r="Y141" s="653"/>
      <c r="Z141" s="653"/>
      <c r="AA141" s="66"/>
      <c r="AB141" s="66"/>
      <c r="AC141" s="80"/>
    </row>
    <row r="142" spans="1:68" ht="16.5" hidden="1" customHeight="1" x14ac:dyDescent="0.25">
      <c r="A142" s="63" t="s">
        <v>260</v>
      </c>
      <c r="B142" s="63" t="s">
        <v>261</v>
      </c>
      <c r="C142" s="36">
        <v>4301051476</v>
      </c>
      <c r="D142" s="654">
        <v>4680115882584</v>
      </c>
      <c r="E142" s="654"/>
      <c r="F142" s="62">
        <v>0.33</v>
      </c>
      <c r="G142" s="37">
        <v>8</v>
      </c>
      <c r="H142" s="62">
        <v>2.64</v>
      </c>
      <c r="I142" s="62">
        <v>2.9079999999999999</v>
      </c>
      <c r="J142" s="37">
        <v>182</v>
      </c>
      <c r="K142" s="37" t="s">
        <v>91</v>
      </c>
      <c r="L142" s="37" t="s">
        <v>46</v>
      </c>
      <c r="M142" s="38" t="s">
        <v>254</v>
      </c>
      <c r="N142" s="38"/>
      <c r="O142" s="37">
        <v>60</v>
      </c>
      <c r="P142" s="88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2" s="656"/>
      <c r="R142" s="656"/>
      <c r="S142" s="656"/>
      <c r="T142" s="657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253</v>
      </c>
      <c r="AG142" s="78"/>
      <c r="AJ142" s="84" t="s">
        <v>46</v>
      </c>
      <c r="AK142" s="84">
        <v>0</v>
      </c>
      <c r="BB142" s="215" t="s">
        <v>67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t="16.5" hidden="1" customHeight="1" x14ac:dyDescent="0.25">
      <c r="A143" s="63" t="s">
        <v>260</v>
      </c>
      <c r="B143" s="63" t="s">
        <v>262</v>
      </c>
      <c r="C143" s="36">
        <v>4301051477</v>
      </c>
      <c r="D143" s="654">
        <v>4680115882584</v>
      </c>
      <c r="E143" s="654"/>
      <c r="F143" s="62">
        <v>0.33</v>
      </c>
      <c r="G143" s="37">
        <v>8</v>
      </c>
      <c r="H143" s="62">
        <v>2.64</v>
      </c>
      <c r="I143" s="62">
        <v>2.9079999999999999</v>
      </c>
      <c r="J143" s="37">
        <v>182</v>
      </c>
      <c r="K143" s="37" t="s">
        <v>91</v>
      </c>
      <c r="L143" s="37" t="s">
        <v>46</v>
      </c>
      <c r="M143" s="38" t="s">
        <v>254</v>
      </c>
      <c r="N143" s="38"/>
      <c r="O143" s="37">
        <v>60</v>
      </c>
      <c r="P143" s="883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3" s="656"/>
      <c r="R143" s="656"/>
      <c r="S143" s="656"/>
      <c r="T143" s="657"/>
      <c r="U143" s="39" t="s">
        <v>46</v>
      </c>
      <c r="V143" s="39" t="s">
        <v>46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IFERROR(IF(Y143=0,"",ROUNDUP(Y143/H143,0)*0.00651),"")</f>
        <v/>
      </c>
      <c r="AA143" s="68" t="s">
        <v>46</v>
      </c>
      <c r="AB143" s="69" t="s">
        <v>46</v>
      </c>
      <c r="AC143" s="216" t="s">
        <v>253</v>
      </c>
      <c r="AG143" s="78"/>
      <c r="AJ143" s="84" t="s">
        <v>46</v>
      </c>
      <c r="AK143" s="84">
        <v>0</v>
      </c>
      <c r="BB143" s="217" t="s">
        <v>67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 hidden="1" x14ac:dyDescent="0.2">
      <c r="A144" s="661"/>
      <c r="B144" s="661"/>
      <c r="C144" s="661"/>
      <c r="D144" s="661"/>
      <c r="E144" s="661"/>
      <c r="F144" s="661"/>
      <c r="G144" s="661"/>
      <c r="H144" s="661"/>
      <c r="I144" s="661"/>
      <c r="J144" s="661"/>
      <c r="K144" s="661"/>
      <c r="L144" s="661"/>
      <c r="M144" s="661"/>
      <c r="N144" s="661"/>
      <c r="O144" s="662"/>
      <c r="P144" s="658" t="s">
        <v>40</v>
      </c>
      <c r="Q144" s="659"/>
      <c r="R144" s="659"/>
      <c r="S144" s="659"/>
      <c r="T144" s="659"/>
      <c r="U144" s="659"/>
      <c r="V144" s="660"/>
      <c r="W144" s="42" t="s">
        <v>39</v>
      </c>
      <c r="X144" s="43">
        <f>IFERROR(X142/H142,"0")+IFERROR(X143/H143,"0")</f>
        <v>0</v>
      </c>
      <c r="Y144" s="43">
        <f>IFERROR(Y142/H142,"0")+IFERROR(Y143/H143,"0")</f>
        <v>0</v>
      </c>
      <c r="Z144" s="43">
        <f>IFERROR(IF(Z142="",0,Z142),"0")+IFERROR(IF(Z143="",0,Z143),"0")</f>
        <v>0</v>
      </c>
      <c r="AA144" s="67"/>
      <c r="AB144" s="67"/>
      <c r="AC144" s="67"/>
    </row>
    <row r="145" spans="1:68" hidden="1" x14ac:dyDescent="0.2">
      <c r="A145" s="661"/>
      <c r="B145" s="661"/>
      <c r="C145" s="661"/>
      <c r="D145" s="661"/>
      <c r="E145" s="661"/>
      <c r="F145" s="661"/>
      <c r="G145" s="661"/>
      <c r="H145" s="661"/>
      <c r="I145" s="661"/>
      <c r="J145" s="661"/>
      <c r="K145" s="661"/>
      <c r="L145" s="661"/>
      <c r="M145" s="661"/>
      <c r="N145" s="661"/>
      <c r="O145" s="662"/>
      <c r="P145" s="658" t="s">
        <v>40</v>
      </c>
      <c r="Q145" s="659"/>
      <c r="R145" s="659"/>
      <c r="S145" s="659"/>
      <c r="T145" s="659"/>
      <c r="U145" s="659"/>
      <c r="V145" s="660"/>
      <c r="W145" s="42" t="s">
        <v>0</v>
      </c>
      <c r="X145" s="43">
        <f>IFERROR(SUM(X142:X143),"0")</f>
        <v>0</v>
      </c>
      <c r="Y145" s="43">
        <f>IFERROR(SUM(Y142:Y143),"0")</f>
        <v>0</v>
      </c>
      <c r="Z145" s="42"/>
      <c r="AA145" s="67"/>
      <c r="AB145" s="67"/>
      <c r="AC145" s="67"/>
    </row>
    <row r="146" spans="1:68" ht="16.5" hidden="1" customHeight="1" x14ac:dyDescent="0.25">
      <c r="A146" s="652" t="s">
        <v>263</v>
      </c>
      <c r="B146" s="652"/>
      <c r="C146" s="652"/>
      <c r="D146" s="652"/>
      <c r="E146" s="652"/>
      <c r="F146" s="652"/>
      <c r="G146" s="652"/>
      <c r="H146" s="652"/>
      <c r="I146" s="652"/>
      <c r="J146" s="652"/>
      <c r="K146" s="652"/>
      <c r="L146" s="652"/>
      <c r="M146" s="652"/>
      <c r="N146" s="652"/>
      <c r="O146" s="652"/>
      <c r="P146" s="652"/>
      <c r="Q146" s="652"/>
      <c r="R146" s="652"/>
      <c r="S146" s="652"/>
      <c r="T146" s="652"/>
      <c r="U146" s="652"/>
      <c r="V146" s="652"/>
      <c r="W146" s="652"/>
      <c r="X146" s="652"/>
      <c r="Y146" s="652"/>
      <c r="Z146" s="652"/>
      <c r="AA146" s="65"/>
      <c r="AB146" s="65"/>
      <c r="AC146" s="79"/>
    </row>
    <row r="147" spans="1:68" ht="14.25" hidden="1" customHeight="1" x14ac:dyDescent="0.25">
      <c r="A147" s="653" t="s">
        <v>86</v>
      </c>
      <c r="B147" s="653"/>
      <c r="C147" s="653"/>
      <c r="D147" s="653"/>
      <c r="E147" s="653"/>
      <c r="F147" s="653"/>
      <c r="G147" s="653"/>
      <c r="H147" s="653"/>
      <c r="I147" s="653"/>
      <c r="J147" s="653"/>
      <c r="K147" s="653"/>
      <c r="L147" s="653"/>
      <c r="M147" s="653"/>
      <c r="N147" s="653"/>
      <c r="O147" s="653"/>
      <c r="P147" s="653"/>
      <c r="Q147" s="653"/>
      <c r="R147" s="653"/>
      <c r="S147" s="653"/>
      <c r="T147" s="653"/>
      <c r="U147" s="653"/>
      <c r="V147" s="653"/>
      <c r="W147" s="653"/>
      <c r="X147" s="653"/>
      <c r="Y147" s="653"/>
      <c r="Z147" s="653"/>
      <c r="AA147" s="66"/>
      <c r="AB147" s="66"/>
      <c r="AC147" s="80"/>
    </row>
    <row r="148" spans="1:68" ht="27" hidden="1" customHeight="1" x14ac:dyDescent="0.25">
      <c r="A148" s="63" t="s">
        <v>264</v>
      </c>
      <c r="B148" s="63" t="s">
        <v>265</v>
      </c>
      <c r="C148" s="36">
        <v>4301052254</v>
      </c>
      <c r="D148" s="654">
        <v>4680115888203</v>
      </c>
      <c r="E148" s="654"/>
      <c r="F148" s="62">
        <v>0.22</v>
      </c>
      <c r="G148" s="37">
        <v>6</v>
      </c>
      <c r="H148" s="62">
        <v>1.32</v>
      </c>
      <c r="I148" s="62">
        <v>1.5660000000000001</v>
      </c>
      <c r="J148" s="37">
        <v>182</v>
      </c>
      <c r="K148" s="37" t="s">
        <v>91</v>
      </c>
      <c r="L148" s="37" t="s">
        <v>46</v>
      </c>
      <c r="M148" s="38" t="s">
        <v>97</v>
      </c>
      <c r="N148" s="38"/>
      <c r="O148" s="37">
        <v>40</v>
      </c>
      <c r="P148" s="877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8" s="656"/>
      <c r="R148" s="656"/>
      <c r="S148" s="656"/>
      <c r="T148" s="657"/>
      <c r="U148" s="39" t="s">
        <v>46</v>
      </c>
      <c r="V148" s="39" t="s">
        <v>46</v>
      </c>
      <c r="W148" s="40" t="s">
        <v>0</v>
      </c>
      <c r="X148" s="58">
        <v>0</v>
      </c>
      <c r="Y148" s="55">
        <f t="shared" ref="Y148:Y153" si="10">IFERROR(IF(X148="",0,CEILING((X148/$H148),1)*$H148),"")</f>
        <v>0</v>
      </c>
      <c r="Z148" s="41" t="str">
        <f t="shared" ref="Z148:Z153" si="11">IFERROR(IF(Y148=0,"",ROUNDUP(Y148/H148,0)*0.00651),"")</f>
        <v/>
      </c>
      <c r="AA148" s="68" t="s">
        <v>46</v>
      </c>
      <c r="AB148" s="69" t="s">
        <v>46</v>
      </c>
      <c r="AC148" s="218" t="s">
        <v>266</v>
      </c>
      <c r="AG148" s="78"/>
      <c r="AJ148" s="84" t="s">
        <v>46</v>
      </c>
      <c r="AK148" s="84">
        <v>0</v>
      </c>
      <c r="BB148" s="219" t="s">
        <v>67</v>
      </c>
      <c r="BM148" s="78">
        <f t="shared" ref="BM148:BM153" si="12">IFERROR(X148*I148/H148,"0")</f>
        <v>0</v>
      </c>
      <c r="BN148" s="78">
        <f t="shared" ref="BN148:BN153" si="13">IFERROR(Y148*I148/H148,"0")</f>
        <v>0</v>
      </c>
      <c r="BO148" s="78">
        <f t="shared" ref="BO148:BO153" si="14">IFERROR(1/J148*(X148/H148),"0")</f>
        <v>0</v>
      </c>
      <c r="BP148" s="78">
        <f t="shared" ref="BP148:BP153" si="15">IFERROR(1/J148*(Y148/H148),"0")</f>
        <v>0</v>
      </c>
    </row>
    <row r="149" spans="1:68" ht="27" hidden="1" customHeight="1" x14ac:dyDescent="0.25">
      <c r="A149" s="63" t="s">
        <v>267</v>
      </c>
      <c r="B149" s="63" t="s">
        <v>268</v>
      </c>
      <c r="C149" s="36">
        <v>4301052172</v>
      </c>
      <c r="D149" s="654">
        <v>4680115888180</v>
      </c>
      <c r="E149" s="654"/>
      <c r="F149" s="62">
        <v>0.22</v>
      </c>
      <c r="G149" s="37">
        <v>9</v>
      </c>
      <c r="H149" s="62">
        <v>1.98</v>
      </c>
      <c r="I149" s="62">
        <v>2.2589999999999999</v>
      </c>
      <c r="J149" s="37">
        <v>182</v>
      </c>
      <c r="K149" s="37" t="s">
        <v>91</v>
      </c>
      <c r="L149" s="37" t="s">
        <v>46</v>
      </c>
      <c r="M149" s="38" t="s">
        <v>97</v>
      </c>
      <c r="N149" s="38"/>
      <c r="O149" s="37">
        <v>40</v>
      </c>
      <c r="P149" s="878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9" s="656"/>
      <c r="R149" s="656"/>
      <c r="S149" s="656"/>
      <c r="T149" s="657"/>
      <c r="U149" s="39" t="s">
        <v>46</v>
      </c>
      <c r="V149" s="39" t="s">
        <v>46</v>
      </c>
      <c r="W149" s="40" t="s">
        <v>0</v>
      </c>
      <c r="X149" s="58">
        <v>0</v>
      </c>
      <c r="Y149" s="55">
        <f t="shared" si="10"/>
        <v>0</v>
      </c>
      <c r="Z149" s="41" t="str">
        <f t="shared" si="11"/>
        <v/>
      </c>
      <c r="AA149" s="68" t="s">
        <v>46</v>
      </c>
      <c r="AB149" s="69" t="s">
        <v>46</v>
      </c>
      <c r="AC149" s="220" t="s">
        <v>269</v>
      </c>
      <c r="AG149" s="78"/>
      <c r="AJ149" s="84" t="s">
        <v>46</v>
      </c>
      <c r="AK149" s="84">
        <v>0</v>
      </c>
      <c r="BB149" s="221" t="s">
        <v>67</v>
      </c>
      <c r="BM149" s="78">
        <f t="shared" si="12"/>
        <v>0</v>
      </c>
      <c r="BN149" s="78">
        <f t="shared" si="13"/>
        <v>0</v>
      </c>
      <c r="BO149" s="78">
        <f t="shared" si="14"/>
        <v>0</v>
      </c>
      <c r="BP149" s="78">
        <f t="shared" si="15"/>
        <v>0</v>
      </c>
    </row>
    <row r="150" spans="1:68" ht="27" hidden="1" customHeight="1" x14ac:dyDescent="0.25">
      <c r="A150" s="63" t="s">
        <v>267</v>
      </c>
      <c r="B150" s="63" t="s">
        <v>270</v>
      </c>
      <c r="C150" s="36">
        <v>4301052252</v>
      </c>
      <c r="D150" s="654">
        <v>4680115888180</v>
      </c>
      <c r="E150" s="654"/>
      <c r="F150" s="62">
        <v>0.22</v>
      </c>
      <c r="G150" s="37">
        <v>6</v>
      </c>
      <c r="H150" s="62">
        <v>1.32</v>
      </c>
      <c r="I150" s="62">
        <v>1.5660000000000001</v>
      </c>
      <c r="J150" s="37">
        <v>182</v>
      </c>
      <c r="K150" s="37" t="s">
        <v>91</v>
      </c>
      <c r="L150" s="37" t="s">
        <v>46</v>
      </c>
      <c r="M150" s="38" t="s">
        <v>97</v>
      </c>
      <c r="N150" s="38"/>
      <c r="O150" s="37">
        <v>40</v>
      </c>
      <c r="P150" s="879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656"/>
      <c r="R150" s="656"/>
      <c r="S150" s="656"/>
      <c r="T150" s="657"/>
      <c r="U150" s="39" t="s">
        <v>46</v>
      </c>
      <c r="V150" s="39" t="s">
        <v>46</v>
      </c>
      <c r="W150" s="40" t="s">
        <v>0</v>
      </c>
      <c r="X150" s="58">
        <v>0</v>
      </c>
      <c r="Y150" s="55">
        <f t="shared" si="10"/>
        <v>0</v>
      </c>
      <c r="Z150" s="41" t="str">
        <f t="shared" si="11"/>
        <v/>
      </c>
      <c r="AA150" s="68" t="s">
        <v>46</v>
      </c>
      <c r="AB150" s="69" t="s">
        <v>46</v>
      </c>
      <c r="AC150" s="222" t="s">
        <v>269</v>
      </c>
      <c r="AG150" s="78"/>
      <c r="AJ150" s="84" t="s">
        <v>46</v>
      </c>
      <c r="AK150" s="84">
        <v>0</v>
      </c>
      <c r="BB150" s="223" t="s">
        <v>67</v>
      </c>
      <c r="BM150" s="78">
        <f t="shared" si="12"/>
        <v>0</v>
      </c>
      <c r="BN150" s="78">
        <f t="shared" si="13"/>
        <v>0</v>
      </c>
      <c r="BO150" s="78">
        <f t="shared" si="14"/>
        <v>0</v>
      </c>
      <c r="BP150" s="78">
        <f t="shared" si="15"/>
        <v>0</v>
      </c>
    </row>
    <row r="151" spans="1:68" ht="27" hidden="1" customHeight="1" x14ac:dyDescent="0.25">
      <c r="A151" s="63" t="s">
        <v>271</v>
      </c>
      <c r="B151" s="63" t="s">
        <v>272</v>
      </c>
      <c r="C151" s="36">
        <v>4301052253</v>
      </c>
      <c r="D151" s="654">
        <v>4680115888197</v>
      </c>
      <c r="E151" s="654"/>
      <c r="F151" s="62">
        <v>0.22</v>
      </c>
      <c r="G151" s="37">
        <v>6</v>
      </c>
      <c r="H151" s="62">
        <v>1.32</v>
      </c>
      <c r="I151" s="62">
        <v>1.5660000000000001</v>
      </c>
      <c r="J151" s="37">
        <v>182</v>
      </c>
      <c r="K151" s="37" t="s">
        <v>91</v>
      </c>
      <c r="L151" s="37" t="s">
        <v>46</v>
      </c>
      <c r="M151" s="38" t="s">
        <v>97</v>
      </c>
      <c r="N151" s="38"/>
      <c r="O151" s="37">
        <v>40</v>
      </c>
      <c r="P151" s="880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1" s="656"/>
      <c r="R151" s="656"/>
      <c r="S151" s="656"/>
      <c r="T151" s="657"/>
      <c r="U151" s="39" t="s">
        <v>46</v>
      </c>
      <c r="V151" s="39" t="s">
        <v>46</v>
      </c>
      <c r="W151" s="40" t="s">
        <v>0</v>
      </c>
      <c r="X151" s="58">
        <v>0</v>
      </c>
      <c r="Y151" s="55">
        <f t="shared" si="10"/>
        <v>0</v>
      </c>
      <c r="Z151" s="41" t="str">
        <f t="shared" si="11"/>
        <v/>
      </c>
      <c r="AA151" s="68" t="s">
        <v>46</v>
      </c>
      <c r="AB151" s="69" t="s">
        <v>46</v>
      </c>
      <c r="AC151" s="224" t="s">
        <v>273</v>
      </c>
      <c r="AG151" s="78"/>
      <c r="AJ151" s="84" t="s">
        <v>46</v>
      </c>
      <c r="AK151" s="84">
        <v>0</v>
      </c>
      <c r="BB151" s="225" t="s">
        <v>67</v>
      </c>
      <c r="BM151" s="78">
        <f t="shared" si="12"/>
        <v>0</v>
      </c>
      <c r="BN151" s="78">
        <f t="shared" si="13"/>
        <v>0</v>
      </c>
      <c r="BO151" s="78">
        <f t="shared" si="14"/>
        <v>0</v>
      </c>
      <c r="BP151" s="78">
        <f t="shared" si="15"/>
        <v>0</v>
      </c>
    </row>
    <row r="152" spans="1:68" ht="27" hidden="1" customHeight="1" x14ac:dyDescent="0.25">
      <c r="A152" s="63" t="s">
        <v>274</v>
      </c>
      <c r="B152" s="63" t="s">
        <v>275</v>
      </c>
      <c r="C152" s="36">
        <v>4301052175</v>
      </c>
      <c r="D152" s="654">
        <v>4680115888210</v>
      </c>
      <c r="E152" s="654"/>
      <c r="F152" s="62">
        <v>0.22</v>
      </c>
      <c r="G152" s="37">
        <v>9</v>
      </c>
      <c r="H152" s="62">
        <v>1.98</v>
      </c>
      <c r="I152" s="62">
        <v>2.2589999999999999</v>
      </c>
      <c r="J152" s="37">
        <v>182</v>
      </c>
      <c r="K152" s="37" t="s">
        <v>91</v>
      </c>
      <c r="L152" s="37" t="s">
        <v>46</v>
      </c>
      <c r="M152" s="38" t="s">
        <v>97</v>
      </c>
      <c r="N152" s="38"/>
      <c r="O152" s="37">
        <v>40</v>
      </c>
      <c r="P152" s="881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2" s="656"/>
      <c r="R152" s="656"/>
      <c r="S152" s="656"/>
      <c r="T152" s="657"/>
      <c r="U152" s="39" t="s">
        <v>46</v>
      </c>
      <c r="V152" s="39" t="s">
        <v>46</v>
      </c>
      <c r="W152" s="40" t="s">
        <v>0</v>
      </c>
      <c r="X152" s="58">
        <v>0</v>
      </c>
      <c r="Y152" s="55">
        <f t="shared" si="10"/>
        <v>0</v>
      </c>
      <c r="Z152" s="41" t="str">
        <f t="shared" si="11"/>
        <v/>
      </c>
      <c r="AA152" s="68" t="s">
        <v>46</v>
      </c>
      <c r="AB152" s="69" t="s">
        <v>46</v>
      </c>
      <c r="AC152" s="226" t="s">
        <v>276</v>
      </c>
      <c r="AG152" s="78"/>
      <c r="AJ152" s="84" t="s">
        <v>46</v>
      </c>
      <c r="AK152" s="84">
        <v>0</v>
      </c>
      <c r="BB152" s="227" t="s">
        <v>67</v>
      </c>
      <c r="BM152" s="78">
        <f t="shared" si="12"/>
        <v>0</v>
      </c>
      <c r="BN152" s="78">
        <f t="shared" si="13"/>
        <v>0</v>
      </c>
      <c r="BO152" s="78">
        <f t="shared" si="14"/>
        <v>0</v>
      </c>
      <c r="BP152" s="78">
        <f t="shared" si="15"/>
        <v>0</v>
      </c>
    </row>
    <row r="153" spans="1:68" ht="27" hidden="1" customHeight="1" x14ac:dyDescent="0.25">
      <c r="A153" s="63" t="s">
        <v>274</v>
      </c>
      <c r="B153" s="63" t="s">
        <v>277</v>
      </c>
      <c r="C153" s="36">
        <v>4301052255</v>
      </c>
      <c r="D153" s="654">
        <v>4680115888210</v>
      </c>
      <c r="E153" s="654"/>
      <c r="F153" s="62">
        <v>0.22</v>
      </c>
      <c r="G153" s="37">
        <v>6</v>
      </c>
      <c r="H153" s="62">
        <v>1.32</v>
      </c>
      <c r="I153" s="62">
        <v>1.5660000000000001</v>
      </c>
      <c r="J153" s="37">
        <v>182</v>
      </c>
      <c r="K153" s="37" t="s">
        <v>91</v>
      </c>
      <c r="L153" s="37" t="s">
        <v>46</v>
      </c>
      <c r="M153" s="38" t="s">
        <v>97</v>
      </c>
      <c r="N153" s="38"/>
      <c r="O153" s="37">
        <v>40</v>
      </c>
      <c r="P153" s="875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3" s="656"/>
      <c r="R153" s="656"/>
      <c r="S153" s="656"/>
      <c r="T153" s="657"/>
      <c r="U153" s="39" t="s">
        <v>46</v>
      </c>
      <c r="V153" s="39" t="s">
        <v>46</v>
      </c>
      <c r="W153" s="40" t="s">
        <v>0</v>
      </c>
      <c r="X153" s="58">
        <v>0</v>
      </c>
      <c r="Y153" s="55">
        <f t="shared" si="10"/>
        <v>0</v>
      </c>
      <c r="Z153" s="41" t="str">
        <f t="shared" si="11"/>
        <v/>
      </c>
      <c r="AA153" s="68" t="s">
        <v>46</v>
      </c>
      <c r="AB153" s="69" t="s">
        <v>46</v>
      </c>
      <c r="AC153" s="228" t="s">
        <v>276</v>
      </c>
      <c r="AG153" s="78"/>
      <c r="AJ153" s="84" t="s">
        <v>46</v>
      </c>
      <c r="AK153" s="84">
        <v>0</v>
      </c>
      <c r="BB153" s="229" t="s">
        <v>67</v>
      </c>
      <c r="BM153" s="78">
        <f t="shared" si="12"/>
        <v>0</v>
      </c>
      <c r="BN153" s="78">
        <f t="shared" si="13"/>
        <v>0</v>
      </c>
      <c r="BO153" s="78">
        <f t="shared" si="14"/>
        <v>0</v>
      </c>
      <c r="BP153" s="78">
        <f t="shared" si="15"/>
        <v>0</v>
      </c>
    </row>
    <row r="154" spans="1:68" hidden="1" x14ac:dyDescent="0.2">
      <c r="A154" s="661"/>
      <c r="B154" s="661"/>
      <c r="C154" s="661"/>
      <c r="D154" s="661"/>
      <c r="E154" s="661"/>
      <c r="F154" s="661"/>
      <c r="G154" s="661"/>
      <c r="H154" s="661"/>
      <c r="I154" s="661"/>
      <c r="J154" s="661"/>
      <c r="K154" s="661"/>
      <c r="L154" s="661"/>
      <c r="M154" s="661"/>
      <c r="N154" s="661"/>
      <c r="O154" s="662"/>
      <c r="P154" s="658" t="s">
        <v>40</v>
      </c>
      <c r="Q154" s="659"/>
      <c r="R154" s="659"/>
      <c r="S154" s="659"/>
      <c r="T154" s="659"/>
      <c r="U154" s="659"/>
      <c r="V154" s="660"/>
      <c r="W154" s="42" t="s">
        <v>39</v>
      </c>
      <c r="X154" s="43">
        <f>IFERROR(X148/H148,"0")+IFERROR(X149/H149,"0")+IFERROR(X150/H150,"0")+IFERROR(X151/H151,"0")+IFERROR(X152/H152,"0")+IFERROR(X153/H153,"0")</f>
        <v>0</v>
      </c>
      <c r="Y154" s="43">
        <f>IFERROR(Y148/H148,"0")+IFERROR(Y149/H149,"0")+IFERROR(Y150/H150,"0")+IFERROR(Y151/H151,"0")+IFERROR(Y152/H152,"0")+IFERROR(Y153/H153,"0")</f>
        <v>0</v>
      </c>
      <c r="Z154" s="43">
        <f>IFERROR(IF(Z148="",0,Z148),"0")+IFERROR(IF(Z149="",0,Z149),"0")+IFERROR(IF(Z150="",0,Z150),"0")+IFERROR(IF(Z151="",0,Z151),"0")+IFERROR(IF(Z152="",0,Z152),"0")+IFERROR(IF(Z153="",0,Z153),"0")</f>
        <v>0</v>
      </c>
      <c r="AA154" s="67"/>
      <c r="AB154" s="67"/>
      <c r="AC154" s="67"/>
    </row>
    <row r="155" spans="1:68" hidden="1" x14ac:dyDescent="0.2">
      <c r="A155" s="661"/>
      <c r="B155" s="661"/>
      <c r="C155" s="661"/>
      <c r="D155" s="661"/>
      <c r="E155" s="661"/>
      <c r="F155" s="661"/>
      <c r="G155" s="661"/>
      <c r="H155" s="661"/>
      <c r="I155" s="661"/>
      <c r="J155" s="661"/>
      <c r="K155" s="661"/>
      <c r="L155" s="661"/>
      <c r="M155" s="661"/>
      <c r="N155" s="661"/>
      <c r="O155" s="662"/>
      <c r="P155" s="658" t="s">
        <v>40</v>
      </c>
      <c r="Q155" s="659"/>
      <c r="R155" s="659"/>
      <c r="S155" s="659"/>
      <c r="T155" s="659"/>
      <c r="U155" s="659"/>
      <c r="V155" s="660"/>
      <c r="W155" s="42" t="s">
        <v>0</v>
      </c>
      <c r="X155" s="43">
        <f>IFERROR(SUM(X148:X153),"0")</f>
        <v>0</v>
      </c>
      <c r="Y155" s="43">
        <f>IFERROR(SUM(Y148:Y153),"0")</f>
        <v>0</v>
      </c>
      <c r="Z155" s="42"/>
      <c r="AA155" s="67"/>
      <c r="AB155" s="67"/>
      <c r="AC155" s="67"/>
    </row>
    <row r="156" spans="1:68" ht="14.25" hidden="1" customHeight="1" x14ac:dyDescent="0.25">
      <c r="A156" s="653" t="s">
        <v>278</v>
      </c>
      <c r="B156" s="653"/>
      <c r="C156" s="653"/>
      <c r="D156" s="653"/>
      <c r="E156" s="653"/>
      <c r="F156" s="653"/>
      <c r="G156" s="653"/>
      <c r="H156" s="653"/>
      <c r="I156" s="653"/>
      <c r="J156" s="653"/>
      <c r="K156" s="653"/>
      <c r="L156" s="653"/>
      <c r="M156" s="653"/>
      <c r="N156" s="653"/>
      <c r="O156" s="653"/>
      <c r="P156" s="653"/>
      <c r="Q156" s="653"/>
      <c r="R156" s="653"/>
      <c r="S156" s="653"/>
      <c r="T156" s="653"/>
      <c r="U156" s="653"/>
      <c r="V156" s="653"/>
      <c r="W156" s="653"/>
      <c r="X156" s="653"/>
      <c r="Y156" s="653"/>
      <c r="Z156" s="653"/>
      <c r="AA156" s="66"/>
      <c r="AB156" s="66"/>
      <c r="AC156" s="80"/>
    </row>
    <row r="157" spans="1:68" ht="27" hidden="1" customHeight="1" x14ac:dyDescent="0.25">
      <c r="A157" s="63" t="s">
        <v>279</v>
      </c>
      <c r="B157" s="63" t="s">
        <v>280</v>
      </c>
      <c r="C157" s="36">
        <v>4301032067</v>
      </c>
      <c r="D157" s="654">
        <v>4680115889132</v>
      </c>
      <c r="E157" s="654"/>
      <c r="F157" s="62">
        <v>0.04</v>
      </c>
      <c r="G157" s="37">
        <v>8</v>
      </c>
      <c r="H157" s="62">
        <v>0.32</v>
      </c>
      <c r="I157" s="62">
        <v>0.5</v>
      </c>
      <c r="J157" s="37">
        <v>330</v>
      </c>
      <c r="K157" s="37" t="s">
        <v>284</v>
      </c>
      <c r="L157" s="37" t="s">
        <v>46</v>
      </c>
      <c r="M157" s="38" t="s">
        <v>283</v>
      </c>
      <c r="N157" s="38"/>
      <c r="O157" s="37">
        <v>120</v>
      </c>
      <c r="P157" s="876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7" s="656"/>
      <c r="R157" s="656"/>
      <c r="S157" s="656"/>
      <c r="T157" s="657"/>
      <c r="U157" s="39" t="s">
        <v>46</v>
      </c>
      <c r="V157" s="39" t="s">
        <v>46</v>
      </c>
      <c r="W157" s="40" t="s">
        <v>0</v>
      </c>
      <c r="X157" s="58">
        <v>0</v>
      </c>
      <c r="Y157" s="55">
        <f>IFERROR(IF(X157="",0,CEILING((X157/$H157),1)*$H157),"")</f>
        <v>0</v>
      </c>
      <c r="Z157" s="41" t="str">
        <f>IFERROR(IF(Y157=0,"",ROUNDUP(Y157/H157,0)*0.00337),"")</f>
        <v/>
      </c>
      <c r="AA157" s="68" t="s">
        <v>46</v>
      </c>
      <c r="AB157" s="69" t="s">
        <v>46</v>
      </c>
      <c r="AC157" s="230" t="s">
        <v>281</v>
      </c>
      <c r="AG157" s="78"/>
      <c r="AJ157" s="84" t="s">
        <v>46</v>
      </c>
      <c r="AK157" s="84">
        <v>0</v>
      </c>
      <c r="BB157" s="231" t="s">
        <v>282</v>
      </c>
      <c r="BM157" s="78">
        <f>IFERROR(X157*I157/H157,"0")</f>
        <v>0</v>
      </c>
      <c r="BN157" s="78">
        <f>IFERROR(Y157*I157/H157,"0")</f>
        <v>0</v>
      </c>
      <c r="BO157" s="78">
        <f>IFERROR(1/J157*(X157/H157),"0")</f>
        <v>0</v>
      </c>
      <c r="BP157" s="78">
        <f>IFERROR(1/J157*(Y157/H157),"0")</f>
        <v>0</v>
      </c>
    </row>
    <row r="158" spans="1:68" hidden="1" x14ac:dyDescent="0.2">
      <c r="A158" s="661"/>
      <c r="B158" s="661"/>
      <c r="C158" s="661"/>
      <c r="D158" s="661"/>
      <c r="E158" s="661"/>
      <c r="F158" s="661"/>
      <c r="G158" s="661"/>
      <c r="H158" s="661"/>
      <c r="I158" s="661"/>
      <c r="J158" s="661"/>
      <c r="K158" s="661"/>
      <c r="L158" s="661"/>
      <c r="M158" s="661"/>
      <c r="N158" s="661"/>
      <c r="O158" s="662"/>
      <c r="P158" s="658" t="s">
        <v>40</v>
      </c>
      <c r="Q158" s="659"/>
      <c r="R158" s="659"/>
      <c r="S158" s="659"/>
      <c r="T158" s="659"/>
      <c r="U158" s="659"/>
      <c r="V158" s="660"/>
      <c r="W158" s="42" t="s">
        <v>39</v>
      </c>
      <c r="X158" s="43">
        <f>IFERROR(X157/H157,"0")</f>
        <v>0</v>
      </c>
      <c r="Y158" s="43">
        <f>IFERROR(Y157/H157,"0")</f>
        <v>0</v>
      </c>
      <c r="Z158" s="43">
        <f>IFERROR(IF(Z157="",0,Z157),"0")</f>
        <v>0</v>
      </c>
      <c r="AA158" s="67"/>
      <c r="AB158" s="67"/>
      <c r="AC158" s="67"/>
    </row>
    <row r="159" spans="1:68" hidden="1" x14ac:dyDescent="0.2">
      <c r="A159" s="661"/>
      <c r="B159" s="661"/>
      <c r="C159" s="661"/>
      <c r="D159" s="661"/>
      <c r="E159" s="661"/>
      <c r="F159" s="661"/>
      <c r="G159" s="661"/>
      <c r="H159" s="661"/>
      <c r="I159" s="661"/>
      <c r="J159" s="661"/>
      <c r="K159" s="661"/>
      <c r="L159" s="661"/>
      <c r="M159" s="661"/>
      <c r="N159" s="661"/>
      <c r="O159" s="662"/>
      <c r="P159" s="658" t="s">
        <v>40</v>
      </c>
      <c r="Q159" s="659"/>
      <c r="R159" s="659"/>
      <c r="S159" s="659"/>
      <c r="T159" s="659"/>
      <c r="U159" s="659"/>
      <c r="V159" s="660"/>
      <c r="W159" s="42" t="s">
        <v>0</v>
      </c>
      <c r="X159" s="43">
        <f>IFERROR(SUM(X157:X157),"0")</f>
        <v>0</v>
      </c>
      <c r="Y159" s="43">
        <f>IFERROR(SUM(Y157:Y157),"0")</f>
        <v>0</v>
      </c>
      <c r="Z159" s="42"/>
      <c r="AA159" s="67"/>
      <c r="AB159" s="67"/>
      <c r="AC159" s="67"/>
    </row>
    <row r="160" spans="1:68" ht="16.5" hidden="1" customHeight="1" x14ac:dyDescent="0.25">
      <c r="A160" s="652" t="s">
        <v>120</v>
      </c>
      <c r="B160" s="652"/>
      <c r="C160" s="652"/>
      <c r="D160" s="652"/>
      <c r="E160" s="652"/>
      <c r="F160" s="652"/>
      <c r="G160" s="652"/>
      <c r="H160" s="652"/>
      <c r="I160" s="652"/>
      <c r="J160" s="652"/>
      <c r="K160" s="652"/>
      <c r="L160" s="652"/>
      <c r="M160" s="652"/>
      <c r="N160" s="652"/>
      <c r="O160" s="652"/>
      <c r="P160" s="652"/>
      <c r="Q160" s="652"/>
      <c r="R160" s="652"/>
      <c r="S160" s="652"/>
      <c r="T160" s="652"/>
      <c r="U160" s="652"/>
      <c r="V160" s="652"/>
      <c r="W160" s="652"/>
      <c r="X160" s="652"/>
      <c r="Y160" s="652"/>
      <c r="Z160" s="652"/>
      <c r="AA160" s="65"/>
      <c r="AB160" s="65"/>
      <c r="AC160" s="79"/>
    </row>
    <row r="161" spans="1:68" ht="14.25" hidden="1" customHeight="1" x14ac:dyDescent="0.25">
      <c r="A161" s="653" t="s">
        <v>122</v>
      </c>
      <c r="B161" s="653"/>
      <c r="C161" s="653"/>
      <c r="D161" s="653"/>
      <c r="E161" s="653"/>
      <c r="F161" s="653"/>
      <c r="G161" s="653"/>
      <c r="H161" s="653"/>
      <c r="I161" s="653"/>
      <c r="J161" s="653"/>
      <c r="K161" s="653"/>
      <c r="L161" s="653"/>
      <c r="M161" s="653"/>
      <c r="N161" s="653"/>
      <c r="O161" s="653"/>
      <c r="P161" s="653"/>
      <c r="Q161" s="653"/>
      <c r="R161" s="653"/>
      <c r="S161" s="653"/>
      <c r="T161" s="653"/>
      <c r="U161" s="653"/>
      <c r="V161" s="653"/>
      <c r="W161" s="653"/>
      <c r="X161" s="653"/>
      <c r="Y161" s="653"/>
      <c r="Z161" s="653"/>
      <c r="AA161" s="66"/>
      <c r="AB161" s="66"/>
      <c r="AC161" s="80"/>
    </row>
    <row r="162" spans="1:68" ht="27" hidden="1" customHeight="1" x14ac:dyDescent="0.25">
      <c r="A162" s="63" t="s">
        <v>285</v>
      </c>
      <c r="B162" s="63" t="s">
        <v>286</v>
      </c>
      <c r="C162" s="36">
        <v>4301012338</v>
      </c>
      <c r="D162" s="654">
        <v>4680115887374</v>
      </c>
      <c r="E162" s="654"/>
      <c r="F162" s="62">
        <v>1</v>
      </c>
      <c r="G162" s="37">
        <v>6</v>
      </c>
      <c r="H162" s="62">
        <v>6</v>
      </c>
      <c r="I162" s="62">
        <v>6.35</v>
      </c>
      <c r="J162" s="37">
        <v>104</v>
      </c>
      <c r="K162" s="37" t="s">
        <v>127</v>
      </c>
      <c r="L162" s="37" t="s">
        <v>46</v>
      </c>
      <c r="M162" s="38" t="s">
        <v>126</v>
      </c>
      <c r="N162" s="38"/>
      <c r="O162" s="37">
        <v>55</v>
      </c>
      <c r="P162" s="872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2" s="656"/>
      <c r="R162" s="656"/>
      <c r="S162" s="656"/>
      <c r="T162" s="657"/>
      <c r="U162" s="39" t="s">
        <v>46</v>
      </c>
      <c r="V162" s="39" t="s">
        <v>46</v>
      </c>
      <c r="W162" s="40" t="s">
        <v>0</v>
      </c>
      <c r="X162" s="58">
        <v>0</v>
      </c>
      <c r="Y162" s="55">
        <f>IFERROR(IF(X162="",0,CEILING((X162/$H162),1)*$H162),"")</f>
        <v>0</v>
      </c>
      <c r="Z162" s="41" t="str">
        <f>IFERROR(IF(Y162=0,"",ROUNDUP(Y162/H162,0)*0.01196),"")</f>
        <v/>
      </c>
      <c r="AA162" s="68" t="s">
        <v>46</v>
      </c>
      <c r="AB162" s="69" t="s">
        <v>46</v>
      </c>
      <c r="AC162" s="232" t="s">
        <v>287</v>
      </c>
      <c r="AG162" s="78"/>
      <c r="AJ162" s="84" t="s">
        <v>46</v>
      </c>
      <c r="AK162" s="84">
        <v>0</v>
      </c>
      <c r="BB162" s="233" t="s">
        <v>67</v>
      </c>
      <c r="BM162" s="78">
        <f>IFERROR(X162*I162/H162,"0")</f>
        <v>0</v>
      </c>
      <c r="BN162" s="78">
        <f>IFERROR(Y162*I162/H162,"0")</f>
        <v>0</v>
      </c>
      <c r="BO162" s="78">
        <f>IFERROR(1/J162*(X162/H162),"0")</f>
        <v>0</v>
      </c>
      <c r="BP162" s="78">
        <f>IFERROR(1/J162*(Y162/H162),"0")</f>
        <v>0</v>
      </c>
    </row>
    <row r="163" spans="1:68" ht="27" hidden="1" customHeight="1" x14ac:dyDescent="0.25">
      <c r="A163" s="63" t="s">
        <v>288</v>
      </c>
      <c r="B163" s="63" t="s">
        <v>289</v>
      </c>
      <c r="C163" s="36">
        <v>4301011705</v>
      </c>
      <c r="D163" s="654">
        <v>4607091384604</v>
      </c>
      <c r="E163" s="654"/>
      <c r="F163" s="62">
        <v>0.4</v>
      </c>
      <c r="G163" s="37">
        <v>10</v>
      </c>
      <c r="H163" s="62">
        <v>4</v>
      </c>
      <c r="I163" s="62">
        <v>4.1900000000000004</v>
      </c>
      <c r="J163" s="37">
        <v>132</v>
      </c>
      <c r="K163" s="37" t="s">
        <v>134</v>
      </c>
      <c r="L163" s="37" t="s">
        <v>46</v>
      </c>
      <c r="M163" s="38" t="s">
        <v>126</v>
      </c>
      <c r="N163" s="38"/>
      <c r="O163" s="37">
        <v>50</v>
      </c>
      <c r="P163" s="873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3" s="656"/>
      <c r="R163" s="656"/>
      <c r="S163" s="656"/>
      <c r="T163" s="657"/>
      <c r="U163" s="39" t="s">
        <v>46</v>
      </c>
      <c r="V163" s="39" t="s">
        <v>46</v>
      </c>
      <c r="W163" s="40" t="s">
        <v>0</v>
      </c>
      <c r="X163" s="58">
        <v>0</v>
      </c>
      <c r="Y163" s="55">
        <f>IFERROR(IF(X163="",0,CEILING((X163/$H163),1)*$H163),"")</f>
        <v>0</v>
      </c>
      <c r="Z163" s="41" t="str">
        <f>IFERROR(IF(Y163=0,"",ROUNDUP(Y163/H163,0)*0.00902),"")</f>
        <v/>
      </c>
      <c r="AA163" s="68" t="s">
        <v>46</v>
      </c>
      <c r="AB163" s="69" t="s">
        <v>46</v>
      </c>
      <c r="AC163" s="234" t="s">
        <v>290</v>
      </c>
      <c r="AG163" s="78"/>
      <c r="AJ163" s="84" t="s">
        <v>46</v>
      </c>
      <c r="AK163" s="84">
        <v>0</v>
      </c>
      <c r="BB163" s="235" t="s">
        <v>67</v>
      </c>
      <c r="BM163" s="78">
        <f>IFERROR(X163*I163/H163,"0")</f>
        <v>0</v>
      </c>
      <c r="BN163" s="78">
        <f>IFERROR(Y163*I163/H163,"0")</f>
        <v>0</v>
      </c>
      <c r="BO163" s="78">
        <f>IFERROR(1/J163*(X163/H163),"0")</f>
        <v>0</v>
      </c>
      <c r="BP163" s="78">
        <f>IFERROR(1/J163*(Y163/H163),"0")</f>
        <v>0</v>
      </c>
    </row>
    <row r="164" spans="1:68" ht="16.5" hidden="1" customHeight="1" x14ac:dyDescent="0.25">
      <c r="A164" s="63" t="s">
        <v>291</v>
      </c>
      <c r="B164" s="63" t="s">
        <v>292</v>
      </c>
      <c r="C164" s="36">
        <v>4301012344</v>
      </c>
      <c r="D164" s="654">
        <v>4680115888876</v>
      </c>
      <c r="E164" s="654"/>
      <c r="F164" s="62">
        <v>0.43</v>
      </c>
      <c r="G164" s="37">
        <v>6</v>
      </c>
      <c r="H164" s="62">
        <v>2.58</v>
      </c>
      <c r="I164" s="62">
        <v>2.76</v>
      </c>
      <c r="J164" s="37">
        <v>182</v>
      </c>
      <c r="K164" s="37" t="s">
        <v>91</v>
      </c>
      <c r="L164" s="37" t="s">
        <v>46</v>
      </c>
      <c r="M164" s="38" t="s">
        <v>90</v>
      </c>
      <c r="N164" s="38"/>
      <c r="O164" s="37">
        <v>55</v>
      </c>
      <c r="P164" s="874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4" s="656"/>
      <c r="R164" s="656"/>
      <c r="S164" s="656"/>
      <c r="T164" s="657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IFERROR(IF(Y164=0,"",ROUNDUP(Y164/H164,0)*0.00651),"")</f>
        <v/>
      </c>
      <c r="AA164" s="68" t="s">
        <v>46</v>
      </c>
      <c r="AB164" s="69" t="s">
        <v>46</v>
      </c>
      <c r="AC164" s="236" t="s">
        <v>293</v>
      </c>
      <c r="AG164" s="78"/>
      <c r="AJ164" s="84" t="s">
        <v>46</v>
      </c>
      <c r="AK164" s="84">
        <v>0</v>
      </c>
      <c r="BB164" s="237" t="s">
        <v>67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idden="1" x14ac:dyDescent="0.2">
      <c r="A165" s="661"/>
      <c r="B165" s="661"/>
      <c r="C165" s="661"/>
      <c r="D165" s="661"/>
      <c r="E165" s="661"/>
      <c r="F165" s="661"/>
      <c r="G165" s="661"/>
      <c r="H165" s="661"/>
      <c r="I165" s="661"/>
      <c r="J165" s="661"/>
      <c r="K165" s="661"/>
      <c r="L165" s="661"/>
      <c r="M165" s="661"/>
      <c r="N165" s="661"/>
      <c r="O165" s="662"/>
      <c r="P165" s="658" t="s">
        <v>40</v>
      </c>
      <c r="Q165" s="659"/>
      <c r="R165" s="659"/>
      <c r="S165" s="659"/>
      <c r="T165" s="659"/>
      <c r="U165" s="659"/>
      <c r="V165" s="660"/>
      <c r="W165" s="42" t="s">
        <v>39</v>
      </c>
      <c r="X165" s="43">
        <f>IFERROR(X162/H162,"0")+IFERROR(X163/H163,"0")+IFERROR(X164/H164,"0")</f>
        <v>0</v>
      </c>
      <c r="Y165" s="43">
        <f>IFERROR(Y162/H162,"0")+IFERROR(Y163/H163,"0")+IFERROR(Y164/H164,"0")</f>
        <v>0</v>
      </c>
      <c r="Z165" s="43">
        <f>IFERROR(IF(Z162="",0,Z162),"0")+IFERROR(IF(Z163="",0,Z163),"0")+IFERROR(IF(Z164="",0,Z164),"0")</f>
        <v>0</v>
      </c>
      <c r="AA165" s="67"/>
      <c r="AB165" s="67"/>
      <c r="AC165" s="67"/>
    </row>
    <row r="166" spans="1:68" hidden="1" x14ac:dyDescent="0.2">
      <c r="A166" s="661"/>
      <c r="B166" s="661"/>
      <c r="C166" s="661"/>
      <c r="D166" s="661"/>
      <c r="E166" s="661"/>
      <c r="F166" s="661"/>
      <c r="G166" s="661"/>
      <c r="H166" s="661"/>
      <c r="I166" s="661"/>
      <c r="J166" s="661"/>
      <c r="K166" s="661"/>
      <c r="L166" s="661"/>
      <c r="M166" s="661"/>
      <c r="N166" s="661"/>
      <c r="O166" s="662"/>
      <c r="P166" s="658" t="s">
        <v>40</v>
      </c>
      <c r="Q166" s="659"/>
      <c r="R166" s="659"/>
      <c r="S166" s="659"/>
      <c r="T166" s="659"/>
      <c r="U166" s="659"/>
      <c r="V166" s="660"/>
      <c r="W166" s="42" t="s">
        <v>0</v>
      </c>
      <c r="X166" s="43">
        <f>IFERROR(SUM(X162:X164),"0")</f>
        <v>0</v>
      </c>
      <c r="Y166" s="43">
        <f>IFERROR(SUM(Y162:Y164),"0")</f>
        <v>0</v>
      </c>
      <c r="Z166" s="42"/>
      <c r="AA166" s="67"/>
      <c r="AB166" s="67"/>
      <c r="AC166" s="67"/>
    </row>
    <row r="167" spans="1:68" ht="14.25" hidden="1" customHeight="1" x14ac:dyDescent="0.25">
      <c r="A167" s="653" t="s">
        <v>157</v>
      </c>
      <c r="B167" s="653"/>
      <c r="C167" s="653"/>
      <c r="D167" s="653"/>
      <c r="E167" s="653"/>
      <c r="F167" s="653"/>
      <c r="G167" s="653"/>
      <c r="H167" s="653"/>
      <c r="I167" s="653"/>
      <c r="J167" s="653"/>
      <c r="K167" s="653"/>
      <c r="L167" s="653"/>
      <c r="M167" s="653"/>
      <c r="N167" s="653"/>
      <c r="O167" s="653"/>
      <c r="P167" s="653"/>
      <c r="Q167" s="653"/>
      <c r="R167" s="653"/>
      <c r="S167" s="653"/>
      <c r="T167" s="653"/>
      <c r="U167" s="653"/>
      <c r="V167" s="653"/>
      <c r="W167" s="653"/>
      <c r="X167" s="653"/>
      <c r="Y167" s="653"/>
      <c r="Z167" s="653"/>
      <c r="AA167" s="66"/>
      <c r="AB167" s="66"/>
      <c r="AC167" s="80"/>
    </row>
    <row r="168" spans="1:68" ht="16.5" hidden="1" customHeight="1" x14ac:dyDescent="0.25">
      <c r="A168" s="63" t="s">
        <v>294</v>
      </c>
      <c r="B168" s="63" t="s">
        <v>295</v>
      </c>
      <c r="C168" s="36">
        <v>4301020410</v>
      </c>
      <c r="D168" s="654">
        <v>4680115887695</v>
      </c>
      <c r="E168" s="654"/>
      <c r="F168" s="62">
        <v>0.12</v>
      </c>
      <c r="G168" s="37">
        <v>6</v>
      </c>
      <c r="H168" s="62">
        <v>0.72</v>
      </c>
      <c r="I168" s="62">
        <v>0.85</v>
      </c>
      <c r="J168" s="37">
        <v>252</v>
      </c>
      <c r="K168" s="37" t="s">
        <v>82</v>
      </c>
      <c r="L168" s="37" t="s">
        <v>46</v>
      </c>
      <c r="M168" s="38" t="s">
        <v>81</v>
      </c>
      <c r="N168" s="38"/>
      <c r="O168" s="37">
        <v>30</v>
      </c>
      <c r="P168" s="870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8" s="656"/>
      <c r="R168" s="656"/>
      <c r="S168" s="656"/>
      <c r="T168" s="657"/>
      <c r="U168" s="39" t="s">
        <v>46</v>
      </c>
      <c r="V168" s="39" t="s">
        <v>46</v>
      </c>
      <c r="W168" s="40" t="s">
        <v>0</v>
      </c>
      <c r="X168" s="58">
        <v>0</v>
      </c>
      <c r="Y168" s="55">
        <f>IFERROR(IF(X168="",0,CEILING((X168/$H168),1)*$H168),"")</f>
        <v>0</v>
      </c>
      <c r="Z168" s="41" t="str">
        <f>IFERROR(IF(Y168=0,"",ROUNDUP(Y168/H168,0)*0.00556),"")</f>
        <v/>
      </c>
      <c r="AA168" s="68" t="s">
        <v>46</v>
      </c>
      <c r="AB168" s="69" t="s">
        <v>46</v>
      </c>
      <c r="AC168" s="238" t="s">
        <v>296</v>
      </c>
      <c r="AG168" s="78"/>
      <c r="AJ168" s="84" t="s">
        <v>46</v>
      </c>
      <c r="AK168" s="84">
        <v>0</v>
      </c>
      <c r="BB168" s="239" t="s">
        <v>67</v>
      </c>
      <c r="BM168" s="78">
        <f>IFERROR(X168*I168/H168,"0")</f>
        <v>0</v>
      </c>
      <c r="BN168" s="78">
        <f>IFERROR(Y168*I168/H168,"0")</f>
        <v>0</v>
      </c>
      <c r="BO168" s="78">
        <f>IFERROR(1/J168*(X168/H168),"0")</f>
        <v>0</v>
      </c>
      <c r="BP168" s="78">
        <f>IFERROR(1/J168*(Y168/H168),"0")</f>
        <v>0</v>
      </c>
    </row>
    <row r="169" spans="1:68" ht="16.5" hidden="1" customHeight="1" x14ac:dyDescent="0.25">
      <c r="A169" s="63" t="s">
        <v>297</v>
      </c>
      <c r="B169" s="63" t="s">
        <v>298</v>
      </c>
      <c r="C169" s="36">
        <v>4301020439</v>
      </c>
      <c r="D169" s="654">
        <v>4680115889491</v>
      </c>
      <c r="E169" s="654"/>
      <c r="F169" s="62">
        <v>0.3</v>
      </c>
      <c r="G169" s="37">
        <v>8</v>
      </c>
      <c r="H169" s="62">
        <v>2.4</v>
      </c>
      <c r="I169" s="62">
        <v>2.5</v>
      </c>
      <c r="J169" s="37">
        <v>234</v>
      </c>
      <c r="K169" s="37" t="s">
        <v>82</v>
      </c>
      <c r="L169" s="37" t="s">
        <v>46</v>
      </c>
      <c r="M169" s="38" t="s">
        <v>126</v>
      </c>
      <c r="N169" s="38"/>
      <c r="O169" s="37">
        <v>55</v>
      </c>
      <c r="P169" s="871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69" s="656"/>
      <c r="R169" s="656"/>
      <c r="S169" s="656"/>
      <c r="T169" s="657"/>
      <c r="U169" s="39" t="s">
        <v>46</v>
      </c>
      <c r="V169" s="39" t="s">
        <v>46</v>
      </c>
      <c r="W169" s="40" t="s">
        <v>0</v>
      </c>
      <c r="X169" s="58">
        <v>0</v>
      </c>
      <c r="Y169" s="55">
        <f>IFERROR(IF(X169="",0,CEILING((X169/$H169),1)*$H169),"")</f>
        <v>0</v>
      </c>
      <c r="Z169" s="41" t="str">
        <f>IFERROR(IF(Y169=0,"",ROUNDUP(Y169/H169,0)*0.00502),"")</f>
        <v/>
      </c>
      <c r="AA169" s="68" t="s">
        <v>46</v>
      </c>
      <c r="AB169" s="69" t="s">
        <v>46</v>
      </c>
      <c r="AC169" s="240" t="s">
        <v>299</v>
      </c>
      <c r="AG169" s="78"/>
      <c r="AJ169" s="84" t="s">
        <v>46</v>
      </c>
      <c r="AK169" s="84">
        <v>0</v>
      </c>
      <c r="BB169" s="241" t="s">
        <v>67</v>
      </c>
      <c r="BM169" s="78">
        <f>IFERROR(X169*I169/H169,"0")</f>
        <v>0</v>
      </c>
      <c r="BN169" s="78">
        <f>IFERROR(Y169*I169/H169,"0")</f>
        <v>0</v>
      </c>
      <c r="BO169" s="78">
        <f>IFERROR(1/J169*(X169/H169),"0")</f>
        <v>0</v>
      </c>
      <c r="BP169" s="78">
        <f>IFERROR(1/J169*(Y169/H169),"0")</f>
        <v>0</v>
      </c>
    </row>
    <row r="170" spans="1:68" hidden="1" x14ac:dyDescent="0.2">
      <c r="A170" s="661"/>
      <c r="B170" s="661"/>
      <c r="C170" s="661"/>
      <c r="D170" s="661"/>
      <c r="E170" s="661"/>
      <c r="F170" s="661"/>
      <c r="G170" s="661"/>
      <c r="H170" s="661"/>
      <c r="I170" s="661"/>
      <c r="J170" s="661"/>
      <c r="K170" s="661"/>
      <c r="L170" s="661"/>
      <c r="M170" s="661"/>
      <c r="N170" s="661"/>
      <c r="O170" s="662"/>
      <c r="P170" s="658" t="s">
        <v>40</v>
      </c>
      <c r="Q170" s="659"/>
      <c r="R170" s="659"/>
      <c r="S170" s="659"/>
      <c r="T170" s="659"/>
      <c r="U170" s="659"/>
      <c r="V170" s="660"/>
      <c r="W170" s="42" t="s">
        <v>39</v>
      </c>
      <c r="X170" s="43">
        <f>IFERROR(X168/H168,"0")+IFERROR(X169/H169,"0")</f>
        <v>0</v>
      </c>
      <c r="Y170" s="43">
        <f>IFERROR(Y168/H168,"0")+IFERROR(Y169/H169,"0")</f>
        <v>0</v>
      </c>
      <c r="Z170" s="43">
        <f>IFERROR(IF(Z168="",0,Z168),"0")+IFERROR(IF(Z169="",0,Z169),"0")</f>
        <v>0</v>
      </c>
      <c r="AA170" s="67"/>
      <c r="AB170" s="67"/>
      <c r="AC170" s="67"/>
    </row>
    <row r="171" spans="1:68" hidden="1" x14ac:dyDescent="0.2">
      <c r="A171" s="661"/>
      <c r="B171" s="661"/>
      <c r="C171" s="661"/>
      <c r="D171" s="661"/>
      <c r="E171" s="661"/>
      <c r="F171" s="661"/>
      <c r="G171" s="661"/>
      <c r="H171" s="661"/>
      <c r="I171" s="661"/>
      <c r="J171" s="661"/>
      <c r="K171" s="661"/>
      <c r="L171" s="661"/>
      <c r="M171" s="661"/>
      <c r="N171" s="661"/>
      <c r="O171" s="662"/>
      <c r="P171" s="658" t="s">
        <v>40</v>
      </c>
      <c r="Q171" s="659"/>
      <c r="R171" s="659"/>
      <c r="S171" s="659"/>
      <c r="T171" s="659"/>
      <c r="U171" s="659"/>
      <c r="V171" s="660"/>
      <c r="W171" s="42" t="s">
        <v>0</v>
      </c>
      <c r="X171" s="43">
        <f>IFERROR(SUM(X168:X169),"0")</f>
        <v>0</v>
      </c>
      <c r="Y171" s="43">
        <f>IFERROR(SUM(Y168:Y169),"0")</f>
        <v>0</v>
      </c>
      <c r="Z171" s="42"/>
      <c r="AA171" s="67"/>
      <c r="AB171" s="67"/>
      <c r="AC171" s="67"/>
    </row>
    <row r="172" spans="1:68" ht="14.25" hidden="1" customHeight="1" x14ac:dyDescent="0.25">
      <c r="A172" s="653" t="s">
        <v>77</v>
      </c>
      <c r="B172" s="653"/>
      <c r="C172" s="653"/>
      <c r="D172" s="653"/>
      <c r="E172" s="653"/>
      <c r="F172" s="653"/>
      <c r="G172" s="653"/>
      <c r="H172" s="653"/>
      <c r="I172" s="653"/>
      <c r="J172" s="653"/>
      <c r="K172" s="653"/>
      <c r="L172" s="653"/>
      <c r="M172" s="653"/>
      <c r="N172" s="653"/>
      <c r="O172" s="653"/>
      <c r="P172" s="653"/>
      <c r="Q172" s="653"/>
      <c r="R172" s="653"/>
      <c r="S172" s="653"/>
      <c r="T172" s="653"/>
      <c r="U172" s="653"/>
      <c r="V172" s="653"/>
      <c r="W172" s="653"/>
      <c r="X172" s="653"/>
      <c r="Y172" s="653"/>
      <c r="Z172" s="653"/>
      <c r="AA172" s="66"/>
      <c r="AB172" s="66"/>
      <c r="AC172" s="80"/>
    </row>
    <row r="173" spans="1:68" ht="27" hidden="1" customHeight="1" x14ac:dyDescent="0.25">
      <c r="A173" s="63" t="s">
        <v>300</v>
      </c>
      <c r="B173" s="63" t="s">
        <v>301</v>
      </c>
      <c r="C173" s="36">
        <v>4301031496</v>
      </c>
      <c r="D173" s="654">
        <v>4680115887428</v>
      </c>
      <c r="E173" s="654"/>
      <c r="F173" s="62">
        <v>0.7</v>
      </c>
      <c r="G173" s="37">
        <v>5</v>
      </c>
      <c r="H173" s="62">
        <v>3.5</v>
      </c>
      <c r="I173" s="62">
        <v>3.69</v>
      </c>
      <c r="J173" s="37">
        <v>132</v>
      </c>
      <c r="K173" s="37" t="s">
        <v>134</v>
      </c>
      <c r="L173" s="37" t="s">
        <v>46</v>
      </c>
      <c r="M173" s="38" t="s">
        <v>81</v>
      </c>
      <c r="N173" s="38"/>
      <c r="O173" s="37">
        <v>40</v>
      </c>
      <c r="P173" s="865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3" s="656"/>
      <c r="R173" s="656"/>
      <c r="S173" s="656"/>
      <c r="T173" s="657"/>
      <c r="U173" s="39" t="s">
        <v>46</v>
      </c>
      <c r="V173" s="39" t="s">
        <v>46</v>
      </c>
      <c r="W173" s="40" t="s">
        <v>0</v>
      </c>
      <c r="X173" s="58">
        <v>0</v>
      </c>
      <c r="Y173" s="55">
        <f t="shared" ref="Y173:Y184" si="16">IFERROR(IF(X173="",0,CEILING((X173/$H173),1)*$H173),"")</f>
        <v>0</v>
      </c>
      <c r="Z173" s="41" t="str">
        <f>IFERROR(IF(Y173=0,"",ROUNDUP(Y173/H173,0)*0.00902),"")</f>
        <v/>
      </c>
      <c r="AA173" s="68" t="s">
        <v>46</v>
      </c>
      <c r="AB173" s="69" t="s">
        <v>46</v>
      </c>
      <c r="AC173" s="242" t="s">
        <v>302</v>
      </c>
      <c r="AG173" s="78"/>
      <c r="AJ173" s="84" t="s">
        <v>46</v>
      </c>
      <c r="AK173" s="84">
        <v>0</v>
      </c>
      <c r="BB173" s="243" t="s">
        <v>67</v>
      </c>
      <c r="BM173" s="78">
        <f t="shared" ref="BM173:BM184" si="17">IFERROR(X173*I173/H173,"0")</f>
        <v>0</v>
      </c>
      <c r="BN173" s="78">
        <f t="shared" ref="BN173:BN184" si="18">IFERROR(Y173*I173/H173,"0")</f>
        <v>0</v>
      </c>
      <c r="BO173" s="78">
        <f t="shared" ref="BO173:BO184" si="19">IFERROR(1/J173*(X173/H173),"0")</f>
        <v>0</v>
      </c>
      <c r="BP173" s="78">
        <f t="shared" ref="BP173:BP184" si="20">IFERROR(1/J173*(Y173/H173),"0")</f>
        <v>0</v>
      </c>
    </row>
    <row r="174" spans="1:68" ht="27" hidden="1" customHeight="1" x14ac:dyDescent="0.25">
      <c r="A174" s="63" t="s">
        <v>303</v>
      </c>
      <c r="B174" s="63" t="s">
        <v>304</v>
      </c>
      <c r="C174" s="36">
        <v>4301031509</v>
      </c>
      <c r="D174" s="654">
        <v>4680115889170</v>
      </c>
      <c r="E174" s="654"/>
      <c r="F174" s="62">
        <v>0.7</v>
      </c>
      <c r="G174" s="37">
        <v>5</v>
      </c>
      <c r="H174" s="62">
        <v>3.5</v>
      </c>
      <c r="I174" s="62">
        <v>3.7650000000000001</v>
      </c>
      <c r="J174" s="37">
        <v>132</v>
      </c>
      <c r="K174" s="37" t="s">
        <v>134</v>
      </c>
      <c r="L174" s="37" t="s">
        <v>46</v>
      </c>
      <c r="M174" s="38" t="s">
        <v>81</v>
      </c>
      <c r="N174" s="38"/>
      <c r="O174" s="37">
        <v>45</v>
      </c>
      <c r="P174" s="866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4" s="656"/>
      <c r="R174" s="656"/>
      <c r="S174" s="656"/>
      <c r="T174" s="657"/>
      <c r="U174" s="39" t="s">
        <v>46</v>
      </c>
      <c r="V174" s="39" t="s">
        <v>46</v>
      </c>
      <c r="W174" s="40" t="s">
        <v>0</v>
      </c>
      <c r="X174" s="58">
        <v>0</v>
      </c>
      <c r="Y174" s="55">
        <f t="shared" si="16"/>
        <v>0</v>
      </c>
      <c r="Z174" s="41" t="str">
        <f>IFERROR(IF(Y174=0,"",ROUNDUP(Y174/H174,0)*0.00902),"")</f>
        <v/>
      </c>
      <c r="AA174" s="68" t="s">
        <v>46</v>
      </c>
      <c r="AB174" s="69" t="s">
        <v>46</v>
      </c>
      <c r="AC174" s="244" t="s">
        <v>305</v>
      </c>
      <c r="AG174" s="78"/>
      <c r="AJ174" s="84" t="s">
        <v>46</v>
      </c>
      <c r="AK174" s="84">
        <v>0</v>
      </c>
      <c r="BB174" s="245" t="s">
        <v>67</v>
      </c>
      <c r="BM174" s="78">
        <f t="shared" si="17"/>
        <v>0</v>
      </c>
      <c r="BN174" s="78">
        <f t="shared" si="18"/>
        <v>0</v>
      </c>
      <c r="BO174" s="78">
        <f t="shared" si="19"/>
        <v>0</v>
      </c>
      <c r="BP174" s="78">
        <f t="shared" si="20"/>
        <v>0</v>
      </c>
    </row>
    <row r="175" spans="1:68" ht="27" hidden="1" customHeight="1" x14ac:dyDescent="0.25">
      <c r="A175" s="63" t="s">
        <v>306</v>
      </c>
      <c r="B175" s="63" t="s">
        <v>307</v>
      </c>
      <c r="C175" s="36">
        <v>4301031498</v>
      </c>
      <c r="D175" s="654">
        <v>4680115887398</v>
      </c>
      <c r="E175" s="654"/>
      <c r="F175" s="62">
        <v>0.7</v>
      </c>
      <c r="G175" s="37">
        <v>5</v>
      </c>
      <c r="H175" s="62">
        <v>3.5</v>
      </c>
      <c r="I175" s="62">
        <v>3.69</v>
      </c>
      <c r="J175" s="37">
        <v>132</v>
      </c>
      <c r="K175" s="37" t="s">
        <v>134</v>
      </c>
      <c r="L175" s="37" t="s">
        <v>46</v>
      </c>
      <c r="M175" s="38" t="s">
        <v>81</v>
      </c>
      <c r="N175" s="38"/>
      <c r="O175" s="37">
        <v>40</v>
      </c>
      <c r="P175" s="867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5" s="656"/>
      <c r="R175" s="656"/>
      <c r="S175" s="656"/>
      <c r="T175" s="657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si="16"/>
        <v>0</v>
      </c>
      <c r="Z175" s="41" t="str">
        <f>IFERROR(IF(Y175=0,"",ROUNDUP(Y175/H175,0)*0.00902),"")</f>
        <v/>
      </c>
      <c r="AA175" s="68" t="s">
        <v>46</v>
      </c>
      <c r="AB175" s="69" t="s">
        <v>46</v>
      </c>
      <c r="AC175" s="246" t="s">
        <v>308</v>
      </c>
      <c r="AG175" s="78"/>
      <c r="AJ175" s="84" t="s">
        <v>46</v>
      </c>
      <c r="AK175" s="84">
        <v>0</v>
      </c>
      <c r="BB175" s="247" t="s">
        <v>67</v>
      </c>
      <c r="BM175" s="78">
        <f t="shared" si="17"/>
        <v>0</v>
      </c>
      <c r="BN175" s="78">
        <f t="shared" si="18"/>
        <v>0</v>
      </c>
      <c r="BO175" s="78">
        <f t="shared" si="19"/>
        <v>0</v>
      </c>
      <c r="BP175" s="78">
        <f t="shared" si="20"/>
        <v>0</v>
      </c>
    </row>
    <row r="176" spans="1:68" ht="27" hidden="1" customHeight="1" x14ac:dyDescent="0.25">
      <c r="A176" s="63" t="s">
        <v>306</v>
      </c>
      <c r="B176" s="63" t="s">
        <v>309</v>
      </c>
      <c r="C176" s="36">
        <v>4301031522</v>
      </c>
      <c r="D176" s="654">
        <v>4680115887398</v>
      </c>
      <c r="E176" s="654"/>
      <c r="F176" s="62">
        <v>0.7</v>
      </c>
      <c r="G176" s="37">
        <v>5</v>
      </c>
      <c r="H176" s="62">
        <v>3.5</v>
      </c>
      <c r="I176" s="62">
        <v>3.69</v>
      </c>
      <c r="J176" s="37">
        <v>132</v>
      </c>
      <c r="K176" s="37" t="s">
        <v>134</v>
      </c>
      <c r="L176" s="37" t="s">
        <v>46</v>
      </c>
      <c r="M176" s="38" t="s">
        <v>81</v>
      </c>
      <c r="N176" s="38"/>
      <c r="O176" s="37">
        <v>45</v>
      </c>
      <c r="P176" s="868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6" s="656"/>
      <c r="R176" s="656"/>
      <c r="S176" s="656"/>
      <c r="T176" s="657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16"/>
        <v>0</v>
      </c>
      <c r="Z176" s="41" t="str">
        <f>IFERROR(IF(Y176=0,"",ROUNDUP(Y176/H176,0)*0.00902),"")</f>
        <v/>
      </c>
      <c r="AA176" s="68" t="s">
        <v>46</v>
      </c>
      <c r="AB176" s="69" t="s">
        <v>46</v>
      </c>
      <c r="AC176" s="248" t="s">
        <v>310</v>
      </c>
      <c r="AG176" s="78"/>
      <c r="AJ176" s="84" t="s">
        <v>46</v>
      </c>
      <c r="AK176" s="84">
        <v>0</v>
      </c>
      <c r="BB176" s="249" t="s">
        <v>67</v>
      </c>
      <c r="BM176" s="78">
        <f t="shared" si="17"/>
        <v>0</v>
      </c>
      <c r="BN176" s="78">
        <f t="shared" si="18"/>
        <v>0</v>
      </c>
      <c r="BO176" s="78">
        <f t="shared" si="19"/>
        <v>0</v>
      </c>
      <c r="BP176" s="78">
        <f t="shared" si="20"/>
        <v>0</v>
      </c>
    </row>
    <row r="177" spans="1:68" ht="27" hidden="1" customHeight="1" x14ac:dyDescent="0.25">
      <c r="A177" s="63" t="s">
        <v>311</v>
      </c>
      <c r="B177" s="63" t="s">
        <v>312</v>
      </c>
      <c r="C177" s="36">
        <v>4301031520</v>
      </c>
      <c r="D177" s="654">
        <v>4680115887336</v>
      </c>
      <c r="E177" s="654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134</v>
      </c>
      <c r="L177" s="37" t="s">
        <v>46</v>
      </c>
      <c r="M177" s="38" t="s">
        <v>81</v>
      </c>
      <c r="N177" s="38"/>
      <c r="O177" s="37">
        <v>45</v>
      </c>
      <c r="P177" s="869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7" s="656"/>
      <c r="R177" s="656"/>
      <c r="S177" s="656"/>
      <c r="T177" s="657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16"/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50" t="s">
        <v>313</v>
      </c>
      <c r="AG177" s="78"/>
      <c r="AJ177" s="84" t="s">
        <v>46</v>
      </c>
      <c r="AK177" s="84">
        <v>0</v>
      </c>
      <c r="BB177" s="251" t="s">
        <v>67</v>
      </c>
      <c r="BM177" s="78">
        <f t="shared" si="17"/>
        <v>0</v>
      </c>
      <c r="BN177" s="78">
        <f t="shared" si="18"/>
        <v>0</v>
      </c>
      <c r="BO177" s="78">
        <f t="shared" si="19"/>
        <v>0</v>
      </c>
      <c r="BP177" s="78">
        <f t="shared" si="20"/>
        <v>0</v>
      </c>
    </row>
    <row r="178" spans="1:68" ht="16.5" hidden="1" customHeight="1" x14ac:dyDescent="0.25">
      <c r="A178" s="63" t="s">
        <v>314</v>
      </c>
      <c r="B178" s="63" t="s">
        <v>315</v>
      </c>
      <c r="C178" s="36">
        <v>4301032049</v>
      </c>
      <c r="D178" s="654">
        <v>4680115887787</v>
      </c>
      <c r="E178" s="654"/>
      <c r="F178" s="62">
        <v>0.09</v>
      </c>
      <c r="G178" s="37">
        <v>10</v>
      </c>
      <c r="H178" s="62">
        <v>0.9</v>
      </c>
      <c r="I178" s="62">
        <v>1.1100000000000001</v>
      </c>
      <c r="J178" s="37">
        <v>336</v>
      </c>
      <c r="K178" s="37" t="s">
        <v>131</v>
      </c>
      <c r="L178" s="37" t="s">
        <v>46</v>
      </c>
      <c r="M178" s="38" t="s">
        <v>81</v>
      </c>
      <c r="N178" s="38"/>
      <c r="O178" s="37">
        <v>45</v>
      </c>
      <c r="P178" s="860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8" s="656"/>
      <c r="R178" s="656"/>
      <c r="S178" s="656"/>
      <c r="T178" s="657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16"/>
        <v>0</v>
      </c>
      <c r="Z178" s="41" t="str">
        <f>IFERROR(IF(Y178=0,"",ROUNDUP(Y178/H178,0)*0.00417),"")</f>
        <v/>
      </c>
      <c r="AA178" s="68" t="s">
        <v>46</v>
      </c>
      <c r="AB178" s="69" t="s">
        <v>46</v>
      </c>
      <c r="AC178" s="252" t="s">
        <v>316</v>
      </c>
      <c r="AG178" s="78"/>
      <c r="AJ178" s="84" t="s">
        <v>46</v>
      </c>
      <c r="AK178" s="84">
        <v>0</v>
      </c>
      <c r="BB178" s="253" t="s">
        <v>67</v>
      </c>
      <c r="BM178" s="78">
        <f t="shared" si="17"/>
        <v>0</v>
      </c>
      <c r="BN178" s="78">
        <f t="shared" si="18"/>
        <v>0</v>
      </c>
      <c r="BO178" s="78">
        <f t="shared" si="19"/>
        <v>0</v>
      </c>
      <c r="BP178" s="78">
        <f t="shared" si="20"/>
        <v>0</v>
      </c>
    </row>
    <row r="179" spans="1:68" ht="16.5" hidden="1" customHeight="1" x14ac:dyDescent="0.25">
      <c r="A179" s="63" t="s">
        <v>314</v>
      </c>
      <c r="B179" s="63" t="s">
        <v>317</v>
      </c>
      <c r="C179" s="36">
        <v>4301031528</v>
      </c>
      <c r="D179" s="654">
        <v>4680115887787</v>
      </c>
      <c r="E179" s="654"/>
      <c r="F179" s="62">
        <v>0.09</v>
      </c>
      <c r="G179" s="37">
        <v>10</v>
      </c>
      <c r="H179" s="62">
        <v>0.9</v>
      </c>
      <c r="I179" s="62">
        <v>1.1100000000000001</v>
      </c>
      <c r="J179" s="37">
        <v>192</v>
      </c>
      <c r="K179" s="37" t="s">
        <v>131</v>
      </c>
      <c r="L179" s="37" t="s">
        <v>46</v>
      </c>
      <c r="M179" s="38" t="s">
        <v>81</v>
      </c>
      <c r="N179" s="38"/>
      <c r="O179" s="37">
        <v>45</v>
      </c>
      <c r="P179" s="861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656"/>
      <c r="R179" s="656"/>
      <c r="S179" s="656"/>
      <c r="T179" s="657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6"/>
        <v>0</v>
      </c>
      <c r="Z179" s="41" t="str">
        <f>IFERROR(IF(Y179=0,"",ROUNDUP(Y179/H179,0)*0.00726),"")</f>
        <v/>
      </c>
      <c r="AA179" s="68" t="s">
        <v>46</v>
      </c>
      <c r="AB179" s="69" t="s">
        <v>46</v>
      </c>
      <c r="AC179" s="254" t="s">
        <v>316</v>
      </c>
      <c r="AG179" s="78"/>
      <c r="AJ179" s="84" t="s">
        <v>46</v>
      </c>
      <c r="AK179" s="84">
        <v>0</v>
      </c>
      <c r="BB179" s="255" t="s">
        <v>67</v>
      </c>
      <c r="BM179" s="78">
        <f t="shared" si="17"/>
        <v>0</v>
      </c>
      <c r="BN179" s="78">
        <f t="shared" si="18"/>
        <v>0</v>
      </c>
      <c r="BO179" s="78">
        <f t="shared" si="19"/>
        <v>0</v>
      </c>
      <c r="BP179" s="78">
        <f t="shared" si="20"/>
        <v>0</v>
      </c>
    </row>
    <row r="180" spans="1:68" ht="27" hidden="1" customHeight="1" x14ac:dyDescent="0.25">
      <c r="A180" s="63" t="s">
        <v>318</v>
      </c>
      <c r="B180" s="63" t="s">
        <v>319</v>
      </c>
      <c r="C180" s="36">
        <v>4301031448</v>
      </c>
      <c r="D180" s="654">
        <v>4680115887503</v>
      </c>
      <c r="E180" s="654"/>
      <c r="F180" s="62">
        <v>0.28000000000000003</v>
      </c>
      <c r="G180" s="37">
        <v>6</v>
      </c>
      <c r="H180" s="62">
        <v>1.68</v>
      </c>
      <c r="I180" s="62">
        <v>1.78</v>
      </c>
      <c r="J180" s="37">
        <v>234</v>
      </c>
      <c r="K180" s="37" t="s">
        <v>82</v>
      </c>
      <c r="L180" s="37" t="s">
        <v>46</v>
      </c>
      <c r="M180" s="38" t="s">
        <v>81</v>
      </c>
      <c r="N180" s="38"/>
      <c r="O180" s="37">
        <v>40</v>
      </c>
      <c r="P180" s="862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0" s="656"/>
      <c r="R180" s="656"/>
      <c r="S180" s="656"/>
      <c r="T180" s="657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6"/>
        <v>0</v>
      </c>
      <c r="Z180" s="41" t="str">
        <f>IFERROR(IF(Y180=0,"",ROUNDUP(Y180/H180,0)*0.00502),"")</f>
        <v/>
      </c>
      <c r="AA180" s="68" t="s">
        <v>46</v>
      </c>
      <c r="AB180" s="69" t="s">
        <v>46</v>
      </c>
      <c r="AC180" s="256" t="s">
        <v>302</v>
      </c>
      <c r="AG180" s="78"/>
      <c r="AJ180" s="84" t="s">
        <v>46</v>
      </c>
      <c r="AK180" s="84">
        <v>0</v>
      </c>
      <c r="BB180" s="257" t="s">
        <v>67</v>
      </c>
      <c r="BM180" s="78">
        <f t="shared" si="17"/>
        <v>0</v>
      </c>
      <c r="BN180" s="78">
        <f t="shared" si="18"/>
        <v>0</v>
      </c>
      <c r="BO180" s="78">
        <f t="shared" si="19"/>
        <v>0</v>
      </c>
      <c r="BP180" s="78">
        <f t="shared" si="20"/>
        <v>0</v>
      </c>
    </row>
    <row r="181" spans="1:68" ht="27" hidden="1" customHeight="1" x14ac:dyDescent="0.25">
      <c r="A181" s="63" t="s">
        <v>320</v>
      </c>
      <c r="B181" s="63" t="s">
        <v>321</v>
      </c>
      <c r="C181" s="36">
        <v>4301031389</v>
      </c>
      <c r="D181" s="654">
        <v>4680115887763</v>
      </c>
      <c r="E181" s="654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336</v>
      </c>
      <c r="K181" s="37" t="s">
        <v>131</v>
      </c>
      <c r="L181" s="37" t="s">
        <v>46</v>
      </c>
      <c r="M181" s="38" t="s">
        <v>81</v>
      </c>
      <c r="N181" s="38"/>
      <c r="O181" s="37">
        <v>45</v>
      </c>
      <c r="P181" s="863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656"/>
      <c r="R181" s="656"/>
      <c r="S181" s="656"/>
      <c r="T181" s="657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6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8" t="s">
        <v>322</v>
      </c>
      <c r="AG181" s="78"/>
      <c r="AJ181" s="84" t="s">
        <v>46</v>
      </c>
      <c r="AK181" s="84">
        <v>0</v>
      </c>
      <c r="BB181" s="259" t="s">
        <v>67</v>
      </c>
      <c r="BM181" s="78">
        <f t="shared" si="17"/>
        <v>0</v>
      </c>
      <c r="BN181" s="78">
        <f t="shared" si="18"/>
        <v>0</v>
      </c>
      <c r="BO181" s="78">
        <f t="shared" si="19"/>
        <v>0</v>
      </c>
      <c r="BP181" s="78">
        <f t="shared" si="20"/>
        <v>0</v>
      </c>
    </row>
    <row r="182" spans="1:68" ht="27" hidden="1" customHeight="1" x14ac:dyDescent="0.25">
      <c r="A182" s="63" t="s">
        <v>323</v>
      </c>
      <c r="B182" s="63" t="s">
        <v>324</v>
      </c>
      <c r="C182" s="36">
        <v>4301031521</v>
      </c>
      <c r="D182" s="654">
        <v>4680115887480</v>
      </c>
      <c r="E182" s="654"/>
      <c r="F182" s="62">
        <v>0.28000000000000003</v>
      </c>
      <c r="G182" s="37">
        <v>6</v>
      </c>
      <c r="H182" s="62">
        <v>1.68</v>
      </c>
      <c r="I182" s="62">
        <v>1.78</v>
      </c>
      <c r="J182" s="37">
        <v>234</v>
      </c>
      <c r="K182" s="37" t="s">
        <v>82</v>
      </c>
      <c r="L182" s="37" t="s">
        <v>46</v>
      </c>
      <c r="M182" s="38" t="s">
        <v>81</v>
      </c>
      <c r="N182" s="38"/>
      <c r="O182" s="37">
        <v>45</v>
      </c>
      <c r="P182" s="864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2" s="656"/>
      <c r="R182" s="656"/>
      <c r="S182" s="656"/>
      <c r="T182" s="657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16"/>
        <v>0</v>
      </c>
      <c r="Z182" s="41" t="str">
        <f>IFERROR(IF(Y182=0,"",ROUNDUP(Y182/H182,0)*0.00502),"")</f>
        <v/>
      </c>
      <c r="AA182" s="68" t="s">
        <v>46</v>
      </c>
      <c r="AB182" s="69" t="s">
        <v>46</v>
      </c>
      <c r="AC182" s="260" t="s">
        <v>310</v>
      </c>
      <c r="AG182" s="78"/>
      <c r="AJ182" s="84" t="s">
        <v>46</v>
      </c>
      <c r="AK182" s="84">
        <v>0</v>
      </c>
      <c r="BB182" s="261" t="s">
        <v>67</v>
      </c>
      <c r="BM182" s="78">
        <f t="shared" si="17"/>
        <v>0</v>
      </c>
      <c r="BN182" s="78">
        <f t="shared" si="18"/>
        <v>0</v>
      </c>
      <c r="BO182" s="78">
        <f t="shared" si="19"/>
        <v>0</v>
      </c>
      <c r="BP182" s="78">
        <f t="shared" si="20"/>
        <v>0</v>
      </c>
    </row>
    <row r="183" spans="1:68" ht="27" hidden="1" customHeight="1" x14ac:dyDescent="0.25">
      <c r="A183" s="63" t="s">
        <v>325</v>
      </c>
      <c r="B183" s="63" t="s">
        <v>326</v>
      </c>
      <c r="C183" s="36">
        <v>4301031434</v>
      </c>
      <c r="D183" s="654">
        <v>4680115888067</v>
      </c>
      <c r="E183" s="654"/>
      <c r="F183" s="62">
        <v>0.09</v>
      </c>
      <c r="G183" s="37">
        <v>10</v>
      </c>
      <c r="H183" s="62">
        <v>0.9</v>
      </c>
      <c r="I183" s="62">
        <v>1</v>
      </c>
      <c r="J183" s="37">
        <v>336</v>
      </c>
      <c r="K183" s="37" t="s">
        <v>131</v>
      </c>
      <c r="L183" s="37" t="s">
        <v>46</v>
      </c>
      <c r="M183" s="38" t="s">
        <v>81</v>
      </c>
      <c r="N183" s="38"/>
      <c r="O183" s="37">
        <v>45</v>
      </c>
      <c r="P183" s="857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3" s="656"/>
      <c r="R183" s="656"/>
      <c r="S183" s="656"/>
      <c r="T183" s="657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6"/>
        <v>0</v>
      </c>
      <c r="Z183" s="41" t="str">
        <f>IFERROR(IF(Y183=0,"",ROUNDUP(Y183/H183,0)*0.00417),"")</f>
        <v/>
      </c>
      <c r="AA183" s="68" t="s">
        <v>46</v>
      </c>
      <c r="AB183" s="69" t="s">
        <v>46</v>
      </c>
      <c r="AC183" s="262" t="s">
        <v>327</v>
      </c>
      <c r="AG183" s="78"/>
      <c r="AJ183" s="84" t="s">
        <v>46</v>
      </c>
      <c r="AK183" s="84">
        <v>0</v>
      </c>
      <c r="BB183" s="263" t="s">
        <v>67</v>
      </c>
      <c r="BM183" s="78">
        <f t="shared" si="17"/>
        <v>0</v>
      </c>
      <c r="BN183" s="78">
        <f t="shared" si="18"/>
        <v>0</v>
      </c>
      <c r="BO183" s="78">
        <f t="shared" si="19"/>
        <v>0</v>
      </c>
      <c r="BP183" s="78">
        <f t="shared" si="20"/>
        <v>0</v>
      </c>
    </row>
    <row r="184" spans="1:68" ht="27" hidden="1" customHeight="1" x14ac:dyDescent="0.25">
      <c r="A184" s="63" t="s">
        <v>328</v>
      </c>
      <c r="B184" s="63" t="s">
        <v>329</v>
      </c>
      <c r="C184" s="36">
        <v>4301031519</v>
      </c>
      <c r="D184" s="654">
        <v>4680115887435</v>
      </c>
      <c r="E184" s="654"/>
      <c r="F184" s="62">
        <v>0.28000000000000003</v>
      </c>
      <c r="G184" s="37">
        <v>6</v>
      </c>
      <c r="H184" s="62">
        <v>1.68</v>
      </c>
      <c r="I184" s="62">
        <v>1.78</v>
      </c>
      <c r="J184" s="37">
        <v>234</v>
      </c>
      <c r="K184" s="37" t="s">
        <v>82</v>
      </c>
      <c r="L184" s="37" t="s">
        <v>46</v>
      </c>
      <c r="M184" s="38" t="s">
        <v>81</v>
      </c>
      <c r="N184" s="38"/>
      <c r="O184" s="37">
        <v>45</v>
      </c>
      <c r="P184" s="858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4" s="656"/>
      <c r="R184" s="656"/>
      <c r="S184" s="656"/>
      <c r="T184" s="657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6"/>
        <v>0</v>
      </c>
      <c r="Z184" s="41" t="str">
        <f>IFERROR(IF(Y184=0,"",ROUNDUP(Y184/H184,0)*0.00502),"")</f>
        <v/>
      </c>
      <c r="AA184" s="68" t="s">
        <v>46</v>
      </c>
      <c r="AB184" s="69" t="s">
        <v>46</v>
      </c>
      <c r="AC184" s="264" t="s">
        <v>313</v>
      </c>
      <c r="AG184" s="78"/>
      <c r="AJ184" s="84" t="s">
        <v>46</v>
      </c>
      <c r="AK184" s="84">
        <v>0</v>
      </c>
      <c r="BB184" s="265" t="s">
        <v>67</v>
      </c>
      <c r="BM184" s="78">
        <f t="shared" si="17"/>
        <v>0</v>
      </c>
      <c r="BN184" s="78">
        <f t="shared" si="18"/>
        <v>0</v>
      </c>
      <c r="BO184" s="78">
        <f t="shared" si="19"/>
        <v>0</v>
      </c>
      <c r="BP184" s="78">
        <f t="shared" si="20"/>
        <v>0</v>
      </c>
    </row>
    <row r="185" spans="1:68" hidden="1" x14ac:dyDescent="0.2">
      <c r="A185" s="661"/>
      <c r="B185" s="661"/>
      <c r="C185" s="661"/>
      <c r="D185" s="661"/>
      <c r="E185" s="661"/>
      <c r="F185" s="661"/>
      <c r="G185" s="661"/>
      <c r="H185" s="661"/>
      <c r="I185" s="661"/>
      <c r="J185" s="661"/>
      <c r="K185" s="661"/>
      <c r="L185" s="661"/>
      <c r="M185" s="661"/>
      <c r="N185" s="661"/>
      <c r="O185" s="662"/>
      <c r="P185" s="658" t="s">
        <v>40</v>
      </c>
      <c r="Q185" s="659"/>
      <c r="R185" s="659"/>
      <c r="S185" s="659"/>
      <c r="T185" s="659"/>
      <c r="U185" s="659"/>
      <c r="V185" s="660"/>
      <c r="W185" s="42" t="s">
        <v>39</v>
      </c>
      <c r="X185" s="43">
        <f>IFERROR(X173/H173,"0")+IFERROR(X174/H174,"0")+IFERROR(X175/H175,"0")+IFERROR(X176/H176,"0")+IFERROR(X177/H177,"0")+IFERROR(X178/H178,"0")+IFERROR(X179/H179,"0")+IFERROR(X180/H180,"0")+IFERROR(X181/H181,"0")+IFERROR(X182/H182,"0")+IFERROR(X183/H183,"0")+IFERROR(X184/H184,"0")</f>
        <v>0</v>
      </c>
      <c r="Y185" s="43">
        <f>IFERROR(Y173/H173,"0")+IFERROR(Y174/H174,"0")+IFERROR(Y175/H175,"0")+IFERROR(Y176/H176,"0")+IFERROR(Y177/H177,"0")+IFERROR(Y178/H178,"0")+IFERROR(Y179/H179,"0")+IFERROR(Y180/H180,"0")+IFERROR(Y181/H181,"0")+IFERROR(Y182/H182,"0")+IFERROR(Y183/H183,"0")+IFERROR(Y184/H184,"0")</f>
        <v>0</v>
      </c>
      <c r="Z185" s="43">
        <f>IFERROR(IF(Z173="",0,Z173),"0")+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</f>
        <v>0</v>
      </c>
      <c r="AA185" s="67"/>
      <c r="AB185" s="67"/>
      <c r="AC185" s="67"/>
    </row>
    <row r="186" spans="1:68" hidden="1" x14ac:dyDescent="0.2">
      <c r="A186" s="661"/>
      <c r="B186" s="661"/>
      <c r="C186" s="661"/>
      <c r="D186" s="661"/>
      <c r="E186" s="661"/>
      <c r="F186" s="661"/>
      <c r="G186" s="661"/>
      <c r="H186" s="661"/>
      <c r="I186" s="661"/>
      <c r="J186" s="661"/>
      <c r="K186" s="661"/>
      <c r="L186" s="661"/>
      <c r="M186" s="661"/>
      <c r="N186" s="661"/>
      <c r="O186" s="662"/>
      <c r="P186" s="658" t="s">
        <v>40</v>
      </c>
      <c r="Q186" s="659"/>
      <c r="R186" s="659"/>
      <c r="S186" s="659"/>
      <c r="T186" s="659"/>
      <c r="U186" s="659"/>
      <c r="V186" s="660"/>
      <c r="W186" s="42" t="s">
        <v>0</v>
      </c>
      <c r="X186" s="43">
        <f>IFERROR(SUM(X173:X184),"0")</f>
        <v>0</v>
      </c>
      <c r="Y186" s="43">
        <f>IFERROR(SUM(Y173:Y184),"0")</f>
        <v>0</v>
      </c>
      <c r="Z186" s="42"/>
      <c r="AA186" s="67"/>
      <c r="AB186" s="67"/>
      <c r="AC186" s="67"/>
    </row>
    <row r="187" spans="1:68" ht="14.25" hidden="1" customHeight="1" x14ac:dyDescent="0.25">
      <c r="A187" s="653" t="s">
        <v>86</v>
      </c>
      <c r="B187" s="653"/>
      <c r="C187" s="653"/>
      <c r="D187" s="653"/>
      <c r="E187" s="653"/>
      <c r="F187" s="653"/>
      <c r="G187" s="653"/>
      <c r="H187" s="653"/>
      <c r="I187" s="653"/>
      <c r="J187" s="653"/>
      <c r="K187" s="653"/>
      <c r="L187" s="653"/>
      <c r="M187" s="653"/>
      <c r="N187" s="653"/>
      <c r="O187" s="653"/>
      <c r="P187" s="653"/>
      <c r="Q187" s="653"/>
      <c r="R187" s="653"/>
      <c r="S187" s="653"/>
      <c r="T187" s="653"/>
      <c r="U187" s="653"/>
      <c r="V187" s="653"/>
      <c r="W187" s="653"/>
      <c r="X187" s="653"/>
      <c r="Y187" s="653"/>
      <c r="Z187" s="653"/>
      <c r="AA187" s="66"/>
      <c r="AB187" s="66"/>
      <c r="AC187" s="80"/>
    </row>
    <row r="188" spans="1:68" ht="16.5" hidden="1" customHeight="1" x14ac:dyDescent="0.25">
      <c r="A188" s="63" t="s">
        <v>330</v>
      </c>
      <c r="B188" s="63" t="s">
        <v>331</v>
      </c>
      <c r="C188" s="36">
        <v>4301052193</v>
      </c>
      <c r="D188" s="654">
        <v>4680115888395</v>
      </c>
      <c r="E188" s="654"/>
      <c r="F188" s="62">
        <v>0.42</v>
      </c>
      <c r="G188" s="37">
        <v>6</v>
      </c>
      <c r="H188" s="62">
        <v>2.52</v>
      </c>
      <c r="I188" s="62">
        <v>2.766</v>
      </c>
      <c r="J188" s="37">
        <v>182</v>
      </c>
      <c r="K188" s="37" t="s">
        <v>91</v>
      </c>
      <c r="L188" s="37" t="s">
        <v>46</v>
      </c>
      <c r="M188" s="38" t="s">
        <v>97</v>
      </c>
      <c r="N188" s="38"/>
      <c r="O188" s="37">
        <v>40</v>
      </c>
      <c r="P188" s="859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8" s="656"/>
      <c r="R188" s="656"/>
      <c r="S188" s="656"/>
      <c r="T188" s="657"/>
      <c r="U188" s="39" t="s">
        <v>46</v>
      </c>
      <c r="V188" s="39" t="s">
        <v>46</v>
      </c>
      <c r="W188" s="40" t="s">
        <v>0</v>
      </c>
      <c r="X188" s="58">
        <v>0</v>
      </c>
      <c r="Y188" s="55">
        <f>IFERROR(IF(X188="",0,CEILING((X188/$H188),1)*$H188),"")</f>
        <v>0</v>
      </c>
      <c r="Z188" s="41" t="str">
        <f>IFERROR(IF(Y188=0,"",ROUNDUP(Y188/H188,0)*0.00651),"")</f>
        <v/>
      </c>
      <c r="AA188" s="68" t="s">
        <v>46</v>
      </c>
      <c r="AB188" s="69" t="s">
        <v>46</v>
      </c>
      <c r="AC188" s="266" t="s">
        <v>332</v>
      </c>
      <c r="AG188" s="78"/>
      <c r="AJ188" s="84" t="s">
        <v>46</v>
      </c>
      <c r="AK188" s="84">
        <v>0</v>
      </c>
      <c r="BB188" s="267" t="s">
        <v>67</v>
      </c>
      <c r="BM188" s="78">
        <f>IFERROR(X188*I188/H188,"0")</f>
        <v>0</v>
      </c>
      <c r="BN188" s="78">
        <f>IFERROR(Y188*I188/H188,"0")</f>
        <v>0</v>
      </c>
      <c r="BO188" s="78">
        <f>IFERROR(1/J188*(X188/H188),"0")</f>
        <v>0</v>
      </c>
      <c r="BP188" s="78">
        <f>IFERROR(1/J188*(Y188/H188),"0")</f>
        <v>0</v>
      </c>
    </row>
    <row r="189" spans="1:68" ht="16.5" hidden="1" customHeight="1" x14ac:dyDescent="0.25">
      <c r="A189" s="63" t="s">
        <v>333</v>
      </c>
      <c r="B189" s="63" t="s">
        <v>334</v>
      </c>
      <c r="C189" s="36">
        <v>4301052191</v>
      </c>
      <c r="D189" s="654">
        <v>4680115888371</v>
      </c>
      <c r="E189" s="654"/>
      <c r="F189" s="62">
        <v>0.42</v>
      </c>
      <c r="G189" s="37">
        <v>6</v>
      </c>
      <c r="H189" s="62">
        <v>2.52</v>
      </c>
      <c r="I189" s="62">
        <v>2.766</v>
      </c>
      <c r="J189" s="37">
        <v>182</v>
      </c>
      <c r="K189" s="37" t="s">
        <v>91</v>
      </c>
      <c r="L189" s="37" t="s">
        <v>46</v>
      </c>
      <c r="M189" s="38" t="s">
        <v>97</v>
      </c>
      <c r="N189" s="38"/>
      <c r="O189" s="37">
        <v>40</v>
      </c>
      <c r="P189" s="854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9" s="656"/>
      <c r="R189" s="656"/>
      <c r="S189" s="656"/>
      <c r="T189" s="657"/>
      <c r="U189" s="39" t="s">
        <v>46</v>
      </c>
      <c r="V189" s="39" t="s">
        <v>46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IFERROR(IF(Y189=0,"",ROUNDUP(Y189/H189,0)*0.00651),"")</f>
        <v/>
      </c>
      <c r="AA189" s="68" t="s">
        <v>46</v>
      </c>
      <c r="AB189" s="69" t="s">
        <v>46</v>
      </c>
      <c r="AC189" s="268" t="s">
        <v>335</v>
      </c>
      <c r="AG189" s="78"/>
      <c r="AJ189" s="84" t="s">
        <v>46</v>
      </c>
      <c r="AK189" s="84">
        <v>0</v>
      </c>
      <c r="BB189" s="269" t="s">
        <v>67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ht="27" hidden="1" customHeight="1" x14ac:dyDescent="0.25">
      <c r="A190" s="63" t="s">
        <v>336</v>
      </c>
      <c r="B190" s="63" t="s">
        <v>337</v>
      </c>
      <c r="C190" s="36">
        <v>4301052064</v>
      </c>
      <c r="D190" s="654">
        <v>4680115887459</v>
      </c>
      <c r="E190" s="654"/>
      <c r="F190" s="62">
        <v>0.3</v>
      </c>
      <c r="G190" s="37">
        <v>6</v>
      </c>
      <c r="H190" s="62">
        <v>1.8</v>
      </c>
      <c r="I190" s="62">
        <v>2.0579999999999998</v>
      </c>
      <c r="J190" s="37">
        <v>182</v>
      </c>
      <c r="K190" s="37" t="s">
        <v>91</v>
      </c>
      <c r="L190" s="37" t="s">
        <v>46</v>
      </c>
      <c r="M190" s="38" t="s">
        <v>90</v>
      </c>
      <c r="N190" s="38"/>
      <c r="O190" s="37">
        <v>45</v>
      </c>
      <c r="P190" s="855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0" s="656"/>
      <c r="R190" s="656"/>
      <c r="S190" s="656"/>
      <c r="T190" s="657"/>
      <c r="U190" s="39" t="s">
        <v>46</v>
      </c>
      <c r="V190" s="39" t="s">
        <v>46</v>
      </c>
      <c r="W190" s="40" t="s">
        <v>0</v>
      </c>
      <c r="X190" s="58">
        <v>0</v>
      </c>
      <c r="Y190" s="55">
        <f>IFERROR(IF(X190="",0,CEILING((X190/$H190),1)*$H190),"")</f>
        <v>0</v>
      </c>
      <c r="Z190" s="41" t="str">
        <f>IFERROR(IF(Y190=0,"",ROUNDUP(Y190/H190,0)*0.00651),"")</f>
        <v/>
      </c>
      <c r="AA190" s="68" t="s">
        <v>46</v>
      </c>
      <c r="AB190" s="69" t="s">
        <v>46</v>
      </c>
      <c r="AC190" s="270" t="s">
        <v>338</v>
      </c>
      <c r="AG190" s="78"/>
      <c r="AJ190" s="84" t="s">
        <v>46</v>
      </c>
      <c r="AK190" s="84">
        <v>0</v>
      </c>
      <c r="BB190" s="271" t="s">
        <v>67</v>
      </c>
      <c r="BM190" s="78">
        <f>IFERROR(X190*I190/H190,"0")</f>
        <v>0</v>
      </c>
      <c r="BN190" s="78">
        <f>IFERROR(Y190*I190/H190,"0")</f>
        <v>0</v>
      </c>
      <c r="BO190" s="78">
        <f>IFERROR(1/J190*(X190/H190),"0")</f>
        <v>0</v>
      </c>
      <c r="BP190" s="78">
        <f>IFERROR(1/J190*(Y190/H190),"0")</f>
        <v>0</v>
      </c>
    </row>
    <row r="191" spans="1:68" hidden="1" x14ac:dyDescent="0.2">
      <c r="A191" s="661"/>
      <c r="B191" s="661"/>
      <c r="C191" s="661"/>
      <c r="D191" s="661"/>
      <c r="E191" s="661"/>
      <c r="F191" s="661"/>
      <c r="G191" s="661"/>
      <c r="H191" s="661"/>
      <c r="I191" s="661"/>
      <c r="J191" s="661"/>
      <c r="K191" s="661"/>
      <c r="L191" s="661"/>
      <c r="M191" s="661"/>
      <c r="N191" s="661"/>
      <c r="O191" s="662"/>
      <c r="P191" s="658" t="s">
        <v>40</v>
      </c>
      <c r="Q191" s="659"/>
      <c r="R191" s="659"/>
      <c r="S191" s="659"/>
      <c r="T191" s="659"/>
      <c r="U191" s="659"/>
      <c r="V191" s="660"/>
      <c r="W191" s="42" t="s">
        <v>39</v>
      </c>
      <c r="X191" s="43">
        <f>IFERROR(X188/H188,"0")+IFERROR(X189/H189,"0")+IFERROR(X190/H190,"0")</f>
        <v>0</v>
      </c>
      <c r="Y191" s="43">
        <f>IFERROR(Y188/H188,"0")+IFERROR(Y189/H189,"0")+IFERROR(Y190/H190,"0")</f>
        <v>0</v>
      </c>
      <c r="Z191" s="43">
        <f>IFERROR(IF(Z188="",0,Z188),"0")+IFERROR(IF(Z189="",0,Z189),"0")+IFERROR(IF(Z190="",0,Z190),"0")</f>
        <v>0</v>
      </c>
      <c r="AA191" s="67"/>
      <c r="AB191" s="67"/>
      <c r="AC191" s="67"/>
    </row>
    <row r="192" spans="1:68" hidden="1" x14ac:dyDescent="0.2">
      <c r="A192" s="661"/>
      <c r="B192" s="661"/>
      <c r="C192" s="661"/>
      <c r="D192" s="661"/>
      <c r="E192" s="661"/>
      <c r="F192" s="661"/>
      <c r="G192" s="661"/>
      <c r="H192" s="661"/>
      <c r="I192" s="661"/>
      <c r="J192" s="661"/>
      <c r="K192" s="661"/>
      <c r="L192" s="661"/>
      <c r="M192" s="661"/>
      <c r="N192" s="661"/>
      <c r="O192" s="662"/>
      <c r="P192" s="658" t="s">
        <v>40</v>
      </c>
      <c r="Q192" s="659"/>
      <c r="R192" s="659"/>
      <c r="S192" s="659"/>
      <c r="T192" s="659"/>
      <c r="U192" s="659"/>
      <c r="V192" s="660"/>
      <c r="W192" s="42" t="s">
        <v>0</v>
      </c>
      <c r="X192" s="43">
        <f>IFERROR(SUM(X188:X190),"0")</f>
        <v>0</v>
      </c>
      <c r="Y192" s="43">
        <f>IFERROR(SUM(Y188:Y190),"0")</f>
        <v>0</v>
      </c>
      <c r="Z192" s="42"/>
      <c r="AA192" s="67"/>
      <c r="AB192" s="67"/>
      <c r="AC192" s="67"/>
    </row>
    <row r="193" spans="1:68" ht="14.25" hidden="1" customHeight="1" x14ac:dyDescent="0.25">
      <c r="A193" s="653" t="s">
        <v>339</v>
      </c>
      <c r="B193" s="653"/>
      <c r="C193" s="653"/>
      <c r="D193" s="653"/>
      <c r="E193" s="653"/>
      <c r="F193" s="653"/>
      <c r="G193" s="653"/>
      <c r="H193" s="653"/>
      <c r="I193" s="653"/>
      <c r="J193" s="653"/>
      <c r="K193" s="653"/>
      <c r="L193" s="653"/>
      <c r="M193" s="653"/>
      <c r="N193" s="653"/>
      <c r="O193" s="653"/>
      <c r="P193" s="653"/>
      <c r="Q193" s="653"/>
      <c r="R193" s="653"/>
      <c r="S193" s="653"/>
      <c r="T193" s="653"/>
      <c r="U193" s="653"/>
      <c r="V193" s="653"/>
      <c r="W193" s="653"/>
      <c r="X193" s="653"/>
      <c r="Y193" s="653"/>
      <c r="Z193" s="653"/>
      <c r="AA193" s="66"/>
      <c r="AB193" s="66"/>
      <c r="AC193" s="80"/>
    </row>
    <row r="194" spans="1:68" ht="27" hidden="1" customHeight="1" x14ac:dyDescent="0.25">
      <c r="A194" s="63" t="s">
        <v>340</v>
      </c>
      <c r="B194" s="63" t="s">
        <v>341</v>
      </c>
      <c r="C194" s="36">
        <v>4301041009</v>
      </c>
      <c r="D194" s="654">
        <v>4680115889033</v>
      </c>
      <c r="E194" s="654"/>
      <c r="F194" s="62">
        <v>0.11</v>
      </c>
      <c r="G194" s="37">
        <v>15</v>
      </c>
      <c r="H194" s="62">
        <v>1.65</v>
      </c>
      <c r="I194" s="62">
        <v>1.9</v>
      </c>
      <c r="J194" s="37">
        <v>216</v>
      </c>
      <c r="K194" s="37" t="s">
        <v>343</v>
      </c>
      <c r="L194" s="37" t="s">
        <v>46</v>
      </c>
      <c r="M194" s="38" t="s">
        <v>283</v>
      </c>
      <c r="N194" s="38"/>
      <c r="O194" s="37">
        <v>60</v>
      </c>
      <c r="P194" s="856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4" s="656"/>
      <c r="R194" s="656"/>
      <c r="S194" s="656"/>
      <c r="T194" s="657"/>
      <c r="U194" s="39" t="s">
        <v>46</v>
      </c>
      <c r="V194" s="39" t="s">
        <v>46</v>
      </c>
      <c r="W194" s="40" t="s">
        <v>0</v>
      </c>
      <c r="X194" s="58">
        <v>0</v>
      </c>
      <c r="Y194" s="55">
        <f>IFERROR(IF(X194="",0,CEILING((X194/$H194),1)*$H194),"")</f>
        <v>0</v>
      </c>
      <c r="Z194" s="41" t="str">
        <f>IFERROR(IF(Y194=0,"",ROUNDUP(Y194/H194,0)*0.0059),"")</f>
        <v/>
      </c>
      <c r="AA194" s="68" t="s">
        <v>46</v>
      </c>
      <c r="AB194" s="69" t="s">
        <v>46</v>
      </c>
      <c r="AC194" s="272" t="s">
        <v>342</v>
      </c>
      <c r="AG194" s="78"/>
      <c r="AJ194" s="84" t="s">
        <v>46</v>
      </c>
      <c r="AK194" s="84">
        <v>0</v>
      </c>
      <c r="BB194" s="273" t="s">
        <v>67</v>
      </c>
      <c r="BM194" s="78">
        <f>IFERROR(X194*I194/H194,"0")</f>
        <v>0</v>
      </c>
      <c r="BN194" s="78">
        <f>IFERROR(Y194*I194/H194,"0")</f>
        <v>0</v>
      </c>
      <c r="BO194" s="78">
        <f>IFERROR(1/J194*(X194/H194),"0")</f>
        <v>0</v>
      </c>
      <c r="BP194" s="78">
        <f>IFERROR(1/J194*(Y194/H194),"0")</f>
        <v>0</v>
      </c>
    </row>
    <row r="195" spans="1:68" hidden="1" x14ac:dyDescent="0.2">
      <c r="A195" s="661"/>
      <c r="B195" s="661"/>
      <c r="C195" s="661"/>
      <c r="D195" s="661"/>
      <c r="E195" s="661"/>
      <c r="F195" s="661"/>
      <c r="G195" s="661"/>
      <c r="H195" s="661"/>
      <c r="I195" s="661"/>
      <c r="J195" s="661"/>
      <c r="K195" s="661"/>
      <c r="L195" s="661"/>
      <c r="M195" s="661"/>
      <c r="N195" s="661"/>
      <c r="O195" s="662"/>
      <c r="P195" s="658" t="s">
        <v>40</v>
      </c>
      <c r="Q195" s="659"/>
      <c r="R195" s="659"/>
      <c r="S195" s="659"/>
      <c r="T195" s="659"/>
      <c r="U195" s="659"/>
      <c r="V195" s="660"/>
      <c r="W195" s="42" t="s">
        <v>39</v>
      </c>
      <c r="X195" s="43">
        <f>IFERROR(X194/H194,"0")</f>
        <v>0</v>
      </c>
      <c r="Y195" s="43">
        <f>IFERROR(Y194/H194,"0")</f>
        <v>0</v>
      </c>
      <c r="Z195" s="43">
        <f>IFERROR(IF(Z194="",0,Z194),"0")</f>
        <v>0</v>
      </c>
      <c r="AA195" s="67"/>
      <c r="AB195" s="67"/>
      <c r="AC195" s="67"/>
    </row>
    <row r="196" spans="1:68" hidden="1" x14ac:dyDescent="0.2">
      <c r="A196" s="661"/>
      <c r="B196" s="661"/>
      <c r="C196" s="661"/>
      <c r="D196" s="661"/>
      <c r="E196" s="661"/>
      <c r="F196" s="661"/>
      <c r="G196" s="661"/>
      <c r="H196" s="661"/>
      <c r="I196" s="661"/>
      <c r="J196" s="661"/>
      <c r="K196" s="661"/>
      <c r="L196" s="661"/>
      <c r="M196" s="661"/>
      <c r="N196" s="661"/>
      <c r="O196" s="662"/>
      <c r="P196" s="658" t="s">
        <v>40</v>
      </c>
      <c r="Q196" s="659"/>
      <c r="R196" s="659"/>
      <c r="S196" s="659"/>
      <c r="T196" s="659"/>
      <c r="U196" s="659"/>
      <c r="V196" s="660"/>
      <c r="W196" s="42" t="s">
        <v>0</v>
      </c>
      <c r="X196" s="43">
        <f>IFERROR(SUM(X194:X194),"0")</f>
        <v>0</v>
      </c>
      <c r="Y196" s="43">
        <f>IFERROR(SUM(Y194:Y194),"0")</f>
        <v>0</v>
      </c>
      <c r="Z196" s="42"/>
      <c r="AA196" s="67"/>
      <c r="AB196" s="67"/>
      <c r="AC196" s="67"/>
    </row>
    <row r="197" spans="1:68" ht="27.75" hidden="1" customHeight="1" x14ac:dyDescent="0.2">
      <c r="A197" s="673" t="s">
        <v>344</v>
      </c>
      <c r="B197" s="673"/>
      <c r="C197" s="673"/>
      <c r="D197" s="673"/>
      <c r="E197" s="673"/>
      <c r="F197" s="673"/>
      <c r="G197" s="673"/>
      <c r="H197" s="673"/>
      <c r="I197" s="673"/>
      <c r="J197" s="673"/>
      <c r="K197" s="673"/>
      <c r="L197" s="673"/>
      <c r="M197" s="673"/>
      <c r="N197" s="673"/>
      <c r="O197" s="673"/>
      <c r="P197" s="673"/>
      <c r="Q197" s="673"/>
      <c r="R197" s="673"/>
      <c r="S197" s="673"/>
      <c r="T197" s="673"/>
      <c r="U197" s="673"/>
      <c r="V197" s="673"/>
      <c r="W197" s="673"/>
      <c r="X197" s="673"/>
      <c r="Y197" s="673"/>
      <c r="Z197" s="673"/>
      <c r="AA197" s="54"/>
      <c r="AB197" s="54"/>
      <c r="AC197" s="54"/>
    </row>
    <row r="198" spans="1:68" ht="16.5" hidden="1" customHeight="1" x14ac:dyDescent="0.25">
      <c r="A198" s="652" t="s">
        <v>345</v>
      </c>
      <c r="B198" s="652"/>
      <c r="C198" s="652"/>
      <c r="D198" s="652"/>
      <c r="E198" s="652"/>
      <c r="F198" s="652"/>
      <c r="G198" s="652"/>
      <c r="H198" s="652"/>
      <c r="I198" s="652"/>
      <c r="J198" s="652"/>
      <c r="K198" s="652"/>
      <c r="L198" s="652"/>
      <c r="M198" s="652"/>
      <c r="N198" s="652"/>
      <c r="O198" s="652"/>
      <c r="P198" s="652"/>
      <c r="Q198" s="652"/>
      <c r="R198" s="652"/>
      <c r="S198" s="652"/>
      <c r="T198" s="652"/>
      <c r="U198" s="652"/>
      <c r="V198" s="652"/>
      <c r="W198" s="652"/>
      <c r="X198" s="652"/>
      <c r="Y198" s="652"/>
      <c r="Z198" s="652"/>
      <c r="AA198" s="65"/>
      <c r="AB198" s="65"/>
      <c r="AC198" s="79"/>
    </row>
    <row r="199" spans="1:68" ht="14.25" hidden="1" customHeight="1" x14ac:dyDescent="0.25">
      <c r="A199" s="653" t="s">
        <v>122</v>
      </c>
      <c r="B199" s="653"/>
      <c r="C199" s="653"/>
      <c r="D199" s="653"/>
      <c r="E199" s="653"/>
      <c r="F199" s="653"/>
      <c r="G199" s="653"/>
      <c r="H199" s="653"/>
      <c r="I199" s="653"/>
      <c r="J199" s="653"/>
      <c r="K199" s="653"/>
      <c r="L199" s="653"/>
      <c r="M199" s="653"/>
      <c r="N199" s="653"/>
      <c r="O199" s="653"/>
      <c r="P199" s="653"/>
      <c r="Q199" s="653"/>
      <c r="R199" s="653"/>
      <c r="S199" s="653"/>
      <c r="T199" s="653"/>
      <c r="U199" s="653"/>
      <c r="V199" s="653"/>
      <c r="W199" s="653"/>
      <c r="X199" s="653"/>
      <c r="Y199" s="653"/>
      <c r="Z199" s="653"/>
      <c r="AA199" s="66"/>
      <c r="AB199" s="66"/>
      <c r="AC199" s="80"/>
    </row>
    <row r="200" spans="1:68" ht="27" hidden="1" customHeight="1" x14ac:dyDescent="0.25">
      <c r="A200" s="63" t="s">
        <v>346</v>
      </c>
      <c r="B200" s="63" t="s">
        <v>347</v>
      </c>
      <c r="C200" s="36">
        <v>4301011223</v>
      </c>
      <c r="D200" s="654">
        <v>4607091383423</v>
      </c>
      <c r="E200" s="654"/>
      <c r="F200" s="62">
        <v>1.35</v>
      </c>
      <c r="G200" s="37">
        <v>8</v>
      </c>
      <c r="H200" s="62">
        <v>10.8</v>
      </c>
      <c r="I200" s="62">
        <v>11.305999999999999</v>
      </c>
      <c r="J200" s="37">
        <v>64</v>
      </c>
      <c r="K200" s="37" t="s">
        <v>127</v>
      </c>
      <c r="L200" s="37" t="s">
        <v>46</v>
      </c>
      <c r="M200" s="38" t="s">
        <v>90</v>
      </c>
      <c r="N200" s="38"/>
      <c r="O200" s="37">
        <v>35</v>
      </c>
      <c r="P200" s="852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0" s="656"/>
      <c r="R200" s="656"/>
      <c r="S200" s="656"/>
      <c r="T200" s="657"/>
      <c r="U200" s="39" t="s">
        <v>46</v>
      </c>
      <c r="V200" s="39" t="s">
        <v>46</v>
      </c>
      <c r="W200" s="40" t="s">
        <v>0</v>
      </c>
      <c r="X200" s="58">
        <v>0</v>
      </c>
      <c r="Y200" s="55">
        <f t="shared" ref="Y200:Y206" si="21">IFERROR(IF(X200="",0,CEILING((X200/$H200),1)*$H200),"")</f>
        <v>0</v>
      </c>
      <c r="Z200" s="41" t="str">
        <f t="shared" ref="Z200:Z206" si="22">IFERROR(IF(Y200=0,"",ROUNDUP(Y200/H200,0)*0.01898),"")</f>
        <v/>
      </c>
      <c r="AA200" s="68" t="s">
        <v>46</v>
      </c>
      <c r="AB200" s="69" t="s">
        <v>46</v>
      </c>
      <c r="AC200" s="274" t="s">
        <v>125</v>
      </c>
      <c r="AG200" s="78"/>
      <c r="AJ200" s="84" t="s">
        <v>46</v>
      </c>
      <c r="AK200" s="84">
        <v>0</v>
      </c>
      <c r="BB200" s="275" t="s">
        <v>67</v>
      </c>
      <c r="BM200" s="78">
        <f t="shared" ref="BM200:BM206" si="23">IFERROR(X200*I200/H200,"0")</f>
        <v>0</v>
      </c>
      <c r="BN200" s="78">
        <f t="shared" ref="BN200:BN206" si="24">IFERROR(Y200*I200/H200,"0")</f>
        <v>0</v>
      </c>
      <c r="BO200" s="78">
        <f t="shared" ref="BO200:BO206" si="25">IFERROR(1/J200*(X200/H200),"0")</f>
        <v>0</v>
      </c>
      <c r="BP200" s="78">
        <f t="shared" ref="BP200:BP206" si="26">IFERROR(1/J200*(Y200/H200),"0")</f>
        <v>0</v>
      </c>
    </row>
    <row r="201" spans="1:68" ht="27" hidden="1" customHeight="1" x14ac:dyDescent="0.25">
      <c r="A201" s="63" t="s">
        <v>348</v>
      </c>
      <c r="B201" s="63" t="s">
        <v>349</v>
      </c>
      <c r="C201" s="36">
        <v>4301012340</v>
      </c>
      <c r="D201" s="654">
        <v>4680115888760</v>
      </c>
      <c r="E201" s="654"/>
      <c r="F201" s="62">
        <v>1.4</v>
      </c>
      <c r="G201" s="37">
        <v>6</v>
      </c>
      <c r="H201" s="62">
        <v>8.4</v>
      </c>
      <c r="I201" s="62">
        <v>8.81</v>
      </c>
      <c r="J201" s="37">
        <v>64</v>
      </c>
      <c r="K201" s="37" t="s">
        <v>127</v>
      </c>
      <c r="L201" s="37" t="s">
        <v>46</v>
      </c>
      <c r="M201" s="38" t="s">
        <v>90</v>
      </c>
      <c r="N201" s="38"/>
      <c r="O201" s="37">
        <v>35</v>
      </c>
      <c r="P201" s="853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1" s="656"/>
      <c r="R201" s="656"/>
      <c r="S201" s="656"/>
      <c r="T201" s="657"/>
      <c r="U201" s="39" t="s">
        <v>46</v>
      </c>
      <c r="V201" s="39" t="s">
        <v>46</v>
      </c>
      <c r="W201" s="40" t="s">
        <v>0</v>
      </c>
      <c r="X201" s="58">
        <v>0</v>
      </c>
      <c r="Y201" s="55">
        <f t="shared" si="21"/>
        <v>0</v>
      </c>
      <c r="Z201" s="41" t="str">
        <f t="shared" si="22"/>
        <v/>
      </c>
      <c r="AA201" s="68" t="s">
        <v>46</v>
      </c>
      <c r="AB201" s="69" t="s">
        <v>46</v>
      </c>
      <c r="AC201" s="276" t="s">
        <v>350</v>
      </c>
      <c r="AG201" s="78"/>
      <c r="AJ201" s="84" t="s">
        <v>46</v>
      </c>
      <c r="AK201" s="84">
        <v>0</v>
      </c>
      <c r="BB201" s="277" t="s">
        <v>67</v>
      </c>
      <c r="BM201" s="78">
        <f t="shared" si="23"/>
        <v>0</v>
      </c>
      <c r="BN201" s="78">
        <f t="shared" si="24"/>
        <v>0</v>
      </c>
      <c r="BO201" s="78">
        <f t="shared" si="25"/>
        <v>0</v>
      </c>
      <c r="BP201" s="78">
        <f t="shared" si="26"/>
        <v>0</v>
      </c>
    </row>
    <row r="202" spans="1:68" ht="27" hidden="1" customHeight="1" x14ac:dyDescent="0.25">
      <c r="A202" s="63" t="s">
        <v>351</v>
      </c>
      <c r="B202" s="63" t="s">
        <v>352</v>
      </c>
      <c r="C202" s="36">
        <v>4301012341</v>
      </c>
      <c r="D202" s="654">
        <v>4680115888807</v>
      </c>
      <c r="E202" s="654"/>
      <c r="F202" s="62">
        <v>1.4</v>
      </c>
      <c r="G202" s="37">
        <v>6</v>
      </c>
      <c r="H202" s="62">
        <v>8.4</v>
      </c>
      <c r="I202" s="62">
        <v>8.81</v>
      </c>
      <c r="J202" s="37">
        <v>64</v>
      </c>
      <c r="K202" s="37" t="s">
        <v>127</v>
      </c>
      <c r="L202" s="37" t="s">
        <v>46</v>
      </c>
      <c r="M202" s="38" t="s">
        <v>90</v>
      </c>
      <c r="N202" s="38"/>
      <c r="O202" s="37">
        <v>35</v>
      </c>
      <c r="P202" s="847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2" s="656"/>
      <c r="R202" s="656"/>
      <c r="S202" s="656"/>
      <c r="T202" s="657"/>
      <c r="U202" s="39" t="s">
        <v>46</v>
      </c>
      <c r="V202" s="39" t="s">
        <v>46</v>
      </c>
      <c r="W202" s="40" t="s">
        <v>0</v>
      </c>
      <c r="X202" s="58">
        <v>0</v>
      </c>
      <c r="Y202" s="55">
        <f t="shared" si="21"/>
        <v>0</v>
      </c>
      <c r="Z202" s="41" t="str">
        <f t="shared" si="22"/>
        <v/>
      </c>
      <c r="AA202" s="68" t="s">
        <v>46</v>
      </c>
      <c r="AB202" s="69" t="s">
        <v>46</v>
      </c>
      <c r="AC202" s="278" t="s">
        <v>353</v>
      </c>
      <c r="AG202" s="78"/>
      <c r="AJ202" s="84" t="s">
        <v>46</v>
      </c>
      <c r="AK202" s="84">
        <v>0</v>
      </c>
      <c r="BB202" s="279" t="s">
        <v>67</v>
      </c>
      <c r="BM202" s="78">
        <f t="shared" si="23"/>
        <v>0</v>
      </c>
      <c r="BN202" s="78">
        <f t="shared" si="24"/>
        <v>0</v>
      </c>
      <c r="BO202" s="78">
        <f t="shared" si="25"/>
        <v>0</v>
      </c>
      <c r="BP202" s="78">
        <f t="shared" si="26"/>
        <v>0</v>
      </c>
    </row>
    <row r="203" spans="1:68" ht="27" hidden="1" customHeight="1" x14ac:dyDescent="0.25">
      <c r="A203" s="63" t="s">
        <v>354</v>
      </c>
      <c r="B203" s="63" t="s">
        <v>355</v>
      </c>
      <c r="C203" s="36">
        <v>4301012342</v>
      </c>
      <c r="D203" s="654">
        <v>4680115888852</v>
      </c>
      <c r="E203" s="654"/>
      <c r="F203" s="62">
        <v>0.9</v>
      </c>
      <c r="G203" s="37">
        <v>6</v>
      </c>
      <c r="H203" s="62">
        <v>5.4</v>
      </c>
      <c r="I203" s="62">
        <v>5.81</v>
      </c>
      <c r="J203" s="37">
        <v>64</v>
      </c>
      <c r="K203" s="37" t="s">
        <v>127</v>
      </c>
      <c r="L203" s="37" t="s">
        <v>46</v>
      </c>
      <c r="M203" s="38" t="s">
        <v>90</v>
      </c>
      <c r="N203" s="38"/>
      <c r="O203" s="37">
        <v>35</v>
      </c>
      <c r="P203" s="848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3" s="656"/>
      <c r="R203" s="656"/>
      <c r="S203" s="656"/>
      <c r="T203" s="657"/>
      <c r="U203" s="39" t="s">
        <v>46</v>
      </c>
      <c r="V203" s="39" t="s">
        <v>46</v>
      </c>
      <c r="W203" s="40" t="s">
        <v>0</v>
      </c>
      <c r="X203" s="58">
        <v>0</v>
      </c>
      <c r="Y203" s="55">
        <f t="shared" si="21"/>
        <v>0</v>
      </c>
      <c r="Z203" s="41" t="str">
        <f t="shared" si="22"/>
        <v/>
      </c>
      <c r="AA203" s="68" t="s">
        <v>46</v>
      </c>
      <c r="AB203" s="69" t="s">
        <v>46</v>
      </c>
      <c r="AC203" s="280" t="s">
        <v>356</v>
      </c>
      <c r="AG203" s="78"/>
      <c r="AJ203" s="84" t="s">
        <v>46</v>
      </c>
      <c r="AK203" s="84">
        <v>0</v>
      </c>
      <c r="BB203" s="281" t="s">
        <v>67</v>
      </c>
      <c r="BM203" s="78">
        <f t="shared" si="23"/>
        <v>0</v>
      </c>
      <c r="BN203" s="78">
        <f t="shared" si="24"/>
        <v>0</v>
      </c>
      <c r="BO203" s="78">
        <f t="shared" si="25"/>
        <v>0</v>
      </c>
      <c r="BP203" s="78">
        <f t="shared" si="26"/>
        <v>0</v>
      </c>
    </row>
    <row r="204" spans="1:68" ht="37.5" hidden="1" customHeight="1" x14ac:dyDescent="0.25">
      <c r="A204" s="63" t="s">
        <v>357</v>
      </c>
      <c r="B204" s="63" t="s">
        <v>358</v>
      </c>
      <c r="C204" s="36">
        <v>4301012370</v>
      </c>
      <c r="D204" s="654">
        <v>4680115886957</v>
      </c>
      <c r="E204" s="654"/>
      <c r="F204" s="62">
        <v>1.35</v>
      </c>
      <c r="G204" s="37">
        <v>8</v>
      </c>
      <c r="H204" s="62">
        <v>10.8</v>
      </c>
      <c r="I204" s="62">
        <v>11.29</v>
      </c>
      <c r="J204" s="37">
        <v>64</v>
      </c>
      <c r="K204" s="37" t="s">
        <v>127</v>
      </c>
      <c r="L204" s="37" t="s">
        <v>46</v>
      </c>
      <c r="M204" s="38" t="s">
        <v>90</v>
      </c>
      <c r="N204" s="38"/>
      <c r="O204" s="37">
        <v>35</v>
      </c>
      <c r="P204" s="849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4" s="656"/>
      <c r="R204" s="656"/>
      <c r="S204" s="656"/>
      <c r="T204" s="657"/>
      <c r="U204" s="39" t="s">
        <v>46</v>
      </c>
      <c r="V204" s="39" t="s">
        <v>46</v>
      </c>
      <c r="W204" s="40" t="s">
        <v>0</v>
      </c>
      <c r="X204" s="58">
        <v>0</v>
      </c>
      <c r="Y204" s="55">
        <f t="shared" si="21"/>
        <v>0</v>
      </c>
      <c r="Z204" s="41" t="str">
        <f t="shared" si="22"/>
        <v/>
      </c>
      <c r="AA204" s="68" t="s">
        <v>46</v>
      </c>
      <c r="AB204" s="69" t="s">
        <v>46</v>
      </c>
      <c r="AC204" s="282" t="s">
        <v>359</v>
      </c>
      <c r="AG204" s="78"/>
      <c r="AJ204" s="84" t="s">
        <v>46</v>
      </c>
      <c r="AK204" s="84">
        <v>0</v>
      </c>
      <c r="BB204" s="283" t="s">
        <v>67</v>
      </c>
      <c r="BM204" s="78">
        <f t="shared" si="23"/>
        <v>0</v>
      </c>
      <c r="BN204" s="78">
        <f t="shared" si="24"/>
        <v>0</v>
      </c>
      <c r="BO204" s="78">
        <f t="shared" si="25"/>
        <v>0</v>
      </c>
      <c r="BP204" s="78">
        <f t="shared" si="26"/>
        <v>0</v>
      </c>
    </row>
    <row r="205" spans="1:68" ht="27" hidden="1" customHeight="1" x14ac:dyDescent="0.25">
      <c r="A205" s="63" t="s">
        <v>360</v>
      </c>
      <c r="B205" s="63" t="s">
        <v>361</v>
      </c>
      <c r="C205" s="36">
        <v>4301012098</v>
      </c>
      <c r="D205" s="654">
        <v>4680115885660</v>
      </c>
      <c r="E205" s="654"/>
      <c r="F205" s="62">
        <v>1.35</v>
      </c>
      <c r="G205" s="37">
        <v>8</v>
      </c>
      <c r="H205" s="62">
        <v>10.8</v>
      </c>
      <c r="I205" s="62">
        <v>11.21</v>
      </c>
      <c r="J205" s="37">
        <v>64</v>
      </c>
      <c r="K205" s="37" t="s">
        <v>127</v>
      </c>
      <c r="L205" s="37" t="s">
        <v>46</v>
      </c>
      <c r="M205" s="38" t="s">
        <v>90</v>
      </c>
      <c r="N205" s="38"/>
      <c r="O205" s="37">
        <v>35</v>
      </c>
      <c r="P205" s="850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5" s="656"/>
      <c r="R205" s="656"/>
      <c r="S205" s="656"/>
      <c r="T205" s="657"/>
      <c r="U205" s="39" t="s">
        <v>46</v>
      </c>
      <c r="V205" s="39" t="s">
        <v>46</v>
      </c>
      <c r="W205" s="40" t="s">
        <v>0</v>
      </c>
      <c r="X205" s="58">
        <v>0</v>
      </c>
      <c r="Y205" s="55">
        <f t="shared" si="21"/>
        <v>0</v>
      </c>
      <c r="Z205" s="41" t="str">
        <f t="shared" si="22"/>
        <v/>
      </c>
      <c r="AA205" s="68" t="s">
        <v>46</v>
      </c>
      <c r="AB205" s="69" t="s">
        <v>46</v>
      </c>
      <c r="AC205" s="284" t="s">
        <v>362</v>
      </c>
      <c r="AG205" s="78"/>
      <c r="AJ205" s="84" t="s">
        <v>46</v>
      </c>
      <c r="AK205" s="84">
        <v>0</v>
      </c>
      <c r="BB205" s="285" t="s">
        <v>67</v>
      </c>
      <c r="BM205" s="78">
        <f t="shared" si="23"/>
        <v>0</v>
      </c>
      <c r="BN205" s="78">
        <f t="shared" si="24"/>
        <v>0</v>
      </c>
      <c r="BO205" s="78">
        <f t="shared" si="25"/>
        <v>0</v>
      </c>
      <c r="BP205" s="78">
        <f t="shared" si="26"/>
        <v>0</v>
      </c>
    </row>
    <row r="206" spans="1:68" ht="27" hidden="1" customHeight="1" x14ac:dyDescent="0.25">
      <c r="A206" s="63" t="s">
        <v>363</v>
      </c>
      <c r="B206" s="63" t="s">
        <v>364</v>
      </c>
      <c r="C206" s="36">
        <v>4301012369</v>
      </c>
      <c r="D206" s="654">
        <v>4680115886773</v>
      </c>
      <c r="E206" s="654"/>
      <c r="F206" s="62">
        <v>0.9</v>
      </c>
      <c r="G206" s="37">
        <v>10</v>
      </c>
      <c r="H206" s="62">
        <v>9</v>
      </c>
      <c r="I206" s="62">
        <v>9.51</v>
      </c>
      <c r="J206" s="37">
        <v>64</v>
      </c>
      <c r="K206" s="37" t="s">
        <v>127</v>
      </c>
      <c r="L206" s="37" t="s">
        <v>46</v>
      </c>
      <c r="M206" s="38" t="s">
        <v>90</v>
      </c>
      <c r="N206" s="38"/>
      <c r="O206" s="37">
        <v>35</v>
      </c>
      <c r="P206" s="851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6" s="656"/>
      <c r="R206" s="656"/>
      <c r="S206" s="656"/>
      <c r="T206" s="657"/>
      <c r="U206" s="39" t="s">
        <v>46</v>
      </c>
      <c r="V206" s="39" t="s">
        <v>46</v>
      </c>
      <c r="W206" s="40" t="s">
        <v>0</v>
      </c>
      <c r="X206" s="58">
        <v>0</v>
      </c>
      <c r="Y206" s="55">
        <f t="shared" si="21"/>
        <v>0</v>
      </c>
      <c r="Z206" s="41" t="str">
        <f t="shared" si="22"/>
        <v/>
      </c>
      <c r="AA206" s="68" t="s">
        <v>46</v>
      </c>
      <c r="AB206" s="69" t="s">
        <v>46</v>
      </c>
      <c r="AC206" s="286" t="s">
        <v>365</v>
      </c>
      <c r="AG206" s="78"/>
      <c r="AJ206" s="84" t="s">
        <v>46</v>
      </c>
      <c r="AK206" s="84">
        <v>0</v>
      </c>
      <c r="BB206" s="287" t="s">
        <v>67</v>
      </c>
      <c r="BM206" s="78">
        <f t="shared" si="23"/>
        <v>0</v>
      </c>
      <c r="BN206" s="78">
        <f t="shared" si="24"/>
        <v>0</v>
      </c>
      <c r="BO206" s="78">
        <f t="shared" si="25"/>
        <v>0</v>
      </c>
      <c r="BP206" s="78">
        <f t="shared" si="26"/>
        <v>0</v>
      </c>
    </row>
    <row r="207" spans="1:68" hidden="1" x14ac:dyDescent="0.2">
      <c r="A207" s="661"/>
      <c r="B207" s="661"/>
      <c r="C207" s="661"/>
      <c r="D207" s="661"/>
      <c r="E207" s="661"/>
      <c r="F207" s="661"/>
      <c r="G207" s="661"/>
      <c r="H207" s="661"/>
      <c r="I207" s="661"/>
      <c r="J207" s="661"/>
      <c r="K207" s="661"/>
      <c r="L207" s="661"/>
      <c r="M207" s="661"/>
      <c r="N207" s="661"/>
      <c r="O207" s="662"/>
      <c r="P207" s="658" t="s">
        <v>40</v>
      </c>
      <c r="Q207" s="659"/>
      <c r="R207" s="659"/>
      <c r="S207" s="659"/>
      <c r="T207" s="659"/>
      <c r="U207" s="659"/>
      <c r="V207" s="660"/>
      <c r="W207" s="42" t="s">
        <v>39</v>
      </c>
      <c r="X207" s="43">
        <f>IFERROR(X200/H200,"0")+IFERROR(X201/H201,"0")+IFERROR(X202/H202,"0")+IFERROR(X203/H203,"0")+IFERROR(X204/H204,"0")+IFERROR(X205/H205,"0")+IFERROR(X206/H206,"0")</f>
        <v>0</v>
      </c>
      <c r="Y207" s="43">
        <f>IFERROR(Y200/H200,"0")+IFERROR(Y201/H201,"0")+IFERROR(Y202/H202,"0")+IFERROR(Y203/H203,"0")+IFERROR(Y204/H204,"0")+IFERROR(Y205/H205,"0")+IFERROR(Y206/H206,"0")</f>
        <v>0</v>
      </c>
      <c r="Z207" s="43">
        <f>IFERROR(IF(Z200="",0,Z200),"0")+IFERROR(IF(Z201="",0,Z201),"0")+IFERROR(IF(Z202="",0,Z202),"0")+IFERROR(IF(Z203="",0,Z203),"0")+IFERROR(IF(Z204="",0,Z204),"0")+IFERROR(IF(Z205="",0,Z205),"0")+IFERROR(IF(Z206="",0,Z206),"0")</f>
        <v>0</v>
      </c>
      <c r="AA207" s="67"/>
      <c r="AB207" s="67"/>
      <c r="AC207" s="67"/>
    </row>
    <row r="208" spans="1:68" hidden="1" x14ac:dyDescent="0.2">
      <c r="A208" s="661"/>
      <c r="B208" s="661"/>
      <c r="C208" s="661"/>
      <c r="D208" s="661"/>
      <c r="E208" s="661"/>
      <c r="F208" s="661"/>
      <c r="G208" s="661"/>
      <c r="H208" s="661"/>
      <c r="I208" s="661"/>
      <c r="J208" s="661"/>
      <c r="K208" s="661"/>
      <c r="L208" s="661"/>
      <c r="M208" s="661"/>
      <c r="N208" s="661"/>
      <c r="O208" s="662"/>
      <c r="P208" s="658" t="s">
        <v>40</v>
      </c>
      <c r="Q208" s="659"/>
      <c r="R208" s="659"/>
      <c r="S208" s="659"/>
      <c r="T208" s="659"/>
      <c r="U208" s="659"/>
      <c r="V208" s="660"/>
      <c r="W208" s="42" t="s">
        <v>0</v>
      </c>
      <c r="X208" s="43">
        <f>IFERROR(SUM(X200:X206),"0")</f>
        <v>0</v>
      </c>
      <c r="Y208" s="43">
        <f>IFERROR(SUM(Y200:Y206),"0")</f>
        <v>0</v>
      </c>
      <c r="Z208" s="42"/>
      <c r="AA208" s="67"/>
      <c r="AB208" s="67"/>
      <c r="AC208" s="67"/>
    </row>
    <row r="209" spans="1:68" ht="16.5" hidden="1" customHeight="1" x14ac:dyDescent="0.25">
      <c r="A209" s="652" t="s">
        <v>366</v>
      </c>
      <c r="B209" s="652"/>
      <c r="C209" s="652"/>
      <c r="D209" s="652"/>
      <c r="E209" s="652"/>
      <c r="F209" s="652"/>
      <c r="G209" s="652"/>
      <c r="H209" s="652"/>
      <c r="I209" s="652"/>
      <c r="J209" s="652"/>
      <c r="K209" s="652"/>
      <c r="L209" s="652"/>
      <c r="M209" s="652"/>
      <c r="N209" s="652"/>
      <c r="O209" s="652"/>
      <c r="P209" s="652"/>
      <c r="Q209" s="652"/>
      <c r="R209" s="652"/>
      <c r="S209" s="652"/>
      <c r="T209" s="652"/>
      <c r="U209" s="652"/>
      <c r="V209" s="652"/>
      <c r="W209" s="652"/>
      <c r="X209" s="652"/>
      <c r="Y209" s="652"/>
      <c r="Z209" s="652"/>
      <c r="AA209" s="65"/>
      <c r="AB209" s="65"/>
      <c r="AC209" s="79"/>
    </row>
    <row r="210" spans="1:68" ht="14.25" hidden="1" customHeight="1" x14ac:dyDescent="0.25">
      <c r="A210" s="653" t="s">
        <v>157</v>
      </c>
      <c r="B210" s="653"/>
      <c r="C210" s="653"/>
      <c r="D210" s="653"/>
      <c r="E210" s="653"/>
      <c r="F210" s="653"/>
      <c r="G210" s="653"/>
      <c r="H210" s="653"/>
      <c r="I210" s="653"/>
      <c r="J210" s="653"/>
      <c r="K210" s="653"/>
      <c r="L210" s="653"/>
      <c r="M210" s="653"/>
      <c r="N210" s="653"/>
      <c r="O210" s="653"/>
      <c r="P210" s="653"/>
      <c r="Q210" s="653"/>
      <c r="R210" s="653"/>
      <c r="S210" s="653"/>
      <c r="T210" s="653"/>
      <c r="U210" s="653"/>
      <c r="V210" s="653"/>
      <c r="W210" s="653"/>
      <c r="X210" s="653"/>
      <c r="Y210" s="653"/>
      <c r="Z210" s="653"/>
      <c r="AA210" s="66"/>
      <c r="AB210" s="66"/>
      <c r="AC210" s="80"/>
    </row>
    <row r="211" spans="1:68" ht="27" hidden="1" customHeight="1" x14ac:dyDescent="0.25">
      <c r="A211" s="63" t="s">
        <v>367</v>
      </c>
      <c r="B211" s="63" t="s">
        <v>368</v>
      </c>
      <c r="C211" s="36">
        <v>4301020323</v>
      </c>
      <c r="D211" s="654">
        <v>4680115886223</v>
      </c>
      <c r="E211" s="654"/>
      <c r="F211" s="62">
        <v>0.33</v>
      </c>
      <c r="G211" s="37">
        <v>6</v>
      </c>
      <c r="H211" s="62">
        <v>1.98</v>
      </c>
      <c r="I211" s="62">
        <v>2.08</v>
      </c>
      <c r="J211" s="37">
        <v>234</v>
      </c>
      <c r="K211" s="37" t="s">
        <v>82</v>
      </c>
      <c r="L211" s="37" t="s">
        <v>46</v>
      </c>
      <c r="M211" s="38" t="s">
        <v>81</v>
      </c>
      <c r="N211" s="38"/>
      <c r="O211" s="37">
        <v>40</v>
      </c>
      <c r="P211" s="846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1" s="656"/>
      <c r="R211" s="656"/>
      <c r="S211" s="656"/>
      <c r="T211" s="657"/>
      <c r="U211" s="39" t="s">
        <v>46</v>
      </c>
      <c r="V211" s="39" t="s">
        <v>46</v>
      </c>
      <c r="W211" s="40" t="s">
        <v>0</v>
      </c>
      <c r="X211" s="58">
        <v>0</v>
      </c>
      <c r="Y211" s="55">
        <f>IFERROR(IF(X211="",0,CEILING((X211/$H211),1)*$H211),"")</f>
        <v>0</v>
      </c>
      <c r="Z211" s="41" t="str">
        <f>IFERROR(IF(Y211=0,"",ROUNDUP(Y211/H211,0)*0.00502),"")</f>
        <v/>
      </c>
      <c r="AA211" s="68" t="s">
        <v>46</v>
      </c>
      <c r="AB211" s="69" t="s">
        <v>46</v>
      </c>
      <c r="AC211" s="288" t="s">
        <v>369</v>
      </c>
      <c r="AG211" s="78"/>
      <c r="AJ211" s="84" t="s">
        <v>46</v>
      </c>
      <c r="AK211" s="84">
        <v>0</v>
      </c>
      <c r="BB211" s="289" t="s">
        <v>67</v>
      </c>
      <c r="BM211" s="78">
        <f>IFERROR(X211*I211/H211,"0")</f>
        <v>0</v>
      </c>
      <c r="BN211" s="78">
        <f>IFERROR(Y211*I211/H211,"0")</f>
        <v>0</v>
      </c>
      <c r="BO211" s="78">
        <f>IFERROR(1/J211*(X211/H211),"0")</f>
        <v>0</v>
      </c>
      <c r="BP211" s="78">
        <f>IFERROR(1/J211*(Y211/H211),"0")</f>
        <v>0</v>
      </c>
    </row>
    <row r="212" spans="1:68" hidden="1" x14ac:dyDescent="0.2">
      <c r="A212" s="661"/>
      <c r="B212" s="661"/>
      <c r="C212" s="661"/>
      <c r="D212" s="661"/>
      <c r="E212" s="661"/>
      <c r="F212" s="661"/>
      <c r="G212" s="661"/>
      <c r="H212" s="661"/>
      <c r="I212" s="661"/>
      <c r="J212" s="661"/>
      <c r="K212" s="661"/>
      <c r="L212" s="661"/>
      <c r="M212" s="661"/>
      <c r="N212" s="661"/>
      <c r="O212" s="662"/>
      <c r="P212" s="658" t="s">
        <v>40</v>
      </c>
      <c r="Q212" s="659"/>
      <c r="R212" s="659"/>
      <c r="S212" s="659"/>
      <c r="T212" s="659"/>
      <c r="U212" s="659"/>
      <c r="V212" s="660"/>
      <c r="W212" s="42" t="s">
        <v>39</v>
      </c>
      <c r="X212" s="43">
        <f>IFERROR(X211/H211,"0")</f>
        <v>0</v>
      </c>
      <c r="Y212" s="43">
        <f>IFERROR(Y211/H211,"0")</f>
        <v>0</v>
      </c>
      <c r="Z212" s="43">
        <f>IFERROR(IF(Z211="",0,Z211),"0")</f>
        <v>0</v>
      </c>
      <c r="AA212" s="67"/>
      <c r="AB212" s="67"/>
      <c r="AC212" s="67"/>
    </row>
    <row r="213" spans="1:68" hidden="1" x14ac:dyDescent="0.2">
      <c r="A213" s="661"/>
      <c r="B213" s="661"/>
      <c r="C213" s="661"/>
      <c r="D213" s="661"/>
      <c r="E213" s="661"/>
      <c r="F213" s="661"/>
      <c r="G213" s="661"/>
      <c r="H213" s="661"/>
      <c r="I213" s="661"/>
      <c r="J213" s="661"/>
      <c r="K213" s="661"/>
      <c r="L213" s="661"/>
      <c r="M213" s="661"/>
      <c r="N213" s="661"/>
      <c r="O213" s="662"/>
      <c r="P213" s="658" t="s">
        <v>40</v>
      </c>
      <c r="Q213" s="659"/>
      <c r="R213" s="659"/>
      <c r="S213" s="659"/>
      <c r="T213" s="659"/>
      <c r="U213" s="659"/>
      <c r="V213" s="660"/>
      <c r="W213" s="42" t="s">
        <v>0</v>
      </c>
      <c r="X213" s="43">
        <f>IFERROR(SUM(X211:X211),"0")</f>
        <v>0</v>
      </c>
      <c r="Y213" s="43">
        <f>IFERROR(SUM(Y211:Y211),"0")</f>
        <v>0</v>
      </c>
      <c r="Z213" s="42"/>
      <c r="AA213" s="67"/>
      <c r="AB213" s="67"/>
      <c r="AC213" s="67"/>
    </row>
    <row r="214" spans="1:68" ht="14.25" hidden="1" customHeight="1" x14ac:dyDescent="0.25">
      <c r="A214" s="653" t="s">
        <v>77</v>
      </c>
      <c r="B214" s="653"/>
      <c r="C214" s="653"/>
      <c r="D214" s="653"/>
      <c r="E214" s="653"/>
      <c r="F214" s="653"/>
      <c r="G214" s="653"/>
      <c r="H214" s="653"/>
      <c r="I214" s="653"/>
      <c r="J214" s="653"/>
      <c r="K214" s="653"/>
      <c r="L214" s="653"/>
      <c r="M214" s="653"/>
      <c r="N214" s="653"/>
      <c r="O214" s="653"/>
      <c r="P214" s="653"/>
      <c r="Q214" s="653"/>
      <c r="R214" s="653"/>
      <c r="S214" s="653"/>
      <c r="T214" s="653"/>
      <c r="U214" s="653"/>
      <c r="V214" s="653"/>
      <c r="W214" s="653"/>
      <c r="X214" s="653"/>
      <c r="Y214" s="653"/>
      <c r="Z214" s="653"/>
      <c r="AA214" s="66"/>
      <c r="AB214" s="66"/>
      <c r="AC214" s="80"/>
    </row>
    <row r="215" spans="1:68" ht="27" hidden="1" customHeight="1" x14ac:dyDescent="0.25">
      <c r="A215" s="63" t="s">
        <v>370</v>
      </c>
      <c r="B215" s="63" t="s">
        <v>371</v>
      </c>
      <c r="C215" s="36">
        <v>4301031191</v>
      </c>
      <c r="D215" s="654">
        <v>4680115880993</v>
      </c>
      <c r="E215" s="654"/>
      <c r="F215" s="62">
        <v>0.7</v>
      </c>
      <c r="G215" s="37">
        <v>6</v>
      </c>
      <c r="H215" s="62">
        <v>4.2</v>
      </c>
      <c r="I215" s="62">
        <v>4.45</v>
      </c>
      <c r="J215" s="37">
        <v>132</v>
      </c>
      <c r="K215" s="37" t="s">
        <v>134</v>
      </c>
      <c r="L215" s="37" t="s">
        <v>46</v>
      </c>
      <c r="M215" s="38" t="s">
        <v>81</v>
      </c>
      <c r="N215" s="38"/>
      <c r="O215" s="37">
        <v>40</v>
      </c>
      <c r="P215" s="842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5" s="656"/>
      <c r="R215" s="656"/>
      <c r="S215" s="656"/>
      <c r="T215" s="657"/>
      <c r="U215" s="39" t="s">
        <v>46</v>
      </c>
      <c r="V215" s="39" t="s">
        <v>46</v>
      </c>
      <c r="W215" s="40" t="s">
        <v>0</v>
      </c>
      <c r="X215" s="58">
        <v>0</v>
      </c>
      <c r="Y215" s="55">
        <f t="shared" ref="Y215:Y229" si="27">IFERROR(IF(X215="",0,CEILING((X215/$H215),1)*$H215),"")</f>
        <v>0</v>
      </c>
      <c r="Z215" s="41" t="str">
        <f>IFERROR(IF(Y215=0,"",ROUNDUP(Y215/H215,0)*0.00902),"")</f>
        <v/>
      </c>
      <c r="AA215" s="68" t="s">
        <v>46</v>
      </c>
      <c r="AB215" s="69" t="s">
        <v>46</v>
      </c>
      <c r="AC215" s="290" t="s">
        <v>372</v>
      </c>
      <c r="AG215" s="78"/>
      <c r="AJ215" s="84" t="s">
        <v>46</v>
      </c>
      <c r="AK215" s="84">
        <v>0</v>
      </c>
      <c r="BB215" s="291" t="s">
        <v>67</v>
      </c>
      <c r="BM215" s="78">
        <f t="shared" ref="BM215:BM229" si="28">IFERROR(X215*I215/H215,"0")</f>
        <v>0</v>
      </c>
      <c r="BN215" s="78">
        <f t="shared" ref="BN215:BN229" si="29">IFERROR(Y215*I215/H215,"0")</f>
        <v>0</v>
      </c>
      <c r="BO215" s="78">
        <f t="shared" ref="BO215:BO229" si="30">IFERROR(1/J215*(X215/H215),"0")</f>
        <v>0</v>
      </c>
      <c r="BP215" s="78">
        <f t="shared" ref="BP215:BP229" si="31">IFERROR(1/J215*(Y215/H215),"0")</f>
        <v>0</v>
      </c>
    </row>
    <row r="216" spans="1:68" ht="27" hidden="1" customHeight="1" x14ac:dyDescent="0.25">
      <c r="A216" s="63" t="s">
        <v>373</v>
      </c>
      <c r="B216" s="63" t="s">
        <v>374</v>
      </c>
      <c r="C216" s="36">
        <v>4301031204</v>
      </c>
      <c r="D216" s="654">
        <v>4680115881761</v>
      </c>
      <c r="E216" s="654"/>
      <c r="F216" s="62">
        <v>0.7</v>
      </c>
      <c r="G216" s="37">
        <v>6</v>
      </c>
      <c r="H216" s="62">
        <v>4.2</v>
      </c>
      <c r="I216" s="62">
        <v>4.45</v>
      </c>
      <c r="J216" s="37">
        <v>132</v>
      </c>
      <c r="K216" s="37" t="s">
        <v>134</v>
      </c>
      <c r="L216" s="37" t="s">
        <v>46</v>
      </c>
      <c r="M216" s="38" t="s">
        <v>81</v>
      </c>
      <c r="N216" s="38"/>
      <c r="O216" s="37">
        <v>40</v>
      </c>
      <c r="P216" s="843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6" s="656"/>
      <c r="R216" s="656"/>
      <c r="S216" s="656"/>
      <c r="T216" s="657"/>
      <c r="U216" s="39" t="s">
        <v>46</v>
      </c>
      <c r="V216" s="39" t="s">
        <v>46</v>
      </c>
      <c r="W216" s="40" t="s">
        <v>0</v>
      </c>
      <c r="X216" s="58">
        <v>0</v>
      </c>
      <c r="Y216" s="55">
        <f t="shared" si="27"/>
        <v>0</v>
      </c>
      <c r="Z216" s="41" t="str">
        <f>IFERROR(IF(Y216=0,"",ROUNDUP(Y216/H216,0)*0.00902),"")</f>
        <v/>
      </c>
      <c r="AA216" s="68" t="s">
        <v>46</v>
      </c>
      <c r="AB216" s="69" t="s">
        <v>46</v>
      </c>
      <c r="AC216" s="292" t="s">
        <v>375</v>
      </c>
      <c r="AG216" s="78"/>
      <c r="AJ216" s="84" t="s">
        <v>46</v>
      </c>
      <c r="AK216" s="84">
        <v>0</v>
      </c>
      <c r="BB216" s="293" t="s">
        <v>67</v>
      </c>
      <c r="BM216" s="78">
        <f t="shared" si="28"/>
        <v>0</v>
      </c>
      <c r="BN216" s="78">
        <f t="shared" si="29"/>
        <v>0</v>
      </c>
      <c r="BO216" s="78">
        <f t="shared" si="30"/>
        <v>0</v>
      </c>
      <c r="BP216" s="78">
        <f t="shared" si="31"/>
        <v>0</v>
      </c>
    </row>
    <row r="217" spans="1:68" ht="27" hidden="1" customHeight="1" x14ac:dyDescent="0.25">
      <c r="A217" s="63" t="s">
        <v>376</v>
      </c>
      <c r="B217" s="63" t="s">
        <v>377</v>
      </c>
      <c r="C217" s="36">
        <v>4301031201</v>
      </c>
      <c r="D217" s="654">
        <v>4680115881563</v>
      </c>
      <c r="E217" s="654"/>
      <c r="F217" s="62">
        <v>0.7</v>
      </c>
      <c r="G217" s="37">
        <v>6</v>
      </c>
      <c r="H217" s="62">
        <v>4.2</v>
      </c>
      <c r="I217" s="62">
        <v>4.3899999999999997</v>
      </c>
      <c r="J217" s="37">
        <v>132</v>
      </c>
      <c r="K217" s="37" t="s">
        <v>134</v>
      </c>
      <c r="L217" s="37" t="s">
        <v>46</v>
      </c>
      <c r="M217" s="38" t="s">
        <v>81</v>
      </c>
      <c r="N217" s="38"/>
      <c r="O217" s="37">
        <v>40</v>
      </c>
      <c r="P217" s="844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7" s="656"/>
      <c r="R217" s="656"/>
      <c r="S217" s="656"/>
      <c r="T217" s="657"/>
      <c r="U217" s="39" t="s">
        <v>46</v>
      </c>
      <c r="V217" s="39" t="s">
        <v>46</v>
      </c>
      <c r="W217" s="40" t="s">
        <v>0</v>
      </c>
      <c r="X217" s="58">
        <v>0</v>
      </c>
      <c r="Y217" s="55">
        <f t="shared" si="27"/>
        <v>0</v>
      </c>
      <c r="Z217" s="41" t="str">
        <f>IFERROR(IF(Y217=0,"",ROUNDUP(Y217/H217,0)*0.00902),"")</f>
        <v/>
      </c>
      <c r="AA217" s="68" t="s">
        <v>46</v>
      </c>
      <c r="AB217" s="69" t="s">
        <v>46</v>
      </c>
      <c r="AC217" s="294" t="s">
        <v>378</v>
      </c>
      <c r="AG217" s="78"/>
      <c r="AJ217" s="84" t="s">
        <v>46</v>
      </c>
      <c r="AK217" s="84">
        <v>0</v>
      </c>
      <c r="BB217" s="295" t="s">
        <v>67</v>
      </c>
      <c r="BM217" s="78">
        <f t="shared" si="28"/>
        <v>0</v>
      </c>
      <c r="BN217" s="78">
        <f t="shared" si="29"/>
        <v>0</v>
      </c>
      <c r="BO217" s="78">
        <f t="shared" si="30"/>
        <v>0</v>
      </c>
      <c r="BP217" s="78">
        <f t="shared" si="31"/>
        <v>0</v>
      </c>
    </row>
    <row r="218" spans="1:68" ht="37.5" hidden="1" customHeight="1" x14ac:dyDescent="0.25">
      <c r="A218" s="63" t="s">
        <v>379</v>
      </c>
      <c r="B218" s="63" t="s">
        <v>380</v>
      </c>
      <c r="C218" s="36">
        <v>4301031447</v>
      </c>
      <c r="D218" s="654">
        <v>4680115887565</v>
      </c>
      <c r="E218" s="654"/>
      <c r="F218" s="62">
        <v>0.08</v>
      </c>
      <c r="G218" s="37">
        <v>10</v>
      </c>
      <c r="H218" s="62">
        <v>0.8</v>
      </c>
      <c r="I218" s="62">
        <v>0.93</v>
      </c>
      <c r="J218" s="37">
        <v>252</v>
      </c>
      <c r="K218" s="37" t="s">
        <v>82</v>
      </c>
      <c r="L218" s="37" t="s">
        <v>46</v>
      </c>
      <c r="M218" s="38" t="s">
        <v>81</v>
      </c>
      <c r="N218" s="38"/>
      <c r="O218" s="37">
        <v>45</v>
      </c>
      <c r="P218" s="845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8" s="656"/>
      <c r="R218" s="656"/>
      <c r="S218" s="656"/>
      <c r="T218" s="657"/>
      <c r="U218" s="39" t="s">
        <v>46</v>
      </c>
      <c r="V218" s="39" t="s">
        <v>46</v>
      </c>
      <c r="W218" s="40" t="s">
        <v>0</v>
      </c>
      <c r="X218" s="58">
        <v>0</v>
      </c>
      <c r="Y218" s="55">
        <f t="shared" si="27"/>
        <v>0</v>
      </c>
      <c r="Z218" s="41" t="str">
        <f>IFERROR(IF(Y218=0,"",ROUNDUP(Y218/H218,0)*0.00556),"")</f>
        <v/>
      </c>
      <c r="AA218" s="68" t="s">
        <v>46</v>
      </c>
      <c r="AB218" s="69" t="s">
        <v>46</v>
      </c>
      <c r="AC218" s="296" t="s">
        <v>381</v>
      </c>
      <c r="AG218" s="78"/>
      <c r="AJ218" s="84" t="s">
        <v>46</v>
      </c>
      <c r="AK218" s="84">
        <v>0</v>
      </c>
      <c r="BB218" s="297" t="s">
        <v>67</v>
      </c>
      <c r="BM218" s="78">
        <f t="shared" si="28"/>
        <v>0</v>
      </c>
      <c r="BN218" s="78">
        <f t="shared" si="29"/>
        <v>0</v>
      </c>
      <c r="BO218" s="78">
        <f t="shared" si="30"/>
        <v>0</v>
      </c>
      <c r="BP218" s="78">
        <f t="shared" si="31"/>
        <v>0</v>
      </c>
    </row>
    <row r="219" spans="1:68" ht="27" hidden="1" customHeight="1" x14ac:dyDescent="0.25">
      <c r="A219" s="63" t="s">
        <v>382</v>
      </c>
      <c r="B219" s="63" t="s">
        <v>383</v>
      </c>
      <c r="C219" s="36">
        <v>4301031199</v>
      </c>
      <c r="D219" s="654">
        <v>4680115880986</v>
      </c>
      <c r="E219" s="654"/>
      <c r="F219" s="62">
        <v>0.35</v>
      </c>
      <c r="G219" s="37">
        <v>6</v>
      </c>
      <c r="H219" s="62">
        <v>2.1</v>
      </c>
      <c r="I219" s="62">
        <v>2.23</v>
      </c>
      <c r="J219" s="37">
        <v>234</v>
      </c>
      <c r="K219" s="37" t="s">
        <v>82</v>
      </c>
      <c r="L219" s="37" t="s">
        <v>46</v>
      </c>
      <c r="M219" s="38" t="s">
        <v>81</v>
      </c>
      <c r="N219" s="38"/>
      <c r="O219" s="37">
        <v>40</v>
      </c>
      <c r="P219" s="83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9" s="656"/>
      <c r="R219" s="656"/>
      <c r="S219" s="656"/>
      <c r="T219" s="657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si="27"/>
        <v>0</v>
      </c>
      <c r="Z219" s="41" t="str">
        <f t="shared" ref="Z219:Z224" si="32">IFERROR(IF(Y219=0,"",ROUNDUP(Y219/H219,0)*0.00502),"")</f>
        <v/>
      </c>
      <c r="AA219" s="68" t="s">
        <v>46</v>
      </c>
      <c r="AB219" s="69" t="s">
        <v>46</v>
      </c>
      <c r="AC219" s="298" t="s">
        <v>372</v>
      </c>
      <c r="AG219" s="78"/>
      <c r="AJ219" s="84" t="s">
        <v>46</v>
      </c>
      <c r="AK219" s="84">
        <v>0</v>
      </c>
      <c r="BB219" s="299" t="s">
        <v>67</v>
      </c>
      <c r="BM219" s="78">
        <f t="shared" si="28"/>
        <v>0</v>
      </c>
      <c r="BN219" s="78">
        <f t="shared" si="29"/>
        <v>0</v>
      </c>
      <c r="BO219" s="78">
        <f t="shared" si="30"/>
        <v>0</v>
      </c>
      <c r="BP219" s="78">
        <f t="shared" si="31"/>
        <v>0</v>
      </c>
    </row>
    <row r="220" spans="1:68" ht="27" hidden="1" customHeight="1" x14ac:dyDescent="0.25">
      <c r="A220" s="63" t="s">
        <v>384</v>
      </c>
      <c r="B220" s="63" t="s">
        <v>385</v>
      </c>
      <c r="C220" s="36">
        <v>4301031443</v>
      </c>
      <c r="D220" s="654">
        <v>4680115887213</v>
      </c>
      <c r="E220" s="654"/>
      <c r="F220" s="62">
        <v>0.3</v>
      </c>
      <c r="G220" s="37">
        <v>6</v>
      </c>
      <c r="H220" s="62">
        <v>1.8</v>
      </c>
      <c r="I220" s="62">
        <v>1.9</v>
      </c>
      <c r="J220" s="37">
        <v>234</v>
      </c>
      <c r="K220" s="37" t="s">
        <v>82</v>
      </c>
      <c r="L220" s="37" t="s">
        <v>46</v>
      </c>
      <c r="M220" s="38" t="s">
        <v>81</v>
      </c>
      <c r="N220" s="38"/>
      <c r="O220" s="37">
        <v>45</v>
      </c>
      <c r="P220" s="838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0" s="656"/>
      <c r="R220" s="656"/>
      <c r="S220" s="656"/>
      <c r="T220" s="657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27"/>
        <v>0</v>
      </c>
      <c r="Z220" s="41" t="str">
        <f t="shared" si="32"/>
        <v/>
      </c>
      <c r="AA220" s="68" t="s">
        <v>46</v>
      </c>
      <c r="AB220" s="69" t="s">
        <v>46</v>
      </c>
      <c r="AC220" s="300" t="s">
        <v>386</v>
      </c>
      <c r="AG220" s="78"/>
      <c r="AJ220" s="84" t="s">
        <v>46</v>
      </c>
      <c r="AK220" s="84">
        <v>0</v>
      </c>
      <c r="BB220" s="301" t="s">
        <v>67</v>
      </c>
      <c r="BM220" s="78">
        <f t="shared" si="28"/>
        <v>0</v>
      </c>
      <c r="BN220" s="78">
        <f t="shared" si="29"/>
        <v>0</v>
      </c>
      <c r="BO220" s="78">
        <f t="shared" si="30"/>
        <v>0</v>
      </c>
      <c r="BP220" s="78">
        <f t="shared" si="31"/>
        <v>0</v>
      </c>
    </row>
    <row r="221" spans="1:68" ht="27" hidden="1" customHeight="1" x14ac:dyDescent="0.25">
      <c r="A221" s="63" t="s">
        <v>387</v>
      </c>
      <c r="B221" s="63" t="s">
        <v>388</v>
      </c>
      <c r="C221" s="36">
        <v>4301031205</v>
      </c>
      <c r="D221" s="654">
        <v>4680115881785</v>
      </c>
      <c r="E221" s="654"/>
      <c r="F221" s="62">
        <v>0.35</v>
      </c>
      <c r="G221" s="37">
        <v>6</v>
      </c>
      <c r="H221" s="62">
        <v>2.1</v>
      </c>
      <c r="I221" s="62">
        <v>2.23</v>
      </c>
      <c r="J221" s="37">
        <v>234</v>
      </c>
      <c r="K221" s="37" t="s">
        <v>82</v>
      </c>
      <c r="L221" s="37" t="s">
        <v>46</v>
      </c>
      <c r="M221" s="38" t="s">
        <v>81</v>
      </c>
      <c r="N221" s="38"/>
      <c r="O221" s="37">
        <v>40</v>
      </c>
      <c r="P221" s="839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1" s="656"/>
      <c r="R221" s="656"/>
      <c r="S221" s="656"/>
      <c r="T221" s="657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27"/>
        <v>0</v>
      </c>
      <c r="Z221" s="41" t="str">
        <f t="shared" si="32"/>
        <v/>
      </c>
      <c r="AA221" s="68" t="s">
        <v>46</v>
      </c>
      <c r="AB221" s="69" t="s">
        <v>46</v>
      </c>
      <c r="AC221" s="302" t="s">
        <v>375</v>
      </c>
      <c r="AG221" s="78"/>
      <c r="AJ221" s="84" t="s">
        <v>46</v>
      </c>
      <c r="AK221" s="84">
        <v>0</v>
      </c>
      <c r="BB221" s="303" t="s">
        <v>67</v>
      </c>
      <c r="BM221" s="78">
        <f t="shared" si="28"/>
        <v>0</v>
      </c>
      <c r="BN221" s="78">
        <f t="shared" si="29"/>
        <v>0</v>
      </c>
      <c r="BO221" s="78">
        <f t="shared" si="30"/>
        <v>0</v>
      </c>
      <c r="BP221" s="78">
        <f t="shared" si="31"/>
        <v>0</v>
      </c>
    </row>
    <row r="222" spans="1:68" ht="27" hidden="1" customHeight="1" x14ac:dyDescent="0.25">
      <c r="A222" s="63" t="s">
        <v>389</v>
      </c>
      <c r="B222" s="63" t="s">
        <v>390</v>
      </c>
      <c r="C222" s="36">
        <v>4301031499</v>
      </c>
      <c r="D222" s="654">
        <v>4680115888432</v>
      </c>
      <c r="E222" s="654"/>
      <c r="F222" s="62">
        <v>0.3</v>
      </c>
      <c r="G222" s="37">
        <v>6</v>
      </c>
      <c r="H222" s="62">
        <v>1.8</v>
      </c>
      <c r="I222" s="62">
        <v>1.93</v>
      </c>
      <c r="J222" s="37">
        <v>234</v>
      </c>
      <c r="K222" s="37" t="s">
        <v>82</v>
      </c>
      <c r="L222" s="37" t="s">
        <v>46</v>
      </c>
      <c r="M222" s="38" t="s">
        <v>81</v>
      </c>
      <c r="N222" s="38"/>
      <c r="O222" s="37">
        <v>45</v>
      </c>
      <c r="P222" s="840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2" s="656"/>
      <c r="R222" s="656"/>
      <c r="S222" s="656"/>
      <c r="T222" s="657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27"/>
        <v>0</v>
      </c>
      <c r="Z222" s="41" t="str">
        <f t="shared" si="32"/>
        <v/>
      </c>
      <c r="AA222" s="68" t="s">
        <v>46</v>
      </c>
      <c r="AB222" s="69" t="s">
        <v>46</v>
      </c>
      <c r="AC222" s="304" t="s">
        <v>391</v>
      </c>
      <c r="AG222" s="78"/>
      <c r="AJ222" s="84" t="s">
        <v>46</v>
      </c>
      <c r="AK222" s="84">
        <v>0</v>
      </c>
      <c r="BB222" s="305" t="s">
        <v>67</v>
      </c>
      <c r="BM222" s="78">
        <f t="shared" si="28"/>
        <v>0</v>
      </c>
      <c r="BN222" s="78">
        <f t="shared" si="29"/>
        <v>0</v>
      </c>
      <c r="BO222" s="78">
        <f t="shared" si="30"/>
        <v>0</v>
      </c>
      <c r="BP222" s="78">
        <f t="shared" si="31"/>
        <v>0</v>
      </c>
    </row>
    <row r="223" spans="1:68" ht="27" hidden="1" customHeight="1" x14ac:dyDescent="0.25">
      <c r="A223" s="63" t="s">
        <v>392</v>
      </c>
      <c r="B223" s="63" t="s">
        <v>393</v>
      </c>
      <c r="C223" s="36">
        <v>4301031427</v>
      </c>
      <c r="D223" s="654">
        <v>4680115888104</v>
      </c>
      <c r="E223" s="654"/>
      <c r="F223" s="62">
        <v>0.35</v>
      </c>
      <c r="G223" s="37">
        <v>6</v>
      </c>
      <c r="H223" s="62">
        <v>2.1</v>
      </c>
      <c r="I223" s="62">
        <v>2.2000000000000002</v>
      </c>
      <c r="J223" s="37">
        <v>234</v>
      </c>
      <c r="K223" s="37" t="s">
        <v>82</v>
      </c>
      <c r="L223" s="37" t="s">
        <v>46</v>
      </c>
      <c r="M223" s="38" t="s">
        <v>81</v>
      </c>
      <c r="N223" s="38"/>
      <c r="O223" s="37">
        <v>45</v>
      </c>
      <c r="P223" s="841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3" s="656"/>
      <c r="R223" s="656"/>
      <c r="S223" s="656"/>
      <c r="T223" s="657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27"/>
        <v>0</v>
      </c>
      <c r="Z223" s="41" t="str">
        <f t="shared" si="32"/>
        <v/>
      </c>
      <c r="AA223" s="68" t="s">
        <v>46</v>
      </c>
      <c r="AB223" s="69" t="s">
        <v>46</v>
      </c>
      <c r="AC223" s="306" t="s">
        <v>394</v>
      </c>
      <c r="AG223" s="78"/>
      <c r="AJ223" s="84" t="s">
        <v>46</v>
      </c>
      <c r="AK223" s="84">
        <v>0</v>
      </c>
      <c r="BB223" s="307" t="s">
        <v>67</v>
      </c>
      <c r="BM223" s="78">
        <f t="shared" si="28"/>
        <v>0</v>
      </c>
      <c r="BN223" s="78">
        <f t="shared" si="29"/>
        <v>0</v>
      </c>
      <c r="BO223" s="78">
        <f t="shared" si="30"/>
        <v>0</v>
      </c>
      <c r="BP223" s="78">
        <f t="shared" si="31"/>
        <v>0</v>
      </c>
    </row>
    <row r="224" spans="1:68" ht="27" hidden="1" customHeight="1" x14ac:dyDescent="0.25">
      <c r="A224" s="63" t="s">
        <v>395</v>
      </c>
      <c r="B224" s="63" t="s">
        <v>396</v>
      </c>
      <c r="C224" s="36">
        <v>4301031503</v>
      </c>
      <c r="D224" s="654">
        <v>4680115886537</v>
      </c>
      <c r="E224" s="654"/>
      <c r="F224" s="62">
        <v>0.3</v>
      </c>
      <c r="G224" s="37">
        <v>6</v>
      </c>
      <c r="H224" s="62">
        <v>1.8</v>
      </c>
      <c r="I224" s="62">
        <v>1.93</v>
      </c>
      <c r="J224" s="37">
        <v>234</v>
      </c>
      <c r="K224" s="37" t="s">
        <v>82</v>
      </c>
      <c r="L224" s="37" t="s">
        <v>46</v>
      </c>
      <c r="M224" s="38" t="s">
        <v>81</v>
      </c>
      <c r="N224" s="38"/>
      <c r="O224" s="37">
        <v>45</v>
      </c>
      <c r="P224" s="832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4" s="656"/>
      <c r="R224" s="656"/>
      <c r="S224" s="656"/>
      <c r="T224" s="657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7"/>
        <v>0</v>
      </c>
      <c r="Z224" s="41" t="str">
        <f t="shared" si="32"/>
        <v/>
      </c>
      <c r="AA224" s="68" t="s">
        <v>46</v>
      </c>
      <c r="AB224" s="69" t="s">
        <v>46</v>
      </c>
      <c r="AC224" s="308" t="s">
        <v>397</v>
      </c>
      <c r="AG224" s="78"/>
      <c r="AJ224" s="84" t="s">
        <v>46</v>
      </c>
      <c r="AK224" s="84">
        <v>0</v>
      </c>
      <c r="BB224" s="309" t="s">
        <v>67</v>
      </c>
      <c r="BM224" s="78">
        <f t="shared" si="28"/>
        <v>0</v>
      </c>
      <c r="BN224" s="78">
        <f t="shared" si="29"/>
        <v>0</v>
      </c>
      <c r="BO224" s="78">
        <f t="shared" si="30"/>
        <v>0</v>
      </c>
      <c r="BP224" s="78">
        <f t="shared" si="31"/>
        <v>0</v>
      </c>
    </row>
    <row r="225" spans="1:68" ht="27" hidden="1" customHeight="1" x14ac:dyDescent="0.25">
      <c r="A225" s="63" t="s">
        <v>398</v>
      </c>
      <c r="B225" s="63" t="s">
        <v>399</v>
      </c>
      <c r="C225" s="36">
        <v>4301031279</v>
      </c>
      <c r="D225" s="654">
        <v>4680115887596</v>
      </c>
      <c r="E225" s="654"/>
      <c r="F225" s="62">
        <v>0.08</v>
      </c>
      <c r="G225" s="37">
        <v>10</v>
      </c>
      <c r="H225" s="62">
        <v>0.8</v>
      </c>
      <c r="I225" s="62">
        <v>1.01</v>
      </c>
      <c r="J225" s="37">
        <v>336</v>
      </c>
      <c r="K225" s="37" t="s">
        <v>131</v>
      </c>
      <c r="L225" s="37" t="s">
        <v>46</v>
      </c>
      <c r="M225" s="38" t="s">
        <v>81</v>
      </c>
      <c r="N225" s="38"/>
      <c r="O225" s="37">
        <v>45</v>
      </c>
      <c r="P225" s="833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5" s="656"/>
      <c r="R225" s="656"/>
      <c r="S225" s="656"/>
      <c r="T225" s="657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7"/>
        <v>0</v>
      </c>
      <c r="Z225" s="41" t="str">
        <f>IFERROR(IF(Y225=0,"",ROUNDUP(Y225/H225,0)*0.00417),"")</f>
        <v/>
      </c>
      <c r="AA225" s="68" t="s">
        <v>46</v>
      </c>
      <c r="AB225" s="69" t="s">
        <v>46</v>
      </c>
      <c r="AC225" s="310" t="s">
        <v>400</v>
      </c>
      <c r="AG225" s="78"/>
      <c r="AJ225" s="84" t="s">
        <v>46</v>
      </c>
      <c r="AK225" s="84">
        <v>0</v>
      </c>
      <c r="BB225" s="311" t="s">
        <v>67</v>
      </c>
      <c r="BM225" s="78">
        <f t="shared" si="28"/>
        <v>0</v>
      </c>
      <c r="BN225" s="78">
        <f t="shared" si="29"/>
        <v>0</v>
      </c>
      <c r="BO225" s="78">
        <f t="shared" si="30"/>
        <v>0</v>
      </c>
      <c r="BP225" s="78">
        <f t="shared" si="31"/>
        <v>0</v>
      </c>
    </row>
    <row r="226" spans="1:68" ht="37.5" hidden="1" customHeight="1" x14ac:dyDescent="0.25">
      <c r="A226" s="63" t="s">
        <v>401</v>
      </c>
      <c r="B226" s="63" t="s">
        <v>402</v>
      </c>
      <c r="C226" s="36">
        <v>4301031202</v>
      </c>
      <c r="D226" s="654">
        <v>4680115881679</v>
      </c>
      <c r="E226" s="654"/>
      <c r="F226" s="62">
        <v>0.35</v>
      </c>
      <c r="G226" s="37">
        <v>6</v>
      </c>
      <c r="H226" s="62">
        <v>2.1</v>
      </c>
      <c r="I226" s="62">
        <v>2.2000000000000002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40</v>
      </c>
      <c r="P226" s="834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6" s="656"/>
      <c r="R226" s="656"/>
      <c r="S226" s="656"/>
      <c r="T226" s="657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7"/>
        <v>0</v>
      </c>
      <c r="Z226" s="41" t="str">
        <f>IFERROR(IF(Y226=0,"",ROUNDUP(Y226/H226,0)*0.00502),"")</f>
        <v/>
      </c>
      <c r="AA226" s="68" t="s">
        <v>46</v>
      </c>
      <c r="AB226" s="69" t="s">
        <v>46</v>
      </c>
      <c r="AC226" s="312" t="s">
        <v>378</v>
      </c>
      <c r="AG226" s="78"/>
      <c r="AJ226" s="84" t="s">
        <v>46</v>
      </c>
      <c r="AK226" s="84">
        <v>0</v>
      </c>
      <c r="BB226" s="313" t="s">
        <v>67</v>
      </c>
      <c r="BM226" s="78">
        <f t="shared" si="28"/>
        <v>0</v>
      </c>
      <c r="BN226" s="78">
        <f t="shared" si="29"/>
        <v>0</v>
      </c>
      <c r="BO226" s="78">
        <f t="shared" si="30"/>
        <v>0</v>
      </c>
      <c r="BP226" s="78">
        <f t="shared" si="31"/>
        <v>0</v>
      </c>
    </row>
    <row r="227" spans="1:68" ht="27" hidden="1" customHeight="1" x14ac:dyDescent="0.25">
      <c r="A227" s="63" t="s">
        <v>403</v>
      </c>
      <c r="B227" s="63" t="s">
        <v>404</v>
      </c>
      <c r="C227" s="36">
        <v>4301031158</v>
      </c>
      <c r="D227" s="654">
        <v>4680115880191</v>
      </c>
      <c r="E227" s="654"/>
      <c r="F227" s="62">
        <v>0.4</v>
      </c>
      <c r="G227" s="37">
        <v>6</v>
      </c>
      <c r="H227" s="62">
        <v>2.4</v>
      </c>
      <c r="I227" s="62">
        <v>2.58</v>
      </c>
      <c r="J227" s="37">
        <v>182</v>
      </c>
      <c r="K227" s="37" t="s">
        <v>91</v>
      </c>
      <c r="L227" s="37" t="s">
        <v>46</v>
      </c>
      <c r="M227" s="38" t="s">
        <v>81</v>
      </c>
      <c r="N227" s="38"/>
      <c r="O227" s="37">
        <v>40</v>
      </c>
      <c r="P227" s="835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7" s="656"/>
      <c r="R227" s="656"/>
      <c r="S227" s="656"/>
      <c r="T227" s="657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27"/>
        <v>0</v>
      </c>
      <c r="Z227" s="41" t="str">
        <f>IFERROR(IF(Y227=0,"",ROUNDUP(Y227/H227,0)*0.00651),"")</f>
        <v/>
      </c>
      <c r="AA227" s="68" t="s">
        <v>46</v>
      </c>
      <c r="AB227" s="69" t="s">
        <v>46</v>
      </c>
      <c r="AC227" s="314" t="s">
        <v>378</v>
      </c>
      <c r="AG227" s="78"/>
      <c r="AJ227" s="84" t="s">
        <v>46</v>
      </c>
      <c r="AK227" s="84">
        <v>0</v>
      </c>
      <c r="BB227" s="315" t="s">
        <v>67</v>
      </c>
      <c r="BM227" s="78">
        <f t="shared" si="28"/>
        <v>0</v>
      </c>
      <c r="BN227" s="78">
        <f t="shared" si="29"/>
        <v>0</v>
      </c>
      <c r="BO227" s="78">
        <f t="shared" si="30"/>
        <v>0</v>
      </c>
      <c r="BP227" s="78">
        <f t="shared" si="31"/>
        <v>0</v>
      </c>
    </row>
    <row r="228" spans="1:68" ht="27" hidden="1" customHeight="1" x14ac:dyDescent="0.25">
      <c r="A228" s="63" t="s">
        <v>403</v>
      </c>
      <c r="B228" s="63" t="s">
        <v>405</v>
      </c>
      <c r="C228" s="36">
        <v>4301031531</v>
      </c>
      <c r="D228" s="654">
        <v>4680115880191</v>
      </c>
      <c r="E228" s="654"/>
      <c r="F228" s="62">
        <v>0.4</v>
      </c>
      <c r="G228" s="37">
        <v>6</v>
      </c>
      <c r="H228" s="62">
        <v>2.4</v>
      </c>
      <c r="I228" s="62">
        <v>2.58</v>
      </c>
      <c r="J228" s="37">
        <v>182</v>
      </c>
      <c r="K228" s="37" t="s">
        <v>91</v>
      </c>
      <c r="L228" s="37" t="s">
        <v>46</v>
      </c>
      <c r="M228" s="38" t="s">
        <v>81</v>
      </c>
      <c r="N228" s="38"/>
      <c r="O228" s="37">
        <v>45</v>
      </c>
      <c r="P228" s="836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28" s="656"/>
      <c r="R228" s="656"/>
      <c r="S228" s="656"/>
      <c r="T228" s="657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27"/>
        <v>0</v>
      </c>
      <c r="Z228" s="41" t="str">
        <f>IFERROR(IF(Y228=0,"",ROUNDUP(Y228/H228,0)*0.00651),"")</f>
        <v/>
      </c>
      <c r="AA228" s="68" t="s">
        <v>46</v>
      </c>
      <c r="AB228" s="69" t="s">
        <v>46</v>
      </c>
      <c r="AC228" s="316" t="s">
        <v>378</v>
      </c>
      <c r="AG228" s="78"/>
      <c r="AJ228" s="84" t="s">
        <v>46</v>
      </c>
      <c r="AK228" s="84">
        <v>0</v>
      </c>
      <c r="BB228" s="317" t="s">
        <v>67</v>
      </c>
      <c r="BM228" s="78">
        <f t="shared" si="28"/>
        <v>0</v>
      </c>
      <c r="BN228" s="78">
        <f t="shared" si="29"/>
        <v>0</v>
      </c>
      <c r="BO228" s="78">
        <f t="shared" si="30"/>
        <v>0</v>
      </c>
      <c r="BP228" s="78">
        <f t="shared" si="31"/>
        <v>0</v>
      </c>
    </row>
    <row r="229" spans="1:68" ht="27" hidden="1" customHeight="1" x14ac:dyDescent="0.25">
      <c r="A229" s="63" t="s">
        <v>406</v>
      </c>
      <c r="B229" s="63" t="s">
        <v>407</v>
      </c>
      <c r="C229" s="36">
        <v>4301031245</v>
      </c>
      <c r="D229" s="654">
        <v>4680115883963</v>
      </c>
      <c r="E229" s="654"/>
      <c r="F229" s="62">
        <v>0.28000000000000003</v>
      </c>
      <c r="G229" s="37">
        <v>6</v>
      </c>
      <c r="H229" s="62">
        <v>1.68</v>
      </c>
      <c r="I229" s="62">
        <v>1.78</v>
      </c>
      <c r="J229" s="37">
        <v>234</v>
      </c>
      <c r="K229" s="37" t="s">
        <v>82</v>
      </c>
      <c r="L229" s="37" t="s">
        <v>46</v>
      </c>
      <c r="M229" s="38" t="s">
        <v>81</v>
      </c>
      <c r="N229" s="38"/>
      <c r="O229" s="37">
        <v>40</v>
      </c>
      <c r="P229" s="829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9" s="656"/>
      <c r="R229" s="656"/>
      <c r="S229" s="656"/>
      <c r="T229" s="657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27"/>
        <v>0</v>
      </c>
      <c r="Z229" s="41" t="str">
        <f>IFERROR(IF(Y229=0,"",ROUNDUP(Y229/H229,0)*0.00502),"")</f>
        <v/>
      </c>
      <c r="AA229" s="68" t="s">
        <v>46</v>
      </c>
      <c r="AB229" s="69" t="s">
        <v>46</v>
      </c>
      <c r="AC229" s="318" t="s">
        <v>408</v>
      </c>
      <c r="AG229" s="78"/>
      <c r="AJ229" s="84" t="s">
        <v>46</v>
      </c>
      <c r="AK229" s="84">
        <v>0</v>
      </c>
      <c r="BB229" s="319" t="s">
        <v>67</v>
      </c>
      <c r="BM229" s="78">
        <f t="shared" si="28"/>
        <v>0</v>
      </c>
      <c r="BN229" s="78">
        <f t="shared" si="29"/>
        <v>0</v>
      </c>
      <c r="BO229" s="78">
        <f t="shared" si="30"/>
        <v>0</v>
      </c>
      <c r="BP229" s="78">
        <f t="shared" si="31"/>
        <v>0</v>
      </c>
    </row>
    <row r="230" spans="1:68" hidden="1" x14ac:dyDescent="0.2">
      <c r="A230" s="661"/>
      <c r="B230" s="661"/>
      <c r="C230" s="661"/>
      <c r="D230" s="661"/>
      <c r="E230" s="661"/>
      <c r="F230" s="661"/>
      <c r="G230" s="661"/>
      <c r="H230" s="661"/>
      <c r="I230" s="661"/>
      <c r="J230" s="661"/>
      <c r="K230" s="661"/>
      <c r="L230" s="661"/>
      <c r="M230" s="661"/>
      <c r="N230" s="661"/>
      <c r="O230" s="662"/>
      <c r="P230" s="658" t="s">
        <v>40</v>
      </c>
      <c r="Q230" s="659"/>
      <c r="R230" s="659"/>
      <c r="S230" s="659"/>
      <c r="T230" s="659"/>
      <c r="U230" s="659"/>
      <c r="V230" s="660"/>
      <c r="W230" s="42" t="s">
        <v>39</v>
      </c>
      <c r="X230" s="43">
        <f>IFERROR(X215/H215,"0")+IFERROR(X216/H216,"0")+IFERROR(X217/H217,"0")+IFERROR(X218/H218,"0")+IFERROR(X219/H219,"0")+IFERROR(X220/H220,"0")+IFERROR(X221/H221,"0")+IFERROR(X222/H222,"0")+IFERROR(X223/H223,"0")+IFERROR(X224/H224,"0")+IFERROR(X225/H225,"0")+IFERROR(X226/H226,"0")+IFERROR(X227/H227,"0")+IFERROR(X228/H228,"0")+IFERROR(X229/H229,"0")</f>
        <v>0</v>
      </c>
      <c r="Y230" s="43">
        <f>IFERROR(Y215/H215,"0")+IFERROR(Y216/H216,"0")+IFERROR(Y217/H217,"0")+IFERROR(Y218/H218,"0")+IFERROR(Y219/H219,"0")+IFERROR(Y220/H220,"0")+IFERROR(Y221/H221,"0")+IFERROR(Y222/H222,"0")+IFERROR(Y223/H223,"0")+IFERROR(Y224/H224,"0")+IFERROR(Y225/H225,"0")+IFERROR(Y226/H226,"0")+IFERROR(Y227/H227,"0")+IFERROR(Y228/H228,"0")+IFERROR(Y229/H229,"0")</f>
        <v>0</v>
      </c>
      <c r="Z230" s="43">
        <f>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</f>
        <v>0</v>
      </c>
      <c r="AA230" s="67"/>
      <c r="AB230" s="67"/>
      <c r="AC230" s="67"/>
    </row>
    <row r="231" spans="1:68" hidden="1" x14ac:dyDescent="0.2">
      <c r="A231" s="661"/>
      <c r="B231" s="661"/>
      <c r="C231" s="661"/>
      <c r="D231" s="661"/>
      <c r="E231" s="661"/>
      <c r="F231" s="661"/>
      <c r="G231" s="661"/>
      <c r="H231" s="661"/>
      <c r="I231" s="661"/>
      <c r="J231" s="661"/>
      <c r="K231" s="661"/>
      <c r="L231" s="661"/>
      <c r="M231" s="661"/>
      <c r="N231" s="661"/>
      <c r="O231" s="662"/>
      <c r="P231" s="658" t="s">
        <v>40</v>
      </c>
      <c r="Q231" s="659"/>
      <c r="R231" s="659"/>
      <c r="S231" s="659"/>
      <c r="T231" s="659"/>
      <c r="U231" s="659"/>
      <c r="V231" s="660"/>
      <c r="W231" s="42" t="s">
        <v>0</v>
      </c>
      <c r="X231" s="43">
        <f>IFERROR(SUM(X215:X229),"0")</f>
        <v>0</v>
      </c>
      <c r="Y231" s="43">
        <f>IFERROR(SUM(Y215:Y229),"0")</f>
        <v>0</v>
      </c>
      <c r="Z231" s="42"/>
      <c r="AA231" s="67"/>
      <c r="AB231" s="67"/>
      <c r="AC231" s="67"/>
    </row>
    <row r="232" spans="1:68" ht="14.25" hidden="1" customHeight="1" x14ac:dyDescent="0.25">
      <c r="A232" s="653" t="s">
        <v>86</v>
      </c>
      <c r="B232" s="653"/>
      <c r="C232" s="653"/>
      <c r="D232" s="653"/>
      <c r="E232" s="653"/>
      <c r="F232" s="653"/>
      <c r="G232" s="653"/>
      <c r="H232" s="653"/>
      <c r="I232" s="653"/>
      <c r="J232" s="653"/>
      <c r="K232" s="653"/>
      <c r="L232" s="653"/>
      <c r="M232" s="653"/>
      <c r="N232" s="653"/>
      <c r="O232" s="653"/>
      <c r="P232" s="653"/>
      <c r="Q232" s="653"/>
      <c r="R232" s="653"/>
      <c r="S232" s="653"/>
      <c r="T232" s="653"/>
      <c r="U232" s="653"/>
      <c r="V232" s="653"/>
      <c r="W232" s="653"/>
      <c r="X232" s="653"/>
      <c r="Y232" s="653"/>
      <c r="Z232" s="653"/>
      <c r="AA232" s="66"/>
      <c r="AB232" s="66"/>
      <c r="AC232" s="80"/>
    </row>
    <row r="233" spans="1:68" ht="16.5" hidden="1" customHeight="1" x14ac:dyDescent="0.25">
      <c r="A233" s="63" t="s">
        <v>409</v>
      </c>
      <c r="B233" s="63" t="s">
        <v>410</v>
      </c>
      <c r="C233" s="36">
        <v>4301052209</v>
      </c>
      <c r="D233" s="654">
        <v>4680115888692</v>
      </c>
      <c r="E233" s="654"/>
      <c r="F233" s="62">
        <v>0.8</v>
      </c>
      <c r="G233" s="37">
        <v>6</v>
      </c>
      <c r="H233" s="62">
        <v>4.8</v>
      </c>
      <c r="I233" s="62">
        <v>5.2220000000000004</v>
      </c>
      <c r="J233" s="37">
        <v>104</v>
      </c>
      <c r="K233" s="37" t="s">
        <v>127</v>
      </c>
      <c r="L233" s="37" t="s">
        <v>46</v>
      </c>
      <c r="M233" s="38" t="s">
        <v>97</v>
      </c>
      <c r="N233" s="38"/>
      <c r="O233" s="37">
        <v>35</v>
      </c>
      <c r="P233" s="830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3" s="656"/>
      <c r="R233" s="656"/>
      <c r="S233" s="656"/>
      <c r="T233" s="657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ref="Y233:Y241" si="33">IFERROR(IF(X233="",0,CEILING((X233/$H233),1)*$H233),"")</f>
        <v>0</v>
      </c>
      <c r="Z233" s="41" t="str">
        <f>IFERROR(IF(Y233=0,"",ROUNDUP(Y233/H233,0)*0.01196),"")</f>
        <v/>
      </c>
      <c r="AA233" s="68" t="s">
        <v>46</v>
      </c>
      <c r="AB233" s="69" t="s">
        <v>46</v>
      </c>
      <c r="AC233" s="320" t="s">
        <v>411</v>
      </c>
      <c r="AG233" s="78"/>
      <c r="AJ233" s="84" t="s">
        <v>46</v>
      </c>
      <c r="AK233" s="84">
        <v>0</v>
      </c>
      <c r="BB233" s="321" t="s">
        <v>67</v>
      </c>
      <c r="BM233" s="78">
        <f t="shared" ref="BM233:BM241" si="34">IFERROR(X233*I233/H233,"0")</f>
        <v>0</v>
      </c>
      <c r="BN233" s="78">
        <f t="shared" ref="BN233:BN241" si="35">IFERROR(Y233*I233/H233,"0")</f>
        <v>0</v>
      </c>
      <c r="BO233" s="78">
        <f t="shared" ref="BO233:BO241" si="36">IFERROR(1/J233*(X233/H233),"0")</f>
        <v>0</v>
      </c>
      <c r="BP233" s="78">
        <f t="shared" ref="BP233:BP241" si="37">IFERROR(1/J233*(Y233/H233),"0")</f>
        <v>0</v>
      </c>
    </row>
    <row r="234" spans="1:68" ht="16.5" hidden="1" customHeight="1" x14ac:dyDescent="0.25">
      <c r="A234" s="63" t="s">
        <v>409</v>
      </c>
      <c r="B234" s="63" t="s">
        <v>412</v>
      </c>
      <c r="C234" s="36">
        <v>4301052279</v>
      </c>
      <c r="D234" s="654">
        <v>4680115888692</v>
      </c>
      <c r="E234" s="654"/>
      <c r="F234" s="62">
        <v>0.8</v>
      </c>
      <c r="G234" s="37">
        <v>6</v>
      </c>
      <c r="H234" s="62">
        <v>4.8</v>
      </c>
      <c r="I234" s="62">
        <v>5.2220000000000004</v>
      </c>
      <c r="J234" s="37">
        <v>104</v>
      </c>
      <c r="K234" s="37" t="s">
        <v>127</v>
      </c>
      <c r="L234" s="37" t="s">
        <v>46</v>
      </c>
      <c r="M234" s="38" t="s">
        <v>97</v>
      </c>
      <c r="N234" s="38"/>
      <c r="O234" s="37">
        <v>40</v>
      </c>
      <c r="P234" s="831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4" s="656"/>
      <c r="R234" s="656"/>
      <c r="S234" s="656"/>
      <c r="T234" s="657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33"/>
        <v>0</v>
      </c>
      <c r="Z234" s="41" t="str">
        <f>IFERROR(IF(Y234=0,"",ROUNDUP(Y234/H234,0)*0.01196),"")</f>
        <v/>
      </c>
      <c r="AA234" s="68" t="s">
        <v>46</v>
      </c>
      <c r="AB234" s="69" t="s">
        <v>46</v>
      </c>
      <c r="AC234" s="322" t="s">
        <v>413</v>
      </c>
      <c r="AG234" s="78"/>
      <c r="AJ234" s="84" t="s">
        <v>46</v>
      </c>
      <c r="AK234" s="84">
        <v>0</v>
      </c>
      <c r="BB234" s="323" t="s">
        <v>67</v>
      </c>
      <c r="BM234" s="78">
        <f t="shared" si="34"/>
        <v>0</v>
      </c>
      <c r="BN234" s="78">
        <f t="shared" si="35"/>
        <v>0</v>
      </c>
      <c r="BO234" s="78">
        <f t="shared" si="36"/>
        <v>0</v>
      </c>
      <c r="BP234" s="78">
        <f t="shared" si="37"/>
        <v>0</v>
      </c>
    </row>
    <row r="235" spans="1:68" ht="27" hidden="1" customHeight="1" x14ac:dyDescent="0.25">
      <c r="A235" s="63" t="s">
        <v>414</v>
      </c>
      <c r="B235" s="63" t="s">
        <v>415</v>
      </c>
      <c r="C235" s="36">
        <v>4301052213</v>
      </c>
      <c r="D235" s="654">
        <v>4680115888722</v>
      </c>
      <c r="E235" s="654"/>
      <c r="F235" s="62">
        <v>0.8</v>
      </c>
      <c r="G235" s="37">
        <v>6</v>
      </c>
      <c r="H235" s="62">
        <v>4.8</v>
      </c>
      <c r="I235" s="62">
        <v>5.2220000000000004</v>
      </c>
      <c r="J235" s="37">
        <v>104</v>
      </c>
      <c r="K235" s="37" t="s">
        <v>127</v>
      </c>
      <c r="L235" s="37" t="s">
        <v>46</v>
      </c>
      <c r="M235" s="38" t="s">
        <v>97</v>
      </c>
      <c r="N235" s="38"/>
      <c r="O235" s="37">
        <v>35</v>
      </c>
      <c r="P235" s="824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5" s="656"/>
      <c r="R235" s="656"/>
      <c r="S235" s="656"/>
      <c r="T235" s="657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33"/>
        <v>0</v>
      </c>
      <c r="Z235" s="41" t="str">
        <f>IFERROR(IF(Y235=0,"",ROUNDUP(Y235/H235,0)*0.01196),"")</f>
        <v/>
      </c>
      <c r="AA235" s="68" t="s">
        <v>46</v>
      </c>
      <c r="AB235" s="69" t="s">
        <v>46</v>
      </c>
      <c r="AC235" s="324" t="s">
        <v>416</v>
      </c>
      <c r="AG235" s="78"/>
      <c r="AJ235" s="84" t="s">
        <v>46</v>
      </c>
      <c r="AK235" s="84">
        <v>0</v>
      </c>
      <c r="BB235" s="325" t="s">
        <v>67</v>
      </c>
      <c r="BM235" s="78">
        <f t="shared" si="34"/>
        <v>0</v>
      </c>
      <c r="BN235" s="78">
        <f t="shared" si="35"/>
        <v>0</v>
      </c>
      <c r="BO235" s="78">
        <f t="shared" si="36"/>
        <v>0</v>
      </c>
      <c r="BP235" s="78">
        <f t="shared" si="37"/>
        <v>0</v>
      </c>
    </row>
    <row r="236" spans="1:68" ht="27" hidden="1" customHeight="1" x14ac:dyDescent="0.25">
      <c r="A236" s="63" t="s">
        <v>414</v>
      </c>
      <c r="B236" s="63" t="s">
        <v>417</v>
      </c>
      <c r="C236" s="36">
        <v>4301052280</v>
      </c>
      <c r="D236" s="654">
        <v>4680115888722</v>
      </c>
      <c r="E236" s="654"/>
      <c r="F236" s="62">
        <v>0.8</v>
      </c>
      <c r="G236" s="37">
        <v>6</v>
      </c>
      <c r="H236" s="62">
        <v>4.8</v>
      </c>
      <c r="I236" s="62">
        <v>5.2220000000000004</v>
      </c>
      <c r="J236" s="37">
        <v>104</v>
      </c>
      <c r="K236" s="37" t="s">
        <v>127</v>
      </c>
      <c r="L236" s="37" t="s">
        <v>46</v>
      </c>
      <c r="M236" s="38" t="s">
        <v>97</v>
      </c>
      <c r="N236" s="38"/>
      <c r="O236" s="37">
        <v>40</v>
      </c>
      <c r="P236" s="825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6" s="656"/>
      <c r="R236" s="656"/>
      <c r="S236" s="656"/>
      <c r="T236" s="657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si="33"/>
        <v>0</v>
      </c>
      <c r="Z236" s="41" t="str">
        <f>IFERROR(IF(Y236=0,"",ROUNDUP(Y236/H236,0)*0.01196),"")</f>
        <v/>
      </c>
      <c r="AA236" s="68" t="s">
        <v>46</v>
      </c>
      <c r="AB236" s="69" t="s">
        <v>46</v>
      </c>
      <c r="AC236" s="326" t="s">
        <v>418</v>
      </c>
      <c r="AG236" s="78"/>
      <c r="AJ236" s="84" t="s">
        <v>46</v>
      </c>
      <c r="AK236" s="84">
        <v>0</v>
      </c>
      <c r="BB236" s="327" t="s">
        <v>67</v>
      </c>
      <c r="BM236" s="78">
        <f t="shared" si="34"/>
        <v>0</v>
      </c>
      <c r="BN236" s="78">
        <f t="shared" si="35"/>
        <v>0</v>
      </c>
      <c r="BO236" s="78">
        <f t="shared" si="36"/>
        <v>0</v>
      </c>
      <c r="BP236" s="78">
        <f t="shared" si="37"/>
        <v>0</v>
      </c>
    </row>
    <row r="237" spans="1:68" ht="27" hidden="1" customHeight="1" x14ac:dyDescent="0.25">
      <c r="A237" s="63" t="s">
        <v>419</v>
      </c>
      <c r="B237" s="63" t="s">
        <v>420</v>
      </c>
      <c r="C237" s="36">
        <v>4301052177</v>
      </c>
      <c r="D237" s="654">
        <v>4680115888951</v>
      </c>
      <c r="E237" s="654"/>
      <c r="F237" s="62">
        <v>0.36</v>
      </c>
      <c r="G237" s="37">
        <v>6</v>
      </c>
      <c r="H237" s="62">
        <v>2.16</v>
      </c>
      <c r="I237" s="62">
        <v>2.4220000000000002</v>
      </c>
      <c r="J237" s="37">
        <v>132</v>
      </c>
      <c r="K237" s="37" t="s">
        <v>134</v>
      </c>
      <c r="L237" s="37" t="s">
        <v>46</v>
      </c>
      <c r="M237" s="38" t="s">
        <v>97</v>
      </c>
      <c r="N237" s="38"/>
      <c r="O237" s="37">
        <v>35</v>
      </c>
      <c r="P237" s="826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7" s="656"/>
      <c r="R237" s="656"/>
      <c r="S237" s="656"/>
      <c r="T237" s="657"/>
      <c r="U237" s="39" t="s">
        <v>46</v>
      </c>
      <c r="V237" s="39" t="s">
        <v>46</v>
      </c>
      <c r="W237" s="40" t="s">
        <v>0</v>
      </c>
      <c r="X237" s="58">
        <v>0</v>
      </c>
      <c r="Y237" s="55">
        <f t="shared" si="33"/>
        <v>0</v>
      </c>
      <c r="Z237" s="41" t="str">
        <f>IFERROR(IF(Y237=0,"",ROUNDUP(Y237/H237,0)*0.00902),"")</f>
        <v/>
      </c>
      <c r="AA237" s="68" t="s">
        <v>46</v>
      </c>
      <c r="AB237" s="69" t="s">
        <v>46</v>
      </c>
      <c r="AC237" s="328" t="s">
        <v>421</v>
      </c>
      <c r="AG237" s="78"/>
      <c r="AJ237" s="84" t="s">
        <v>46</v>
      </c>
      <c r="AK237" s="84">
        <v>0</v>
      </c>
      <c r="BB237" s="329" t="s">
        <v>67</v>
      </c>
      <c r="BM237" s="78">
        <f t="shared" si="34"/>
        <v>0</v>
      </c>
      <c r="BN237" s="78">
        <f t="shared" si="35"/>
        <v>0</v>
      </c>
      <c r="BO237" s="78">
        <f t="shared" si="36"/>
        <v>0</v>
      </c>
      <c r="BP237" s="78">
        <f t="shared" si="37"/>
        <v>0</v>
      </c>
    </row>
    <row r="238" spans="1:68" ht="27" hidden="1" customHeight="1" x14ac:dyDescent="0.25">
      <c r="A238" s="63" t="s">
        <v>419</v>
      </c>
      <c r="B238" s="63" t="s">
        <v>422</v>
      </c>
      <c r="C238" s="36">
        <v>4301052276</v>
      </c>
      <c r="D238" s="654">
        <v>4680115888951</v>
      </c>
      <c r="E238" s="654"/>
      <c r="F238" s="62">
        <v>0.36</v>
      </c>
      <c r="G238" s="37">
        <v>6</v>
      </c>
      <c r="H238" s="62">
        <v>2.16</v>
      </c>
      <c r="I238" s="62">
        <v>2.4220000000000002</v>
      </c>
      <c r="J238" s="37">
        <v>132</v>
      </c>
      <c r="K238" s="37" t="s">
        <v>134</v>
      </c>
      <c r="L238" s="37" t="s">
        <v>46</v>
      </c>
      <c r="M238" s="38" t="s">
        <v>97</v>
      </c>
      <c r="N238" s="38"/>
      <c r="O238" s="37">
        <v>40</v>
      </c>
      <c r="P238" s="827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38" s="656"/>
      <c r="R238" s="656"/>
      <c r="S238" s="656"/>
      <c r="T238" s="657"/>
      <c r="U238" s="39" t="s">
        <v>46</v>
      </c>
      <c r="V238" s="39" t="s">
        <v>46</v>
      </c>
      <c r="W238" s="40" t="s">
        <v>0</v>
      </c>
      <c r="X238" s="58">
        <v>0</v>
      </c>
      <c r="Y238" s="55">
        <f t="shared" si="33"/>
        <v>0</v>
      </c>
      <c r="Z238" s="41" t="str">
        <f>IFERROR(IF(Y238=0,"",ROUNDUP(Y238/H238,0)*0.00902),"")</f>
        <v/>
      </c>
      <c r="AA238" s="68" t="s">
        <v>46</v>
      </c>
      <c r="AB238" s="69" t="s">
        <v>46</v>
      </c>
      <c r="AC238" s="330" t="s">
        <v>413</v>
      </c>
      <c r="AG238" s="78"/>
      <c r="AJ238" s="84" t="s">
        <v>46</v>
      </c>
      <c r="AK238" s="84">
        <v>0</v>
      </c>
      <c r="BB238" s="331" t="s">
        <v>67</v>
      </c>
      <c r="BM238" s="78">
        <f t="shared" si="34"/>
        <v>0</v>
      </c>
      <c r="BN238" s="78">
        <f t="shared" si="35"/>
        <v>0</v>
      </c>
      <c r="BO238" s="78">
        <f t="shared" si="36"/>
        <v>0</v>
      </c>
      <c r="BP238" s="78">
        <f t="shared" si="37"/>
        <v>0</v>
      </c>
    </row>
    <row r="239" spans="1:68" ht="27" hidden="1" customHeight="1" x14ac:dyDescent="0.25">
      <c r="A239" s="63" t="s">
        <v>423</v>
      </c>
      <c r="B239" s="63" t="s">
        <v>424</v>
      </c>
      <c r="C239" s="36">
        <v>4301052178</v>
      </c>
      <c r="D239" s="654">
        <v>4680115888975</v>
      </c>
      <c r="E239" s="654"/>
      <c r="F239" s="62">
        <v>0.32</v>
      </c>
      <c r="G239" s="37">
        <v>6</v>
      </c>
      <c r="H239" s="62">
        <v>1.92</v>
      </c>
      <c r="I239" s="62">
        <v>2.1819999999999999</v>
      </c>
      <c r="J239" s="37">
        <v>132</v>
      </c>
      <c r="K239" s="37" t="s">
        <v>134</v>
      </c>
      <c r="L239" s="37" t="s">
        <v>46</v>
      </c>
      <c r="M239" s="38" t="s">
        <v>97</v>
      </c>
      <c r="N239" s="38"/>
      <c r="O239" s="37">
        <v>35</v>
      </c>
      <c r="P239" s="828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9" s="656"/>
      <c r="R239" s="656"/>
      <c r="S239" s="656"/>
      <c r="T239" s="657"/>
      <c r="U239" s="39" t="s">
        <v>46</v>
      </c>
      <c r="V239" s="39" t="s">
        <v>46</v>
      </c>
      <c r="W239" s="40" t="s">
        <v>0</v>
      </c>
      <c r="X239" s="58">
        <v>0</v>
      </c>
      <c r="Y239" s="55">
        <f t="shared" si="33"/>
        <v>0</v>
      </c>
      <c r="Z239" s="41" t="str">
        <f>IFERROR(IF(Y239=0,"",ROUNDUP(Y239/H239,0)*0.00902),"")</f>
        <v/>
      </c>
      <c r="AA239" s="68" t="s">
        <v>46</v>
      </c>
      <c r="AB239" s="69" t="s">
        <v>46</v>
      </c>
      <c r="AC239" s="332" t="s">
        <v>425</v>
      </c>
      <c r="AG239" s="78"/>
      <c r="AJ239" s="84" t="s">
        <v>46</v>
      </c>
      <c r="AK239" s="84">
        <v>0</v>
      </c>
      <c r="BB239" s="333" t="s">
        <v>67</v>
      </c>
      <c r="BM239" s="78">
        <f t="shared" si="34"/>
        <v>0</v>
      </c>
      <c r="BN239" s="78">
        <f t="shared" si="35"/>
        <v>0</v>
      </c>
      <c r="BO239" s="78">
        <f t="shared" si="36"/>
        <v>0</v>
      </c>
      <c r="BP239" s="78">
        <f t="shared" si="37"/>
        <v>0</v>
      </c>
    </row>
    <row r="240" spans="1:68" ht="27" hidden="1" customHeight="1" x14ac:dyDescent="0.25">
      <c r="A240" s="63" t="s">
        <v>426</v>
      </c>
      <c r="B240" s="63" t="s">
        <v>427</v>
      </c>
      <c r="C240" s="36">
        <v>4301052176</v>
      </c>
      <c r="D240" s="654">
        <v>4680115888982</v>
      </c>
      <c r="E240" s="654"/>
      <c r="F240" s="62">
        <v>0.36</v>
      </c>
      <c r="G240" s="37">
        <v>6</v>
      </c>
      <c r="H240" s="62">
        <v>2.16</v>
      </c>
      <c r="I240" s="62">
        <v>2.4220000000000002</v>
      </c>
      <c r="J240" s="37">
        <v>132</v>
      </c>
      <c r="K240" s="37" t="s">
        <v>134</v>
      </c>
      <c r="L240" s="37" t="s">
        <v>46</v>
      </c>
      <c r="M240" s="38" t="s">
        <v>97</v>
      </c>
      <c r="N240" s="38"/>
      <c r="O240" s="37">
        <v>35</v>
      </c>
      <c r="P240" s="821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0" s="656"/>
      <c r="R240" s="656"/>
      <c r="S240" s="656"/>
      <c r="T240" s="657"/>
      <c r="U240" s="39" t="s">
        <v>46</v>
      </c>
      <c r="V240" s="39" t="s">
        <v>46</v>
      </c>
      <c r="W240" s="40" t="s">
        <v>0</v>
      </c>
      <c r="X240" s="58">
        <v>0</v>
      </c>
      <c r="Y240" s="55">
        <f t="shared" si="33"/>
        <v>0</v>
      </c>
      <c r="Z240" s="41" t="str">
        <f>IFERROR(IF(Y240=0,"",ROUNDUP(Y240/H240,0)*0.00902),"")</f>
        <v/>
      </c>
      <c r="AA240" s="68" t="s">
        <v>46</v>
      </c>
      <c r="AB240" s="69" t="s">
        <v>46</v>
      </c>
      <c r="AC240" s="334" t="s">
        <v>416</v>
      </c>
      <c r="AG240" s="78"/>
      <c r="AJ240" s="84" t="s">
        <v>46</v>
      </c>
      <c r="AK240" s="84">
        <v>0</v>
      </c>
      <c r="BB240" s="335" t="s">
        <v>67</v>
      </c>
      <c r="BM240" s="78">
        <f t="shared" si="34"/>
        <v>0</v>
      </c>
      <c r="BN240" s="78">
        <f t="shared" si="35"/>
        <v>0</v>
      </c>
      <c r="BO240" s="78">
        <f t="shared" si="36"/>
        <v>0</v>
      </c>
      <c r="BP240" s="78">
        <f t="shared" si="37"/>
        <v>0</v>
      </c>
    </row>
    <row r="241" spans="1:68" ht="27" hidden="1" customHeight="1" x14ac:dyDescent="0.25">
      <c r="A241" s="63" t="s">
        <v>426</v>
      </c>
      <c r="B241" s="63" t="s">
        <v>428</v>
      </c>
      <c r="C241" s="36">
        <v>4301052277</v>
      </c>
      <c r="D241" s="654">
        <v>4680115888982</v>
      </c>
      <c r="E241" s="654"/>
      <c r="F241" s="62">
        <v>0.36</v>
      </c>
      <c r="G241" s="37">
        <v>6</v>
      </c>
      <c r="H241" s="62">
        <v>2.16</v>
      </c>
      <c r="I241" s="62">
        <v>2.4220000000000002</v>
      </c>
      <c r="J241" s="37">
        <v>132</v>
      </c>
      <c r="K241" s="37" t="s">
        <v>134</v>
      </c>
      <c r="L241" s="37" t="s">
        <v>46</v>
      </c>
      <c r="M241" s="38" t="s">
        <v>97</v>
      </c>
      <c r="N241" s="38"/>
      <c r="O241" s="37">
        <v>40</v>
      </c>
      <c r="P241" s="822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1" s="656"/>
      <c r="R241" s="656"/>
      <c r="S241" s="656"/>
      <c r="T241" s="657"/>
      <c r="U241" s="39" t="s">
        <v>46</v>
      </c>
      <c r="V241" s="39" t="s">
        <v>46</v>
      </c>
      <c r="W241" s="40" t="s">
        <v>0</v>
      </c>
      <c r="X241" s="58">
        <v>0</v>
      </c>
      <c r="Y241" s="55">
        <f t="shared" si="33"/>
        <v>0</v>
      </c>
      <c r="Z241" s="41" t="str">
        <f>IFERROR(IF(Y241=0,"",ROUNDUP(Y241/H241,0)*0.00902),"")</f>
        <v/>
      </c>
      <c r="AA241" s="68" t="s">
        <v>46</v>
      </c>
      <c r="AB241" s="69" t="s">
        <v>46</v>
      </c>
      <c r="AC241" s="336" t="s">
        <v>418</v>
      </c>
      <c r="AG241" s="78"/>
      <c r="AJ241" s="84" t="s">
        <v>46</v>
      </c>
      <c r="AK241" s="84">
        <v>0</v>
      </c>
      <c r="BB241" s="337" t="s">
        <v>67</v>
      </c>
      <c r="BM241" s="78">
        <f t="shared" si="34"/>
        <v>0</v>
      </c>
      <c r="BN241" s="78">
        <f t="shared" si="35"/>
        <v>0</v>
      </c>
      <c r="BO241" s="78">
        <f t="shared" si="36"/>
        <v>0</v>
      </c>
      <c r="BP241" s="78">
        <f t="shared" si="37"/>
        <v>0</v>
      </c>
    </row>
    <row r="242" spans="1:68" hidden="1" x14ac:dyDescent="0.2">
      <c r="A242" s="661"/>
      <c r="B242" s="661"/>
      <c r="C242" s="661"/>
      <c r="D242" s="661"/>
      <c r="E242" s="661"/>
      <c r="F242" s="661"/>
      <c r="G242" s="661"/>
      <c r="H242" s="661"/>
      <c r="I242" s="661"/>
      <c r="J242" s="661"/>
      <c r="K242" s="661"/>
      <c r="L242" s="661"/>
      <c r="M242" s="661"/>
      <c r="N242" s="661"/>
      <c r="O242" s="662"/>
      <c r="P242" s="658" t="s">
        <v>40</v>
      </c>
      <c r="Q242" s="659"/>
      <c r="R242" s="659"/>
      <c r="S242" s="659"/>
      <c r="T242" s="659"/>
      <c r="U242" s="659"/>
      <c r="V242" s="660"/>
      <c r="W242" s="42" t="s">
        <v>39</v>
      </c>
      <c r="X242" s="43">
        <f>IFERROR(X233/H233,"0")+IFERROR(X234/H234,"0")+IFERROR(X235/H235,"0")+IFERROR(X236/H236,"0")+IFERROR(X237/H237,"0")+IFERROR(X238/H238,"0")+IFERROR(X239/H239,"0")+IFERROR(X240/H240,"0")+IFERROR(X241/H241,"0")</f>
        <v>0</v>
      </c>
      <c r="Y242" s="43">
        <f>IFERROR(Y233/H233,"0")+IFERROR(Y234/H234,"0")+IFERROR(Y235/H235,"0")+IFERROR(Y236/H236,"0")+IFERROR(Y237/H237,"0")+IFERROR(Y238/H238,"0")+IFERROR(Y239/H239,"0")+IFERROR(Y240/H240,"0")+IFERROR(Y241/H241,"0")</f>
        <v>0</v>
      </c>
      <c r="Z242" s="43">
        <f>IFERROR(IF(Z233="",0,Z233),"0")+IFERROR(IF(Z234="",0,Z234),"0")+IFERROR(IF(Z235="",0,Z235),"0")+IFERROR(IF(Z236="",0,Z236),"0")+IFERROR(IF(Z237="",0,Z237),"0")+IFERROR(IF(Z238="",0,Z238),"0")+IFERROR(IF(Z239="",0,Z239),"0")+IFERROR(IF(Z240="",0,Z240),"0")+IFERROR(IF(Z241="",0,Z241),"0")</f>
        <v>0</v>
      </c>
      <c r="AA242" s="67"/>
      <c r="AB242" s="67"/>
      <c r="AC242" s="67"/>
    </row>
    <row r="243" spans="1:68" hidden="1" x14ac:dyDescent="0.2">
      <c r="A243" s="661"/>
      <c r="B243" s="661"/>
      <c r="C243" s="661"/>
      <c r="D243" s="661"/>
      <c r="E243" s="661"/>
      <c r="F243" s="661"/>
      <c r="G243" s="661"/>
      <c r="H243" s="661"/>
      <c r="I243" s="661"/>
      <c r="J243" s="661"/>
      <c r="K243" s="661"/>
      <c r="L243" s="661"/>
      <c r="M243" s="661"/>
      <c r="N243" s="661"/>
      <c r="O243" s="662"/>
      <c r="P243" s="658" t="s">
        <v>40</v>
      </c>
      <c r="Q243" s="659"/>
      <c r="R243" s="659"/>
      <c r="S243" s="659"/>
      <c r="T243" s="659"/>
      <c r="U243" s="659"/>
      <c r="V243" s="660"/>
      <c r="W243" s="42" t="s">
        <v>0</v>
      </c>
      <c r="X243" s="43">
        <f>IFERROR(SUM(X233:X241),"0")</f>
        <v>0</v>
      </c>
      <c r="Y243" s="43">
        <f>IFERROR(SUM(Y233:Y241),"0")</f>
        <v>0</v>
      </c>
      <c r="Z243" s="42"/>
      <c r="AA243" s="67"/>
      <c r="AB243" s="67"/>
      <c r="AC243" s="67"/>
    </row>
    <row r="244" spans="1:68" ht="14.25" hidden="1" customHeight="1" x14ac:dyDescent="0.25">
      <c r="A244" s="653" t="s">
        <v>278</v>
      </c>
      <c r="B244" s="653"/>
      <c r="C244" s="653"/>
      <c r="D244" s="653"/>
      <c r="E244" s="653"/>
      <c r="F244" s="653"/>
      <c r="G244" s="653"/>
      <c r="H244" s="653"/>
      <c r="I244" s="653"/>
      <c r="J244" s="653"/>
      <c r="K244" s="653"/>
      <c r="L244" s="653"/>
      <c r="M244" s="653"/>
      <c r="N244" s="653"/>
      <c r="O244" s="653"/>
      <c r="P244" s="653"/>
      <c r="Q244" s="653"/>
      <c r="R244" s="653"/>
      <c r="S244" s="653"/>
      <c r="T244" s="653"/>
      <c r="U244" s="653"/>
      <c r="V244" s="653"/>
      <c r="W244" s="653"/>
      <c r="X244" s="653"/>
      <c r="Y244" s="653"/>
      <c r="Z244" s="653"/>
      <c r="AA244" s="66"/>
      <c r="AB244" s="66"/>
      <c r="AC244" s="80"/>
    </row>
    <row r="245" spans="1:68" ht="27" hidden="1" customHeight="1" x14ac:dyDescent="0.25">
      <c r="A245" s="63" t="s">
        <v>429</v>
      </c>
      <c r="B245" s="63" t="s">
        <v>430</v>
      </c>
      <c r="C245" s="36">
        <v>4301032053</v>
      </c>
      <c r="D245" s="654">
        <v>4680115886780</v>
      </c>
      <c r="E245" s="654"/>
      <c r="F245" s="62">
        <v>7.0000000000000007E-2</v>
      </c>
      <c r="G245" s="37">
        <v>18</v>
      </c>
      <c r="H245" s="62">
        <v>1.26</v>
      </c>
      <c r="I245" s="62">
        <v>1.45</v>
      </c>
      <c r="J245" s="37">
        <v>216</v>
      </c>
      <c r="K245" s="37" t="s">
        <v>343</v>
      </c>
      <c r="L245" s="37" t="s">
        <v>46</v>
      </c>
      <c r="M245" s="38" t="s">
        <v>283</v>
      </c>
      <c r="N245" s="38"/>
      <c r="O245" s="37">
        <v>60</v>
      </c>
      <c r="P245" s="823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5" s="656"/>
      <c r="R245" s="656"/>
      <c r="S245" s="656"/>
      <c r="T245" s="657"/>
      <c r="U245" s="39" t="s">
        <v>46</v>
      </c>
      <c r="V245" s="39" t="s">
        <v>46</v>
      </c>
      <c r="W245" s="40" t="s">
        <v>0</v>
      </c>
      <c r="X245" s="58">
        <v>0</v>
      </c>
      <c r="Y245" s="55">
        <f>IFERROR(IF(X245="",0,CEILING((X245/$H245),1)*$H245),"")</f>
        <v>0</v>
      </c>
      <c r="Z245" s="41" t="str">
        <f>IFERROR(IF(Y245=0,"",ROUNDUP(Y245/H245,0)*0.0059),"")</f>
        <v/>
      </c>
      <c r="AA245" s="68" t="s">
        <v>46</v>
      </c>
      <c r="AB245" s="69" t="s">
        <v>46</v>
      </c>
      <c r="AC245" s="338" t="s">
        <v>431</v>
      </c>
      <c r="AG245" s="78"/>
      <c r="AJ245" s="84" t="s">
        <v>46</v>
      </c>
      <c r="AK245" s="84">
        <v>0</v>
      </c>
      <c r="BB245" s="339" t="s">
        <v>67</v>
      </c>
      <c r="BM245" s="78">
        <f>IFERROR(X245*I245/H245,"0")</f>
        <v>0</v>
      </c>
      <c r="BN245" s="78">
        <f>IFERROR(Y245*I245/H245,"0")</f>
        <v>0</v>
      </c>
      <c r="BO245" s="78">
        <f>IFERROR(1/J245*(X245/H245),"0")</f>
        <v>0</v>
      </c>
      <c r="BP245" s="78">
        <f>IFERROR(1/J245*(Y245/H245),"0")</f>
        <v>0</v>
      </c>
    </row>
    <row r="246" spans="1:68" ht="27" hidden="1" customHeight="1" x14ac:dyDescent="0.25">
      <c r="A246" s="63" t="s">
        <v>432</v>
      </c>
      <c r="B246" s="63" t="s">
        <v>433</v>
      </c>
      <c r="C246" s="36">
        <v>4301032051</v>
      </c>
      <c r="D246" s="654">
        <v>4680115886742</v>
      </c>
      <c r="E246" s="654"/>
      <c r="F246" s="62">
        <v>7.0000000000000007E-2</v>
      </c>
      <c r="G246" s="37">
        <v>18</v>
      </c>
      <c r="H246" s="62">
        <v>1.26</v>
      </c>
      <c r="I246" s="62">
        <v>1.45</v>
      </c>
      <c r="J246" s="37">
        <v>216</v>
      </c>
      <c r="K246" s="37" t="s">
        <v>343</v>
      </c>
      <c r="L246" s="37" t="s">
        <v>46</v>
      </c>
      <c r="M246" s="38" t="s">
        <v>283</v>
      </c>
      <c r="N246" s="38"/>
      <c r="O246" s="37">
        <v>90</v>
      </c>
      <c r="P246" s="818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6" s="656"/>
      <c r="R246" s="656"/>
      <c r="S246" s="656"/>
      <c r="T246" s="657"/>
      <c r="U246" s="39" t="s">
        <v>46</v>
      </c>
      <c r="V246" s="39" t="s">
        <v>46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IFERROR(IF(Y246=0,"",ROUNDUP(Y246/H246,0)*0.0059),"")</f>
        <v/>
      </c>
      <c r="AA246" s="68" t="s">
        <v>46</v>
      </c>
      <c r="AB246" s="69" t="s">
        <v>46</v>
      </c>
      <c r="AC246" s="340" t="s">
        <v>434</v>
      </c>
      <c r="AG246" s="78"/>
      <c r="AJ246" s="84" t="s">
        <v>46</v>
      </c>
      <c r="AK246" s="84">
        <v>0</v>
      </c>
      <c r="BB246" s="341" t="s">
        <v>67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ht="27" hidden="1" customHeight="1" x14ac:dyDescent="0.25">
      <c r="A247" s="63" t="s">
        <v>435</v>
      </c>
      <c r="B247" s="63" t="s">
        <v>436</v>
      </c>
      <c r="C247" s="36">
        <v>4301032052</v>
      </c>
      <c r="D247" s="654">
        <v>4680115886766</v>
      </c>
      <c r="E247" s="654"/>
      <c r="F247" s="62">
        <v>7.0000000000000007E-2</v>
      </c>
      <c r="G247" s="37">
        <v>18</v>
      </c>
      <c r="H247" s="62">
        <v>1.26</v>
      </c>
      <c r="I247" s="62">
        <v>1.45</v>
      </c>
      <c r="J247" s="37">
        <v>216</v>
      </c>
      <c r="K247" s="37" t="s">
        <v>343</v>
      </c>
      <c r="L247" s="37" t="s">
        <v>46</v>
      </c>
      <c r="M247" s="38" t="s">
        <v>283</v>
      </c>
      <c r="N247" s="38"/>
      <c r="O247" s="37">
        <v>90</v>
      </c>
      <c r="P247" s="81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7" s="656"/>
      <c r="R247" s="656"/>
      <c r="S247" s="656"/>
      <c r="T247" s="657"/>
      <c r="U247" s="39" t="s">
        <v>46</v>
      </c>
      <c r="V247" s="39" t="s">
        <v>46</v>
      </c>
      <c r="W247" s="40" t="s">
        <v>0</v>
      </c>
      <c r="X247" s="58">
        <v>0</v>
      </c>
      <c r="Y247" s="55">
        <f>IFERROR(IF(X247="",0,CEILING((X247/$H247),1)*$H247),"")</f>
        <v>0</v>
      </c>
      <c r="Z247" s="41" t="str">
        <f>IFERROR(IF(Y247=0,"",ROUNDUP(Y247/H247,0)*0.0059),"")</f>
        <v/>
      </c>
      <c r="AA247" s="68" t="s">
        <v>46</v>
      </c>
      <c r="AB247" s="69" t="s">
        <v>46</v>
      </c>
      <c r="AC247" s="342" t="s">
        <v>434</v>
      </c>
      <c r="AG247" s="78"/>
      <c r="AJ247" s="84" t="s">
        <v>46</v>
      </c>
      <c r="AK247" s="84">
        <v>0</v>
      </c>
      <c r="BB247" s="343" t="s">
        <v>67</v>
      </c>
      <c r="BM247" s="78">
        <f>IFERROR(X247*I247/H247,"0")</f>
        <v>0</v>
      </c>
      <c r="BN247" s="78">
        <f>IFERROR(Y247*I247/H247,"0")</f>
        <v>0</v>
      </c>
      <c r="BO247" s="78">
        <f>IFERROR(1/J247*(X247/H247),"0")</f>
        <v>0</v>
      </c>
      <c r="BP247" s="78">
        <f>IFERROR(1/J247*(Y247/H247),"0")</f>
        <v>0</v>
      </c>
    </row>
    <row r="248" spans="1:68" hidden="1" x14ac:dyDescent="0.2">
      <c r="A248" s="661"/>
      <c r="B248" s="661"/>
      <c r="C248" s="661"/>
      <c r="D248" s="661"/>
      <c r="E248" s="661"/>
      <c r="F248" s="661"/>
      <c r="G248" s="661"/>
      <c r="H248" s="661"/>
      <c r="I248" s="661"/>
      <c r="J248" s="661"/>
      <c r="K248" s="661"/>
      <c r="L248" s="661"/>
      <c r="M248" s="661"/>
      <c r="N248" s="661"/>
      <c r="O248" s="662"/>
      <c r="P248" s="658" t="s">
        <v>40</v>
      </c>
      <c r="Q248" s="659"/>
      <c r="R248" s="659"/>
      <c r="S248" s="659"/>
      <c r="T248" s="659"/>
      <c r="U248" s="659"/>
      <c r="V248" s="660"/>
      <c r="W248" s="42" t="s">
        <v>39</v>
      </c>
      <c r="X248" s="43">
        <f>IFERROR(X245/H245,"0")+IFERROR(X246/H246,"0")+IFERROR(X247/H247,"0")</f>
        <v>0</v>
      </c>
      <c r="Y248" s="43">
        <f>IFERROR(Y245/H245,"0")+IFERROR(Y246/H246,"0")+IFERROR(Y247/H247,"0")</f>
        <v>0</v>
      </c>
      <c r="Z248" s="43">
        <f>IFERROR(IF(Z245="",0,Z245),"0")+IFERROR(IF(Z246="",0,Z246),"0")+IFERROR(IF(Z247="",0,Z247),"0")</f>
        <v>0</v>
      </c>
      <c r="AA248" s="67"/>
      <c r="AB248" s="67"/>
      <c r="AC248" s="67"/>
    </row>
    <row r="249" spans="1:68" hidden="1" x14ac:dyDescent="0.2">
      <c r="A249" s="661"/>
      <c r="B249" s="661"/>
      <c r="C249" s="661"/>
      <c r="D249" s="661"/>
      <c r="E249" s="661"/>
      <c r="F249" s="661"/>
      <c r="G249" s="661"/>
      <c r="H249" s="661"/>
      <c r="I249" s="661"/>
      <c r="J249" s="661"/>
      <c r="K249" s="661"/>
      <c r="L249" s="661"/>
      <c r="M249" s="661"/>
      <c r="N249" s="661"/>
      <c r="O249" s="662"/>
      <c r="P249" s="658" t="s">
        <v>40</v>
      </c>
      <c r="Q249" s="659"/>
      <c r="R249" s="659"/>
      <c r="S249" s="659"/>
      <c r="T249" s="659"/>
      <c r="U249" s="659"/>
      <c r="V249" s="660"/>
      <c r="W249" s="42" t="s">
        <v>0</v>
      </c>
      <c r="X249" s="43">
        <f>IFERROR(SUM(X245:X247),"0")</f>
        <v>0</v>
      </c>
      <c r="Y249" s="43">
        <f>IFERROR(SUM(Y245:Y247),"0")</f>
        <v>0</v>
      </c>
      <c r="Z249" s="42"/>
      <c r="AA249" s="67"/>
      <c r="AB249" s="67"/>
      <c r="AC249" s="67"/>
    </row>
    <row r="250" spans="1:68" ht="14.25" hidden="1" customHeight="1" x14ac:dyDescent="0.25">
      <c r="A250" s="653" t="s">
        <v>437</v>
      </c>
      <c r="B250" s="653"/>
      <c r="C250" s="653"/>
      <c r="D250" s="653"/>
      <c r="E250" s="653"/>
      <c r="F250" s="653"/>
      <c r="G250" s="653"/>
      <c r="H250" s="653"/>
      <c r="I250" s="653"/>
      <c r="J250" s="653"/>
      <c r="K250" s="653"/>
      <c r="L250" s="653"/>
      <c r="M250" s="653"/>
      <c r="N250" s="653"/>
      <c r="O250" s="653"/>
      <c r="P250" s="653"/>
      <c r="Q250" s="653"/>
      <c r="R250" s="653"/>
      <c r="S250" s="653"/>
      <c r="T250" s="653"/>
      <c r="U250" s="653"/>
      <c r="V250" s="653"/>
      <c r="W250" s="653"/>
      <c r="X250" s="653"/>
      <c r="Y250" s="653"/>
      <c r="Z250" s="653"/>
      <c r="AA250" s="66"/>
      <c r="AB250" s="66"/>
      <c r="AC250" s="80"/>
    </row>
    <row r="251" spans="1:68" ht="27" hidden="1" customHeight="1" x14ac:dyDescent="0.25">
      <c r="A251" s="63" t="s">
        <v>438</v>
      </c>
      <c r="B251" s="63" t="s">
        <v>439</v>
      </c>
      <c r="C251" s="36">
        <v>4301170013</v>
      </c>
      <c r="D251" s="654">
        <v>4680115886797</v>
      </c>
      <c r="E251" s="654"/>
      <c r="F251" s="62">
        <v>7.0000000000000007E-2</v>
      </c>
      <c r="G251" s="37">
        <v>18</v>
      </c>
      <c r="H251" s="62">
        <v>1.26</v>
      </c>
      <c r="I251" s="62">
        <v>1.45</v>
      </c>
      <c r="J251" s="37">
        <v>216</v>
      </c>
      <c r="K251" s="37" t="s">
        <v>343</v>
      </c>
      <c r="L251" s="37" t="s">
        <v>46</v>
      </c>
      <c r="M251" s="38" t="s">
        <v>283</v>
      </c>
      <c r="N251" s="38"/>
      <c r="O251" s="37">
        <v>90</v>
      </c>
      <c r="P251" s="820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1" s="656"/>
      <c r="R251" s="656"/>
      <c r="S251" s="656"/>
      <c r="T251" s="657"/>
      <c r="U251" s="39" t="s">
        <v>46</v>
      </c>
      <c r="V251" s="39" t="s">
        <v>46</v>
      </c>
      <c r="W251" s="40" t="s">
        <v>0</v>
      </c>
      <c r="X251" s="58">
        <v>0</v>
      </c>
      <c r="Y251" s="55">
        <f>IFERROR(IF(X251="",0,CEILING((X251/$H251),1)*$H251),"")</f>
        <v>0</v>
      </c>
      <c r="Z251" s="41" t="str">
        <f>IFERROR(IF(Y251=0,"",ROUNDUP(Y251/H251,0)*0.0059),"")</f>
        <v/>
      </c>
      <c r="AA251" s="68" t="s">
        <v>46</v>
      </c>
      <c r="AB251" s="69" t="s">
        <v>46</v>
      </c>
      <c r="AC251" s="344" t="s">
        <v>434</v>
      </c>
      <c r="AG251" s="78"/>
      <c r="AJ251" s="84" t="s">
        <v>46</v>
      </c>
      <c r="AK251" s="84">
        <v>0</v>
      </c>
      <c r="BB251" s="345" t="s">
        <v>67</v>
      </c>
      <c r="BM251" s="78">
        <f>IFERROR(X251*I251/H251,"0")</f>
        <v>0</v>
      </c>
      <c r="BN251" s="78">
        <f>IFERROR(Y251*I251/H251,"0")</f>
        <v>0</v>
      </c>
      <c r="BO251" s="78">
        <f>IFERROR(1/J251*(X251/H251),"0")</f>
        <v>0</v>
      </c>
      <c r="BP251" s="78">
        <f>IFERROR(1/J251*(Y251/H251),"0")</f>
        <v>0</v>
      </c>
    </row>
    <row r="252" spans="1:68" hidden="1" x14ac:dyDescent="0.2">
      <c r="A252" s="661"/>
      <c r="B252" s="661"/>
      <c r="C252" s="661"/>
      <c r="D252" s="661"/>
      <c r="E252" s="661"/>
      <c r="F252" s="661"/>
      <c r="G252" s="661"/>
      <c r="H252" s="661"/>
      <c r="I252" s="661"/>
      <c r="J252" s="661"/>
      <c r="K252" s="661"/>
      <c r="L252" s="661"/>
      <c r="M252" s="661"/>
      <c r="N252" s="661"/>
      <c r="O252" s="662"/>
      <c r="P252" s="658" t="s">
        <v>40</v>
      </c>
      <c r="Q252" s="659"/>
      <c r="R252" s="659"/>
      <c r="S252" s="659"/>
      <c r="T252" s="659"/>
      <c r="U252" s="659"/>
      <c r="V252" s="660"/>
      <c r="W252" s="42" t="s">
        <v>39</v>
      </c>
      <c r="X252" s="43">
        <f>IFERROR(X251/H251,"0")</f>
        <v>0</v>
      </c>
      <c r="Y252" s="43">
        <f>IFERROR(Y251/H251,"0")</f>
        <v>0</v>
      </c>
      <c r="Z252" s="43">
        <f>IFERROR(IF(Z251="",0,Z251),"0")</f>
        <v>0</v>
      </c>
      <c r="AA252" s="67"/>
      <c r="AB252" s="67"/>
      <c r="AC252" s="67"/>
    </row>
    <row r="253" spans="1:68" hidden="1" x14ac:dyDescent="0.2">
      <c r="A253" s="661"/>
      <c r="B253" s="661"/>
      <c r="C253" s="661"/>
      <c r="D253" s="661"/>
      <c r="E253" s="661"/>
      <c r="F253" s="661"/>
      <c r="G253" s="661"/>
      <c r="H253" s="661"/>
      <c r="I253" s="661"/>
      <c r="J253" s="661"/>
      <c r="K253" s="661"/>
      <c r="L253" s="661"/>
      <c r="M253" s="661"/>
      <c r="N253" s="661"/>
      <c r="O253" s="662"/>
      <c r="P253" s="658" t="s">
        <v>40</v>
      </c>
      <c r="Q253" s="659"/>
      <c r="R253" s="659"/>
      <c r="S253" s="659"/>
      <c r="T253" s="659"/>
      <c r="U253" s="659"/>
      <c r="V253" s="660"/>
      <c r="W253" s="42" t="s">
        <v>0</v>
      </c>
      <c r="X253" s="43">
        <f>IFERROR(SUM(X251:X251),"0")</f>
        <v>0</v>
      </c>
      <c r="Y253" s="43">
        <f>IFERROR(SUM(Y251:Y251),"0")</f>
        <v>0</v>
      </c>
      <c r="Z253" s="42"/>
      <c r="AA253" s="67"/>
      <c r="AB253" s="67"/>
      <c r="AC253" s="67"/>
    </row>
    <row r="254" spans="1:68" ht="16.5" hidden="1" customHeight="1" x14ac:dyDescent="0.25">
      <c r="A254" s="652" t="s">
        <v>440</v>
      </c>
      <c r="B254" s="652"/>
      <c r="C254" s="652"/>
      <c r="D254" s="652"/>
      <c r="E254" s="652"/>
      <c r="F254" s="652"/>
      <c r="G254" s="652"/>
      <c r="H254" s="652"/>
      <c r="I254" s="652"/>
      <c r="J254" s="652"/>
      <c r="K254" s="652"/>
      <c r="L254" s="652"/>
      <c r="M254" s="652"/>
      <c r="N254" s="652"/>
      <c r="O254" s="652"/>
      <c r="P254" s="652"/>
      <c r="Q254" s="652"/>
      <c r="R254" s="652"/>
      <c r="S254" s="652"/>
      <c r="T254" s="652"/>
      <c r="U254" s="652"/>
      <c r="V254" s="652"/>
      <c r="W254" s="652"/>
      <c r="X254" s="652"/>
      <c r="Y254" s="652"/>
      <c r="Z254" s="652"/>
      <c r="AA254" s="65"/>
      <c r="AB254" s="65"/>
      <c r="AC254" s="79"/>
    </row>
    <row r="255" spans="1:68" ht="14.25" hidden="1" customHeight="1" x14ac:dyDescent="0.25">
      <c r="A255" s="653" t="s">
        <v>122</v>
      </c>
      <c r="B255" s="653"/>
      <c r="C255" s="653"/>
      <c r="D255" s="653"/>
      <c r="E255" s="653"/>
      <c r="F255" s="653"/>
      <c r="G255" s="653"/>
      <c r="H255" s="653"/>
      <c r="I255" s="653"/>
      <c r="J255" s="653"/>
      <c r="K255" s="653"/>
      <c r="L255" s="653"/>
      <c r="M255" s="653"/>
      <c r="N255" s="653"/>
      <c r="O255" s="653"/>
      <c r="P255" s="653"/>
      <c r="Q255" s="653"/>
      <c r="R255" s="653"/>
      <c r="S255" s="653"/>
      <c r="T255" s="653"/>
      <c r="U255" s="653"/>
      <c r="V255" s="653"/>
      <c r="W255" s="653"/>
      <c r="X255" s="653"/>
      <c r="Y255" s="653"/>
      <c r="Z255" s="653"/>
      <c r="AA255" s="66"/>
      <c r="AB255" s="66"/>
      <c r="AC255" s="80"/>
    </row>
    <row r="256" spans="1:68" ht="27" hidden="1" customHeight="1" x14ac:dyDescent="0.25">
      <c r="A256" s="63" t="s">
        <v>441</v>
      </c>
      <c r="B256" s="63" t="s">
        <v>442</v>
      </c>
      <c r="C256" s="36">
        <v>4301011450</v>
      </c>
      <c r="D256" s="654">
        <v>4680115881402</v>
      </c>
      <c r="E256" s="654"/>
      <c r="F256" s="62">
        <v>1.35</v>
      </c>
      <c r="G256" s="37">
        <v>8</v>
      </c>
      <c r="H256" s="62">
        <v>10.8</v>
      </c>
      <c r="I256" s="62">
        <v>11.21</v>
      </c>
      <c r="J256" s="37">
        <v>64</v>
      </c>
      <c r="K256" s="37" t="s">
        <v>127</v>
      </c>
      <c r="L256" s="37" t="s">
        <v>46</v>
      </c>
      <c r="M256" s="38" t="s">
        <v>126</v>
      </c>
      <c r="N256" s="38"/>
      <c r="O256" s="37">
        <v>55</v>
      </c>
      <c r="P256" s="81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6" s="656"/>
      <c r="R256" s="656"/>
      <c r="S256" s="656"/>
      <c r="T256" s="657"/>
      <c r="U256" s="39" t="s">
        <v>46</v>
      </c>
      <c r="V256" s="39" t="s">
        <v>46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IFERROR(IF(Y256=0,"",ROUNDUP(Y256/H256,0)*0.01898),"")</f>
        <v/>
      </c>
      <c r="AA256" s="68" t="s">
        <v>46</v>
      </c>
      <c r="AB256" s="69" t="s">
        <v>46</v>
      </c>
      <c r="AC256" s="346" t="s">
        <v>443</v>
      </c>
      <c r="AG256" s="78"/>
      <c r="AJ256" s="84" t="s">
        <v>46</v>
      </c>
      <c r="AK256" s="84">
        <v>0</v>
      </c>
      <c r="BB256" s="347" t="s">
        <v>67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ht="27" hidden="1" customHeight="1" x14ac:dyDescent="0.25">
      <c r="A257" s="63" t="s">
        <v>444</v>
      </c>
      <c r="B257" s="63" t="s">
        <v>445</v>
      </c>
      <c r="C257" s="36">
        <v>4301011768</v>
      </c>
      <c r="D257" s="654">
        <v>4680115881396</v>
      </c>
      <c r="E257" s="654"/>
      <c r="F257" s="62">
        <v>0.45</v>
      </c>
      <c r="G257" s="37">
        <v>6</v>
      </c>
      <c r="H257" s="62">
        <v>2.7</v>
      </c>
      <c r="I257" s="62">
        <v>2.88</v>
      </c>
      <c r="J257" s="37">
        <v>182</v>
      </c>
      <c r="K257" s="37" t="s">
        <v>91</v>
      </c>
      <c r="L257" s="37" t="s">
        <v>46</v>
      </c>
      <c r="M257" s="38" t="s">
        <v>126</v>
      </c>
      <c r="N257" s="38"/>
      <c r="O257" s="37">
        <v>55</v>
      </c>
      <c r="P257" s="81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7" s="656"/>
      <c r="R257" s="656"/>
      <c r="S257" s="656"/>
      <c r="T257" s="657"/>
      <c r="U257" s="39" t="s">
        <v>46</v>
      </c>
      <c r="V257" s="39" t="s">
        <v>46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IFERROR(IF(Y257=0,"",ROUNDUP(Y257/H257,0)*0.00651),"")</f>
        <v/>
      </c>
      <c r="AA257" s="68" t="s">
        <v>46</v>
      </c>
      <c r="AB257" s="69" t="s">
        <v>46</v>
      </c>
      <c r="AC257" s="348" t="s">
        <v>443</v>
      </c>
      <c r="AG257" s="78"/>
      <c r="AJ257" s="84" t="s">
        <v>46</v>
      </c>
      <c r="AK257" s="84">
        <v>0</v>
      </c>
      <c r="BB257" s="349" t="s">
        <v>67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idden="1" x14ac:dyDescent="0.2">
      <c r="A258" s="661"/>
      <c r="B258" s="661"/>
      <c r="C258" s="661"/>
      <c r="D258" s="661"/>
      <c r="E258" s="661"/>
      <c r="F258" s="661"/>
      <c r="G258" s="661"/>
      <c r="H258" s="661"/>
      <c r="I258" s="661"/>
      <c r="J258" s="661"/>
      <c r="K258" s="661"/>
      <c r="L258" s="661"/>
      <c r="M258" s="661"/>
      <c r="N258" s="661"/>
      <c r="O258" s="662"/>
      <c r="P258" s="658" t="s">
        <v>40</v>
      </c>
      <c r="Q258" s="659"/>
      <c r="R258" s="659"/>
      <c r="S258" s="659"/>
      <c r="T258" s="659"/>
      <c r="U258" s="659"/>
      <c r="V258" s="660"/>
      <c r="W258" s="42" t="s">
        <v>39</v>
      </c>
      <c r="X258" s="43">
        <f>IFERROR(X256/H256,"0")+IFERROR(X257/H257,"0")</f>
        <v>0</v>
      </c>
      <c r="Y258" s="43">
        <f>IFERROR(Y256/H256,"0")+IFERROR(Y257/H257,"0")</f>
        <v>0</v>
      </c>
      <c r="Z258" s="43">
        <f>IFERROR(IF(Z256="",0,Z256),"0")+IFERROR(IF(Z257="",0,Z257),"0")</f>
        <v>0</v>
      </c>
      <c r="AA258" s="67"/>
      <c r="AB258" s="67"/>
      <c r="AC258" s="67"/>
    </row>
    <row r="259" spans="1:68" hidden="1" x14ac:dyDescent="0.2">
      <c r="A259" s="661"/>
      <c r="B259" s="661"/>
      <c r="C259" s="661"/>
      <c r="D259" s="661"/>
      <c r="E259" s="661"/>
      <c r="F259" s="661"/>
      <c r="G259" s="661"/>
      <c r="H259" s="661"/>
      <c r="I259" s="661"/>
      <c r="J259" s="661"/>
      <c r="K259" s="661"/>
      <c r="L259" s="661"/>
      <c r="M259" s="661"/>
      <c r="N259" s="661"/>
      <c r="O259" s="662"/>
      <c r="P259" s="658" t="s">
        <v>40</v>
      </c>
      <c r="Q259" s="659"/>
      <c r="R259" s="659"/>
      <c r="S259" s="659"/>
      <c r="T259" s="659"/>
      <c r="U259" s="659"/>
      <c r="V259" s="660"/>
      <c r="W259" s="42" t="s">
        <v>0</v>
      </c>
      <c r="X259" s="43">
        <f>IFERROR(SUM(X256:X257),"0")</f>
        <v>0</v>
      </c>
      <c r="Y259" s="43">
        <f>IFERROR(SUM(Y256:Y257),"0")</f>
        <v>0</v>
      </c>
      <c r="Z259" s="42"/>
      <c r="AA259" s="67"/>
      <c r="AB259" s="67"/>
      <c r="AC259" s="67"/>
    </row>
    <row r="260" spans="1:68" ht="14.25" hidden="1" customHeight="1" x14ac:dyDescent="0.25">
      <c r="A260" s="653" t="s">
        <v>157</v>
      </c>
      <c r="B260" s="653"/>
      <c r="C260" s="653"/>
      <c r="D260" s="653"/>
      <c r="E260" s="653"/>
      <c r="F260" s="653"/>
      <c r="G260" s="653"/>
      <c r="H260" s="653"/>
      <c r="I260" s="653"/>
      <c r="J260" s="653"/>
      <c r="K260" s="653"/>
      <c r="L260" s="653"/>
      <c r="M260" s="653"/>
      <c r="N260" s="653"/>
      <c r="O260" s="653"/>
      <c r="P260" s="653"/>
      <c r="Q260" s="653"/>
      <c r="R260" s="653"/>
      <c r="S260" s="653"/>
      <c r="T260" s="653"/>
      <c r="U260" s="653"/>
      <c r="V260" s="653"/>
      <c r="W260" s="653"/>
      <c r="X260" s="653"/>
      <c r="Y260" s="653"/>
      <c r="Z260" s="653"/>
      <c r="AA260" s="66"/>
      <c r="AB260" s="66"/>
      <c r="AC260" s="80"/>
    </row>
    <row r="261" spans="1:68" ht="16.5" hidden="1" customHeight="1" x14ac:dyDescent="0.25">
      <c r="A261" s="63" t="s">
        <v>446</v>
      </c>
      <c r="B261" s="63" t="s">
        <v>447</v>
      </c>
      <c r="C261" s="36">
        <v>4301020261</v>
      </c>
      <c r="D261" s="654">
        <v>4680115882935</v>
      </c>
      <c r="E261" s="654"/>
      <c r="F261" s="62">
        <v>1.35</v>
      </c>
      <c r="G261" s="37">
        <v>8</v>
      </c>
      <c r="H261" s="62">
        <v>10.8</v>
      </c>
      <c r="I261" s="62">
        <v>11.21</v>
      </c>
      <c r="J261" s="37">
        <v>64</v>
      </c>
      <c r="K261" s="37" t="s">
        <v>127</v>
      </c>
      <c r="L261" s="37" t="s">
        <v>46</v>
      </c>
      <c r="M261" s="38" t="s">
        <v>126</v>
      </c>
      <c r="N261" s="38"/>
      <c r="O261" s="37">
        <v>50</v>
      </c>
      <c r="P261" s="814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1" s="656"/>
      <c r="R261" s="656"/>
      <c r="S261" s="656"/>
      <c r="T261" s="657"/>
      <c r="U261" s="39" t="s">
        <v>46</v>
      </c>
      <c r="V261" s="39" t="s">
        <v>46</v>
      </c>
      <c r="W261" s="40" t="s">
        <v>0</v>
      </c>
      <c r="X261" s="58">
        <v>0</v>
      </c>
      <c r="Y261" s="55">
        <f>IFERROR(IF(X261="",0,CEILING((X261/$H261),1)*$H261),"")</f>
        <v>0</v>
      </c>
      <c r="Z261" s="41" t="str">
        <f>IFERROR(IF(Y261=0,"",ROUNDUP(Y261/H261,0)*0.01898),"")</f>
        <v/>
      </c>
      <c r="AA261" s="68" t="s">
        <v>46</v>
      </c>
      <c r="AB261" s="69" t="s">
        <v>46</v>
      </c>
      <c r="AC261" s="350" t="s">
        <v>448</v>
      </c>
      <c r="AG261" s="78"/>
      <c r="AJ261" s="84" t="s">
        <v>46</v>
      </c>
      <c r="AK261" s="84">
        <v>0</v>
      </c>
      <c r="BB261" s="351" t="s">
        <v>67</v>
      </c>
      <c r="BM261" s="78">
        <f>IFERROR(X261*I261/H261,"0")</f>
        <v>0</v>
      </c>
      <c r="BN261" s="78">
        <f>IFERROR(Y261*I261/H261,"0")</f>
        <v>0</v>
      </c>
      <c r="BO261" s="78">
        <f>IFERROR(1/J261*(X261/H261),"0")</f>
        <v>0</v>
      </c>
      <c r="BP261" s="78">
        <f>IFERROR(1/J261*(Y261/H261),"0")</f>
        <v>0</v>
      </c>
    </row>
    <row r="262" spans="1:68" ht="16.5" hidden="1" customHeight="1" x14ac:dyDescent="0.25">
      <c r="A262" s="63" t="s">
        <v>449</v>
      </c>
      <c r="B262" s="63" t="s">
        <v>450</v>
      </c>
      <c r="C262" s="36">
        <v>4301020220</v>
      </c>
      <c r="D262" s="654">
        <v>4680115880764</v>
      </c>
      <c r="E262" s="654"/>
      <c r="F262" s="62">
        <v>0.35</v>
      </c>
      <c r="G262" s="37">
        <v>6</v>
      </c>
      <c r="H262" s="62">
        <v>2.1</v>
      </c>
      <c r="I262" s="62">
        <v>2.2799999999999998</v>
      </c>
      <c r="J262" s="37">
        <v>182</v>
      </c>
      <c r="K262" s="37" t="s">
        <v>91</v>
      </c>
      <c r="L262" s="37" t="s">
        <v>46</v>
      </c>
      <c r="M262" s="38" t="s">
        <v>126</v>
      </c>
      <c r="N262" s="38"/>
      <c r="O262" s="37">
        <v>50</v>
      </c>
      <c r="P262" s="815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2" s="656"/>
      <c r="R262" s="656"/>
      <c r="S262" s="656"/>
      <c r="T262" s="657"/>
      <c r="U262" s="39" t="s">
        <v>46</v>
      </c>
      <c r="V262" s="39" t="s">
        <v>46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IFERROR(IF(Y262=0,"",ROUNDUP(Y262/H262,0)*0.00651),"")</f>
        <v/>
      </c>
      <c r="AA262" s="68" t="s">
        <v>46</v>
      </c>
      <c r="AB262" s="69" t="s">
        <v>46</v>
      </c>
      <c r="AC262" s="352" t="s">
        <v>448</v>
      </c>
      <c r="AG262" s="78"/>
      <c r="AJ262" s="84" t="s">
        <v>46</v>
      </c>
      <c r="AK262" s="84">
        <v>0</v>
      </c>
      <c r="BB262" s="353" t="s">
        <v>67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hidden="1" x14ac:dyDescent="0.2">
      <c r="A263" s="661"/>
      <c r="B263" s="661"/>
      <c r="C263" s="661"/>
      <c r="D263" s="661"/>
      <c r="E263" s="661"/>
      <c r="F263" s="661"/>
      <c r="G263" s="661"/>
      <c r="H263" s="661"/>
      <c r="I263" s="661"/>
      <c r="J263" s="661"/>
      <c r="K263" s="661"/>
      <c r="L263" s="661"/>
      <c r="M263" s="661"/>
      <c r="N263" s="661"/>
      <c r="O263" s="662"/>
      <c r="P263" s="658" t="s">
        <v>40</v>
      </c>
      <c r="Q263" s="659"/>
      <c r="R263" s="659"/>
      <c r="S263" s="659"/>
      <c r="T263" s="659"/>
      <c r="U263" s="659"/>
      <c r="V263" s="660"/>
      <c r="W263" s="42" t="s">
        <v>39</v>
      </c>
      <c r="X263" s="43">
        <f>IFERROR(X261/H261,"0")+IFERROR(X262/H262,"0")</f>
        <v>0</v>
      </c>
      <c r="Y263" s="43">
        <f>IFERROR(Y261/H261,"0")+IFERROR(Y262/H262,"0")</f>
        <v>0</v>
      </c>
      <c r="Z263" s="43">
        <f>IFERROR(IF(Z261="",0,Z261),"0")+IFERROR(IF(Z262="",0,Z262),"0")</f>
        <v>0</v>
      </c>
      <c r="AA263" s="67"/>
      <c r="AB263" s="67"/>
      <c r="AC263" s="67"/>
    </row>
    <row r="264" spans="1:68" hidden="1" x14ac:dyDescent="0.2">
      <c r="A264" s="661"/>
      <c r="B264" s="661"/>
      <c r="C264" s="661"/>
      <c r="D264" s="661"/>
      <c r="E264" s="661"/>
      <c r="F264" s="661"/>
      <c r="G264" s="661"/>
      <c r="H264" s="661"/>
      <c r="I264" s="661"/>
      <c r="J264" s="661"/>
      <c r="K264" s="661"/>
      <c r="L264" s="661"/>
      <c r="M264" s="661"/>
      <c r="N264" s="661"/>
      <c r="O264" s="662"/>
      <c r="P264" s="658" t="s">
        <v>40</v>
      </c>
      <c r="Q264" s="659"/>
      <c r="R264" s="659"/>
      <c r="S264" s="659"/>
      <c r="T264" s="659"/>
      <c r="U264" s="659"/>
      <c r="V264" s="660"/>
      <c r="W264" s="42" t="s">
        <v>0</v>
      </c>
      <c r="X264" s="43">
        <f>IFERROR(SUM(X261:X262),"0")</f>
        <v>0</v>
      </c>
      <c r="Y264" s="43">
        <f>IFERROR(SUM(Y261:Y262),"0")</f>
        <v>0</v>
      </c>
      <c r="Z264" s="42"/>
      <c r="AA264" s="67"/>
      <c r="AB264" s="67"/>
      <c r="AC264" s="67"/>
    </row>
    <row r="265" spans="1:68" ht="14.25" hidden="1" customHeight="1" x14ac:dyDescent="0.25">
      <c r="A265" s="653" t="s">
        <v>77</v>
      </c>
      <c r="B265" s="653"/>
      <c r="C265" s="653"/>
      <c r="D265" s="653"/>
      <c r="E265" s="653"/>
      <c r="F265" s="653"/>
      <c r="G265" s="653"/>
      <c r="H265" s="653"/>
      <c r="I265" s="653"/>
      <c r="J265" s="653"/>
      <c r="K265" s="653"/>
      <c r="L265" s="653"/>
      <c r="M265" s="653"/>
      <c r="N265" s="653"/>
      <c r="O265" s="653"/>
      <c r="P265" s="653"/>
      <c r="Q265" s="653"/>
      <c r="R265" s="653"/>
      <c r="S265" s="653"/>
      <c r="T265" s="653"/>
      <c r="U265" s="653"/>
      <c r="V265" s="653"/>
      <c r="W265" s="653"/>
      <c r="X265" s="653"/>
      <c r="Y265" s="653"/>
      <c r="Z265" s="653"/>
      <c r="AA265" s="66"/>
      <c r="AB265" s="66"/>
      <c r="AC265" s="80"/>
    </row>
    <row r="266" spans="1:68" ht="27" hidden="1" customHeight="1" x14ac:dyDescent="0.25">
      <c r="A266" s="63" t="s">
        <v>451</v>
      </c>
      <c r="B266" s="63" t="s">
        <v>452</v>
      </c>
      <c r="C266" s="36">
        <v>4301031224</v>
      </c>
      <c r="D266" s="654">
        <v>4680115882683</v>
      </c>
      <c r="E266" s="654"/>
      <c r="F266" s="62">
        <v>0.9</v>
      </c>
      <c r="G266" s="37">
        <v>6</v>
      </c>
      <c r="H266" s="62">
        <v>5.4</v>
      </c>
      <c r="I266" s="62">
        <v>5.59</v>
      </c>
      <c r="J266" s="37">
        <v>132</v>
      </c>
      <c r="K266" s="37" t="s">
        <v>134</v>
      </c>
      <c r="L266" s="37" t="s">
        <v>46</v>
      </c>
      <c r="M266" s="38" t="s">
        <v>81</v>
      </c>
      <c r="N266" s="38"/>
      <c r="O266" s="37">
        <v>40</v>
      </c>
      <c r="P266" s="81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6" s="656"/>
      <c r="R266" s="656"/>
      <c r="S266" s="656"/>
      <c r="T266" s="657"/>
      <c r="U266" s="39" t="s">
        <v>46</v>
      </c>
      <c r="V266" s="39" t="s">
        <v>46</v>
      </c>
      <c r="W266" s="40" t="s">
        <v>0</v>
      </c>
      <c r="X266" s="58">
        <v>0</v>
      </c>
      <c r="Y266" s="55">
        <f t="shared" ref="Y266:Y273" si="38">IFERROR(IF(X266="",0,CEILING((X266/$H266),1)*$H266),"")</f>
        <v>0</v>
      </c>
      <c r="Z266" s="41" t="str">
        <f>IFERROR(IF(Y266=0,"",ROUNDUP(Y266/H266,0)*0.00902),"")</f>
        <v/>
      </c>
      <c r="AA266" s="68" t="s">
        <v>46</v>
      </c>
      <c r="AB266" s="69" t="s">
        <v>46</v>
      </c>
      <c r="AC266" s="354" t="s">
        <v>453</v>
      </c>
      <c r="AG266" s="78"/>
      <c r="AJ266" s="84" t="s">
        <v>46</v>
      </c>
      <c r="AK266" s="84">
        <v>0</v>
      </c>
      <c r="BB266" s="355" t="s">
        <v>67</v>
      </c>
      <c r="BM266" s="78">
        <f t="shared" ref="BM266:BM273" si="39">IFERROR(X266*I266/H266,"0")</f>
        <v>0</v>
      </c>
      <c r="BN266" s="78">
        <f t="shared" ref="BN266:BN273" si="40">IFERROR(Y266*I266/H266,"0")</f>
        <v>0</v>
      </c>
      <c r="BO266" s="78">
        <f t="shared" ref="BO266:BO273" si="41">IFERROR(1/J266*(X266/H266),"0")</f>
        <v>0</v>
      </c>
      <c r="BP266" s="78">
        <f t="shared" ref="BP266:BP273" si="42">IFERROR(1/J266*(Y266/H266),"0")</f>
        <v>0</v>
      </c>
    </row>
    <row r="267" spans="1:68" ht="27" hidden="1" customHeight="1" x14ac:dyDescent="0.25">
      <c r="A267" s="63" t="s">
        <v>454</v>
      </c>
      <c r="B267" s="63" t="s">
        <v>455</v>
      </c>
      <c r="C267" s="36">
        <v>4301031230</v>
      </c>
      <c r="D267" s="654">
        <v>4680115882690</v>
      </c>
      <c r="E267" s="654"/>
      <c r="F267" s="62">
        <v>0.9</v>
      </c>
      <c r="G267" s="37">
        <v>6</v>
      </c>
      <c r="H267" s="62">
        <v>5.4</v>
      </c>
      <c r="I267" s="62">
        <v>5.59</v>
      </c>
      <c r="J267" s="37">
        <v>132</v>
      </c>
      <c r="K267" s="37" t="s">
        <v>134</v>
      </c>
      <c r="L267" s="37" t="s">
        <v>46</v>
      </c>
      <c r="M267" s="38" t="s">
        <v>81</v>
      </c>
      <c r="N267" s="38"/>
      <c r="O267" s="37">
        <v>40</v>
      </c>
      <c r="P267" s="81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7" s="656"/>
      <c r="R267" s="656"/>
      <c r="S267" s="656"/>
      <c r="T267" s="657"/>
      <c r="U267" s="39" t="s">
        <v>46</v>
      </c>
      <c r="V267" s="39" t="s">
        <v>46</v>
      </c>
      <c r="W267" s="40" t="s">
        <v>0</v>
      </c>
      <c r="X267" s="58">
        <v>0</v>
      </c>
      <c r="Y267" s="55">
        <f t="shared" si="38"/>
        <v>0</v>
      </c>
      <c r="Z267" s="41" t="str">
        <f>IFERROR(IF(Y267=0,"",ROUNDUP(Y267/H267,0)*0.00902),"")</f>
        <v/>
      </c>
      <c r="AA267" s="68" t="s">
        <v>46</v>
      </c>
      <c r="AB267" s="69" t="s">
        <v>46</v>
      </c>
      <c r="AC267" s="356" t="s">
        <v>456</v>
      </c>
      <c r="AG267" s="78"/>
      <c r="AJ267" s="84" t="s">
        <v>46</v>
      </c>
      <c r="AK267" s="84">
        <v>0</v>
      </c>
      <c r="BB267" s="357" t="s">
        <v>67</v>
      </c>
      <c r="BM267" s="78">
        <f t="shared" si="39"/>
        <v>0</v>
      </c>
      <c r="BN267" s="78">
        <f t="shared" si="40"/>
        <v>0</v>
      </c>
      <c r="BO267" s="78">
        <f t="shared" si="41"/>
        <v>0</v>
      </c>
      <c r="BP267" s="78">
        <f t="shared" si="42"/>
        <v>0</v>
      </c>
    </row>
    <row r="268" spans="1:68" ht="27" hidden="1" customHeight="1" x14ac:dyDescent="0.25">
      <c r="A268" s="63" t="s">
        <v>457</v>
      </c>
      <c r="B268" s="63" t="s">
        <v>458</v>
      </c>
      <c r="C268" s="36">
        <v>4301031220</v>
      </c>
      <c r="D268" s="654">
        <v>4680115882669</v>
      </c>
      <c r="E268" s="654"/>
      <c r="F268" s="62">
        <v>0.9</v>
      </c>
      <c r="G268" s="37">
        <v>6</v>
      </c>
      <c r="H268" s="62">
        <v>5.4</v>
      </c>
      <c r="I268" s="62">
        <v>5.59</v>
      </c>
      <c r="J268" s="37">
        <v>132</v>
      </c>
      <c r="K268" s="37" t="s">
        <v>134</v>
      </c>
      <c r="L268" s="37" t="s">
        <v>46</v>
      </c>
      <c r="M268" s="38" t="s">
        <v>81</v>
      </c>
      <c r="N268" s="38"/>
      <c r="O268" s="37">
        <v>40</v>
      </c>
      <c r="P268" s="81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8" s="656"/>
      <c r="R268" s="656"/>
      <c r="S268" s="656"/>
      <c r="T268" s="657"/>
      <c r="U268" s="39" t="s">
        <v>46</v>
      </c>
      <c r="V268" s="39" t="s">
        <v>46</v>
      </c>
      <c r="W268" s="40" t="s">
        <v>0</v>
      </c>
      <c r="X268" s="58">
        <v>0</v>
      </c>
      <c r="Y268" s="55">
        <f t="shared" si="38"/>
        <v>0</v>
      </c>
      <c r="Z268" s="41" t="str">
        <f>IFERROR(IF(Y268=0,"",ROUNDUP(Y268/H268,0)*0.00902),"")</f>
        <v/>
      </c>
      <c r="AA268" s="68" t="s">
        <v>46</v>
      </c>
      <c r="AB268" s="69" t="s">
        <v>46</v>
      </c>
      <c r="AC268" s="358" t="s">
        <v>459</v>
      </c>
      <c r="AG268" s="78"/>
      <c r="AJ268" s="84" t="s">
        <v>46</v>
      </c>
      <c r="AK268" s="84">
        <v>0</v>
      </c>
      <c r="BB268" s="359" t="s">
        <v>67</v>
      </c>
      <c r="BM268" s="78">
        <f t="shared" si="39"/>
        <v>0</v>
      </c>
      <c r="BN268" s="78">
        <f t="shared" si="40"/>
        <v>0</v>
      </c>
      <c r="BO268" s="78">
        <f t="shared" si="41"/>
        <v>0</v>
      </c>
      <c r="BP268" s="78">
        <f t="shared" si="42"/>
        <v>0</v>
      </c>
    </row>
    <row r="269" spans="1:68" ht="27" hidden="1" customHeight="1" x14ac:dyDescent="0.25">
      <c r="A269" s="63" t="s">
        <v>460</v>
      </c>
      <c r="B269" s="63" t="s">
        <v>461</v>
      </c>
      <c r="C269" s="36">
        <v>4301031221</v>
      </c>
      <c r="D269" s="654">
        <v>4680115882676</v>
      </c>
      <c r="E269" s="654"/>
      <c r="F269" s="62">
        <v>0.9</v>
      </c>
      <c r="G269" s="37">
        <v>6</v>
      </c>
      <c r="H269" s="62">
        <v>5.4</v>
      </c>
      <c r="I269" s="62">
        <v>5.59</v>
      </c>
      <c r="J269" s="37">
        <v>132</v>
      </c>
      <c r="K269" s="37" t="s">
        <v>134</v>
      </c>
      <c r="L269" s="37" t="s">
        <v>46</v>
      </c>
      <c r="M269" s="38" t="s">
        <v>81</v>
      </c>
      <c r="N269" s="38"/>
      <c r="O269" s="37">
        <v>40</v>
      </c>
      <c r="P269" s="813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9" s="656"/>
      <c r="R269" s="656"/>
      <c r="S269" s="656"/>
      <c r="T269" s="657"/>
      <c r="U269" s="39" t="s">
        <v>46</v>
      </c>
      <c r="V269" s="39" t="s">
        <v>46</v>
      </c>
      <c r="W269" s="40" t="s">
        <v>0</v>
      </c>
      <c r="X269" s="58">
        <v>0</v>
      </c>
      <c r="Y269" s="55">
        <f t="shared" si="38"/>
        <v>0</v>
      </c>
      <c r="Z269" s="41" t="str">
        <f>IFERROR(IF(Y269=0,"",ROUNDUP(Y269/H269,0)*0.00902),"")</f>
        <v/>
      </c>
      <c r="AA269" s="68" t="s">
        <v>46</v>
      </c>
      <c r="AB269" s="69" t="s">
        <v>46</v>
      </c>
      <c r="AC269" s="360" t="s">
        <v>462</v>
      </c>
      <c r="AG269" s="78"/>
      <c r="AJ269" s="84" t="s">
        <v>46</v>
      </c>
      <c r="AK269" s="84">
        <v>0</v>
      </c>
      <c r="BB269" s="361" t="s">
        <v>67</v>
      </c>
      <c r="BM269" s="78">
        <f t="shared" si="39"/>
        <v>0</v>
      </c>
      <c r="BN269" s="78">
        <f t="shared" si="40"/>
        <v>0</v>
      </c>
      <c r="BO269" s="78">
        <f t="shared" si="41"/>
        <v>0</v>
      </c>
      <c r="BP269" s="78">
        <f t="shared" si="42"/>
        <v>0</v>
      </c>
    </row>
    <row r="270" spans="1:68" ht="27" hidden="1" customHeight="1" x14ac:dyDescent="0.25">
      <c r="A270" s="63" t="s">
        <v>463</v>
      </c>
      <c r="B270" s="63" t="s">
        <v>464</v>
      </c>
      <c r="C270" s="36">
        <v>4301031223</v>
      </c>
      <c r="D270" s="654">
        <v>4680115884014</v>
      </c>
      <c r="E270" s="654"/>
      <c r="F270" s="62">
        <v>0.3</v>
      </c>
      <c r="G270" s="37">
        <v>6</v>
      </c>
      <c r="H270" s="62">
        <v>1.8</v>
      </c>
      <c r="I270" s="62">
        <v>1.93</v>
      </c>
      <c r="J270" s="37">
        <v>234</v>
      </c>
      <c r="K270" s="37" t="s">
        <v>82</v>
      </c>
      <c r="L270" s="37" t="s">
        <v>46</v>
      </c>
      <c r="M270" s="38" t="s">
        <v>81</v>
      </c>
      <c r="N270" s="38"/>
      <c r="O270" s="37">
        <v>40</v>
      </c>
      <c r="P270" s="806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0" s="656"/>
      <c r="R270" s="656"/>
      <c r="S270" s="656"/>
      <c r="T270" s="657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si="38"/>
        <v>0</v>
      </c>
      <c r="Z270" s="41" t="str">
        <f>IFERROR(IF(Y270=0,"",ROUNDUP(Y270/H270,0)*0.00502),"")</f>
        <v/>
      </c>
      <c r="AA270" s="68" t="s">
        <v>46</v>
      </c>
      <c r="AB270" s="69" t="s">
        <v>46</v>
      </c>
      <c r="AC270" s="362" t="s">
        <v>453</v>
      </c>
      <c r="AG270" s="78"/>
      <c r="AJ270" s="84" t="s">
        <v>46</v>
      </c>
      <c r="AK270" s="84">
        <v>0</v>
      </c>
      <c r="BB270" s="363" t="s">
        <v>67</v>
      </c>
      <c r="BM270" s="78">
        <f t="shared" si="39"/>
        <v>0</v>
      </c>
      <c r="BN270" s="78">
        <f t="shared" si="40"/>
        <v>0</v>
      </c>
      <c r="BO270" s="78">
        <f t="shared" si="41"/>
        <v>0</v>
      </c>
      <c r="BP270" s="78">
        <f t="shared" si="42"/>
        <v>0</v>
      </c>
    </row>
    <row r="271" spans="1:68" ht="27" hidden="1" customHeight="1" x14ac:dyDescent="0.25">
      <c r="A271" s="63" t="s">
        <v>465</v>
      </c>
      <c r="B271" s="63" t="s">
        <v>466</v>
      </c>
      <c r="C271" s="36">
        <v>4301031222</v>
      </c>
      <c r="D271" s="654">
        <v>4680115884007</v>
      </c>
      <c r="E271" s="654"/>
      <c r="F271" s="62">
        <v>0.3</v>
      </c>
      <c r="G271" s="37">
        <v>6</v>
      </c>
      <c r="H271" s="62">
        <v>1.8</v>
      </c>
      <c r="I271" s="62">
        <v>1.9</v>
      </c>
      <c r="J271" s="37">
        <v>234</v>
      </c>
      <c r="K271" s="37" t="s">
        <v>82</v>
      </c>
      <c r="L271" s="37" t="s">
        <v>46</v>
      </c>
      <c r="M271" s="38" t="s">
        <v>81</v>
      </c>
      <c r="N271" s="38"/>
      <c r="O271" s="37">
        <v>40</v>
      </c>
      <c r="P271" s="807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1" s="656"/>
      <c r="R271" s="656"/>
      <c r="S271" s="656"/>
      <c r="T271" s="657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38"/>
        <v>0</v>
      </c>
      <c r="Z271" s="41" t="str">
        <f>IFERROR(IF(Y271=0,"",ROUNDUP(Y271/H271,0)*0.00502),"")</f>
        <v/>
      </c>
      <c r="AA271" s="68" t="s">
        <v>46</v>
      </c>
      <c r="AB271" s="69" t="s">
        <v>46</v>
      </c>
      <c r="AC271" s="364" t="s">
        <v>456</v>
      </c>
      <c r="AG271" s="78"/>
      <c r="AJ271" s="84" t="s">
        <v>46</v>
      </c>
      <c r="AK271" s="84">
        <v>0</v>
      </c>
      <c r="BB271" s="365" t="s">
        <v>67</v>
      </c>
      <c r="BM271" s="78">
        <f t="shared" si="39"/>
        <v>0</v>
      </c>
      <c r="BN271" s="78">
        <f t="shared" si="40"/>
        <v>0</v>
      </c>
      <c r="BO271" s="78">
        <f t="shared" si="41"/>
        <v>0</v>
      </c>
      <c r="BP271" s="78">
        <f t="shared" si="42"/>
        <v>0</v>
      </c>
    </row>
    <row r="272" spans="1:68" ht="27" hidden="1" customHeight="1" x14ac:dyDescent="0.25">
      <c r="A272" s="63" t="s">
        <v>467</v>
      </c>
      <c r="B272" s="63" t="s">
        <v>468</v>
      </c>
      <c r="C272" s="36">
        <v>4301031229</v>
      </c>
      <c r="D272" s="654">
        <v>4680115884038</v>
      </c>
      <c r="E272" s="654"/>
      <c r="F272" s="62">
        <v>0.3</v>
      </c>
      <c r="G272" s="37">
        <v>6</v>
      </c>
      <c r="H272" s="62">
        <v>1.8</v>
      </c>
      <c r="I272" s="62">
        <v>1.9</v>
      </c>
      <c r="J272" s="37">
        <v>234</v>
      </c>
      <c r="K272" s="37" t="s">
        <v>82</v>
      </c>
      <c r="L272" s="37" t="s">
        <v>46</v>
      </c>
      <c r="M272" s="38" t="s">
        <v>81</v>
      </c>
      <c r="N272" s="38"/>
      <c r="O272" s="37">
        <v>40</v>
      </c>
      <c r="P272" s="808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2" s="656"/>
      <c r="R272" s="656"/>
      <c r="S272" s="656"/>
      <c r="T272" s="657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38"/>
        <v>0</v>
      </c>
      <c r="Z272" s="41" t="str">
        <f>IFERROR(IF(Y272=0,"",ROUNDUP(Y272/H272,0)*0.00502),"")</f>
        <v/>
      </c>
      <c r="AA272" s="68" t="s">
        <v>46</v>
      </c>
      <c r="AB272" s="69" t="s">
        <v>46</v>
      </c>
      <c r="AC272" s="366" t="s">
        <v>459</v>
      </c>
      <c r="AG272" s="78"/>
      <c r="AJ272" s="84" t="s">
        <v>46</v>
      </c>
      <c r="AK272" s="84">
        <v>0</v>
      </c>
      <c r="BB272" s="367" t="s">
        <v>67</v>
      </c>
      <c r="BM272" s="78">
        <f t="shared" si="39"/>
        <v>0</v>
      </c>
      <c r="BN272" s="78">
        <f t="shared" si="40"/>
        <v>0</v>
      </c>
      <c r="BO272" s="78">
        <f t="shared" si="41"/>
        <v>0</v>
      </c>
      <c r="BP272" s="78">
        <f t="shared" si="42"/>
        <v>0</v>
      </c>
    </row>
    <row r="273" spans="1:68" ht="27" hidden="1" customHeight="1" x14ac:dyDescent="0.25">
      <c r="A273" s="63" t="s">
        <v>469</v>
      </c>
      <c r="B273" s="63" t="s">
        <v>470</v>
      </c>
      <c r="C273" s="36">
        <v>4301031225</v>
      </c>
      <c r="D273" s="654">
        <v>4680115884021</v>
      </c>
      <c r="E273" s="654"/>
      <c r="F273" s="62">
        <v>0.3</v>
      </c>
      <c r="G273" s="37">
        <v>6</v>
      </c>
      <c r="H273" s="62">
        <v>1.8</v>
      </c>
      <c r="I273" s="62">
        <v>1.9</v>
      </c>
      <c r="J273" s="37">
        <v>234</v>
      </c>
      <c r="K273" s="37" t="s">
        <v>82</v>
      </c>
      <c r="L273" s="37" t="s">
        <v>46</v>
      </c>
      <c r="M273" s="38" t="s">
        <v>81</v>
      </c>
      <c r="N273" s="38"/>
      <c r="O273" s="37">
        <v>40</v>
      </c>
      <c r="P273" s="809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3" s="656"/>
      <c r="R273" s="656"/>
      <c r="S273" s="656"/>
      <c r="T273" s="657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38"/>
        <v>0</v>
      </c>
      <c r="Z273" s="41" t="str">
        <f>IFERROR(IF(Y273=0,"",ROUNDUP(Y273/H273,0)*0.00502),"")</f>
        <v/>
      </c>
      <c r="AA273" s="68" t="s">
        <v>46</v>
      </c>
      <c r="AB273" s="69" t="s">
        <v>46</v>
      </c>
      <c r="AC273" s="368" t="s">
        <v>462</v>
      </c>
      <c r="AG273" s="78"/>
      <c r="AJ273" s="84" t="s">
        <v>46</v>
      </c>
      <c r="AK273" s="84">
        <v>0</v>
      </c>
      <c r="BB273" s="369" t="s">
        <v>67</v>
      </c>
      <c r="BM273" s="78">
        <f t="shared" si="39"/>
        <v>0</v>
      </c>
      <c r="BN273" s="78">
        <f t="shared" si="40"/>
        <v>0</v>
      </c>
      <c r="BO273" s="78">
        <f t="shared" si="41"/>
        <v>0</v>
      </c>
      <c r="BP273" s="78">
        <f t="shared" si="42"/>
        <v>0</v>
      </c>
    </row>
    <row r="274" spans="1:68" hidden="1" x14ac:dyDescent="0.2">
      <c r="A274" s="661"/>
      <c r="B274" s="661"/>
      <c r="C274" s="661"/>
      <c r="D274" s="661"/>
      <c r="E274" s="661"/>
      <c r="F274" s="661"/>
      <c r="G274" s="661"/>
      <c r="H274" s="661"/>
      <c r="I274" s="661"/>
      <c r="J274" s="661"/>
      <c r="K274" s="661"/>
      <c r="L274" s="661"/>
      <c r="M274" s="661"/>
      <c r="N274" s="661"/>
      <c r="O274" s="662"/>
      <c r="P274" s="658" t="s">
        <v>40</v>
      </c>
      <c r="Q274" s="659"/>
      <c r="R274" s="659"/>
      <c r="S274" s="659"/>
      <c r="T274" s="659"/>
      <c r="U274" s="659"/>
      <c r="V274" s="660"/>
      <c r="W274" s="42" t="s">
        <v>39</v>
      </c>
      <c r="X274" s="43">
        <f>IFERROR(X266/H266,"0")+IFERROR(X267/H267,"0")+IFERROR(X268/H268,"0")+IFERROR(X269/H269,"0")+IFERROR(X270/H270,"0")+IFERROR(X271/H271,"0")+IFERROR(X272/H272,"0")+IFERROR(X273/H273,"0")</f>
        <v>0</v>
      </c>
      <c r="Y274" s="43">
        <f>IFERROR(Y266/H266,"0")+IFERROR(Y267/H267,"0")+IFERROR(Y268/H268,"0")+IFERROR(Y269/H269,"0")+IFERROR(Y270/H270,"0")+IFERROR(Y271/H271,"0")+IFERROR(Y272/H272,"0")+IFERROR(Y273/H273,"0")</f>
        <v>0</v>
      </c>
      <c r="Z274" s="43">
        <f>IFERROR(IF(Z266="",0,Z266),"0")+IFERROR(IF(Z267="",0,Z267),"0")+IFERROR(IF(Z268="",0,Z268),"0")+IFERROR(IF(Z269="",0,Z269),"0")+IFERROR(IF(Z270="",0,Z270),"0")+IFERROR(IF(Z271="",0,Z271),"0")+IFERROR(IF(Z272="",0,Z272),"0")+IFERROR(IF(Z273="",0,Z273),"0")</f>
        <v>0</v>
      </c>
      <c r="AA274" s="67"/>
      <c r="AB274" s="67"/>
      <c r="AC274" s="67"/>
    </row>
    <row r="275" spans="1:68" hidden="1" x14ac:dyDescent="0.2">
      <c r="A275" s="661"/>
      <c r="B275" s="661"/>
      <c r="C275" s="661"/>
      <c r="D275" s="661"/>
      <c r="E275" s="661"/>
      <c r="F275" s="661"/>
      <c r="G275" s="661"/>
      <c r="H275" s="661"/>
      <c r="I275" s="661"/>
      <c r="J275" s="661"/>
      <c r="K275" s="661"/>
      <c r="L275" s="661"/>
      <c r="M275" s="661"/>
      <c r="N275" s="661"/>
      <c r="O275" s="662"/>
      <c r="P275" s="658" t="s">
        <v>40</v>
      </c>
      <c r="Q275" s="659"/>
      <c r="R275" s="659"/>
      <c r="S275" s="659"/>
      <c r="T275" s="659"/>
      <c r="U275" s="659"/>
      <c r="V275" s="660"/>
      <c r="W275" s="42" t="s">
        <v>0</v>
      </c>
      <c r="X275" s="43">
        <f>IFERROR(SUM(X266:X273),"0")</f>
        <v>0</v>
      </c>
      <c r="Y275" s="43">
        <f>IFERROR(SUM(Y266:Y273),"0")</f>
        <v>0</v>
      </c>
      <c r="Z275" s="42"/>
      <c r="AA275" s="67"/>
      <c r="AB275" s="67"/>
      <c r="AC275" s="67"/>
    </row>
    <row r="276" spans="1:68" ht="14.25" hidden="1" customHeight="1" x14ac:dyDescent="0.25">
      <c r="A276" s="653" t="s">
        <v>86</v>
      </c>
      <c r="B276" s="653"/>
      <c r="C276" s="653"/>
      <c r="D276" s="653"/>
      <c r="E276" s="653"/>
      <c r="F276" s="653"/>
      <c r="G276" s="653"/>
      <c r="H276" s="653"/>
      <c r="I276" s="653"/>
      <c r="J276" s="653"/>
      <c r="K276" s="653"/>
      <c r="L276" s="653"/>
      <c r="M276" s="653"/>
      <c r="N276" s="653"/>
      <c r="O276" s="653"/>
      <c r="P276" s="653"/>
      <c r="Q276" s="653"/>
      <c r="R276" s="653"/>
      <c r="S276" s="653"/>
      <c r="T276" s="653"/>
      <c r="U276" s="653"/>
      <c r="V276" s="653"/>
      <c r="W276" s="653"/>
      <c r="X276" s="653"/>
      <c r="Y276" s="653"/>
      <c r="Z276" s="653"/>
      <c r="AA276" s="66"/>
      <c r="AB276" s="66"/>
      <c r="AC276" s="80"/>
    </row>
    <row r="277" spans="1:68" ht="27" hidden="1" customHeight="1" x14ac:dyDescent="0.25">
      <c r="A277" s="63" t="s">
        <v>471</v>
      </c>
      <c r="B277" s="63" t="s">
        <v>472</v>
      </c>
      <c r="C277" s="36">
        <v>4301051408</v>
      </c>
      <c r="D277" s="654">
        <v>4680115881594</v>
      </c>
      <c r="E277" s="654"/>
      <c r="F277" s="62">
        <v>1.35</v>
      </c>
      <c r="G277" s="37">
        <v>6</v>
      </c>
      <c r="H277" s="62">
        <v>8.1</v>
      </c>
      <c r="I277" s="62">
        <v>8.5939999999999994</v>
      </c>
      <c r="J277" s="37">
        <v>64</v>
      </c>
      <c r="K277" s="37" t="s">
        <v>127</v>
      </c>
      <c r="L277" s="37" t="s">
        <v>46</v>
      </c>
      <c r="M277" s="38" t="s">
        <v>90</v>
      </c>
      <c r="N277" s="38"/>
      <c r="O277" s="37">
        <v>40</v>
      </c>
      <c r="P277" s="802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7" s="656"/>
      <c r="R277" s="656"/>
      <c r="S277" s="656"/>
      <c r="T277" s="657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ref="Y277:Y288" si="43">IFERROR(IF(X277="",0,CEILING((X277/$H277),1)*$H277),"")</f>
        <v>0</v>
      </c>
      <c r="Z277" s="41" t="str">
        <f>IFERROR(IF(Y277=0,"",ROUNDUP(Y277/H277,0)*0.01898),"")</f>
        <v/>
      </c>
      <c r="AA277" s="68" t="s">
        <v>46</v>
      </c>
      <c r="AB277" s="69" t="s">
        <v>46</v>
      </c>
      <c r="AC277" s="370" t="s">
        <v>473</v>
      </c>
      <c r="AG277" s="78"/>
      <c r="AJ277" s="84" t="s">
        <v>46</v>
      </c>
      <c r="AK277" s="84">
        <v>0</v>
      </c>
      <c r="BB277" s="371" t="s">
        <v>67</v>
      </c>
      <c r="BM277" s="78">
        <f t="shared" ref="BM277:BM288" si="44">IFERROR(X277*I277/H277,"0")</f>
        <v>0</v>
      </c>
      <c r="BN277" s="78">
        <f t="shared" ref="BN277:BN288" si="45">IFERROR(Y277*I277/H277,"0")</f>
        <v>0</v>
      </c>
      <c r="BO277" s="78">
        <f t="shared" ref="BO277:BO288" si="46">IFERROR(1/J277*(X277/H277),"0")</f>
        <v>0</v>
      </c>
      <c r="BP277" s="78">
        <f t="shared" ref="BP277:BP288" si="47">IFERROR(1/J277*(Y277/H277),"0")</f>
        <v>0</v>
      </c>
    </row>
    <row r="278" spans="1:68" ht="27" hidden="1" customHeight="1" x14ac:dyDescent="0.25">
      <c r="A278" s="63" t="s">
        <v>474</v>
      </c>
      <c r="B278" s="63" t="s">
        <v>475</v>
      </c>
      <c r="C278" s="36">
        <v>4301051411</v>
      </c>
      <c r="D278" s="654">
        <v>4680115881617</v>
      </c>
      <c r="E278" s="654"/>
      <c r="F278" s="62">
        <v>1.35</v>
      </c>
      <c r="G278" s="37">
        <v>6</v>
      </c>
      <c r="H278" s="62">
        <v>8.1</v>
      </c>
      <c r="I278" s="62">
        <v>8.5760000000000005</v>
      </c>
      <c r="J278" s="37">
        <v>64</v>
      </c>
      <c r="K278" s="37" t="s">
        <v>127</v>
      </c>
      <c r="L278" s="37" t="s">
        <v>46</v>
      </c>
      <c r="M278" s="38" t="s">
        <v>90</v>
      </c>
      <c r="N278" s="38"/>
      <c r="O278" s="37">
        <v>40</v>
      </c>
      <c r="P278" s="803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8" s="656"/>
      <c r="R278" s="656"/>
      <c r="S278" s="656"/>
      <c r="T278" s="657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43"/>
        <v>0</v>
      </c>
      <c r="Z278" s="41" t="str">
        <f>IFERROR(IF(Y278=0,"",ROUNDUP(Y278/H278,0)*0.01898),"")</f>
        <v/>
      </c>
      <c r="AA278" s="68" t="s">
        <v>46</v>
      </c>
      <c r="AB278" s="69" t="s">
        <v>46</v>
      </c>
      <c r="AC278" s="372" t="s">
        <v>476</v>
      </c>
      <c r="AG278" s="78"/>
      <c r="AJ278" s="84" t="s">
        <v>46</v>
      </c>
      <c r="AK278" s="84">
        <v>0</v>
      </c>
      <c r="BB278" s="373" t="s">
        <v>67</v>
      </c>
      <c r="BM278" s="78">
        <f t="shared" si="44"/>
        <v>0</v>
      </c>
      <c r="BN278" s="78">
        <f t="shared" si="45"/>
        <v>0</v>
      </c>
      <c r="BO278" s="78">
        <f t="shared" si="46"/>
        <v>0</v>
      </c>
      <c r="BP278" s="78">
        <f t="shared" si="47"/>
        <v>0</v>
      </c>
    </row>
    <row r="279" spans="1:68" ht="27" hidden="1" customHeight="1" x14ac:dyDescent="0.25">
      <c r="A279" s="63" t="s">
        <v>477</v>
      </c>
      <c r="B279" s="63" t="s">
        <v>478</v>
      </c>
      <c r="C279" s="36">
        <v>4301051656</v>
      </c>
      <c r="D279" s="654">
        <v>4680115880573</v>
      </c>
      <c r="E279" s="654"/>
      <c r="F279" s="62">
        <v>1.45</v>
      </c>
      <c r="G279" s="37">
        <v>6</v>
      </c>
      <c r="H279" s="62">
        <v>8.6999999999999993</v>
      </c>
      <c r="I279" s="62">
        <v>9.1940000000000008</v>
      </c>
      <c r="J279" s="37">
        <v>64</v>
      </c>
      <c r="K279" s="37" t="s">
        <v>127</v>
      </c>
      <c r="L279" s="37" t="s">
        <v>46</v>
      </c>
      <c r="M279" s="38" t="s">
        <v>90</v>
      </c>
      <c r="N279" s="38"/>
      <c r="O279" s="37">
        <v>45</v>
      </c>
      <c r="P279" s="804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9" s="656"/>
      <c r="R279" s="656"/>
      <c r="S279" s="656"/>
      <c r="T279" s="657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43"/>
        <v>0</v>
      </c>
      <c r="Z279" s="41" t="str">
        <f>IFERROR(IF(Y279=0,"",ROUNDUP(Y279/H279,0)*0.01898),"")</f>
        <v/>
      </c>
      <c r="AA279" s="68" t="s">
        <v>46</v>
      </c>
      <c r="AB279" s="69" t="s">
        <v>46</v>
      </c>
      <c r="AC279" s="374" t="s">
        <v>479</v>
      </c>
      <c r="AG279" s="78"/>
      <c r="AJ279" s="84" t="s">
        <v>46</v>
      </c>
      <c r="AK279" s="84">
        <v>0</v>
      </c>
      <c r="BB279" s="375" t="s">
        <v>67</v>
      </c>
      <c r="BM279" s="78">
        <f t="shared" si="44"/>
        <v>0</v>
      </c>
      <c r="BN279" s="78">
        <f t="shared" si="45"/>
        <v>0</v>
      </c>
      <c r="BO279" s="78">
        <f t="shared" si="46"/>
        <v>0</v>
      </c>
      <c r="BP279" s="78">
        <f t="shared" si="47"/>
        <v>0</v>
      </c>
    </row>
    <row r="280" spans="1:68" ht="27" hidden="1" customHeight="1" x14ac:dyDescent="0.25">
      <c r="A280" s="63" t="s">
        <v>480</v>
      </c>
      <c r="B280" s="63" t="s">
        <v>481</v>
      </c>
      <c r="C280" s="36">
        <v>4301051407</v>
      </c>
      <c r="D280" s="654">
        <v>4680115882195</v>
      </c>
      <c r="E280" s="654"/>
      <c r="F280" s="62">
        <v>0.4</v>
      </c>
      <c r="G280" s="37">
        <v>6</v>
      </c>
      <c r="H280" s="62">
        <v>2.4</v>
      </c>
      <c r="I280" s="62">
        <v>2.67</v>
      </c>
      <c r="J280" s="37">
        <v>182</v>
      </c>
      <c r="K280" s="37" t="s">
        <v>91</v>
      </c>
      <c r="L280" s="37" t="s">
        <v>46</v>
      </c>
      <c r="M280" s="38" t="s">
        <v>90</v>
      </c>
      <c r="N280" s="38"/>
      <c r="O280" s="37">
        <v>40</v>
      </c>
      <c r="P280" s="805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0" s="656"/>
      <c r="R280" s="656"/>
      <c r="S280" s="656"/>
      <c r="T280" s="657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43"/>
        <v>0</v>
      </c>
      <c r="Z280" s="41" t="str">
        <f>IFERROR(IF(Y280=0,"",ROUNDUP(Y280/H280,0)*0.00651),"")</f>
        <v/>
      </c>
      <c r="AA280" s="68" t="s">
        <v>46</v>
      </c>
      <c r="AB280" s="69" t="s">
        <v>46</v>
      </c>
      <c r="AC280" s="376" t="s">
        <v>473</v>
      </c>
      <c r="AG280" s="78"/>
      <c r="AJ280" s="84" t="s">
        <v>46</v>
      </c>
      <c r="AK280" s="84">
        <v>0</v>
      </c>
      <c r="BB280" s="377" t="s">
        <v>67</v>
      </c>
      <c r="BM280" s="78">
        <f t="shared" si="44"/>
        <v>0</v>
      </c>
      <c r="BN280" s="78">
        <f t="shared" si="45"/>
        <v>0</v>
      </c>
      <c r="BO280" s="78">
        <f t="shared" si="46"/>
        <v>0</v>
      </c>
      <c r="BP280" s="78">
        <f t="shared" si="47"/>
        <v>0</v>
      </c>
    </row>
    <row r="281" spans="1:68" ht="27" hidden="1" customHeight="1" x14ac:dyDescent="0.25">
      <c r="A281" s="63" t="s">
        <v>482</v>
      </c>
      <c r="B281" s="63" t="s">
        <v>483</v>
      </c>
      <c r="C281" s="36">
        <v>4301051752</v>
      </c>
      <c r="D281" s="654">
        <v>4680115882607</v>
      </c>
      <c r="E281" s="654"/>
      <c r="F281" s="62">
        <v>0.3</v>
      </c>
      <c r="G281" s="37">
        <v>6</v>
      </c>
      <c r="H281" s="62">
        <v>1.8</v>
      </c>
      <c r="I281" s="62">
        <v>2.052</v>
      </c>
      <c r="J281" s="37">
        <v>182</v>
      </c>
      <c r="K281" s="37" t="s">
        <v>91</v>
      </c>
      <c r="L281" s="37" t="s">
        <v>46</v>
      </c>
      <c r="M281" s="38" t="s">
        <v>97</v>
      </c>
      <c r="N281" s="38"/>
      <c r="O281" s="37">
        <v>45</v>
      </c>
      <c r="P281" s="797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1" s="656"/>
      <c r="R281" s="656"/>
      <c r="S281" s="656"/>
      <c r="T281" s="657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43"/>
        <v>0</v>
      </c>
      <c r="Z281" s="41" t="str">
        <f>IFERROR(IF(Y281=0,"",ROUNDUP(Y281/H281,0)*0.00651),"")</f>
        <v/>
      </c>
      <c r="AA281" s="68" t="s">
        <v>46</v>
      </c>
      <c r="AB281" s="69" t="s">
        <v>46</v>
      </c>
      <c r="AC281" s="378" t="s">
        <v>479</v>
      </c>
      <c r="AG281" s="78"/>
      <c r="AJ281" s="84" t="s">
        <v>46</v>
      </c>
      <c r="AK281" s="84">
        <v>0</v>
      </c>
      <c r="BB281" s="379" t="s">
        <v>67</v>
      </c>
      <c r="BM281" s="78">
        <f t="shared" si="44"/>
        <v>0</v>
      </c>
      <c r="BN281" s="78">
        <f t="shared" si="45"/>
        <v>0</v>
      </c>
      <c r="BO281" s="78">
        <f t="shared" si="46"/>
        <v>0</v>
      </c>
      <c r="BP281" s="78">
        <f t="shared" si="47"/>
        <v>0</v>
      </c>
    </row>
    <row r="282" spans="1:68" ht="27" hidden="1" customHeight="1" x14ac:dyDescent="0.25">
      <c r="A282" s="63" t="s">
        <v>484</v>
      </c>
      <c r="B282" s="63" t="s">
        <v>485</v>
      </c>
      <c r="C282" s="36">
        <v>4301052143</v>
      </c>
      <c r="D282" s="654">
        <v>4680115882607</v>
      </c>
      <c r="E282" s="654"/>
      <c r="F282" s="62">
        <v>0.3</v>
      </c>
      <c r="G282" s="37">
        <v>6</v>
      </c>
      <c r="H282" s="62">
        <v>1.8</v>
      </c>
      <c r="I282" s="62">
        <v>2.0619999999999998</v>
      </c>
      <c r="J282" s="37">
        <v>132</v>
      </c>
      <c r="K282" s="37" t="s">
        <v>134</v>
      </c>
      <c r="L282" s="37" t="s">
        <v>46</v>
      </c>
      <c r="M282" s="38" t="s">
        <v>90</v>
      </c>
      <c r="N282" s="38"/>
      <c r="O282" s="37">
        <v>45</v>
      </c>
      <c r="P282" s="798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2" s="656"/>
      <c r="R282" s="656"/>
      <c r="S282" s="656"/>
      <c r="T282" s="657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43"/>
        <v>0</v>
      </c>
      <c r="Z282" s="41" t="str">
        <f>IFERROR(IF(Y282=0,"",ROUNDUP(Y282/H282,0)*0.00902),"")</f>
        <v/>
      </c>
      <c r="AA282" s="68" t="s">
        <v>46</v>
      </c>
      <c r="AB282" s="69" t="s">
        <v>46</v>
      </c>
      <c r="AC282" s="380" t="s">
        <v>486</v>
      </c>
      <c r="AG282" s="78"/>
      <c r="AJ282" s="84" t="s">
        <v>46</v>
      </c>
      <c r="AK282" s="84">
        <v>0</v>
      </c>
      <c r="BB282" s="381" t="s">
        <v>67</v>
      </c>
      <c r="BM282" s="78">
        <f t="shared" si="44"/>
        <v>0</v>
      </c>
      <c r="BN282" s="78">
        <f t="shared" si="45"/>
        <v>0</v>
      </c>
      <c r="BO282" s="78">
        <f t="shared" si="46"/>
        <v>0</v>
      </c>
      <c r="BP282" s="78">
        <f t="shared" si="47"/>
        <v>0</v>
      </c>
    </row>
    <row r="283" spans="1:68" ht="27" hidden="1" customHeight="1" x14ac:dyDescent="0.25">
      <c r="A283" s="63" t="s">
        <v>487</v>
      </c>
      <c r="B283" s="63" t="s">
        <v>488</v>
      </c>
      <c r="C283" s="36">
        <v>4301051666</v>
      </c>
      <c r="D283" s="654">
        <v>4680115880092</v>
      </c>
      <c r="E283" s="654"/>
      <c r="F283" s="62">
        <v>0.4</v>
      </c>
      <c r="G283" s="37">
        <v>6</v>
      </c>
      <c r="H283" s="62">
        <v>2.4</v>
      </c>
      <c r="I283" s="62">
        <v>2.6520000000000001</v>
      </c>
      <c r="J283" s="37">
        <v>182</v>
      </c>
      <c r="K283" s="37" t="s">
        <v>91</v>
      </c>
      <c r="L283" s="37" t="s">
        <v>46</v>
      </c>
      <c r="M283" s="38" t="s">
        <v>90</v>
      </c>
      <c r="N283" s="38"/>
      <c r="O283" s="37">
        <v>45</v>
      </c>
      <c r="P283" s="799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3" s="656"/>
      <c r="R283" s="656"/>
      <c r="S283" s="656"/>
      <c r="T283" s="657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43"/>
        <v>0</v>
      </c>
      <c r="Z283" s="41" t="str">
        <f>IFERROR(IF(Y283=0,"",ROUNDUP(Y283/H283,0)*0.00651),"")</f>
        <v/>
      </c>
      <c r="AA283" s="68" t="s">
        <v>46</v>
      </c>
      <c r="AB283" s="69" t="s">
        <v>46</v>
      </c>
      <c r="AC283" s="382" t="s">
        <v>479</v>
      </c>
      <c r="AG283" s="78"/>
      <c r="AJ283" s="84" t="s">
        <v>46</v>
      </c>
      <c r="AK283" s="84">
        <v>0</v>
      </c>
      <c r="BB283" s="383" t="s">
        <v>67</v>
      </c>
      <c r="BM283" s="78">
        <f t="shared" si="44"/>
        <v>0</v>
      </c>
      <c r="BN283" s="78">
        <f t="shared" si="45"/>
        <v>0</v>
      </c>
      <c r="BO283" s="78">
        <f t="shared" si="46"/>
        <v>0</v>
      </c>
      <c r="BP283" s="78">
        <f t="shared" si="47"/>
        <v>0</v>
      </c>
    </row>
    <row r="284" spans="1:68" ht="27" hidden="1" customHeight="1" x14ac:dyDescent="0.25">
      <c r="A284" s="63" t="s">
        <v>489</v>
      </c>
      <c r="B284" s="63" t="s">
        <v>490</v>
      </c>
      <c r="C284" s="36">
        <v>4301052214</v>
      </c>
      <c r="D284" s="654">
        <v>4680115889064</v>
      </c>
      <c r="E284" s="654"/>
      <c r="F284" s="62">
        <v>0.7</v>
      </c>
      <c r="G284" s="37">
        <v>6</v>
      </c>
      <c r="H284" s="62">
        <v>4.2</v>
      </c>
      <c r="I284" s="62">
        <v>4.6159999999999997</v>
      </c>
      <c r="J284" s="37">
        <v>104</v>
      </c>
      <c r="K284" s="37" t="s">
        <v>127</v>
      </c>
      <c r="L284" s="37" t="s">
        <v>46</v>
      </c>
      <c r="M284" s="38" t="s">
        <v>90</v>
      </c>
      <c r="N284" s="38"/>
      <c r="O284" s="37">
        <v>45</v>
      </c>
      <c r="P284" s="800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4" s="656"/>
      <c r="R284" s="656"/>
      <c r="S284" s="656"/>
      <c r="T284" s="657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43"/>
        <v>0</v>
      </c>
      <c r="Z284" s="41" t="str">
        <f>IFERROR(IF(Y284=0,"",ROUNDUP(Y284/H284,0)*0.01196),"")</f>
        <v/>
      </c>
      <c r="AA284" s="68" t="s">
        <v>46</v>
      </c>
      <c r="AB284" s="69" t="s">
        <v>46</v>
      </c>
      <c r="AC284" s="384" t="s">
        <v>486</v>
      </c>
      <c r="AG284" s="78"/>
      <c r="AJ284" s="84" t="s">
        <v>46</v>
      </c>
      <c r="AK284" s="84">
        <v>0</v>
      </c>
      <c r="BB284" s="385" t="s">
        <v>67</v>
      </c>
      <c r="BM284" s="78">
        <f t="shared" si="44"/>
        <v>0</v>
      </c>
      <c r="BN284" s="78">
        <f t="shared" si="45"/>
        <v>0</v>
      </c>
      <c r="BO284" s="78">
        <f t="shared" si="46"/>
        <v>0</v>
      </c>
      <c r="BP284" s="78">
        <f t="shared" si="47"/>
        <v>0</v>
      </c>
    </row>
    <row r="285" spans="1:68" ht="27" hidden="1" customHeight="1" x14ac:dyDescent="0.25">
      <c r="A285" s="63" t="s">
        <v>491</v>
      </c>
      <c r="B285" s="63" t="s">
        <v>492</v>
      </c>
      <c r="C285" s="36">
        <v>4301051668</v>
      </c>
      <c r="D285" s="654">
        <v>4680115880221</v>
      </c>
      <c r="E285" s="654"/>
      <c r="F285" s="62">
        <v>0.4</v>
      </c>
      <c r="G285" s="37">
        <v>6</v>
      </c>
      <c r="H285" s="62">
        <v>2.4</v>
      </c>
      <c r="I285" s="62">
        <v>2.6520000000000001</v>
      </c>
      <c r="J285" s="37">
        <v>182</v>
      </c>
      <c r="K285" s="37" t="s">
        <v>91</v>
      </c>
      <c r="L285" s="37" t="s">
        <v>46</v>
      </c>
      <c r="M285" s="38" t="s">
        <v>90</v>
      </c>
      <c r="N285" s="38"/>
      <c r="O285" s="37">
        <v>45</v>
      </c>
      <c r="P285" s="801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5" s="656"/>
      <c r="R285" s="656"/>
      <c r="S285" s="656"/>
      <c r="T285" s="657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43"/>
        <v>0</v>
      </c>
      <c r="Z285" s="41" t="str">
        <f>IFERROR(IF(Y285=0,"",ROUNDUP(Y285/H285,0)*0.00651),"")</f>
        <v/>
      </c>
      <c r="AA285" s="68" t="s">
        <v>46</v>
      </c>
      <c r="AB285" s="69" t="s">
        <v>46</v>
      </c>
      <c r="AC285" s="386" t="s">
        <v>479</v>
      </c>
      <c r="AG285" s="78"/>
      <c r="AJ285" s="84" t="s">
        <v>46</v>
      </c>
      <c r="AK285" s="84">
        <v>0</v>
      </c>
      <c r="BB285" s="387" t="s">
        <v>67</v>
      </c>
      <c r="BM285" s="78">
        <f t="shared" si="44"/>
        <v>0</v>
      </c>
      <c r="BN285" s="78">
        <f t="shared" si="45"/>
        <v>0</v>
      </c>
      <c r="BO285" s="78">
        <f t="shared" si="46"/>
        <v>0</v>
      </c>
      <c r="BP285" s="78">
        <f t="shared" si="47"/>
        <v>0</v>
      </c>
    </row>
    <row r="286" spans="1:68" ht="27" hidden="1" customHeight="1" x14ac:dyDescent="0.25">
      <c r="A286" s="63" t="s">
        <v>493</v>
      </c>
      <c r="B286" s="63" t="s">
        <v>494</v>
      </c>
      <c r="C286" s="36">
        <v>4301051945</v>
      </c>
      <c r="D286" s="654">
        <v>4680115880504</v>
      </c>
      <c r="E286" s="654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91</v>
      </c>
      <c r="L286" s="37" t="s">
        <v>46</v>
      </c>
      <c r="M286" s="38" t="s">
        <v>97</v>
      </c>
      <c r="N286" s="38"/>
      <c r="O286" s="37">
        <v>40</v>
      </c>
      <c r="P286" s="794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6" s="656"/>
      <c r="R286" s="656"/>
      <c r="S286" s="656"/>
      <c r="T286" s="657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43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88" t="s">
        <v>495</v>
      </c>
      <c r="AG286" s="78"/>
      <c r="AJ286" s="84" t="s">
        <v>46</v>
      </c>
      <c r="AK286" s="84">
        <v>0</v>
      </c>
      <c r="BB286" s="389" t="s">
        <v>67</v>
      </c>
      <c r="BM286" s="78">
        <f t="shared" si="44"/>
        <v>0</v>
      </c>
      <c r="BN286" s="78">
        <f t="shared" si="45"/>
        <v>0</v>
      </c>
      <c r="BO286" s="78">
        <f t="shared" si="46"/>
        <v>0</v>
      </c>
      <c r="BP286" s="78">
        <f t="shared" si="47"/>
        <v>0</v>
      </c>
    </row>
    <row r="287" spans="1:68" ht="27" hidden="1" customHeight="1" x14ac:dyDescent="0.25">
      <c r="A287" s="63" t="s">
        <v>496</v>
      </c>
      <c r="B287" s="63" t="s">
        <v>497</v>
      </c>
      <c r="C287" s="36">
        <v>4301051410</v>
      </c>
      <c r="D287" s="654">
        <v>4680115882164</v>
      </c>
      <c r="E287" s="654"/>
      <c r="F287" s="62">
        <v>0.4</v>
      </c>
      <c r="G287" s="37">
        <v>6</v>
      </c>
      <c r="H287" s="62">
        <v>2.4</v>
      </c>
      <c r="I287" s="62">
        <v>2.6579999999999999</v>
      </c>
      <c r="J287" s="37">
        <v>182</v>
      </c>
      <c r="K287" s="37" t="s">
        <v>91</v>
      </c>
      <c r="L287" s="37" t="s">
        <v>46</v>
      </c>
      <c r="M287" s="38" t="s">
        <v>90</v>
      </c>
      <c r="N287" s="38"/>
      <c r="O287" s="37">
        <v>40</v>
      </c>
      <c r="P287" s="795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7" s="656"/>
      <c r="R287" s="656"/>
      <c r="S287" s="656"/>
      <c r="T287" s="657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43"/>
        <v>0</v>
      </c>
      <c r="Z287" s="41" t="str">
        <f>IFERROR(IF(Y287=0,"",ROUNDUP(Y287/H287,0)*0.00651),"")</f>
        <v/>
      </c>
      <c r="AA287" s="68" t="s">
        <v>46</v>
      </c>
      <c r="AB287" s="69" t="s">
        <v>46</v>
      </c>
      <c r="AC287" s="390" t="s">
        <v>498</v>
      </c>
      <c r="AG287" s="78"/>
      <c r="AJ287" s="84" t="s">
        <v>46</v>
      </c>
      <c r="AK287" s="84">
        <v>0</v>
      </c>
      <c r="BB287" s="391" t="s">
        <v>67</v>
      </c>
      <c r="BM287" s="78">
        <f t="shared" si="44"/>
        <v>0</v>
      </c>
      <c r="BN287" s="78">
        <f t="shared" si="45"/>
        <v>0</v>
      </c>
      <c r="BO287" s="78">
        <f t="shared" si="46"/>
        <v>0</v>
      </c>
      <c r="BP287" s="78">
        <f t="shared" si="47"/>
        <v>0</v>
      </c>
    </row>
    <row r="288" spans="1:68" ht="27" hidden="1" customHeight="1" x14ac:dyDescent="0.25">
      <c r="A288" s="63" t="s">
        <v>499</v>
      </c>
      <c r="B288" s="63" t="s">
        <v>500</v>
      </c>
      <c r="C288" s="36">
        <v>4301052180</v>
      </c>
      <c r="D288" s="654">
        <v>4680115888340</v>
      </c>
      <c r="E288" s="654"/>
      <c r="F288" s="62">
        <v>0.4</v>
      </c>
      <c r="G288" s="37">
        <v>6</v>
      </c>
      <c r="H288" s="62">
        <v>2.4</v>
      </c>
      <c r="I288" s="62">
        <v>2.6520000000000001</v>
      </c>
      <c r="J288" s="37">
        <v>182</v>
      </c>
      <c r="K288" s="37" t="s">
        <v>91</v>
      </c>
      <c r="L288" s="37" t="s">
        <v>46</v>
      </c>
      <c r="M288" s="38" t="s">
        <v>90</v>
      </c>
      <c r="N288" s="38"/>
      <c r="O288" s="37">
        <v>45</v>
      </c>
      <c r="P288" s="796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8" s="656"/>
      <c r="R288" s="656"/>
      <c r="S288" s="656"/>
      <c r="T288" s="657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43"/>
        <v>0</v>
      </c>
      <c r="Z288" s="41" t="str">
        <f>IFERROR(IF(Y288=0,"",ROUNDUP(Y288/H288,0)*0.00651),"")</f>
        <v/>
      </c>
      <c r="AA288" s="68" t="s">
        <v>46</v>
      </c>
      <c r="AB288" s="69" t="s">
        <v>46</v>
      </c>
      <c r="AC288" s="392" t="s">
        <v>501</v>
      </c>
      <c r="AG288" s="78"/>
      <c r="AJ288" s="84" t="s">
        <v>46</v>
      </c>
      <c r="AK288" s="84">
        <v>0</v>
      </c>
      <c r="BB288" s="393" t="s">
        <v>67</v>
      </c>
      <c r="BM288" s="78">
        <f t="shared" si="44"/>
        <v>0</v>
      </c>
      <c r="BN288" s="78">
        <f t="shared" si="45"/>
        <v>0</v>
      </c>
      <c r="BO288" s="78">
        <f t="shared" si="46"/>
        <v>0</v>
      </c>
      <c r="BP288" s="78">
        <f t="shared" si="47"/>
        <v>0</v>
      </c>
    </row>
    <row r="289" spans="1:68" hidden="1" x14ac:dyDescent="0.2">
      <c r="A289" s="661"/>
      <c r="B289" s="661"/>
      <c r="C289" s="661"/>
      <c r="D289" s="661"/>
      <c r="E289" s="661"/>
      <c r="F289" s="661"/>
      <c r="G289" s="661"/>
      <c r="H289" s="661"/>
      <c r="I289" s="661"/>
      <c r="J289" s="661"/>
      <c r="K289" s="661"/>
      <c r="L289" s="661"/>
      <c r="M289" s="661"/>
      <c r="N289" s="661"/>
      <c r="O289" s="662"/>
      <c r="P289" s="658" t="s">
        <v>40</v>
      </c>
      <c r="Q289" s="659"/>
      <c r="R289" s="659"/>
      <c r="S289" s="659"/>
      <c r="T289" s="659"/>
      <c r="U289" s="659"/>
      <c r="V289" s="660"/>
      <c r="W289" s="42" t="s">
        <v>39</v>
      </c>
      <c r="X289" s="43">
        <f>IFERROR(X277/H277,"0")+IFERROR(X278/H278,"0")+IFERROR(X279/H279,"0")+IFERROR(X280/H280,"0")+IFERROR(X281/H281,"0")+IFERROR(X282/H282,"0")+IFERROR(X283/H283,"0")+IFERROR(X284/H284,"0")+IFERROR(X285/H285,"0")+IFERROR(X286/H286,"0")+IFERROR(X287/H287,"0")+IFERROR(X288/H288,"0")</f>
        <v>0</v>
      </c>
      <c r="Y289" s="43">
        <f>IFERROR(Y277/H277,"0")+IFERROR(Y278/H278,"0")+IFERROR(Y279/H279,"0")+IFERROR(Y280/H280,"0")+IFERROR(Y281/H281,"0")+IFERROR(Y282/H282,"0")+IFERROR(Y283/H283,"0")+IFERROR(Y284/H284,"0")+IFERROR(Y285/H285,"0")+IFERROR(Y286/H286,"0")+IFERROR(Y287/H287,"0")+IFERROR(Y288/H288,"0")</f>
        <v>0</v>
      </c>
      <c r="Z289" s="43">
        <f>IFERROR(IF(Z277="",0,Z277),"0")+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</f>
        <v>0</v>
      </c>
      <c r="AA289" s="67"/>
      <c r="AB289" s="67"/>
      <c r="AC289" s="67"/>
    </row>
    <row r="290" spans="1:68" hidden="1" x14ac:dyDescent="0.2">
      <c r="A290" s="661"/>
      <c r="B290" s="661"/>
      <c r="C290" s="661"/>
      <c r="D290" s="661"/>
      <c r="E290" s="661"/>
      <c r="F290" s="661"/>
      <c r="G290" s="661"/>
      <c r="H290" s="661"/>
      <c r="I290" s="661"/>
      <c r="J290" s="661"/>
      <c r="K290" s="661"/>
      <c r="L290" s="661"/>
      <c r="M290" s="661"/>
      <c r="N290" s="661"/>
      <c r="O290" s="662"/>
      <c r="P290" s="658" t="s">
        <v>40</v>
      </c>
      <c r="Q290" s="659"/>
      <c r="R290" s="659"/>
      <c r="S290" s="659"/>
      <c r="T290" s="659"/>
      <c r="U290" s="659"/>
      <c r="V290" s="660"/>
      <c r="W290" s="42" t="s">
        <v>0</v>
      </c>
      <c r="X290" s="43">
        <f>IFERROR(SUM(X277:X288),"0")</f>
        <v>0</v>
      </c>
      <c r="Y290" s="43">
        <f>IFERROR(SUM(Y277:Y288),"0")</f>
        <v>0</v>
      </c>
      <c r="Z290" s="42"/>
      <c r="AA290" s="67"/>
      <c r="AB290" s="67"/>
      <c r="AC290" s="67"/>
    </row>
    <row r="291" spans="1:68" ht="14.25" hidden="1" customHeight="1" x14ac:dyDescent="0.25">
      <c r="A291" s="653" t="s">
        <v>175</v>
      </c>
      <c r="B291" s="653"/>
      <c r="C291" s="653"/>
      <c r="D291" s="653"/>
      <c r="E291" s="653"/>
      <c r="F291" s="653"/>
      <c r="G291" s="653"/>
      <c r="H291" s="653"/>
      <c r="I291" s="653"/>
      <c r="J291" s="653"/>
      <c r="K291" s="653"/>
      <c r="L291" s="653"/>
      <c r="M291" s="653"/>
      <c r="N291" s="653"/>
      <c r="O291" s="653"/>
      <c r="P291" s="653"/>
      <c r="Q291" s="653"/>
      <c r="R291" s="653"/>
      <c r="S291" s="653"/>
      <c r="T291" s="653"/>
      <c r="U291" s="653"/>
      <c r="V291" s="653"/>
      <c r="W291" s="653"/>
      <c r="X291" s="653"/>
      <c r="Y291" s="653"/>
      <c r="Z291" s="653"/>
      <c r="AA291" s="66"/>
      <c r="AB291" s="66"/>
      <c r="AC291" s="80"/>
    </row>
    <row r="292" spans="1:68" ht="27" hidden="1" customHeight="1" x14ac:dyDescent="0.25">
      <c r="A292" s="63" t="s">
        <v>502</v>
      </c>
      <c r="B292" s="63" t="s">
        <v>503</v>
      </c>
      <c r="C292" s="36">
        <v>4301060463</v>
      </c>
      <c r="D292" s="654">
        <v>4680115880818</v>
      </c>
      <c r="E292" s="654"/>
      <c r="F292" s="62">
        <v>0.4</v>
      </c>
      <c r="G292" s="37">
        <v>6</v>
      </c>
      <c r="H292" s="62">
        <v>2.4</v>
      </c>
      <c r="I292" s="62">
        <v>2.6520000000000001</v>
      </c>
      <c r="J292" s="37">
        <v>182</v>
      </c>
      <c r="K292" s="37" t="s">
        <v>91</v>
      </c>
      <c r="L292" s="37" t="s">
        <v>46</v>
      </c>
      <c r="M292" s="38" t="s">
        <v>97</v>
      </c>
      <c r="N292" s="38"/>
      <c r="O292" s="37">
        <v>40</v>
      </c>
      <c r="P292" s="792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2" s="656"/>
      <c r="R292" s="656"/>
      <c r="S292" s="656"/>
      <c r="T292" s="657"/>
      <c r="U292" s="39" t="s">
        <v>46</v>
      </c>
      <c r="V292" s="39" t="s">
        <v>46</v>
      </c>
      <c r="W292" s="40" t="s">
        <v>0</v>
      </c>
      <c r="X292" s="58">
        <v>0</v>
      </c>
      <c r="Y292" s="55">
        <f>IFERROR(IF(X292="",0,CEILING((X292/$H292),1)*$H292),"")</f>
        <v>0</v>
      </c>
      <c r="Z292" s="41" t="str">
        <f>IFERROR(IF(Y292=0,"",ROUNDUP(Y292/H292,0)*0.00651),"")</f>
        <v/>
      </c>
      <c r="AA292" s="68" t="s">
        <v>46</v>
      </c>
      <c r="AB292" s="69" t="s">
        <v>46</v>
      </c>
      <c r="AC292" s="394" t="s">
        <v>504</v>
      </c>
      <c r="AG292" s="78"/>
      <c r="AJ292" s="84" t="s">
        <v>46</v>
      </c>
      <c r="AK292" s="84">
        <v>0</v>
      </c>
      <c r="BB292" s="395" t="s">
        <v>67</v>
      </c>
      <c r="BM292" s="78">
        <f>IFERROR(X292*I292/H292,"0")</f>
        <v>0</v>
      </c>
      <c r="BN292" s="78">
        <f>IFERROR(Y292*I292/H292,"0")</f>
        <v>0</v>
      </c>
      <c r="BO292" s="78">
        <f>IFERROR(1/J292*(X292/H292),"0")</f>
        <v>0</v>
      </c>
      <c r="BP292" s="78">
        <f>IFERROR(1/J292*(Y292/H292),"0")</f>
        <v>0</v>
      </c>
    </row>
    <row r="293" spans="1:68" ht="27" hidden="1" customHeight="1" x14ac:dyDescent="0.25">
      <c r="A293" s="63" t="s">
        <v>505</v>
      </c>
      <c r="B293" s="63" t="s">
        <v>506</v>
      </c>
      <c r="C293" s="36">
        <v>4301060389</v>
      </c>
      <c r="D293" s="654">
        <v>4680115880801</v>
      </c>
      <c r="E293" s="654"/>
      <c r="F293" s="62">
        <v>0.4</v>
      </c>
      <c r="G293" s="37">
        <v>6</v>
      </c>
      <c r="H293" s="62">
        <v>2.4</v>
      </c>
      <c r="I293" s="62">
        <v>2.6520000000000001</v>
      </c>
      <c r="J293" s="37">
        <v>182</v>
      </c>
      <c r="K293" s="37" t="s">
        <v>91</v>
      </c>
      <c r="L293" s="37" t="s">
        <v>46</v>
      </c>
      <c r="M293" s="38" t="s">
        <v>90</v>
      </c>
      <c r="N293" s="38"/>
      <c r="O293" s="37">
        <v>40</v>
      </c>
      <c r="P293" s="793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3" s="656"/>
      <c r="R293" s="656"/>
      <c r="S293" s="656"/>
      <c r="T293" s="657"/>
      <c r="U293" s="39" t="s">
        <v>46</v>
      </c>
      <c r="V293" s="39" t="s">
        <v>46</v>
      </c>
      <c r="W293" s="40" t="s">
        <v>0</v>
      </c>
      <c r="X293" s="58">
        <v>0</v>
      </c>
      <c r="Y293" s="55">
        <f>IFERROR(IF(X293="",0,CEILING((X293/$H293),1)*$H293),"")</f>
        <v>0</v>
      </c>
      <c r="Z293" s="41" t="str">
        <f>IFERROR(IF(Y293=0,"",ROUNDUP(Y293/H293,0)*0.00651),"")</f>
        <v/>
      </c>
      <c r="AA293" s="68" t="s">
        <v>46</v>
      </c>
      <c r="AB293" s="69" t="s">
        <v>46</v>
      </c>
      <c r="AC293" s="396" t="s">
        <v>507</v>
      </c>
      <c r="AG293" s="78"/>
      <c r="AJ293" s="84" t="s">
        <v>46</v>
      </c>
      <c r="AK293" s="84">
        <v>0</v>
      </c>
      <c r="BB293" s="397" t="s">
        <v>67</v>
      </c>
      <c r="BM293" s="78">
        <f>IFERROR(X293*I293/H293,"0")</f>
        <v>0</v>
      </c>
      <c r="BN293" s="78">
        <f>IFERROR(Y293*I293/H293,"0")</f>
        <v>0</v>
      </c>
      <c r="BO293" s="78">
        <f>IFERROR(1/J293*(X293/H293),"0")</f>
        <v>0</v>
      </c>
      <c r="BP293" s="78">
        <f>IFERROR(1/J293*(Y293/H293),"0")</f>
        <v>0</v>
      </c>
    </row>
    <row r="294" spans="1:68" hidden="1" x14ac:dyDescent="0.2">
      <c r="A294" s="661"/>
      <c r="B294" s="661"/>
      <c r="C294" s="661"/>
      <c r="D294" s="661"/>
      <c r="E294" s="661"/>
      <c r="F294" s="661"/>
      <c r="G294" s="661"/>
      <c r="H294" s="661"/>
      <c r="I294" s="661"/>
      <c r="J294" s="661"/>
      <c r="K294" s="661"/>
      <c r="L294" s="661"/>
      <c r="M294" s="661"/>
      <c r="N294" s="661"/>
      <c r="O294" s="662"/>
      <c r="P294" s="658" t="s">
        <v>40</v>
      </c>
      <c r="Q294" s="659"/>
      <c r="R294" s="659"/>
      <c r="S294" s="659"/>
      <c r="T294" s="659"/>
      <c r="U294" s="659"/>
      <c r="V294" s="660"/>
      <c r="W294" s="42" t="s">
        <v>39</v>
      </c>
      <c r="X294" s="43">
        <f>IFERROR(X292/H292,"0")+IFERROR(X293/H293,"0")</f>
        <v>0</v>
      </c>
      <c r="Y294" s="43">
        <f>IFERROR(Y292/H292,"0")+IFERROR(Y293/H293,"0")</f>
        <v>0</v>
      </c>
      <c r="Z294" s="43">
        <f>IFERROR(IF(Z292="",0,Z292),"0")+IFERROR(IF(Z293="",0,Z293),"0")</f>
        <v>0</v>
      </c>
      <c r="AA294" s="67"/>
      <c r="AB294" s="67"/>
      <c r="AC294" s="67"/>
    </row>
    <row r="295" spans="1:68" hidden="1" x14ac:dyDescent="0.2">
      <c r="A295" s="661"/>
      <c r="B295" s="661"/>
      <c r="C295" s="661"/>
      <c r="D295" s="661"/>
      <c r="E295" s="661"/>
      <c r="F295" s="661"/>
      <c r="G295" s="661"/>
      <c r="H295" s="661"/>
      <c r="I295" s="661"/>
      <c r="J295" s="661"/>
      <c r="K295" s="661"/>
      <c r="L295" s="661"/>
      <c r="M295" s="661"/>
      <c r="N295" s="661"/>
      <c r="O295" s="662"/>
      <c r="P295" s="658" t="s">
        <v>40</v>
      </c>
      <c r="Q295" s="659"/>
      <c r="R295" s="659"/>
      <c r="S295" s="659"/>
      <c r="T295" s="659"/>
      <c r="U295" s="659"/>
      <c r="V295" s="660"/>
      <c r="W295" s="42" t="s">
        <v>0</v>
      </c>
      <c r="X295" s="43">
        <f>IFERROR(SUM(X292:X293),"0")</f>
        <v>0</v>
      </c>
      <c r="Y295" s="43">
        <f>IFERROR(SUM(Y292:Y293),"0")</f>
        <v>0</v>
      </c>
      <c r="Z295" s="42"/>
      <c r="AA295" s="67"/>
      <c r="AB295" s="67"/>
      <c r="AC295" s="67"/>
    </row>
    <row r="296" spans="1:68" ht="16.5" hidden="1" customHeight="1" x14ac:dyDescent="0.25">
      <c r="A296" s="652" t="s">
        <v>508</v>
      </c>
      <c r="B296" s="652"/>
      <c r="C296" s="652"/>
      <c r="D296" s="652"/>
      <c r="E296" s="652"/>
      <c r="F296" s="652"/>
      <c r="G296" s="652"/>
      <c r="H296" s="652"/>
      <c r="I296" s="652"/>
      <c r="J296" s="652"/>
      <c r="K296" s="652"/>
      <c r="L296" s="652"/>
      <c r="M296" s="652"/>
      <c r="N296" s="652"/>
      <c r="O296" s="652"/>
      <c r="P296" s="652"/>
      <c r="Q296" s="652"/>
      <c r="R296" s="652"/>
      <c r="S296" s="652"/>
      <c r="T296" s="652"/>
      <c r="U296" s="652"/>
      <c r="V296" s="652"/>
      <c r="W296" s="652"/>
      <c r="X296" s="652"/>
      <c r="Y296" s="652"/>
      <c r="Z296" s="652"/>
      <c r="AA296" s="65"/>
      <c r="AB296" s="65"/>
      <c r="AC296" s="79"/>
    </row>
    <row r="297" spans="1:68" ht="14.25" hidden="1" customHeight="1" x14ac:dyDescent="0.25">
      <c r="A297" s="653" t="s">
        <v>122</v>
      </c>
      <c r="B297" s="653"/>
      <c r="C297" s="653"/>
      <c r="D297" s="653"/>
      <c r="E297" s="653"/>
      <c r="F297" s="653"/>
      <c r="G297" s="653"/>
      <c r="H297" s="653"/>
      <c r="I297" s="653"/>
      <c r="J297" s="653"/>
      <c r="K297" s="653"/>
      <c r="L297" s="653"/>
      <c r="M297" s="653"/>
      <c r="N297" s="653"/>
      <c r="O297" s="653"/>
      <c r="P297" s="653"/>
      <c r="Q297" s="653"/>
      <c r="R297" s="653"/>
      <c r="S297" s="653"/>
      <c r="T297" s="653"/>
      <c r="U297" s="653"/>
      <c r="V297" s="653"/>
      <c r="W297" s="653"/>
      <c r="X297" s="653"/>
      <c r="Y297" s="653"/>
      <c r="Z297" s="653"/>
      <c r="AA297" s="66"/>
      <c r="AB297" s="66"/>
      <c r="AC297" s="80"/>
    </row>
    <row r="298" spans="1:68" ht="27" hidden="1" customHeight="1" x14ac:dyDescent="0.25">
      <c r="A298" s="63" t="s">
        <v>509</v>
      </c>
      <c r="B298" s="63" t="s">
        <v>510</v>
      </c>
      <c r="C298" s="36">
        <v>4301011826</v>
      </c>
      <c r="D298" s="654">
        <v>4680115884137</v>
      </c>
      <c r="E298" s="654"/>
      <c r="F298" s="62">
        <v>1.45</v>
      </c>
      <c r="G298" s="37">
        <v>8</v>
      </c>
      <c r="H298" s="62">
        <v>11.6</v>
      </c>
      <c r="I298" s="62">
        <v>12.01</v>
      </c>
      <c r="J298" s="37">
        <v>64</v>
      </c>
      <c r="K298" s="37" t="s">
        <v>127</v>
      </c>
      <c r="L298" s="37" t="s">
        <v>46</v>
      </c>
      <c r="M298" s="38" t="s">
        <v>126</v>
      </c>
      <c r="N298" s="38"/>
      <c r="O298" s="37">
        <v>55</v>
      </c>
      <c r="P298" s="788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8" s="656"/>
      <c r="R298" s="656"/>
      <c r="S298" s="656"/>
      <c r="T298" s="657"/>
      <c r="U298" s="39" t="s">
        <v>46</v>
      </c>
      <c r="V298" s="39" t="s">
        <v>46</v>
      </c>
      <c r="W298" s="40" t="s">
        <v>0</v>
      </c>
      <c r="X298" s="58">
        <v>0</v>
      </c>
      <c r="Y298" s="55">
        <f t="shared" ref="Y298:Y304" si="48">IFERROR(IF(X298="",0,CEILING((X298/$H298),1)*$H298),"")</f>
        <v>0</v>
      </c>
      <c r="Z298" s="41" t="str">
        <f>IFERROR(IF(Y298=0,"",ROUNDUP(Y298/H298,0)*0.01898),"")</f>
        <v/>
      </c>
      <c r="AA298" s="68" t="s">
        <v>46</v>
      </c>
      <c r="AB298" s="69" t="s">
        <v>46</v>
      </c>
      <c r="AC298" s="398" t="s">
        <v>511</v>
      </c>
      <c r="AG298" s="78"/>
      <c r="AJ298" s="84" t="s">
        <v>46</v>
      </c>
      <c r="AK298" s="84">
        <v>0</v>
      </c>
      <c r="BB298" s="399" t="s">
        <v>67</v>
      </c>
      <c r="BM298" s="78">
        <f t="shared" ref="BM298:BM304" si="49">IFERROR(X298*I298/H298,"0")</f>
        <v>0</v>
      </c>
      <c r="BN298" s="78">
        <f t="shared" ref="BN298:BN304" si="50">IFERROR(Y298*I298/H298,"0")</f>
        <v>0</v>
      </c>
      <c r="BO298" s="78">
        <f t="shared" ref="BO298:BO304" si="51">IFERROR(1/J298*(X298/H298),"0")</f>
        <v>0</v>
      </c>
      <c r="BP298" s="78">
        <f t="shared" ref="BP298:BP304" si="52">IFERROR(1/J298*(Y298/H298),"0")</f>
        <v>0</v>
      </c>
    </row>
    <row r="299" spans="1:68" ht="27" hidden="1" customHeight="1" x14ac:dyDescent="0.25">
      <c r="A299" s="63" t="s">
        <v>512</v>
      </c>
      <c r="B299" s="63" t="s">
        <v>513</v>
      </c>
      <c r="C299" s="36">
        <v>4301011724</v>
      </c>
      <c r="D299" s="654">
        <v>4680115884236</v>
      </c>
      <c r="E299" s="654"/>
      <c r="F299" s="62">
        <v>1.45</v>
      </c>
      <c r="G299" s="37">
        <v>8</v>
      </c>
      <c r="H299" s="62">
        <v>11.6</v>
      </c>
      <c r="I299" s="62">
        <v>12.01</v>
      </c>
      <c r="J299" s="37">
        <v>64</v>
      </c>
      <c r="K299" s="37" t="s">
        <v>127</v>
      </c>
      <c r="L299" s="37" t="s">
        <v>46</v>
      </c>
      <c r="M299" s="38" t="s">
        <v>126</v>
      </c>
      <c r="N299" s="38"/>
      <c r="O299" s="37">
        <v>55</v>
      </c>
      <c r="P299" s="789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9" s="656"/>
      <c r="R299" s="656"/>
      <c r="S299" s="656"/>
      <c r="T299" s="657"/>
      <c r="U299" s="39" t="s">
        <v>46</v>
      </c>
      <c r="V299" s="39" t="s">
        <v>46</v>
      </c>
      <c r="W299" s="40" t="s">
        <v>0</v>
      </c>
      <c r="X299" s="58">
        <v>0</v>
      </c>
      <c r="Y299" s="55">
        <f t="shared" si="48"/>
        <v>0</v>
      </c>
      <c r="Z299" s="41" t="str">
        <f>IFERROR(IF(Y299=0,"",ROUNDUP(Y299/H299,0)*0.01898),"")</f>
        <v/>
      </c>
      <c r="AA299" s="68" t="s">
        <v>46</v>
      </c>
      <c r="AB299" s="69" t="s">
        <v>46</v>
      </c>
      <c r="AC299" s="400" t="s">
        <v>514</v>
      </c>
      <c r="AG299" s="78"/>
      <c r="AJ299" s="84" t="s">
        <v>46</v>
      </c>
      <c r="AK299" s="84">
        <v>0</v>
      </c>
      <c r="BB299" s="401" t="s">
        <v>67</v>
      </c>
      <c r="BM299" s="78">
        <f t="shared" si="49"/>
        <v>0</v>
      </c>
      <c r="BN299" s="78">
        <f t="shared" si="50"/>
        <v>0</v>
      </c>
      <c r="BO299" s="78">
        <f t="shared" si="51"/>
        <v>0</v>
      </c>
      <c r="BP299" s="78">
        <f t="shared" si="52"/>
        <v>0</v>
      </c>
    </row>
    <row r="300" spans="1:68" ht="27" hidden="1" customHeight="1" x14ac:dyDescent="0.25">
      <c r="A300" s="63" t="s">
        <v>515</v>
      </c>
      <c r="B300" s="63" t="s">
        <v>516</v>
      </c>
      <c r="C300" s="36">
        <v>4301011721</v>
      </c>
      <c r="D300" s="654">
        <v>4680115884175</v>
      </c>
      <c r="E300" s="654"/>
      <c r="F300" s="62">
        <v>1.45</v>
      </c>
      <c r="G300" s="37">
        <v>8</v>
      </c>
      <c r="H300" s="62">
        <v>11.6</v>
      </c>
      <c r="I300" s="62">
        <v>12.01</v>
      </c>
      <c r="J300" s="37">
        <v>64</v>
      </c>
      <c r="K300" s="37" t="s">
        <v>127</v>
      </c>
      <c r="L300" s="37" t="s">
        <v>46</v>
      </c>
      <c r="M300" s="38" t="s">
        <v>126</v>
      </c>
      <c r="N300" s="38"/>
      <c r="O300" s="37">
        <v>55</v>
      </c>
      <c r="P300" s="790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0" s="656"/>
      <c r="R300" s="656"/>
      <c r="S300" s="656"/>
      <c r="T300" s="657"/>
      <c r="U300" s="39" t="s">
        <v>46</v>
      </c>
      <c r="V300" s="39" t="s">
        <v>46</v>
      </c>
      <c r="W300" s="40" t="s">
        <v>0</v>
      </c>
      <c r="X300" s="58">
        <v>0</v>
      </c>
      <c r="Y300" s="55">
        <f t="shared" si="48"/>
        <v>0</v>
      </c>
      <c r="Z300" s="41" t="str">
        <f>IFERROR(IF(Y300=0,"",ROUNDUP(Y300/H300,0)*0.01898),"")</f>
        <v/>
      </c>
      <c r="AA300" s="68" t="s">
        <v>46</v>
      </c>
      <c r="AB300" s="69" t="s">
        <v>46</v>
      </c>
      <c r="AC300" s="402" t="s">
        <v>362</v>
      </c>
      <c r="AG300" s="78"/>
      <c r="AJ300" s="84" t="s">
        <v>46</v>
      </c>
      <c r="AK300" s="84">
        <v>0</v>
      </c>
      <c r="BB300" s="403" t="s">
        <v>67</v>
      </c>
      <c r="BM300" s="78">
        <f t="shared" si="49"/>
        <v>0</v>
      </c>
      <c r="BN300" s="78">
        <f t="shared" si="50"/>
        <v>0</v>
      </c>
      <c r="BO300" s="78">
        <f t="shared" si="51"/>
        <v>0</v>
      </c>
      <c r="BP300" s="78">
        <f t="shared" si="52"/>
        <v>0</v>
      </c>
    </row>
    <row r="301" spans="1:68" ht="27" hidden="1" customHeight="1" x14ac:dyDescent="0.25">
      <c r="A301" s="63" t="s">
        <v>517</v>
      </c>
      <c r="B301" s="63" t="s">
        <v>518</v>
      </c>
      <c r="C301" s="36">
        <v>4301011824</v>
      </c>
      <c r="D301" s="654">
        <v>4680115884144</v>
      </c>
      <c r="E301" s="654"/>
      <c r="F301" s="62">
        <v>0.4</v>
      </c>
      <c r="G301" s="37">
        <v>10</v>
      </c>
      <c r="H301" s="62">
        <v>4</v>
      </c>
      <c r="I301" s="62">
        <v>4.1900000000000004</v>
      </c>
      <c r="J301" s="37">
        <v>132</v>
      </c>
      <c r="K301" s="37" t="s">
        <v>134</v>
      </c>
      <c r="L301" s="37" t="s">
        <v>46</v>
      </c>
      <c r="M301" s="38" t="s">
        <v>126</v>
      </c>
      <c r="N301" s="38"/>
      <c r="O301" s="37">
        <v>55</v>
      </c>
      <c r="P301" s="791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1" s="656"/>
      <c r="R301" s="656"/>
      <c r="S301" s="656"/>
      <c r="T301" s="657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si="48"/>
        <v>0</v>
      </c>
      <c r="Z301" s="41" t="str">
        <f>IFERROR(IF(Y301=0,"",ROUNDUP(Y301/H301,0)*0.00902),"")</f>
        <v/>
      </c>
      <c r="AA301" s="68" t="s">
        <v>46</v>
      </c>
      <c r="AB301" s="69" t="s">
        <v>46</v>
      </c>
      <c r="AC301" s="404" t="s">
        <v>511</v>
      </c>
      <c r="AG301" s="78"/>
      <c r="AJ301" s="84" t="s">
        <v>46</v>
      </c>
      <c r="AK301" s="84">
        <v>0</v>
      </c>
      <c r="BB301" s="405" t="s">
        <v>67</v>
      </c>
      <c r="BM301" s="78">
        <f t="shared" si="49"/>
        <v>0</v>
      </c>
      <c r="BN301" s="78">
        <f t="shared" si="50"/>
        <v>0</v>
      </c>
      <c r="BO301" s="78">
        <f t="shared" si="51"/>
        <v>0</v>
      </c>
      <c r="BP301" s="78">
        <f t="shared" si="52"/>
        <v>0</v>
      </c>
    </row>
    <row r="302" spans="1:68" ht="27" hidden="1" customHeight="1" x14ac:dyDescent="0.25">
      <c r="A302" s="63" t="s">
        <v>519</v>
      </c>
      <c r="B302" s="63" t="s">
        <v>520</v>
      </c>
      <c r="C302" s="36">
        <v>4301012149</v>
      </c>
      <c r="D302" s="654">
        <v>4680115886551</v>
      </c>
      <c r="E302" s="654"/>
      <c r="F302" s="62">
        <v>0.4</v>
      </c>
      <c r="G302" s="37">
        <v>10</v>
      </c>
      <c r="H302" s="62">
        <v>4</v>
      </c>
      <c r="I302" s="62">
        <v>4.1900000000000004</v>
      </c>
      <c r="J302" s="37">
        <v>132</v>
      </c>
      <c r="K302" s="37" t="s">
        <v>134</v>
      </c>
      <c r="L302" s="37" t="s">
        <v>46</v>
      </c>
      <c r="M302" s="38" t="s">
        <v>126</v>
      </c>
      <c r="N302" s="38"/>
      <c r="O302" s="37">
        <v>55</v>
      </c>
      <c r="P302" s="785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2" s="656"/>
      <c r="R302" s="656"/>
      <c r="S302" s="656"/>
      <c r="T302" s="657"/>
      <c r="U302" s="39" t="s">
        <v>46</v>
      </c>
      <c r="V302" s="39" t="s">
        <v>46</v>
      </c>
      <c r="W302" s="40" t="s">
        <v>0</v>
      </c>
      <c r="X302" s="58">
        <v>0</v>
      </c>
      <c r="Y302" s="55">
        <f t="shared" si="48"/>
        <v>0</v>
      </c>
      <c r="Z302" s="41" t="str">
        <f>IFERROR(IF(Y302=0,"",ROUNDUP(Y302/H302,0)*0.00902),"")</f>
        <v/>
      </c>
      <c r="AA302" s="68" t="s">
        <v>46</v>
      </c>
      <c r="AB302" s="69" t="s">
        <v>46</v>
      </c>
      <c r="AC302" s="406" t="s">
        <v>521</v>
      </c>
      <c r="AG302" s="78"/>
      <c r="AJ302" s="84" t="s">
        <v>46</v>
      </c>
      <c r="AK302" s="84">
        <v>0</v>
      </c>
      <c r="BB302" s="407" t="s">
        <v>67</v>
      </c>
      <c r="BM302" s="78">
        <f t="shared" si="49"/>
        <v>0</v>
      </c>
      <c r="BN302" s="78">
        <f t="shared" si="50"/>
        <v>0</v>
      </c>
      <c r="BO302" s="78">
        <f t="shared" si="51"/>
        <v>0</v>
      </c>
      <c r="BP302" s="78">
        <f t="shared" si="52"/>
        <v>0</v>
      </c>
    </row>
    <row r="303" spans="1:68" ht="27" hidden="1" customHeight="1" x14ac:dyDescent="0.25">
      <c r="A303" s="63" t="s">
        <v>522</v>
      </c>
      <c r="B303" s="63" t="s">
        <v>523</v>
      </c>
      <c r="C303" s="36">
        <v>4301012228</v>
      </c>
      <c r="D303" s="654">
        <v>4680115887282</v>
      </c>
      <c r="E303" s="654"/>
      <c r="F303" s="62">
        <v>0.4</v>
      </c>
      <c r="G303" s="37">
        <v>6</v>
      </c>
      <c r="H303" s="62">
        <v>2.4</v>
      </c>
      <c r="I303" s="62">
        <v>2.58</v>
      </c>
      <c r="J303" s="37">
        <v>182</v>
      </c>
      <c r="K303" s="37" t="s">
        <v>91</v>
      </c>
      <c r="L303" s="37" t="s">
        <v>46</v>
      </c>
      <c r="M303" s="38" t="s">
        <v>126</v>
      </c>
      <c r="N303" s="38"/>
      <c r="O303" s="37">
        <v>55</v>
      </c>
      <c r="P303" s="786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3" s="656"/>
      <c r="R303" s="656"/>
      <c r="S303" s="656"/>
      <c r="T303" s="657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si="48"/>
        <v>0</v>
      </c>
      <c r="Z303" s="41" t="str">
        <f>IFERROR(IF(Y303=0,"",ROUNDUP(Y303/H303,0)*0.00651),"")</f>
        <v/>
      </c>
      <c r="AA303" s="68" t="s">
        <v>46</v>
      </c>
      <c r="AB303" s="69" t="s">
        <v>46</v>
      </c>
      <c r="AC303" s="408" t="s">
        <v>524</v>
      </c>
      <c r="AG303" s="78"/>
      <c r="AJ303" s="84" t="s">
        <v>46</v>
      </c>
      <c r="AK303" s="84">
        <v>0</v>
      </c>
      <c r="BB303" s="409" t="s">
        <v>67</v>
      </c>
      <c r="BM303" s="78">
        <f t="shared" si="49"/>
        <v>0</v>
      </c>
      <c r="BN303" s="78">
        <f t="shared" si="50"/>
        <v>0</v>
      </c>
      <c r="BO303" s="78">
        <f t="shared" si="51"/>
        <v>0</v>
      </c>
      <c r="BP303" s="78">
        <f t="shared" si="52"/>
        <v>0</v>
      </c>
    </row>
    <row r="304" spans="1:68" ht="27" hidden="1" customHeight="1" x14ac:dyDescent="0.25">
      <c r="A304" s="63" t="s">
        <v>525</v>
      </c>
      <c r="B304" s="63" t="s">
        <v>526</v>
      </c>
      <c r="C304" s="36">
        <v>4301011722</v>
      </c>
      <c r="D304" s="654">
        <v>4680115884205</v>
      </c>
      <c r="E304" s="654"/>
      <c r="F304" s="62">
        <v>0.4</v>
      </c>
      <c r="G304" s="37">
        <v>10</v>
      </c>
      <c r="H304" s="62">
        <v>4</v>
      </c>
      <c r="I304" s="62">
        <v>4.1900000000000004</v>
      </c>
      <c r="J304" s="37">
        <v>132</v>
      </c>
      <c r="K304" s="37" t="s">
        <v>134</v>
      </c>
      <c r="L304" s="37" t="s">
        <v>46</v>
      </c>
      <c r="M304" s="38" t="s">
        <v>126</v>
      </c>
      <c r="N304" s="38"/>
      <c r="O304" s="37">
        <v>55</v>
      </c>
      <c r="P304" s="78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4" s="656"/>
      <c r="R304" s="656"/>
      <c r="S304" s="656"/>
      <c r="T304" s="657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si="48"/>
        <v>0</v>
      </c>
      <c r="Z304" s="41" t="str">
        <f>IFERROR(IF(Y304=0,"",ROUNDUP(Y304/H304,0)*0.00902),"")</f>
        <v/>
      </c>
      <c r="AA304" s="68" t="s">
        <v>46</v>
      </c>
      <c r="AB304" s="69" t="s">
        <v>46</v>
      </c>
      <c r="AC304" s="410" t="s">
        <v>362</v>
      </c>
      <c r="AG304" s="78"/>
      <c r="AJ304" s="84" t="s">
        <v>46</v>
      </c>
      <c r="AK304" s="84">
        <v>0</v>
      </c>
      <c r="BB304" s="411" t="s">
        <v>67</v>
      </c>
      <c r="BM304" s="78">
        <f t="shared" si="49"/>
        <v>0</v>
      </c>
      <c r="BN304" s="78">
        <f t="shared" si="50"/>
        <v>0</v>
      </c>
      <c r="BO304" s="78">
        <f t="shared" si="51"/>
        <v>0</v>
      </c>
      <c r="BP304" s="78">
        <f t="shared" si="52"/>
        <v>0</v>
      </c>
    </row>
    <row r="305" spans="1:68" hidden="1" x14ac:dyDescent="0.2">
      <c r="A305" s="661"/>
      <c r="B305" s="661"/>
      <c r="C305" s="661"/>
      <c r="D305" s="661"/>
      <c r="E305" s="661"/>
      <c r="F305" s="661"/>
      <c r="G305" s="661"/>
      <c r="H305" s="661"/>
      <c r="I305" s="661"/>
      <c r="J305" s="661"/>
      <c r="K305" s="661"/>
      <c r="L305" s="661"/>
      <c r="M305" s="661"/>
      <c r="N305" s="661"/>
      <c r="O305" s="662"/>
      <c r="P305" s="658" t="s">
        <v>40</v>
      </c>
      <c r="Q305" s="659"/>
      <c r="R305" s="659"/>
      <c r="S305" s="659"/>
      <c r="T305" s="659"/>
      <c r="U305" s="659"/>
      <c r="V305" s="660"/>
      <c r="W305" s="42" t="s">
        <v>39</v>
      </c>
      <c r="X305" s="43">
        <f>IFERROR(X298/H298,"0")+IFERROR(X299/H299,"0")+IFERROR(X300/H300,"0")+IFERROR(X301/H301,"0")+IFERROR(X302/H302,"0")+IFERROR(X303/H303,"0")+IFERROR(X304/H304,"0")</f>
        <v>0</v>
      </c>
      <c r="Y305" s="43">
        <f>IFERROR(Y298/H298,"0")+IFERROR(Y299/H299,"0")+IFERROR(Y300/H300,"0")+IFERROR(Y301/H301,"0")+IFERROR(Y302/H302,"0")+IFERROR(Y303/H303,"0")+IFERROR(Y304/H304,"0")</f>
        <v>0</v>
      </c>
      <c r="Z305" s="43">
        <f>IFERROR(IF(Z298="",0,Z298),"0")+IFERROR(IF(Z299="",0,Z299),"0")+IFERROR(IF(Z300="",0,Z300),"0")+IFERROR(IF(Z301="",0,Z301),"0")+IFERROR(IF(Z302="",0,Z302),"0")+IFERROR(IF(Z303="",0,Z303),"0")+IFERROR(IF(Z304="",0,Z304),"0")</f>
        <v>0</v>
      </c>
      <c r="AA305" s="67"/>
      <c r="AB305" s="67"/>
      <c r="AC305" s="67"/>
    </row>
    <row r="306" spans="1:68" hidden="1" x14ac:dyDescent="0.2">
      <c r="A306" s="661"/>
      <c r="B306" s="661"/>
      <c r="C306" s="661"/>
      <c r="D306" s="661"/>
      <c r="E306" s="661"/>
      <c r="F306" s="661"/>
      <c r="G306" s="661"/>
      <c r="H306" s="661"/>
      <c r="I306" s="661"/>
      <c r="J306" s="661"/>
      <c r="K306" s="661"/>
      <c r="L306" s="661"/>
      <c r="M306" s="661"/>
      <c r="N306" s="661"/>
      <c r="O306" s="662"/>
      <c r="P306" s="658" t="s">
        <v>40</v>
      </c>
      <c r="Q306" s="659"/>
      <c r="R306" s="659"/>
      <c r="S306" s="659"/>
      <c r="T306" s="659"/>
      <c r="U306" s="659"/>
      <c r="V306" s="660"/>
      <c r="W306" s="42" t="s">
        <v>0</v>
      </c>
      <c r="X306" s="43">
        <f>IFERROR(SUM(X298:X304),"0")</f>
        <v>0</v>
      </c>
      <c r="Y306" s="43">
        <f>IFERROR(SUM(Y298:Y304),"0")</f>
        <v>0</v>
      </c>
      <c r="Z306" s="42"/>
      <c r="AA306" s="67"/>
      <c r="AB306" s="67"/>
      <c r="AC306" s="67"/>
    </row>
    <row r="307" spans="1:68" ht="14.25" hidden="1" customHeight="1" x14ac:dyDescent="0.25">
      <c r="A307" s="653" t="s">
        <v>157</v>
      </c>
      <c r="B307" s="653"/>
      <c r="C307" s="653"/>
      <c r="D307" s="653"/>
      <c r="E307" s="653"/>
      <c r="F307" s="653"/>
      <c r="G307" s="653"/>
      <c r="H307" s="653"/>
      <c r="I307" s="653"/>
      <c r="J307" s="653"/>
      <c r="K307" s="653"/>
      <c r="L307" s="653"/>
      <c r="M307" s="653"/>
      <c r="N307" s="653"/>
      <c r="O307" s="653"/>
      <c r="P307" s="653"/>
      <c r="Q307" s="653"/>
      <c r="R307" s="653"/>
      <c r="S307" s="653"/>
      <c r="T307" s="653"/>
      <c r="U307" s="653"/>
      <c r="V307" s="653"/>
      <c r="W307" s="653"/>
      <c r="X307" s="653"/>
      <c r="Y307" s="653"/>
      <c r="Z307" s="653"/>
      <c r="AA307" s="66"/>
      <c r="AB307" s="66"/>
      <c r="AC307" s="80"/>
    </row>
    <row r="308" spans="1:68" ht="27" hidden="1" customHeight="1" x14ac:dyDescent="0.25">
      <c r="A308" s="63" t="s">
        <v>527</v>
      </c>
      <c r="B308" s="63" t="s">
        <v>528</v>
      </c>
      <c r="C308" s="36">
        <v>4301020377</v>
      </c>
      <c r="D308" s="654">
        <v>4680115885981</v>
      </c>
      <c r="E308" s="654"/>
      <c r="F308" s="62">
        <v>0.33</v>
      </c>
      <c r="G308" s="37">
        <v>6</v>
      </c>
      <c r="H308" s="62">
        <v>1.98</v>
      </c>
      <c r="I308" s="62">
        <v>2.08</v>
      </c>
      <c r="J308" s="37">
        <v>234</v>
      </c>
      <c r="K308" s="37" t="s">
        <v>82</v>
      </c>
      <c r="L308" s="37" t="s">
        <v>46</v>
      </c>
      <c r="M308" s="38" t="s">
        <v>90</v>
      </c>
      <c r="N308" s="38"/>
      <c r="O308" s="37">
        <v>50</v>
      </c>
      <c r="P308" s="783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8" s="656"/>
      <c r="R308" s="656"/>
      <c r="S308" s="656"/>
      <c r="T308" s="657"/>
      <c r="U308" s="39" t="s">
        <v>46</v>
      </c>
      <c r="V308" s="39" t="s">
        <v>46</v>
      </c>
      <c r="W308" s="40" t="s">
        <v>0</v>
      </c>
      <c r="X308" s="58">
        <v>0</v>
      </c>
      <c r="Y308" s="55">
        <f>IFERROR(IF(X308="",0,CEILING((X308/$H308),1)*$H308),"")</f>
        <v>0</v>
      </c>
      <c r="Z308" s="41" t="str">
        <f>IFERROR(IF(Y308=0,"",ROUNDUP(Y308/H308,0)*0.00502),"")</f>
        <v/>
      </c>
      <c r="AA308" s="68" t="s">
        <v>46</v>
      </c>
      <c r="AB308" s="69" t="s">
        <v>46</v>
      </c>
      <c r="AC308" s="412" t="s">
        <v>529</v>
      </c>
      <c r="AG308" s="78"/>
      <c r="AJ308" s="84" t="s">
        <v>46</v>
      </c>
      <c r="AK308" s="84">
        <v>0</v>
      </c>
      <c r="BB308" s="413" t="s">
        <v>67</v>
      </c>
      <c r="BM308" s="78">
        <f>IFERROR(X308*I308/H308,"0")</f>
        <v>0</v>
      </c>
      <c r="BN308" s="78">
        <f>IFERROR(Y308*I308/H308,"0")</f>
        <v>0</v>
      </c>
      <c r="BO308" s="78">
        <f>IFERROR(1/J308*(X308/H308),"0")</f>
        <v>0</v>
      </c>
      <c r="BP308" s="78">
        <f>IFERROR(1/J308*(Y308/H308),"0")</f>
        <v>0</v>
      </c>
    </row>
    <row r="309" spans="1:68" hidden="1" x14ac:dyDescent="0.2">
      <c r="A309" s="661"/>
      <c r="B309" s="661"/>
      <c r="C309" s="661"/>
      <c r="D309" s="661"/>
      <c r="E309" s="661"/>
      <c r="F309" s="661"/>
      <c r="G309" s="661"/>
      <c r="H309" s="661"/>
      <c r="I309" s="661"/>
      <c r="J309" s="661"/>
      <c r="K309" s="661"/>
      <c r="L309" s="661"/>
      <c r="M309" s="661"/>
      <c r="N309" s="661"/>
      <c r="O309" s="662"/>
      <c r="P309" s="658" t="s">
        <v>40</v>
      </c>
      <c r="Q309" s="659"/>
      <c r="R309" s="659"/>
      <c r="S309" s="659"/>
      <c r="T309" s="659"/>
      <c r="U309" s="659"/>
      <c r="V309" s="660"/>
      <c r="W309" s="42" t="s">
        <v>39</v>
      </c>
      <c r="X309" s="43">
        <f>IFERROR(X308/H308,"0")</f>
        <v>0</v>
      </c>
      <c r="Y309" s="43">
        <f>IFERROR(Y308/H308,"0")</f>
        <v>0</v>
      </c>
      <c r="Z309" s="43">
        <f>IFERROR(IF(Z308="",0,Z308),"0")</f>
        <v>0</v>
      </c>
      <c r="AA309" s="67"/>
      <c r="AB309" s="67"/>
      <c r="AC309" s="67"/>
    </row>
    <row r="310" spans="1:68" hidden="1" x14ac:dyDescent="0.2">
      <c r="A310" s="661"/>
      <c r="B310" s="661"/>
      <c r="C310" s="661"/>
      <c r="D310" s="661"/>
      <c r="E310" s="661"/>
      <c r="F310" s="661"/>
      <c r="G310" s="661"/>
      <c r="H310" s="661"/>
      <c r="I310" s="661"/>
      <c r="J310" s="661"/>
      <c r="K310" s="661"/>
      <c r="L310" s="661"/>
      <c r="M310" s="661"/>
      <c r="N310" s="661"/>
      <c r="O310" s="662"/>
      <c r="P310" s="658" t="s">
        <v>40</v>
      </c>
      <c r="Q310" s="659"/>
      <c r="R310" s="659"/>
      <c r="S310" s="659"/>
      <c r="T310" s="659"/>
      <c r="U310" s="659"/>
      <c r="V310" s="660"/>
      <c r="W310" s="42" t="s">
        <v>0</v>
      </c>
      <c r="X310" s="43">
        <f>IFERROR(SUM(X308:X308),"0")</f>
        <v>0</v>
      </c>
      <c r="Y310" s="43">
        <f>IFERROR(SUM(Y308:Y308),"0")</f>
        <v>0</v>
      </c>
      <c r="Z310" s="42"/>
      <c r="AA310" s="67"/>
      <c r="AB310" s="67"/>
      <c r="AC310" s="67"/>
    </row>
    <row r="311" spans="1:68" ht="14.25" hidden="1" customHeight="1" x14ac:dyDescent="0.25">
      <c r="A311" s="653" t="s">
        <v>530</v>
      </c>
      <c r="B311" s="653"/>
      <c r="C311" s="653"/>
      <c r="D311" s="653"/>
      <c r="E311" s="653"/>
      <c r="F311" s="653"/>
      <c r="G311" s="653"/>
      <c r="H311" s="653"/>
      <c r="I311" s="653"/>
      <c r="J311" s="653"/>
      <c r="K311" s="653"/>
      <c r="L311" s="653"/>
      <c r="M311" s="653"/>
      <c r="N311" s="653"/>
      <c r="O311" s="653"/>
      <c r="P311" s="653"/>
      <c r="Q311" s="653"/>
      <c r="R311" s="653"/>
      <c r="S311" s="653"/>
      <c r="T311" s="653"/>
      <c r="U311" s="653"/>
      <c r="V311" s="653"/>
      <c r="W311" s="653"/>
      <c r="X311" s="653"/>
      <c r="Y311" s="653"/>
      <c r="Z311" s="653"/>
      <c r="AA311" s="66"/>
      <c r="AB311" s="66"/>
      <c r="AC311" s="80"/>
    </row>
    <row r="312" spans="1:68" ht="27" hidden="1" customHeight="1" x14ac:dyDescent="0.25">
      <c r="A312" s="63" t="s">
        <v>531</v>
      </c>
      <c r="B312" s="63" t="s">
        <v>532</v>
      </c>
      <c r="C312" s="36">
        <v>4301040362</v>
      </c>
      <c r="D312" s="654">
        <v>4680115886803</v>
      </c>
      <c r="E312" s="654"/>
      <c r="F312" s="62">
        <v>0.12</v>
      </c>
      <c r="G312" s="37">
        <v>15</v>
      </c>
      <c r="H312" s="62">
        <v>1.8</v>
      </c>
      <c r="I312" s="62">
        <v>1.9750000000000001</v>
      </c>
      <c r="J312" s="37">
        <v>216</v>
      </c>
      <c r="K312" s="37" t="s">
        <v>343</v>
      </c>
      <c r="L312" s="37" t="s">
        <v>46</v>
      </c>
      <c r="M312" s="38" t="s">
        <v>283</v>
      </c>
      <c r="N312" s="38"/>
      <c r="O312" s="37">
        <v>45</v>
      </c>
      <c r="P312" s="784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2" s="656"/>
      <c r="R312" s="656"/>
      <c r="S312" s="656"/>
      <c r="T312" s="657"/>
      <c r="U312" s="39" t="s">
        <v>46</v>
      </c>
      <c r="V312" s="39" t="s">
        <v>46</v>
      </c>
      <c r="W312" s="40" t="s">
        <v>0</v>
      </c>
      <c r="X312" s="58">
        <v>0</v>
      </c>
      <c r="Y312" s="55">
        <f>IFERROR(IF(X312="",0,CEILING((X312/$H312),1)*$H312),"")</f>
        <v>0</v>
      </c>
      <c r="Z312" s="41" t="str">
        <f>IFERROR(IF(Y312=0,"",ROUNDUP(Y312/H312,0)*0.0059),"")</f>
        <v/>
      </c>
      <c r="AA312" s="68" t="s">
        <v>46</v>
      </c>
      <c r="AB312" s="69" t="s">
        <v>46</v>
      </c>
      <c r="AC312" s="414" t="s">
        <v>533</v>
      </c>
      <c r="AG312" s="78"/>
      <c r="AJ312" s="84" t="s">
        <v>46</v>
      </c>
      <c r="AK312" s="84">
        <v>0</v>
      </c>
      <c r="BB312" s="415" t="s">
        <v>67</v>
      </c>
      <c r="BM312" s="78">
        <f>IFERROR(X312*I312/H312,"0")</f>
        <v>0</v>
      </c>
      <c r="BN312" s="78">
        <f>IFERROR(Y312*I312/H312,"0")</f>
        <v>0</v>
      </c>
      <c r="BO312" s="78">
        <f>IFERROR(1/J312*(X312/H312),"0")</f>
        <v>0</v>
      </c>
      <c r="BP312" s="78">
        <f>IFERROR(1/J312*(Y312/H312),"0")</f>
        <v>0</v>
      </c>
    </row>
    <row r="313" spans="1:68" hidden="1" x14ac:dyDescent="0.2">
      <c r="A313" s="661"/>
      <c r="B313" s="661"/>
      <c r="C313" s="661"/>
      <c r="D313" s="661"/>
      <c r="E313" s="661"/>
      <c r="F313" s="661"/>
      <c r="G313" s="661"/>
      <c r="H313" s="661"/>
      <c r="I313" s="661"/>
      <c r="J313" s="661"/>
      <c r="K313" s="661"/>
      <c r="L313" s="661"/>
      <c r="M313" s="661"/>
      <c r="N313" s="661"/>
      <c r="O313" s="662"/>
      <c r="P313" s="658" t="s">
        <v>40</v>
      </c>
      <c r="Q313" s="659"/>
      <c r="R313" s="659"/>
      <c r="S313" s="659"/>
      <c r="T313" s="659"/>
      <c r="U313" s="659"/>
      <c r="V313" s="660"/>
      <c r="W313" s="42" t="s">
        <v>39</v>
      </c>
      <c r="X313" s="43">
        <f>IFERROR(X312/H312,"0")</f>
        <v>0</v>
      </c>
      <c r="Y313" s="43">
        <f>IFERROR(Y312/H312,"0")</f>
        <v>0</v>
      </c>
      <c r="Z313" s="43">
        <f>IFERROR(IF(Z312="",0,Z312),"0")</f>
        <v>0</v>
      </c>
      <c r="AA313" s="67"/>
      <c r="AB313" s="67"/>
      <c r="AC313" s="67"/>
    </row>
    <row r="314" spans="1:68" hidden="1" x14ac:dyDescent="0.2">
      <c r="A314" s="661"/>
      <c r="B314" s="661"/>
      <c r="C314" s="661"/>
      <c r="D314" s="661"/>
      <c r="E314" s="661"/>
      <c r="F314" s="661"/>
      <c r="G314" s="661"/>
      <c r="H314" s="661"/>
      <c r="I314" s="661"/>
      <c r="J314" s="661"/>
      <c r="K314" s="661"/>
      <c r="L314" s="661"/>
      <c r="M314" s="661"/>
      <c r="N314" s="661"/>
      <c r="O314" s="662"/>
      <c r="P314" s="658" t="s">
        <v>40</v>
      </c>
      <c r="Q314" s="659"/>
      <c r="R314" s="659"/>
      <c r="S314" s="659"/>
      <c r="T314" s="659"/>
      <c r="U314" s="659"/>
      <c r="V314" s="660"/>
      <c r="W314" s="42" t="s">
        <v>0</v>
      </c>
      <c r="X314" s="43">
        <f>IFERROR(SUM(X312:X312),"0")</f>
        <v>0</v>
      </c>
      <c r="Y314" s="43">
        <f>IFERROR(SUM(Y312:Y312),"0")</f>
        <v>0</v>
      </c>
      <c r="Z314" s="42"/>
      <c r="AA314" s="67"/>
      <c r="AB314" s="67"/>
      <c r="AC314" s="67"/>
    </row>
    <row r="315" spans="1:68" ht="14.25" hidden="1" customHeight="1" x14ac:dyDescent="0.25">
      <c r="A315" s="653" t="s">
        <v>339</v>
      </c>
      <c r="B315" s="653"/>
      <c r="C315" s="653"/>
      <c r="D315" s="653"/>
      <c r="E315" s="653"/>
      <c r="F315" s="653"/>
      <c r="G315" s="653"/>
      <c r="H315" s="653"/>
      <c r="I315" s="653"/>
      <c r="J315" s="653"/>
      <c r="K315" s="653"/>
      <c r="L315" s="653"/>
      <c r="M315" s="653"/>
      <c r="N315" s="653"/>
      <c r="O315" s="653"/>
      <c r="P315" s="653"/>
      <c r="Q315" s="653"/>
      <c r="R315" s="653"/>
      <c r="S315" s="653"/>
      <c r="T315" s="653"/>
      <c r="U315" s="653"/>
      <c r="V315" s="653"/>
      <c r="W315" s="653"/>
      <c r="X315" s="653"/>
      <c r="Y315" s="653"/>
      <c r="Z315" s="653"/>
      <c r="AA315" s="66"/>
      <c r="AB315" s="66"/>
      <c r="AC315" s="80"/>
    </row>
    <row r="316" spans="1:68" ht="27" hidden="1" customHeight="1" x14ac:dyDescent="0.25">
      <c r="A316" s="63" t="s">
        <v>534</v>
      </c>
      <c r="B316" s="63" t="s">
        <v>535</v>
      </c>
      <c r="C316" s="36">
        <v>4301041008</v>
      </c>
      <c r="D316" s="654">
        <v>4680115886681</v>
      </c>
      <c r="E316" s="654"/>
      <c r="F316" s="62">
        <v>0.12</v>
      </c>
      <c r="G316" s="37">
        <v>15</v>
      </c>
      <c r="H316" s="62">
        <v>1.8</v>
      </c>
      <c r="I316" s="62">
        <v>1.9750000000000001</v>
      </c>
      <c r="J316" s="37">
        <v>216</v>
      </c>
      <c r="K316" s="37" t="s">
        <v>343</v>
      </c>
      <c r="L316" s="37" t="s">
        <v>46</v>
      </c>
      <c r="M316" s="38" t="s">
        <v>283</v>
      </c>
      <c r="N316" s="38"/>
      <c r="O316" s="37">
        <v>90</v>
      </c>
      <c r="P316" s="782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6" s="656"/>
      <c r="R316" s="656"/>
      <c r="S316" s="656"/>
      <c r="T316" s="657"/>
      <c r="U316" s="39" t="s">
        <v>46</v>
      </c>
      <c r="V316" s="39" t="s">
        <v>46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IFERROR(IF(Y316=0,"",ROUNDUP(Y316/H316,0)*0.0059),"")</f>
        <v/>
      </c>
      <c r="AA316" s="68" t="s">
        <v>46</v>
      </c>
      <c r="AB316" s="69" t="s">
        <v>46</v>
      </c>
      <c r="AC316" s="416" t="s">
        <v>536</v>
      </c>
      <c r="AG316" s="78"/>
      <c r="AJ316" s="84" t="s">
        <v>46</v>
      </c>
      <c r="AK316" s="84">
        <v>0</v>
      </c>
      <c r="BB316" s="417" t="s">
        <v>67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hidden="1" x14ac:dyDescent="0.2">
      <c r="A317" s="661"/>
      <c r="B317" s="661"/>
      <c r="C317" s="661"/>
      <c r="D317" s="661"/>
      <c r="E317" s="661"/>
      <c r="F317" s="661"/>
      <c r="G317" s="661"/>
      <c r="H317" s="661"/>
      <c r="I317" s="661"/>
      <c r="J317" s="661"/>
      <c r="K317" s="661"/>
      <c r="L317" s="661"/>
      <c r="M317" s="661"/>
      <c r="N317" s="661"/>
      <c r="O317" s="662"/>
      <c r="P317" s="658" t="s">
        <v>40</v>
      </c>
      <c r="Q317" s="659"/>
      <c r="R317" s="659"/>
      <c r="S317" s="659"/>
      <c r="T317" s="659"/>
      <c r="U317" s="659"/>
      <c r="V317" s="660"/>
      <c r="W317" s="42" t="s">
        <v>39</v>
      </c>
      <c r="X317" s="43">
        <f>IFERROR(X316/H316,"0")</f>
        <v>0</v>
      </c>
      <c r="Y317" s="43">
        <f>IFERROR(Y316/H316,"0")</f>
        <v>0</v>
      </c>
      <c r="Z317" s="43">
        <f>IFERROR(IF(Z316="",0,Z316),"0")</f>
        <v>0</v>
      </c>
      <c r="AA317" s="67"/>
      <c r="AB317" s="67"/>
      <c r="AC317" s="67"/>
    </row>
    <row r="318" spans="1:68" hidden="1" x14ac:dyDescent="0.2">
      <c r="A318" s="661"/>
      <c r="B318" s="661"/>
      <c r="C318" s="661"/>
      <c r="D318" s="661"/>
      <c r="E318" s="661"/>
      <c r="F318" s="661"/>
      <c r="G318" s="661"/>
      <c r="H318" s="661"/>
      <c r="I318" s="661"/>
      <c r="J318" s="661"/>
      <c r="K318" s="661"/>
      <c r="L318" s="661"/>
      <c r="M318" s="661"/>
      <c r="N318" s="661"/>
      <c r="O318" s="662"/>
      <c r="P318" s="658" t="s">
        <v>40</v>
      </c>
      <c r="Q318" s="659"/>
      <c r="R318" s="659"/>
      <c r="S318" s="659"/>
      <c r="T318" s="659"/>
      <c r="U318" s="659"/>
      <c r="V318" s="660"/>
      <c r="W318" s="42" t="s">
        <v>0</v>
      </c>
      <c r="X318" s="43">
        <f>IFERROR(SUM(X316:X316),"0")</f>
        <v>0</v>
      </c>
      <c r="Y318" s="43">
        <f>IFERROR(SUM(Y316:Y316),"0")</f>
        <v>0</v>
      </c>
      <c r="Z318" s="42"/>
      <c r="AA318" s="67"/>
      <c r="AB318" s="67"/>
      <c r="AC318" s="67"/>
    </row>
    <row r="319" spans="1:68" ht="16.5" hidden="1" customHeight="1" x14ac:dyDescent="0.25">
      <c r="A319" s="652" t="s">
        <v>537</v>
      </c>
      <c r="B319" s="652"/>
      <c r="C319" s="652"/>
      <c r="D319" s="652"/>
      <c r="E319" s="652"/>
      <c r="F319" s="652"/>
      <c r="G319" s="652"/>
      <c r="H319" s="652"/>
      <c r="I319" s="652"/>
      <c r="J319" s="652"/>
      <c r="K319" s="652"/>
      <c r="L319" s="652"/>
      <c r="M319" s="652"/>
      <c r="N319" s="652"/>
      <c r="O319" s="652"/>
      <c r="P319" s="652"/>
      <c r="Q319" s="652"/>
      <c r="R319" s="652"/>
      <c r="S319" s="652"/>
      <c r="T319" s="652"/>
      <c r="U319" s="652"/>
      <c r="V319" s="652"/>
      <c r="W319" s="652"/>
      <c r="X319" s="652"/>
      <c r="Y319" s="652"/>
      <c r="Z319" s="652"/>
      <c r="AA319" s="65"/>
      <c r="AB319" s="65"/>
      <c r="AC319" s="79"/>
    </row>
    <row r="320" spans="1:68" ht="14.25" hidden="1" customHeight="1" x14ac:dyDescent="0.25">
      <c r="A320" s="653" t="s">
        <v>122</v>
      </c>
      <c r="B320" s="653"/>
      <c r="C320" s="653"/>
      <c r="D320" s="653"/>
      <c r="E320" s="653"/>
      <c r="F320" s="653"/>
      <c r="G320" s="653"/>
      <c r="H320" s="653"/>
      <c r="I320" s="653"/>
      <c r="J320" s="653"/>
      <c r="K320" s="653"/>
      <c r="L320" s="653"/>
      <c r="M320" s="653"/>
      <c r="N320" s="653"/>
      <c r="O320" s="653"/>
      <c r="P320" s="653"/>
      <c r="Q320" s="653"/>
      <c r="R320" s="653"/>
      <c r="S320" s="653"/>
      <c r="T320" s="653"/>
      <c r="U320" s="653"/>
      <c r="V320" s="653"/>
      <c r="W320" s="653"/>
      <c r="X320" s="653"/>
      <c r="Y320" s="653"/>
      <c r="Z320" s="653"/>
      <c r="AA320" s="66"/>
      <c r="AB320" s="66"/>
      <c r="AC320" s="80"/>
    </row>
    <row r="321" spans="1:68" ht="27" hidden="1" customHeight="1" x14ac:dyDescent="0.25">
      <c r="A321" s="63" t="s">
        <v>538</v>
      </c>
      <c r="B321" s="63" t="s">
        <v>539</v>
      </c>
      <c r="C321" s="36">
        <v>4301012390</v>
      </c>
      <c r="D321" s="654">
        <v>4680115889637</v>
      </c>
      <c r="E321" s="654"/>
      <c r="F321" s="62">
        <v>1.35</v>
      </c>
      <c r="G321" s="37">
        <v>8</v>
      </c>
      <c r="H321" s="62">
        <v>10.8</v>
      </c>
      <c r="I321" s="62">
        <v>11.21</v>
      </c>
      <c r="J321" s="37">
        <v>64</v>
      </c>
      <c r="K321" s="37" t="s">
        <v>127</v>
      </c>
      <c r="L321" s="37" t="s">
        <v>46</v>
      </c>
      <c r="M321" s="38" t="s">
        <v>126</v>
      </c>
      <c r="N321" s="38"/>
      <c r="O321" s="37">
        <v>55</v>
      </c>
      <c r="P321" s="778" t="s">
        <v>540</v>
      </c>
      <c r="Q321" s="656"/>
      <c r="R321" s="656"/>
      <c r="S321" s="656"/>
      <c r="T321" s="657"/>
      <c r="U321" s="39" t="s">
        <v>46</v>
      </c>
      <c r="V321" s="39" t="s">
        <v>46</v>
      </c>
      <c r="W321" s="40" t="s">
        <v>0</v>
      </c>
      <c r="X321" s="58">
        <v>0</v>
      </c>
      <c r="Y321" s="55">
        <f t="shared" ref="Y321:Y326" si="53">IFERROR(IF(X321="",0,CEILING((X321/$H321),1)*$H321),"")</f>
        <v>0</v>
      </c>
      <c r="Z321" s="41" t="str">
        <f>IFERROR(IF(Y321=0,"",ROUNDUP(Y321/H321,0)*0.01898),"")</f>
        <v/>
      </c>
      <c r="AA321" s="68" t="s">
        <v>46</v>
      </c>
      <c r="AB321" s="69" t="s">
        <v>542</v>
      </c>
      <c r="AC321" s="418" t="s">
        <v>541</v>
      </c>
      <c r="AG321" s="78"/>
      <c r="AJ321" s="84" t="s">
        <v>46</v>
      </c>
      <c r="AK321" s="84">
        <v>0</v>
      </c>
      <c r="BB321" s="419" t="s">
        <v>67</v>
      </c>
      <c r="BM321" s="78">
        <f t="shared" ref="BM321:BM326" si="54">IFERROR(X321*I321/H321,"0")</f>
        <v>0</v>
      </c>
      <c r="BN321" s="78">
        <f t="shared" ref="BN321:BN326" si="55">IFERROR(Y321*I321/H321,"0")</f>
        <v>0</v>
      </c>
      <c r="BO321" s="78">
        <f t="shared" ref="BO321:BO326" si="56">IFERROR(1/J321*(X321/H321),"0")</f>
        <v>0</v>
      </c>
      <c r="BP321" s="78">
        <f t="shared" ref="BP321:BP326" si="57">IFERROR(1/J321*(Y321/H321),"0")</f>
        <v>0</v>
      </c>
    </row>
    <row r="322" spans="1:68" ht="27" hidden="1" customHeight="1" x14ac:dyDescent="0.25">
      <c r="A322" s="63" t="s">
        <v>543</v>
      </c>
      <c r="B322" s="63" t="s">
        <v>544</v>
      </c>
      <c r="C322" s="36">
        <v>4301011855</v>
      </c>
      <c r="D322" s="654">
        <v>4680115885837</v>
      </c>
      <c r="E322" s="654"/>
      <c r="F322" s="62">
        <v>1.35</v>
      </c>
      <c r="G322" s="37">
        <v>8</v>
      </c>
      <c r="H322" s="62">
        <v>10.8</v>
      </c>
      <c r="I322" s="62">
        <v>11.21</v>
      </c>
      <c r="J322" s="37">
        <v>64</v>
      </c>
      <c r="K322" s="37" t="s">
        <v>127</v>
      </c>
      <c r="L322" s="37" t="s">
        <v>46</v>
      </c>
      <c r="M322" s="38" t="s">
        <v>126</v>
      </c>
      <c r="N322" s="38"/>
      <c r="O322" s="37">
        <v>55</v>
      </c>
      <c r="P322" s="779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2" s="656"/>
      <c r="R322" s="656"/>
      <c r="S322" s="656"/>
      <c r="T322" s="657"/>
      <c r="U322" s="39" t="s">
        <v>46</v>
      </c>
      <c r="V322" s="39" t="s">
        <v>46</v>
      </c>
      <c r="W322" s="40" t="s">
        <v>0</v>
      </c>
      <c r="X322" s="58">
        <v>0</v>
      </c>
      <c r="Y322" s="55">
        <f t="shared" si="53"/>
        <v>0</v>
      </c>
      <c r="Z322" s="41" t="str">
        <f>IFERROR(IF(Y322=0,"",ROUNDUP(Y322/H322,0)*0.01898),"")</f>
        <v/>
      </c>
      <c r="AA322" s="68" t="s">
        <v>46</v>
      </c>
      <c r="AB322" s="69" t="s">
        <v>46</v>
      </c>
      <c r="AC322" s="420" t="s">
        <v>545</v>
      </c>
      <c r="AG322" s="78"/>
      <c r="AJ322" s="84" t="s">
        <v>46</v>
      </c>
      <c r="AK322" s="84">
        <v>0</v>
      </c>
      <c r="BB322" s="421" t="s">
        <v>67</v>
      </c>
      <c r="BM322" s="78">
        <f t="shared" si="54"/>
        <v>0</v>
      </c>
      <c r="BN322" s="78">
        <f t="shared" si="55"/>
        <v>0</v>
      </c>
      <c r="BO322" s="78">
        <f t="shared" si="56"/>
        <v>0</v>
      </c>
      <c r="BP322" s="78">
        <f t="shared" si="57"/>
        <v>0</v>
      </c>
    </row>
    <row r="323" spans="1:68" ht="37.5" hidden="1" customHeight="1" x14ac:dyDescent="0.25">
      <c r="A323" s="63" t="s">
        <v>546</v>
      </c>
      <c r="B323" s="63" t="s">
        <v>547</v>
      </c>
      <c r="C323" s="36">
        <v>4301012234</v>
      </c>
      <c r="D323" s="654">
        <v>4680115887237</v>
      </c>
      <c r="E323" s="654"/>
      <c r="F323" s="62">
        <v>1.35</v>
      </c>
      <c r="G323" s="37">
        <v>8</v>
      </c>
      <c r="H323" s="62">
        <v>10.8</v>
      </c>
      <c r="I323" s="62">
        <v>11.21</v>
      </c>
      <c r="J323" s="37">
        <v>64</v>
      </c>
      <c r="K323" s="37" t="s">
        <v>127</v>
      </c>
      <c r="L323" s="37" t="s">
        <v>46</v>
      </c>
      <c r="M323" s="38" t="s">
        <v>126</v>
      </c>
      <c r="N323" s="38"/>
      <c r="O323" s="37">
        <v>55</v>
      </c>
      <c r="P323" s="780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3" s="656"/>
      <c r="R323" s="656"/>
      <c r="S323" s="656"/>
      <c r="T323" s="657"/>
      <c r="U323" s="39" t="s">
        <v>46</v>
      </c>
      <c r="V323" s="39" t="s">
        <v>46</v>
      </c>
      <c r="W323" s="40" t="s">
        <v>0</v>
      </c>
      <c r="X323" s="58">
        <v>0</v>
      </c>
      <c r="Y323" s="55">
        <f t="shared" si="53"/>
        <v>0</v>
      </c>
      <c r="Z323" s="41" t="str">
        <f>IFERROR(IF(Y323=0,"",ROUNDUP(Y323/H323,0)*0.01898),"")</f>
        <v/>
      </c>
      <c r="AA323" s="68" t="s">
        <v>46</v>
      </c>
      <c r="AB323" s="69" t="s">
        <v>46</v>
      </c>
      <c r="AC323" s="422" t="s">
        <v>548</v>
      </c>
      <c r="AG323" s="78"/>
      <c r="AJ323" s="84" t="s">
        <v>46</v>
      </c>
      <c r="AK323" s="84">
        <v>0</v>
      </c>
      <c r="BB323" s="423" t="s">
        <v>67</v>
      </c>
      <c r="BM323" s="78">
        <f t="shared" si="54"/>
        <v>0</v>
      </c>
      <c r="BN323" s="78">
        <f t="shared" si="55"/>
        <v>0</v>
      </c>
      <c r="BO323" s="78">
        <f t="shared" si="56"/>
        <v>0</v>
      </c>
      <c r="BP323" s="78">
        <f t="shared" si="57"/>
        <v>0</v>
      </c>
    </row>
    <row r="324" spans="1:68" ht="27" hidden="1" customHeight="1" x14ac:dyDescent="0.25">
      <c r="A324" s="63" t="s">
        <v>549</v>
      </c>
      <c r="B324" s="63" t="s">
        <v>550</v>
      </c>
      <c r="C324" s="36">
        <v>4301011850</v>
      </c>
      <c r="D324" s="654">
        <v>4680115885806</v>
      </c>
      <c r="E324" s="654"/>
      <c r="F324" s="62">
        <v>1.35</v>
      </c>
      <c r="G324" s="37">
        <v>8</v>
      </c>
      <c r="H324" s="62">
        <v>10.8</v>
      </c>
      <c r="I324" s="62">
        <v>11.21</v>
      </c>
      <c r="J324" s="37">
        <v>64</v>
      </c>
      <c r="K324" s="37" t="s">
        <v>127</v>
      </c>
      <c r="L324" s="37" t="s">
        <v>46</v>
      </c>
      <c r="M324" s="38" t="s">
        <v>126</v>
      </c>
      <c r="N324" s="38"/>
      <c r="O324" s="37">
        <v>55</v>
      </c>
      <c r="P324" s="781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4" s="656"/>
      <c r="R324" s="656"/>
      <c r="S324" s="656"/>
      <c r="T324" s="657"/>
      <c r="U324" s="39" t="s">
        <v>46</v>
      </c>
      <c r="V324" s="39" t="s">
        <v>46</v>
      </c>
      <c r="W324" s="40" t="s">
        <v>0</v>
      </c>
      <c r="X324" s="58">
        <v>0</v>
      </c>
      <c r="Y324" s="55">
        <f t="shared" si="53"/>
        <v>0</v>
      </c>
      <c r="Z324" s="41" t="str">
        <f>IFERROR(IF(Y324=0,"",ROUNDUP(Y324/H324,0)*0.01898),"")</f>
        <v/>
      </c>
      <c r="AA324" s="68" t="s">
        <v>46</v>
      </c>
      <c r="AB324" s="69" t="s">
        <v>46</v>
      </c>
      <c r="AC324" s="424" t="s">
        <v>551</v>
      </c>
      <c r="AG324" s="78"/>
      <c r="AJ324" s="84" t="s">
        <v>46</v>
      </c>
      <c r="AK324" s="84">
        <v>0</v>
      </c>
      <c r="BB324" s="425" t="s">
        <v>67</v>
      </c>
      <c r="BM324" s="78">
        <f t="shared" si="54"/>
        <v>0</v>
      </c>
      <c r="BN324" s="78">
        <f t="shared" si="55"/>
        <v>0</v>
      </c>
      <c r="BO324" s="78">
        <f t="shared" si="56"/>
        <v>0</v>
      </c>
      <c r="BP324" s="78">
        <f t="shared" si="57"/>
        <v>0</v>
      </c>
    </row>
    <row r="325" spans="1:68" ht="27" hidden="1" customHeight="1" x14ac:dyDescent="0.25">
      <c r="A325" s="63" t="s">
        <v>552</v>
      </c>
      <c r="B325" s="63" t="s">
        <v>553</v>
      </c>
      <c r="C325" s="36">
        <v>4301011852</v>
      </c>
      <c r="D325" s="654">
        <v>4680115885844</v>
      </c>
      <c r="E325" s="654"/>
      <c r="F325" s="62">
        <v>0.4</v>
      </c>
      <c r="G325" s="37">
        <v>10</v>
      </c>
      <c r="H325" s="62">
        <v>4</v>
      </c>
      <c r="I325" s="62">
        <v>4.1900000000000004</v>
      </c>
      <c r="J325" s="37">
        <v>132</v>
      </c>
      <c r="K325" s="37" t="s">
        <v>134</v>
      </c>
      <c r="L325" s="37" t="s">
        <v>46</v>
      </c>
      <c r="M325" s="38" t="s">
        <v>126</v>
      </c>
      <c r="N325" s="38"/>
      <c r="O325" s="37">
        <v>55</v>
      </c>
      <c r="P325" s="776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5" s="656"/>
      <c r="R325" s="656"/>
      <c r="S325" s="656"/>
      <c r="T325" s="657"/>
      <c r="U325" s="39" t="s">
        <v>46</v>
      </c>
      <c r="V325" s="39" t="s">
        <v>46</v>
      </c>
      <c r="W325" s="40" t="s">
        <v>0</v>
      </c>
      <c r="X325" s="58">
        <v>0</v>
      </c>
      <c r="Y325" s="55">
        <f t="shared" si="53"/>
        <v>0</v>
      </c>
      <c r="Z325" s="41" t="str">
        <f>IFERROR(IF(Y325=0,"",ROUNDUP(Y325/H325,0)*0.00902),"")</f>
        <v/>
      </c>
      <c r="AA325" s="68" t="s">
        <v>46</v>
      </c>
      <c r="AB325" s="69" t="s">
        <v>46</v>
      </c>
      <c r="AC325" s="426" t="s">
        <v>554</v>
      </c>
      <c r="AG325" s="78"/>
      <c r="AJ325" s="84" t="s">
        <v>46</v>
      </c>
      <c r="AK325" s="84">
        <v>0</v>
      </c>
      <c r="BB325" s="427" t="s">
        <v>67</v>
      </c>
      <c r="BM325" s="78">
        <f t="shared" si="54"/>
        <v>0</v>
      </c>
      <c r="BN325" s="78">
        <f t="shared" si="55"/>
        <v>0</v>
      </c>
      <c r="BO325" s="78">
        <f t="shared" si="56"/>
        <v>0</v>
      </c>
      <c r="BP325" s="78">
        <f t="shared" si="57"/>
        <v>0</v>
      </c>
    </row>
    <row r="326" spans="1:68" ht="37.5" hidden="1" customHeight="1" x14ac:dyDescent="0.25">
      <c r="A326" s="63" t="s">
        <v>555</v>
      </c>
      <c r="B326" s="63" t="s">
        <v>556</v>
      </c>
      <c r="C326" s="36">
        <v>4301011851</v>
      </c>
      <c r="D326" s="654">
        <v>4680115885820</v>
      </c>
      <c r="E326" s="654"/>
      <c r="F326" s="62">
        <v>0.4</v>
      </c>
      <c r="G326" s="37">
        <v>10</v>
      </c>
      <c r="H326" s="62">
        <v>4</v>
      </c>
      <c r="I326" s="62">
        <v>4.1900000000000004</v>
      </c>
      <c r="J326" s="37">
        <v>132</v>
      </c>
      <c r="K326" s="37" t="s">
        <v>134</v>
      </c>
      <c r="L326" s="37" t="s">
        <v>46</v>
      </c>
      <c r="M326" s="38" t="s">
        <v>126</v>
      </c>
      <c r="N326" s="38"/>
      <c r="O326" s="37">
        <v>55</v>
      </c>
      <c r="P326" s="777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6" s="656"/>
      <c r="R326" s="656"/>
      <c r="S326" s="656"/>
      <c r="T326" s="657"/>
      <c r="U326" s="39" t="s">
        <v>46</v>
      </c>
      <c r="V326" s="39" t="s">
        <v>46</v>
      </c>
      <c r="W326" s="40" t="s">
        <v>0</v>
      </c>
      <c r="X326" s="58">
        <v>0</v>
      </c>
      <c r="Y326" s="55">
        <f t="shared" si="53"/>
        <v>0</v>
      </c>
      <c r="Z326" s="41" t="str">
        <f>IFERROR(IF(Y326=0,"",ROUNDUP(Y326/H326,0)*0.00902),"")</f>
        <v/>
      </c>
      <c r="AA326" s="68" t="s">
        <v>46</v>
      </c>
      <c r="AB326" s="69" t="s">
        <v>46</v>
      </c>
      <c r="AC326" s="428" t="s">
        <v>557</v>
      </c>
      <c r="AG326" s="78"/>
      <c r="AJ326" s="84" t="s">
        <v>46</v>
      </c>
      <c r="AK326" s="84">
        <v>0</v>
      </c>
      <c r="BB326" s="429" t="s">
        <v>67</v>
      </c>
      <c r="BM326" s="78">
        <f t="shared" si="54"/>
        <v>0</v>
      </c>
      <c r="BN326" s="78">
        <f t="shared" si="55"/>
        <v>0</v>
      </c>
      <c r="BO326" s="78">
        <f t="shared" si="56"/>
        <v>0</v>
      </c>
      <c r="BP326" s="78">
        <f t="shared" si="57"/>
        <v>0</v>
      </c>
    </row>
    <row r="327" spans="1:68" hidden="1" x14ac:dyDescent="0.2">
      <c r="A327" s="661"/>
      <c r="B327" s="661"/>
      <c r="C327" s="661"/>
      <c r="D327" s="661"/>
      <c r="E327" s="661"/>
      <c r="F327" s="661"/>
      <c r="G327" s="661"/>
      <c r="H327" s="661"/>
      <c r="I327" s="661"/>
      <c r="J327" s="661"/>
      <c r="K327" s="661"/>
      <c r="L327" s="661"/>
      <c r="M327" s="661"/>
      <c r="N327" s="661"/>
      <c r="O327" s="662"/>
      <c r="P327" s="658" t="s">
        <v>40</v>
      </c>
      <c r="Q327" s="659"/>
      <c r="R327" s="659"/>
      <c r="S327" s="659"/>
      <c r="T327" s="659"/>
      <c r="U327" s="659"/>
      <c r="V327" s="660"/>
      <c r="W327" s="42" t="s">
        <v>39</v>
      </c>
      <c r="X327" s="43">
        <f>IFERROR(X321/H321,"0")+IFERROR(X322/H322,"0")+IFERROR(X323/H323,"0")+IFERROR(X324/H324,"0")+IFERROR(X325/H325,"0")+IFERROR(X326/H326,"0")</f>
        <v>0</v>
      </c>
      <c r="Y327" s="43">
        <f>IFERROR(Y321/H321,"0")+IFERROR(Y322/H322,"0")+IFERROR(Y323/H323,"0")+IFERROR(Y324/H324,"0")+IFERROR(Y325/H325,"0")+IFERROR(Y326/H326,"0")</f>
        <v>0</v>
      </c>
      <c r="Z327" s="43">
        <f>IFERROR(IF(Z321="",0,Z321),"0")+IFERROR(IF(Z322="",0,Z322),"0")+IFERROR(IF(Z323="",0,Z323),"0")+IFERROR(IF(Z324="",0,Z324),"0")+IFERROR(IF(Z325="",0,Z325),"0")+IFERROR(IF(Z326="",0,Z326),"0")</f>
        <v>0</v>
      </c>
      <c r="AA327" s="67"/>
      <c r="AB327" s="67"/>
      <c r="AC327" s="67"/>
    </row>
    <row r="328" spans="1:68" hidden="1" x14ac:dyDescent="0.2">
      <c r="A328" s="661"/>
      <c r="B328" s="661"/>
      <c r="C328" s="661"/>
      <c r="D328" s="661"/>
      <c r="E328" s="661"/>
      <c r="F328" s="661"/>
      <c r="G328" s="661"/>
      <c r="H328" s="661"/>
      <c r="I328" s="661"/>
      <c r="J328" s="661"/>
      <c r="K328" s="661"/>
      <c r="L328" s="661"/>
      <c r="M328" s="661"/>
      <c r="N328" s="661"/>
      <c r="O328" s="662"/>
      <c r="P328" s="658" t="s">
        <v>40</v>
      </c>
      <c r="Q328" s="659"/>
      <c r="R328" s="659"/>
      <c r="S328" s="659"/>
      <c r="T328" s="659"/>
      <c r="U328" s="659"/>
      <c r="V328" s="660"/>
      <c r="W328" s="42" t="s">
        <v>0</v>
      </c>
      <c r="X328" s="43">
        <f>IFERROR(SUM(X321:X326),"0")</f>
        <v>0</v>
      </c>
      <c r="Y328" s="43">
        <f>IFERROR(SUM(Y321:Y326),"0")</f>
        <v>0</v>
      </c>
      <c r="Z328" s="42"/>
      <c r="AA328" s="67"/>
      <c r="AB328" s="67"/>
      <c r="AC328" s="67"/>
    </row>
    <row r="329" spans="1:68" ht="16.5" hidden="1" customHeight="1" x14ac:dyDescent="0.25">
      <c r="A329" s="652" t="s">
        <v>558</v>
      </c>
      <c r="B329" s="652"/>
      <c r="C329" s="652"/>
      <c r="D329" s="652"/>
      <c r="E329" s="652"/>
      <c r="F329" s="652"/>
      <c r="G329" s="652"/>
      <c r="H329" s="652"/>
      <c r="I329" s="652"/>
      <c r="J329" s="652"/>
      <c r="K329" s="652"/>
      <c r="L329" s="652"/>
      <c r="M329" s="652"/>
      <c r="N329" s="652"/>
      <c r="O329" s="652"/>
      <c r="P329" s="652"/>
      <c r="Q329" s="652"/>
      <c r="R329" s="652"/>
      <c r="S329" s="652"/>
      <c r="T329" s="652"/>
      <c r="U329" s="652"/>
      <c r="V329" s="652"/>
      <c r="W329" s="652"/>
      <c r="X329" s="652"/>
      <c r="Y329" s="652"/>
      <c r="Z329" s="652"/>
      <c r="AA329" s="65"/>
      <c r="AB329" s="65"/>
      <c r="AC329" s="79"/>
    </row>
    <row r="330" spans="1:68" ht="14.25" hidden="1" customHeight="1" x14ac:dyDescent="0.25">
      <c r="A330" s="653" t="s">
        <v>86</v>
      </c>
      <c r="B330" s="653"/>
      <c r="C330" s="653"/>
      <c r="D330" s="653"/>
      <c r="E330" s="653"/>
      <c r="F330" s="653"/>
      <c r="G330" s="653"/>
      <c r="H330" s="653"/>
      <c r="I330" s="653"/>
      <c r="J330" s="653"/>
      <c r="K330" s="653"/>
      <c r="L330" s="653"/>
      <c r="M330" s="653"/>
      <c r="N330" s="653"/>
      <c r="O330" s="653"/>
      <c r="P330" s="653"/>
      <c r="Q330" s="653"/>
      <c r="R330" s="653"/>
      <c r="S330" s="653"/>
      <c r="T330" s="653"/>
      <c r="U330" s="653"/>
      <c r="V330" s="653"/>
      <c r="W330" s="653"/>
      <c r="X330" s="653"/>
      <c r="Y330" s="653"/>
      <c r="Z330" s="653"/>
      <c r="AA330" s="66"/>
      <c r="AB330" s="66"/>
      <c r="AC330" s="80"/>
    </row>
    <row r="331" spans="1:68" ht="27" hidden="1" customHeight="1" x14ac:dyDescent="0.25">
      <c r="A331" s="63" t="s">
        <v>559</v>
      </c>
      <c r="B331" s="63" t="s">
        <v>560</v>
      </c>
      <c r="C331" s="36">
        <v>4301051893</v>
      </c>
      <c r="D331" s="654">
        <v>4680115886186</v>
      </c>
      <c r="E331" s="654"/>
      <c r="F331" s="62">
        <v>0.3</v>
      </c>
      <c r="G331" s="37">
        <v>6</v>
      </c>
      <c r="H331" s="62">
        <v>1.8</v>
      </c>
      <c r="I331" s="62">
        <v>1.98</v>
      </c>
      <c r="J331" s="37">
        <v>182</v>
      </c>
      <c r="K331" s="37" t="s">
        <v>91</v>
      </c>
      <c r="L331" s="37" t="s">
        <v>46</v>
      </c>
      <c r="M331" s="38" t="s">
        <v>90</v>
      </c>
      <c r="N331" s="38"/>
      <c r="O331" s="37">
        <v>45</v>
      </c>
      <c r="P331" s="773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1" s="656"/>
      <c r="R331" s="656"/>
      <c r="S331" s="656"/>
      <c r="T331" s="657"/>
      <c r="U331" s="39" t="s">
        <v>46</v>
      </c>
      <c r="V331" s="39" t="s">
        <v>46</v>
      </c>
      <c r="W331" s="40" t="s">
        <v>0</v>
      </c>
      <c r="X331" s="58">
        <v>0</v>
      </c>
      <c r="Y331" s="55">
        <f>IFERROR(IF(X331="",0,CEILING((X331/$H331),1)*$H331),"")</f>
        <v>0</v>
      </c>
      <c r="Z331" s="41" t="str">
        <f>IFERROR(IF(Y331=0,"",ROUNDUP(Y331/H331,0)*0.00651),"")</f>
        <v/>
      </c>
      <c r="AA331" s="68" t="s">
        <v>46</v>
      </c>
      <c r="AB331" s="69" t="s">
        <v>46</v>
      </c>
      <c r="AC331" s="430" t="s">
        <v>561</v>
      </c>
      <c r="AG331" s="78"/>
      <c r="AJ331" s="84" t="s">
        <v>46</v>
      </c>
      <c r="AK331" s="84">
        <v>0</v>
      </c>
      <c r="BB331" s="431" t="s">
        <v>67</v>
      </c>
      <c r="BM331" s="78">
        <f>IFERROR(X331*I331/H331,"0")</f>
        <v>0</v>
      </c>
      <c r="BN331" s="78">
        <f>IFERROR(Y331*I331/H331,"0")</f>
        <v>0</v>
      </c>
      <c r="BO331" s="78">
        <f>IFERROR(1/J331*(X331/H331),"0")</f>
        <v>0</v>
      </c>
      <c r="BP331" s="78">
        <f>IFERROR(1/J331*(Y331/H331),"0")</f>
        <v>0</v>
      </c>
    </row>
    <row r="332" spans="1:68" ht="27" hidden="1" customHeight="1" x14ac:dyDescent="0.25">
      <c r="A332" s="63" t="s">
        <v>562</v>
      </c>
      <c r="B332" s="63" t="s">
        <v>563</v>
      </c>
      <c r="C332" s="36">
        <v>4301051795</v>
      </c>
      <c r="D332" s="654">
        <v>4680115881228</v>
      </c>
      <c r="E332" s="654"/>
      <c r="F332" s="62">
        <v>0.4</v>
      </c>
      <c r="G332" s="37">
        <v>6</v>
      </c>
      <c r="H332" s="62">
        <v>2.4</v>
      </c>
      <c r="I332" s="62">
        <v>2.6520000000000001</v>
      </c>
      <c r="J332" s="37">
        <v>182</v>
      </c>
      <c r="K332" s="37" t="s">
        <v>91</v>
      </c>
      <c r="L332" s="37" t="s">
        <v>46</v>
      </c>
      <c r="M332" s="38" t="s">
        <v>97</v>
      </c>
      <c r="N332" s="38"/>
      <c r="O332" s="37">
        <v>40</v>
      </c>
      <c r="P332" s="774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2" s="656"/>
      <c r="R332" s="656"/>
      <c r="S332" s="656"/>
      <c r="T332" s="657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IFERROR(IF(Y332=0,"",ROUNDUP(Y332/H332,0)*0.00651),"")</f>
        <v/>
      </c>
      <c r="AA332" s="68" t="s">
        <v>46</v>
      </c>
      <c r="AB332" s="69" t="s">
        <v>46</v>
      </c>
      <c r="AC332" s="432" t="s">
        <v>564</v>
      </c>
      <c r="AG332" s="78"/>
      <c r="AJ332" s="84" t="s">
        <v>46</v>
      </c>
      <c r="AK332" s="84">
        <v>0</v>
      </c>
      <c r="BB332" s="433" t="s">
        <v>67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27" hidden="1" customHeight="1" x14ac:dyDescent="0.25">
      <c r="A333" s="63" t="s">
        <v>565</v>
      </c>
      <c r="B333" s="63" t="s">
        <v>566</v>
      </c>
      <c r="C333" s="36">
        <v>4301051388</v>
      </c>
      <c r="D333" s="654">
        <v>4680115881211</v>
      </c>
      <c r="E333" s="654"/>
      <c r="F333" s="62">
        <v>0.4</v>
      </c>
      <c r="G333" s="37">
        <v>6</v>
      </c>
      <c r="H333" s="62">
        <v>2.4</v>
      </c>
      <c r="I333" s="62">
        <v>2.58</v>
      </c>
      <c r="J333" s="37">
        <v>182</v>
      </c>
      <c r="K333" s="37" t="s">
        <v>91</v>
      </c>
      <c r="L333" s="37" t="s">
        <v>46</v>
      </c>
      <c r="M333" s="38" t="s">
        <v>90</v>
      </c>
      <c r="N333" s="38"/>
      <c r="O333" s="37">
        <v>45</v>
      </c>
      <c r="P333" s="775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3" s="656"/>
      <c r="R333" s="656"/>
      <c r="S333" s="656"/>
      <c r="T333" s="657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IFERROR(IF(Y333=0,"",ROUNDUP(Y333/H333,0)*0.00651),"")</f>
        <v/>
      </c>
      <c r="AA333" s="68" t="s">
        <v>46</v>
      </c>
      <c r="AB333" s="69" t="s">
        <v>46</v>
      </c>
      <c r="AC333" s="434" t="s">
        <v>561</v>
      </c>
      <c r="AG333" s="78"/>
      <c r="AJ333" s="84" t="s">
        <v>46</v>
      </c>
      <c r="AK333" s="84">
        <v>0</v>
      </c>
      <c r="BB333" s="435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idden="1" x14ac:dyDescent="0.2">
      <c r="A334" s="661"/>
      <c r="B334" s="661"/>
      <c r="C334" s="661"/>
      <c r="D334" s="661"/>
      <c r="E334" s="661"/>
      <c r="F334" s="661"/>
      <c r="G334" s="661"/>
      <c r="H334" s="661"/>
      <c r="I334" s="661"/>
      <c r="J334" s="661"/>
      <c r="K334" s="661"/>
      <c r="L334" s="661"/>
      <c r="M334" s="661"/>
      <c r="N334" s="661"/>
      <c r="O334" s="662"/>
      <c r="P334" s="658" t="s">
        <v>40</v>
      </c>
      <c r="Q334" s="659"/>
      <c r="R334" s="659"/>
      <c r="S334" s="659"/>
      <c r="T334" s="659"/>
      <c r="U334" s="659"/>
      <c r="V334" s="660"/>
      <c r="W334" s="42" t="s">
        <v>39</v>
      </c>
      <c r="X334" s="43">
        <f>IFERROR(X331/H331,"0")+IFERROR(X332/H332,"0")+IFERROR(X333/H333,"0")</f>
        <v>0</v>
      </c>
      <c r="Y334" s="43">
        <f>IFERROR(Y331/H331,"0")+IFERROR(Y332/H332,"0")+IFERROR(Y333/H333,"0")</f>
        <v>0</v>
      </c>
      <c r="Z334" s="43">
        <f>IFERROR(IF(Z331="",0,Z331),"0")+IFERROR(IF(Z332="",0,Z332),"0")+IFERROR(IF(Z333="",0,Z333),"0")</f>
        <v>0</v>
      </c>
      <c r="AA334" s="67"/>
      <c r="AB334" s="67"/>
      <c r="AC334" s="67"/>
    </row>
    <row r="335" spans="1:68" hidden="1" x14ac:dyDescent="0.2">
      <c r="A335" s="661"/>
      <c r="B335" s="661"/>
      <c r="C335" s="661"/>
      <c r="D335" s="661"/>
      <c r="E335" s="661"/>
      <c r="F335" s="661"/>
      <c r="G335" s="661"/>
      <c r="H335" s="661"/>
      <c r="I335" s="661"/>
      <c r="J335" s="661"/>
      <c r="K335" s="661"/>
      <c r="L335" s="661"/>
      <c r="M335" s="661"/>
      <c r="N335" s="661"/>
      <c r="O335" s="662"/>
      <c r="P335" s="658" t="s">
        <v>40</v>
      </c>
      <c r="Q335" s="659"/>
      <c r="R335" s="659"/>
      <c r="S335" s="659"/>
      <c r="T335" s="659"/>
      <c r="U335" s="659"/>
      <c r="V335" s="660"/>
      <c r="W335" s="42" t="s">
        <v>0</v>
      </c>
      <c r="X335" s="43">
        <f>IFERROR(SUM(X331:X333),"0")</f>
        <v>0</v>
      </c>
      <c r="Y335" s="43">
        <f>IFERROR(SUM(Y331:Y333),"0")</f>
        <v>0</v>
      </c>
      <c r="Z335" s="42"/>
      <c r="AA335" s="67"/>
      <c r="AB335" s="67"/>
      <c r="AC335" s="67"/>
    </row>
    <row r="336" spans="1:68" ht="16.5" hidden="1" customHeight="1" x14ac:dyDescent="0.25">
      <c r="A336" s="652" t="s">
        <v>567</v>
      </c>
      <c r="B336" s="652"/>
      <c r="C336" s="652"/>
      <c r="D336" s="652"/>
      <c r="E336" s="652"/>
      <c r="F336" s="652"/>
      <c r="G336" s="652"/>
      <c r="H336" s="652"/>
      <c r="I336" s="652"/>
      <c r="J336" s="652"/>
      <c r="K336" s="652"/>
      <c r="L336" s="652"/>
      <c r="M336" s="652"/>
      <c r="N336" s="652"/>
      <c r="O336" s="652"/>
      <c r="P336" s="652"/>
      <c r="Q336" s="652"/>
      <c r="R336" s="652"/>
      <c r="S336" s="652"/>
      <c r="T336" s="652"/>
      <c r="U336" s="652"/>
      <c r="V336" s="652"/>
      <c r="W336" s="652"/>
      <c r="X336" s="652"/>
      <c r="Y336" s="652"/>
      <c r="Z336" s="652"/>
      <c r="AA336" s="65"/>
      <c r="AB336" s="65"/>
      <c r="AC336" s="79"/>
    </row>
    <row r="337" spans="1:68" ht="14.25" hidden="1" customHeight="1" x14ac:dyDescent="0.25">
      <c r="A337" s="653" t="s">
        <v>77</v>
      </c>
      <c r="B337" s="653"/>
      <c r="C337" s="653"/>
      <c r="D337" s="653"/>
      <c r="E337" s="653"/>
      <c r="F337" s="653"/>
      <c r="G337" s="653"/>
      <c r="H337" s="653"/>
      <c r="I337" s="653"/>
      <c r="J337" s="653"/>
      <c r="K337" s="653"/>
      <c r="L337" s="653"/>
      <c r="M337" s="653"/>
      <c r="N337" s="653"/>
      <c r="O337" s="653"/>
      <c r="P337" s="653"/>
      <c r="Q337" s="653"/>
      <c r="R337" s="653"/>
      <c r="S337" s="653"/>
      <c r="T337" s="653"/>
      <c r="U337" s="653"/>
      <c r="V337" s="653"/>
      <c r="W337" s="653"/>
      <c r="X337" s="653"/>
      <c r="Y337" s="653"/>
      <c r="Z337" s="653"/>
      <c r="AA337" s="66"/>
      <c r="AB337" s="66"/>
      <c r="AC337" s="80"/>
    </row>
    <row r="338" spans="1:68" ht="27" hidden="1" customHeight="1" x14ac:dyDescent="0.25">
      <c r="A338" s="63" t="s">
        <v>568</v>
      </c>
      <c r="B338" s="63" t="s">
        <v>569</v>
      </c>
      <c r="C338" s="36">
        <v>4301031445</v>
      </c>
      <c r="D338" s="654">
        <v>4680115888319</v>
      </c>
      <c r="E338" s="654"/>
      <c r="F338" s="62">
        <v>0.35</v>
      </c>
      <c r="G338" s="37">
        <v>6</v>
      </c>
      <c r="H338" s="62">
        <v>2.1</v>
      </c>
      <c r="I338" s="62">
        <v>2.23</v>
      </c>
      <c r="J338" s="37">
        <v>234</v>
      </c>
      <c r="K338" s="37" t="s">
        <v>82</v>
      </c>
      <c r="L338" s="37" t="s">
        <v>46</v>
      </c>
      <c r="M338" s="38" t="s">
        <v>81</v>
      </c>
      <c r="N338" s="38"/>
      <c r="O338" s="37">
        <v>45</v>
      </c>
      <c r="P338" s="769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8" s="656"/>
      <c r="R338" s="656"/>
      <c r="S338" s="656"/>
      <c r="T338" s="657"/>
      <c r="U338" s="39" t="s">
        <v>46</v>
      </c>
      <c r="V338" s="39" t="s">
        <v>46</v>
      </c>
      <c r="W338" s="40" t="s">
        <v>0</v>
      </c>
      <c r="X338" s="58">
        <v>0</v>
      </c>
      <c r="Y338" s="55">
        <f>IFERROR(IF(X338="",0,CEILING((X338/$H338),1)*$H338),"")</f>
        <v>0</v>
      </c>
      <c r="Z338" s="41" t="str">
        <f>IFERROR(IF(Y338=0,"",ROUNDUP(Y338/H338,0)*0.00502),"")</f>
        <v/>
      </c>
      <c r="AA338" s="68" t="s">
        <v>46</v>
      </c>
      <c r="AB338" s="69" t="s">
        <v>46</v>
      </c>
      <c r="AC338" s="436" t="s">
        <v>394</v>
      </c>
      <c r="AG338" s="78"/>
      <c r="AJ338" s="84" t="s">
        <v>46</v>
      </c>
      <c r="AK338" s="84">
        <v>0</v>
      </c>
      <c r="BB338" s="437" t="s">
        <v>67</v>
      </c>
      <c r="BM338" s="78">
        <f>IFERROR(X338*I338/H338,"0")</f>
        <v>0</v>
      </c>
      <c r="BN338" s="78">
        <f>IFERROR(Y338*I338/H338,"0")</f>
        <v>0</v>
      </c>
      <c r="BO338" s="78">
        <f>IFERROR(1/J338*(X338/H338),"0")</f>
        <v>0</v>
      </c>
      <c r="BP338" s="78">
        <f>IFERROR(1/J338*(Y338/H338),"0")</f>
        <v>0</v>
      </c>
    </row>
    <row r="339" spans="1:68" ht="27" hidden="1" customHeight="1" x14ac:dyDescent="0.25">
      <c r="A339" s="63" t="s">
        <v>570</v>
      </c>
      <c r="B339" s="63" t="s">
        <v>571</v>
      </c>
      <c r="C339" s="36">
        <v>4301031502</v>
      </c>
      <c r="D339" s="654">
        <v>4680115884700</v>
      </c>
      <c r="E339" s="654"/>
      <c r="F339" s="62">
        <v>0.57999999999999996</v>
      </c>
      <c r="G339" s="37">
        <v>4</v>
      </c>
      <c r="H339" s="62">
        <v>2.3199999999999998</v>
      </c>
      <c r="I339" s="62">
        <v>2.42</v>
      </c>
      <c r="J339" s="37">
        <v>234</v>
      </c>
      <c r="K339" s="37" t="s">
        <v>82</v>
      </c>
      <c r="L339" s="37" t="s">
        <v>46</v>
      </c>
      <c r="M339" s="38" t="s">
        <v>81</v>
      </c>
      <c r="N339" s="38"/>
      <c r="O339" s="37">
        <v>40</v>
      </c>
      <c r="P339" s="770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9" s="656"/>
      <c r="R339" s="656"/>
      <c r="S339" s="656"/>
      <c r="T339" s="657"/>
      <c r="U339" s="39" t="s">
        <v>46</v>
      </c>
      <c r="V339" s="39" t="s">
        <v>46</v>
      </c>
      <c r="W339" s="40" t="s">
        <v>0</v>
      </c>
      <c r="X339" s="58">
        <v>0</v>
      </c>
      <c r="Y339" s="55">
        <f>IFERROR(IF(X339="",0,CEILING((X339/$H339),1)*$H339),"")</f>
        <v>0</v>
      </c>
      <c r="Z339" s="41" t="str">
        <f>IFERROR(IF(Y339=0,"",ROUNDUP(Y339/H339,0)*0.00502),"")</f>
        <v/>
      </c>
      <c r="AA339" s="68" t="s">
        <v>46</v>
      </c>
      <c r="AB339" s="69" t="s">
        <v>46</v>
      </c>
      <c r="AC339" s="438" t="s">
        <v>572</v>
      </c>
      <c r="AG339" s="78"/>
      <c r="AJ339" s="84" t="s">
        <v>46</v>
      </c>
      <c r="AK339" s="84">
        <v>0</v>
      </c>
      <c r="BB339" s="439" t="s">
        <v>67</v>
      </c>
      <c r="BM339" s="78">
        <f>IFERROR(X339*I339/H339,"0")</f>
        <v>0</v>
      </c>
      <c r="BN339" s="78">
        <f>IFERROR(Y339*I339/H339,"0")</f>
        <v>0</v>
      </c>
      <c r="BO339" s="78">
        <f>IFERROR(1/J339*(X339/H339),"0")</f>
        <v>0</v>
      </c>
      <c r="BP339" s="78">
        <f>IFERROR(1/J339*(Y339/H339),"0")</f>
        <v>0</v>
      </c>
    </row>
    <row r="340" spans="1:68" ht="27" hidden="1" customHeight="1" x14ac:dyDescent="0.25">
      <c r="A340" s="63" t="s">
        <v>573</v>
      </c>
      <c r="B340" s="63" t="s">
        <v>574</v>
      </c>
      <c r="C340" s="36">
        <v>4301031307</v>
      </c>
      <c r="D340" s="654">
        <v>4680115880344</v>
      </c>
      <c r="E340" s="654"/>
      <c r="F340" s="62">
        <v>0.28000000000000003</v>
      </c>
      <c r="G340" s="37">
        <v>6</v>
      </c>
      <c r="H340" s="62">
        <v>1.68</v>
      </c>
      <c r="I340" s="62">
        <v>1.78</v>
      </c>
      <c r="J340" s="37">
        <v>234</v>
      </c>
      <c r="K340" s="37" t="s">
        <v>82</v>
      </c>
      <c r="L340" s="37" t="s">
        <v>46</v>
      </c>
      <c r="M340" s="38" t="s">
        <v>81</v>
      </c>
      <c r="N340" s="38"/>
      <c r="O340" s="37">
        <v>40</v>
      </c>
      <c r="P340" s="771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0" s="656"/>
      <c r="R340" s="656"/>
      <c r="S340" s="656"/>
      <c r="T340" s="657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IFERROR(IF(Y340=0,"",ROUNDUP(Y340/H340,0)*0.00502),"")</f>
        <v/>
      </c>
      <c r="AA340" s="68" t="s">
        <v>46</v>
      </c>
      <c r="AB340" s="69" t="s">
        <v>46</v>
      </c>
      <c r="AC340" s="440" t="s">
        <v>575</v>
      </c>
      <c r="AG340" s="78"/>
      <c r="AJ340" s="84" t="s">
        <v>46</v>
      </c>
      <c r="AK340" s="84">
        <v>0</v>
      </c>
      <c r="BB340" s="441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hidden="1" customHeight="1" x14ac:dyDescent="0.25">
      <c r="A341" s="63" t="s">
        <v>576</v>
      </c>
      <c r="B341" s="63" t="s">
        <v>577</v>
      </c>
      <c r="C341" s="36">
        <v>4301031501</v>
      </c>
      <c r="D341" s="654">
        <v>4680115886919</v>
      </c>
      <c r="E341" s="654"/>
      <c r="F341" s="62">
        <v>0.4</v>
      </c>
      <c r="G341" s="37">
        <v>6</v>
      </c>
      <c r="H341" s="62">
        <v>2.4</v>
      </c>
      <c r="I341" s="62">
        <v>2.58</v>
      </c>
      <c r="J341" s="37">
        <v>182</v>
      </c>
      <c r="K341" s="37" t="s">
        <v>91</v>
      </c>
      <c r="L341" s="37" t="s">
        <v>46</v>
      </c>
      <c r="M341" s="38" t="s">
        <v>81</v>
      </c>
      <c r="N341" s="38"/>
      <c r="O341" s="37">
        <v>40</v>
      </c>
      <c r="P341" s="772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1" s="656"/>
      <c r="R341" s="656"/>
      <c r="S341" s="656"/>
      <c r="T341" s="657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IFERROR(IF(Y341=0,"",ROUNDUP(Y341/H341,0)*0.00651),"")</f>
        <v/>
      </c>
      <c r="AA341" s="68" t="s">
        <v>46</v>
      </c>
      <c r="AB341" s="69" t="s">
        <v>46</v>
      </c>
      <c r="AC341" s="442" t="s">
        <v>578</v>
      </c>
      <c r="AG341" s="78"/>
      <c r="AJ341" s="84" t="s">
        <v>46</v>
      </c>
      <c r="AK341" s="84">
        <v>0</v>
      </c>
      <c r="BB341" s="443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t="27" hidden="1" customHeight="1" x14ac:dyDescent="0.25">
      <c r="A342" s="63" t="s">
        <v>579</v>
      </c>
      <c r="B342" s="63" t="s">
        <v>580</v>
      </c>
      <c r="C342" s="36">
        <v>4301031246</v>
      </c>
      <c r="D342" s="654">
        <v>4680115883970</v>
      </c>
      <c r="E342" s="654"/>
      <c r="F342" s="62">
        <v>0.28000000000000003</v>
      </c>
      <c r="G342" s="37">
        <v>6</v>
      </c>
      <c r="H342" s="62">
        <v>1.68</v>
      </c>
      <c r="I342" s="62">
        <v>2.5</v>
      </c>
      <c r="J342" s="37">
        <v>234</v>
      </c>
      <c r="K342" s="37" t="s">
        <v>82</v>
      </c>
      <c r="L342" s="37" t="s">
        <v>46</v>
      </c>
      <c r="M342" s="38" t="s">
        <v>81</v>
      </c>
      <c r="N342" s="38"/>
      <c r="O342" s="37">
        <v>40</v>
      </c>
      <c r="P342" s="766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2" s="656"/>
      <c r="R342" s="656"/>
      <c r="S342" s="656"/>
      <c r="T342" s="657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44" t="s">
        <v>581</v>
      </c>
      <c r="AG342" s="78"/>
      <c r="AJ342" s="84" t="s">
        <v>46</v>
      </c>
      <c r="AK342" s="84">
        <v>0</v>
      </c>
      <c r="BB342" s="445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idden="1" x14ac:dyDescent="0.2">
      <c r="A343" s="661"/>
      <c r="B343" s="661"/>
      <c r="C343" s="661"/>
      <c r="D343" s="661"/>
      <c r="E343" s="661"/>
      <c r="F343" s="661"/>
      <c r="G343" s="661"/>
      <c r="H343" s="661"/>
      <c r="I343" s="661"/>
      <c r="J343" s="661"/>
      <c r="K343" s="661"/>
      <c r="L343" s="661"/>
      <c r="M343" s="661"/>
      <c r="N343" s="661"/>
      <c r="O343" s="662"/>
      <c r="P343" s="658" t="s">
        <v>40</v>
      </c>
      <c r="Q343" s="659"/>
      <c r="R343" s="659"/>
      <c r="S343" s="659"/>
      <c r="T343" s="659"/>
      <c r="U343" s="659"/>
      <c r="V343" s="660"/>
      <c r="W343" s="42" t="s">
        <v>39</v>
      </c>
      <c r="X343" s="43">
        <f>IFERROR(X338/H338,"0")+IFERROR(X339/H339,"0")+IFERROR(X340/H340,"0")+IFERROR(X341/H341,"0")+IFERROR(X342/H342,"0")</f>
        <v>0</v>
      </c>
      <c r="Y343" s="43">
        <f>IFERROR(Y338/H338,"0")+IFERROR(Y339/H339,"0")+IFERROR(Y340/H340,"0")+IFERROR(Y341/H341,"0")+IFERROR(Y342/H342,"0")</f>
        <v>0</v>
      </c>
      <c r="Z343" s="43">
        <f>IFERROR(IF(Z338="",0,Z338),"0")+IFERROR(IF(Z339="",0,Z339),"0")+IFERROR(IF(Z340="",0,Z340),"0")+IFERROR(IF(Z341="",0,Z341),"0")+IFERROR(IF(Z342="",0,Z342),"0")</f>
        <v>0</v>
      </c>
      <c r="AA343" s="67"/>
      <c r="AB343" s="67"/>
      <c r="AC343" s="67"/>
    </row>
    <row r="344" spans="1:68" hidden="1" x14ac:dyDescent="0.2">
      <c r="A344" s="661"/>
      <c r="B344" s="661"/>
      <c r="C344" s="661"/>
      <c r="D344" s="661"/>
      <c r="E344" s="661"/>
      <c r="F344" s="661"/>
      <c r="G344" s="661"/>
      <c r="H344" s="661"/>
      <c r="I344" s="661"/>
      <c r="J344" s="661"/>
      <c r="K344" s="661"/>
      <c r="L344" s="661"/>
      <c r="M344" s="661"/>
      <c r="N344" s="661"/>
      <c r="O344" s="662"/>
      <c r="P344" s="658" t="s">
        <v>40</v>
      </c>
      <c r="Q344" s="659"/>
      <c r="R344" s="659"/>
      <c r="S344" s="659"/>
      <c r="T344" s="659"/>
      <c r="U344" s="659"/>
      <c r="V344" s="660"/>
      <c r="W344" s="42" t="s">
        <v>0</v>
      </c>
      <c r="X344" s="43">
        <f>IFERROR(SUM(X338:X342),"0")</f>
        <v>0</v>
      </c>
      <c r="Y344" s="43">
        <f>IFERROR(SUM(Y338:Y342),"0")</f>
        <v>0</v>
      </c>
      <c r="Z344" s="42"/>
      <c r="AA344" s="67"/>
      <c r="AB344" s="67"/>
      <c r="AC344" s="67"/>
    </row>
    <row r="345" spans="1:68" ht="14.25" hidden="1" customHeight="1" x14ac:dyDescent="0.25">
      <c r="A345" s="653" t="s">
        <v>86</v>
      </c>
      <c r="B345" s="653"/>
      <c r="C345" s="653"/>
      <c r="D345" s="653"/>
      <c r="E345" s="653"/>
      <c r="F345" s="653"/>
      <c r="G345" s="653"/>
      <c r="H345" s="653"/>
      <c r="I345" s="653"/>
      <c r="J345" s="653"/>
      <c r="K345" s="653"/>
      <c r="L345" s="653"/>
      <c r="M345" s="653"/>
      <c r="N345" s="653"/>
      <c r="O345" s="653"/>
      <c r="P345" s="653"/>
      <c r="Q345" s="653"/>
      <c r="R345" s="653"/>
      <c r="S345" s="653"/>
      <c r="T345" s="653"/>
      <c r="U345" s="653"/>
      <c r="V345" s="653"/>
      <c r="W345" s="653"/>
      <c r="X345" s="653"/>
      <c r="Y345" s="653"/>
      <c r="Z345" s="653"/>
      <c r="AA345" s="66"/>
      <c r="AB345" s="66"/>
      <c r="AC345" s="80"/>
    </row>
    <row r="346" spans="1:68" ht="27" hidden="1" customHeight="1" x14ac:dyDescent="0.25">
      <c r="A346" s="63" t="s">
        <v>582</v>
      </c>
      <c r="B346" s="63" t="s">
        <v>583</v>
      </c>
      <c r="C346" s="36">
        <v>4301051782</v>
      </c>
      <c r="D346" s="654">
        <v>4680115884618</v>
      </c>
      <c r="E346" s="654"/>
      <c r="F346" s="62">
        <v>0.6</v>
      </c>
      <c r="G346" s="37">
        <v>6</v>
      </c>
      <c r="H346" s="62">
        <v>3.6</v>
      </c>
      <c r="I346" s="62">
        <v>3.79</v>
      </c>
      <c r="J346" s="37">
        <v>132</v>
      </c>
      <c r="K346" s="37" t="s">
        <v>134</v>
      </c>
      <c r="L346" s="37" t="s">
        <v>46</v>
      </c>
      <c r="M346" s="38" t="s">
        <v>90</v>
      </c>
      <c r="N346" s="38"/>
      <c r="O346" s="37">
        <v>45</v>
      </c>
      <c r="P346" s="767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6" s="656"/>
      <c r="R346" s="656"/>
      <c r="S346" s="656"/>
      <c r="T346" s="657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IFERROR(IF(Y346=0,"",ROUNDUP(Y346/H346,0)*0.00902),"")</f>
        <v/>
      </c>
      <c r="AA346" s="68" t="s">
        <v>46</v>
      </c>
      <c r="AB346" s="69" t="s">
        <v>46</v>
      </c>
      <c r="AC346" s="446" t="s">
        <v>584</v>
      </c>
      <c r="AG346" s="78"/>
      <c r="AJ346" s="84" t="s">
        <v>46</v>
      </c>
      <c r="AK346" s="84">
        <v>0</v>
      </c>
      <c r="BB346" s="447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hidden="1" customHeight="1" x14ac:dyDescent="0.25">
      <c r="A347" s="63" t="s">
        <v>585</v>
      </c>
      <c r="B347" s="63" t="s">
        <v>586</v>
      </c>
      <c r="C347" s="36">
        <v>4301052057</v>
      </c>
      <c r="D347" s="654">
        <v>4680115887114</v>
      </c>
      <c r="E347" s="654"/>
      <c r="F347" s="62">
        <v>0.55000000000000004</v>
      </c>
      <c r="G347" s="37">
        <v>6</v>
      </c>
      <c r="H347" s="62">
        <v>3.3</v>
      </c>
      <c r="I347" s="62">
        <v>3.49</v>
      </c>
      <c r="J347" s="37">
        <v>132</v>
      </c>
      <c r="K347" s="37" t="s">
        <v>134</v>
      </c>
      <c r="L347" s="37" t="s">
        <v>46</v>
      </c>
      <c r="M347" s="38" t="s">
        <v>90</v>
      </c>
      <c r="N347" s="38"/>
      <c r="O347" s="37">
        <v>45</v>
      </c>
      <c r="P347" s="768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7" s="656"/>
      <c r="R347" s="656"/>
      <c r="S347" s="656"/>
      <c r="T347" s="657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IFERROR(IF(Y347=0,"",ROUNDUP(Y347/H347,0)*0.00902),"")</f>
        <v/>
      </c>
      <c r="AA347" s="68" t="s">
        <v>46</v>
      </c>
      <c r="AB347" s="69" t="s">
        <v>46</v>
      </c>
      <c r="AC347" s="448" t="s">
        <v>587</v>
      </c>
      <c r="AG347" s="78"/>
      <c r="AJ347" s="84" t="s">
        <v>46</v>
      </c>
      <c r="AK347" s="84">
        <v>0</v>
      </c>
      <c r="BB347" s="449" t="s">
        <v>67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idden="1" x14ac:dyDescent="0.2">
      <c r="A348" s="661"/>
      <c r="B348" s="661"/>
      <c r="C348" s="661"/>
      <c r="D348" s="661"/>
      <c r="E348" s="661"/>
      <c r="F348" s="661"/>
      <c r="G348" s="661"/>
      <c r="H348" s="661"/>
      <c r="I348" s="661"/>
      <c r="J348" s="661"/>
      <c r="K348" s="661"/>
      <c r="L348" s="661"/>
      <c r="M348" s="661"/>
      <c r="N348" s="661"/>
      <c r="O348" s="662"/>
      <c r="P348" s="658" t="s">
        <v>40</v>
      </c>
      <c r="Q348" s="659"/>
      <c r="R348" s="659"/>
      <c r="S348" s="659"/>
      <c r="T348" s="659"/>
      <c r="U348" s="659"/>
      <c r="V348" s="660"/>
      <c r="W348" s="42" t="s">
        <v>39</v>
      </c>
      <c r="X348" s="43">
        <f>IFERROR(X346/H346,"0")+IFERROR(X347/H347,"0")</f>
        <v>0</v>
      </c>
      <c r="Y348" s="43">
        <f>IFERROR(Y346/H346,"0")+IFERROR(Y347/H347,"0")</f>
        <v>0</v>
      </c>
      <c r="Z348" s="43">
        <f>IFERROR(IF(Z346="",0,Z346),"0")+IFERROR(IF(Z347="",0,Z347),"0")</f>
        <v>0</v>
      </c>
      <c r="AA348" s="67"/>
      <c r="AB348" s="67"/>
      <c r="AC348" s="67"/>
    </row>
    <row r="349" spans="1:68" hidden="1" x14ac:dyDescent="0.2">
      <c r="A349" s="661"/>
      <c r="B349" s="661"/>
      <c r="C349" s="661"/>
      <c r="D349" s="661"/>
      <c r="E349" s="661"/>
      <c r="F349" s="661"/>
      <c r="G349" s="661"/>
      <c r="H349" s="661"/>
      <c r="I349" s="661"/>
      <c r="J349" s="661"/>
      <c r="K349" s="661"/>
      <c r="L349" s="661"/>
      <c r="M349" s="661"/>
      <c r="N349" s="661"/>
      <c r="O349" s="662"/>
      <c r="P349" s="658" t="s">
        <v>40</v>
      </c>
      <c r="Q349" s="659"/>
      <c r="R349" s="659"/>
      <c r="S349" s="659"/>
      <c r="T349" s="659"/>
      <c r="U349" s="659"/>
      <c r="V349" s="660"/>
      <c r="W349" s="42" t="s">
        <v>0</v>
      </c>
      <c r="X349" s="43">
        <f>IFERROR(SUM(X346:X347),"0")</f>
        <v>0</v>
      </c>
      <c r="Y349" s="43">
        <f>IFERROR(SUM(Y346:Y347),"0")</f>
        <v>0</v>
      </c>
      <c r="Z349" s="42"/>
      <c r="AA349" s="67"/>
      <c r="AB349" s="67"/>
      <c r="AC349" s="67"/>
    </row>
    <row r="350" spans="1:68" ht="16.5" hidden="1" customHeight="1" x14ac:dyDescent="0.25">
      <c r="A350" s="652" t="s">
        <v>588</v>
      </c>
      <c r="B350" s="652"/>
      <c r="C350" s="652"/>
      <c r="D350" s="652"/>
      <c r="E350" s="652"/>
      <c r="F350" s="652"/>
      <c r="G350" s="652"/>
      <c r="H350" s="652"/>
      <c r="I350" s="652"/>
      <c r="J350" s="652"/>
      <c r="K350" s="652"/>
      <c r="L350" s="652"/>
      <c r="M350" s="652"/>
      <c r="N350" s="652"/>
      <c r="O350" s="652"/>
      <c r="P350" s="652"/>
      <c r="Q350" s="652"/>
      <c r="R350" s="652"/>
      <c r="S350" s="652"/>
      <c r="T350" s="652"/>
      <c r="U350" s="652"/>
      <c r="V350" s="652"/>
      <c r="W350" s="652"/>
      <c r="X350" s="652"/>
      <c r="Y350" s="652"/>
      <c r="Z350" s="652"/>
      <c r="AA350" s="65"/>
      <c r="AB350" s="65"/>
      <c r="AC350" s="79"/>
    </row>
    <row r="351" spans="1:68" ht="14.25" hidden="1" customHeight="1" x14ac:dyDescent="0.25">
      <c r="A351" s="653" t="s">
        <v>122</v>
      </c>
      <c r="B351" s="653"/>
      <c r="C351" s="653"/>
      <c r="D351" s="653"/>
      <c r="E351" s="653"/>
      <c r="F351" s="653"/>
      <c r="G351" s="653"/>
      <c r="H351" s="653"/>
      <c r="I351" s="653"/>
      <c r="J351" s="653"/>
      <c r="K351" s="653"/>
      <c r="L351" s="653"/>
      <c r="M351" s="653"/>
      <c r="N351" s="653"/>
      <c r="O351" s="653"/>
      <c r="P351" s="653"/>
      <c r="Q351" s="653"/>
      <c r="R351" s="653"/>
      <c r="S351" s="653"/>
      <c r="T351" s="653"/>
      <c r="U351" s="653"/>
      <c r="V351" s="653"/>
      <c r="W351" s="653"/>
      <c r="X351" s="653"/>
      <c r="Y351" s="653"/>
      <c r="Z351" s="653"/>
      <c r="AA351" s="66"/>
      <c r="AB351" s="66"/>
      <c r="AC351" s="80"/>
    </row>
    <row r="352" spans="1:68" ht="27" hidden="1" customHeight="1" x14ac:dyDescent="0.25">
      <c r="A352" s="63" t="s">
        <v>589</v>
      </c>
      <c r="B352" s="63" t="s">
        <v>590</v>
      </c>
      <c r="C352" s="36">
        <v>4301012324</v>
      </c>
      <c r="D352" s="654">
        <v>4680115887947</v>
      </c>
      <c r="E352" s="654"/>
      <c r="F352" s="62">
        <v>1.3</v>
      </c>
      <c r="G352" s="37">
        <v>6</v>
      </c>
      <c r="H352" s="62">
        <v>7.8</v>
      </c>
      <c r="I352" s="62">
        <v>8.2100000000000009</v>
      </c>
      <c r="J352" s="37">
        <v>64</v>
      </c>
      <c r="K352" s="37" t="s">
        <v>127</v>
      </c>
      <c r="L352" s="37" t="s">
        <v>46</v>
      </c>
      <c r="M352" s="38" t="s">
        <v>90</v>
      </c>
      <c r="N352" s="38"/>
      <c r="O352" s="37">
        <v>60</v>
      </c>
      <c r="P352" s="764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2" s="656"/>
      <c r="R352" s="656"/>
      <c r="S352" s="656"/>
      <c r="T352" s="657"/>
      <c r="U352" s="39" t="s">
        <v>46</v>
      </c>
      <c r="V352" s="39" t="s">
        <v>46</v>
      </c>
      <c r="W352" s="40" t="s">
        <v>0</v>
      </c>
      <c r="X352" s="58">
        <v>0</v>
      </c>
      <c r="Y352" s="55">
        <f>IFERROR(IF(X352="",0,CEILING((X352/$H352),1)*$H352),"")</f>
        <v>0</v>
      </c>
      <c r="Z352" s="41" t="str">
        <f>IFERROR(IF(Y352=0,"",ROUNDUP(Y352/H352,0)*0.01898),"")</f>
        <v/>
      </c>
      <c r="AA352" s="68" t="s">
        <v>46</v>
      </c>
      <c r="AB352" s="69" t="s">
        <v>46</v>
      </c>
      <c r="AC352" s="450" t="s">
        <v>353</v>
      </c>
      <c r="AG352" s="78"/>
      <c r="AJ352" s="84" t="s">
        <v>46</v>
      </c>
      <c r="AK352" s="84">
        <v>0</v>
      </c>
      <c r="BB352" s="451" t="s">
        <v>67</v>
      </c>
      <c r="BM352" s="78">
        <f>IFERROR(X352*I352/H352,"0")</f>
        <v>0</v>
      </c>
      <c r="BN352" s="78">
        <f>IFERROR(Y352*I352/H352,"0")</f>
        <v>0</v>
      </c>
      <c r="BO352" s="78">
        <f>IFERROR(1/J352*(X352/H352),"0")</f>
        <v>0</v>
      </c>
      <c r="BP352" s="78">
        <f>IFERROR(1/J352*(Y352/H352),"0")</f>
        <v>0</v>
      </c>
    </row>
    <row r="353" spans="1:68" ht="27" hidden="1" customHeight="1" x14ac:dyDescent="0.25">
      <c r="A353" s="63" t="s">
        <v>591</v>
      </c>
      <c r="B353" s="63" t="s">
        <v>592</v>
      </c>
      <c r="C353" s="36">
        <v>4301012325</v>
      </c>
      <c r="D353" s="654">
        <v>4680115887978</v>
      </c>
      <c r="E353" s="654"/>
      <c r="F353" s="62">
        <v>1.3</v>
      </c>
      <c r="G353" s="37">
        <v>6</v>
      </c>
      <c r="H353" s="62">
        <v>7.8</v>
      </c>
      <c r="I353" s="62">
        <v>8.2100000000000009</v>
      </c>
      <c r="J353" s="37">
        <v>64</v>
      </c>
      <c r="K353" s="37" t="s">
        <v>127</v>
      </c>
      <c r="L353" s="37" t="s">
        <v>46</v>
      </c>
      <c r="M353" s="38" t="s">
        <v>90</v>
      </c>
      <c r="N353" s="38"/>
      <c r="O353" s="37">
        <v>60</v>
      </c>
      <c r="P353" s="765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3" s="656"/>
      <c r="R353" s="656"/>
      <c r="S353" s="656"/>
      <c r="T353" s="657"/>
      <c r="U353" s="39" t="s">
        <v>46</v>
      </c>
      <c r="V353" s="39" t="s">
        <v>46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IFERROR(IF(Y353=0,"",ROUNDUP(Y353/H353,0)*0.01898),"")</f>
        <v/>
      </c>
      <c r="AA353" s="68" t="s">
        <v>46</v>
      </c>
      <c r="AB353" s="69" t="s">
        <v>46</v>
      </c>
      <c r="AC353" s="452" t="s">
        <v>593</v>
      </c>
      <c r="AG353" s="78"/>
      <c r="AJ353" s="84" t="s">
        <v>46</v>
      </c>
      <c r="AK353" s="84">
        <v>0</v>
      </c>
      <c r="BB353" s="453" t="s">
        <v>67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ht="27" hidden="1" customHeight="1" x14ac:dyDescent="0.25">
      <c r="A354" s="63" t="s">
        <v>594</v>
      </c>
      <c r="B354" s="63" t="s">
        <v>595</v>
      </c>
      <c r="C354" s="36">
        <v>4301012327</v>
      </c>
      <c r="D354" s="654">
        <v>4680115887992</v>
      </c>
      <c r="E354" s="654"/>
      <c r="F354" s="62">
        <v>1.3</v>
      </c>
      <c r="G354" s="37">
        <v>6</v>
      </c>
      <c r="H354" s="62">
        <v>7.8</v>
      </c>
      <c r="I354" s="62">
        <v>8.2100000000000009</v>
      </c>
      <c r="J354" s="37">
        <v>64</v>
      </c>
      <c r="K354" s="37" t="s">
        <v>127</v>
      </c>
      <c r="L354" s="37" t="s">
        <v>46</v>
      </c>
      <c r="M354" s="38" t="s">
        <v>90</v>
      </c>
      <c r="N354" s="38"/>
      <c r="O354" s="37">
        <v>60</v>
      </c>
      <c r="P354" s="762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4" s="656"/>
      <c r="R354" s="656"/>
      <c r="S354" s="656"/>
      <c r="T354" s="657"/>
      <c r="U354" s="39" t="s">
        <v>46</v>
      </c>
      <c r="V354" s="39" t="s">
        <v>46</v>
      </c>
      <c r="W354" s="40" t="s">
        <v>0</v>
      </c>
      <c r="X354" s="58">
        <v>0</v>
      </c>
      <c r="Y354" s="55">
        <f>IFERROR(IF(X354="",0,CEILING((X354/$H354),1)*$H354),"")</f>
        <v>0</v>
      </c>
      <c r="Z354" s="41" t="str">
        <f>IFERROR(IF(Y354=0,"",ROUNDUP(Y354/H354,0)*0.01898),"")</f>
        <v/>
      </c>
      <c r="AA354" s="68" t="s">
        <v>46</v>
      </c>
      <c r="AB354" s="69" t="s">
        <v>46</v>
      </c>
      <c r="AC354" s="454" t="s">
        <v>596</v>
      </c>
      <c r="AG354" s="78"/>
      <c r="AJ354" s="84" t="s">
        <v>46</v>
      </c>
      <c r="AK354" s="84">
        <v>0</v>
      </c>
      <c r="BB354" s="455" t="s">
        <v>67</v>
      </c>
      <c r="BM354" s="78">
        <f>IFERROR(X354*I354/H354,"0")</f>
        <v>0</v>
      </c>
      <c r="BN354" s="78">
        <f>IFERROR(Y354*I354/H354,"0")</f>
        <v>0</v>
      </c>
      <c r="BO354" s="78">
        <f>IFERROR(1/J354*(X354/H354),"0")</f>
        <v>0</v>
      </c>
      <c r="BP354" s="78">
        <f>IFERROR(1/J354*(Y354/H354),"0")</f>
        <v>0</v>
      </c>
    </row>
    <row r="355" spans="1:68" hidden="1" x14ac:dyDescent="0.2">
      <c r="A355" s="661"/>
      <c r="B355" s="661"/>
      <c r="C355" s="661"/>
      <c r="D355" s="661"/>
      <c r="E355" s="661"/>
      <c r="F355" s="661"/>
      <c r="G355" s="661"/>
      <c r="H355" s="661"/>
      <c r="I355" s="661"/>
      <c r="J355" s="661"/>
      <c r="K355" s="661"/>
      <c r="L355" s="661"/>
      <c r="M355" s="661"/>
      <c r="N355" s="661"/>
      <c r="O355" s="662"/>
      <c r="P355" s="658" t="s">
        <v>40</v>
      </c>
      <c r="Q355" s="659"/>
      <c r="R355" s="659"/>
      <c r="S355" s="659"/>
      <c r="T355" s="659"/>
      <c r="U355" s="659"/>
      <c r="V355" s="660"/>
      <c r="W355" s="42" t="s">
        <v>39</v>
      </c>
      <c r="X355" s="43">
        <f>IFERROR(X352/H352,"0")+IFERROR(X353/H353,"0")+IFERROR(X354/H354,"0")</f>
        <v>0</v>
      </c>
      <c r="Y355" s="43">
        <f>IFERROR(Y352/H352,"0")+IFERROR(Y353/H353,"0")+IFERROR(Y354/H354,"0")</f>
        <v>0</v>
      </c>
      <c r="Z355" s="43">
        <f>IFERROR(IF(Z352="",0,Z352),"0")+IFERROR(IF(Z353="",0,Z353),"0")+IFERROR(IF(Z354="",0,Z354),"0")</f>
        <v>0</v>
      </c>
      <c r="AA355" s="67"/>
      <c r="AB355" s="67"/>
      <c r="AC355" s="67"/>
    </row>
    <row r="356" spans="1:68" hidden="1" x14ac:dyDescent="0.2">
      <c r="A356" s="661"/>
      <c r="B356" s="661"/>
      <c r="C356" s="661"/>
      <c r="D356" s="661"/>
      <c r="E356" s="661"/>
      <c r="F356" s="661"/>
      <c r="G356" s="661"/>
      <c r="H356" s="661"/>
      <c r="I356" s="661"/>
      <c r="J356" s="661"/>
      <c r="K356" s="661"/>
      <c r="L356" s="661"/>
      <c r="M356" s="661"/>
      <c r="N356" s="661"/>
      <c r="O356" s="662"/>
      <c r="P356" s="658" t="s">
        <v>40</v>
      </c>
      <c r="Q356" s="659"/>
      <c r="R356" s="659"/>
      <c r="S356" s="659"/>
      <c r="T356" s="659"/>
      <c r="U356" s="659"/>
      <c r="V356" s="660"/>
      <c r="W356" s="42" t="s">
        <v>0</v>
      </c>
      <c r="X356" s="43">
        <f>IFERROR(SUM(X352:X354),"0")</f>
        <v>0</v>
      </c>
      <c r="Y356" s="43">
        <f>IFERROR(SUM(Y352:Y354),"0")</f>
        <v>0</v>
      </c>
      <c r="Z356" s="42"/>
      <c r="AA356" s="67"/>
      <c r="AB356" s="67"/>
      <c r="AC356" s="67"/>
    </row>
    <row r="357" spans="1:68" ht="16.5" hidden="1" customHeight="1" x14ac:dyDescent="0.25">
      <c r="A357" s="652" t="s">
        <v>597</v>
      </c>
      <c r="B357" s="652"/>
      <c r="C357" s="652"/>
      <c r="D357" s="652"/>
      <c r="E357" s="652"/>
      <c r="F357" s="652"/>
      <c r="G357" s="652"/>
      <c r="H357" s="652"/>
      <c r="I357" s="652"/>
      <c r="J357" s="652"/>
      <c r="K357" s="652"/>
      <c r="L357" s="652"/>
      <c r="M357" s="652"/>
      <c r="N357" s="652"/>
      <c r="O357" s="652"/>
      <c r="P357" s="652"/>
      <c r="Q357" s="652"/>
      <c r="R357" s="652"/>
      <c r="S357" s="652"/>
      <c r="T357" s="652"/>
      <c r="U357" s="652"/>
      <c r="V357" s="652"/>
      <c r="W357" s="652"/>
      <c r="X357" s="652"/>
      <c r="Y357" s="652"/>
      <c r="Z357" s="652"/>
      <c r="AA357" s="65"/>
      <c r="AB357" s="65"/>
      <c r="AC357" s="79"/>
    </row>
    <row r="358" spans="1:68" ht="14.25" hidden="1" customHeight="1" x14ac:dyDescent="0.25">
      <c r="A358" s="653" t="s">
        <v>122</v>
      </c>
      <c r="B358" s="653"/>
      <c r="C358" s="653"/>
      <c r="D358" s="653"/>
      <c r="E358" s="653"/>
      <c r="F358" s="653"/>
      <c r="G358" s="653"/>
      <c r="H358" s="653"/>
      <c r="I358" s="653"/>
      <c r="J358" s="653"/>
      <c r="K358" s="653"/>
      <c r="L358" s="653"/>
      <c r="M358" s="653"/>
      <c r="N358" s="653"/>
      <c r="O358" s="653"/>
      <c r="P358" s="653"/>
      <c r="Q358" s="653"/>
      <c r="R358" s="653"/>
      <c r="S358" s="653"/>
      <c r="T358" s="653"/>
      <c r="U358" s="653"/>
      <c r="V358" s="653"/>
      <c r="W358" s="653"/>
      <c r="X358" s="653"/>
      <c r="Y358" s="653"/>
      <c r="Z358" s="653"/>
      <c r="AA358" s="66"/>
      <c r="AB358" s="66"/>
      <c r="AC358" s="80"/>
    </row>
    <row r="359" spans="1:68" ht="27" hidden="1" customHeight="1" x14ac:dyDescent="0.25">
      <c r="A359" s="63" t="s">
        <v>598</v>
      </c>
      <c r="B359" s="63" t="s">
        <v>599</v>
      </c>
      <c r="C359" s="36">
        <v>4301012400</v>
      </c>
      <c r="D359" s="654">
        <v>4680115889880</v>
      </c>
      <c r="E359" s="654"/>
      <c r="F359" s="62">
        <v>1.35</v>
      </c>
      <c r="G359" s="37">
        <v>8</v>
      </c>
      <c r="H359" s="62">
        <v>10.8</v>
      </c>
      <c r="I359" s="62">
        <v>11.21</v>
      </c>
      <c r="J359" s="37">
        <v>64</v>
      </c>
      <c r="K359" s="37" t="s">
        <v>127</v>
      </c>
      <c r="L359" s="37" t="s">
        <v>46</v>
      </c>
      <c r="M359" s="38" t="s">
        <v>126</v>
      </c>
      <c r="N359" s="38"/>
      <c r="O359" s="37">
        <v>55</v>
      </c>
      <c r="P359" s="763" t="s">
        <v>600</v>
      </c>
      <c r="Q359" s="656"/>
      <c r="R359" s="656"/>
      <c r="S359" s="656"/>
      <c r="T359" s="657"/>
      <c r="U359" s="39" t="s">
        <v>46</v>
      </c>
      <c r="V359" s="39" t="s">
        <v>46</v>
      </c>
      <c r="W359" s="40" t="s">
        <v>0</v>
      </c>
      <c r="X359" s="58">
        <v>0</v>
      </c>
      <c r="Y359" s="55">
        <f t="shared" ref="Y359:Y365" si="58">IFERROR(IF(X359="",0,CEILING((X359/$H359),1)*$H359),"")</f>
        <v>0</v>
      </c>
      <c r="Z359" s="41" t="str">
        <f>IFERROR(IF(Y359=0,"",ROUNDUP(Y359/H359,0)*0.01898),"")</f>
        <v/>
      </c>
      <c r="AA359" s="68" t="s">
        <v>46</v>
      </c>
      <c r="AB359" s="69" t="s">
        <v>542</v>
      </c>
      <c r="AC359" s="456" t="s">
        <v>521</v>
      </c>
      <c r="AG359" s="78"/>
      <c r="AJ359" s="84" t="s">
        <v>46</v>
      </c>
      <c r="AK359" s="84">
        <v>0</v>
      </c>
      <c r="BB359" s="457" t="s">
        <v>67</v>
      </c>
      <c r="BM359" s="78">
        <f t="shared" ref="BM359:BM365" si="59">IFERROR(X359*I359/H359,"0")</f>
        <v>0</v>
      </c>
      <c r="BN359" s="78">
        <f t="shared" ref="BN359:BN365" si="60">IFERROR(Y359*I359/H359,"0")</f>
        <v>0</v>
      </c>
      <c r="BO359" s="78">
        <f t="shared" ref="BO359:BO365" si="61">IFERROR(1/J359*(X359/H359),"0")</f>
        <v>0</v>
      </c>
      <c r="BP359" s="78">
        <f t="shared" ref="BP359:BP365" si="62">IFERROR(1/J359*(Y359/H359),"0")</f>
        <v>0</v>
      </c>
    </row>
    <row r="360" spans="1:68" ht="27" hidden="1" customHeight="1" x14ac:dyDescent="0.25">
      <c r="A360" s="63" t="s">
        <v>601</v>
      </c>
      <c r="B360" s="63" t="s">
        <v>602</v>
      </c>
      <c r="C360" s="36">
        <v>4301012360</v>
      </c>
      <c r="D360" s="654">
        <v>4680115889293</v>
      </c>
      <c r="E360" s="654"/>
      <c r="F360" s="62">
        <v>1.35</v>
      </c>
      <c r="G360" s="37">
        <v>8</v>
      </c>
      <c r="H360" s="62">
        <v>10.8</v>
      </c>
      <c r="I360" s="62">
        <v>11.21</v>
      </c>
      <c r="J360" s="37">
        <v>64</v>
      </c>
      <c r="K360" s="37" t="s">
        <v>127</v>
      </c>
      <c r="L360" s="37" t="s">
        <v>46</v>
      </c>
      <c r="M360" s="38" t="s">
        <v>126</v>
      </c>
      <c r="N360" s="38"/>
      <c r="O360" s="37">
        <v>55</v>
      </c>
      <c r="P360" s="757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0" s="656"/>
      <c r="R360" s="656"/>
      <c r="S360" s="656"/>
      <c r="T360" s="657"/>
      <c r="U360" s="39" t="s">
        <v>46</v>
      </c>
      <c r="V360" s="39" t="s">
        <v>46</v>
      </c>
      <c r="W360" s="40" t="s">
        <v>0</v>
      </c>
      <c r="X360" s="58">
        <v>0</v>
      </c>
      <c r="Y360" s="55">
        <f t="shared" si="58"/>
        <v>0</v>
      </c>
      <c r="Z360" s="41" t="str">
        <f>IFERROR(IF(Y360=0,"",ROUNDUP(Y360/H360,0)*0.01898),"")</f>
        <v/>
      </c>
      <c r="AA360" s="68" t="s">
        <v>46</v>
      </c>
      <c r="AB360" s="69" t="s">
        <v>46</v>
      </c>
      <c r="AC360" s="458" t="s">
        <v>603</v>
      </c>
      <c r="AG360" s="78"/>
      <c r="AJ360" s="84" t="s">
        <v>46</v>
      </c>
      <c r="AK360" s="84">
        <v>0</v>
      </c>
      <c r="BB360" s="459" t="s">
        <v>67</v>
      </c>
      <c r="BM360" s="78">
        <f t="shared" si="59"/>
        <v>0</v>
      </c>
      <c r="BN360" s="78">
        <f t="shared" si="60"/>
        <v>0</v>
      </c>
      <c r="BO360" s="78">
        <f t="shared" si="61"/>
        <v>0</v>
      </c>
      <c r="BP360" s="78">
        <f t="shared" si="62"/>
        <v>0</v>
      </c>
    </row>
    <row r="361" spans="1:68" ht="27" hidden="1" customHeight="1" x14ac:dyDescent="0.25">
      <c r="A361" s="63" t="s">
        <v>604</v>
      </c>
      <c r="B361" s="63" t="s">
        <v>605</v>
      </c>
      <c r="C361" s="36">
        <v>4301012235</v>
      </c>
      <c r="D361" s="654">
        <v>4680115887190</v>
      </c>
      <c r="E361" s="654"/>
      <c r="F361" s="62">
        <v>1.35</v>
      </c>
      <c r="G361" s="37">
        <v>8</v>
      </c>
      <c r="H361" s="62">
        <v>10.8</v>
      </c>
      <c r="I361" s="62">
        <v>11.21</v>
      </c>
      <c r="J361" s="37">
        <v>64</v>
      </c>
      <c r="K361" s="37" t="s">
        <v>127</v>
      </c>
      <c r="L361" s="37" t="s">
        <v>46</v>
      </c>
      <c r="M361" s="38" t="s">
        <v>126</v>
      </c>
      <c r="N361" s="38"/>
      <c r="O361" s="37">
        <v>55</v>
      </c>
      <c r="P361" s="758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1" s="656"/>
      <c r="R361" s="656"/>
      <c r="S361" s="656"/>
      <c r="T361" s="657"/>
      <c r="U361" s="39" t="s">
        <v>46</v>
      </c>
      <c r="V361" s="39" t="s">
        <v>46</v>
      </c>
      <c r="W361" s="40" t="s">
        <v>0</v>
      </c>
      <c r="X361" s="58">
        <v>0</v>
      </c>
      <c r="Y361" s="55">
        <f t="shared" si="58"/>
        <v>0</v>
      </c>
      <c r="Z361" s="41" t="str">
        <f>IFERROR(IF(Y361=0,"",ROUNDUP(Y361/H361,0)*0.01898),"")</f>
        <v/>
      </c>
      <c r="AA361" s="68" t="s">
        <v>46</v>
      </c>
      <c r="AB361" s="69" t="s">
        <v>46</v>
      </c>
      <c r="AC361" s="460" t="s">
        <v>606</v>
      </c>
      <c r="AG361" s="78"/>
      <c r="AJ361" s="84" t="s">
        <v>46</v>
      </c>
      <c r="AK361" s="84">
        <v>0</v>
      </c>
      <c r="BB361" s="461" t="s">
        <v>67</v>
      </c>
      <c r="BM361" s="78">
        <f t="shared" si="59"/>
        <v>0</v>
      </c>
      <c r="BN361" s="78">
        <f t="shared" si="60"/>
        <v>0</v>
      </c>
      <c r="BO361" s="78">
        <f t="shared" si="61"/>
        <v>0</v>
      </c>
      <c r="BP361" s="78">
        <f t="shared" si="62"/>
        <v>0</v>
      </c>
    </row>
    <row r="362" spans="1:68" ht="37.5" hidden="1" customHeight="1" x14ac:dyDescent="0.25">
      <c r="A362" s="63" t="s">
        <v>607</v>
      </c>
      <c r="B362" s="63" t="s">
        <v>608</v>
      </c>
      <c r="C362" s="36">
        <v>4301012233</v>
      </c>
      <c r="D362" s="654">
        <v>4680115887138</v>
      </c>
      <c r="E362" s="654"/>
      <c r="F362" s="62">
        <v>1.35</v>
      </c>
      <c r="G362" s="37">
        <v>8</v>
      </c>
      <c r="H362" s="62">
        <v>10.8</v>
      </c>
      <c r="I362" s="62">
        <v>11.21</v>
      </c>
      <c r="J362" s="37">
        <v>64</v>
      </c>
      <c r="K362" s="37" t="s">
        <v>127</v>
      </c>
      <c r="L362" s="37" t="s">
        <v>46</v>
      </c>
      <c r="M362" s="38" t="s">
        <v>126</v>
      </c>
      <c r="N362" s="38"/>
      <c r="O362" s="37">
        <v>55</v>
      </c>
      <c r="P362" s="759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2" s="656"/>
      <c r="R362" s="656"/>
      <c r="S362" s="656"/>
      <c r="T362" s="657"/>
      <c r="U362" s="39" t="s">
        <v>46</v>
      </c>
      <c r="V362" s="39" t="s">
        <v>46</v>
      </c>
      <c r="W362" s="40" t="s">
        <v>0</v>
      </c>
      <c r="X362" s="58">
        <v>0</v>
      </c>
      <c r="Y362" s="55">
        <f t="shared" si="58"/>
        <v>0</v>
      </c>
      <c r="Z362" s="41" t="str">
        <f>IFERROR(IF(Y362=0,"",ROUNDUP(Y362/H362,0)*0.01898),"")</f>
        <v/>
      </c>
      <c r="AA362" s="68" t="s">
        <v>46</v>
      </c>
      <c r="AB362" s="69" t="s">
        <v>46</v>
      </c>
      <c r="AC362" s="462" t="s">
        <v>609</v>
      </c>
      <c r="AG362" s="78"/>
      <c r="AJ362" s="84" t="s">
        <v>46</v>
      </c>
      <c r="AK362" s="84">
        <v>0</v>
      </c>
      <c r="BB362" s="463" t="s">
        <v>67</v>
      </c>
      <c r="BM362" s="78">
        <f t="shared" si="59"/>
        <v>0</v>
      </c>
      <c r="BN362" s="78">
        <f t="shared" si="60"/>
        <v>0</v>
      </c>
      <c r="BO362" s="78">
        <f t="shared" si="61"/>
        <v>0</v>
      </c>
      <c r="BP362" s="78">
        <f t="shared" si="62"/>
        <v>0</v>
      </c>
    </row>
    <row r="363" spans="1:68" ht="27" hidden="1" customHeight="1" x14ac:dyDescent="0.25">
      <c r="A363" s="63" t="s">
        <v>610</v>
      </c>
      <c r="B363" s="63" t="s">
        <v>611</v>
      </c>
      <c r="C363" s="36">
        <v>4301012016</v>
      </c>
      <c r="D363" s="654">
        <v>4680115885554</v>
      </c>
      <c r="E363" s="654"/>
      <c r="F363" s="62">
        <v>1.35</v>
      </c>
      <c r="G363" s="37">
        <v>8</v>
      </c>
      <c r="H363" s="62">
        <v>10.8</v>
      </c>
      <c r="I363" s="62">
        <v>11.21</v>
      </c>
      <c r="J363" s="37">
        <v>64</v>
      </c>
      <c r="K363" s="37" t="s">
        <v>127</v>
      </c>
      <c r="L363" s="37" t="s">
        <v>46</v>
      </c>
      <c r="M363" s="38" t="s">
        <v>90</v>
      </c>
      <c r="N363" s="38"/>
      <c r="O363" s="37">
        <v>55</v>
      </c>
      <c r="P363" s="76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3" s="656"/>
      <c r="R363" s="656"/>
      <c r="S363" s="656"/>
      <c r="T363" s="657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si="58"/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64" t="s">
        <v>612</v>
      </c>
      <c r="AG363" s="78"/>
      <c r="AJ363" s="84" t="s">
        <v>46</v>
      </c>
      <c r="AK363" s="84">
        <v>0</v>
      </c>
      <c r="BB363" s="465" t="s">
        <v>67</v>
      </c>
      <c r="BM363" s="78">
        <f t="shared" si="59"/>
        <v>0</v>
      </c>
      <c r="BN363" s="78">
        <f t="shared" si="60"/>
        <v>0</v>
      </c>
      <c r="BO363" s="78">
        <f t="shared" si="61"/>
        <v>0</v>
      </c>
      <c r="BP363" s="78">
        <f t="shared" si="62"/>
        <v>0</v>
      </c>
    </row>
    <row r="364" spans="1:68" ht="27" hidden="1" customHeight="1" x14ac:dyDescent="0.25">
      <c r="A364" s="63" t="s">
        <v>613</v>
      </c>
      <c r="B364" s="63" t="s">
        <v>614</v>
      </c>
      <c r="C364" s="36">
        <v>4301012236</v>
      </c>
      <c r="D364" s="654">
        <v>4680115887220</v>
      </c>
      <c r="E364" s="654"/>
      <c r="F364" s="62">
        <v>0.4</v>
      </c>
      <c r="G364" s="37">
        <v>10</v>
      </c>
      <c r="H364" s="62">
        <v>4</v>
      </c>
      <c r="I364" s="62">
        <v>4.1900000000000004</v>
      </c>
      <c r="J364" s="37">
        <v>132</v>
      </c>
      <c r="K364" s="37" t="s">
        <v>134</v>
      </c>
      <c r="L364" s="37" t="s">
        <v>46</v>
      </c>
      <c r="M364" s="38" t="s">
        <v>126</v>
      </c>
      <c r="N364" s="38"/>
      <c r="O364" s="37">
        <v>55</v>
      </c>
      <c r="P364" s="761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4" s="656"/>
      <c r="R364" s="656"/>
      <c r="S364" s="656"/>
      <c r="T364" s="657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58"/>
        <v>0</v>
      </c>
      <c r="Z364" s="41" t="str">
        <f>IFERROR(IF(Y364=0,"",ROUNDUP(Y364/H364,0)*0.00902),"")</f>
        <v/>
      </c>
      <c r="AA364" s="68" t="s">
        <v>46</v>
      </c>
      <c r="AB364" s="69" t="s">
        <v>46</v>
      </c>
      <c r="AC364" s="466" t="s">
        <v>606</v>
      </c>
      <c r="AG364" s="78"/>
      <c r="AJ364" s="84" t="s">
        <v>46</v>
      </c>
      <c r="AK364" s="84">
        <v>0</v>
      </c>
      <c r="BB364" s="467" t="s">
        <v>67</v>
      </c>
      <c r="BM364" s="78">
        <f t="shared" si="59"/>
        <v>0</v>
      </c>
      <c r="BN364" s="78">
        <f t="shared" si="60"/>
        <v>0</v>
      </c>
      <c r="BO364" s="78">
        <f t="shared" si="61"/>
        <v>0</v>
      </c>
      <c r="BP364" s="78">
        <f t="shared" si="62"/>
        <v>0</v>
      </c>
    </row>
    <row r="365" spans="1:68" ht="27" hidden="1" customHeight="1" x14ac:dyDescent="0.25">
      <c r="A365" s="63" t="s">
        <v>615</v>
      </c>
      <c r="B365" s="63" t="s">
        <v>616</v>
      </c>
      <c r="C365" s="36">
        <v>4301011859</v>
      </c>
      <c r="D365" s="654">
        <v>4680115885608</v>
      </c>
      <c r="E365" s="654"/>
      <c r="F365" s="62">
        <v>0.4</v>
      </c>
      <c r="G365" s="37">
        <v>10</v>
      </c>
      <c r="H365" s="62">
        <v>4</v>
      </c>
      <c r="I365" s="62">
        <v>4.1900000000000004</v>
      </c>
      <c r="J365" s="37">
        <v>132</v>
      </c>
      <c r="K365" s="37" t="s">
        <v>134</v>
      </c>
      <c r="L365" s="37" t="s">
        <v>46</v>
      </c>
      <c r="M365" s="38" t="s">
        <v>126</v>
      </c>
      <c r="N365" s="38"/>
      <c r="O365" s="37">
        <v>55</v>
      </c>
      <c r="P365" s="754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5" s="656"/>
      <c r="R365" s="656"/>
      <c r="S365" s="656"/>
      <c r="T365" s="657"/>
      <c r="U365" s="39" t="s">
        <v>46</v>
      </c>
      <c r="V365" s="39" t="s">
        <v>46</v>
      </c>
      <c r="W365" s="40" t="s">
        <v>0</v>
      </c>
      <c r="X365" s="58">
        <v>0</v>
      </c>
      <c r="Y365" s="55">
        <f t="shared" si="58"/>
        <v>0</v>
      </c>
      <c r="Z365" s="41" t="str">
        <f>IFERROR(IF(Y365=0,"",ROUNDUP(Y365/H365,0)*0.00902),"")</f>
        <v/>
      </c>
      <c r="AA365" s="68" t="s">
        <v>46</v>
      </c>
      <c r="AB365" s="69" t="s">
        <v>46</v>
      </c>
      <c r="AC365" s="468" t="s">
        <v>617</v>
      </c>
      <c r="AG365" s="78"/>
      <c r="AJ365" s="84" t="s">
        <v>46</v>
      </c>
      <c r="AK365" s="84">
        <v>0</v>
      </c>
      <c r="BB365" s="469" t="s">
        <v>67</v>
      </c>
      <c r="BM365" s="78">
        <f t="shared" si="59"/>
        <v>0</v>
      </c>
      <c r="BN365" s="78">
        <f t="shared" si="60"/>
        <v>0</v>
      </c>
      <c r="BO365" s="78">
        <f t="shared" si="61"/>
        <v>0</v>
      </c>
      <c r="BP365" s="78">
        <f t="shared" si="62"/>
        <v>0</v>
      </c>
    </row>
    <row r="366" spans="1:68" hidden="1" x14ac:dyDescent="0.2">
      <c r="A366" s="661"/>
      <c r="B366" s="661"/>
      <c r="C366" s="661"/>
      <c r="D366" s="661"/>
      <c r="E366" s="661"/>
      <c r="F366" s="661"/>
      <c r="G366" s="661"/>
      <c r="H366" s="661"/>
      <c r="I366" s="661"/>
      <c r="J366" s="661"/>
      <c r="K366" s="661"/>
      <c r="L366" s="661"/>
      <c r="M366" s="661"/>
      <c r="N366" s="661"/>
      <c r="O366" s="662"/>
      <c r="P366" s="658" t="s">
        <v>40</v>
      </c>
      <c r="Q366" s="659"/>
      <c r="R366" s="659"/>
      <c r="S366" s="659"/>
      <c r="T366" s="659"/>
      <c r="U366" s="659"/>
      <c r="V366" s="660"/>
      <c r="W366" s="42" t="s">
        <v>39</v>
      </c>
      <c r="X366" s="43">
        <f>IFERROR(X359/H359,"0")+IFERROR(X360/H360,"0")+IFERROR(X361/H361,"0")+IFERROR(X362/H362,"0")+IFERROR(X363/H363,"0")+IFERROR(X364/H364,"0")+IFERROR(X365/H365,"0")</f>
        <v>0</v>
      </c>
      <c r="Y366" s="43">
        <f>IFERROR(Y359/H359,"0")+IFERROR(Y360/H360,"0")+IFERROR(Y361/H361,"0")+IFERROR(Y362/H362,"0")+IFERROR(Y363/H363,"0")+IFERROR(Y364/H364,"0")+IFERROR(Y365/H365,"0")</f>
        <v>0</v>
      </c>
      <c r="Z366" s="43">
        <f>IFERROR(IF(Z359="",0,Z359),"0")+IFERROR(IF(Z360="",0,Z360),"0")+IFERROR(IF(Z361="",0,Z361),"0")+IFERROR(IF(Z362="",0,Z362),"0")+IFERROR(IF(Z363="",0,Z363),"0")+IFERROR(IF(Z364="",0,Z364),"0")+IFERROR(IF(Z365="",0,Z365),"0")</f>
        <v>0</v>
      </c>
      <c r="AA366" s="67"/>
      <c r="AB366" s="67"/>
      <c r="AC366" s="67"/>
    </row>
    <row r="367" spans="1:68" hidden="1" x14ac:dyDescent="0.2">
      <c r="A367" s="661"/>
      <c r="B367" s="661"/>
      <c r="C367" s="661"/>
      <c r="D367" s="661"/>
      <c r="E367" s="661"/>
      <c r="F367" s="661"/>
      <c r="G367" s="661"/>
      <c r="H367" s="661"/>
      <c r="I367" s="661"/>
      <c r="J367" s="661"/>
      <c r="K367" s="661"/>
      <c r="L367" s="661"/>
      <c r="M367" s="661"/>
      <c r="N367" s="661"/>
      <c r="O367" s="662"/>
      <c r="P367" s="658" t="s">
        <v>40</v>
      </c>
      <c r="Q367" s="659"/>
      <c r="R367" s="659"/>
      <c r="S367" s="659"/>
      <c r="T367" s="659"/>
      <c r="U367" s="659"/>
      <c r="V367" s="660"/>
      <c r="W367" s="42" t="s">
        <v>0</v>
      </c>
      <c r="X367" s="43">
        <f>IFERROR(SUM(X359:X365),"0")</f>
        <v>0</v>
      </c>
      <c r="Y367" s="43">
        <f>IFERROR(SUM(Y359:Y365),"0")</f>
        <v>0</v>
      </c>
      <c r="Z367" s="42"/>
      <c r="AA367" s="67"/>
      <c r="AB367" s="67"/>
      <c r="AC367" s="67"/>
    </row>
    <row r="368" spans="1:68" ht="14.25" hidden="1" customHeight="1" x14ac:dyDescent="0.25">
      <c r="A368" s="653" t="s">
        <v>77</v>
      </c>
      <c r="B368" s="653"/>
      <c r="C368" s="653"/>
      <c r="D368" s="653"/>
      <c r="E368" s="653"/>
      <c r="F368" s="653"/>
      <c r="G368" s="653"/>
      <c r="H368" s="653"/>
      <c r="I368" s="653"/>
      <c r="J368" s="653"/>
      <c r="K368" s="653"/>
      <c r="L368" s="653"/>
      <c r="M368" s="653"/>
      <c r="N368" s="653"/>
      <c r="O368" s="653"/>
      <c r="P368" s="653"/>
      <c r="Q368" s="653"/>
      <c r="R368" s="653"/>
      <c r="S368" s="653"/>
      <c r="T368" s="653"/>
      <c r="U368" s="653"/>
      <c r="V368" s="653"/>
      <c r="W368" s="653"/>
      <c r="X368" s="653"/>
      <c r="Y368" s="653"/>
      <c r="Z368" s="653"/>
      <c r="AA368" s="66"/>
      <c r="AB368" s="66"/>
      <c r="AC368" s="80"/>
    </row>
    <row r="369" spans="1:68" ht="27" hidden="1" customHeight="1" x14ac:dyDescent="0.25">
      <c r="A369" s="63" t="s">
        <v>618</v>
      </c>
      <c r="B369" s="63" t="s">
        <v>619</v>
      </c>
      <c r="C369" s="36">
        <v>4301030878</v>
      </c>
      <c r="D369" s="654">
        <v>4607091387193</v>
      </c>
      <c r="E369" s="654"/>
      <c r="F369" s="62">
        <v>0.7</v>
      </c>
      <c r="G369" s="37">
        <v>6</v>
      </c>
      <c r="H369" s="62">
        <v>4.2</v>
      </c>
      <c r="I369" s="62">
        <v>4.45</v>
      </c>
      <c r="J369" s="37">
        <v>132</v>
      </c>
      <c r="K369" s="37" t="s">
        <v>134</v>
      </c>
      <c r="L369" s="37" t="s">
        <v>46</v>
      </c>
      <c r="M369" s="38" t="s">
        <v>81</v>
      </c>
      <c r="N369" s="38"/>
      <c r="O369" s="37">
        <v>35</v>
      </c>
      <c r="P369" s="755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9" s="656"/>
      <c r="R369" s="656"/>
      <c r="S369" s="656"/>
      <c r="T369" s="657"/>
      <c r="U369" s="39" t="s">
        <v>46</v>
      </c>
      <c r="V369" s="39" t="s">
        <v>46</v>
      </c>
      <c r="W369" s="40" t="s">
        <v>0</v>
      </c>
      <c r="X369" s="58">
        <v>0</v>
      </c>
      <c r="Y369" s="55">
        <f t="shared" ref="Y369:Y375" si="63">IFERROR(IF(X369="",0,CEILING((X369/$H369),1)*$H369),"")</f>
        <v>0</v>
      </c>
      <c r="Z369" s="41" t="str">
        <f>IFERROR(IF(Y369=0,"",ROUNDUP(Y369/H369,0)*0.00902),"")</f>
        <v/>
      </c>
      <c r="AA369" s="68" t="s">
        <v>46</v>
      </c>
      <c r="AB369" s="69" t="s">
        <v>46</v>
      </c>
      <c r="AC369" s="470" t="s">
        <v>620</v>
      </c>
      <c r="AG369" s="78"/>
      <c r="AJ369" s="84" t="s">
        <v>46</v>
      </c>
      <c r="AK369" s="84">
        <v>0</v>
      </c>
      <c r="BB369" s="471" t="s">
        <v>67</v>
      </c>
      <c r="BM369" s="78">
        <f t="shared" ref="BM369:BM375" si="64">IFERROR(X369*I369/H369,"0")</f>
        <v>0</v>
      </c>
      <c r="BN369" s="78">
        <f t="shared" ref="BN369:BN375" si="65">IFERROR(Y369*I369/H369,"0")</f>
        <v>0</v>
      </c>
      <c r="BO369" s="78">
        <f t="shared" ref="BO369:BO375" si="66">IFERROR(1/J369*(X369/H369),"0")</f>
        <v>0</v>
      </c>
      <c r="BP369" s="78">
        <f t="shared" ref="BP369:BP375" si="67">IFERROR(1/J369*(Y369/H369),"0")</f>
        <v>0</v>
      </c>
    </row>
    <row r="370" spans="1:68" ht="27" hidden="1" customHeight="1" x14ac:dyDescent="0.25">
      <c r="A370" s="63" t="s">
        <v>621</v>
      </c>
      <c r="B370" s="63" t="s">
        <v>622</v>
      </c>
      <c r="C370" s="36">
        <v>4301031153</v>
      </c>
      <c r="D370" s="654">
        <v>4607091387230</v>
      </c>
      <c r="E370" s="654"/>
      <c r="F370" s="62">
        <v>0.7</v>
      </c>
      <c r="G370" s="37">
        <v>6</v>
      </c>
      <c r="H370" s="62">
        <v>4.2</v>
      </c>
      <c r="I370" s="62">
        <v>4.45</v>
      </c>
      <c r="J370" s="37">
        <v>132</v>
      </c>
      <c r="K370" s="37" t="s">
        <v>134</v>
      </c>
      <c r="L370" s="37" t="s">
        <v>46</v>
      </c>
      <c r="M370" s="38" t="s">
        <v>81</v>
      </c>
      <c r="N370" s="38"/>
      <c r="O370" s="37">
        <v>40</v>
      </c>
      <c r="P370" s="756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0" s="656"/>
      <c r="R370" s="656"/>
      <c r="S370" s="656"/>
      <c r="T370" s="657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si="63"/>
        <v>0</v>
      </c>
      <c r="Z370" s="41" t="str">
        <f>IFERROR(IF(Y370=0,"",ROUNDUP(Y370/H370,0)*0.00902),"")</f>
        <v/>
      </c>
      <c r="AA370" s="68" t="s">
        <v>46</v>
      </c>
      <c r="AB370" s="69" t="s">
        <v>46</v>
      </c>
      <c r="AC370" s="472" t="s">
        <v>623</v>
      </c>
      <c r="AG370" s="78"/>
      <c r="AJ370" s="84" t="s">
        <v>46</v>
      </c>
      <c r="AK370" s="84">
        <v>0</v>
      </c>
      <c r="BB370" s="473" t="s">
        <v>67</v>
      </c>
      <c r="BM370" s="78">
        <f t="shared" si="64"/>
        <v>0</v>
      </c>
      <c r="BN370" s="78">
        <f t="shared" si="65"/>
        <v>0</v>
      </c>
      <c r="BO370" s="78">
        <f t="shared" si="66"/>
        <v>0</v>
      </c>
      <c r="BP370" s="78">
        <f t="shared" si="67"/>
        <v>0</v>
      </c>
    </row>
    <row r="371" spans="1:68" ht="27" hidden="1" customHeight="1" x14ac:dyDescent="0.25">
      <c r="A371" s="63" t="s">
        <v>624</v>
      </c>
      <c r="B371" s="63" t="s">
        <v>625</v>
      </c>
      <c r="C371" s="36">
        <v>4301031154</v>
      </c>
      <c r="D371" s="654">
        <v>4607091387292</v>
      </c>
      <c r="E371" s="654"/>
      <c r="F371" s="62">
        <v>0.73</v>
      </c>
      <c r="G371" s="37">
        <v>6</v>
      </c>
      <c r="H371" s="62">
        <v>4.38</v>
      </c>
      <c r="I371" s="62">
        <v>4.63</v>
      </c>
      <c r="J371" s="37">
        <v>132</v>
      </c>
      <c r="K371" s="37" t="s">
        <v>134</v>
      </c>
      <c r="L371" s="37" t="s">
        <v>46</v>
      </c>
      <c r="M371" s="38" t="s">
        <v>81</v>
      </c>
      <c r="N371" s="38"/>
      <c r="O371" s="37">
        <v>45</v>
      </c>
      <c r="P371" s="749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1" s="656"/>
      <c r="R371" s="656"/>
      <c r="S371" s="656"/>
      <c r="T371" s="657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63"/>
        <v>0</v>
      </c>
      <c r="Z371" s="41" t="str">
        <f>IFERROR(IF(Y371=0,"",ROUNDUP(Y371/H371,0)*0.00902),"")</f>
        <v/>
      </c>
      <c r="AA371" s="68" t="s">
        <v>46</v>
      </c>
      <c r="AB371" s="69" t="s">
        <v>46</v>
      </c>
      <c r="AC371" s="474" t="s">
        <v>626</v>
      </c>
      <c r="AG371" s="78"/>
      <c r="AJ371" s="84" t="s">
        <v>46</v>
      </c>
      <c r="AK371" s="84">
        <v>0</v>
      </c>
      <c r="BB371" s="475" t="s">
        <v>67</v>
      </c>
      <c r="BM371" s="78">
        <f t="shared" si="64"/>
        <v>0</v>
      </c>
      <c r="BN371" s="78">
        <f t="shared" si="65"/>
        <v>0</v>
      </c>
      <c r="BO371" s="78">
        <f t="shared" si="66"/>
        <v>0</v>
      </c>
      <c r="BP371" s="78">
        <f t="shared" si="67"/>
        <v>0</v>
      </c>
    </row>
    <row r="372" spans="1:68" ht="27" hidden="1" customHeight="1" x14ac:dyDescent="0.25">
      <c r="A372" s="63" t="s">
        <v>627</v>
      </c>
      <c r="B372" s="63" t="s">
        <v>628</v>
      </c>
      <c r="C372" s="36">
        <v>4301031152</v>
      </c>
      <c r="D372" s="654">
        <v>4607091387285</v>
      </c>
      <c r="E372" s="654"/>
      <c r="F372" s="62">
        <v>0.35</v>
      </c>
      <c r="G372" s="37">
        <v>6</v>
      </c>
      <c r="H372" s="62">
        <v>2.1</v>
      </c>
      <c r="I372" s="62">
        <v>2.23</v>
      </c>
      <c r="J372" s="37">
        <v>234</v>
      </c>
      <c r="K372" s="37" t="s">
        <v>82</v>
      </c>
      <c r="L372" s="37" t="s">
        <v>46</v>
      </c>
      <c r="M372" s="38" t="s">
        <v>81</v>
      </c>
      <c r="N372" s="38"/>
      <c r="O372" s="37">
        <v>40</v>
      </c>
      <c r="P372" s="75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2" s="656"/>
      <c r="R372" s="656"/>
      <c r="S372" s="656"/>
      <c r="T372" s="657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63"/>
        <v>0</v>
      </c>
      <c r="Z372" s="41" t="str">
        <f>IFERROR(IF(Y372=0,"",ROUNDUP(Y372/H372,0)*0.00502),"")</f>
        <v/>
      </c>
      <c r="AA372" s="68" t="s">
        <v>46</v>
      </c>
      <c r="AB372" s="69" t="s">
        <v>46</v>
      </c>
      <c r="AC372" s="476" t="s">
        <v>623</v>
      </c>
      <c r="AG372" s="78"/>
      <c r="AJ372" s="84" t="s">
        <v>46</v>
      </c>
      <c r="AK372" s="84">
        <v>0</v>
      </c>
      <c r="BB372" s="477" t="s">
        <v>67</v>
      </c>
      <c r="BM372" s="78">
        <f t="shared" si="64"/>
        <v>0</v>
      </c>
      <c r="BN372" s="78">
        <f t="shared" si="65"/>
        <v>0</v>
      </c>
      <c r="BO372" s="78">
        <f t="shared" si="66"/>
        <v>0</v>
      </c>
      <c r="BP372" s="78">
        <f t="shared" si="67"/>
        <v>0</v>
      </c>
    </row>
    <row r="373" spans="1:68" ht="27" hidden="1" customHeight="1" x14ac:dyDescent="0.25">
      <c r="A373" s="63" t="s">
        <v>629</v>
      </c>
      <c r="B373" s="63" t="s">
        <v>630</v>
      </c>
      <c r="C373" s="36">
        <v>4301031305</v>
      </c>
      <c r="D373" s="654">
        <v>4607091389845</v>
      </c>
      <c r="E373" s="654"/>
      <c r="F373" s="62">
        <v>0.35</v>
      </c>
      <c r="G373" s="37">
        <v>6</v>
      </c>
      <c r="H373" s="62">
        <v>2.1</v>
      </c>
      <c r="I373" s="62">
        <v>2.2000000000000002</v>
      </c>
      <c r="J373" s="37">
        <v>234</v>
      </c>
      <c r="K373" s="37" t="s">
        <v>82</v>
      </c>
      <c r="L373" s="37" t="s">
        <v>46</v>
      </c>
      <c r="M373" s="38" t="s">
        <v>81</v>
      </c>
      <c r="N373" s="38"/>
      <c r="O373" s="37">
        <v>40</v>
      </c>
      <c r="P373" s="751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3" s="656"/>
      <c r="R373" s="656"/>
      <c r="S373" s="656"/>
      <c r="T373" s="657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63"/>
        <v>0</v>
      </c>
      <c r="Z373" s="41" t="str">
        <f>IFERROR(IF(Y373=0,"",ROUNDUP(Y373/H373,0)*0.00502),"")</f>
        <v/>
      </c>
      <c r="AA373" s="68" t="s">
        <v>46</v>
      </c>
      <c r="AB373" s="69" t="s">
        <v>46</v>
      </c>
      <c r="AC373" s="478" t="s">
        <v>631</v>
      </c>
      <c r="AG373" s="78"/>
      <c r="AJ373" s="84" t="s">
        <v>46</v>
      </c>
      <c r="AK373" s="84">
        <v>0</v>
      </c>
      <c r="BB373" s="479" t="s">
        <v>67</v>
      </c>
      <c r="BM373" s="78">
        <f t="shared" si="64"/>
        <v>0</v>
      </c>
      <c r="BN373" s="78">
        <f t="shared" si="65"/>
        <v>0</v>
      </c>
      <c r="BO373" s="78">
        <f t="shared" si="66"/>
        <v>0</v>
      </c>
      <c r="BP373" s="78">
        <f t="shared" si="67"/>
        <v>0</v>
      </c>
    </row>
    <row r="374" spans="1:68" ht="27" hidden="1" customHeight="1" x14ac:dyDescent="0.25">
      <c r="A374" s="63" t="s">
        <v>632</v>
      </c>
      <c r="B374" s="63" t="s">
        <v>633</v>
      </c>
      <c r="C374" s="36">
        <v>4301031460</v>
      </c>
      <c r="D374" s="654">
        <v>4680115887442</v>
      </c>
      <c r="E374" s="654"/>
      <c r="F374" s="62">
        <v>0.73</v>
      </c>
      <c r="G374" s="37">
        <v>6</v>
      </c>
      <c r="H374" s="62">
        <v>4.38</v>
      </c>
      <c r="I374" s="62">
        <v>4.63</v>
      </c>
      <c r="J374" s="37">
        <v>132</v>
      </c>
      <c r="K374" s="37" t="s">
        <v>134</v>
      </c>
      <c r="L374" s="37" t="s">
        <v>46</v>
      </c>
      <c r="M374" s="38" t="s">
        <v>81</v>
      </c>
      <c r="N374" s="38"/>
      <c r="O374" s="37">
        <v>45</v>
      </c>
      <c r="P374" s="752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4" s="656"/>
      <c r="R374" s="656"/>
      <c r="S374" s="656"/>
      <c r="T374" s="657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63"/>
        <v>0</v>
      </c>
      <c r="Z374" s="41" t="str">
        <f>IFERROR(IF(Y374=0,"",ROUNDUP(Y374/H374,0)*0.00902),"")</f>
        <v/>
      </c>
      <c r="AA374" s="68" t="s">
        <v>46</v>
      </c>
      <c r="AB374" s="69" t="s">
        <v>46</v>
      </c>
      <c r="AC374" s="480" t="s">
        <v>626</v>
      </c>
      <c r="AG374" s="78"/>
      <c r="AJ374" s="84" t="s">
        <v>46</v>
      </c>
      <c r="AK374" s="84">
        <v>0</v>
      </c>
      <c r="BB374" s="481" t="s">
        <v>67</v>
      </c>
      <c r="BM374" s="78">
        <f t="shared" si="64"/>
        <v>0</v>
      </c>
      <c r="BN374" s="78">
        <f t="shared" si="65"/>
        <v>0</v>
      </c>
      <c r="BO374" s="78">
        <f t="shared" si="66"/>
        <v>0</v>
      </c>
      <c r="BP374" s="78">
        <f t="shared" si="67"/>
        <v>0</v>
      </c>
    </row>
    <row r="375" spans="1:68" ht="27" hidden="1" customHeight="1" x14ac:dyDescent="0.25">
      <c r="A375" s="63" t="s">
        <v>634</v>
      </c>
      <c r="B375" s="63" t="s">
        <v>635</v>
      </c>
      <c r="C375" s="36">
        <v>4301031066</v>
      </c>
      <c r="D375" s="654">
        <v>4607091383836</v>
      </c>
      <c r="E375" s="654"/>
      <c r="F375" s="62">
        <v>0.3</v>
      </c>
      <c r="G375" s="37">
        <v>6</v>
      </c>
      <c r="H375" s="62">
        <v>1.8</v>
      </c>
      <c r="I375" s="62">
        <v>2.028</v>
      </c>
      <c r="J375" s="37">
        <v>182</v>
      </c>
      <c r="K375" s="37" t="s">
        <v>91</v>
      </c>
      <c r="L375" s="37" t="s">
        <v>46</v>
      </c>
      <c r="M375" s="38" t="s">
        <v>81</v>
      </c>
      <c r="N375" s="38"/>
      <c r="O375" s="37">
        <v>40</v>
      </c>
      <c r="P375" s="753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5" s="656"/>
      <c r="R375" s="656"/>
      <c r="S375" s="656"/>
      <c r="T375" s="657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63"/>
        <v>0</v>
      </c>
      <c r="Z375" s="41" t="str">
        <f>IFERROR(IF(Y375=0,"",ROUNDUP(Y375/H375,0)*0.00651),"")</f>
        <v/>
      </c>
      <c r="AA375" s="68" t="s">
        <v>46</v>
      </c>
      <c r="AB375" s="69" t="s">
        <v>46</v>
      </c>
      <c r="AC375" s="482" t="s">
        <v>636</v>
      </c>
      <c r="AG375" s="78"/>
      <c r="AJ375" s="84" t="s">
        <v>46</v>
      </c>
      <c r="AK375" s="84">
        <v>0</v>
      </c>
      <c r="BB375" s="483" t="s">
        <v>67</v>
      </c>
      <c r="BM375" s="78">
        <f t="shared" si="64"/>
        <v>0</v>
      </c>
      <c r="BN375" s="78">
        <f t="shared" si="65"/>
        <v>0</v>
      </c>
      <c r="BO375" s="78">
        <f t="shared" si="66"/>
        <v>0</v>
      </c>
      <c r="BP375" s="78">
        <f t="shared" si="67"/>
        <v>0</v>
      </c>
    </row>
    <row r="376" spans="1:68" hidden="1" x14ac:dyDescent="0.2">
      <c r="A376" s="661"/>
      <c r="B376" s="661"/>
      <c r="C376" s="661"/>
      <c r="D376" s="661"/>
      <c r="E376" s="661"/>
      <c r="F376" s="661"/>
      <c r="G376" s="661"/>
      <c r="H376" s="661"/>
      <c r="I376" s="661"/>
      <c r="J376" s="661"/>
      <c r="K376" s="661"/>
      <c r="L376" s="661"/>
      <c r="M376" s="661"/>
      <c r="N376" s="661"/>
      <c r="O376" s="662"/>
      <c r="P376" s="658" t="s">
        <v>40</v>
      </c>
      <c r="Q376" s="659"/>
      <c r="R376" s="659"/>
      <c r="S376" s="659"/>
      <c r="T376" s="659"/>
      <c r="U376" s="659"/>
      <c r="V376" s="660"/>
      <c r="W376" s="42" t="s">
        <v>39</v>
      </c>
      <c r="X376" s="43">
        <f>IFERROR(X369/H369,"0")+IFERROR(X370/H370,"0")+IFERROR(X371/H371,"0")+IFERROR(X372/H372,"0")+IFERROR(X373/H373,"0")+IFERROR(X374/H374,"0")+IFERROR(X375/H375,"0")</f>
        <v>0</v>
      </c>
      <c r="Y376" s="43">
        <f>IFERROR(Y369/H369,"0")+IFERROR(Y370/H370,"0")+IFERROR(Y371/H371,"0")+IFERROR(Y372/H372,"0")+IFERROR(Y373/H373,"0")+IFERROR(Y374/H374,"0")+IFERROR(Y375/H375,"0")</f>
        <v>0</v>
      </c>
      <c r="Z376" s="43">
        <f>IFERROR(IF(Z369="",0,Z369),"0")+IFERROR(IF(Z370="",0,Z370),"0")+IFERROR(IF(Z371="",0,Z371),"0")+IFERROR(IF(Z372="",0,Z372),"0")+IFERROR(IF(Z373="",0,Z373),"0")+IFERROR(IF(Z374="",0,Z374),"0")+IFERROR(IF(Z375="",0,Z375),"0")</f>
        <v>0</v>
      </c>
      <c r="AA376" s="67"/>
      <c r="AB376" s="67"/>
      <c r="AC376" s="67"/>
    </row>
    <row r="377" spans="1:68" hidden="1" x14ac:dyDescent="0.2">
      <c r="A377" s="661"/>
      <c r="B377" s="661"/>
      <c r="C377" s="661"/>
      <c r="D377" s="661"/>
      <c r="E377" s="661"/>
      <c r="F377" s="661"/>
      <c r="G377" s="661"/>
      <c r="H377" s="661"/>
      <c r="I377" s="661"/>
      <c r="J377" s="661"/>
      <c r="K377" s="661"/>
      <c r="L377" s="661"/>
      <c r="M377" s="661"/>
      <c r="N377" s="661"/>
      <c r="O377" s="662"/>
      <c r="P377" s="658" t="s">
        <v>40</v>
      </c>
      <c r="Q377" s="659"/>
      <c r="R377" s="659"/>
      <c r="S377" s="659"/>
      <c r="T377" s="659"/>
      <c r="U377" s="659"/>
      <c r="V377" s="660"/>
      <c r="W377" s="42" t="s">
        <v>0</v>
      </c>
      <c r="X377" s="43">
        <f>IFERROR(SUM(X369:X375),"0")</f>
        <v>0</v>
      </c>
      <c r="Y377" s="43">
        <f>IFERROR(SUM(Y369:Y375),"0")</f>
        <v>0</v>
      </c>
      <c r="Z377" s="42"/>
      <c r="AA377" s="67"/>
      <c r="AB377" s="67"/>
      <c r="AC377" s="67"/>
    </row>
    <row r="378" spans="1:68" ht="14.25" hidden="1" customHeight="1" x14ac:dyDescent="0.25">
      <c r="A378" s="653" t="s">
        <v>86</v>
      </c>
      <c r="B378" s="653"/>
      <c r="C378" s="653"/>
      <c r="D378" s="653"/>
      <c r="E378" s="653"/>
      <c r="F378" s="653"/>
      <c r="G378" s="653"/>
      <c r="H378" s="653"/>
      <c r="I378" s="653"/>
      <c r="J378" s="653"/>
      <c r="K378" s="653"/>
      <c r="L378" s="653"/>
      <c r="M378" s="653"/>
      <c r="N378" s="653"/>
      <c r="O378" s="653"/>
      <c r="P378" s="653"/>
      <c r="Q378" s="653"/>
      <c r="R378" s="653"/>
      <c r="S378" s="653"/>
      <c r="T378" s="653"/>
      <c r="U378" s="653"/>
      <c r="V378" s="653"/>
      <c r="W378" s="653"/>
      <c r="X378" s="653"/>
      <c r="Y378" s="653"/>
      <c r="Z378" s="653"/>
      <c r="AA378" s="66"/>
      <c r="AB378" s="66"/>
      <c r="AC378" s="80"/>
    </row>
    <row r="379" spans="1:68" ht="27" customHeight="1" x14ac:dyDescent="0.25">
      <c r="A379" s="63" t="s">
        <v>637</v>
      </c>
      <c r="B379" s="63" t="s">
        <v>638</v>
      </c>
      <c r="C379" s="36">
        <v>4301051100</v>
      </c>
      <c r="D379" s="654">
        <v>4607091387766</v>
      </c>
      <c r="E379" s="654"/>
      <c r="F379" s="62">
        <v>1.3</v>
      </c>
      <c r="G379" s="37">
        <v>6</v>
      </c>
      <c r="H379" s="62">
        <v>7.8</v>
      </c>
      <c r="I379" s="62">
        <v>8.2880000000000003</v>
      </c>
      <c r="J379" s="37">
        <v>64</v>
      </c>
      <c r="K379" s="37" t="s">
        <v>127</v>
      </c>
      <c r="L379" s="37" t="s">
        <v>46</v>
      </c>
      <c r="M379" s="38" t="s">
        <v>90</v>
      </c>
      <c r="N379" s="38"/>
      <c r="O379" s="37">
        <v>40</v>
      </c>
      <c r="P379" s="746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9" s="656"/>
      <c r="R379" s="656"/>
      <c r="S379" s="656"/>
      <c r="T379" s="657"/>
      <c r="U379" s="39" t="s">
        <v>46</v>
      </c>
      <c r="V379" s="39" t="s">
        <v>46</v>
      </c>
      <c r="W379" s="40" t="s">
        <v>0</v>
      </c>
      <c r="X379" s="58">
        <v>5000</v>
      </c>
      <c r="Y379" s="55">
        <f>IFERROR(IF(X379="",0,CEILING((X379/$H379),1)*$H379),"")</f>
        <v>5007.5999999999995</v>
      </c>
      <c r="Z379" s="41">
        <f>IFERROR(IF(Y379=0,"",ROUNDUP(Y379/H379,0)*0.01898),"")</f>
        <v>12.18516</v>
      </c>
      <c r="AA379" s="68" t="s">
        <v>46</v>
      </c>
      <c r="AB379" s="69" t="s">
        <v>46</v>
      </c>
      <c r="AC379" s="484" t="s">
        <v>639</v>
      </c>
      <c r="AG379" s="78"/>
      <c r="AJ379" s="84" t="s">
        <v>46</v>
      </c>
      <c r="AK379" s="84">
        <v>0</v>
      </c>
      <c r="BB379" s="485" t="s">
        <v>67</v>
      </c>
      <c r="BM379" s="78">
        <f>IFERROR(X379*I379/H379,"0")</f>
        <v>5312.8205128205127</v>
      </c>
      <c r="BN379" s="78">
        <f>IFERROR(Y379*I379/H379,"0")</f>
        <v>5320.8959999999997</v>
      </c>
      <c r="BO379" s="78">
        <f>IFERROR(1/J379*(X379/H379),"0")</f>
        <v>10.016025641025641</v>
      </c>
      <c r="BP379" s="78">
        <f>IFERROR(1/J379*(Y379/H379),"0")</f>
        <v>10.03125</v>
      </c>
    </row>
    <row r="380" spans="1:68" ht="27" hidden="1" customHeight="1" x14ac:dyDescent="0.25">
      <c r="A380" s="63" t="s">
        <v>640</v>
      </c>
      <c r="B380" s="63" t="s">
        <v>641</v>
      </c>
      <c r="C380" s="36">
        <v>4301051818</v>
      </c>
      <c r="D380" s="654">
        <v>4607091387957</v>
      </c>
      <c r="E380" s="654"/>
      <c r="F380" s="62">
        <v>1.3</v>
      </c>
      <c r="G380" s="37">
        <v>6</v>
      </c>
      <c r="H380" s="62">
        <v>7.8</v>
      </c>
      <c r="I380" s="62">
        <v>8.2940000000000005</v>
      </c>
      <c r="J380" s="37">
        <v>64</v>
      </c>
      <c r="K380" s="37" t="s">
        <v>127</v>
      </c>
      <c r="L380" s="37" t="s">
        <v>46</v>
      </c>
      <c r="M380" s="38" t="s">
        <v>90</v>
      </c>
      <c r="N380" s="38"/>
      <c r="O380" s="37">
        <v>40</v>
      </c>
      <c r="P380" s="747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0" s="656"/>
      <c r="R380" s="656"/>
      <c r="S380" s="656"/>
      <c r="T380" s="657"/>
      <c r="U380" s="39" t="s">
        <v>46</v>
      </c>
      <c r="V380" s="39" t="s">
        <v>46</v>
      </c>
      <c r="W380" s="40" t="s">
        <v>0</v>
      </c>
      <c r="X380" s="58">
        <v>0</v>
      </c>
      <c r="Y380" s="55">
        <f>IFERROR(IF(X380="",0,CEILING((X380/$H380),1)*$H380),"")</f>
        <v>0</v>
      </c>
      <c r="Z380" s="41" t="str">
        <f>IFERROR(IF(Y380=0,"",ROUNDUP(Y380/H380,0)*0.01898),"")</f>
        <v/>
      </c>
      <c r="AA380" s="68" t="s">
        <v>46</v>
      </c>
      <c r="AB380" s="69" t="s">
        <v>46</v>
      </c>
      <c r="AC380" s="486" t="s">
        <v>642</v>
      </c>
      <c r="AG380" s="78"/>
      <c r="AJ380" s="84" t="s">
        <v>46</v>
      </c>
      <c r="AK380" s="84">
        <v>0</v>
      </c>
      <c r="BB380" s="487" t="s">
        <v>67</v>
      </c>
      <c r="BM380" s="78">
        <f>IFERROR(X380*I380/H380,"0")</f>
        <v>0</v>
      </c>
      <c r="BN380" s="78">
        <f>IFERROR(Y380*I380/H380,"0")</f>
        <v>0</v>
      </c>
      <c r="BO380" s="78">
        <f>IFERROR(1/J380*(X380/H380),"0")</f>
        <v>0</v>
      </c>
      <c r="BP380" s="78">
        <f>IFERROR(1/J380*(Y380/H380),"0")</f>
        <v>0</v>
      </c>
    </row>
    <row r="381" spans="1:68" ht="27" hidden="1" customHeight="1" x14ac:dyDescent="0.25">
      <c r="A381" s="63" t="s">
        <v>643</v>
      </c>
      <c r="B381" s="63" t="s">
        <v>644</v>
      </c>
      <c r="C381" s="36">
        <v>4301051819</v>
      </c>
      <c r="D381" s="654">
        <v>4607091387964</v>
      </c>
      <c r="E381" s="654"/>
      <c r="F381" s="62">
        <v>1.35</v>
      </c>
      <c r="G381" s="37">
        <v>6</v>
      </c>
      <c r="H381" s="62">
        <v>8.1</v>
      </c>
      <c r="I381" s="62">
        <v>8.5760000000000005</v>
      </c>
      <c r="J381" s="37">
        <v>64</v>
      </c>
      <c r="K381" s="37" t="s">
        <v>127</v>
      </c>
      <c r="L381" s="37" t="s">
        <v>46</v>
      </c>
      <c r="M381" s="38" t="s">
        <v>90</v>
      </c>
      <c r="N381" s="38"/>
      <c r="O381" s="37">
        <v>40</v>
      </c>
      <c r="P381" s="748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1" s="656"/>
      <c r="R381" s="656"/>
      <c r="S381" s="656"/>
      <c r="T381" s="657"/>
      <c r="U381" s="39" t="s">
        <v>46</v>
      </c>
      <c r="V381" s="39" t="s">
        <v>46</v>
      </c>
      <c r="W381" s="40" t="s">
        <v>0</v>
      </c>
      <c r="X381" s="58">
        <v>0</v>
      </c>
      <c r="Y381" s="55">
        <f>IFERROR(IF(X381="",0,CEILING((X381/$H381),1)*$H381),"")</f>
        <v>0</v>
      </c>
      <c r="Z381" s="41" t="str">
        <f>IFERROR(IF(Y381=0,"",ROUNDUP(Y381/H381,0)*0.01898),"")</f>
        <v/>
      </c>
      <c r="AA381" s="68" t="s">
        <v>46</v>
      </c>
      <c r="AB381" s="69" t="s">
        <v>46</v>
      </c>
      <c r="AC381" s="488" t="s">
        <v>645</v>
      </c>
      <c r="AG381" s="78"/>
      <c r="AJ381" s="84" t="s">
        <v>46</v>
      </c>
      <c r="AK381" s="84">
        <v>0</v>
      </c>
      <c r="BB381" s="489" t="s">
        <v>67</v>
      </c>
      <c r="BM381" s="78">
        <f>IFERROR(X381*I381/H381,"0")</f>
        <v>0</v>
      </c>
      <c r="BN381" s="78">
        <f>IFERROR(Y381*I381/H381,"0")</f>
        <v>0</v>
      </c>
      <c r="BO381" s="78">
        <f>IFERROR(1/J381*(X381/H381),"0")</f>
        <v>0</v>
      </c>
      <c r="BP381" s="78">
        <f>IFERROR(1/J381*(Y381/H381),"0")</f>
        <v>0</v>
      </c>
    </row>
    <row r="382" spans="1:68" ht="27" hidden="1" customHeight="1" x14ac:dyDescent="0.25">
      <c r="A382" s="63" t="s">
        <v>646</v>
      </c>
      <c r="B382" s="63" t="s">
        <v>647</v>
      </c>
      <c r="C382" s="36">
        <v>4301051734</v>
      </c>
      <c r="D382" s="654">
        <v>4680115884588</v>
      </c>
      <c r="E382" s="654"/>
      <c r="F382" s="62">
        <v>0.5</v>
      </c>
      <c r="G382" s="37">
        <v>6</v>
      </c>
      <c r="H382" s="62">
        <v>3</v>
      </c>
      <c r="I382" s="62">
        <v>3.246</v>
      </c>
      <c r="J382" s="37">
        <v>182</v>
      </c>
      <c r="K382" s="37" t="s">
        <v>91</v>
      </c>
      <c r="L382" s="37" t="s">
        <v>46</v>
      </c>
      <c r="M382" s="38" t="s">
        <v>90</v>
      </c>
      <c r="N382" s="38"/>
      <c r="O382" s="37">
        <v>40</v>
      </c>
      <c r="P382" s="743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2" s="656"/>
      <c r="R382" s="656"/>
      <c r="S382" s="656"/>
      <c r="T382" s="657"/>
      <c r="U382" s="39" t="s">
        <v>46</v>
      </c>
      <c r="V382" s="39" t="s">
        <v>46</v>
      </c>
      <c r="W382" s="40" t="s">
        <v>0</v>
      </c>
      <c r="X382" s="58">
        <v>0</v>
      </c>
      <c r="Y382" s="55">
        <f>IFERROR(IF(X382="",0,CEILING((X382/$H382),1)*$H382),"")</f>
        <v>0</v>
      </c>
      <c r="Z382" s="41" t="str">
        <f>IFERROR(IF(Y382=0,"",ROUNDUP(Y382/H382,0)*0.00651),"")</f>
        <v/>
      </c>
      <c r="AA382" s="68" t="s">
        <v>46</v>
      </c>
      <c r="AB382" s="69" t="s">
        <v>46</v>
      </c>
      <c r="AC382" s="490" t="s">
        <v>639</v>
      </c>
      <c r="AG382" s="78"/>
      <c r="AJ382" s="84" t="s">
        <v>46</v>
      </c>
      <c r="AK382" s="84">
        <v>0</v>
      </c>
      <c r="BB382" s="491" t="s">
        <v>67</v>
      </c>
      <c r="BM382" s="78">
        <f>IFERROR(X382*I382/H382,"0")</f>
        <v>0</v>
      </c>
      <c r="BN382" s="78">
        <f>IFERROR(Y382*I382/H382,"0")</f>
        <v>0</v>
      </c>
      <c r="BO382" s="78">
        <f>IFERROR(1/J382*(X382/H382),"0")</f>
        <v>0</v>
      </c>
      <c r="BP382" s="78">
        <f>IFERROR(1/J382*(Y382/H382),"0")</f>
        <v>0</v>
      </c>
    </row>
    <row r="383" spans="1:68" x14ac:dyDescent="0.2">
      <c r="A383" s="661"/>
      <c r="B383" s="661"/>
      <c r="C383" s="661"/>
      <c r="D383" s="661"/>
      <c r="E383" s="661"/>
      <c r="F383" s="661"/>
      <c r="G383" s="661"/>
      <c r="H383" s="661"/>
      <c r="I383" s="661"/>
      <c r="J383" s="661"/>
      <c r="K383" s="661"/>
      <c r="L383" s="661"/>
      <c r="M383" s="661"/>
      <c r="N383" s="661"/>
      <c r="O383" s="662"/>
      <c r="P383" s="658" t="s">
        <v>40</v>
      </c>
      <c r="Q383" s="659"/>
      <c r="R383" s="659"/>
      <c r="S383" s="659"/>
      <c r="T383" s="659"/>
      <c r="U383" s="659"/>
      <c r="V383" s="660"/>
      <c r="W383" s="42" t="s">
        <v>39</v>
      </c>
      <c r="X383" s="43">
        <f>IFERROR(X379/H379,"0")+IFERROR(X380/H380,"0")+IFERROR(X381/H381,"0")+IFERROR(X382/H382,"0")</f>
        <v>641.02564102564099</v>
      </c>
      <c r="Y383" s="43">
        <f>IFERROR(Y379/H379,"0")+IFERROR(Y380/H380,"0")+IFERROR(Y381/H381,"0")+IFERROR(Y382/H382,"0")</f>
        <v>642</v>
      </c>
      <c r="Z383" s="43">
        <f>IFERROR(IF(Z379="",0,Z379),"0")+IFERROR(IF(Z380="",0,Z380),"0")+IFERROR(IF(Z381="",0,Z381),"0")+IFERROR(IF(Z382="",0,Z382),"0")</f>
        <v>12.18516</v>
      </c>
      <c r="AA383" s="67"/>
      <c r="AB383" s="67"/>
      <c r="AC383" s="67"/>
    </row>
    <row r="384" spans="1:68" x14ac:dyDescent="0.2">
      <c r="A384" s="661"/>
      <c r="B384" s="661"/>
      <c r="C384" s="661"/>
      <c r="D384" s="661"/>
      <c r="E384" s="661"/>
      <c r="F384" s="661"/>
      <c r="G384" s="661"/>
      <c r="H384" s="661"/>
      <c r="I384" s="661"/>
      <c r="J384" s="661"/>
      <c r="K384" s="661"/>
      <c r="L384" s="661"/>
      <c r="M384" s="661"/>
      <c r="N384" s="661"/>
      <c r="O384" s="662"/>
      <c r="P384" s="658" t="s">
        <v>40</v>
      </c>
      <c r="Q384" s="659"/>
      <c r="R384" s="659"/>
      <c r="S384" s="659"/>
      <c r="T384" s="659"/>
      <c r="U384" s="659"/>
      <c r="V384" s="660"/>
      <c r="W384" s="42" t="s">
        <v>0</v>
      </c>
      <c r="X384" s="43">
        <f>IFERROR(SUM(X379:X382),"0")</f>
        <v>5000</v>
      </c>
      <c r="Y384" s="43">
        <f>IFERROR(SUM(Y379:Y382),"0")</f>
        <v>5007.5999999999995</v>
      </c>
      <c r="Z384" s="42"/>
      <c r="AA384" s="67"/>
      <c r="AB384" s="67"/>
      <c r="AC384" s="67"/>
    </row>
    <row r="385" spans="1:68" ht="14.25" hidden="1" customHeight="1" x14ac:dyDescent="0.25">
      <c r="A385" s="653" t="s">
        <v>175</v>
      </c>
      <c r="B385" s="653"/>
      <c r="C385" s="653"/>
      <c r="D385" s="653"/>
      <c r="E385" s="653"/>
      <c r="F385" s="653"/>
      <c r="G385" s="653"/>
      <c r="H385" s="653"/>
      <c r="I385" s="653"/>
      <c r="J385" s="653"/>
      <c r="K385" s="653"/>
      <c r="L385" s="653"/>
      <c r="M385" s="653"/>
      <c r="N385" s="653"/>
      <c r="O385" s="653"/>
      <c r="P385" s="653"/>
      <c r="Q385" s="653"/>
      <c r="R385" s="653"/>
      <c r="S385" s="653"/>
      <c r="T385" s="653"/>
      <c r="U385" s="653"/>
      <c r="V385" s="653"/>
      <c r="W385" s="653"/>
      <c r="X385" s="653"/>
      <c r="Y385" s="653"/>
      <c r="Z385" s="653"/>
      <c r="AA385" s="66"/>
      <c r="AB385" s="66"/>
      <c r="AC385" s="80"/>
    </row>
    <row r="386" spans="1:68" ht="27" hidden="1" customHeight="1" x14ac:dyDescent="0.25">
      <c r="A386" s="63" t="s">
        <v>648</v>
      </c>
      <c r="B386" s="63" t="s">
        <v>649</v>
      </c>
      <c r="C386" s="36">
        <v>4301060387</v>
      </c>
      <c r="D386" s="654">
        <v>4607091380880</v>
      </c>
      <c r="E386" s="654"/>
      <c r="F386" s="62">
        <v>1.4</v>
      </c>
      <c r="G386" s="37">
        <v>6</v>
      </c>
      <c r="H386" s="62">
        <v>8.4</v>
      </c>
      <c r="I386" s="62">
        <v>8.8940000000000001</v>
      </c>
      <c r="J386" s="37">
        <v>64</v>
      </c>
      <c r="K386" s="37" t="s">
        <v>127</v>
      </c>
      <c r="L386" s="37" t="s">
        <v>46</v>
      </c>
      <c r="M386" s="38" t="s">
        <v>90</v>
      </c>
      <c r="N386" s="38"/>
      <c r="O386" s="37">
        <v>30</v>
      </c>
      <c r="P386" s="74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6" s="656"/>
      <c r="R386" s="656"/>
      <c r="S386" s="656"/>
      <c r="T386" s="657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IFERROR(IF(Y386=0,"",ROUNDUP(Y386/H386,0)*0.01898),"")</f>
        <v/>
      </c>
      <c r="AA386" s="68" t="s">
        <v>46</v>
      </c>
      <c r="AB386" s="69" t="s">
        <v>46</v>
      </c>
      <c r="AC386" s="492" t="s">
        <v>650</v>
      </c>
      <c r="AG386" s="78"/>
      <c r="AJ386" s="84" t="s">
        <v>46</v>
      </c>
      <c r="AK386" s="84">
        <v>0</v>
      </c>
      <c r="BB386" s="493" t="s">
        <v>67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hidden="1" customHeight="1" x14ac:dyDescent="0.25">
      <c r="A387" s="63" t="s">
        <v>651</v>
      </c>
      <c r="B387" s="63" t="s">
        <v>652</v>
      </c>
      <c r="C387" s="36">
        <v>4301060406</v>
      </c>
      <c r="D387" s="654">
        <v>4607091384482</v>
      </c>
      <c r="E387" s="654"/>
      <c r="F387" s="62">
        <v>1.3</v>
      </c>
      <c r="G387" s="37">
        <v>6</v>
      </c>
      <c r="H387" s="62">
        <v>7.8</v>
      </c>
      <c r="I387" s="62">
        <v>8.2940000000000005</v>
      </c>
      <c r="J387" s="37">
        <v>64</v>
      </c>
      <c r="K387" s="37" t="s">
        <v>127</v>
      </c>
      <c r="L387" s="37" t="s">
        <v>46</v>
      </c>
      <c r="M387" s="38" t="s">
        <v>90</v>
      </c>
      <c r="N387" s="38"/>
      <c r="O387" s="37">
        <v>30</v>
      </c>
      <c r="P387" s="745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7" s="656"/>
      <c r="R387" s="656"/>
      <c r="S387" s="656"/>
      <c r="T387" s="657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IFERROR(IF(Y387=0,"",ROUNDUP(Y387/H387,0)*0.01898),"")</f>
        <v/>
      </c>
      <c r="AA387" s="68" t="s">
        <v>46</v>
      </c>
      <c r="AB387" s="69" t="s">
        <v>46</v>
      </c>
      <c r="AC387" s="494" t="s">
        <v>653</v>
      </c>
      <c r="AG387" s="78"/>
      <c r="AJ387" s="84" t="s">
        <v>46</v>
      </c>
      <c r="AK387" s="84">
        <v>0</v>
      </c>
      <c r="BB387" s="495" t="s">
        <v>67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t="27" hidden="1" customHeight="1" x14ac:dyDescent="0.25">
      <c r="A388" s="63" t="s">
        <v>654</v>
      </c>
      <c r="B388" s="63" t="s">
        <v>655</v>
      </c>
      <c r="C388" s="36">
        <v>4301060484</v>
      </c>
      <c r="D388" s="654">
        <v>4607091380897</v>
      </c>
      <c r="E388" s="654"/>
      <c r="F388" s="62">
        <v>1.4</v>
      </c>
      <c r="G388" s="37">
        <v>6</v>
      </c>
      <c r="H388" s="62">
        <v>8.4</v>
      </c>
      <c r="I388" s="62">
        <v>8.8940000000000001</v>
      </c>
      <c r="J388" s="37">
        <v>64</v>
      </c>
      <c r="K388" s="37" t="s">
        <v>127</v>
      </c>
      <c r="L388" s="37" t="s">
        <v>46</v>
      </c>
      <c r="M388" s="38" t="s">
        <v>97</v>
      </c>
      <c r="N388" s="38"/>
      <c r="O388" s="37">
        <v>30</v>
      </c>
      <c r="P388" s="740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8" s="656"/>
      <c r="R388" s="656"/>
      <c r="S388" s="656"/>
      <c r="T388" s="657"/>
      <c r="U388" s="39" t="s">
        <v>46</v>
      </c>
      <c r="V388" s="39" t="s">
        <v>46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IFERROR(IF(Y388=0,"",ROUNDUP(Y388/H388,0)*0.01898),"")</f>
        <v/>
      </c>
      <c r="AA388" s="68" t="s">
        <v>46</v>
      </c>
      <c r="AB388" s="69" t="s">
        <v>46</v>
      </c>
      <c r="AC388" s="496" t="s">
        <v>656</v>
      </c>
      <c r="AG388" s="78"/>
      <c r="AJ388" s="84" t="s">
        <v>46</v>
      </c>
      <c r="AK388" s="84">
        <v>0</v>
      </c>
      <c r="BB388" s="497" t="s">
        <v>67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 hidden="1" x14ac:dyDescent="0.2">
      <c r="A389" s="661"/>
      <c r="B389" s="661"/>
      <c r="C389" s="661"/>
      <c r="D389" s="661"/>
      <c r="E389" s="661"/>
      <c r="F389" s="661"/>
      <c r="G389" s="661"/>
      <c r="H389" s="661"/>
      <c r="I389" s="661"/>
      <c r="J389" s="661"/>
      <c r="K389" s="661"/>
      <c r="L389" s="661"/>
      <c r="M389" s="661"/>
      <c r="N389" s="661"/>
      <c r="O389" s="662"/>
      <c r="P389" s="658" t="s">
        <v>40</v>
      </c>
      <c r="Q389" s="659"/>
      <c r="R389" s="659"/>
      <c r="S389" s="659"/>
      <c r="T389" s="659"/>
      <c r="U389" s="659"/>
      <c r="V389" s="660"/>
      <c r="W389" s="42" t="s">
        <v>39</v>
      </c>
      <c r="X389" s="43">
        <f>IFERROR(X386/H386,"0")+IFERROR(X387/H387,"0")+IFERROR(X388/H388,"0")</f>
        <v>0</v>
      </c>
      <c r="Y389" s="43">
        <f>IFERROR(Y386/H386,"0")+IFERROR(Y387/H387,"0")+IFERROR(Y388/H388,"0")</f>
        <v>0</v>
      </c>
      <c r="Z389" s="43">
        <f>IFERROR(IF(Z386="",0,Z386),"0")+IFERROR(IF(Z387="",0,Z387),"0")+IFERROR(IF(Z388="",0,Z388),"0")</f>
        <v>0</v>
      </c>
      <c r="AA389" s="67"/>
      <c r="AB389" s="67"/>
      <c r="AC389" s="67"/>
    </row>
    <row r="390" spans="1:68" hidden="1" x14ac:dyDescent="0.2">
      <c r="A390" s="661"/>
      <c r="B390" s="661"/>
      <c r="C390" s="661"/>
      <c r="D390" s="661"/>
      <c r="E390" s="661"/>
      <c r="F390" s="661"/>
      <c r="G390" s="661"/>
      <c r="H390" s="661"/>
      <c r="I390" s="661"/>
      <c r="J390" s="661"/>
      <c r="K390" s="661"/>
      <c r="L390" s="661"/>
      <c r="M390" s="661"/>
      <c r="N390" s="661"/>
      <c r="O390" s="662"/>
      <c r="P390" s="658" t="s">
        <v>40</v>
      </c>
      <c r="Q390" s="659"/>
      <c r="R390" s="659"/>
      <c r="S390" s="659"/>
      <c r="T390" s="659"/>
      <c r="U390" s="659"/>
      <c r="V390" s="660"/>
      <c r="W390" s="42" t="s">
        <v>0</v>
      </c>
      <c r="X390" s="43">
        <f>IFERROR(SUM(X386:X388),"0")</f>
        <v>0</v>
      </c>
      <c r="Y390" s="43">
        <f>IFERROR(SUM(Y386:Y388),"0")</f>
        <v>0</v>
      </c>
      <c r="Z390" s="42"/>
      <c r="AA390" s="67"/>
      <c r="AB390" s="67"/>
      <c r="AC390" s="67"/>
    </row>
    <row r="391" spans="1:68" ht="14.25" hidden="1" customHeight="1" x14ac:dyDescent="0.25">
      <c r="A391" s="653" t="s">
        <v>278</v>
      </c>
      <c r="B391" s="653"/>
      <c r="C391" s="653"/>
      <c r="D391" s="653"/>
      <c r="E391" s="653"/>
      <c r="F391" s="653"/>
      <c r="G391" s="653"/>
      <c r="H391" s="653"/>
      <c r="I391" s="653"/>
      <c r="J391" s="653"/>
      <c r="K391" s="653"/>
      <c r="L391" s="653"/>
      <c r="M391" s="653"/>
      <c r="N391" s="653"/>
      <c r="O391" s="653"/>
      <c r="P391" s="653"/>
      <c r="Q391" s="653"/>
      <c r="R391" s="653"/>
      <c r="S391" s="653"/>
      <c r="T391" s="653"/>
      <c r="U391" s="653"/>
      <c r="V391" s="653"/>
      <c r="W391" s="653"/>
      <c r="X391" s="653"/>
      <c r="Y391" s="653"/>
      <c r="Z391" s="653"/>
      <c r="AA391" s="66"/>
      <c r="AB391" s="66"/>
      <c r="AC391" s="80"/>
    </row>
    <row r="392" spans="1:68" ht="27" hidden="1" customHeight="1" x14ac:dyDescent="0.25">
      <c r="A392" s="63" t="s">
        <v>657</v>
      </c>
      <c r="B392" s="63" t="s">
        <v>658</v>
      </c>
      <c r="C392" s="36">
        <v>4301030235</v>
      </c>
      <c r="D392" s="654">
        <v>4607091388381</v>
      </c>
      <c r="E392" s="654"/>
      <c r="F392" s="62">
        <v>0.38</v>
      </c>
      <c r="G392" s="37">
        <v>8</v>
      </c>
      <c r="H392" s="62">
        <v>3.04</v>
      </c>
      <c r="I392" s="62">
        <v>3.31</v>
      </c>
      <c r="J392" s="37">
        <v>132</v>
      </c>
      <c r="K392" s="37" t="s">
        <v>134</v>
      </c>
      <c r="L392" s="37" t="s">
        <v>46</v>
      </c>
      <c r="M392" s="38" t="s">
        <v>254</v>
      </c>
      <c r="N392" s="38"/>
      <c r="O392" s="37">
        <v>180</v>
      </c>
      <c r="P392" s="741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2" s="656"/>
      <c r="R392" s="656"/>
      <c r="S392" s="656"/>
      <c r="T392" s="657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IFERROR(IF(Y392=0,"",ROUNDUP(Y392/H392,0)*0.00902),"")</f>
        <v/>
      </c>
      <c r="AA392" s="68" t="s">
        <v>46</v>
      </c>
      <c r="AB392" s="69" t="s">
        <v>46</v>
      </c>
      <c r="AC392" s="498" t="s">
        <v>659</v>
      </c>
      <c r="AG392" s="78"/>
      <c r="AJ392" s="84" t="s">
        <v>46</v>
      </c>
      <c r="AK392" s="84">
        <v>0</v>
      </c>
      <c r="BB392" s="499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t="27" hidden="1" customHeight="1" x14ac:dyDescent="0.25">
      <c r="A393" s="63" t="s">
        <v>660</v>
      </c>
      <c r="B393" s="63" t="s">
        <v>661</v>
      </c>
      <c r="C393" s="36">
        <v>4301030232</v>
      </c>
      <c r="D393" s="654">
        <v>4607091388374</v>
      </c>
      <c r="E393" s="654"/>
      <c r="F393" s="62">
        <v>0.38</v>
      </c>
      <c r="G393" s="37">
        <v>8</v>
      </c>
      <c r="H393" s="62">
        <v>3.04</v>
      </c>
      <c r="I393" s="62">
        <v>3.27</v>
      </c>
      <c r="J393" s="37">
        <v>132</v>
      </c>
      <c r="K393" s="37" t="s">
        <v>134</v>
      </c>
      <c r="L393" s="37" t="s">
        <v>46</v>
      </c>
      <c r="M393" s="38" t="s">
        <v>254</v>
      </c>
      <c r="N393" s="38"/>
      <c r="O393" s="37">
        <v>180</v>
      </c>
      <c r="P393" s="742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3" s="656"/>
      <c r="R393" s="656"/>
      <c r="S393" s="656"/>
      <c r="T393" s="657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IFERROR(IF(Y393=0,"",ROUNDUP(Y393/H393,0)*0.00902),"")</f>
        <v/>
      </c>
      <c r="AA393" s="68" t="s">
        <v>46</v>
      </c>
      <c r="AB393" s="69" t="s">
        <v>46</v>
      </c>
      <c r="AC393" s="500" t="s">
        <v>659</v>
      </c>
      <c r="AG393" s="78"/>
      <c r="AJ393" s="84" t="s">
        <v>46</v>
      </c>
      <c r="AK393" s="84">
        <v>0</v>
      </c>
      <c r="BB393" s="501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hidden="1" customHeight="1" x14ac:dyDescent="0.25">
      <c r="A394" s="63" t="s">
        <v>662</v>
      </c>
      <c r="B394" s="63" t="s">
        <v>663</v>
      </c>
      <c r="C394" s="36">
        <v>4301032015</v>
      </c>
      <c r="D394" s="654">
        <v>4607091383102</v>
      </c>
      <c r="E394" s="654"/>
      <c r="F394" s="62">
        <v>0.17</v>
      </c>
      <c r="G394" s="37">
        <v>15</v>
      </c>
      <c r="H394" s="62">
        <v>2.5499999999999998</v>
      </c>
      <c r="I394" s="62">
        <v>2.9550000000000001</v>
      </c>
      <c r="J394" s="37">
        <v>182</v>
      </c>
      <c r="K394" s="37" t="s">
        <v>91</v>
      </c>
      <c r="L394" s="37" t="s">
        <v>46</v>
      </c>
      <c r="M394" s="38" t="s">
        <v>254</v>
      </c>
      <c r="N394" s="38"/>
      <c r="O394" s="37">
        <v>180</v>
      </c>
      <c r="P394" s="737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4" s="656"/>
      <c r="R394" s="656"/>
      <c r="S394" s="656"/>
      <c r="T394" s="657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IFERROR(IF(Y394=0,"",ROUNDUP(Y394/H394,0)*0.00651),"")</f>
        <v/>
      </c>
      <c r="AA394" s="68" t="s">
        <v>46</v>
      </c>
      <c r="AB394" s="69" t="s">
        <v>46</v>
      </c>
      <c r="AC394" s="502" t="s">
        <v>659</v>
      </c>
      <c r="AG394" s="78"/>
      <c r="AJ394" s="84" t="s">
        <v>46</v>
      </c>
      <c r="AK394" s="84">
        <v>0</v>
      </c>
      <c r="BB394" s="503" t="s">
        <v>67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t="27" hidden="1" customHeight="1" x14ac:dyDescent="0.25">
      <c r="A395" s="63" t="s">
        <v>664</v>
      </c>
      <c r="B395" s="63" t="s">
        <v>665</v>
      </c>
      <c r="C395" s="36">
        <v>4301030233</v>
      </c>
      <c r="D395" s="654">
        <v>4607091388404</v>
      </c>
      <c r="E395" s="654"/>
      <c r="F395" s="62">
        <v>0.17</v>
      </c>
      <c r="G395" s="37">
        <v>15</v>
      </c>
      <c r="H395" s="62">
        <v>2.5499999999999998</v>
      </c>
      <c r="I395" s="62">
        <v>2.88</v>
      </c>
      <c r="J395" s="37">
        <v>182</v>
      </c>
      <c r="K395" s="37" t="s">
        <v>91</v>
      </c>
      <c r="L395" s="37" t="s">
        <v>46</v>
      </c>
      <c r="M395" s="38" t="s">
        <v>254</v>
      </c>
      <c r="N395" s="38"/>
      <c r="O395" s="37">
        <v>180</v>
      </c>
      <c r="P395" s="738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5" s="656"/>
      <c r="R395" s="656"/>
      <c r="S395" s="656"/>
      <c r="T395" s="657"/>
      <c r="U395" s="39" t="s">
        <v>46</v>
      </c>
      <c r="V395" s="39" t="s">
        <v>46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IFERROR(IF(Y395=0,"",ROUNDUP(Y395/H395,0)*0.00651),"")</f>
        <v/>
      </c>
      <c r="AA395" s="68" t="s">
        <v>46</v>
      </c>
      <c r="AB395" s="69" t="s">
        <v>46</v>
      </c>
      <c r="AC395" s="504" t="s">
        <v>659</v>
      </c>
      <c r="AG395" s="78"/>
      <c r="AJ395" s="84" t="s">
        <v>46</v>
      </c>
      <c r="AK395" s="84">
        <v>0</v>
      </c>
      <c r="BB395" s="505" t="s">
        <v>67</v>
      </c>
      <c r="BM395" s="78">
        <f>IFERROR(X395*I395/H395,"0")</f>
        <v>0</v>
      </c>
      <c r="BN395" s="78">
        <f>IFERROR(Y395*I395/H395,"0")</f>
        <v>0</v>
      </c>
      <c r="BO395" s="78">
        <f>IFERROR(1/J395*(X395/H395),"0")</f>
        <v>0</v>
      </c>
      <c r="BP395" s="78">
        <f>IFERROR(1/J395*(Y395/H395),"0")</f>
        <v>0</v>
      </c>
    </row>
    <row r="396" spans="1:68" hidden="1" x14ac:dyDescent="0.2">
      <c r="A396" s="661"/>
      <c r="B396" s="661"/>
      <c r="C396" s="661"/>
      <c r="D396" s="661"/>
      <c r="E396" s="661"/>
      <c r="F396" s="661"/>
      <c r="G396" s="661"/>
      <c r="H396" s="661"/>
      <c r="I396" s="661"/>
      <c r="J396" s="661"/>
      <c r="K396" s="661"/>
      <c r="L396" s="661"/>
      <c r="M396" s="661"/>
      <c r="N396" s="661"/>
      <c r="O396" s="662"/>
      <c r="P396" s="658" t="s">
        <v>40</v>
      </c>
      <c r="Q396" s="659"/>
      <c r="R396" s="659"/>
      <c r="S396" s="659"/>
      <c r="T396" s="659"/>
      <c r="U396" s="659"/>
      <c r="V396" s="660"/>
      <c r="W396" s="42" t="s">
        <v>39</v>
      </c>
      <c r="X396" s="43">
        <f>IFERROR(X392/H392,"0")+IFERROR(X393/H393,"0")+IFERROR(X394/H394,"0")+IFERROR(X395/H395,"0")</f>
        <v>0</v>
      </c>
      <c r="Y396" s="43">
        <f>IFERROR(Y392/H392,"0")+IFERROR(Y393/H393,"0")+IFERROR(Y394/H394,"0")+IFERROR(Y395/H395,"0")</f>
        <v>0</v>
      </c>
      <c r="Z396" s="43">
        <f>IFERROR(IF(Z392="",0,Z392),"0")+IFERROR(IF(Z393="",0,Z393),"0")+IFERROR(IF(Z394="",0,Z394),"0")+IFERROR(IF(Z395="",0,Z395),"0")</f>
        <v>0</v>
      </c>
      <c r="AA396" s="67"/>
      <c r="AB396" s="67"/>
      <c r="AC396" s="67"/>
    </row>
    <row r="397" spans="1:68" hidden="1" x14ac:dyDescent="0.2">
      <c r="A397" s="661"/>
      <c r="B397" s="661"/>
      <c r="C397" s="661"/>
      <c r="D397" s="661"/>
      <c r="E397" s="661"/>
      <c r="F397" s="661"/>
      <c r="G397" s="661"/>
      <c r="H397" s="661"/>
      <c r="I397" s="661"/>
      <c r="J397" s="661"/>
      <c r="K397" s="661"/>
      <c r="L397" s="661"/>
      <c r="M397" s="661"/>
      <c r="N397" s="661"/>
      <c r="O397" s="662"/>
      <c r="P397" s="658" t="s">
        <v>40</v>
      </c>
      <c r="Q397" s="659"/>
      <c r="R397" s="659"/>
      <c r="S397" s="659"/>
      <c r="T397" s="659"/>
      <c r="U397" s="659"/>
      <c r="V397" s="660"/>
      <c r="W397" s="42" t="s">
        <v>0</v>
      </c>
      <c r="X397" s="43">
        <f>IFERROR(SUM(X392:X395),"0")</f>
        <v>0</v>
      </c>
      <c r="Y397" s="43">
        <f>IFERROR(SUM(Y392:Y395),"0")</f>
        <v>0</v>
      </c>
      <c r="Z397" s="42"/>
      <c r="AA397" s="67"/>
      <c r="AB397" s="67"/>
      <c r="AC397" s="67"/>
    </row>
    <row r="398" spans="1:68" ht="14.25" hidden="1" customHeight="1" x14ac:dyDescent="0.25">
      <c r="A398" s="653" t="s">
        <v>666</v>
      </c>
      <c r="B398" s="653"/>
      <c r="C398" s="653"/>
      <c r="D398" s="653"/>
      <c r="E398" s="653"/>
      <c r="F398" s="653"/>
      <c r="G398" s="653"/>
      <c r="H398" s="653"/>
      <c r="I398" s="653"/>
      <c r="J398" s="653"/>
      <c r="K398" s="653"/>
      <c r="L398" s="653"/>
      <c r="M398" s="653"/>
      <c r="N398" s="653"/>
      <c r="O398" s="653"/>
      <c r="P398" s="653"/>
      <c r="Q398" s="653"/>
      <c r="R398" s="653"/>
      <c r="S398" s="653"/>
      <c r="T398" s="653"/>
      <c r="U398" s="653"/>
      <c r="V398" s="653"/>
      <c r="W398" s="653"/>
      <c r="X398" s="653"/>
      <c r="Y398" s="653"/>
      <c r="Z398" s="653"/>
      <c r="AA398" s="66"/>
      <c r="AB398" s="66"/>
      <c r="AC398" s="80"/>
    </row>
    <row r="399" spans="1:68" ht="16.5" hidden="1" customHeight="1" x14ac:dyDescent="0.25">
      <c r="A399" s="63" t="s">
        <v>667</v>
      </c>
      <c r="B399" s="63" t="s">
        <v>668</v>
      </c>
      <c r="C399" s="36">
        <v>4301180007</v>
      </c>
      <c r="D399" s="654">
        <v>4680115881808</v>
      </c>
      <c r="E399" s="654"/>
      <c r="F399" s="62">
        <v>0.1</v>
      </c>
      <c r="G399" s="37">
        <v>20</v>
      </c>
      <c r="H399" s="62">
        <v>2</v>
      </c>
      <c r="I399" s="62">
        <v>2.2400000000000002</v>
      </c>
      <c r="J399" s="37">
        <v>238</v>
      </c>
      <c r="K399" s="37" t="s">
        <v>91</v>
      </c>
      <c r="L399" s="37" t="s">
        <v>46</v>
      </c>
      <c r="M399" s="38" t="s">
        <v>670</v>
      </c>
      <c r="N399" s="38"/>
      <c r="O399" s="37">
        <v>731</v>
      </c>
      <c r="P399" s="73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9" s="656"/>
      <c r="R399" s="656"/>
      <c r="S399" s="656"/>
      <c r="T399" s="657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IFERROR(IF(Y399=0,"",ROUNDUP(Y399/H399,0)*0.00474),"")</f>
        <v/>
      </c>
      <c r="AA399" s="68" t="s">
        <v>46</v>
      </c>
      <c r="AB399" s="69" t="s">
        <v>46</v>
      </c>
      <c r="AC399" s="506" t="s">
        <v>669</v>
      </c>
      <c r="AG399" s="78"/>
      <c r="AJ399" s="84" t="s">
        <v>46</v>
      </c>
      <c r="AK399" s="84">
        <v>0</v>
      </c>
      <c r="BB399" s="507" t="s">
        <v>67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hidden="1" customHeight="1" x14ac:dyDescent="0.25">
      <c r="A400" s="63" t="s">
        <v>671</v>
      </c>
      <c r="B400" s="63" t="s">
        <v>672</v>
      </c>
      <c r="C400" s="36">
        <v>4301180006</v>
      </c>
      <c r="D400" s="654">
        <v>4680115881822</v>
      </c>
      <c r="E400" s="654"/>
      <c r="F400" s="62">
        <v>0.1</v>
      </c>
      <c r="G400" s="37">
        <v>20</v>
      </c>
      <c r="H400" s="62">
        <v>2</v>
      </c>
      <c r="I400" s="62">
        <v>2.2400000000000002</v>
      </c>
      <c r="J400" s="37">
        <v>238</v>
      </c>
      <c r="K400" s="37" t="s">
        <v>91</v>
      </c>
      <c r="L400" s="37" t="s">
        <v>46</v>
      </c>
      <c r="M400" s="38" t="s">
        <v>670</v>
      </c>
      <c r="N400" s="38"/>
      <c r="O400" s="37">
        <v>731</v>
      </c>
      <c r="P400" s="734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0" s="656"/>
      <c r="R400" s="656"/>
      <c r="S400" s="656"/>
      <c r="T400" s="657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IFERROR(IF(Y400=0,"",ROUNDUP(Y400/H400,0)*0.00474),"")</f>
        <v/>
      </c>
      <c r="AA400" s="68" t="s">
        <v>46</v>
      </c>
      <c r="AB400" s="69" t="s">
        <v>46</v>
      </c>
      <c r="AC400" s="508" t="s">
        <v>669</v>
      </c>
      <c r="AG400" s="78"/>
      <c r="AJ400" s="84" t="s">
        <v>46</v>
      </c>
      <c r="AK400" s="84">
        <v>0</v>
      </c>
      <c r="BB400" s="509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t="27" hidden="1" customHeight="1" x14ac:dyDescent="0.25">
      <c r="A401" s="63" t="s">
        <v>673</v>
      </c>
      <c r="B401" s="63" t="s">
        <v>674</v>
      </c>
      <c r="C401" s="36">
        <v>4301180001</v>
      </c>
      <c r="D401" s="654">
        <v>4680115880016</v>
      </c>
      <c r="E401" s="654"/>
      <c r="F401" s="62">
        <v>0.1</v>
      </c>
      <c r="G401" s="37">
        <v>20</v>
      </c>
      <c r="H401" s="62">
        <v>2</v>
      </c>
      <c r="I401" s="62">
        <v>2.2400000000000002</v>
      </c>
      <c r="J401" s="37">
        <v>238</v>
      </c>
      <c r="K401" s="37" t="s">
        <v>91</v>
      </c>
      <c r="L401" s="37" t="s">
        <v>46</v>
      </c>
      <c r="M401" s="38" t="s">
        <v>670</v>
      </c>
      <c r="N401" s="38"/>
      <c r="O401" s="37">
        <v>731</v>
      </c>
      <c r="P401" s="735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1" s="656"/>
      <c r="R401" s="656"/>
      <c r="S401" s="656"/>
      <c r="T401" s="657"/>
      <c r="U401" s="39" t="s">
        <v>46</v>
      </c>
      <c r="V401" s="39" t="s">
        <v>46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IFERROR(IF(Y401=0,"",ROUNDUP(Y401/H401,0)*0.00474),"")</f>
        <v/>
      </c>
      <c r="AA401" s="68" t="s">
        <v>46</v>
      </c>
      <c r="AB401" s="69" t="s">
        <v>46</v>
      </c>
      <c r="AC401" s="510" t="s">
        <v>669</v>
      </c>
      <c r="AG401" s="78"/>
      <c r="AJ401" s="84" t="s">
        <v>46</v>
      </c>
      <c r="AK401" s="84">
        <v>0</v>
      </c>
      <c r="BB401" s="511" t="s">
        <v>67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hidden="1" x14ac:dyDescent="0.2">
      <c r="A402" s="661"/>
      <c r="B402" s="661"/>
      <c r="C402" s="661"/>
      <c r="D402" s="661"/>
      <c r="E402" s="661"/>
      <c r="F402" s="661"/>
      <c r="G402" s="661"/>
      <c r="H402" s="661"/>
      <c r="I402" s="661"/>
      <c r="J402" s="661"/>
      <c r="K402" s="661"/>
      <c r="L402" s="661"/>
      <c r="M402" s="661"/>
      <c r="N402" s="661"/>
      <c r="O402" s="662"/>
      <c r="P402" s="658" t="s">
        <v>40</v>
      </c>
      <c r="Q402" s="659"/>
      <c r="R402" s="659"/>
      <c r="S402" s="659"/>
      <c r="T402" s="659"/>
      <c r="U402" s="659"/>
      <c r="V402" s="660"/>
      <c r="W402" s="42" t="s">
        <v>39</v>
      </c>
      <c r="X402" s="43">
        <f>IFERROR(X399/H399,"0")+IFERROR(X400/H400,"0")+IFERROR(X401/H401,"0")</f>
        <v>0</v>
      </c>
      <c r="Y402" s="43">
        <f>IFERROR(Y399/H399,"0")+IFERROR(Y400/H400,"0")+IFERROR(Y401/H401,"0")</f>
        <v>0</v>
      </c>
      <c r="Z402" s="43">
        <f>IFERROR(IF(Z399="",0,Z399),"0")+IFERROR(IF(Z400="",0,Z400),"0")+IFERROR(IF(Z401="",0,Z401),"0")</f>
        <v>0</v>
      </c>
      <c r="AA402" s="67"/>
      <c r="AB402" s="67"/>
      <c r="AC402" s="67"/>
    </row>
    <row r="403" spans="1:68" hidden="1" x14ac:dyDescent="0.2">
      <c r="A403" s="661"/>
      <c r="B403" s="661"/>
      <c r="C403" s="661"/>
      <c r="D403" s="661"/>
      <c r="E403" s="661"/>
      <c r="F403" s="661"/>
      <c r="G403" s="661"/>
      <c r="H403" s="661"/>
      <c r="I403" s="661"/>
      <c r="J403" s="661"/>
      <c r="K403" s="661"/>
      <c r="L403" s="661"/>
      <c r="M403" s="661"/>
      <c r="N403" s="661"/>
      <c r="O403" s="662"/>
      <c r="P403" s="658" t="s">
        <v>40</v>
      </c>
      <c r="Q403" s="659"/>
      <c r="R403" s="659"/>
      <c r="S403" s="659"/>
      <c r="T403" s="659"/>
      <c r="U403" s="659"/>
      <c r="V403" s="660"/>
      <c r="W403" s="42" t="s">
        <v>0</v>
      </c>
      <c r="X403" s="43">
        <f>IFERROR(SUM(X399:X401),"0")</f>
        <v>0</v>
      </c>
      <c r="Y403" s="43">
        <f>IFERROR(SUM(Y399:Y401),"0")</f>
        <v>0</v>
      </c>
      <c r="Z403" s="42"/>
      <c r="AA403" s="67"/>
      <c r="AB403" s="67"/>
      <c r="AC403" s="67"/>
    </row>
    <row r="404" spans="1:68" ht="14.25" hidden="1" customHeight="1" x14ac:dyDescent="0.25">
      <c r="A404" s="653" t="s">
        <v>675</v>
      </c>
      <c r="B404" s="653"/>
      <c r="C404" s="653"/>
      <c r="D404" s="653"/>
      <c r="E404" s="653"/>
      <c r="F404" s="653"/>
      <c r="G404" s="653"/>
      <c r="H404" s="653"/>
      <c r="I404" s="653"/>
      <c r="J404" s="653"/>
      <c r="K404" s="653"/>
      <c r="L404" s="653"/>
      <c r="M404" s="653"/>
      <c r="N404" s="653"/>
      <c r="O404" s="653"/>
      <c r="P404" s="653"/>
      <c r="Q404" s="653"/>
      <c r="R404" s="653"/>
      <c r="S404" s="653"/>
      <c r="T404" s="653"/>
      <c r="U404" s="653"/>
      <c r="V404" s="653"/>
      <c r="W404" s="653"/>
      <c r="X404" s="653"/>
      <c r="Y404" s="653"/>
      <c r="Z404" s="653"/>
      <c r="AA404" s="66"/>
      <c r="AB404" s="66"/>
      <c r="AC404" s="80"/>
    </row>
    <row r="405" spans="1:68" ht="27" hidden="1" customHeight="1" x14ac:dyDescent="0.25">
      <c r="A405" s="63" t="s">
        <v>676</v>
      </c>
      <c r="B405" s="63" t="s">
        <v>677</v>
      </c>
      <c r="C405" s="36">
        <v>4301220003</v>
      </c>
      <c r="D405" s="654">
        <v>4680115888678</v>
      </c>
      <c r="E405" s="654"/>
      <c r="F405" s="62">
        <v>0.25</v>
      </c>
      <c r="G405" s="37">
        <v>12</v>
      </c>
      <c r="H405" s="62">
        <v>3</v>
      </c>
      <c r="I405" s="62">
        <v>3.22</v>
      </c>
      <c r="J405" s="37">
        <v>224</v>
      </c>
      <c r="K405" s="37" t="s">
        <v>91</v>
      </c>
      <c r="L405" s="37" t="s">
        <v>46</v>
      </c>
      <c r="M405" s="38" t="s">
        <v>670</v>
      </c>
      <c r="N405" s="38"/>
      <c r="O405" s="37">
        <v>1096</v>
      </c>
      <c r="P405" s="736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5" s="656"/>
      <c r="R405" s="656"/>
      <c r="S405" s="656"/>
      <c r="T405" s="657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IFERROR(IF(Y405=0,"",ROUNDUP(Y405/H405,0)*0.0045),"")</f>
        <v/>
      </c>
      <c r="AA405" s="68" t="s">
        <v>46</v>
      </c>
      <c r="AB405" s="69" t="s">
        <v>46</v>
      </c>
      <c r="AC405" s="512" t="s">
        <v>678</v>
      </c>
      <c r="AG405" s="78"/>
      <c r="AJ405" s="84" t="s">
        <v>46</v>
      </c>
      <c r="AK405" s="84">
        <v>0</v>
      </c>
      <c r="BB405" s="513" t="s">
        <v>67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t="27" hidden="1" customHeight="1" x14ac:dyDescent="0.25">
      <c r="A406" s="63" t="s">
        <v>679</v>
      </c>
      <c r="B406" s="63" t="s">
        <v>680</v>
      </c>
      <c r="C406" s="36">
        <v>4301220001</v>
      </c>
      <c r="D406" s="654">
        <v>4680115888654</v>
      </c>
      <c r="E406" s="654"/>
      <c r="F406" s="62">
        <v>0.32500000000000001</v>
      </c>
      <c r="G406" s="37">
        <v>12</v>
      </c>
      <c r="H406" s="62">
        <v>3.9</v>
      </c>
      <c r="I406" s="62">
        <v>4.17</v>
      </c>
      <c r="J406" s="37">
        <v>144</v>
      </c>
      <c r="K406" s="37" t="s">
        <v>134</v>
      </c>
      <c r="L406" s="37" t="s">
        <v>46</v>
      </c>
      <c r="M406" s="38" t="s">
        <v>670</v>
      </c>
      <c r="N406" s="38"/>
      <c r="O406" s="37">
        <v>1096</v>
      </c>
      <c r="P406" s="732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6" s="656"/>
      <c r="R406" s="656"/>
      <c r="S406" s="656"/>
      <c r="T406" s="657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IFERROR(IF(Y406=0,"",ROUNDUP(Y406/H406,0)*0.006),"")</f>
        <v/>
      </c>
      <c r="AA406" s="68" t="s">
        <v>46</v>
      </c>
      <c r="AB406" s="69" t="s">
        <v>46</v>
      </c>
      <c r="AC406" s="514" t="s">
        <v>681</v>
      </c>
      <c r="AG406" s="78"/>
      <c r="AJ406" s="84" t="s">
        <v>46</v>
      </c>
      <c r="AK406" s="84">
        <v>0</v>
      </c>
      <c r="BB406" s="515" t="s">
        <v>67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t="27" hidden="1" customHeight="1" x14ac:dyDescent="0.25">
      <c r="A407" s="63" t="s">
        <v>682</v>
      </c>
      <c r="B407" s="63" t="s">
        <v>683</v>
      </c>
      <c r="C407" s="36">
        <v>4301220002</v>
      </c>
      <c r="D407" s="654">
        <v>4680115888753</v>
      </c>
      <c r="E407" s="654"/>
      <c r="F407" s="62">
        <v>0.25</v>
      </c>
      <c r="G407" s="37">
        <v>12</v>
      </c>
      <c r="H407" s="62">
        <v>3</v>
      </c>
      <c r="I407" s="62">
        <v>3.22</v>
      </c>
      <c r="J407" s="37">
        <v>224</v>
      </c>
      <c r="K407" s="37" t="s">
        <v>91</v>
      </c>
      <c r="L407" s="37" t="s">
        <v>46</v>
      </c>
      <c r="M407" s="38" t="s">
        <v>670</v>
      </c>
      <c r="N407" s="38"/>
      <c r="O407" s="37">
        <v>1096</v>
      </c>
      <c r="P407" s="733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7" s="656"/>
      <c r="R407" s="656"/>
      <c r="S407" s="656"/>
      <c r="T407" s="657"/>
      <c r="U407" s="39" t="s">
        <v>46</v>
      </c>
      <c r="V407" s="39" t="s">
        <v>46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IFERROR(IF(Y407=0,"",ROUNDUP(Y407/H407,0)*0.0045),"")</f>
        <v/>
      </c>
      <c r="AA407" s="68" t="s">
        <v>46</v>
      </c>
      <c r="AB407" s="69" t="s">
        <v>46</v>
      </c>
      <c r="AC407" s="516" t="s">
        <v>678</v>
      </c>
      <c r="AG407" s="78"/>
      <c r="AJ407" s="84" t="s">
        <v>46</v>
      </c>
      <c r="AK407" s="84">
        <v>0</v>
      </c>
      <c r="BB407" s="517" t="s">
        <v>67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hidden="1" x14ac:dyDescent="0.2">
      <c r="A408" s="661"/>
      <c r="B408" s="661"/>
      <c r="C408" s="661"/>
      <c r="D408" s="661"/>
      <c r="E408" s="661"/>
      <c r="F408" s="661"/>
      <c r="G408" s="661"/>
      <c r="H408" s="661"/>
      <c r="I408" s="661"/>
      <c r="J408" s="661"/>
      <c r="K408" s="661"/>
      <c r="L408" s="661"/>
      <c r="M408" s="661"/>
      <c r="N408" s="661"/>
      <c r="O408" s="662"/>
      <c r="P408" s="658" t="s">
        <v>40</v>
      </c>
      <c r="Q408" s="659"/>
      <c r="R408" s="659"/>
      <c r="S408" s="659"/>
      <c r="T408" s="659"/>
      <c r="U408" s="659"/>
      <c r="V408" s="660"/>
      <c r="W408" s="42" t="s">
        <v>39</v>
      </c>
      <c r="X408" s="43">
        <f>IFERROR(X405/H405,"0")+IFERROR(X406/H406,"0")+IFERROR(X407/H407,"0")</f>
        <v>0</v>
      </c>
      <c r="Y408" s="43">
        <f>IFERROR(Y405/H405,"0")+IFERROR(Y406/H406,"0")+IFERROR(Y407/H407,"0")</f>
        <v>0</v>
      </c>
      <c r="Z408" s="43">
        <f>IFERROR(IF(Z405="",0,Z405),"0")+IFERROR(IF(Z406="",0,Z406),"0")+IFERROR(IF(Z407="",0,Z407),"0")</f>
        <v>0</v>
      </c>
      <c r="AA408" s="67"/>
      <c r="AB408" s="67"/>
      <c r="AC408" s="67"/>
    </row>
    <row r="409" spans="1:68" hidden="1" x14ac:dyDescent="0.2">
      <c r="A409" s="661"/>
      <c r="B409" s="661"/>
      <c r="C409" s="661"/>
      <c r="D409" s="661"/>
      <c r="E409" s="661"/>
      <c r="F409" s="661"/>
      <c r="G409" s="661"/>
      <c r="H409" s="661"/>
      <c r="I409" s="661"/>
      <c r="J409" s="661"/>
      <c r="K409" s="661"/>
      <c r="L409" s="661"/>
      <c r="M409" s="661"/>
      <c r="N409" s="661"/>
      <c r="O409" s="662"/>
      <c r="P409" s="658" t="s">
        <v>40</v>
      </c>
      <c r="Q409" s="659"/>
      <c r="R409" s="659"/>
      <c r="S409" s="659"/>
      <c r="T409" s="659"/>
      <c r="U409" s="659"/>
      <c r="V409" s="660"/>
      <c r="W409" s="42" t="s">
        <v>0</v>
      </c>
      <c r="X409" s="43">
        <f>IFERROR(SUM(X405:X407),"0")</f>
        <v>0</v>
      </c>
      <c r="Y409" s="43">
        <f>IFERROR(SUM(Y405:Y407),"0")</f>
        <v>0</v>
      </c>
      <c r="Z409" s="42"/>
      <c r="AA409" s="67"/>
      <c r="AB409" s="67"/>
      <c r="AC409" s="67"/>
    </row>
    <row r="410" spans="1:68" ht="16.5" hidden="1" customHeight="1" x14ac:dyDescent="0.25">
      <c r="A410" s="652" t="s">
        <v>684</v>
      </c>
      <c r="B410" s="652"/>
      <c r="C410" s="652"/>
      <c r="D410" s="652"/>
      <c r="E410" s="652"/>
      <c r="F410" s="652"/>
      <c r="G410" s="652"/>
      <c r="H410" s="652"/>
      <c r="I410" s="652"/>
      <c r="J410" s="652"/>
      <c r="K410" s="652"/>
      <c r="L410" s="652"/>
      <c r="M410" s="652"/>
      <c r="N410" s="652"/>
      <c r="O410" s="652"/>
      <c r="P410" s="652"/>
      <c r="Q410" s="652"/>
      <c r="R410" s="652"/>
      <c r="S410" s="652"/>
      <c r="T410" s="652"/>
      <c r="U410" s="652"/>
      <c r="V410" s="652"/>
      <c r="W410" s="652"/>
      <c r="X410" s="652"/>
      <c r="Y410" s="652"/>
      <c r="Z410" s="652"/>
      <c r="AA410" s="65"/>
      <c r="AB410" s="65"/>
      <c r="AC410" s="79"/>
    </row>
    <row r="411" spans="1:68" ht="14.25" hidden="1" customHeight="1" x14ac:dyDescent="0.25">
      <c r="A411" s="653" t="s">
        <v>86</v>
      </c>
      <c r="B411" s="653"/>
      <c r="C411" s="653"/>
      <c r="D411" s="653"/>
      <c r="E411" s="653"/>
      <c r="F411" s="653"/>
      <c r="G411" s="653"/>
      <c r="H411" s="653"/>
      <c r="I411" s="653"/>
      <c r="J411" s="653"/>
      <c r="K411" s="653"/>
      <c r="L411" s="653"/>
      <c r="M411" s="653"/>
      <c r="N411" s="653"/>
      <c r="O411" s="653"/>
      <c r="P411" s="653"/>
      <c r="Q411" s="653"/>
      <c r="R411" s="653"/>
      <c r="S411" s="653"/>
      <c r="T411" s="653"/>
      <c r="U411" s="653"/>
      <c r="V411" s="653"/>
      <c r="W411" s="653"/>
      <c r="X411" s="653"/>
      <c r="Y411" s="653"/>
      <c r="Z411" s="653"/>
      <c r="AA411" s="66"/>
      <c r="AB411" s="66"/>
      <c r="AC411" s="80"/>
    </row>
    <row r="412" spans="1:68" ht="16.5" hidden="1" customHeight="1" x14ac:dyDescent="0.25">
      <c r="A412" s="63" t="s">
        <v>685</v>
      </c>
      <c r="B412" s="63" t="s">
        <v>686</v>
      </c>
      <c r="C412" s="36">
        <v>4301052235</v>
      </c>
      <c r="D412" s="654">
        <v>4680115889415</v>
      </c>
      <c r="E412" s="654"/>
      <c r="F412" s="62">
        <v>1.3</v>
      </c>
      <c r="G412" s="37">
        <v>6</v>
      </c>
      <c r="H412" s="62">
        <v>7.8</v>
      </c>
      <c r="I412" s="62">
        <v>8.2100000000000009</v>
      </c>
      <c r="J412" s="37">
        <v>64</v>
      </c>
      <c r="K412" s="37" t="s">
        <v>127</v>
      </c>
      <c r="L412" s="37" t="s">
        <v>46</v>
      </c>
      <c r="M412" s="38" t="s">
        <v>90</v>
      </c>
      <c r="N412" s="38"/>
      <c r="O412" s="37">
        <v>40</v>
      </c>
      <c r="P412" s="730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2" s="656"/>
      <c r="R412" s="656"/>
      <c r="S412" s="656"/>
      <c r="T412" s="657"/>
      <c r="U412" s="39" t="s">
        <v>46</v>
      </c>
      <c r="V412" s="39" t="s">
        <v>46</v>
      </c>
      <c r="W412" s="40" t="s">
        <v>0</v>
      </c>
      <c r="X412" s="58">
        <v>0</v>
      </c>
      <c r="Y412" s="55">
        <f>IFERROR(IF(X412="",0,CEILING((X412/$H412),1)*$H412),"")</f>
        <v>0</v>
      </c>
      <c r="Z412" s="41" t="str">
        <f>IFERROR(IF(Y412=0,"",ROUNDUP(Y412/H412,0)*0.01898),"")</f>
        <v/>
      </c>
      <c r="AA412" s="68" t="s">
        <v>46</v>
      </c>
      <c r="AB412" s="69" t="s">
        <v>46</v>
      </c>
      <c r="AC412" s="518" t="s">
        <v>687</v>
      </c>
      <c r="AG412" s="78"/>
      <c r="AJ412" s="84" t="s">
        <v>46</v>
      </c>
      <c r="AK412" s="84">
        <v>0</v>
      </c>
      <c r="BB412" s="519" t="s">
        <v>67</v>
      </c>
      <c r="BM412" s="78">
        <f>IFERROR(X412*I412/H412,"0")</f>
        <v>0</v>
      </c>
      <c r="BN412" s="78">
        <f>IFERROR(Y412*I412/H412,"0")</f>
        <v>0</v>
      </c>
      <c r="BO412" s="78">
        <f>IFERROR(1/J412*(X412/H412),"0")</f>
        <v>0</v>
      </c>
      <c r="BP412" s="78">
        <f>IFERROR(1/J412*(Y412/H412),"0")</f>
        <v>0</v>
      </c>
    </row>
    <row r="413" spans="1:68" ht="16.5" hidden="1" customHeight="1" x14ac:dyDescent="0.25">
      <c r="A413" s="63" t="s">
        <v>688</v>
      </c>
      <c r="B413" s="63" t="s">
        <v>689</v>
      </c>
      <c r="C413" s="36">
        <v>4301052236</v>
      </c>
      <c r="D413" s="654">
        <v>4680115889422</v>
      </c>
      <c r="E413" s="654"/>
      <c r="F413" s="62">
        <v>1.3</v>
      </c>
      <c r="G413" s="37">
        <v>6</v>
      </c>
      <c r="H413" s="62">
        <v>7.8</v>
      </c>
      <c r="I413" s="62">
        <v>8.2100000000000009</v>
      </c>
      <c r="J413" s="37">
        <v>64</v>
      </c>
      <c r="K413" s="37" t="s">
        <v>127</v>
      </c>
      <c r="L413" s="37" t="s">
        <v>46</v>
      </c>
      <c r="M413" s="38" t="s">
        <v>90</v>
      </c>
      <c r="N413" s="38"/>
      <c r="O413" s="37">
        <v>40</v>
      </c>
      <c r="P413" s="731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3" s="656"/>
      <c r="R413" s="656"/>
      <c r="S413" s="656"/>
      <c r="T413" s="657"/>
      <c r="U413" s="39" t="s">
        <v>46</v>
      </c>
      <c r="V413" s="39" t="s">
        <v>46</v>
      </c>
      <c r="W413" s="40" t="s">
        <v>0</v>
      </c>
      <c r="X413" s="58">
        <v>0</v>
      </c>
      <c r="Y413" s="55">
        <f>IFERROR(IF(X413="",0,CEILING((X413/$H413),1)*$H413),"")</f>
        <v>0</v>
      </c>
      <c r="Z413" s="41" t="str">
        <f>IFERROR(IF(Y413=0,"",ROUNDUP(Y413/H413,0)*0.01898),"")</f>
        <v/>
      </c>
      <c r="AA413" s="68" t="s">
        <v>46</v>
      </c>
      <c r="AB413" s="69" t="s">
        <v>46</v>
      </c>
      <c r="AC413" s="520" t="s">
        <v>690</v>
      </c>
      <c r="AG413" s="78"/>
      <c r="AJ413" s="84" t="s">
        <v>46</v>
      </c>
      <c r="AK413" s="84">
        <v>0</v>
      </c>
      <c r="BB413" s="521" t="s">
        <v>67</v>
      </c>
      <c r="BM413" s="78">
        <f>IFERROR(X413*I413/H413,"0")</f>
        <v>0</v>
      </c>
      <c r="BN413" s="78">
        <f>IFERROR(Y413*I413/H413,"0")</f>
        <v>0</v>
      </c>
      <c r="BO413" s="78">
        <f>IFERROR(1/J413*(X413/H413),"0")</f>
        <v>0</v>
      </c>
      <c r="BP413" s="78">
        <f>IFERROR(1/J413*(Y413/H413),"0")</f>
        <v>0</v>
      </c>
    </row>
    <row r="414" spans="1:68" hidden="1" x14ac:dyDescent="0.2">
      <c r="A414" s="661"/>
      <c r="B414" s="661"/>
      <c r="C414" s="661"/>
      <c r="D414" s="661"/>
      <c r="E414" s="661"/>
      <c r="F414" s="661"/>
      <c r="G414" s="661"/>
      <c r="H414" s="661"/>
      <c r="I414" s="661"/>
      <c r="J414" s="661"/>
      <c r="K414" s="661"/>
      <c r="L414" s="661"/>
      <c r="M414" s="661"/>
      <c r="N414" s="661"/>
      <c r="O414" s="662"/>
      <c r="P414" s="658" t="s">
        <v>40</v>
      </c>
      <c r="Q414" s="659"/>
      <c r="R414" s="659"/>
      <c r="S414" s="659"/>
      <c r="T414" s="659"/>
      <c r="U414" s="659"/>
      <c r="V414" s="660"/>
      <c r="W414" s="42" t="s">
        <v>39</v>
      </c>
      <c r="X414" s="43">
        <f>IFERROR(X412/H412,"0")+IFERROR(X413/H413,"0")</f>
        <v>0</v>
      </c>
      <c r="Y414" s="43">
        <f>IFERROR(Y412/H412,"0")+IFERROR(Y413/H413,"0")</f>
        <v>0</v>
      </c>
      <c r="Z414" s="43">
        <f>IFERROR(IF(Z412="",0,Z412),"0")+IFERROR(IF(Z413="",0,Z413),"0")</f>
        <v>0</v>
      </c>
      <c r="AA414" s="67"/>
      <c r="AB414" s="67"/>
      <c r="AC414" s="67"/>
    </row>
    <row r="415" spans="1:68" hidden="1" x14ac:dyDescent="0.2">
      <c r="A415" s="661"/>
      <c r="B415" s="661"/>
      <c r="C415" s="661"/>
      <c r="D415" s="661"/>
      <c r="E415" s="661"/>
      <c r="F415" s="661"/>
      <c r="G415" s="661"/>
      <c r="H415" s="661"/>
      <c r="I415" s="661"/>
      <c r="J415" s="661"/>
      <c r="K415" s="661"/>
      <c r="L415" s="661"/>
      <c r="M415" s="661"/>
      <c r="N415" s="661"/>
      <c r="O415" s="662"/>
      <c r="P415" s="658" t="s">
        <v>40</v>
      </c>
      <c r="Q415" s="659"/>
      <c r="R415" s="659"/>
      <c r="S415" s="659"/>
      <c r="T415" s="659"/>
      <c r="U415" s="659"/>
      <c r="V415" s="660"/>
      <c r="W415" s="42" t="s">
        <v>0</v>
      </c>
      <c r="X415" s="43">
        <f>IFERROR(SUM(X412:X413),"0")</f>
        <v>0</v>
      </c>
      <c r="Y415" s="43">
        <f>IFERROR(SUM(Y412:Y413),"0")</f>
        <v>0</v>
      </c>
      <c r="Z415" s="42"/>
      <c r="AA415" s="67"/>
      <c r="AB415" s="67"/>
      <c r="AC415" s="67"/>
    </row>
    <row r="416" spans="1:68" ht="16.5" hidden="1" customHeight="1" x14ac:dyDescent="0.25">
      <c r="A416" s="652" t="s">
        <v>691</v>
      </c>
      <c r="B416" s="652"/>
      <c r="C416" s="652"/>
      <c r="D416" s="652"/>
      <c r="E416" s="652"/>
      <c r="F416" s="652"/>
      <c r="G416" s="652"/>
      <c r="H416" s="652"/>
      <c r="I416" s="652"/>
      <c r="J416" s="652"/>
      <c r="K416" s="652"/>
      <c r="L416" s="652"/>
      <c r="M416" s="652"/>
      <c r="N416" s="652"/>
      <c r="O416" s="652"/>
      <c r="P416" s="652"/>
      <c r="Q416" s="652"/>
      <c r="R416" s="652"/>
      <c r="S416" s="652"/>
      <c r="T416" s="652"/>
      <c r="U416" s="652"/>
      <c r="V416" s="652"/>
      <c r="W416" s="652"/>
      <c r="X416" s="652"/>
      <c r="Y416" s="652"/>
      <c r="Z416" s="652"/>
      <c r="AA416" s="65"/>
      <c r="AB416" s="65"/>
      <c r="AC416" s="79"/>
    </row>
    <row r="417" spans="1:68" ht="14.25" hidden="1" customHeight="1" x14ac:dyDescent="0.25">
      <c r="A417" s="653" t="s">
        <v>86</v>
      </c>
      <c r="B417" s="653"/>
      <c r="C417" s="653"/>
      <c r="D417" s="653"/>
      <c r="E417" s="653"/>
      <c r="F417" s="653"/>
      <c r="G417" s="653"/>
      <c r="H417" s="653"/>
      <c r="I417" s="653"/>
      <c r="J417" s="653"/>
      <c r="K417" s="653"/>
      <c r="L417" s="653"/>
      <c r="M417" s="653"/>
      <c r="N417" s="653"/>
      <c r="O417" s="653"/>
      <c r="P417" s="653"/>
      <c r="Q417" s="653"/>
      <c r="R417" s="653"/>
      <c r="S417" s="653"/>
      <c r="T417" s="653"/>
      <c r="U417" s="653"/>
      <c r="V417" s="653"/>
      <c r="W417" s="653"/>
      <c r="X417" s="653"/>
      <c r="Y417" s="653"/>
      <c r="Z417" s="653"/>
      <c r="AA417" s="66"/>
      <c r="AB417" s="66"/>
      <c r="AC417" s="80"/>
    </row>
    <row r="418" spans="1:68" ht="27" hidden="1" customHeight="1" x14ac:dyDescent="0.25">
      <c r="A418" s="63" t="s">
        <v>692</v>
      </c>
      <c r="B418" s="63" t="s">
        <v>693</v>
      </c>
      <c r="C418" s="36">
        <v>4301051489</v>
      </c>
      <c r="D418" s="654">
        <v>4607091387919</v>
      </c>
      <c r="E418" s="654"/>
      <c r="F418" s="62">
        <v>1.35</v>
      </c>
      <c r="G418" s="37">
        <v>6</v>
      </c>
      <c r="H418" s="62">
        <v>8.1</v>
      </c>
      <c r="I418" s="62">
        <v>8.5939999999999994</v>
      </c>
      <c r="J418" s="37">
        <v>64</v>
      </c>
      <c r="K418" s="37" t="s">
        <v>127</v>
      </c>
      <c r="L418" s="37" t="s">
        <v>46</v>
      </c>
      <c r="M418" s="38" t="s">
        <v>97</v>
      </c>
      <c r="N418" s="38"/>
      <c r="O418" s="37">
        <v>45</v>
      </c>
      <c r="P418" s="727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8" s="656"/>
      <c r="R418" s="656"/>
      <c r="S418" s="656"/>
      <c r="T418" s="657"/>
      <c r="U418" s="39" t="s">
        <v>46</v>
      </c>
      <c r="V418" s="39" t="s">
        <v>46</v>
      </c>
      <c r="W418" s="40" t="s">
        <v>0</v>
      </c>
      <c r="X418" s="58">
        <v>0</v>
      </c>
      <c r="Y418" s="55">
        <f>IFERROR(IF(X418="",0,CEILING((X418/$H418),1)*$H418),"")</f>
        <v>0</v>
      </c>
      <c r="Z418" s="41" t="str">
        <f>IFERROR(IF(Y418=0,"",ROUNDUP(Y418/H418,0)*0.01898),"")</f>
        <v/>
      </c>
      <c r="AA418" s="68" t="s">
        <v>46</v>
      </c>
      <c r="AB418" s="69" t="s">
        <v>46</v>
      </c>
      <c r="AC418" s="522" t="s">
        <v>694</v>
      </c>
      <c r="AG418" s="78"/>
      <c r="AJ418" s="84" t="s">
        <v>46</v>
      </c>
      <c r="AK418" s="84">
        <v>0</v>
      </c>
      <c r="BB418" s="523" t="s">
        <v>67</v>
      </c>
      <c r="BM418" s="78">
        <f>IFERROR(X418*I418/H418,"0")</f>
        <v>0</v>
      </c>
      <c r="BN418" s="78">
        <f>IFERROR(Y418*I418/H418,"0")</f>
        <v>0</v>
      </c>
      <c r="BO418" s="78">
        <f>IFERROR(1/J418*(X418/H418),"0")</f>
        <v>0</v>
      </c>
      <c r="BP418" s="78">
        <f>IFERROR(1/J418*(Y418/H418),"0")</f>
        <v>0</v>
      </c>
    </row>
    <row r="419" spans="1:68" ht="27" hidden="1" customHeight="1" x14ac:dyDescent="0.25">
      <c r="A419" s="63" t="s">
        <v>695</v>
      </c>
      <c r="B419" s="63" t="s">
        <v>696</v>
      </c>
      <c r="C419" s="36">
        <v>4301051461</v>
      </c>
      <c r="D419" s="654">
        <v>4680115883604</v>
      </c>
      <c r="E419" s="654"/>
      <c r="F419" s="62">
        <v>0.35</v>
      </c>
      <c r="G419" s="37">
        <v>6</v>
      </c>
      <c r="H419" s="62">
        <v>2.1</v>
      </c>
      <c r="I419" s="62">
        <v>2.3519999999999999</v>
      </c>
      <c r="J419" s="37">
        <v>182</v>
      </c>
      <c r="K419" s="37" t="s">
        <v>91</v>
      </c>
      <c r="L419" s="37" t="s">
        <v>46</v>
      </c>
      <c r="M419" s="38" t="s">
        <v>90</v>
      </c>
      <c r="N419" s="38"/>
      <c r="O419" s="37">
        <v>45</v>
      </c>
      <c r="P419" s="728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9" s="656"/>
      <c r="R419" s="656"/>
      <c r="S419" s="656"/>
      <c r="T419" s="657"/>
      <c r="U419" s="39" t="s">
        <v>46</v>
      </c>
      <c r="V419" s="39" t="s">
        <v>46</v>
      </c>
      <c r="W419" s="40" t="s">
        <v>0</v>
      </c>
      <c r="X419" s="58">
        <v>0</v>
      </c>
      <c r="Y419" s="55">
        <f>IFERROR(IF(X419="",0,CEILING((X419/$H419),1)*$H419),"")</f>
        <v>0</v>
      </c>
      <c r="Z419" s="41" t="str">
        <f>IFERROR(IF(Y419=0,"",ROUNDUP(Y419/H419,0)*0.00651),"")</f>
        <v/>
      </c>
      <c r="AA419" s="68" t="s">
        <v>46</v>
      </c>
      <c r="AB419" s="69" t="s">
        <v>46</v>
      </c>
      <c r="AC419" s="524" t="s">
        <v>697</v>
      </c>
      <c r="AG419" s="78"/>
      <c r="AJ419" s="84" t="s">
        <v>46</v>
      </c>
      <c r="AK419" s="84">
        <v>0</v>
      </c>
      <c r="BB419" s="525" t="s">
        <v>67</v>
      </c>
      <c r="BM419" s="78">
        <f>IFERROR(X419*I419/H419,"0")</f>
        <v>0</v>
      </c>
      <c r="BN419" s="78">
        <f>IFERROR(Y419*I419/H419,"0")</f>
        <v>0</v>
      </c>
      <c r="BO419" s="78">
        <f>IFERROR(1/J419*(X419/H419),"0")</f>
        <v>0</v>
      </c>
      <c r="BP419" s="78">
        <f>IFERROR(1/J419*(Y419/H419),"0")</f>
        <v>0</v>
      </c>
    </row>
    <row r="420" spans="1:68" ht="27" hidden="1" customHeight="1" x14ac:dyDescent="0.25">
      <c r="A420" s="63" t="s">
        <v>698</v>
      </c>
      <c r="B420" s="63" t="s">
        <v>699</v>
      </c>
      <c r="C420" s="36">
        <v>4301051864</v>
      </c>
      <c r="D420" s="654">
        <v>4680115883567</v>
      </c>
      <c r="E420" s="654"/>
      <c r="F420" s="62">
        <v>0.35</v>
      </c>
      <c r="G420" s="37">
        <v>6</v>
      </c>
      <c r="H420" s="62">
        <v>2.1</v>
      </c>
      <c r="I420" s="62">
        <v>2.34</v>
      </c>
      <c r="J420" s="37">
        <v>182</v>
      </c>
      <c r="K420" s="37" t="s">
        <v>91</v>
      </c>
      <c r="L420" s="37" t="s">
        <v>46</v>
      </c>
      <c r="M420" s="38" t="s">
        <v>97</v>
      </c>
      <c r="N420" s="38"/>
      <c r="O420" s="37">
        <v>40</v>
      </c>
      <c r="P420" s="72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0" s="656"/>
      <c r="R420" s="656"/>
      <c r="S420" s="656"/>
      <c r="T420" s="657"/>
      <c r="U420" s="39" t="s">
        <v>46</v>
      </c>
      <c r="V420" s="39" t="s">
        <v>46</v>
      </c>
      <c r="W420" s="40" t="s">
        <v>0</v>
      </c>
      <c r="X420" s="58">
        <v>0</v>
      </c>
      <c r="Y420" s="55">
        <f>IFERROR(IF(X420="",0,CEILING((X420/$H420),1)*$H420),"")</f>
        <v>0</v>
      </c>
      <c r="Z420" s="41" t="str">
        <f>IFERROR(IF(Y420=0,"",ROUNDUP(Y420/H420,0)*0.00651),"")</f>
        <v/>
      </c>
      <c r="AA420" s="68" t="s">
        <v>46</v>
      </c>
      <c r="AB420" s="69" t="s">
        <v>46</v>
      </c>
      <c r="AC420" s="526" t="s">
        <v>700</v>
      </c>
      <c r="AG420" s="78"/>
      <c r="AJ420" s="84" t="s">
        <v>46</v>
      </c>
      <c r="AK420" s="84">
        <v>0</v>
      </c>
      <c r="BB420" s="527" t="s">
        <v>67</v>
      </c>
      <c r="BM420" s="78">
        <f>IFERROR(X420*I420/H420,"0")</f>
        <v>0</v>
      </c>
      <c r="BN420" s="78">
        <f>IFERROR(Y420*I420/H420,"0")</f>
        <v>0</v>
      </c>
      <c r="BO420" s="78">
        <f>IFERROR(1/J420*(X420/H420),"0")</f>
        <v>0</v>
      </c>
      <c r="BP420" s="78">
        <f>IFERROR(1/J420*(Y420/H420),"0")</f>
        <v>0</v>
      </c>
    </row>
    <row r="421" spans="1:68" hidden="1" x14ac:dyDescent="0.2">
      <c r="A421" s="661"/>
      <c r="B421" s="661"/>
      <c r="C421" s="661"/>
      <c r="D421" s="661"/>
      <c r="E421" s="661"/>
      <c r="F421" s="661"/>
      <c r="G421" s="661"/>
      <c r="H421" s="661"/>
      <c r="I421" s="661"/>
      <c r="J421" s="661"/>
      <c r="K421" s="661"/>
      <c r="L421" s="661"/>
      <c r="M421" s="661"/>
      <c r="N421" s="661"/>
      <c r="O421" s="662"/>
      <c r="P421" s="658" t="s">
        <v>40</v>
      </c>
      <c r="Q421" s="659"/>
      <c r="R421" s="659"/>
      <c r="S421" s="659"/>
      <c r="T421" s="659"/>
      <c r="U421" s="659"/>
      <c r="V421" s="660"/>
      <c r="W421" s="42" t="s">
        <v>39</v>
      </c>
      <c r="X421" s="43">
        <f>IFERROR(X418/H418,"0")+IFERROR(X419/H419,"0")+IFERROR(X420/H420,"0")</f>
        <v>0</v>
      </c>
      <c r="Y421" s="43">
        <f>IFERROR(Y418/H418,"0")+IFERROR(Y419/H419,"0")+IFERROR(Y420/H420,"0")</f>
        <v>0</v>
      </c>
      <c r="Z421" s="43">
        <f>IFERROR(IF(Z418="",0,Z418),"0")+IFERROR(IF(Z419="",0,Z419),"0")+IFERROR(IF(Z420="",0,Z420),"0")</f>
        <v>0</v>
      </c>
      <c r="AA421" s="67"/>
      <c r="AB421" s="67"/>
      <c r="AC421" s="67"/>
    </row>
    <row r="422" spans="1:68" hidden="1" x14ac:dyDescent="0.2">
      <c r="A422" s="661"/>
      <c r="B422" s="661"/>
      <c r="C422" s="661"/>
      <c r="D422" s="661"/>
      <c r="E422" s="661"/>
      <c r="F422" s="661"/>
      <c r="G422" s="661"/>
      <c r="H422" s="661"/>
      <c r="I422" s="661"/>
      <c r="J422" s="661"/>
      <c r="K422" s="661"/>
      <c r="L422" s="661"/>
      <c r="M422" s="661"/>
      <c r="N422" s="661"/>
      <c r="O422" s="662"/>
      <c r="P422" s="658" t="s">
        <v>40</v>
      </c>
      <c r="Q422" s="659"/>
      <c r="R422" s="659"/>
      <c r="S422" s="659"/>
      <c r="T422" s="659"/>
      <c r="U422" s="659"/>
      <c r="V422" s="660"/>
      <c r="W422" s="42" t="s">
        <v>0</v>
      </c>
      <c r="X422" s="43">
        <f>IFERROR(SUM(X418:X420),"0")</f>
        <v>0</v>
      </c>
      <c r="Y422" s="43">
        <f>IFERROR(SUM(Y418:Y420),"0")</f>
        <v>0</v>
      </c>
      <c r="Z422" s="42"/>
      <c r="AA422" s="67"/>
      <c r="AB422" s="67"/>
      <c r="AC422" s="67"/>
    </row>
    <row r="423" spans="1:68" ht="27.75" hidden="1" customHeight="1" x14ac:dyDescent="0.2">
      <c r="A423" s="673" t="s">
        <v>701</v>
      </c>
      <c r="B423" s="673"/>
      <c r="C423" s="673"/>
      <c r="D423" s="673"/>
      <c r="E423" s="673"/>
      <c r="F423" s="673"/>
      <c r="G423" s="673"/>
      <c r="H423" s="673"/>
      <c r="I423" s="673"/>
      <c r="J423" s="673"/>
      <c r="K423" s="673"/>
      <c r="L423" s="673"/>
      <c r="M423" s="673"/>
      <c r="N423" s="673"/>
      <c r="O423" s="673"/>
      <c r="P423" s="673"/>
      <c r="Q423" s="673"/>
      <c r="R423" s="673"/>
      <c r="S423" s="673"/>
      <c r="T423" s="673"/>
      <c r="U423" s="673"/>
      <c r="V423" s="673"/>
      <c r="W423" s="673"/>
      <c r="X423" s="673"/>
      <c r="Y423" s="673"/>
      <c r="Z423" s="673"/>
      <c r="AA423" s="54"/>
      <c r="AB423" s="54"/>
      <c r="AC423" s="54"/>
    </row>
    <row r="424" spans="1:68" ht="16.5" hidden="1" customHeight="1" x14ac:dyDescent="0.25">
      <c r="A424" s="652" t="s">
        <v>702</v>
      </c>
      <c r="B424" s="652"/>
      <c r="C424" s="652"/>
      <c r="D424" s="652"/>
      <c r="E424" s="652"/>
      <c r="F424" s="652"/>
      <c r="G424" s="652"/>
      <c r="H424" s="652"/>
      <c r="I424" s="652"/>
      <c r="J424" s="652"/>
      <c r="K424" s="652"/>
      <c r="L424" s="652"/>
      <c r="M424" s="652"/>
      <c r="N424" s="652"/>
      <c r="O424" s="652"/>
      <c r="P424" s="652"/>
      <c r="Q424" s="652"/>
      <c r="R424" s="652"/>
      <c r="S424" s="652"/>
      <c r="T424" s="652"/>
      <c r="U424" s="652"/>
      <c r="V424" s="652"/>
      <c r="W424" s="652"/>
      <c r="X424" s="652"/>
      <c r="Y424" s="652"/>
      <c r="Z424" s="652"/>
      <c r="AA424" s="65"/>
      <c r="AB424" s="65"/>
      <c r="AC424" s="79"/>
    </row>
    <row r="425" spans="1:68" ht="14.25" hidden="1" customHeight="1" x14ac:dyDescent="0.25">
      <c r="A425" s="653" t="s">
        <v>122</v>
      </c>
      <c r="B425" s="653"/>
      <c r="C425" s="653"/>
      <c r="D425" s="653"/>
      <c r="E425" s="653"/>
      <c r="F425" s="653"/>
      <c r="G425" s="653"/>
      <c r="H425" s="653"/>
      <c r="I425" s="653"/>
      <c r="J425" s="653"/>
      <c r="K425" s="653"/>
      <c r="L425" s="653"/>
      <c r="M425" s="653"/>
      <c r="N425" s="653"/>
      <c r="O425" s="653"/>
      <c r="P425" s="653"/>
      <c r="Q425" s="653"/>
      <c r="R425" s="653"/>
      <c r="S425" s="653"/>
      <c r="T425" s="653"/>
      <c r="U425" s="653"/>
      <c r="V425" s="653"/>
      <c r="W425" s="653"/>
      <c r="X425" s="653"/>
      <c r="Y425" s="653"/>
      <c r="Z425" s="653"/>
      <c r="AA425" s="66"/>
      <c r="AB425" s="66"/>
      <c r="AC425" s="80"/>
    </row>
    <row r="426" spans="1:68" ht="27" hidden="1" customHeight="1" x14ac:dyDescent="0.25">
      <c r="A426" s="63" t="s">
        <v>703</v>
      </c>
      <c r="B426" s="63" t="s">
        <v>704</v>
      </c>
      <c r="C426" s="36">
        <v>4301012332</v>
      </c>
      <c r="D426" s="654">
        <v>4680115888401</v>
      </c>
      <c r="E426" s="654"/>
      <c r="F426" s="62">
        <v>2.5</v>
      </c>
      <c r="G426" s="37">
        <v>6</v>
      </c>
      <c r="H426" s="62">
        <v>15</v>
      </c>
      <c r="I426" s="62">
        <v>15.47</v>
      </c>
      <c r="J426" s="37">
        <v>48</v>
      </c>
      <c r="K426" s="37" t="s">
        <v>127</v>
      </c>
      <c r="L426" s="37" t="s">
        <v>46</v>
      </c>
      <c r="M426" s="38" t="s">
        <v>97</v>
      </c>
      <c r="N426" s="38"/>
      <c r="O426" s="37">
        <v>60</v>
      </c>
      <c r="P426" s="724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6" s="656"/>
      <c r="R426" s="656"/>
      <c r="S426" s="656"/>
      <c r="T426" s="657"/>
      <c r="U426" s="39" t="s">
        <v>46</v>
      </c>
      <c r="V426" s="39" t="s">
        <v>46</v>
      </c>
      <c r="W426" s="40" t="s">
        <v>0</v>
      </c>
      <c r="X426" s="58">
        <v>0</v>
      </c>
      <c r="Y426" s="55">
        <f t="shared" ref="Y426:Y433" si="68">IFERROR(IF(X426="",0,CEILING((X426/$H426),1)*$H426),"")</f>
        <v>0</v>
      </c>
      <c r="Z426" s="41" t="str">
        <f>IFERROR(IF(Y426=0,"",ROUNDUP(Y426/H426,0)*0.02175),"")</f>
        <v/>
      </c>
      <c r="AA426" s="68" t="s">
        <v>46</v>
      </c>
      <c r="AB426" s="69" t="s">
        <v>46</v>
      </c>
      <c r="AC426" s="528" t="s">
        <v>705</v>
      </c>
      <c r="AG426" s="78"/>
      <c r="AJ426" s="84" t="s">
        <v>46</v>
      </c>
      <c r="AK426" s="84">
        <v>0</v>
      </c>
      <c r="BB426" s="529" t="s">
        <v>67</v>
      </c>
      <c r="BM426" s="78">
        <f t="shared" ref="BM426:BM433" si="69">IFERROR(X426*I426/H426,"0")</f>
        <v>0</v>
      </c>
      <c r="BN426" s="78">
        <f t="shared" ref="BN426:BN433" si="70">IFERROR(Y426*I426/H426,"0")</f>
        <v>0</v>
      </c>
      <c r="BO426" s="78">
        <f t="shared" ref="BO426:BO433" si="71">IFERROR(1/J426*(X426/H426),"0")</f>
        <v>0</v>
      </c>
      <c r="BP426" s="78">
        <f t="shared" ref="BP426:BP433" si="72">IFERROR(1/J426*(Y426/H426),"0")</f>
        <v>0</v>
      </c>
    </row>
    <row r="427" spans="1:68" ht="37.5" hidden="1" customHeight="1" x14ac:dyDescent="0.25">
      <c r="A427" s="63" t="s">
        <v>706</v>
      </c>
      <c r="B427" s="63" t="s">
        <v>707</v>
      </c>
      <c r="C427" s="36">
        <v>4301011869</v>
      </c>
      <c r="D427" s="654">
        <v>4680115884847</v>
      </c>
      <c r="E427" s="654"/>
      <c r="F427" s="62">
        <v>2.5</v>
      </c>
      <c r="G427" s="37">
        <v>6</v>
      </c>
      <c r="H427" s="62">
        <v>15</v>
      </c>
      <c r="I427" s="62">
        <v>15.47</v>
      </c>
      <c r="J427" s="37">
        <v>48</v>
      </c>
      <c r="K427" s="37" t="s">
        <v>127</v>
      </c>
      <c r="L427" s="37" t="s">
        <v>46</v>
      </c>
      <c r="M427" s="38" t="s">
        <v>81</v>
      </c>
      <c r="N427" s="38"/>
      <c r="O427" s="37">
        <v>60</v>
      </c>
      <c r="P427" s="725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7" s="656"/>
      <c r="R427" s="656"/>
      <c r="S427" s="656"/>
      <c r="T427" s="657"/>
      <c r="U427" s="39" t="s">
        <v>46</v>
      </c>
      <c r="V427" s="39" t="s">
        <v>46</v>
      </c>
      <c r="W427" s="40" t="s">
        <v>0</v>
      </c>
      <c r="X427" s="58">
        <v>0</v>
      </c>
      <c r="Y427" s="55">
        <f t="shared" si="68"/>
        <v>0</v>
      </c>
      <c r="Z427" s="41" t="str">
        <f>IFERROR(IF(Y427=0,"",ROUNDUP(Y427/H427,0)*0.02175),"")</f>
        <v/>
      </c>
      <c r="AA427" s="68" t="s">
        <v>46</v>
      </c>
      <c r="AB427" s="69" t="s">
        <v>46</v>
      </c>
      <c r="AC427" s="530" t="s">
        <v>708</v>
      </c>
      <c r="AG427" s="78"/>
      <c r="AJ427" s="84" t="s">
        <v>46</v>
      </c>
      <c r="AK427" s="84">
        <v>0</v>
      </c>
      <c r="BB427" s="531" t="s">
        <v>67</v>
      </c>
      <c r="BM427" s="78">
        <f t="shared" si="69"/>
        <v>0</v>
      </c>
      <c r="BN427" s="78">
        <f t="shared" si="70"/>
        <v>0</v>
      </c>
      <c r="BO427" s="78">
        <f t="shared" si="71"/>
        <v>0</v>
      </c>
      <c r="BP427" s="78">
        <f t="shared" si="72"/>
        <v>0</v>
      </c>
    </row>
    <row r="428" spans="1:68" ht="27" hidden="1" customHeight="1" x14ac:dyDescent="0.25">
      <c r="A428" s="63" t="s">
        <v>709</v>
      </c>
      <c r="B428" s="63" t="s">
        <v>710</v>
      </c>
      <c r="C428" s="36">
        <v>4301012083</v>
      </c>
      <c r="D428" s="654">
        <v>4680115884854</v>
      </c>
      <c r="E428" s="654"/>
      <c r="F428" s="62">
        <v>2.5</v>
      </c>
      <c r="G428" s="37">
        <v>6</v>
      </c>
      <c r="H428" s="62">
        <v>15</v>
      </c>
      <c r="I428" s="62">
        <v>15.47</v>
      </c>
      <c r="J428" s="37">
        <v>48</v>
      </c>
      <c r="K428" s="37" t="s">
        <v>127</v>
      </c>
      <c r="L428" s="37" t="s">
        <v>46</v>
      </c>
      <c r="M428" s="38" t="s">
        <v>126</v>
      </c>
      <c r="N428" s="38"/>
      <c r="O428" s="37">
        <v>60</v>
      </c>
      <c r="P428" s="726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8" s="656"/>
      <c r="R428" s="656"/>
      <c r="S428" s="656"/>
      <c r="T428" s="657"/>
      <c r="U428" s="39" t="s">
        <v>46</v>
      </c>
      <c r="V428" s="39" t="s">
        <v>46</v>
      </c>
      <c r="W428" s="40" t="s">
        <v>0</v>
      </c>
      <c r="X428" s="58">
        <v>0</v>
      </c>
      <c r="Y428" s="55">
        <f t="shared" si="68"/>
        <v>0</v>
      </c>
      <c r="Z428" s="41" t="str">
        <f>IFERROR(IF(Y428=0,"",ROUNDUP(Y428/H428,0)*0.02175),"")</f>
        <v/>
      </c>
      <c r="AA428" s="68" t="s">
        <v>46</v>
      </c>
      <c r="AB428" s="69" t="s">
        <v>46</v>
      </c>
      <c r="AC428" s="532" t="s">
        <v>711</v>
      </c>
      <c r="AG428" s="78"/>
      <c r="AJ428" s="84" t="s">
        <v>46</v>
      </c>
      <c r="AK428" s="84">
        <v>0</v>
      </c>
      <c r="BB428" s="533" t="s">
        <v>67</v>
      </c>
      <c r="BM428" s="78">
        <f t="shared" si="69"/>
        <v>0</v>
      </c>
      <c r="BN428" s="78">
        <f t="shared" si="70"/>
        <v>0</v>
      </c>
      <c r="BO428" s="78">
        <f t="shared" si="71"/>
        <v>0</v>
      </c>
      <c r="BP428" s="78">
        <f t="shared" si="72"/>
        <v>0</v>
      </c>
    </row>
    <row r="429" spans="1:68" ht="27" hidden="1" customHeight="1" x14ac:dyDescent="0.25">
      <c r="A429" s="63" t="s">
        <v>712</v>
      </c>
      <c r="B429" s="63" t="s">
        <v>713</v>
      </c>
      <c r="C429" s="36">
        <v>4301011867</v>
      </c>
      <c r="D429" s="654">
        <v>4680115884830</v>
      </c>
      <c r="E429" s="654"/>
      <c r="F429" s="62">
        <v>2.5</v>
      </c>
      <c r="G429" s="37">
        <v>6</v>
      </c>
      <c r="H429" s="62">
        <v>15</v>
      </c>
      <c r="I429" s="62">
        <v>15.47</v>
      </c>
      <c r="J429" s="37">
        <v>48</v>
      </c>
      <c r="K429" s="37" t="s">
        <v>127</v>
      </c>
      <c r="L429" s="37" t="s">
        <v>46</v>
      </c>
      <c r="M429" s="38" t="s">
        <v>81</v>
      </c>
      <c r="N429" s="38"/>
      <c r="O429" s="37">
        <v>60</v>
      </c>
      <c r="P429" s="719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9" s="656"/>
      <c r="R429" s="656"/>
      <c r="S429" s="656"/>
      <c r="T429" s="657"/>
      <c r="U429" s="39" t="s">
        <v>46</v>
      </c>
      <c r="V429" s="39" t="s">
        <v>46</v>
      </c>
      <c r="W429" s="40" t="s">
        <v>0</v>
      </c>
      <c r="X429" s="58">
        <v>0</v>
      </c>
      <c r="Y429" s="55">
        <f t="shared" si="68"/>
        <v>0</v>
      </c>
      <c r="Z429" s="41" t="str">
        <f>IFERROR(IF(Y429=0,"",ROUNDUP(Y429/H429,0)*0.02175),"")</f>
        <v/>
      </c>
      <c r="AA429" s="68" t="s">
        <v>46</v>
      </c>
      <c r="AB429" s="69" t="s">
        <v>46</v>
      </c>
      <c r="AC429" s="534" t="s">
        <v>714</v>
      </c>
      <c r="AG429" s="78"/>
      <c r="AJ429" s="84" t="s">
        <v>46</v>
      </c>
      <c r="AK429" s="84">
        <v>0</v>
      </c>
      <c r="BB429" s="535" t="s">
        <v>67</v>
      </c>
      <c r="BM429" s="78">
        <f t="shared" si="69"/>
        <v>0</v>
      </c>
      <c r="BN429" s="78">
        <f t="shared" si="70"/>
        <v>0</v>
      </c>
      <c r="BO429" s="78">
        <f t="shared" si="71"/>
        <v>0</v>
      </c>
      <c r="BP429" s="78">
        <f t="shared" si="72"/>
        <v>0</v>
      </c>
    </row>
    <row r="430" spans="1:68" ht="27" hidden="1" customHeight="1" x14ac:dyDescent="0.25">
      <c r="A430" s="63" t="s">
        <v>715</v>
      </c>
      <c r="B430" s="63" t="s">
        <v>716</v>
      </c>
      <c r="C430" s="36">
        <v>4301012356</v>
      </c>
      <c r="D430" s="654">
        <v>4680115889231</v>
      </c>
      <c r="E430" s="654"/>
      <c r="F430" s="62">
        <v>2.5</v>
      </c>
      <c r="G430" s="37">
        <v>6</v>
      </c>
      <c r="H430" s="62">
        <v>15</v>
      </c>
      <c r="I430" s="62">
        <v>15.47</v>
      </c>
      <c r="J430" s="37">
        <v>48</v>
      </c>
      <c r="K430" s="37" t="s">
        <v>127</v>
      </c>
      <c r="L430" s="37" t="s">
        <v>46</v>
      </c>
      <c r="M430" s="38" t="s">
        <v>97</v>
      </c>
      <c r="N430" s="38"/>
      <c r="O430" s="37">
        <v>60</v>
      </c>
      <c r="P430" s="720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0" s="656"/>
      <c r="R430" s="656"/>
      <c r="S430" s="656"/>
      <c r="T430" s="657"/>
      <c r="U430" s="39" t="s">
        <v>46</v>
      </c>
      <c r="V430" s="39" t="s">
        <v>46</v>
      </c>
      <c r="W430" s="40" t="s">
        <v>0</v>
      </c>
      <c r="X430" s="58">
        <v>0</v>
      </c>
      <c r="Y430" s="55">
        <f t="shared" si="68"/>
        <v>0</v>
      </c>
      <c r="Z430" s="41" t="str">
        <f>IFERROR(IF(Y430=0,"",ROUNDUP(Y430/H430,0)*0.02175),"")</f>
        <v/>
      </c>
      <c r="AA430" s="68" t="s">
        <v>46</v>
      </c>
      <c r="AB430" s="69" t="s">
        <v>46</v>
      </c>
      <c r="AC430" s="536" t="s">
        <v>717</v>
      </c>
      <c r="AG430" s="78"/>
      <c r="AJ430" s="84" t="s">
        <v>46</v>
      </c>
      <c r="AK430" s="84">
        <v>0</v>
      </c>
      <c r="BB430" s="537" t="s">
        <v>67</v>
      </c>
      <c r="BM430" s="78">
        <f t="shared" si="69"/>
        <v>0</v>
      </c>
      <c r="BN430" s="78">
        <f t="shared" si="70"/>
        <v>0</v>
      </c>
      <c r="BO430" s="78">
        <f t="shared" si="71"/>
        <v>0</v>
      </c>
      <c r="BP430" s="78">
        <f t="shared" si="72"/>
        <v>0</v>
      </c>
    </row>
    <row r="431" spans="1:68" ht="27" hidden="1" customHeight="1" x14ac:dyDescent="0.25">
      <c r="A431" s="63" t="s">
        <v>718</v>
      </c>
      <c r="B431" s="63" t="s">
        <v>719</v>
      </c>
      <c r="C431" s="36">
        <v>4301011433</v>
      </c>
      <c r="D431" s="654">
        <v>4680115882638</v>
      </c>
      <c r="E431" s="654"/>
      <c r="F431" s="62">
        <v>0.4</v>
      </c>
      <c r="G431" s="37">
        <v>10</v>
      </c>
      <c r="H431" s="62">
        <v>4</v>
      </c>
      <c r="I431" s="62">
        <v>4.1900000000000004</v>
      </c>
      <c r="J431" s="37">
        <v>132</v>
      </c>
      <c r="K431" s="37" t="s">
        <v>134</v>
      </c>
      <c r="L431" s="37" t="s">
        <v>46</v>
      </c>
      <c r="M431" s="38" t="s">
        <v>126</v>
      </c>
      <c r="N431" s="38"/>
      <c r="O431" s="37">
        <v>90</v>
      </c>
      <c r="P431" s="721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1" s="656"/>
      <c r="R431" s="656"/>
      <c r="S431" s="656"/>
      <c r="T431" s="657"/>
      <c r="U431" s="39" t="s">
        <v>46</v>
      </c>
      <c r="V431" s="39" t="s">
        <v>46</v>
      </c>
      <c r="W431" s="40" t="s">
        <v>0</v>
      </c>
      <c r="X431" s="58">
        <v>0</v>
      </c>
      <c r="Y431" s="55">
        <f t="shared" si="68"/>
        <v>0</v>
      </c>
      <c r="Z431" s="41" t="str">
        <f>IFERROR(IF(Y431=0,"",ROUNDUP(Y431/H431,0)*0.00902),"")</f>
        <v/>
      </c>
      <c r="AA431" s="68" t="s">
        <v>46</v>
      </c>
      <c r="AB431" s="69" t="s">
        <v>46</v>
      </c>
      <c r="AC431" s="538" t="s">
        <v>720</v>
      </c>
      <c r="AG431" s="78"/>
      <c r="AJ431" s="84" t="s">
        <v>46</v>
      </c>
      <c r="AK431" s="84">
        <v>0</v>
      </c>
      <c r="BB431" s="539" t="s">
        <v>67</v>
      </c>
      <c r="BM431" s="78">
        <f t="shared" si="69"/>
        <v>0</v>
      </c>
      <c r="BN431" s="78">
        <f t="shared" si="70"/>
        <v>0</v>
      </c>
      <c r="BO431" s="78">
        <f t="shared" si="71"/>
        <v>0</v>
      </c>
      <c r="BP431" s="78">
        <f t="shared" si="72"/>
        <v>0</v>
      </c>
    </row>
    <row r="432" spans="1:68" ht="27" hidden="1" customHeight="1" x14ac:dyDescent="0.25">
      <c r="A432" s="63" t="s">
        <v>721</v>
      </c>
      <c r="B432" s="63" t="s">
        <v>722</v>
      </c>
      <c r="C432" s="36">
        <v>4301011952</v>
      </c>
      <c r="D432" s="654">
        <v>4680115884922</v>
      </c>
      <c r="E432" s="654"/>
      <c r="F432" s="62">
        <v>0.5</v>
      </c>
      <c r="G432" s="37">
        <v>10</v>
      </c>
      <c r="H432" s="62">
        <v>5</v>
      </c>
      <c r="I432" s="62">
        <v>5.19</v>
      </c>
      <c r="J432" s="37">
        <v>132</v>
      </c>
      <c r="K432" s="37" t="s">
        <v>134</v>
      </c>
      <c r="L432" s="37" t="s">
        <v>46</v>
      </c>
      <c r="M432" s="38" t="s">
        <v>81</v>
      </c>
      <c r="N432" s="38"/>
      <c r="O432" s="37">
        <v>60</v>
      </c>
      <c r="P432" s="722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2" s="656"/>
      <c r="R432" s="656"/>
      <c r="S432" s="656"/>
      <c r="T432" s="657"/>
      <c r="U432" s="39" t="s">
        <v>46</v>
      </c>
      <c r="V432" s="39" t="s">
        <v>46</v>
      </c>
      <c r="W432" s="40" t="s">
        <v>0</v>
      </c>
      <c r="X432" s="58">
        <v>0</v>
      </c>
      <c r="Y432" s="55">
        <f t="shared" si="68"/>
        <v>0</v>
      </c>
      <c r="Z432" s="41" t="str">
        <f>IFERROR(IF(Y432=0,"",ROUNDUP(Y432/H432,0)*0.00902),"")</f>
        <v/>
      </c>
      <c r="AA432" s="68" t="s">
        <v>46</v>
      </c>
      <c r="AB432" s="69" t="s">
        <v>46</v>
      </c>
      <c r="AC432" s="540" t="s">
        <v>723</v>
      </c>
      <c r="AG432" s="78"/>
      <c r="AJ432" s="84" t="s">
        <v>46</v>
      </c>
      <c r="AK432" s="84">
        <v>0</v>
      </c>
      <c r="BB432" s="541" t="s">
        <v>67</v>
      </c>
      <c r="BM432" s="78">
        <f t="shared" si="69"/>
        <v>0</v>
      </c>
      <c r="BN432" s="78">
        <f t="shared" si="70"/>
        <v>0</v>
      </c>
      <c r="BO432" s="78">
        <f t="shared" si="71"/>
        <v>0</v>
      </c>
      <c r="BP432" s="78">
        <f t="shared" si="72"/>
        <v>0</v>
      </c>
    </row>
    <row r="433" spans="1:68" ht="37.5" hidden="1" customHeight="1" x14ac:dyDescent="0.25">
      <c r="A433" s="63" t="s">
        <v>724</v>
      </c>
      <c r="B433" s="63" t="s">
        <v>725</v>
      </c>
      <c r="C433" s="36">
        <v>4301011868</v>
      </c>
      <c r="D433" s="654">
        <v>4680115884861</v>
      </c>
      <c r="E433" s="654"/>
      <c r="F433" s="62">
        <v>0.5</v>
      </c>
      <c r="G433" s="37">
        <v>10</v>
      </c>
      <c r="H433" s="62">
        <v>5</v>
      </c>
      <c r="I433" s="62">
        <v>5.19</v>
      </c>
      <c r="J433" s="37">
        <v>132</v>
      </c>
      <c r="K433" s="37" t="s">
        <v>134</v>
      </c>
      <c r="L433" s="37" t="s">
        <v>46</v>
      </c>
      <c r="M433" s="38" t="s">
        <v>81</v>
      </c>
      <c r="N433" s="38"/>
      <c r="O433" s="37">
        <v>60</v>
      </c>
      <c r="P433" s="723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3" s="656"/>
      <c r="R433" s="656"/>
      <c r="S433" s="656"/>
      <c r="T433" s="657"/>
      <c r="U433" s="39" t="s">
        <v>46</v>
      </c>
      <c r="V433" s="39" t="s">
        <v>46</v>
      </c>
      <c r="W433" s="40" t="s">
        <v>0</v>
      </c>
      <c r="X433" s="58">
        <v>0</v>
      </c>
      <c r="Y433" s="55">
        <f t="shared" si="68"/>
        <v>0</v>
      </c>
      <c r="Z433" s="41" t="str">
        <f>IFERROR(IF(Y433=0,"",ROUNDUP(Y433/H433,0)*0.00902),"")</f>
        <v/>
      </c>
      <c r="AA433" s="68" t="s">
        <v>46</v>
      </c>
      <c r="AB433" s="69" t="s">
        <v>46</v>
      </c>
      <c r="AC433" s="542" t="s">
        <v>726</v>
      </c>
      <c r="AG433" s="78"/>
      <c r="AJ433" s="84" t="s">
        <v>46</v>
      </c>
      <c r="AK433" s="84">
        <v>0</v>
      </c>
      <c r="BB433" s="543" t="s">
        <v>67</v>
      </c>
      <c r="BM433" s="78">
        <f t="shared" si="69"/>
        <v>0</v>
      </c>
      <c r="BN433" s="78">
        <f t="shared" si="70"/>
        <v>0</v>
      </c>
      <c r="BO433" s="78">
        <f t="shared" si="71"/>
        <v>0</v>
      </c>
      <c r="BP433" s="78">
        <f t="shared" si="72"/>
        <v>0</v>
      </c>
    </row>
    <row r="434" spans="1:68" hidden="1" x14ac:dyDescent="0.2">
      <c r="A434" s="661"/>
      <c r="B434" s="661"/>
      <c r="C434" s="661"/>
      <c r="D434" s="661"/>
      <c r="E434" s="661"/>
      <c r="F434" s="661"/>
      <c r="G434" s="661"/>
      <c r="H434" s="661"/>
      <c r="I434" s="661"/>
      <c r="J434" s="661"/>
      <c r="K434" s="661"/>
      <c r="L434" s="661"/>
      <c r="M434" s="661"/>
      <c r="N434" s="661"/>
      <c r="O434" s="662"/>
      <c r="P434" s="658" t="s">
        <v>40</v>
      </c>
      <c r="Q434" s="659"/>
      <c r="R434" s="659"/>
      <c r="S434" s="659"/>
      <c r="T434" s="659"/>
      <c r="U434" s="659"/>
      <c r="V434" s="660"/>
      <c r="W434" s="42" t="s">
        <v>39</v>
      </c>
      <c r="X434" s="43">
        <f>IFERROR(X426/H426,"0")+IFERROR(X427/H427,"0")+IFERROR(X428/H428,"0")+IFERROR(X429/H429,"0")+IFERROR(X430/H430,"0")+IFERROR(X431/H431,"0")+IFERROR(X432/H432,"0")+IFERROR(X433/H433,"0")</f>
        <v>0</v>
      </c>
      <c r="Y434" s="43">
        <f>IFERROR(Y426/H426,"0")+IFERROR(Y427/H427,"0")+IFERROR(Y428/H428,"0")+IFERROR(Y429/H429,"0")+IFERROR(Y430/H430,"0")+IFERROR(Y431/H431,"0")+IFERROR(Y432/H432,"0")+IFERROR(Y433/H433,"0")</f>
        <v>0</v>
      </c>
      <c r="Z434" s="43">
        <f>IFERROR(IF(Z426="",0,Z426),"0")+IFERROR(IF(Z427="",0,Z427),"0")+IFERROR(IF(Z428="",0,Z428),"0")+IFERROR(IF(Z429="",0,Z429),"0")+IFERROR(IF(Z430="",0,Z430),"0")+IFERROR(IF(Z431="",0,Z431),"0")+IFERROR(IF(Z432="",0,Z432),"0")+IFERROR(IF(Z433="",0,Z433),"0")</f>
        <v>0</v>
      </c>
      <c r="AA434" s="67"/>
      <c r="AB434" s="67"/>
      <c r="AC434" s="67"/>
    </row>
    <row r="435" spans="1:68" hidden="1" x14ac:dyDescent="0.2">
      <c r="A435" s="661"/>
      <c r="B435" s="661"/>
      <c r="C435" s="661"/>
      <c r="D435" s="661"/>
      <c r="E435" s="661"/>
      <c r="F435" s="661"/>
      <c r="G435" s="661"/>
      <c r="H435" s="661"/>
      <c r="I435" s="661"/>
      <c r="J435" s="661"/>
      <c r="K435" s="661"/>
      <c r="L435" s="661"/>
      <c r="M435" s="661"/>
      <c r="N435" s="661"/>
      <c r="O435" s="662"/>
      <c r="P435" s="658" t="s">
        <v>40</v>
      </c>
      <c r="Q435" s="659"/>
      <c r="R435" s="659"/>
      <c r="S435" s="659"/>
      <c r="T435" s="659"/>
      <c r="U435" s="659"/>
      <c r="V435" s="660"/>
      <c r="W435" s="42" t="s">
        <v>0</v>
      </c>
      <c r="X435" s="43">
        <f>IFERROR(SUM(X426:X433),"0")</f>
        <v>0</v>
      </c>
      <c r="Y435" s="43">
        <f>IFERROR(SUM(Y426:Y433),"0")</f>
        <v>0</v>
      </c>
      <c r="Z435" s="42"/>
      <c r="AA435" s="67"/>
      <c r="AB435" s="67"/>
      <c r="AC435" s="67"/>
    </row>
    <row r="436" spans="1:68" ht="14.25" hidden="1" customHeight="1" x14ac:dyDescent="0.25">
      <c r="A436" s="653" t="s">
        <v>157</v>
      </c>
      <c r="B436" s="653"/>
      <c r="C436" s="653"/>
      <c r="D436" s="653"/>
      <c r="E436" s="653"/>
      <c r="F436" s="653"/>
      <c r="G436" s="653"/>
      <c r="H436" s="653"/>
      <c r="I436" s="653"/>
      <c r="J436" s="653"/>
      <c r="K436" s="653"/>
      <c r="L436" s="653"/>
      <c r="M436" s="653"/>
      <c r="N436" s="653"/>
      <c r="O436" s="653"/>
      <c r="P436" s="653"/>
      <c r="Q436" s="653"/>
      <c r="R436" s="653"/>
      <c r="S436" s="653"/>
      <c r="T436" s="653"/>
      <c r="U436" s="653"/>
      <c r="V436" s="653"/>
      <c r="W436" s="653"/>
      <c r="X436" s="653"/>
      <c r="Y436" s="653"/>
      <c r="Z436" s="653"/>
      <c r="AA436" s="66"/>
      <c r="AB436" s="66"/>
      <c r="AC436" s="80"/>
    </row>
    <row r="437" spans="1:68" ht="27" hidden="1" customHeight="1" x14ac:dyDescent="0.25">
      <c r="A437" s="63" t="s">
        <v>727</v>
      </c>
      <c r="B437" s="63" t="s">
        <v>728</v>
      </c>
      <c r="C437" s="36">
        <v>4301020178</v>
      </c>
      <c r="D437" s="654">
        <v>4607091383980</v>
      </c>
      <c r="E437" s="654"/>
      <c r="F437" s="62">
        <v>2.5</v>
      </c>
      <c r="G437" s="37">
        <v>6</v>
      </c>
      <c r="H437" s="62">
        <v>15</v>
      </c>
      <c r="I437" s="62">
        <v>15.47</v>
      </c>
      <c r="J437" s="37">
        <v>48</v>
      </c>
      <c r="K437" s="37" t="s">
        <v>127</v>
      </c>
      <c r="L437" s="37" t="s">
        <v>46</v>
      </c>
      <c r="M437" s="38" t="s">
        <v>126</v>
      </c>
      <c r="N437" s="38"/>
      <c r="O437" s="37">
        <v>50</v>
      </c>
      <c r="P437" s="716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7" s="656"/>
      <c r="R437" s="656"/>
      <c r="S437" s="656"/>
      <c r="T437" s="657"/>
      <c r="U437" s="39" t="s">
        <v>46</v>
      </c>
      <c r="V437" s="39" t="s">
        <v>46</v>
      </c>
      <c r="W437" s="40" t="s">
        <v>0</v>
      </c>
      <c r="X437" s="58">
        <v>0</v>
      </c>
      <c r="Y437" s="55">
        <f>IFERROR(IF(X437="",0,CEILING((X437/$H437),1)*$H437),"")</f>
        <v>0</v>
      </c>
      <c r="Z437" s="41" t="str">
        <f>IFERROR(IF(Y437=0,"",ROUNDUP(Y437/H437,0)*0.02175),"")</f>
        <v/>
      </c>
      <c r="AA437" s="68" t="s">
        <v>46</v>
      </c>
      <c r="AB437" s="69" t="s">
        <v>46</v>
      </c>
      <c r="AC437" s="544" t="s">
        <v>729</v>
      </c>
      <c r="AG437" s="78"/>
      <c r="AJ437" s="84" t="s">
        <v>46</v>
      </c>
      <c r="AK437" s="84">
        <v>0</v>
      </c>
      <c r="BB437" s="545" t="s">
        <v>67</v>
      </c>
      <c r="BM437" s="78">
        <f>IFERROR(X437*I437/H437,"0")</f>
        <v>0</v>
      </c>
      <c r="BN437" s="78">
        <f>IFERROR(Y437*I437/H437,"0")</f>
        <v>0</v>
      </c>
      <c r="BO437" s="78">
        <f>IFERROR(1/J437*(X437/H437),"0")</f>
        <v>0</v>
      </c>
      <c r="BP437" s="78">
        <f>IFERROR(1/J437*(Y437/H437),"0")</f>
        <v>0</v>
      </c>
    </row>
    <row r="438" spans="1:68" ht="27" hidden="1" customHeight="1" x14ac:dyDescent="0.25">
      <c r="A438" s="63" t="s">
        <v>730</v>
      </c>
      <c r="B438" s="63" t="s">
        <v>731</v>
      </c>
      <c r="C438" s="36">
        <v>4301020355</v>
      </c>
      <c r="D438" s="654">
        <v>4680115888425</v>
      </c>
      <c r="E438" s="654"/>
      <c r="F438" s="62">
        <v>2.5</v>
      </c>
      <c r="G438" s="37">
        <v>6</v>
      </c>
      <c r="H438" s="62">
        <v>15</v>
      </c>
      <c r="I438" s="62">
        <v>15.47</v>
      </c>
      <c r="J438" s="37">
        <v>48</v>
      </c>
      <c r="K438" s="37" t="s">
        <v>127</v>
      </c>
      <c r="L438" s="37" t="s">
        <v>46</v>
      </c>
      <c r="M438" s="38" t="s">
        <v>126</v>
      </c>
      <c r="N438" s="38"/>
      <c r="O438" s="37">
        <v>50</v>
      </c>
      <c r="P438" s="717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8" s="656"/>
      <c r="R438" s="656"/>
      <c r="S438" s="656"/>
      <c r="T438" s="657"/>
      <c r="U438" s="39" t="s">
        <v>46</v>
      </c>
      <c r="V438" s="39" t="s">
        <v>46</v>
      </c>
      <c r="W438" s="40" t="s">
        <v>0</v>
      </c>
      <c r="X438" s="58">
        <v>0</v>
      </c>
      <c r="Y438" s="55">
        <f>IFERROR(IF(X438="",0,CEILING((X438/$H438),1)*$H438),"")</f>
        <v>0</v>
      </c>
      <c r="Z438" s="41" t="str">
        <f>IFERROR(IF(Y438=0,"",ROUNDUP(Y438/H438,0)*0.02175),"")</f>
        <v/>
      </c>
      <c r="AA438" s="68" t="s">
        <v>46</v>
      </c>
      <c r="AB438" s="69" t="s">
        <v>46</v>
      </c>
      <c r="AC438" s="546" t="s">
        <v>732</v>
      </c>
      <c r="AG438" s="78"/>
      <c r="AJ438" s="84" t="s">
        <v>46</v>
      </c>
      <c r="AK438" s="84">
        <v>0</v>
      </c>
      <c r="BB438" s="547" t="s">
        <v>67</v>
      </c>
      <c r="BM438" s="78">
        <f>IFERROR(X438*I438/H438,"0")</f>
        <v>0</v>
      </c>
      <c r="BN438" s="78">
        <f>IFERROR(Y438*I438/H438,"0")</f>
        <v>0</v>
      </c>
      <c r="BO438" s="78">
        <f>IFERROR(1/J438*(X438/H438),"0")</f>
        <v>0</v>
      </c>
      <c r="BP438" s="78">
        <f>IFERROR(1/J438*(Y438/H438),"0")</f>
        <v>0</v>
      </c>
    </row>
    <row r="439" spans="1:68" ht="27" hidden="1" customHeight="1" x14ac:dyDescent="0.25">
      <c r="A439" s="63" t="s">
        <v>733</v>
      </c>
      <c r="B439" s="63" t="s">
        <v>734</v>
      </c>
      <c r="C439" s="36">
        <v>4301020179</v>
      </c>
      <c r="D439" s="654">
        <v>4607091384178</v>
      </c>
      <c r="E439" s="654"/>
      <c r="F439" s="62">
        <v>0.4</v>
      </c>
      <c r="G439" s="37">
        <v>10</v>
      </c>
      <c r="H439" s="62">
        <v>4</v>
      </c>
      <c r="I439" s="62">
        <v>4.1900000000000004</v>
      </c>
      <c r="J439" s="37">
        <v>132</v>
      </c>
      <c r="K439" s="37" t="s">
        <v>134</v>
      </c>
      <c r="L439" s="37" t="s">
        <v>46</v>
      </c>
      <c r="M439" s="38" t="s">
        <v>126</v>
      </c>
      <c r="N439" s="38"/>
      <c r="O439" s="37">
        <v>50</v>
      </c>
      <c r="P439" s="718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9" s="656"/>
      <c r="R439" s="656"/>
      <c r="S439" s="656"/>
      <c r="T439" s="657"/>
      <c r="U439" s="39" t="s">
        <v>46</v>
      </c>
      <c r="V439" s="39" t="s">
        <v>46</v>
      </c>
      <c r="W439" s="40" t="s">
        <v>0</v>
      </c>
      <c r="X439" s="58">
        <v>0</v>
      </c>
      <c r="Y439" s="55">
        <f>IFERROR(IF(X439="",0,CEILING((X439/$H439),1)*$H439),"")</f>
        <v>0</v>
      </c>
      <c r="Z439" s="41" t="str">
        <f>IFERROR(IF(Y439=0,"",ROUNDUP(Y439/H439,0)*0.00902),"")</f>
        <v/>
      </c>
      <c r="AA439" s="68" t="s">
        <v>46</v>
      </c>
      <c r="AB439" s="69" t="s">
        <v>46</v>
      </c>
      <c r="AC439" s="548" t="s">
        <v>735</v>
      </c>
      <c r="AG439" s="78"/>
      <c r="AJ439" s="84" t="s">
        <v>46</v>
      </c>
      <c r="AK439" s="84">
        <v>0</v>
      </c>
      <c r="BB439" s="549" t="s">
        <v>67</v>
      </c>
      <c r="BM439" s="78">
        <f>IFERROR(X439*I439/H439,"0")</f>
        <v>0</v>
      </c>
      <c r="BN439" s="78">
        <f>IFERROR(Y439*I439/H439,"0")</f>
        <v>0</v>
      </c>
      <c r="BO439" s="78">
        <f>IFERROR(1/J439*(X439/H439),"0")</f>
        <v>0</v>
      </c>
      <c r="BP439" s="78">
        <f>IFERROR(1/J439*(Y439/H439),"0")</f>
        <v>0</v>
      </c>
    </row>
    <row r="440" spans="1:68" hidden="1" x14ac:dyDescent="0.2">
      <c r="A440" s="661"/>
      <c r="B440" s="661"/>
      <c r="C440" s="661"/>
      <c r="D440" s="661"/>
      <c r="E440" s="661"/>
      <c r="F440" s="661"/>
      <c r="G440" s="661"/>
      <c r="H440" s="661"/>
      <c r="I440" s="661"/>
      <c r="J440" s="661"/>
      <c r="K440" s="661"/>
      <c r="L440" s="661"/>
      <c r="M440" s="661"/>
      <c r="N440" s="661"/>
      <c r="O440" s="662"/>
      <c r="P440" s="658" t="s">
        <v>40</v>
      </c>
      <c r="Q440" s="659"/>
      <c r="R440" s="659"/>
      <c r="S440" s="659"/>
      <c r="T440" s="659"/>
      <c r="U440" s="659"/>
      <c r="V440" s="660"/>
      <c r="W440" s="42" t="s">
        <v>39</v>
      </c>
      <c r="X440" s="43">
        <f>IFERROR(X437/H437,"0")+IFERROR(X438/H438,"0")+IFERROR(X439/H439,"0")</f>
        <v>0</v>
      </c>
      <c r="Y440" s="43">
        <f>IFERROR(Y437/H437,"0")+IFERROR(Y438/H438,"0")+IFERROR(Y439/H439,"0")</f>
        <v>0</v>
      </c>
      <c r="Z440" s="43">
        <f>IFERROR(IF(Z437="",0,Z437),"0")+IFERROR(IF(Z438="",0,Z438),"0")+IFERROR(IF(Z439="",0,Z439),"0")</f>
        <v>0</v>
      </c>
      <c r="AA440" s="67"/>
      <c r="AB440" s="67"/>
      <c r="AC440" s="67"/>
    </row>
    <row r="441" spans="1:68" hidden="1" x14ac:dyDescent="0.2">
      <c r="A441" s="661"/>
      <c r="B441" s="661"/>
      <c r="C441" s="661"/>
      <c r="D441" s="661"/>
      <c r="E441" s="661"/>
      <c r="F441" s="661"/>
      <c r="G441" s="661"/>
      <c r="H441" s="661"/>
      <c r="I441" s="661"/>
      <c r="J441" s="661"/>
      <c r="K441" s="661"/>
      <c r="L441" s="661"/>
      <c r="M441" s="661"/>
      <c r="N441" s="661"/>
      <c r="O441" s="662"/>
      <c r="P441" s="658" t="s">
        <v>40</v>
      </c>
      <c r="Q441" s="659"/>
      <c r="R441" s="659"/>
      <c r="S441" s="659"/>
      <c r="T441" s="659"/>
      <c r="U441" s="659"/>
      <c r="V441" s="660"/>
      <c r="W441" s="42" t="s">
        <v>0</v>
      </c>
      <c r="X441" s="43">
        <f>IFERROR(SUM(X437:X439),"0")</f>
        <v>0</v>
      </c>
      <c r="Y441" s="43">
        <f>IFERROR(SUM(Y437:Y439),"0")</f>
        <v>0</v>
      </c>
      <c r="Z441" s="42"/>
      <c r="AA441" s="67"/>
      <c r="AB441" s="67"/>
      <c r="AC441" s="67"/>
    </row>
    <row r="442" spans="1:68" ht="14.25" hidden="1" customHeight="1" x14ac:dyDescent="0.25">
      <c r="A442" s="653" t="s">
        <v>86</v>
      </c>
      <c r="B442" s="653"/>
      <c r="C442" s="653"/>
      <c r="D442" s="653"/>
      <c r="E442" s="653"/>
      <c r="F442" s="653"/>
      <c r="G442" s="653"/>
      <c r="H442" s="653"/>
      <c r="I442" s="653"/>
      <c r="J442" s="653"/>
      <c r="K442" s="653"/>
      <c r="L442" s="653"/>
      <c r="M442" s="653"/>
      <c r="N442" s="653"/>
      <c r="O442" s="653"/>
      <c r="P442" s="653"/>
      <c r="Q442" s="653"/>
      <c r="R442" s="653"/>
      <c r="S442" s="653"/>
      <c r="T442" s="653"/>
      <c r="U442" s="653"/>
      <c r="V442" s="653"/>
      <c r="W442" s="653"/>
      <c r="X442" s="653"/>
      <c r="Y442" s="653"/>
      <c r="Z442" s="653"/>
      <c r="AA442" s="66"/>
      <c r="AB442" s="66"/>
      <c r="AC442" s="80"/>
    </row>
    <row r="443" spans="1:68" ht="27" hidden="1" customHeight="1" x14ac:dyDescent="0.25">
      <c r="A443" s="63" t="s">
        <v>736</v>
      </c>
      <c r="B443" s="63" t="s">
        <v>737</v>
      </c>
      <c r="C443" s="36">
        <v>4301051903</v>
      </c>
      <c r="D443" s="654">
        <v>4607091383928</v>
      </c>
      <c r="E443" s="654"/>
      <c r="F443" s="62">
        <v>1.5</v>
      </c>
      <c r="G443" s="37">
        <v>6</v>
      </c>
      <c r="H443" s="62">
        <v>9</v>
      </c>
      <c r="I443" s="62">
        <v>9.5</v>
      </c>
      <c r="J443" s="37">
        <v>64</v>
      </c>
      <c r="K443" s="37" t="s">
        <v>127</v>
      </c>
      <c r="L443" s="37" t="s">
        <v>46</v>
      </c>
      <c r="M443" s="38" t="s">
        <v>90</v>
      </c>
      <c r="N443" s="38"/>
      <c r="O443" s="37">
        <v>40</v>
      </c>
      <c r="P443" s="71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3" s="656"/>
      <c r="R443" s="656"/>
      <c r="S443" s="656"/>
      <c r="T443" s="657"/>
      <c r="U443" s="39" t="s">
        <v>46</v>
      </c>
      <c r="V443" s="39" t="s">
        <v>46</v>
      </c>
      <c r="W443" s="40" t="s">
        <v>0</v>
      </c>
      <c r="X443" s="58">
        <v>0</v>
      </c>
      <c r="Y443" s="55">
        <f>IFERROR(IF(X443="",0,CEILING((X443/$H443),1)*$H443),"")</f>
        <v>0</v>
      </c>
      <c r="Z443" s="41" t="str">
        <f>IFERROR(IF(Y443=0,"",ROUNDUP(Y443/H443,0)*0.01898),"")</f>
        <v/>
      </c>
      <c r="AA443" s="68" t="s">
        <v>46</v>
      </c>
      <c r="AB443" s="69" t="s">
        <v>46</v>
      </c>
      <c r="AC443" s="550" t="s">
        <v>738</v>
      </c>
      <c r="AG443" s="78"/>
      <c r="AJ443" s="84" t="s">
        <v>46</v>
      </c>
      <c r="AK443" s="84">
        <v>0</v>
      </c>
      <c r="BB443" s="551" t="s">
        <v>67</v>
      </c>
      <c r="BM443" s="78">
        <f>IFERROR(X443*I443/H443,"0")</f>
        <v>0</v>
      </c>
      <c r="BN443" s="78">
        <f>IFERROR(Y443*I443/H443,"0")</f>
        <v>0</v>
      </c>
      <c r="BO443" s="78">
        <f>IFERROR(1/J443*(X443/H443),"0")</f>
        <v>0</v>
      </c>
      <c r="BP443" s="78">
        <f>IFERROR(1/J443*(Y443/H443),"0")</f>
        <v>0</v>
      </c>
    </row>
    <row r="444" spans="1:68" ht="27" hidden="1" customHeight="1" x14ac:dyDescent="0.25">
      <c r="A444" s="63" t="s">
        <v>739</v>
      </c>
      <c r="B444" s="63" t="s">
        <v>740</v>
      </c>
      <c r="C444" s="36">
        <v>4301051897</v>
      </c>
      <c r="D444" s="654">
        <v>4607091384260</v>
      </c>
      <c r="E444" s="654"/>
      <c r="F444" s="62">
        <v>1.5</v>
      </c>
      <c r="G444" s="37">
        <v>6</v>
      </c>
      <c r="H444" s="62">
        <v>9</v>
      </c>
      <c r="I444" s="62">
        <v>9.4939999999999998</v>
      </c>
      <c r="J444" s="37">
        <v>64</v>
      </c>
      <c r="K444" s="37" t="s">
        <v>127</v>
      </c>
      <c r="L444" s="37" t="s">
        <v>46</v>
      </c>
      <c r="M444" s="38" t="s">
        <v>90</v>
      </c>
      <c r="N444" s="38"/>
      <c r="O444" s="37">
        <v>40</v>
      </c>
      <c r="P444" s="714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4" s="656"/>
      <c r="R444" s="656"/>
      <c r="S444" s="656"/>
      <c r="T444" s="657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IFERROR(IF(Y444=0,"",ROUNDUP(Y444/H444,0)*0.01898),"")</f>
        <v/>
      </c>
      <c r="AA444" s="68" t="s">
        <v>46</v>
      </c>
      <c r="AB444" s="69" t="s">
        <v>46</v>
      </c>
      <c r="AC444" s="552" t="s">
        <v>741</v>
      </c>
      <c r="AG444" s="78"/>
      <c r="AJ444" s="84" t="s">
        <v>46</v>
      </c>
      <c r="AK444" s="84">
        <v>0</v>
      </c>
      <c r="BB444" s="553" t="s">
        <v>67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t="27" hidden="1" customHeight="1" x14ac:dyDescent="0.25">
      <c r="A445" s="63" t="s">
        <v>742</v>
      </c>
      <c r="B445" s="63" t="s">
        <v>743</v>
      </c>
      <c r="C445" s="36">
        <v>4301052220</v>
      </c>
      <c r="D445" s="654">
        <v>4680115889538</v>
      </c>
      <c r="E445" s="654"/>
      <c r="F445" s="62">
        <v>0.8</v>
      </c>
      <c r="G445" s="37">
        <v>6</v>
      </c>
      <c r="H445" s="62">
        <v>4.8</v>
      </c>
      <c r="I445" s="62">
        <v>5.2160000000000002</v>
      </c>
      <c r="J445" s="37">
        <v>104</v>
      </c>
      <c r="K445" s="37" t="s">
        <v>127</v>
      </c>
      <c r="L445" s="37" t="s">
        <v>46</v>
      </c>
      <c r="M445" s="38" t="s">
        <v>90</v>
      </c>
      <c r="N445" s="38"/>
      <c r="O445" s="37">
        <v>45</v>
      </c>
      <c r="P445" s="715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5" s="656"/>
      <c r="R445" s="656"/>
      <c r="S445" s="656"/>
      <c r="T445" s="657"/>
      <c r="U445" s="39" t="s">
        <v>46</v>
      </c>
      <c r="V445" s="39" t="s">
        <v>46</v>
      </c>
      <c r="W445" s="40" t="s">
        <v>0</v>
      </c>
      <c r="X445" s="58">
        <v>0</v>
      </c>
      <c r="Y445" s="55">
        <f>IFERROR(IF(X445="",0,CEILING((X445/$H445),1)*$H445),"")</f>
        <v>0</v>
      </c>
      <c r="Z445" s="41" t="str">
        <f>IFERROR(IF(Y445=0,"",ROUNDUP(Y445/H445,0)*0.01196),"")</f>
        <v/>
      </c>
      <c r="AA445" s="68" t="s">
        <v>46</v>
      </c>
      <c r="AB445" s="69" t="s">
        <v>46</v>
      </c>
      <c r="AC445" s="554" t="s">
        <v>744</v>
      </c>
      <c r="AG445" s="78"/>
      <c r="AJ445" s="84" t="s">
        <v>46</v>
      </c>
      <c r="AK445" s="84">
        <v>0</v>
      </c>
      <c r="BB445" s="555" t="s">
        <v>67</v>
      </c>
      <c r="BM445" s="78">
        <f>IFERROR(X445*I445/H445,"0")</f>
        <v>0</v>
      </c>
      <c r="BN445" s="78">
        <f>IFERROR(Y445*I445/H445,"0")</f>
        <v>0</v>
      </c>
      <c r="BO445" s="78">
        <f>IFERROR(1/J445*(X445/H445),"0")</f>
        <v>0</v>
      </c>
      <c r="BP445" s="78">
        <f>IFERROR(1/J445*(Y445/H445),"0")</f>
        <v>0</v>
      </c>
    </row>
    <row r="446" spans="1:68" hidden="1" x14ac:dyDescent="0.2">
      <c r="A446" s="661"/>
      <c r="B446" s="661"/>
      <c r="C446" s="661"/>
      <c r="D446" s="661"/>
      <c r="E446" s="661"/>
      <c r="F446" s="661"/>
      <c r="G446" s="661"/>
      <c r="H446" s="661"/>
      <c r="I446" s="661"/>
      <c r="J446" s="661"/>
      <c r="K446" s="661"/>
      <c r="L446" s="661"/>
      <c r="M446" s="661"/>
      <c r="N446" s="661"/>
      <c r="O446" s="662"/>
      <c r="P446" s="658" t="s">
        <v>40</v>
      </c>
      <c r="Q446" s="659"/>
      <c r="R446" s="659"/>
      <c r="S446" s="659"/>
      <c r="T446" s="659"/>
      <c r="U446" s="659"/>
      <c r="V446" s="660"/>
      <c r="W446" s="42" t="s">
        <v>39</v>
      </c>
      <c r="X446" s="43">
        <f>IFERROR(X443/H443,"0")+IFERROR(X444/H444,"0")+IFERROR(X445/H445,"0")</f>
        <v>0</v>
      </c>
      <c r="Y446" s="43">
        <f>IFERROR(Y443/H443,"0")+IFERROR(Y444/H444,"0")+IFERROR(Y445/H445,"0")</f>
        <v>0</v>
      </c>
      <c r="Z446" s="43">
        <f>IFERROR(IF(Z443="",0,Z443),"0")+IFERROR(IF(Z444="",0,Z444),"0")+IFERROR(IF(Z445="",0,Z445),"0")</f>
        <v>0</v>
      </c>
      <c r="AA446" s="67"/>
      <c r="AB446" s="67"/>
      <c r="AC446" s="67"/>
    </row>
    <row r="447" spans="1:68" hidden="1" x14ac:dyDescent="0.2">
      <c r="A447" s="661"/>
      <c r="B447" s="661"/>
      <c r="C447" s="661"/>
      <c r="D447" s="661"/>
      <c r="E447" s="661"/>
      <c r="F447" s="661"/>
      <c r="G447" s="661"/>
      <c r="H447" s="661"/>
      <c r="I447" s="661"/>
      <c r="J447" s="661"/>
      <c r="K447" s="661"/>
      <c r="L447" s="661"/>
      <c r="M447" s="661"/>
      <c r="N447" s="661"/>
      <c r="O447" s="662"/>
      <c r="P447" s="658" t="s">
        <v>40</v>
      </c>
      <c r="Q447" s="659"/>
      <c r="R447" s="659"/>
      <c r="S447" s="659"/>
      <c r="T447" s="659"/>
      <c r="U447" s="659"/>
      <c r="V447" s="660"/>
      <c r="W447" s="42" t="s">
        <v>0</v>
      </c>
      <c r="X447" s="43">
        <f>IFERROR(SUM(X443:X445),"0")</f>
        <v>0</v>
      </c>
      <c r="Y447" s="43">
        <f>IFERROR(SUM(Y443:Y445),"0")</f>
        <v>0</v>
      </c>
      <c r="Z447" s="42"/>
      <c r="AA447" s="67"/>
      <c r="AB447" s="67"/>
      <c r="AC447" s="67"/>
    </row>
    <row r="448" spans="1:68" ht="14.25" hidden="1" customHeight="1" x14ac:dyDescent="0.25">
      <c r="A448" s="653" t="s">
        <v>175</v>
      </c>
      <c r="B448" s="653"/>
      <c r="C448" s="653"/>
      <c r="D448" s="653"/>
      <c r="E448" s="653"/>
      <c r="F448" s="653"/>
      <c r="G448" s="653"/>
      <c r="H448" s="653"/>
      <c r="I448" s="653"/>
      <c r="J448" s="653"/>
      <c r="K448" s="653"/>
      <c r="L448" s="653"/>
      <c r="M448" s="653"/>
      <c r="N448" s="653"/>
      <c r="O448" s="653"/>
      <c r="P448" s="653"/>
      <c r="Q448" s="653"/>
      <c r="R448" s="653"/>
      <c r="S448" s="653"/>
      <c r="T448" s="653"/>
      <c r="U448" s="653"/>
      <c r="V448" s="653"/>
      <c r="W448" s="653"/>
      <c r="X448" s="653"/>
      <c r="Y448" s="653"/>
      <c r="Z448" s="653"/>
      <c r="AA448" s="66"/>
      <c r="AB448" s="66"/>
      <c r="AC448" s="80"/>
    </row>
    <row r="449" spans="1:68" ht="27" hidden="1" customHeight="1" x14ac:dyDescent="0.25">
      <c r="A449" s="63" t="s">
        <v>745</v>
      </c>
      <c r="B449" s="63" t="s">
        <v>746</v>
      </c>
      <c r="C449" s="36">
        <v>4301060537</v>
      </c>
      <c r="D449" s="654">
        <v>4680115889545</v>
      </c>
      <c r="E449" s="654"/>
      <c r="F449" s="62">
        <v>0.7</v>
      </c>
      <c r="G449" s="37">
        <v>6</v>
      </c>
      <c r="H449" s="62">
        <v>4.2</v>
      </c>
      <c r="I449" s="62">
        <v>4.6159999999999997</v>
      </c>
      <c r="J449" s="37">
        <v>104</v>
      </c>
      <c r="K449" s="37" t="s">
        <v>127</v>
      </c>
      <c r="L449" s="37" t="s">
        <v>46</v>
      </c>
      <c r="M449" s="38" t="s">
        <v>90</v>
      </c>
      <c r="N449" s="38"/>
      <c r="O449" s="37">
        <v>30</v>
      </c>
      <c r="P449" s="711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9" s="656"/>
      <c r="R449" s="656"/>
      <c r="S449" s="656"/>
      <c r="T449" s="657"/>
      <c r="U449" s="39" t="s">
        <v>46</v>
      </c>
      <c r="V449" s="39" t="s">
        <v>46</v>
      </c>
      <c r="W449" s="40" t="s">
        <v>0</v>
      </c>
      <c r="X449" s="58">
        <v>0</v>
      </c>
      <c r="Y449" s="55">
        <f>IFERROR(IF(X449="",0,CEILING((X449/$H449),1)*$H449),"")</f>
        <v>0</v>
      </c>
      <c r="Z449" s="41" t="str">
        <f>IFERROR(IF(Y449=0,"",ROUNDUP(Y449/H449,0)*0.01196),"")</f>
        <v/>
      </c>
      <c r="AA449" s="68" t="s">
        <v>46</v>
      </c>
      <c r="AB449" s="69" t="s">
        <v>46</v>
      </c>
      <c r="AC449" s="556" t="s">
        <v>747</v>
      </c>
      <c r="AG449" s="78"/>
      <c r="AJ449" s="84" t="s">
        <v>46</v>
      </c>
      <c r="AK449" s="84">
        <v>0</v>
      </c>
      <c r="BB449" s="557" t="s">
        <v>67</v>
      </c>
      <c r="BM449" s="78">
        <f>IFERROR(X449*I449/H449,"0")</f>
        <v>0</v>
      </c>
      <c r="BN449" s="78">
        <f>IFERROR(Y449*I449/H449,"0")</f>
        <v>0</v>
      </c>
      <c r="BO449" s="78">
        <f>IFERROR(1/J449*(X449/H449),"0")</f>
        <v>0</v>
      </c>
      <c r="BP449" s="78">
        <f>IFERROR(1/J449*(Y449/H449),"0")</f>
        <v>0</v>
      </c>
    </row>
    <row r="450" spans="1:68" ht="16.5" hidden="1" customHeight="1" x14ac:dyDescent="0.25">
      <c r="A450" s="63" t="s">
        <v>748</v>
      </c>
      <c r="B450" s="63" t="s">
        <v>749</v>
      </c>
      <c r="C450" s="36">
        <v>4301060524</v>
      </c>
      <c r="D450" s="654">
        <v>4607091384673</v>
      </c>
      <c r="E450" s="654"/>
      <c r="F450" s="62">
        <v>1.5</v>
      </c>
      <c r="G450" s="37">
        <v>6</v>
      </c>
      <c r="H450" s="62">
        <v>9</v>
      </c>
      <c r="I450" s="62">
        <v>9.4939999999999998</v>
      </c>
      <c r="J450" s="37">
        <v>64</v>
      </c>
      <c r="K450" s="37" t="s">
        <v>127</v>
      </c>
      <c r="L450" s="37" t="s">
        <v>46</v>
      </c>
      <c r="M450" s="38" t="s">
        <v>90</v>
      </c>
      <c r="N450" s="38"/>
      <c r="O450" s="37">
        <v>40</v>
      </c>
      <c r="P450" s="712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0" s="656"/>
      <c r="R450" s="656"/>
      <c r="S450" s="656"/>
      <c r="T450" s="657"/>
      <c r="U450" s="39" t="s">
        <v>46</v>
      </c>
      <c r="V450" s="39" t="s">
        <v>46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IFERROR(IF(Y450=0,"",ROUNDUP(Y450/H450,0)*0.01898),"")</f>
        <v/>
      </c>
      <c r="AA450" s="68" t="s">
        <v>46</v>
      </c>
      <c r="AB450" s="69" t="s">
        <v>46</v>
      </c>
      <c r="AC450" s="558" t="s">
        <v>750</v>
      </c>
      <c r="AG450" s="78"/>
      <c r="AJ450" s="84" t="s">
        <v>46</v>
      </c>
      <c r="AK450" s="84">
        <v>0</v>
      </c>
      <c r="BB450" s="559" t="s">
        <v>67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hidden="1" x14ac:dyDescent="0.2">
      <c r="A451" s="661"/>
      <c r="B451" s="661"/>
      <c r="C451" s="661"/>
      <c r="D451" s="661"/>
      <c r="E451" s="661"/>
      <c r="F451" s="661"/>
      <c r="G451" s="661"/>
      <c r="H451" s="661"/>
      <c r="I451" s="661"/>
      <c r="J451" s="661"/>
      <c r="K451" s="661"/>
      <c r="L451" s="661"/>
      <c r="M451" s="661"/>
      <c r="N451" s="661"/>
      <c r="O451" s="662"/>
      <c r="P451" s="658" t="s">
        <v>40</v>
      </c>
      <c r="Q451" s="659"/>
      <c r="R451" s="659"/>
      <c r="S451" s="659"/>
      <c r="T451" s="659"/>
      <c r="U451" s="659"/>
      <c r="V451" s="660"/>
      <c r="W451" s="42" t="s">
        <v>39</v>
      </c>
      <c r="X451" s="43">
        <f>IFERROR(X449/H449,"0")+IFERROR(X450/H450,"0")</f>
        <v>0</v>
      </c>
      <c r="Y451" s="43">
        <f>IFERROR(Y449/H449,"0")+IFERROR(Y450/H450,"0")</f>
        <v>0</v>
      </c>
      <c r="Z451" s="43">
        <f>IFERROR(IF(Z449="",0,Z449),"0")+IFERROR(IF(Z450="",0,Z450),"0")</f>
        <v>0</v>
      </c>
      <c r="AA451" s="67"/>
      <c r="AB451" s="67"/>
      <c r="AC451" s="67"/>
    </row>
    <row r="452" spans="1:68" hidden="1" x14ac:dyDescent="0.2">
      <c r="A452" s="661"/>
      <c r="B452" s="661"/>
      <c r="C452" s="661"/>
      <c r="D452" s="661"/>
      <c r="E452" s="661"/>
      <c r="F452" s="661"/>
      <c r="G452" s="661"/>
      <c r="H452" s="661"/>
      <c r="I452" s="661"/>
      <c r="J452" s="661"/>
      <c r="K452" s="661"/>
      <c r="L452" s="661"/>
      <c r="M452" s="661"/>
      <c r="N452" s="661"/>
      <c r="O452" s="662"/>
      <c r="P452" s="658" t="s">
        <v>40</v>
      </c>
      <c r="Q452" s="659"/>
      <c r="R452" s="659"/>
      <c r="S452" s="659"/>
      <c r="T452" s="659"/>
      <c r="U452" s="659"/>
      <c r="V452" s="660"/>
      <c r="W452" s="42" t="s">
        <v>0</v>
      </c>
      <c r="X452" s="43">
        <f>IFERROR(SUM(X449:X450),"0")</f>
        <v>0</v>
      </c>
      <c r="Y452" s="43">
        <f>IFERROR(SUM(Y449:Y450),"0")</f>
        <v>0</v>
      </c>
      <c r="Z452" s="42"/>
      <c r="AA452" s="67"/>
      <c r="AB452" s="67"/>
      <c r="AC452" s="67"/>
    </row>
    <row r="453" spans="1:68" ht="16.5" hidden="1" customHeight="1" x14ac:dyDescent="0.25">
      <c r="A453" s="652" t="s">
        <v>751</v>
      </c>
      <c r="B453" s="652"/>
      <c r="C453" s="652"/>
      <c r="D453" s="652"/>
      <c r="E453" s="652"/>
      <c r="F453" s="652"/>
      <c r="G453" s="652"/>
      <c r="H453" s="652"/>
      <c r="I453" s="652"/>
      <c r="J453" s="652"/>
      <c r="K453" s="652"/>
      <c r="L453" s="652"/>
      <c r="M453" s="652"/>
      <c r="N453" s="652"/>
      <c r="O453" s="652"/>
      <c r="P453" s="652"/>
      <c r="Q453" s="652"/>
      <c r="R453" s="652"/>
      <c r="S453" s="652"/>
      <c r="T453" s="652"/>
      <c r="U453" s="652"/>
      <c r="V453" s="652"/>
      <c r="W453" s="652"/>
      <c r="X453" s="652"/>
      <c r="Y453" s="652"/>
      <c r="Z453" s="652"/>
      <c r="AA453" s="65"/>
      <c r="AB453" s="65"/>
      <c r="AC453" s="79"/>
    </row>
    <row r="454" spans="1:68" ht="14.25" hidden="1" customHeight="1" x14ac:dyDescent="0.25">
      <c r="A454" s="653" t="s">
        <v>122</v>
      </c>
      <c r="B454" s="653"/>
      <c r="C454" s="653"/>
      <c r="D454" s="653"/>
      <c r="E454" s="653"/>
      <c r="F454" s="653"/>
      <c r="G454" s="653"/>
      <c r="H454" s="653"/>
      <c r="I454" s="653"/>
      <c r="J454" s="653"/>
      <c r="K454" s="653"/>
      <c r="L454" s="653"/>
      <c r="M454" s="653"/>
      <c r="N454" s="653"/>
      <c r="O454" s="653"/>
      <c r="P454" s="653"/>
      <c r="Q454" s="653"/>
      <c r="R454" s="653"/>
      <c r="S454" s="653"/>
      <c r="T454" s="653"/>
      <c r="U454" s="653"/>
      <c r="V454" s="653"/>
      <c r="W454" s="653"/>
      <c r="X454" s="653"/>
      <c r="Y454" s="653"/>
      <c r="Z454" s="653"/>
      <c r="AA454" s="66"/>
      <c r="AB454" s="66"/>
      <c r="AC454" s="80"/>
    </row>
    <row r="455" spans="1:68" ht="27" hidden="1" customHeight="1" x14ac:dyDescent="0.25">
      <c r="A455" s="63" t="s">
        <v>752</v>
      </c>
      <c r="B455" s="63" t="s">
        <v>753</v>
      </c>
      <c r="C455" s="36">
        <v>4301011875</v>
      </c>
      <c r="D455" s="654">
        <v>4680115884885</v>
      </c>
      <c r="E455" s="654"/>
      <c r="F455" s="62">
        <v>0.8</v>
      </c>
      <c r="G455" s="37">
        <v>15</v>
      </c>
      <c r="H455" s="62">
        <v>12</v>
      </c>
      <c r="I455" s="62">
        <v>12.41</v>
      </c>
      <c r="J455" s="37">
        <v>64</v>
      </c>
      <c r="K455" s="37" t="s">
        <v>127</v>
      </c>
      <c r="L455" s="37" t="s">
        <v>46</v>
      </c>
      <c r="M455" s="38" t="s">
        <v>81</v>
      </c>
      <c r="N455" s="38"/>
      <c r="O455" s="37">
        <v>60</v>
      </c>
      <c r="P455" s="70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5" s="656"/>
      <c r="R455" s="656"/>
      <c r="S455" s="656"/>
      <c r="T455" s="657"/>
      <c r="U455" s="39" t="s">
        <v>46</v>
      </c>
      <c r="V455" s="39" t="s">
        <v>46</v>
      </c>
      <c r="W455" s="40" t="s">
        <v>0</v>
      </c>
      <c r="X455" s="58">
        <v>0</v>
      </c>
      <c r="Y455" s="55">
        <f>IFERROR(IF(X455="",0,CEILING((X455/$H455),1)*$H455),"")</f>
        <v>0</v>
      </c>
      <c r="Z455" s="41" t="str">
        <f>IFERROR(IF(Y455=0,"",ROUNDUP(Y455/H455,0)*0.01898),"")</f>
        <v/>
      </c>
      <c r="AA455" s="68" t="s">
        <v>46</v>
      </c>
      <c r="AB455" s="69" t="s">
        <v>46</v>
      </c>
      <c r="AC455" s="560" t="s">
        <v>754</v>
      </c>
      <c r="AG455" s="78"/>
      <c r="AJ455" s="84" t="s">
        <v>46</v>
      </c>
      <c r="AK455" s="84">
        <v>0</v>
      </c>
      <c r="BB455" s="561" t="s">
        <v>67</v>
      </c>
      <c r="BM455" s="78">
        <f>IFERROR(X455*I455/H455,"0")</f>
        <v>0</v>
      </c>
      <c r="BN455" s="78">
        <f>IFERROR(Y455*I455/H455,"0")</f>
        <v>0</v>
      </c>
      <c r="BO455" s="78">
        <f>IFERROR(1/J455*(X455/H455),"0")</f>
        <v>0</v>
      </c>
      <c r="BP455" s="78">
        <f>IFERROR(1/J455*(Y455/H455),"0")</f>
        <v>0</v>
      </c>
    </row>
    <row r="456" spans="1:68" ht="37.5" hidden="1" customHeight="1" x14ac:dyDescent="0.25">
      <c r="A456" s="63" t="s">
        <v>755</v>
      </c>
      <c r="B456" s="63" t="s">
        <v>756</v>
      </c>
      <c r="C456" s="36">
        <v>4301011871</v>
      </c>
      <c r="D456" s="654">
        <v>4680115884908</v>
      </c>
      <c r="E456" s="654"/>
      <c r="F456" s="62">
        <v>0.4</v>
      </c>
      <c r="G456" s="37">
        <v>10</v>
      </c>
      <c r="H456" s="62">
        <v>4</v>
      </c>
      <c r="I456" s="62">
        <v>4.1900000000000004</v>
      </c>
      <c r="J456" s="37">
        <v>132</v>
      </c>
      <c r="K456" s="37" t="s">
        <v>134</v>
      </c>
      <c r="L456" s="37" t="s">
        <v>46</v>
      </c>
      <c r="M456" s="38" t="s">
        <v>81</v>
      </c>
      <c r="N456" s="38"/>
      <c r="O456" s="37">
        <v>60</v>
      </c>
      <c r="P456" s="710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6" s="656"/>
      <c r="R456" s="656"/>
      <c r="S456" s="656"/>
      <c r="T456" s="657"/>
      <c r="U456" s="39" t="s">
        <v>46</v>
      </c>
      <c r="V456" s="39" t="s">
        <v>46</v>
      </c>
      <c r="W456" s="40" t="s">
        <v>0</v>
      </c>
      <c r="X456" s="58">
        <v>0</v>
      </c>
      <c r="Y456" s="55">
        <f>IFERROR(IF(X456="",0,CEILING((X456/$H456),1)*$H456),"")</f>
        <v>0</v>
      </c>
      <c r="Z456" s="41" t="str">
        <f>IFERROR(IF(Y456=0,"",ROUNDUP(Y456/H456,0)*0.00902),"")</f>
        <v/>
      </c>
      <c r="AA456" s="68" t="s">
        <v>46</v>
      </c>
      <c r="AB456" s="69" t="s">
        <v>46</v>
      </c>
      <c r="AC456" s="562" t="s">
        <v>754</v>
      </c>
      <c r="AG456" s="78"/>
      <c r="AJ456" s="84" t="s">
        <v>46</v>
      </c>
      <c r="AK456" s="84">
        <v>0</v>
      </c>
      <c r="BB456" s="563" t="s">
        <v>67</v>
      </c>
      <c r="BM456" s="78">
        <f>IFERROR(X456*I456/H456,"0")</f>
        <v>0</v>
      </c>
      <c r="BN456" s="78">
        <f>IFERROR(Y456*I456/H456,"0")</f>
        <v>0</v>
      </c>
      <c r="BO456" s="78">
        <f>IFERROR(1/J456*(X456/H456),"0")</f>
        <v>0</v>
      </c>
      <c r="BP456" s="78">
        <f>IFERROR(1/J456*(Y456/H456),"0")</f>
        <v>0</v>
      </c>
    </row>
    <row r="457" spans="1:68" hidden="1" x14ac:dyDescent="0.2">
      <c r="A457" s="661"/>
      <c r="B457" s="661"/>
      <c r="C457" s="661"/>
      <c r="D457" s="661"/>
      <c r="E457" s="661"/>
      <c r="F457" s="661"/>
      <c r="G457" s="661"/>
      <c r="H457" s="661"/>
      <c r="I457" s="661"/>
      <c r="J457" s="661"/>
      <c r="K457" s="661"/>
      <c r="L457" s="661"/>
      <c r="M457" s="661"/>
      <c r="N457" s="661"/>
      <c r="O457" s="662"/>
      <c r="P457" s="658" t="s">
        <v>40</v>
      </c>
      <c r="Q457" s="659"/>
      <c r="R457" s="659"/>
      <c r="S457" s="659"/>
      <c r="T457" s="659"/>
      <c r="U457" s="659"/>
      <c r="V457" s="660"/>
      <c r="W457" s="42" t="s">
        <v>39</v>
      </c>
      <c r="X457" s="43">
        <f>IFERROR(X455/H455,"0")+IFERROR(X456/H456,"0")</f>
        <v>0</v>
      </c>
      <c r="Y457" s="43">
        <f>IFERROR(Y455/H455,"0")+IFERROR(Y456/H456,"0")</f>
        <v>0</v>
      </c>
      <c r="Z457" s="43">
        <f>IFERROR(IF(Z455="",0,Z455),"0")+IFERROR(IF(Z456="",0,Z456),"0")</f>
        <v>0</v>
      </c>
      <c r="AA457" s="67"/>
      <c r="AB457" s="67"/>
      <c r="AC457" s="67"/>
    </row>
    <row r="458" spans="1:68" hidden="1" x14ac:dyDescent="0.2">
      <c r="A458" s="661"/>
      <c r="B458" s="661"/>
      <c r="C458" s="661"/>
      <c r="D458" s="661"/>
      <c r="E458" s="661"/>
      <c r="F458" s="661"/>
      <c r="G458" s="661"/>
      <c r="H458" s="661"/>
      <c r="I458" s="661"/>
      <c r="J458" s="661"/>
      <c r="K458" s="661"/>
      <c r="L458" s="661"/>
      <c r="M458" s="661"/>
      <c r="N458" s="661"/>
      <c r="O458" s="662"/>
      <c r="P458" s="658" t="s">
        <v>40</v>
      </c>
      <c r="Q458" s="659"/>
      <c r="R458" s="659"/>
      <c r="S458" s="659"/>
      <c r="T458" s="659"/>
      <c r="U458" s="659"/>
      <c r="V458" s="660"/>
      <c r="W458" s="42" t="s">
        <v>0</v>
      </c>
      <c r="X458" s="43">
        <f>IFERROR(SUM(X455:X456),"0")</f>
        <v>0</v>
      </c>
      <c r="Y458" s="43">
        <f>IFERROR(SUM(Y455:Y456),"0")</f>
        <v>0</v>
      </c>
      <c r="Z458" s="42"/>
      <c r="AA458" s="67"/>
      <c r="AB458" s="67"/>
      <c r="AC458" s="67"/>
    </row>
    <row r="459" spans="1:68" ht="14.25" hidden="1" customHeight="1" x14ac:dyDescent="0.25">
      <c r="A459" s="653" t="s">
        <v>77</v>
      </c>
      <c r="B459" s="653"/>
      <c r="C459" s="653"/>
      <c r="D459" s="653"/>
      <c r="E459" s="653"/>
      <c r="F459" s="653"/>
      <c r="G459" s="653"/>
      <c r="H459" s="653"/>
      <c r="I459" s="653"/>
      <c r="J459" s="653"/>
      <c r="K459" s="653"/>
      <c r="L459" s="653"/>
      <c r="M459" s="653"/>
      <c r="N459" s="653"/>
      <c r="O459" s="653"/>
      <c r="P459" s="653"/>
      <c r="Q459" s="653"/>
      <c r="R459" s="653"/>
      <c r="S459" s="653"/>
      <c r="T459" s="653"/>
      <c r="U459" s="653"/>
      <c r="V459" s="653"/>
      <c r="W459" s="653"/>
      <c r="X459" s="653"/>
      <c r="Y459" s="653"/>
      <c r="Z459" s="653"/>
      <c r="AA459" s="66"/>
      <c r="AB459" s="66"/>
      <c r="AC459" s="80"/>
    </row>
    <row r="460" spans="1:68" ht="27" hidden="1" customHeight="1" x14ac:dyDescent="0.25">
      <c r="A460" s="63" t="s">
        <v>757</v>
      </c>
      <c r="B460" s="63" t="s">
        <v>758</v>
      </c>
      <c r="C460" s="36">
        <v>4301031457</v>
      </c>
      <c r="D460" s="654">
        <v>4607091384802</v>
      </c>
      <c r="E460" s="654"/>
      <c r="F460" s="62">
        <v>0.7</v>
      </c>
      <c r="G460" s="37">
        <v>6</v>
      </c>
      <c r="H460" s="62">
        <v>4.2</v>
      </c>
      <c r="I460" s="62">
        <v>4.45</v>
      </c>
      <c r="J460" s="37">
        <v>132</v>
      </c>
      <c r="K460" s="37" t="s">
        <v>134</v>
      </c>
      <c r="L460" s="37" t="s">
        <v>46</v>
      </c>
      <c r="M460" s="38" t="s">
        <v>81</v>
      </c>
      <c r="N460" s="38"/>
      <c r="O460" s="37">
        <v>50</v>
      </c>
      <c r="P460" s="707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0" s="656"/>
      <c r="R460" s="656"/>
      <c r="S460" s="656"/>
      <c r="T460" s="657"/>
      <c r="U460" s="39" t="s">
        <v>46</v>
      </c>
      <c r="V460" s="39" t="s">
        <v>46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IFERROR(IF(Y460=0,"",ROUNDUP(Y460/H460,0)*0.00902),"")</f>
        <v/>
      </c>
      <c r="AA460" s="68" t="s">
        <v>46</v>
      </c>
      <c r="AB460" s="69" t="s">
        <v>46</v>
      </c>
      <c r="AC460" s="564" t="s">
        <v>759</v>
      </c>
      <c r="AG460" s="78"/>
      <c r="AJ460" s="84" t="s">
        <v>46</v>
      </c>
      <c r="AK460" s="84">
        <v>0</v>
      </c>
      <c r="BB460" s="565" t="s">
        <v>67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hidden="1" x14ac:dyDescent="0.2">
      <c r="A461" s="661"/>
      <c r="B461" s="661"/>
      <c r="C461" s="661"/>
      <c r="D461" s="661"/>
      <c r="E461" s="661"/>
      <c r="F461" s="661"/>
      <c r="G461" s="661"/>
      <c r="H461" s="661"/>
      <c r="I461" s="661"/>
      <c r="J461" s="661"/>
      <c r="K461" s="661"/>
      <c r="L461" s="661"/>
      <c r="M461" s="661"/>
      <c r="N461" s="661"/>
      <c r="O461" s="662"/>
      <c r="P461" s="658" t="s">
        <v>40</v>
      </c>
      <c r="Q461" s="659"/>
      <c r="R461" s="659"/>
      <c r="S461" s="659"/>
      <c r="T461" s="659"/>
      <c r="U461" s="659"/>
      <c r="V461" s="660"/>
      <c r="W461" s="42" t="s">
        <v>39</v>
      </c>
      <c r="X461" s="43">
        <f>IFERROR(X460/H460,"0")</f>
        <v>0</v>
      </c>
      <c r="Y461" s="43">
        <f>IFERROR(Y460/H460,"0")</f>
        <v>0</v>
      </c>
      <c r="Z461" s="43">
        <f>IFERROR(IF(Z460="",0,Z460),"0")</f>
        <v>0</v>
      </c>
      <c r="AA461" s="67"/>
      <c r="AB461" s="67"/>
      <c r="AC461" s="67"/>
    </row>
    <row r="462" spans="1:68" hidden="1" x14ac:dyDescent="0.2">
      <c r="A462" s="661"/>
      <c r="B462" s="661"/>
      <c r="C462" s="661"/>
      <c r="D462" s="661"/>
      <c r="E462" s="661"/>
      <c r="F462" s="661"/>
      <c r="G462" s="661"/>
      <c r="H462" s="661"/>
      <c r="I462" s="661"/>
      <c r="J462" s="661"/>
      <c r="K462" s="661"/>
      <c r="L462" s="661"/>
      <c r="M462" s="661"/>
      <c r="N462" s="661"/>
      <c r="O462" s="662"/>
      <c r="P462" s="658" t="s">
        <v>40</v>
      </c>
      <c r="Q462" s="659"/>
      <c r="R462" s="659"/>
      <c r="S462" s="659"/>
      <c r="T462" s="659"/>
      <c r="U462" s="659"/>
      <c r="V462" s="660"/>
      <c r="W462" s="42" t="s">
        <v>0</v>
      </c>
      <c r="X462" s="43">
        <f>IFERROR(SUM(X460:X460),"0")</f>
        <v>0</v>
      </c>
      <c r="Y462" s="43">
        <f>IFERROR(SUM(Y460:Y460),"0")</f>
        <v>0</v>
      </c>
      <c r="Z462" s="42"/>
      <c r="AA462" s="67"/>
      <c r="AB462" s="67"/>
      <c r="AC462" s="67"/>
    </row>
    <row r="463" spans="1:68" ht="14.25" hidden="1" customHeight="1" x14ac:dyDescent="0.25">
      <c r="A463" s="653" t="s">
        <v>86</v>
      </c>
      <c r="B463" s="653"/>
      <c r="C463" s="653"/>
      <c r="D463" s="653"/>
      <c r="E463" s="653"/>
      <c r="F463" s="653"/>
      <c r="G463" s="653"/>
      <c r="H463" s="653"/>
      <c r="I463" s="653"/>
      <c r="J463" s="653"/>
      <c r="K463" s="653"/>
      <c r="L463" s="653"/>
      <c r="M463" s="653"/>
      <c r="N463" s="653"/>
      <c r="O463" s="653"/>
      <c r="P463" s="653"/>
      <c r="Q463" s="653"/>
      <c r="R463" s="653"/>
      <c r="S463" s="653"/>
      <c r="T463" s="653"/>
      <c r="U463" s="653"/>
      <c r="V463" s="653"/>
      <c r="W463" s="653"/>
      <c r="X463" s="653"/>
      <c r="Y463" s="653"/>
      <c r="Z463" s="653"/>
      <c r="AA463" s="66"/>
      <c r="AB463" s="66"/>
      <c r="AC463" s="80"/>
    </row>
    <row r="464" spans="1:68" ht="27" hidden="1" customHeight="1" x14ac:dyDescent="0.25">
      <c r="A464" s="63" t="s">
        <v>760</v>
      </c>
      <c r="B464" s="63" t="s">
        <v>761</v>
      </c>
      <c r="C464" s="36">
        <v>4301051899</v>
      </c>
      <c r="D464" s="654">
        <v>4607091384246</v>
      </c>
      <c r="E464" s="654"/>
      <c r="F464" s="62">
        <v>1.5</v>
      </c>
      <c r="G464" s="37">
        <v>6</v>
      </c>
      <c r="H464" s="62">
        <v>9</v>
      </c>
      <c r="I464" s="62">
        <v>9.4939999999999998</v>
      </c>
      <c r="J464" s="37">
        <v>64</v>
      </c>
      <c r="K464" s="37" t="s">
        <v>127</v>
      </c>
      <c r="L464" s="37" t="s">
        <v>46</v>
      </c>
      <c r="M464" s="38" t="s">
        <v>90</v>
      </c>
      <c r="N464" s="38"/>
      <c r="O464" s="37">
        <v>40</v>
      </c>
      <c r="P464" s="708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4" s="656"/>
      <c r="R464" s="656"/>
      <c r="S464" s="656"/>
      <c r="T464" s="657"/>
      <c r="U464" s="39" t="s">
        <v>46</v>
      </c>
      <c r="V464" s="39" t="s">
        <v>46</v>
      </c>
      <c r="W464" s="40" t="s">
        <v>0</v>
      </c>
      <c r="X464" s="58">
        <v>0</v>
      </c>
      <c r="Y464" s="55">
        <f>IFERROR(IF(X464="",0,CEILING((X464/$H464),1)*$H464),"")</f>
        <v>0</v>
      </c>
      <c r="Z464" s="41" t="str">
        <f>IFERROR(IF(Y464=0,"",ROUNDUP(Y464/H464,0)*0.01898),"")</f>
        <v/>
      </c>
      <c r="AA464" s="68" t="s">
        <v>46</v>
      </c>
      <c r="AB464" s="69" t="s">
        <v>46</v>
      </c>
      <c r="AC464" s="566" t="s">
        <v>762</v>
      </c>
      <c r="AG464" s="78"/>
      <c r="AJ464" s="84" t="s">
        <v>46</v>
      </c>
      <c r="AK464" s="84">
        <v>0</v>
      </c>
      <c r="BB464" s="567" t="s">
        <v>67</v>
      </c>
      <c r="BM464" s="78">
        <f>IFERROR(X464*I464/H464,"0")</f>
        <v>0</v>
      </c>
      <c r="BN464" s="78">
        <f>IFERROR(Y464*I464/H464,"0")</f>
        <v>0</v>
      </c>
      <c r="BO464" s="78">
        <f>IFERROR(1/J464*(X464/H464),"0")</f>
        <v>0</v>
      </c>
      <c r="BP464" s="78">
        <f>IFERROR(1/J464*(Y464/H464),"0")</f>
        <v>0</v>
      </c>
    </row>
    <row r="465" spans="1:68" ht="27" hidden="1" customHeight="1" x14ac:dyDescent="0.25">
      <c r="A465" s="63" t="s">
        <v>763</v>
      </c>
      <c r="B465" s="63" t="s">
        <v>764</v>
      </c>
      <c r="C465" s="36">
        <v>4301051660</v>
      </c>
      <c r="D465" s="654">
        <v>4607091384253</v>
      </c>
      <c r="E465" s="654"/>
      <c r="F465" s="62">
        <v>0.4</v>
      </c>
      <c r="G465" s="37">
        <v>6</v>
      </c>
      <c r="H465" s="62">
        <v>2.4</v>
      </c>
      <c r="I465" s="62">
        <v>2.6640000000000001</v>
      </c>
      <c r="J465" s="37">
        <v>182</v>
      </c>
      <c r="K465" s="37" t="s">
        <v>91</v>
      </c>
      <c r="L465" s="37" t="s">
        <v>46</v>
      </c>
      <c r="M465" s="38" t="s">
        <v>90</v>
      </c>
      <c r="N465" s="38"/>
      <c r="O465" s="37">
        <v>40</v>
      </c>
      <c r="P465" s="705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5" s="656"/>
      <c r="R465" s="656"/>
      <c r="S465" s="656"/>
      <c r="T465" s="657"/>
      <c r="U465" s="39" t="s">
        <v>46</v>
      </c>
      <c r="V465" s="39" t="s">
        <v>46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IFERROR(IF(Y465=0,"",ROUNDUP(Y465/H465,0)*0.00651),"")</f>
        <v/>
      </c>
      <c r="AA465" s="68" t="s">
        <v>46</v>
      </c>
      <c r="AB465" s="69" t="s">
        <v>46</v>
      </c>
      <c r="AC465" s="568" t="s">
        <v>762</v>
      </c>
      <c r="AG465" s="78"/>
      <c r="AJ465" s="84" t="s">
        <v>46</v>
      </c>
      <c r="AK465" s="84">
        <v>0</v>
      </c>
      <c r="BB465" s="569" t="s">
        <v>67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ht="27" hidden="1" customHeight="1" x14ac:dyDescent="0.25">
      <c r="A466" s="63" t="s">
        <v>763</v>
      </c>
      <c r="B466" s="63" t="s">
        <v>765</v>
      </c>
      <c r="C466" s="36">
        <v>4301052069</v>
      </c>
      <c r="D466" s="654">
        <v>4607091384253</v>
      </c>
      <c r="E466" s="654"/>
      <c r="F466" s="62">
        <v>0.4</v>
      </c>
      <c r="G466" s="37">
        <v>6</v>
      </c>
      <c r="H466" s="62">
        <v>2.4</v>
      </c>
      <c r="I466" s="62">
        <v>2.6640000000000001</v>
      </c>
      <c r="J466" s="37">
        <v>182</v>
      </c>
      <c r="K466" s="37" t="s">
        <v>91</v>
      </c>
      <c r="L466" s="37" t="s">
        <v>46</v>
      </c>
      <c r="M466" s="38" t="s">
        <v>90</v>
      </c>
      <c r="N466" s="38"/>
      <c r="O466" s="37">
        <v>40</v>
      </c>
      <c r="P466" s="706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6" s="656"/>
      <c r="R466" s="656"/>
      <c r="S466" s="656"/>
      <c r="T466" s="657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IFERROR(IF(Y466=0,"",ROUNDUP(Y466/H466,0)*0.00651),"")</f>
        <v/>
      </c>
      <c r="AA466" s="68" t="s">
        <v>46</v>
      </c>
      <c r="AB466" s="69" t="s">
        <v>46</v>
      </c>
      <c r="AC466" s="570" t="s">
        <v>766</v>
      </c>
      <c r="AG466" s="78"/>
      <c r="AJ466" s="84" t="s">
        <v>46</v>
      </c>
      <c r="AK466" s="84">
        <v>0</v>
      </c>
      <c r="BB466" s="571" t="s">
        <v>67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hidden="1" x14ac:dyDescent="0.2">
      <c r="A467" s="661"/>
      <c r="B467" s="661"/>
      <c r="C467" s="661"/>
      <c r="D467" s="661"/>
      <c r="E467" s="661"/>
      <c r="F467" s="661"/>
      <c r="G467" s="661"/>
      <c r="H467" s="661"/>
      <c r="I467" s="661"/>
      <c r="J467" s="661"/>
      <c r="K467" s="661"/>
      <c r="L467" s="661"/>
      <c r="M467" s="661"/>
      <c r="N467" s="661"/>
      <c r="O467" s="662"/>
      <c r="P467" s="658" t="s">
        <v>40</v>
      </c>
      <c r="Q467" s="659"/>
      <c r="R467" s="659"/>
      <c r="S467" s="659"/>
      <c r="T467" s="659"/>
      <c r="U467" s="659"/>
      <c r="V467" s="660"/>
      <c r="W467" s="42" t="s">
        <v>39</v>
      </c>
      <c r="X467" s="43">
        <f>IFERROR(X464/H464,"0")+IFERROR(X465/H465,"0")+IFERROR(X466/H466,"0")</f>
        <v>0</v>
      </c>
      <c r="Y467" s="43">
        <f>IFERROR(Y464/H464,"0")+IFERROR(Y465/H465,"0")+IFERROR(Y466/H466,"0")</f>
        <v>0</v>
      </c>
      <c r="Z467" s="43">
        <f>IFERROR(IF(Z464="",0,Z464),"0")+IFERROR(IF(Z465="",0,Z465),"0")+IFERROR(IF(Z466="",0,Z466),"0")</f>
        <v>0</v>
      </c>
      <c r="AA467" s="67"/>
      <c r="AB467" s="67"/>
      <c r="AC467" s="67"/>
    </row>
    <row r="468" spans="1:68" hidden="1" x14ac:dyDescent="0.2">
      <c r="A468" s="661"/>
      <c r="B468" s="661"/>
      <c r="C468" s="661"/>
      <c r="D468" s="661"/>
      <c r="E468" s="661"/>
      <c r="F468" s="661"/>
      <c r="G468" s="661"/>
      <c r="H468" s="661"/>
      <c r="I468" s="661"/>
      <c r="J468" s="661"/>
      <c r="K468" s="661"/>
      <c r="L468" s="661"/>
      <c r="M468" s="661"/>
      <c r="N468" s="661"/>
      <c r="O468" s="662"/>
      <c r="P468" s="658" t="s">
        <v>40</v>
      </c>
      <c r="Q468" s="659"/>
      <c r="R468" s="659"/>
      <c r="S468" s="659"/>
      <c r="T468" s="659"/>
      <c r="U468" s="659"/>
      <c r="V468" s="660"/>
      <c r="W468" s="42" t="s">
        <v>0</v>
      </c>
      <c r="X468" s="43">
        <f>IFERROR(SUM(X464:X466),"0")</f>
        <v>0</v>
      </c>
      <c r="Y468" s="43">
        <f>IFERROR(SUM(Y464:Y466),"0")</f>
        <v>0</v>
      </c>
      <c r="Z468" s="42"/>
      <c r="AA468" s="67"/>
      <c r="AB468" s="67"/>
      <c r="AC468" s="67"/>
    </row>
    <row r="469" spans="1:68" ht="27.75" hidden="1" customHeight="1" x14ac:dyDescent="0.2">
      <c r="A469" s="673" t="s">
        <v>767</v>
      </c>
      <c r="B469" s="673"/>
      <c r="C469" s="673"/>
      <c r="D469" s="673"/>
      <c r="E469" s="673"/>
      <c r="F469" s="673"/>
      <c r="G469" s="673"/>
      <c r="H469" s="673"/>
      <c r="I469" s="673"/>
      <c r="J469" s="673"/>
      <c r="K469" s="673"/>
      <c r="L469" s="673"/>
      <c r="M469" s="673"/>
      <c r="N469" s="673"/>
      <c r="O469" s="673"/>
      <c r="P469" s="673"/>
      <c r="Q469" s="673"/>
      <c r="R469" s="673"/>
      <c r="S469" s="673"/>
      <c r="T469" s="673"/>
      <c r="U469" s="673"/>
      <c r="V469" s="673"/>
      <c r="W469" s="673"/>
      <c r="X469" s="673"/>
      <c r="Y469" s="673"/>
      <c r="Z469" s="673"/>
      <c r="AA469" s="54"/>
      <c r="AB469" s="54"/>
      <c r="AC469" s="54"/>
    </row>
    <row r="470" spans="1:68" ht="16.5" hidden="1" customHeight="1" x14ac:dyDescent="0.25">
      <c r="A470" s="652" t="s">
        <v>768</v>
      </c>
      <c r="B470" s="652"/>
      <c r="C470" s="652"/>
      <c r="D470" s="652"/>
      <c r="E470" s="652"/>
      <c r="F470" s="652"/>
      <c r="G470" s="652"/>
      <c r="H470" s="652"/>
      <c r="I470" s="652"/>
      <c r="J470" s="652"/>
      <c r="K470" s="652"/>
      <c r="L470" s="652"/>
      <c r="M470" s="652"/>
      <c r="N470" s="652"/>
      <c r="O470" s="652"/>
      <c r="P470" s="652"/>
      <c r="Q470" s="652"/>
      <c r="R470" s="652"/>
      <c r="S470" s="652"/>
      <c r="T470" s="652"/>
      <c r="U470" s="652"/>
      <c r="V470" s="652"/>
      <c r="W470" s="652"/>
      <c r="X470" s="652"/>
      <c r="Y470" s="652"/>
      <c r="Z470" s="652"/>
      <c r="AA470" s="65"/>
      <c r="AB470" s="65"/>
      <c r="AC470" s="79"/>
    </row>
    <row r="471" spans="1:68" ht="14.25" hidden="1" customHeight="1" x14ac:dyDescent="0.25">
      <c r="A471" s="653" t="s">
        <v>77</v>
      </c>
      <c r="B471" s="653"/>
      <c r="C471" s="653"/>
      <c r="D471" s="653"/>
      <c r="E471" s="653"/>
      <c r="F471" s="653"/>
      <c r="G471" s="653"/>
      <c r="H471" s="653"/>
      <c r="I471" s="653"/>
      <c r="J471" s="653"/>
      <c r="K471" s="653"/>
      <c r="L471" s="653"/>
      <c r="M471" s="653"/>
      <c r="N471" s="653"/>
      <c r="O471" s="653"/>
      <c r="P471" s="653"/>
      <c r="Q471" s="653"/>
      <c r="R471" s="653"/>
      <c r="S471" s="653"/>
      <c r="T471" s="653"/>
      <c r="U471" s="653"/>
      <c r="V471" s="653"/>
      <c r="W471" s="653"/>
      <c r="X471" s="653"/>
      <c r="Y471" s="653"/>
      <c r="Z471" s="653"/>
      <c r="AA471" s="66"/>
      <c r="AB471" s="66"/>
      <c r="AC471" s="80"/>
    </row>
    <row r="472" spans="1:68" ht="27" hidden="1" customHeight="1" x14ac:dyDescent="0.25">
      <c r="A472" s="63" t="s">
        <v>769</v>
      </c>
      <c r="B472" s="63" t="s">
        <v>770</v>
      </c>
      <c r="C472" s="36">
        <v>4301031405</v>
      </c>
      <c r="D472" s="654">
        <v>4680115886100</v>
      </c>
      <c r="E472" s="654"/>
      <c r="F472" s="62">
        <v>0.9</v>
      </c>
      <c r="G472" s="37">
        <v>6</v>
      </c>
      <c r="H472" s="62">
        <v>5.4</v>
      </c>
      <c r="I472" s="62">
        <v>5.59</v>
      </c>
      <c r="J472" s="37">
        <v>132</v>
      </c>
      <c r="K472" s="37" t="s">
        <v>134</v>
      </c>
      <c r="L472" s="37" t="s">
        <v>46</v>
      </c>
      <c r="M472" s="38" t="s">
        <v>81</v>
      </c>
      <c r="N472" s="38"/>
      <c r="O472" s="37">
        <v>50</v>
      </c>
      <c r="P472" s="70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2" s="656"/>
      <c r="R472" s="656"/>
      <c r="S472" s="656"/>
      <c r="T472" s="657"/>
      <c r="U472" s="39" t="s">
        <v>46</v>
      </c>
      <c r="V472" s="39" t="s">
        <v>46</v>
      </c>
      <c r="W472" s="40" t="s">
        <v>0</v>
      </c>
      <c r="X472" s="58">
        <v>0</v>
      </c>
      <c r="Y472" s="55">
        <f t="shared" ref="Y472:Y477" si="73">IFERROR(IF(X472="",0,CEILING((X472/$H472),1)*$H472),"")</f>
        <v>0</v>
      </c>
      <c r="Z472" s="41" t="str">
        <f>IFERROR(IF(Y472=0,"",ROUNDUP(Y472/H472,0)*0.00902),"")</f>
        <v/>
      </c>
      <c r="AA472" s="68" t="s">
        <v>46</v>
      </c>
      <c r="AB472" s="69" t="s">
        <v>46</v>
      </c>
      <c r="AC472" s="572" t="s">
        <v>771</v>
      </c>
      <c r="AG472" s="78"/>
      <c r="AJ472" s="84" t="s">
        <v>46</v>
      </c>
      <c r="AK472" s="84">
        <v>0</v>
      </c>
      <c r="BB472" s="573" t="s">
        <v>67</v>
      </c>
      <c r="BM472" s="78">
        <f t="shared" ref="BM472:BM477" si="74">IFERROR(X472*I472/H472,"0")</f>
        <v>0</v>
      </c>
      <c r="BN472" s="78">
        <f t="shared" ref="BN472:BN477" si="75">IFERROR(Y472*I472/H472,"0")</f>
        <v>0</v>
      </c>
      <c r="BO472" s="78">
        <f t="shared" ref="BO472:BO477" si="76">IFERROR(1/J472*(X472/H472),"0")</f>
        <v>0</v>
      </c>
      <c r="BP472" s="78">
        <f t="shared" ref="BP472:BP477" si="77">IFERROR(1/J472*(Y472/H472),"0")</f>
        <v>0</v>
      </c>
    </row>
    <row r="473" spans="1:68" ht="27" hidden="1" customHeight="1" x14ac:dyDescent="0.25">
      <c r="A473" s="63" t="s">
        <v>772</v>
      </c>
      <c r="B473" s="63" t="s">
        <v>773</v>
      </c>
      <c r="C473" s="36">
        <v>4301031402</v>
      </c>
      <c r="D473" s="654">
        <v>4680115886124</v>
      </c>
      <c r="E473" s="654"/>
      <c r="F473" s="62">
        <v>0.9</v>
      </c>
      <c r="G473" s="37">
        <v>6</v>
      </c>
      <c r="H473" s="62">
        <v>5.4</v>
      </c>
      <c r="I473" s="62">
        <v>5.59</v>
      </c>
      <c r="J473" s="37">
        <v>132</v>
      </c>
      <c r="K473" s="37" t="s">
        <v>134</v>
      </c>
      <c r="L473" s="37" t="s">
        <v>46</v>
      </c>
      <c r="M473" s="38" t="s">
        <v>81</v>
      </c>
      <c r="N473" s="38"/>
      <c r="O473" s="37">
        <v>50</v>
      </c>
      <c r="P473" s="70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3" s="656"/>
      <c r="R473" s="656"/>
      <c r="S473" s="656"/>
      <c r="T473" s="657"/>
      <c r="U473" s="39" t="s">
        <v>46</v>
      </c>
      <c r="V473" s="39" t="s">
        <v>46</v>
      </c>
      <c r="W473" s="40" t="s">
        <v>0</v>
      </c>
      <c r="X473" s="58">
        <v>0</v>
      </c>
      <c r="Y473" s="55">
        <f t="shared" si="73"/>
        <v>0</v>
      </c>
      <c r="Z473" s="41" t="str">
        <f>IFERROR(IF(Y473=0,"",ROUNDUP(Y473/H473,0)*0.00902),"")</f>
        <v/>
      </c>
      <c r="AA473" s="68" t="s">
        <v>46</v>
      </c>
      <c r="AB473" s="69" t="s">
        <v>46</v>
      </c>
      <c r="AC473" s="574" t="s">
        <v>774</v>
      </c>
      <c r="AG473" s="78"/>
      <c r="AJ473" s="84" t="s">
        <v>46</v>
      </c>
      <c r="AK473" s="84">
        <v>0</v>
      </c>
      <c r="BB473" s="575" t="s">
        <v>67</v>
      </c>
      <c r="BM473" s="78">
        <f t="shared" si="74"/>
        <v>0</v>
      </c>
      <c r="BN473" s="78">
        <f t="shared" si="75"/>
        <v>0</v>
      </c>
      <c r="BO473" s="78">
        <f t="shared" si="76"/>
        <v>0</v>
      </c>
      <c r="BP473" s="78">
        <f t="shared" si="77"/>
        <v>0</v>
      </c>
    </row>
    <row r="474" spans="1:68" ht="27" hidden="1" customHeight="1" x14ac:dyDescent="0.25">
      <c r="A474" s="63" t="s">
        <v>775</v>
      </c>
      <c r="B474" s="63" t="s">
        <v>776</v>
      </c>
      <c r="C474" s="36">
        <v>4301031362</v>
      </c>
      <c r="D474" s="654">
        <v>4607091384338</v>
      </c>
      <c r="E474" s="654"/>
      <c r="F474" s="62">
        <v>0.35</v>
      </c>
      <c r="G474" s="37">
        <v>6</v>
      </c>
      <c r="H474" s="62">
        <v>2.1</v>
      </c>
      <c r="I474" s="62">
        <v>2.23</v>
      </c>
      <c r="J474" s="37">
        <v>234</v>
      </c>
      <c r="K474" s="37" t="s">
        <v>82</v>
      </c>
      <c r="L474" s="37" t="s">
        <v>46</v>
      </c>
      <c r="M474" s="38" t="s">
        <v>81</v>
      </c>
      <c r="N474" s="38"/>
      <c r="O474" s="37">
        <v>50</v>
      </c>
      <c r="P474" s="70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4" s="656"/>
      <c r="R474" s="656"/>
      <c r="S474" s="656"/>
      <c r="T474" s="657"/>
      <c r="U474" s="39" t="s">
        <v>46</v>
      </c>
      <c r="V474" s="39" t="s">
        <v>46</v>
      </c>
      <c r="W474" s="40" t="s">
        <v>0</v>
      </c>
      <c r="X474" s="58">
        <v>0</v>
      </c>
      <c r="Y474" s="55">
        <f t="shared" si="73"/>
        <v>0</v>
      </c>
      <c r="Z474" s="41" t="str">
        <f>IFERROR(IF(Y474=0,"",ROUNDUP(Y474/H474,0)*0.00502),"")</f>
        <v/>
      </c>
      <c r="AA474" s="68" t="s">
        <v>46</v>
      </c>
      <c r="AB474" s="69" t="s">
        <v>46</v>
      </c>
      <c r="AC474" s="576" t="s">
        <v>771</v>
      </c>
      <c r="AG474" s="78"/>
      <c r="AJ474" s="84" t="s">
        <v>46</v>
      </c>
      <c r="AK474" s="84">
        <v>0</v>
      </c>
      <c r="BB474" s="577" t="s">
        <v>67</v>
      </c>
      <c r="BM474" s="78">
        <f t="shared" si="74"/>
        <v>0</v>
      </c>
      <c r="BN474" s="78">
        <f t="shared" si="75"/>
        <v>0</v>
      </c>
      <c r="BO474" s="78">
        <f t="shared" si="76"/>
        <v>0</v>
      </c>
      <c r="BP474" s="78">
        <f t="shared" si="77"/>
        <v>0</v>
      </c>
    </row>
    <row r="475" spans="1:68" ht="27" hidden="1" customHeight="1" x14ac:dyDescent="0.25">
      <c r="A475" s="63" t="s">
        <v>777</v>
      </c>
      <c r="B475" s="63" t="s">
        <v>778</v>
      </c>
      <c r="C475" s="36">
        <v>4301031364</v>
      </c>
      <c r="D475" s="654">
        <v>4680115883161</v>
      </c>
      <c r="E475" s="654"/>
      <c r="F475" s="62">
        <v>0.28000000000000003</v>
      </c>
      <c r="G475" s="37">
        <v>6</v>
      </c>
      <c r="H475" s="62">
        <v>1.68</v>
      </c>
      <c r="I475" s="62">
        <v>1.81</v>
      </c>
      <c r="J475" s="37">
        <v>234</v>
      </c>
      <c r="K475" s="37" t="s">
        <v>82</v>
      </c>
      <c r="L475" s="37" t="s">
        <v>46</v>
      </c>
      <c r="M475" s="38" t="s">
        <v>81</v>
      </c>
      <c r="N475" s="38"/>
      <c r="O475" s="37">
        <v>50</v>
      </c>
      <c r="P475" s="704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5" s="656"/>
      <c r="R475" s="656"/>
      <c r="S475" s="656"/>
      <c r="T475" s="657"/>
      <c r="U475" s="39" t="s">
        <v>46</v>
      </c>
      <c r="V475" s="39" t="s">
        <v>46</v>
      </c>
      <c r="W475" s="40" t="s">
        <v>0</v>
      </c>
      <c r="X475" s="58">
        <v>0</v>
      </c>
      <c r="Y475" s="55">
        <f t="shared" si="73"/>
        <v>0</v>
      </c>
      <c r="Z475" s="41" t="str">
        <f>IFERROR(IF(Y475=0,"",ROUNDUP(Y475/H475,0)*0.00502),"")</f>
        <v/>
      </c>
      <c r="AA475" s="68" t="s">
        <v>46</v>
      </c>
      <c r="AB475" s="69" t="s">
        <v>46</v>
      </c>
      <c r="AC475" s="578" t="s">
        <v>779</v>
      </c>
      <c r="AG475" s="78"/>
      <c r="AJ475" s="84" t="s">
        <v>46</v>
      </c>
      <c r="AK475" s="84">
        <v>0</v>
      </c>
      <c r="BB475" s="579" t="s">
        <v>67</v>
      </c>
      <c r="BM475" s="78">
        <f t="shared" si="74"/>
        <v>0</v>
      </c>
      <c r="BN475" s="78">
        <f t="shared" si="75"/>
        <v>0</v>
      </c>
      <c r="BO475" s="78">
        <f t="shared" si="76"/>
        <v>0</v>
      </c>
      <c r="BP475" s="78">
        <f t="shared" si="77"/>
        <v>0</v>
      </c>
    </row>
    <row r="476" spans="1:68" ht="27" hidden="1" customHeight="1" x14ac:dyDescent="0.25">
      <c r="A476" s="63" t="s">
        <v>780</v>
      </c>
      <c r="B476" s="63" t="s">
        <v>781</v>
      </c>
      <c r="C476" s="36">
        <v>4301031358</v>
      </c>
      <c r="D476" s="654">
        <v>4607091389531</v>
      </c>
      <c r="E476" s="654"/>
      <c r="F476" s="62">
        <v>0.35</v>
      </c>
      <c r="G476" s="37">
        <v>6</v>
      </c>
      <c r="H476" s="62">
        <v>2.1</v>
      </c>
      <c r="I476" s="62">
        <v>2.23</v>
      </c>
      <c r="J476" s="37">
        <v>234</v>
      </c>
      <c r="K476" s="37" t="s">
        <v>82</v>
      </c>
      <c r="L476" s="37" t="s">
        <v>46</v>
      </c>
      <c r="M476" s="38" t="s">
        <v>81</v>
      </c>
      <c r="N476" s="38"/>
      <c r="O476" s="37">
        <v>50</v>
      </c>
      <c r="P476" s="698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6" s="656"/>
      <c r="R476" s="656"/>
      <c r="S476" s="656"/>
      <c r="T476" s="657"/>
      <c r="U476" s="39" t="s">
        <v>46</v>
      </c>
      <c r="V476" s="39" t="s">
        <v>46</v>
      </c>
      <c r="W476" s="40" t="s">
        <v>0</v>
      </c>
      <c r="X476" s="58">
        <v>0</v>
      </c>
      <c r="Y476" s="55">
        <f t="shared" si="73"/>
        <v>0</v>
      </c>
      <c r="Z476" s="41" t="str">
        <f>IFERROR(IF(Y476=0,"",ROUNDUP(Y476/H476,0)*0.00502),"")</f>
        <v/>
      </c>
      <c r="AA476" s="68" t="s">
        <v>46</v>
      </c>
      <c r="AB476" s="69" t="s">
        <v>46</v>
      </c>
      <c r="AC476" s="580" t="s">
        <v>782</v>
      </c>
      <c r="AG476" s="78"/>
      <c r="AJ476" s="84" t="s">
        <v>46</v>
      </c>
      <c r="AK476" s="84">
        <v>0</v>
      </c>
      <c r="BB476" s="581" t="s">
        <v>67</v>
      </c>
      <c r="BM476" s="78">
        <f t="shared" si="74"/>
        <v>0</v>
      </c>
      <c r="BN476" s="78">
        <f t="shared" si="75"/>
        <v>0</v>
      </c>
      <c r="BO476" s="78">
        <f t="shared" si="76"/>
        <v>0</v>
      </c>
      <c r="BP476" s="78">
        <f t="shared" si="77"/>
        <v>0</v>
      </c>
    </row>
    <row r="477" spans="1:68" ht="37.5" hidden="1" customHeight="1" x14ac:dyDescent="0.25">
      <c r="A477" s="63" t="s">
        <v>783</v>
      </c>
      <c r="B477" s="63" t="s">
        <v>784</v>
      </c>
      <c r="C477" s="36">
        <v>4301031360</v>
      </c>
      <c r="D477" s="654">
        <v>4607091384345</v>
      </c>
      <c r="E477" s="654"/>
      <c r="F477" s="62">
        <v>0.35</v>
      </c>
      <c r="G477" s="37">
        <v>6</v>
      </c>
      <c r="H477" s="62">
        <v>2.1</v>
      </c>
      <c r="I477" s="62">
        <v>2.23</v>
      </c>
      <c r="J477" s="37">
        <v>234</v>
      </c>
      <c r="K477" s="37" t="s">
        <v>82</v>
      </c>
      <c r="L477" s="37" t="s">
        <v>46</v>
      </c>
      <c r="M477" s="38" t="s">
        <v>81</v>
      </c>
      <c r="N477" s="38"/>
      <c r="O477" s="37">
        <v>50</v>
      </c>
      <c r="P477" s="699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7" s="656"/>
      <c r="R477" s="656"/>
      <c r="S477" s="656"/>
      <c r="T477" s="657"/>
      <c r="U477" s="39" t="s">
        <v>46</v>
      </c>
      <c r="V477" s="39" t="s">
        <v>46</v>
      </c>
      <c r="W477" s="40" t="s">
        <v>0</v>
      </c>
      <c r="X477" s="58">
        <v>0</v>
      </c>
      <c r="Y477" s="55">
        <f t="shared" si="73"/>
        <v>0</v>
      </c>
      <c r="Z477" s="41" t="str">
        <f>IFERROR(IF(Y477=0,"",ROUNDUP(Y477/H477,0)*0.00502),"")</f>
        <v/>
      </c>
      <c r="AA477" s="68" t="s">
        <v>46</v>
      </c>
      <c r="AB477" s="69" t="s">
        <v>46</v>
      </c>
      <c r="AC477" s="582" t="s">
        <v>779</v>
      </c>
      <c r="AG477" s="78"/>
      <c r="AJ477" s="84" t="s">
        <v>46</v>
      </c>
      <c r="AK477" s="84">
        <v>0</v>
      </c>
      <c r="BB477" s="583" t="s">
        <v>67</v>
      </c>
      <c r="BM477" s="78">
        <f t="shared" si="74"/>
        <v>0</v>
      </c>
      <c r="BN477" s="78">
        <f t="shared" si="75"/>
        <v>0</v>
      </c>
      <c r="BO477" s="78">
        <f t="shared" si="76"/>
        <v>0</v>
      </c>
      <c r="BP477" s="78">
        <f t="shared" si="77"/>
        <v>0</v>
      </c>
    </row>
    <row r="478" spans="1:68" hidden="1" x14ac:dyDescent="0.2">
      <c r="A478" s="661"/>
      <c r="B478" s="661"/>
      <c r="C478" s="661"/>
      <c r="D478" s="661"/>
      <c r="E478" s="661"/>
      <c r="F478" s="661"/>
      <c r="G478" s="661"/>
      <c r="H478" s="661"/>
      <c r="I478" s="661"/>
      <c r="J478" s="661"/>
      <c r="K478" s="661"/>
      <c r="L478" s="661"/>
      <c r="M478" s="661"/>
      <c r="N478" s="661"/>
      <c r="O478" s="662"/>
      <c r="P478" s="658" t="s">
        <v>40</v>
      </c>
      <c r="Q478" s="659"/>
      <c r="R478" s="659"/>
      <c r="S478" s="659"/>
      <c r="T478" s="659"/>
      <c r="U478" s="659"/>
      <c r="V478" s="660"/>
      <c r="W478" s="42" t="s">
        <v>39</v>
      </c>
      <c r="X478" s="43">
        <f>IFERROR(X472/H472,"0")+IFERROR(X473/H473,"0")+IFERROR(X474/H474,"0")+IFERROR(X475/H475,"0")+IFERROR(X476/H476,"0")+IFERROR(X477/H477,"0")</f>
        <v>0</v>
      </c>
      <c r="Y478" s="43">
        <f>IFERROR(Y472/H472,"0")+IFERROR(Y473/H473,"0")+IFERROR(Y474/H474,"0")+IFERROR(Y475/H475,"0")+IFERROR(Y476/H476,"0")+IFERROR(Y477/H477,"0")</f>
        <v>0</v>
      </c>
      <c r="Z478" s="43">
        <f>IFERROR(IF(Z472="",0,Z472),"0")+IFERROR(IF(Z473="",0,Z473),"0")+IFERROR(IF(Z474="",0,Z474),"0")+IFERROR(IF(Z475="",0,Z475),"0")+IFERROR(IF(Z476="",0,Z476),"0")+IFERROR(IF(Z477="",0,Z477),"0")</f>
        <v>0</v>
      </c>
      <c r="AA478" s="67"/>
      <c r="AB478" s="67"/>
      <c r="AC478" s="67"/>
    </row>
    <row r="479" spans="1:68" hidden="1" x14ac:dyDescent="0.2">
      <c r="A479" s="661"/>
      <c r="B479" s="661"/>
      <c r="C479" s="661"/>
      <c r="D479" s="661"/>
      <c r="E479" s="661"/>
      <c r="F479" s="661"/>
      <c r="G479" s="661"/>
      <c r="H479" s="661"/>
      <c r="I479" s="661"/>
      <c r="J479" s="661"/>
      <c r="K479" s="661"/>
      <c r="L479" s="661"/>
      <c r="M479" s="661"/>
      <c r="N479" s="661"/>
      <c r="O479" s="662"/>
      <c r="P479" s="658" t="s">
        <v>40</v>
      </c>
      <c r="Q479" s="659"/>
      <c r="R479" s="659"/>
      <c r="S479" s="659"/>
      <c r="T479" s="659"/>
      <c r="U479" s="659"/>
      <c r="V479" s="660"/>
      <c r="W479" s="42" t="s">
        <v>0</v>
      </c>
      <c r="X479" s="43">
        <f>IFERROR(SUM(X472:X477),"0")</f>
        <v>0</v>
      </c>
      <c r="Y479" s="43">
        <f>IFERROR(SUM(Y472:Y477),"0")</f>
        <v>0</v>
      </c>
      <c r="Z479" s="42"/>
      <c r="AA479" s="67"/>
      <c r="AB479" s="67"/>
      <c r="AC479" s="67"/>
    </row>
    <row r="480" spans="1:68" ht="14.25" hidden="1" customHeight="1" x14ac:dyDescent="0.25">
      <c r="A480" s="653" t="s">
        <v>86</v>
      </c>
      <c r="B480" s="653"/>
      <c r="C480" s="653"/>
      <c r="D480" s="653"/>
      <c r="E480" s="653"/>
      <c r="F480" s="653"/>
      <c r="G480" s="653"/>
      <c r="H480" s="653"/>
      <c r="I480" s="653"/>
      <c r="J480" s="653"/>
      <c r="K480" s="653"/>
      <c r="L480" s="653"/>
      <c r="M480" s="653"/>
      <c r="N480" s="653"/>
      <c r="O480" s="653"/>
      <c r="P480" s="653"/>
      <c r="Q480" s="653"/>
      <c r="R480" s="653"/>
      <c r="S480" s="653"/>
      <c r="T480" s="653"/>
      <c r="U480" s="653"/>
      <c r="V480" s="653"/>
      <c r="W480" s="653"/>
      <c r="X480" s="653"/>
      <c r="Y480" s="653"/>
      <c r="Z480" s="653"/>
      <c r="AA480" s="66"/>
      <c r="AB480" s="66"/>
      <c r="AC480" s="80"/>
    </row>
    <row r="481" spans="1:68" ht="27" hidden="1" customHeight="1" x14ac:dyDescent="0.25">
      <c r="A481" s="63" t="s">
        <v>785</v>
      </c>
      <c r="B481" s="63" t="s">
        <v>786</v>
      </c>
      <c r="C481" s="36">
        <v>4301051284</v>
      </c>
      <c r="D481" s="654">
        <v>4607091384352</v>
      </c>
      <c r="E481" s="654"/>
      <c r="F481" s="62">
        <v>0.6</v>
      </c>
      <c r="G481" s="37">
        <v>4</v>
      </c>
      <c r="H481" s="62">
        <v>2.4</v>
      </c>
      <c r="I481" s="62">
        <v>2.6259999999999999</v>
      </c>
      <c r="J481" s="37">
        <v>132</v>
      </c>
      <c r="K481" s="37" t="s">
        <v>134</v>
      </c>
      <c r="L481" s="37" t="s">
        <v>46</v>
      </c>
      <c r="M481" s="38" t="s">
        <v>90</v>
      </c>
      <c r="N481" s="38"/>
      <c r="O481" s="37">
        <v>45</v>
      </c>
      <c r="P481" s="700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1" s="656"/>
      <c r="R481" s="656"/>
      <c r="S481" s="656"/>
      <c r="T481" s="657"/>
      <c r="U481" s="39" t="s">
        <v>46</v>
      </c>
      <c r="V481" s="39" t="s">
        <v>46</v>
      </c>
      <c r="W481" s="40" t="s">
        <v>0</v>
      </c>
      <c r="X481" s="58">
        <v>0</v>
      </c>
      <c r="Y481" s="55">
        <f>IFERROR(IF(X481="",0,CEILING((X481/$H481),1)*$H481),"")</f>
        <v>0</v>
      </c>
      <c r="Z481" s="41" t="str">
        <f>IFERROR(IF(Y481=0,"",ROUNDUP(Y481/H481,0)*0.00902),"")</f>
        <v/>
      </c>
      <c r="AA481" s="68" t="s">
        <v>46</v>
      </c>
      <c r="AB481" s="69" t="s">
        <v>46</v>
      </c>
      <c r="AC481" s="584" t="s">
        <v>787</v>
      </c>
      <c r="AG481" s="78"/>
      <c r="AJ481" s="84" t="s">
        <v>46</v>
      </c>
      <c r="AK481" s="84">
        <v>0</v>
      </c>
      <c r="BB481" s="585" t="s">
        <v>67</v>
      </c>
      <c r="BM481" s="78">
        <f>IFERROR(X481*I481/H481,"0")</f>
        <v>0</v>
      </c>
      <c r="BN481" s="78">
        <f>IFERROR(Y481*I481/H481,"0")</f>
        <v>0</v>
      </c>
      <c r="BO481" s="78">
        <f>IFERROR(1/J481*(X481/H481),"0")</f>
        <v>0</v>
      </c>
      <c r="BP481" s="78">
        <f>IFERROR(1/J481*(Y481/H481),"0")</f>
        <v>0</v>
      </c>
    </row>
    <row r="482" spans="1:68" ht="27" hidden="1" customHeight="1" x14ac:dyDescent="0.25">
      <c r="A482" s="63" t="s">
        <v>788</v>
      </c>
      <c r="B482" s="63" t="s">
        <v>789</v>
      </c>
      <c r="C482" s="36">
        <v>4301051431</v>
      </c>
      <c r="D482" s="654">
        <v>4607091389654</v>
      </c>
      <c r="E482" s="654"/>
      <c r="F482" s="62">
        <v>0.33</v>
      </c>
      <c r="G482" s="37">
        <v>6</v>
      </c>
      <c r="H482" s="62">
        <v>1.98</v>
      </c>
      <c r="I482" s="62">
        <v>2.238</v>
      </c>
      <c r="J482" s="37">
        <v>182</v>
      </c>
      <c r="K482" s="37" t="s">
        <v>91</v>
      </c>
      <c r="L482" s="37" t="s">
        <v>46</v>
      </c>
      <c r="M482" s="38" t="s">
        <v>90</v>
      </c>
      <c r="N482" s="38"/>
      <c r="O482" s="37">
        <v>45</v>
      </c>
      <c r="P482" s="696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2" s="656"/>
      <c r="R482" s="656"/>
      <c r="S482" s="656"/>
      <c r="T482" s="657"/>
      <c r="U482" s="39" t="s">
        <v>46</v>
      </c>
      <c r="V482" s="39" t="s">
        <v>46</v>
      </c>
      <c r="W482" s="40" t="s">
        <v>0</v>
      </c>
      <c r="X482" s="58">
        <v>0</v>
      </c>
      <c r="Y482" s="55">
        <f>IFERROR(IF(X482="",0,CEILING((X482/$H482),1)*$H482),"")</f>
        <v>0</v>
      </c>
      <c r="Z482" s="41" t="str">
        <f>IFERROR(IF(Y482=0,"",ROUNDUP(Y482/H482,0)*0.00651),"")</f>
        <v/>
      </c>
      <c r="AA482" s="68" t="s">
        <v>46</v>
      </c>
      <c r="AB482" s="69" t="s">
        <v>46</v>
      </c>
      <c r="AC482" s="586" t="s">
        <v>790</v>
      </c>
      <c r="AG482" s="78"/>
      <c r="AJ482" s="84" t="s">
        <v>46</v>
      </c>
      <c r="AK482" s="84">
        <v>0</v>
      </c>
      <c r="BB482" s="587" t="s">
        <v>67</v>
      </c>
      <c r="BM482" s="78">
        <f>IFERROR(X482*I482/H482,"0")</f>
        <v>0</v>
      </c>
      <c r="BN482" s="78">
        <f>IFERROR(Y482*I482/H482,"0")</f>
        <v>0</v>
      </c>
      <c r="BO482" s="78">
        <f>IFERROR(1/J482*(X482/H482),"0")</f>
        <v>0</v>
      </c>
      <c r="BP482" s="78">
        <f>IFERROR(1/J482*(Y482/H482),"0")</f>
        <v>0</v>
      </c>
    </row>
    <row r="483" spans="1:68" hidden="1" x14ac:dyDescent="0.2">
      <c r="A483" s="661"/>
      <c r="B483" s="661"/>
      <c r="C483" s="661"/>
      <c r="D483" s="661"/>
      <c r="E483" s="661"/>
      <c r="F483" s="661"/>
      <c r="G483" s="661"/>
      <c r="H483" s="661"/>
      <c r="I483" s="661"/>
      <c r="J483" s="661"/>
      <c r="K483" s="661"/>
      <c r="L483" s="661"/>
      <c r="M483" s="661"/>
      <c r="N483" s="661"/>
      <c r="O483" s="662"/>
      <c r="P483" s="658" t="s">
        <v>40</v>
      </c>
      <c r="Q483" s="659"/>
      <c r="R483" s="659"/>
      <c r="S483" s="659"/>
      <c r="T483" s="659"/>
      <c r="U483" s="659"/>
      <c r="V483" s="660"/>
      <c r="W483" s="42" t="s">
        <v>39</v>
      </c>
      <c r="X483" s="43">
        <f>IFERROR(X481/H481,"0")+IFERROR(X482/H482,"0")</f>
        <v>0</v>
      </c>
      <c r="Y483" s="43">
        <f>IFERROR(Y481/H481,"0")+IFERROR(Y482/H482,"0")</f>
        <v>0</v>
      </c>
      <c r="Z483" s="43">
        <f>IFERROR(IF(Z481="",0,Z481),"0")+IFERROR(IF(Z482="",0,Z482),"0")</f>
        <v>0</v>
      </c>
      <c r="AA483" s="67"/>
      <c r="AB483" s="67"/>
      <c r="AC483" s="67"/>
    </row>
    <row r="484" spans="1:68" hidden="1" x14ac:dyDescent="0.2">
      <c r="A484" s="661"/>
      <c r="B484" s="661"/>
      <c r="C484" s="661"/>
      <c r="D484" s="661"/>
      <c r="E484" s="661"/>
      <c r="F484" s="661"/>
      <c r="G484" s="661"/>
      <c r="H484" s="661"/>
      <c r="I484" s="661"/>
      <c r="J484" s="661"/>
      <c r="K484" s="661"/>
      <c r="L484" s="661"/>
      <c r="M484" s="661"/>
      <c r="N484" s="661"/>
      <c r="O484" s="662"/>
      <c r="P484" s="658" t="s">
        <v>40</v>
      </c>
      <c r="Q484" s="659"/>
      <c r="R484" s="659"/>
      <c r="S484" s="659"/>
      <c r="T484" s="659"/>
      <c r="U484" s="659"/>
      <c r="V484" s="660"/>
      <c r="W484" s="42" t="s">
        <v>0</v>
      </c>
      <c r="X484" s="43">
        <f>IFERROR(SUM(X481:X482),"0")</f>
        <v>0</v>
      </c>
      <c r="Y484" s="43">
        <f>IFERROR(SUM(Y481:Y482),"0")</f>
        <v>0</v>
      </c>
      <c r="Z484" s="42"/>
      <c r="AA484" s="67"/>
      <c r="AB484" s="67"/>
      <c r="AC484" s="67"/>
    </row>
    <row r="485" spans="1:68" ht="16.5" hidden="1" customHeight="1" x14ac:dyDescent="0.25">
      <c r="A485" s="652" t="s">
        <v>791</v>
      </c>
      <c r="B485" s="652"/>
      <c r="C485" s="652"/>
      <c r="D485" s="652"/>
      <c r="E485" s="652"/>
      <c r="F485" s="652"/>
      <c r="G485" s="652"/>
      <c r="H485" s="652"/>
      <c r="I485" s="652"/>
      <c r="J485" s="652"/>
      <c r="K485" s="652"/>
      <c r="L485" s="652"/>
      <c r="M485" s="652"/>
      <c r="N485" s="652"/>
      <c r="O485" s="652"/>
      <c r="P485" s="652"/>
      <c r="Q485" s="652"/>
      <c r="R485" s="652"/>
      <c r="S485" s="652"/>
      <c r="T485" s="652"/>
      <c r="U485" s="652"/>
      <c r="V485" s="652"/>
      <c r="W485" s="652"/>
      <c r="X485" s="652"/>
      <c r="Y485" s="652"/>
      <c r="Z485" s="652"/>
      <c r="AA485" s="65"/>
      <c r="AB485" s="65"/>
      <c r="AC485" s="79"/>
    </row>
    <row r="486" spans="1:68" ht="14.25" hidden="1" customHeight="1" x14ac:dyDescent="0.25">
      <c r="A486" s="653" t="s">
        <v>157</v>
      </c>
      <c r="B486" s="653"/>
      <c r="C486" s="653"/>
      <c r="D486" s="653"/>
      <c r="E486" s="653"/>
      <c r="F486" s="653"/>
      <c r="G486" s="653"/>
      <c r="H486" s="653"/>
      <c r="I486" s="653"/>
      <c r="J486" s="653"/>
      <c r="K486" s="653"/>
      <c r="L486" s="653"/>
      <c r="M486" s="653"/>
      <c r="N486" s="653"/>
      <c r="O486" s="653"/>
      <c r="P486" s="653"/>
      <c r="Q486" s="653"/>
      <c r="R486" s="653"/>
      <c r="S486" s="653"/>
      <c r="T486" s="653"/>
      <c r="U486" s="653"/>
      <c r="V486" s="653"/>
      <c r="W486" s="653"/>
      <c r="X486" s="653"/>
      <c r="Y486" s="653"/>
      <c r="Z486" s="653"/>
      <c r="AA486" s="66"/>
      <c r="AB486" s="66"/>
      <c r="AC486" s="80"/>
    </row>
    <row r="487" spans="1:68" ht="27" hidden="1" customHeight="1" x14ac:dyDescent="0.25">
      <c r="A487" s="63" t="s">
        <v>792</v>
      </c>
      <c r="B487" s="63" t="s">
        <v>793</v>
      </c>
      <c r="C487" s="36">
        <v>4301020416</v>
      </c>
      <c r="D487" s="654">
        <v>4680115885240</v>
      </c>
      <c r="E487" s="654"/>
      <c r="F487" s="62">
        <v>0.35</v>
      </c>
      <c r="G487" s="37">
        <v>6</v>
      </c>
      <c r="H487" s="62">
        <v>2.1</v>
      </c>
      <c r="I487" s="62">
        <v>2.31</v>
      </c>
      <c r="J487" s="37">
        <v>182</v>
      </c>
      <c r="K487" s="37" t="s">
        <v>91</v>
      </c>
      <c r="L487" s="37" t="s">
        <v>46</v>
      </c>
      <c r="M487" s="38" t="s">
        <v>81</v>
      </c>
      <c r="N487" s="38"/>
      <c r="O487" s="37">
        <v>40</v>
      </c>
      <c r="P487" s="697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7" s="656"/>
      <c r="R487" s="656"/>
      <c r="S487" s="656"/>
      <c r="T487" s="657"/>
      <c r="U487" s="39" t="s">
        <v>46</v>
      </c>
      <c r="V487" s="39" t="s">
        <v>46</v>
      </c>
      <c r="W487" s="40" t="s">
        <v>0</v>
      </c>
      <c r="X487" s="58">
        <v>0</v>
      </c>
      <c r="Y487" s="55">
        <f>IFERROR(IF(X487="",0,CEILING((X487/$H487),1)*$H487),"")</f>
        <v>0</v>
      </c>
      <c r="Z487" s="41" t="str">
        <f>IFERROR(IF(Y487=0,"",ROUNDUP(Y487/H487,0)*0.00651),"")</f>
        <v/>
      </c>
      <c r="AA487" s="68" t="s">
        <v>46</v>
      </c>
      <c r="AB487" s="69" t="s">
        <v>46</v>
      </c>
      <c r="AC487" s="588" t="s">
        <v>794</v>
      </c>
      <c r="AG487" s="78"/>
      <c r="AJ487" s="84" t="s">
        <v>46</v>
      </c>
      <c r="AK487" s="84">
        <v>0</v>
      </c>
      <c r="BB487" s="589" t="s">
        <v>67</v>
      </c>
      <c r="BM487" s="78">
        <f>IFERROR(X487*I487/H487,"0")</f>
        <v>0</v>
      </c>
      <c r="BN487" s="78">
        <f>IFERROR(Y487*I487/H487,"0")</f>
        <v>0</v>
      </c>
      <c r="BO487" s="78">
        <f>IFERROR(1/J487*(X487/H487),"0")</f>
        <v>0</v>
      </c>
      <c r="BP487" s="78">
        <f>IFERROR(1/J487*(Y487/H487),"0")</f>
        <v>0</v>
      </c>
    </row>
    <row r="488" spans="1:68" hidden="1" x14ac:dyDescent="0.2">
      <c r="A488" s="661"/>
      <c r="B488" s="661"/>
      <c r="C488" s="661"/>
      <c r="D488" s="661"/>
      <c r="E488" s="661"/>
      <c r="F488" s="661"/>
      <c r="G488" s="661"/>
      <c r="H488" s="661"/>
      <c r="I488" s="661"/>
      <c r="J488" s="661"/>
      <c r="K488" s="661"/>
      <c r="L488" s="661"/>
      <c r="M488" s="661"/>
      <c r="N488" s="661"/>
      <c r="O488" s="662"/>
      <c r="P488" s="658" t="s">
        <v>40</v>
      </c>
      <c r="Q488" s="659"/>
      <c r="R488" s="659"/>
      <c r="S488" s="659"/>
      <c r="T488" s="659"/>
      <c r="U488" s="659"/>
      <c r="V488" s="660"/>
      <c r="W488" s="42" t="s">
        <v>39</v>
      </c>
      <c r="X488" s="43">
        <f>IFERROR(X487/H487,"0")</f>
        <v>0</v>
      </c>
      <c r="Y488" s="43">
        <f>IFERROR(Y487/H487,"0")</f>
        <v>0</v>
      </c>
      <c r="Z488" s="43">
        <f>IFERROR(IF(Z487="",0,Z487),"0")</f>
        <v>0</v>
      </c>
      <c r="AA488" s="67"/>
      <c r="AB488" s="67"/>
      <c r="AC488" s="67"/>
    </row>
    <row r="489" spans="1:68" hidden="1" x14ac:dyDescent="0.2">
      <c r="A489" s="661"/>
      <c r="B489" s="661"/>
      <c r="C489" s="661"/>
      <c r="D489" s="661"/>
      <c r="E489" s="661"/>
      <c r="F489" s="661"/>
      <c r="G489" s="661"/>
      <c r="H489" s="661"/>
      <c r="I489" s="661"/>
      <c r="J489" s="661"/>
      <c r="K489" s="661"/>
      <c r="L489" s="661"/>
      <c r="M489" s="661"/>
      <c r="N489" s="661"/>
      <c r="O489" s="662"/>
      <c r="P489" s="658" t="s">
        <v>40</v>
      </c>
      <c r="Q489" s="659"/>
      <c r="R489" s="659"/>
      <c r="S489" s="659"/>
      <c r="T489" s="659"/>
      <c r="U489" s="659"/>
      <c r="V489" s="660"/>
      <c r="W489" s="42" t="s">
        <v>0</v>
      </c>
      <c r="X489" s="43">
        <f>IFERROR(SUM(X487:X487),"0")</f>
        <v>0</v>
      </c>
      <c r="Y489" s="43">
        <f>IFERROR(SUM(Y487:Y487),"0")</f>
        <v>0</v>
      </c>
      <c r="Z489" s="42"/>
      <c r="AA489" s="67"/>
      <c r="AB489" s="67"/>
      <c r="AC489" s="67"/>
    </row>
    <row r="490" spans="1:68" ht="14.25" hidden="1" customHeight="1" x14ac:dyDescent="0.25">
      <c r="A490" s="653" t="s">
        <v>77</v>
      </c>
      <c r="B490" s="653"/>
      <c r="C490" s="653"/>
      <c r="D490" s="653"/>
      <c r="E490" s="653"/>
      <c r="F490" s="653"/>
      <c r="G490" s="653"/>
      <c r="H490" s="653"/>
      <c r="I490" s="653"/>
      <c r="J490" s="653"/>
      <c r="K490" s="653"/>
      <c r="L490" s="653"/>
      <c r="M490" s="653"/>
      <c r="N490" s="653"/>
      <c r="O490" s="653"/>
      <c r="P490" s="653"/>
      <c r="Q490" s="653"/>
      <c r="R490" s="653"/>
      <c r="S490" s="653"/>
      <c r="T490" s="653"/>
      <c r="U490" s="653"/>
      <c r="V490" s="653"/>
      <c r="W490" s="653"/>
      <c r="X490" s="653"/>
      <c r="Y490" s="653"/>
      <c r="Z490" s="653"/>
      <c r="AA490" s="66"/>
      <c r="AB490" s="66"/>
      <c r="AC490" s="80"/>
    </row>
    <row r="491" spans="1:68" ht="27" hidden="1" customHeight="1" x14ac:dyDescent="0.25">
      <c r="A491" s="63" t="s">
        <v>795</v>
      </c>
      <c r="B491" s="63" t="s">
        <v>796</v>
      </c>
      <c r="C491" s="36">
        <v>4301031407</v>
      </c>
      <c r="D491" s="654">
        <v>4680115886094</v>
      </c>
      <c r="E491" s="654"/>
      <c r="F491" s="62">
        <v>0.9</v>
      </c>
      <c r="G491" s="37">
        <v>6</v>
      </c>
      <c r="H491" s="62">
        <v>5.4</v>
      </c>
      <c r="I491" s="62">
        <v>5.59</v>
      </c>
      <c r="J491" s="37">
        <v>132</v>
      </c>
      <c r="K491" s="37" t="s">
        <v>134</v>
      </c>
      <c r="L491" s="37" t="s">
        <v>46</v>
      </c>
      <c r="M491" s="38" t="s">
        <v>81</v>
      </c>
      <c r="N491" s="38"/>
      <c r="O491" s="37">
        <v>50</v>
      </c>
      <c r="P491" s="693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1" s="656"/>
      <c r="R491" s="656"/>
      <c r="S491" s="656"/>
      <c r="T491" s="657"/>
      <c r="U491" s="39" t="s">
        <v>46</v>
      </c>
      <c r="V491" s="39" t="s">
        <v>46</v>
      </c>
      <c r="W491" s="40" t="s">
        <v>0</v>
      </c>
      <c r="X491" s="58">
        <v>0</v>
      </c>
      <c r="Y491" s="55">
        <f>IFERROR(IF(X491="",0,CEILING((X491/$H491),1)*$H491),"")</f>
        <v>0</v>
      </c>
      <c r="Z491" s="41" t="str">
        <f>IFERROR(IF(Y491=0,"",ROUNDUP(Y491/H491,0)*0.00902),"")</f>
        <v/>
      </c>
      <c r="AA491" s="68" t="s">
        <v>46</v>
      </c>
      <c r="AB491" s="69" t="s">
        <v>46</v>
      </c>
      <c r="AC491" s="590" t="s">
        <v>797</v>
      </c>
      <c r="AG491" s="78"/>
      <c r="AJ491" s="84" t="s">
        <v>46</v>
      </c>
      <c r="AK491" s="84">
        <v>0</v>
      </c>
      <c r="BB491" s="591" t="s">
        <v>67</v>
      </c>
      <c r="BM491" s="78">
        <f>IFERROR(X491*I491/H491,"0")</f>
        <v>0</v>
      </c>
      <c r="BN491" s="78">
        <f>IFERROR(Y491*I491/H491,"0")</f>
        <v>0</v>
      </c>
      <c r="BO491" s="78">
        <f>IFERROR(1/J491*(X491/H491),"0")</f>
        <v>0</v>
      </c>
      <c r="BP491" s="78">
        <f>IFERROR(1/J491*(Y491/H491),"0")</f>
        <v>0</v>
      </c>
    </row>
    <row r="492" spans="1:68" ht="27" hidden="1" customHeight="1" x14ac:dyDescent="0.25">
      <c r="A492" s="63" t="s">
        <v>798</v>
      </c>
      <c r="B492" s="63" t="s">
        <v>799</v>
      </c>
      <c r="C492" s="36">
        <v>4301031373</v>
      </c>
      <c r="D492" s="654">
        <v>4680115880771</v>
      </c>
      <c r="E492" s="654"/>
      <c r="F492" s="62">
        <v>0.28000000000000003</v>
      </c>
      <c r="G492" s="37">
        <v>6</v>
      </c>
      <c r="H492" s="62">
        <v>1.68</v>
      </c>
      <c r="I492" s="62">
        <v>1.81</v>
      </c>
      <c r="J492" s="37">
        <v>234</v>
      </c>
      <c r="K492" s="37" t="s">
        <v>82</v>
      </c>
      <c r="L492" s="37" t="s">
        <v>46</v>
      </c>
      <c r="M492" s="38" t="s">
        <v>81</v>
      </c>
      <c r="N492" s="38"/>
      <c r="O492" s="37">
        <v>50</v>
      </c>
      <c r="P492" s="694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2" s="656"/>
      <c r="R492" s="656"/>
      <c r="S492" s="656"/>
      <c r="T492" s="657"/>
      <c r="U492" s="39" t="s">
        <v>46</v>
      </c>
      <c r="V492" s="39" t="s">
        <v>46</v>
      </c>
      <c r="W492" s="40" t="s">
        <v>0</v>
      </c>
      <c r="X492" s="58">
        <v>0</v>
      </c>
      <c r="Y492" s="55">
        <f>IFERROR(IF(X492="",0,CEILING((X492/$H492),1)*$H492),"")</f>
        <v>0</v>
      </c>
      <c r="Z492" s="41" t="str">
        <f>IFERROR(IF(Y492=0,"",ROUNDUP(Y492/H492,0)*0.00502),"")</f>
        <v/>
      </c>
      <c r="AA492" s="68" t="s">
        <v>46</v>
      </c>
      <c r="AB492" s="69" t="s">
        <v>46</v>
      </c>
      <c r="AC492" s="592" t="s">
        <v>800</v>
      </c>
      <c r="AG492" s="78"/>
      <c r="AJ492" s="84" t="s">
        <v>46</v>
      </c>
      <c r="AK492" s="84">
        <v>0</v>
      </c>
      <c r="BB492" s="593" t="s">
        <v>67</v>
      </c>
      <c r="BM492" s="78">
        <f>IFERROR(X492*I492/H492,"0")</f>
        <v>0</v>
      </c>
      <c r="BN492" s="78">
        <f>IFERROR(Y492*I492/H492,"0")</f>
        <v>0</v>
      </c>
      <c r="BO492" s="78">
        <f>IFERROR(1/J492*(X492/H492),"0")</f>
        <v>0</v>
      </c>
      <c r="BP492" s="78">
        <f>IFERROR(1/J492*(Y492/H492),"0")</f>
        <v>0</v>
      </c>
    </row>
    <row r="493" spans="1:68" ht="27" hidden="1" customHeight="1" x14ac:dyDescent="0.25">
      <c r="A493" s="63" t="s">
        <v>801</v>
      </c>
      <c r="B493" s="63" t="s">
        <v>802</v>
      </c>
      <c r="C493" s="36">
        <v>4301031359</v>
      </c>
      <c r="D493" s="654">
        <v>4607091389500</v>
      </c>
      <c r="E493" s="654"/>
      <c r="F493" s="62">
        <v>0.35</v>
      </c>
      <c r="G493" s="37">
        <v>6</v>
      </c>
      <c r="H493" s="62">
        <v>2.1</v>
      </c>
      <c r="I493" s="62">
        <v>2.23</v>
      </c>
      <c r="J493" s="37">
        <v>234</v>
      </c>
      <c r="K493" s="37" t="s">
        <v>82</v>
      </c>
      <c r="L493" s="37" t="s">
        <v>46</v>
      </c>
      <c r="M493" s="38" t="s">
        <v>81</v>
      </c>
      <c r="N493" s="38"/>
      <c r="O493" s="37">
        <v>50</v>
      </c>
      <c r="P493" s="695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3" s="656"/>
      <c r="R493" s="656"/>
      <c r="S493" s="656"/>
      <c r="T493" s="657"/>
      <c r="U493" s="39" t="s">
        <v>46</v>
      </c>
      <c r="V493" s="39" t="s">
        <v>46</v>
      </c>
      <c r="W493" s="40" t="s">
        <v>0</v>
      </c>
      <c r="X493" s="58">
        <v>0</v>
      </c>
      <c r="Y493" s="55">
        <f>IFERROR(IF(X493="",0,CEILING((X493/$H493),1)*$H493),"")</f>
        <v>0</v>
      </c>
      <c r="Z493" s="41" t="str">
        <f>IFERROR(IF(Y493=0,"",ROUNDUP(Y493/H493,0)*0.00502),"")</f>
        <v/>
      </c>
      <c r="AA493" s="68" t="s">
        <v>46</v>
      </c>
      <c r="AB493" s="69" t="s">
        <v>46</v>
      </c>
      <c r="AC493" s="594" t="s">
        <v>800</v>
      </c>
      <c r="AG493" s="78"/>
      <c r="AJ493" s="84" t="s">
        <v>46</v>
      </c>
      <c r="AK493" s="84">
        <v>0</v>
      </c>
      <c r="BB493" s="595" t="s">
        <v>67</v>
      </c>
      <c r="BM493" s="78">
        <f>IFERROR(X493*I493/H493,"0")</f>
        <v>0</v>
      </c>
      <c r="BN493" s="78">
        <f>IFERROR(Y493*I493/H493,"0")</f>
        <v>0</v>
      </c>
      <c r="BO493" s="78">
        <f>IFERROR(1/J493*(X493/H493),"0")</f>
        <v>0</v>
      </c>
      <c r="BP493" s="78">
        <f>IFERROR(1/J493*(Y493/H493),"0")</f>
        <v>0</v>
      </c>
    </row>
    <row r="494" spans="1:68" hidden="1" x14ac:dyDescent="0.2">
      <c r="A494" s="661"/>
      <c r="B494" s="661"/>
      <c r="C494" s="661"/>
      <c r="D494" s="661"/>
      <c r="E494" s="661"/>
      <c r="F494" s="661"/>
      <c r="G494" s="661"/>
      <c r="H494" s="661"/>
      <c r="I494" s="661"/>
      <c r="J494" s="661"/>
      <c r="K494" s="661"/>
      <c r="L494" s="661"/>
      <c r="M494" s="661"/>
      <c r="N494" s="661"/>
      <c r="O494" s="662"/>
      <c r="P494" s="658" t="s">
        <v>40</v>
      </c>
      <c r="Q494" s="659"/>
      <c r="R494" s="659"/>
      <c r="S494" s="659"/>
      <c r="T494" s="659"/>
      <c r="U494" s="659"/>
      <c r="V494" s="660"/>
      <c r="W494" s="42" t="s">
        <v>39</v>
      </c>
      <c r="X494" s="43">
        <f>IFERROR(X491/H491,"0")+IFERROR(X492/H492,"0")+IFERROR(X493/H493,"0")</f>
        <v>0</v>
      </c>
      <c r="Y494" s="43">
        <f>IFERROR(Y491/H491,"0")+IFERROR(Y492/H492,"0")+IFERROR(Y493/H493,"0")</f>
        <v>0</v>
      </c>
      <c r="Z494" s="43">
        <f>IFERROR(IF(Z491="",0,Z491),"0")+IFERROR(IF(Z492="",0,Z492),"0")+IFERROR(IF(Z493="",0,Z493),"0")</f>
        <v>0</v>
      </c>
      <c r="AA494" s="67"/>
      <c r="AB494" s="67"/>
      <c r="AC494" s="67"/>
    </row>
    <row r="495" spans="1:68" hidden="1" x14ac:dyDescent="0.2">
      <c r="A495" s="661"/>
      <c r="B495" s="661"/>
      <c r="C495" s="661"/>
      <c r="D495" s="661"/>
      <c r="E495" s="661"/>
      <c r="F495" s="661"/>
      <c r="G495" s="661"/>
      <c r="H495" s="661"/>
      <c r="I495" s="661"/>
      <c r="J495" s="661"/>
      <c r="K495" s="661"/>
      <c r="L495" s="661"/>
      <c r="M495" s="661"/>
      <c r="N495" s="661"/>
      <c r="O495" s="662"/>
      <c r="P495" s="658" t="s">
        <v>40</v>
      </c>
      <c r="Q495" s="659"/>
      <c r="R495" s="659"/>
      <c r="S495" s="659"/>
      <c r="T495" s="659"/>
      <c r="U495" s="659"/>
      <c r="V495" s="660"/>
      <c r="W495" s="42" t="s">
        <v>0</v>
      </c>
      <c r="X495" s="43">
        <f>IFERROR(SUM(X491:X493),"0")</f>
        <v>0</v>
      </c>
      <c r="Y495" s="43">
        <f>IFERROR(SUM(Y491:Y493),"0")</f>
        <v>0</v>
      </c>
      <c r="Z495" s="42"/>
      <c r="AA495" s="67"/>
      <c r="AB495" s="67"/>
      <c r="AC495" s="67"/>
    </row>
    <row r="496" spans="1:68" ht="27.75" hidden="1" customHeight="1" x14ac:dyDescent="0.2">
      <c r="A496" s="673" t="s">
        <v>803</v>
      </c>
      <c r="B496" s="673"/>
      <c r="C496" s="673"/>
      <c r="D496" s="673"/>
      <c r="E496" s="673"/>
      <c r="F496" s="673"/>
      <c r="G496" s="673"/>
      <c r="H496" s="673"/>
      <c r="I496" s="673"/>
      <c r="J496" s="673"/>
      <c r="K496" s="673"/>
      <c r="L496" s="673"/>
      <c r="M496" s="673"/>
      <c r="N496" s="673"/>
      <c r="O496" s="673"/>
      <c r="P496" s="673"/>
      <c r="Q496" s="673"/>
      <c r="R496" s="673"/>
      <c r="S496" s="673"/>
      <c r="T496" s="673"/>
      <c r="U496" s="673"/>
      <c r="V496" s="673"/>
      <c r="W496" s="673"/>
      <c r="X496" s="673"/>
      <c r="Y496" s="673"/>
      <c r="Z496" s="673"/>
      <c r="AA496" s="54"/>
      <c r="AB496" s="54"/>
      <c r="AC496" s="54"/>
    </row>
    <row r="497" spans="1:68" ht="16.5" hidden="1" customHeight="1" x14ac:dyDescent="0.25">
      <c r="A497" s="652" t="s">
        <v>803</v>
      </c>
      <c r="B497" s="652"/>
      <c r="C497" s="652"/>
      <c r="D497" s="652"/>
      <c r="E497" s="652"/>
      <c r="F497" s="652"/>
      <c r="G497" s="652"/>
      <c r="H497" s="652"/>
      <c r="I497" s="652"/>
      <c r="J497" s="652"/>
      <c r="K497" s="652"/>
      <c r="L497" s="652"/>
      <c r="M497" s="652"/>
      <c r="N497" s="652"/>
      <c r="O497" s="652"/>
      <c r="P497" s="652"/>
      <c r="Q497" s="652"/>
      <c r="R497" s="652"/>
      <c r="S497" s="652"/>
      <c r="T497" s="652"/>
      <c r="U497" s="652"/>
      <c r="V497" s="652"/>
      <c r="W497" s="652"/>
      <c r="X497" s="652"/>
      <c r="Y497" s="652"/>
      <c r="Z497" s="652"/>
      <c r="AA497" s="65"/>
      <c r="AB497" s="65"/>
      <c r="AC497" s="79"/>
    </row>
    <row r="498" spans="1:68" ht="14.25" hidden="1" customHeight="1" x14ac:dyDescent="0.25">
      <c r="A498" s="653" t="s">
        <v>122</v>
      </c>
      <c r="B498" s="653"/>
      <c r="C498" s="653"/>
      <c r="D498" s="653"/>
      <c r="E498" s="653"/>
      <c r="F498" s="653"/>
      <c r="G498" s="653"/>
      <c r="H498" s="653"/>
      <c r="I498" s="653"/>
      <c r="J498" s="653"/>
      <c r="K498" s="653"/>
      <c r="L498" s="653"/>
      <c r="M498" s="653"/>
      <c r="N498" s="653"/>
      <c r="O498" s="653"/>
      <c r="P498" s="653"/>
      <c r="Q498" s="653"/>
      <c r="R498" s="653"/>
      <c r="S498" s="653"/>
      <c r="T498" s="653"/>
      <c r="U498" s="653"/>
      <c r="V498" s="653"/>
      <c r="W498" s="653"/>
      <c r="X498" s="653"/>
      <c r="Y498" s="653"/>
      <c r="Z498" s="653"/>
      <c r="AA498" s="66"/>
      <c r="AB498" s="66"/>
      <c r="AC498" s="80"/>
    </row>
    <row r="499" spans="1:68" ht="27" hidden="1" customHeight="1" x14ac:dyDescent="0.25">
      <c r="A499" s="63" t="s">
        <v>804</v>
      </c>
      <c r="B499" s="63" t="s">
        <v>805</v>
      </c>
      <c r="C499" s="36">
        <v>4301011769</v>
      </c>
      <c r="D499" s="654">
        <v>4607091389067</v>
      </c>
      <c r="E499" s="654"/>
      <c r="F499" s="62">
        <v>0.88</v>
      </c>
      <c r="G499" s="37">
        <v>6</v>
      </c>
      <c r="H499" s="62">
        <v>5.28</v>
      </c>
      <c r="I499" s="62">
        <v>5.63</v>
      </c>
      <c r="J499" s="37">
        <v>104</v>
      </c>
      <c r="K499" s="37" t="s">
        <v>127</v>
      </c>
      <c r="L499" s="37" t="s">
        <v>46</v>
      </c>
      <c r="M499" s="38" t="s">
        <v>90</v>
      </c>
      <c r="N499" s="38"/>
      <c r="O499" s="37">
        <v>60</v>
      </c>
      <c r="P499" s="691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9" s="656"/>
      <c r="R499" s="656"/>
      <c r="S499" s="656"/>
      <c r="T499" s="657"/>
      <c r="U499" s="39" t="s">
        <v>46</v>
      </c>
      <c r="V499" s="39" t="s">
        <v>46</v>
      </c>
      <c r="W499" s="40" t="s">
        <v>0</v>
      </c>
      <c r="X499" s="58">
        <v>0</v>
      </c>
      <c r="Y499" s="55">
        <f t="shared" ref="Y499:Y507" si="78">IFERROR(IF(X499="",0,CEILING((X499/$H499),1)*$H499),"")</f>
        <v>0</v>
      </c>
      <c r="Z499" s="41" t="str">
        <f t="shared" ref="Z499:Z504" si="79">IFERROR(IF(Y499=0,"",ROUNDUP(Y499/H499,0)*0.01196),"")</f>
        <v/>
      </c>
      <c r="AA499" s="68" t="s">
        <v>46</v>
      </c>
      <c r="AB499" s="69" t="s">
        <v>46</v>
      </c>
      <c r="AC499" s="596" t="s">
        <v>125</v>
      </c>
      <c r="AG499" s="78"/>
      <c r="AJ499" s="84" t="s">
        <v>46</v>
      </c>
      <c r="AK499" s="84">
        <v>0</v>
      </c>
      <c r="BB499" s="597" t="s">
        <v>67</v>
      </c>
      <c r="BM499" s="78">
        <f t="shared" ref="BM499:BM507" si="80">IFERROR(X499*I499/H499,"0")</f>
        <v>0</v>
      </c>
      <c r="BN499" s="78">
        <f t="shared" ref="BN499:BN507" si="81">IFERROR(Y499*I499/H499,"0")</f>
        <v>0</v>
      </c>
      <c r="BO499" s="78">
        <f t="shared" ref="BO499:BO507" si="82">IFERROR(1/J499*(X499/H499),"0")</f>
        <v>0</v>
      </c>
      <c r="BP499" s="78">
        <f t="shared" ref="BP499:BP507" si="83">IFERROR(1/J499*(Y499/H499),"0")</f>
        <v>0</v>
      </c>
    </row>
    <row r="500" spans="1:68" ht="16.5" hidden="1" customHeight="1" x14ac:dyDescent="0.25">
      <c r="A500" s="63" t="s">
        <v>806</v>
      </c>
      <c r="B500" s="63" t="s">
        <v>807</v>
      </c>
      <c r="C500" s="36">
        <v>4301012380</v>
      </c>
      <c r="D500" s="654">
        <v>4680115889576</v>
      </c>
      <c r="E500" s="654"/>
      <c r="F500" s="62">
        <v>0.88</v>
      </c>
      <c r="G500" s="37">
        <v>6</v>
      </c>
      <c r="H500" s="62">
        <v>5.28</v>
      </c>
      <c r="I500" s="62">
        <v>5.63</v>
      </c>
      <c r="J500" s="37">
        <v>104</v>
      </c>
      <c r="K500" s="37" t="s">
        <v>127</v>
      </c>
      <c r="L500" s="37" t="s">
        <v>46</v>
      </c>
      <c r="M500" s="38" t="s">
        <v>126</v>
      </c>
      <c r="N500" s="38"/>
      <c r="O500" s="37">
        <v>60</v>
      </c>
      <c r="P500" s="692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0" s="656"/>
      <c r="R500" s="656"/>
      <c r="S500" s="656"/>
      <c r="T500" s="657"/>
      <c r="U500" s="39" t="s">
        <v>46</v>
      </c>
      <c r="V500" s="39" t="s">
        <v>46</v>
      </c>
      <c r="W500" s="40" t="s">
        <v>0</v>
      </c>
      <c r="X500" s="58">
        <v>0</v>
      </c>
      <c r="Y500" s="55">
        <f t="shared" si="78"/>
        <v>0</v>
      </c>
      <c r="Z500" s="41" t="str">
        <f t="shared" si="79"/>
        <v/>
      </c>
      <c r="AA500" s="68" t="s">
        <v>46</v>
      </c>
      <c r="AB500" s="69" t="s">
        <v>46</v>
      </c>
      <c r="AC500" s="598" t="s">
        <v>808</v>
      </c>
      <c r="AG500" s="78"/>
      <c r="AJ500" s="84" t="s">
        <v>46</v>
      </c>
      <c r="AK500" s="84">
        <v>0</v>
      </c>
      <c r="BB500" s="599" t="s">
        <v>67</v>
      </c>
      <c r="BM500" s="78">
        <f t="shared" si="80"/>
        <v>0</v>
      </c>
      <c r="BN500" s="78">
        <f t="shared" si="81"/>
        <v>0</v>
      </c>
      <c r="BO500" s="78">
        <f t="shared" si="82"/>
        <v>0</v>
      </c>
      <c r="BP500" s="78">
        <f t="shared" si="83"/>
        <v>0</v>
      </c>
    </row>
    <row r="501" spans="1:68" ht="27" hidden="1" customHeight="1" x14ac:dyDescent="0.25">
      <c r="A501" s="63" t="s">
        <v>809</v>
      </c>
      <c r="B501" s="63" t="s">
        <v>810</v>
      </c>
      <c r="C501" s="36">
        <v>4301011961</v>
      </c>
      <c r="D501" s="654">
        <v>4680115885271</v>
      </c>
      <c r="E501" s="654"/>
      <c r="F501" s="62">
        <v>0.88</v>
      </c>
      <c r="G501" s="37">
        <v>6</v>
      </c>
      <c r="H501" s="62">
        <v>5.28</v>
      </c>
      <c r="I501" s="62">
        <v>5.63</v>
      </c>
      <c r="J501" s="37">
        <v>104</v>
      </c>
      <c r="K501" s="37" t="s">
        <v>127</v>
      </c>
      <c r="L501" s="37" t="s">
        <v>46</v>
      </c>
      <c r="M501" s="38" t="s">
        <v>126</v>
      </c>
      <c r="N501" s="38"/>
      <c r="O501" s="37">
        <v>60</v>
      </c>
      <c r="P501" s="68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1" s="656"/>
      <c r="R501" s="656"/>
      <c r="S501" s="656"/>
      <c r="T501" s="657"/>
      <c r="U501" s="39" t="s">
        <v>46</v>
      </c>
      <c r="V501" s="39" t="s">
        <v>46</v>
      </c>
      <c r="W501" s="40" t="s">
        <v>0</v>
      </c>
      <c r="X501" s="58">
        <v>0</v>
      </c>
      <c r="Y501" s="55">
        <f t="shared" si="78"/>
        <v>0</v>
      </c>
      <c r="Z501" s="41" t="str">
        <f t="shared" si="79"/>
        <v/>
      </c>
      <c r="AA501" s="68" t="s">
        <v>46</v>
      </c>
      <c r="AB501" s="69" t="s">
        <v>46</v>
      </c>
      <c r="AC501" s="600" t="s">
        <v>811</v>
      </c>
      <c r="AG501" s="78"/>
      <c r="AJ501" s="84" t="s">
        <v>46</v>
      </c>
      <c r="AK501" s="84">
        <v>0</v>
      </c>
      <c r="BB501" s="601" t="s">
        <v>67</v>
      </c>
      <c r="BM501" s="78">
        <f t="shared" si="80"/>
        <v>0</v>
      </c>
      <c r="BN501" s="78">
        <f t="shared" si="81"/>
        <v>0</v>
      </c>
      <c r="BO501" s="78">
        <f t="shared" si="82"/>
        <v>0</v>
      </c>
      <c r="BP501" s="78">
        <f t="shared" si="83"/>
        <v>0</v>
      </c>
    </row>
    <row r="502" spans="1:68" ht="27" hidden="1" customHeight="1" x14ac:dyDescent="0.25">
      <c r="A502" s="63" t="s">
        <v>812</v>
      </c>
      <c r="B502" s="63" t="s">
        <v>813</v>
      </c>
      <c r="C502" s="36">
        <v>4301011369</v>
      </c>
      <c r="D502" s="654">
        <v>4680115885226</v>
      </c>
      <c r="E502" s="654"/>
      <c r="F502" s="62">
        <v>0.88</v>
      </c>
      <c r="G502" s="37">
        <v>6</v>
      </c>
      <c r="H502" s="62">
        <v>5.28</v>
      </c>
      <c r="I502" s="62">
        <v>5.63</v>
      </c>
      <c r="J502" s="37">
        <v>104</v>
      </c>
      <c r="K502" s="37" t="s">
        <v>127</v>
      </c>
      <c r="L502" s="37" t="s">
        <v>46</v>
      </c>
      <c r="M502" s="38" t="s">
        <v>126</v>
      </c>
      <c r="N502" s="38"/>
      <c r="O502" s="37">
        <v>60</v>
      </c>
      <c r="P502" s="68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2" s="656"/>
      <c r="R502" s="656"/>
      <c r="S502" s="656"/>
      <c r="T502" s="657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si="78"/>
        <v>0</v>
      </c>
      <c r="Z502" s="41" t="str">
        <f t="shared" si="79"/>
        <v/>
      </c>
      <c r="AA502" s="68" t="s">
        <v>46</v>
      </c>
      <c r="AB502" s="69" t="s">
        <v>46</v>
      </c>
      <c r="AC502" s="602" t="s">
        <v>814</v>
      </c>
      <c r="AG502" s="78"/>
      <c r="AJ502" s="84" t="s">
        <v>46</v>
      </c>
      <c r="AK502" s="84">
        <v>0</v>
      </c>
      <c r="BB502" s="603" t="s">
        <v>67</v>
      </c>
      <c r="BM502" s="78">
        <f t="shared" si="80"/>
        <v>0</v>
      </c>
      <c r="BN502" s="78">
        <f t="shared" si="81"/>
        <v>0</v>
      </c>
      <c r="BO502" s="78">
        <f t="shared" si="82"/>
        <v>0</v>
      </c>
      <c r="BP502" s="78">
        <f t="shared" si="83"/>
        <v>0</v>
      </c>
    </row>
    <row r="503" spans="1:68" ht="16.5" hidden="1" customHeight="1" x14ac:dyDescent="0.25">
      <c r="A503" s="63" t="s">
        <v>815</v>
      </c>
      <c r="B503" s="63" t="s">
        <v>816</v>
      </c>
      <c r="C503" s="36">
        <v>4301011797</v>
      </c>
      <c r="D503" s="654">
        <v>4680115884502</v>
      </c>
      <c r="E503" s="654"/>
      <c r="F503" s="62">
        <v>0.88</v>
      </c>
      <c r="G503" s="37">
        <v>6</v>
      </c>
      <c r="H503" s="62">
        <v>5.28</v>
      </c>
      <c r="I503" s="62">
        <v>5.63</v>
      </c>
      <c r="J503" s="37">
        <v>104</v>
      </c>
      <c r="K503" s="37" t="s">
        <v>127</v>
      </c>
      <c r="L503" s="37" t="s">
        <v>46</v>
      </c>
      <c r="M503" s="38" t="s">
        <v>90</v>
      </c>
      <c r="N503" s="38"/>
      <c r="O503" s="37">
        <v>60</v>
      </c>
      <c r="P503" s="68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3" s="656"/>
      <c r="R503" s="656"/>
      <c r="S503" s="656"/>
      <c r="T503" s="657"/>
      <c r="U503" s="39" t="s">
        <v>46</v>
      </c>
      <c r="V503" s="39" t="s">
        <v>46</v>
      </c>
      <c r="W503" s="40" t="s">
        <v>0</v>
      </c>
      <c r="X503" s="58">
        <v>0</v>
      </c>
      <c r="Y503" s="55">
        <f t="shared" si="78"/>
        <v>0</v>
      </c>
      <c r="Z503" s="41" t="str">
        <f t="shared" si="79"/>
        <v/>
      </c>
      <c r="AA503" s="68" t="s">
        <v>46</v>
      </c>
      <c r="AB503" s="69" t="s">
        <v>46</v>
      </c>
      <c r="AC503" s="604" t="s">
        <v>817</v>
      </c>
      <c r="AG503" s="78"/>
      <c r="AJ503" s="84" t="s">
        <v>46</v>
      </c>
      <c r="AK503" s="84">
        <v>0</v>
      </c>
      <c r="BB503" s="605" t="s">
        <v>67</v>
      </c>
      <c r="BM503" s="78">
        <f t="shared" si="80"/>
        <v>0</v>
      </c>
      <c r="BN503" s="78">
        <f t="shared" si="81"/>
        <v>0</v>
      </c>
      <c r="BO503" s="78">
        <f t="shared" si="82"/>
        <v>0</v>
      </c>
      <c r="BP503" s="78">
        <f t="shared" si="83"/>
        <v>0</v>
      </c>
    </row>
    <row r="504" spans="1:68" ht="27" hidden="1" customHeight="1" x14ac:dyDescent="0.25">
      <c r="A504" s="63" t="s">
        <v>818</v>
      </c>
      <c r="B504" s="63" t="s">
        <v>819</v>
      </c>
      <c r="C504" s="36">
        <v>4301011771</v>
      </c>
      <c r="D504" s="654">
        <v>4607091389104</v>
      </c>
      <c r="E504" s="654"/>
      <c r="F504" s="62">
        <v>0.88</v>
      </c>
      <c r="G504" s="37">
        <v>6</v>
      </c>
      <c r="H504" s="62">
        <v>5.28</v>
      </c>
      <c r="I504" s="62">
        <v>5.63</v>
      </c>
      <c r="J504" s="37">
        <v>104</v>
      </c>
      <c r="K504" s="37" t="s">
        <v>127</v>
      </c>
      <c r="L504" s="37" t="s">
        <v>46</v>
      </c>
      <c r="M504" s="38" t="s">
        <v>126</v>
      </c>
      <c r="N504" s="38"/>
      <c r="O504" s="37">
        <v>60</v>
      </c>
      <c r="P504" s="689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4" s="656"/>
      <c r="R504" s="656"/>
      <c r="S504" s="656"/>
      <c r="T504" s="657"/>
      <c r="U504" s="39" t="s">
        <v>46</v>
      </c>
      <c r="V504" s="39" t="s">
        <v>46</v>
      </c>
      <c r="W504" s="40" t="s">
        <v>0</v>
      </c>
      <c r="X504" s="58">
        <v>0</v>
      </c>
      <c r="Y504" s="55">
        <f t="shared" si="78"/>
        <v>0</v>
      </c>
      <c r="Z504" s="41" t="str">
        <f t="shared" si="79"/>
        <v/>
      </c>
      <c r="AA504" s="68" t="s">
        <v>46</v>
      </c>
      <c r="AB504" s="69" t="s">
        <v>46</v>
      </c>
      <c r="AC504" s="606" t="s">
        <v>820</v>
      </c>
      <c r="AG504" s="78"/>
      <c r="AJ504" s="84" t="s">
        <v>46</v>
      </c>
      <c r="AK504" s="84">
        <v>0</v>
      </c>
      <c r="BB504" s="607" t="s">
        <v>67</v>
      </c>
      <c r="BM504" s="78">
        <f t="shared" si="80"/>
        <v>0</v>
      </c>
      <c r="BN504" s="78">
        <f t="shared" si="81"/>
        <v>0</v>
      </c>
      <c r="BO504" s="78">
        <f t="shared" si="82"/>
        <v>0</v>
      </c>
      <c r="BP504" s="78">
        <f t="shared" si="83"/>
        <v>0</v>
      </c>
    </row>
    <row r="505" spans="1:68" ht="27" hidden="1" customHeight="1" x14ac:dyDescent="0.25">
      <c r="A505" s="63" t="s">
        <v>821</v>
      </c>
      <c r="B505" s="63" t="s">
        <v>822</v>
      </c>
      <c r="C505" s="36">
        <v>4301012125</v>
      </c>
      <c r="D505" s="654">
        <v>4680115886391</v>
      </c>
      <c r="E505" s="654"/>
      <c r="F505" s="62">
        <v>0.4</v>
      </c>
      <c r="G505" s="37">
        <v>6</v>
      </c>
      <c r="H505" s="62">
        <v>2.4</v>
      </c>
      <c r="I505" s="62">
        <v>2.58</v>
      </c>
      <c r="J505" s="37">
        <v>182</v>
      </c>
      <c r="K505" s="37" t="s">
        <v>91</v>
      </c>
      <c r="L505" s="37" t="s">
        <v>46</v>
      </c>
      <c r="M505" s="38" t="s">
        <v>90</v>
      </c>
      <c r="N505" s="38"/>
      <c r="O505" s="37">
        <v>60</v>
      </c>
      <c r="P505" s="69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5" s="656"/>
      <c r="R505" s="656"/>
      <c r="S505" s="656"/>
      <c r="T505" s="657"/>
      <c r="U505" s="39" t="s">
        <v>46</v>
      </c>
      <c r="V505" s="39" t="s">
        <v>46</v>
      </c>
      <c r="W505" s="40" t="s">
        <v>0</v>
      </c>
      <c r="X505" s="58">
        <v>0</v>
      </c>
      <c r="Y505" s="55">
        <f t="shared" si="78"/>
        <v>0</v>
      </c>
      <c r="Z505" s="41" t="str">
        <f>IFERROR(IF(Y505=0,"",ROUNDUP(Y505/H505,0)*0.00651),"")</f>
        <v/>
      </c>
      <c r="AA505" s="68" t="s">
        <v>46</v>
      </c>
      <c r="AB505" s="69" t="s">
        <v>46</v>
      </c>
      <c r="AC505" s="608" t="s">
        <v>125</v>
      </c>
      <c r="AG505" s="78"/>
      <c r="AJ505" s="84" t="s">
        <v>46</v>
      </c>
      <c r="AK505" s="84">
        <v>0</v>
      </c>
      <c r="BB505" s="609" t="s">
        <v>67</v>
      </c>
      <c r="BM505" s="78">
        <f t="shared" si="80"/>
        <v>0</v>
      </c>
      <c r="BN505" s="78">
        <f t="shared" si="81"/>
        <v>0</v>
      </c>
      <c r="BO505" s="78">
        <f t="shared" si="82"/>
        <v>0</v>
      </c>
      <c r="BP505" s="78">
        <f t="shared" si="83"/>
        <v>0</v>
      </c>
    </row>
    <row r="506" spans="1:68" ht="27" hidden="1" customHeight="1" x14ac:dyDescent="0.25">
      <c r="A506" s="63" t="s">
        <v>823</v>
      </c>
      <c r="B506" s="63" t="s">
        <v>824</v>
      </c>
      <c r="C506" s="36">
        <v>4301012048</v>
      </c>
      <c r="D506" s="654">
        <v>4680115880603</v>
      </c>
      <c r="E506" s="654"/>
      <c r="F506" s="62">
        <v>0.6</v>
      </c>
      <c r="G506" s="37">
        <v>8</v>
      </c>
      <c r="H506" s="62">
        <v>4.8</v>
      </c>
      <c r="I506" s="62">
        <v>6.91</v>
      </c>
      <c r="J506" s="37">
        <v>132</v>
      </c>
      <c r="K506" s="37" t="s">
        <v>134</v>
      </c>
      <c r="L506" s="37" t="s">
        <v>46</v>
      </c>
      <c r="M506" s="38" t="s">
        <v>90</v>
      </c>
      <c r="N506" s="38"/>
      <c r="O506" s="37">
        <v>60</v>
      </c>
      <c r="P506" s="68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6" s="656"/>
      <c r="R506" s="656"/>
      <c r="S506" s="656"/>
      <c r="T506" s="657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si="78"/>
        <v>0</v>
      </c>
      <c r="Z506" s="41" t="str">
        <f>IFERROR(IF(Y506=0,"",ROUNDUP(Y506/H506,0)*0.00902),"")</f>
        <v/>
      </c>
      <c r="AA506" s="68" t="s">
        <v>46</v>
      </c>
      <c r="AB506" s="69" t="s">
        <v>46</v>
      </c>
      <c r="AC506" s="610" t="s">
        <v>125</v>
      </c>
      <c r="AG506" s="78"/>
      <c r="AJ506" s="84" t="s">
        <v>46</v>
      </c>
      <c r="AK506" s="84">
        <v>0</v>
      </c>
      <c r="BB506" s="611" t="s">
        <v>67</v>
      </c>
      <c r="BM506" s="78">
        <f t="shared" si="80"/>
        <v>0</v>
      </c>
      <c r="BN506" s="78">
        <f t="shared" si="81"/>
        <v>0</v>
      </c>
      <c r="BO506" s="78">
        <f t="shared" si="82"/>
        <v>0</v>
      </c>
      <c r="BP506" s="78">
        <f t="shared" si="83"/>
        <v>0</v>
      </c>
    </row>
    <row r="507" spans="1:68" ht="27" hidden="1" customHeight="1" x14ac:dyDescent="0.25">
      <c r="A507" s="63" t="s">
        <v>825</v>
      </c>
      <c r="B507" s="63" t="s">
        <v>826</v>
      </c>
      <c r="C507" s="36">
        <v>4301012034</v>
      </c>
      <c r="D507" s="654">
        <v>4607091389982</v>
      </c>
      <c r="E507" s="654"/>
      <c r="F507" s="62">
        <v>0.6</v>
      </c>
      <c r="G507" s="37">
        <v>8</v>
      </c>
      <c r="H507" s="62">
        <v>4.8</v>
      </c>
      <c r="I507" s="62">
        <v>6.91</v>
      </c>
      <c r="J507" s="37">
        <v>132</v>
      </c>
      <c r="K507" s="37" t="s">
        <v>134</v>
      </c>
      <c r="L507" s="37" t="s">
        <v>46</v>
      </c>
      <c r="M507" s="38" t="s">
        <v>126</v>
      </c>
      <c r="N507" s="38"/>
      <c r="O507" s="37">
        <v>60</v>
      </c>
      <c r="P507" s="684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7" s="656"/>
      <c r="R507" s="656"/>
      <c r="S507" s="656"/>
      <c r="T507" s="657"/>
      <c r="U507" s="39" t="s">
        <v>46</v>
      </c>
      <c r="V507" s="39" t="s">
        <v>46</v>
      </c>
      <c r="W507" s="40" t="s">
        <v>0</v>
      </c>
      <c r="X507" s="58">
        <v>0</v>
      </c>
      <c r="Y507" s="55">
        <f t="shared" si="78"/>
        <v>0</v>
      </c>
      <c r="Z507" s="41" t="str">
        <f>IFERROR(IF(Y507=0,"",ROUNDUP(Y507/H507,0)*0.00902),"")</f>
        <v/>
      </c>
      <c r="AA507" s="68" t="s">
        <v>46</v>
      </c>
      <c r="AB507" s="69" t="s">
        <v>46</v>
      </c>
      <c r="AC507" s="612" t="s">
        <v>820</v>
      </c>
      <c r="AG507" s="78"/>
      <c r="AJ507" s="84" t="s">
        <v>46</v>
      </c>
      <c r="AK507" s="84">
        <v>0</v>
      </c>
      <c r="BB507" s="613" t="s">
        <v>67</v>
      </c>
      <c r="BM507" s="78">
        <f t="shared" si="80"/>
        <v>0</v>
      </c>
      <c r="BN507" s="78">
        <f t="shared" si="81"/>
        <v>0</v>
      </c>
      <c r="BO507" s="78">
        <f t="shared" si="82"/>
        <v>0</v>
      </c>
      <c r="BP507" s="78">
        <f t="shared" si="83"/>
        <v>0</v>
      </c>
    </row>
    <row r="508" spans="1:68" hidden="1" x14ac:dyDescent="0.2">
      <c r="A508" s="661"/>
      <c r="B508" s="661"/>
      <c r="C508" s="661"/>
      <c r="D508" s="661"/>
      <c r="E508" s="661"/>
      <c r="F508" s="661"/>
      <c r="G508" s="661"/>
      <c r="H508" s="661"/>
      <c r="I508" s="661"/>
      <c r="J508" s="661"/>
      <c r="K508" s="661"/>
      <c r="L508" s="661"/>
      <c r="M508" s="661"/>
      <c r="N508" s="661"/>
      <c r="O508" s="662"/>
      <c r="P508" s="658" t="s">
        <v>40</v>
      </c>
      <c r="Q508" s="659"/>
      <c r="R508" s="659"/>
      <c r="S508" s="659"/>
      <c r="T508" s="659"/>
      <c r="U508" s="659"/>
      <c r="V508" s="660"/>
      <c r="W508" s="42" t="s">
        <v>39</v>
      </c>
      <c r="X508" s="43">
        <f>IFERROR(X499/H499,"0")+IFERROR(X500/H500,"0")+IFERROR(X501/H501,"0")+IFERROR(X502/H502,"0")+IFERROR(X503/H503,"0")+IFERROR(X504/H504,"0")+IFERROR(X505/H505,"0")+IFERROR(X506/H506,"0")+IFERROR(X507/H507,"0")</f>
        <v>0</v>
      </c>
      <c r="Y508" s="43">
        <f>IFERROR(Y499/H499,"0")+IFERROR(Y500/H500,"0")+IFERROR(Y501/H501,"0")+IFERROR(Y502/H502,"0")+IFERROR(Y503/H503,"0")+IFERROR(Y504/H504,"0")+IFERROR(Y505/H505,"0")+IFERROR(Y506/H506,"0")+IFERROR(Y507/H507,"0")</f>
        <v>0</v>
      </c>
      <c r="Z508" s="43">
        <f>IFERROR(IF(Z499="",0,Z499),"0")+IFERROR(IF(Z500="",0,Z500),"0")+IFERROR(IF(Z501="",0,Z501),"0")+IFERROR(IF(Z502="",0,Z502),"0")+IFERROR(IF(Z503="",0,Z503),"0")+IFERROR(IF(Z504="",0,Z504),"0")+IFERROR(IF(Z505="",0,Z505),"0")+IFERROR(IF(Z506="",0,Z506),"0")+IFERROR(IF(Z507="",0,Z507),"0")</f>
        <v>0</v>
      </c>
      <c r="AA508" s="67"/>
      <c r="AB508" s="67"/>
      <c r="AC508" s="67"/>
    </row>
    <row r="509" spans="1:68" hidden="1" x14ac:dyDescent="0.2">
      <c r="A509" s="661"/>
      <c r="B509" s="661"/>
      <c r="C509" s="661"/>
      <c r="D509" s="661"/>
      <c r="E509" s="661"/>
      <c r="F509" s="661"/>
      <c r="G509" s="661"/>
      <c r="H509" s="661"/>
      <c r="I509" s="661"/>
      <c r="J509" s="661"/>
      <c r="K509" s="661"/>
      <c r="L509" s="661"/>
      <c r="M509" s="661"/>
      <c r="N509" s="661"/>
      <c r="O509" s="662"/>
      <c r="P509" s="658" t="s">
        <v>40</v>
      </c>
      <c r="Q509" s="659"/>
      <c r="R509" s="659"/>
      <c r="S509" s="659"/>
      <c r="T509" s="659"/>
      <c r="U509" s="659"/>
      <c r="V509" s="660"/>
      <c r="W509" s="42" t="s">
        <v>0</v>
      </c>
      <c r="X509" s="43">
        <f>IFERROR(SUM(X499:X507),"0")</f>
        <v>0</v>
      </c>
      <c r="Y509" s="43">
        <f>IFERROR(SUM(Y499:Y507),"0")</f>
        <v>0</v>
      </c>
      <c r="Z509" s="42"/>
      <c r="AA509" s="67"/>
      <c r="AB509" s="67"/>
      <c r="AC509" s="67"/>
    </row>
    <row r="510" spans="1:68" ht="14.25" hidden="1" customHeight="1" x14ac:dyDescent="0.25">
      <c r="A510" s="653" t="s">
        <v>157</v>
      </c>
      <c r="B510" s="653"/>
      <c r="C510" s="653"/>
      <c r="D510" s="653"/>
      <c r="E510" s="653"/>
      <c r="F510" s="653"/>
      <c r="G510" s="653"/>
      <c r="H510" s="653"/>
      <c r="I510" s="653"/>
      <c r="J510" s="653"/>
      <c r="K510" s="653"/>
      <c r="L510" s="653"/>
      <c r="M510" s="653"/>
      <c r="N510" s="653"/>
      <c r="O510" s="653"/>
      <c r="P510" s="653"/>
      <c r="Q510" s="653"/>
      <c r="R510" s="653"/>
      <c r="S510" s="653"/>
      <c r="T510" s="653"/>
      <c r="U510" s="653"/>
      <c r="V510" s="653"/>
      <c r="W510" s="653"/>
      <c r="X510" s="653"/>
      <c r="Y510" s="653"/>
      <c r="Z510" s="653"/>
      <c r="AA510" s="66"/>
      <c r="AB510" s="66"/>
      <c r="AC510" s="80"/>
    </row>
    <row r="511" spans="1:68" ht="16.5" hidden="1" customHeight="1" x14ac:dyDescent="0.25">
      <c r="A511" s="63" t="s">
        <v>827</v>
      </c>
      <c r="B511" s="63" t="s">
        <v>828</v>
      </c>
      <c r="C511" s="36">
        <v>4301020334</v>
      </c>
      <c r="D511" s="654">
        <v>4607091388930</v>
      </c>
      <c r="E511" s="654"/>
      <c r="F511" s="62">
        <v>0.88</v>
      </c>
      <c r="G511" s="37">
        <v>6</v>
      </c>
      <c r="H511" s="62">
        <v>5.28</v>
      </c>
      <c r="I511" s="62">
        <v>5.63</v>
      </c>
      <c r="J511" s="37">
        <v>104</v>
      </c>
      <c r="K511" s="37" t="s">
        <v>127</v>
      </c>
      <c r="L511" s="37" t="s">
        <v>46</v>
      </c>
      <c r="M511" s="38" t="s">
        <v>90</v>
      </c>
      <c r="N511" s="38"/>
      <c r="O511" s="37">
        <v>70</v>
      </c>
      <c r="P511" s="68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1" s="656"/>
      <c r="R511" s="656"/>
      <c r="S511" s="656"/>
      <c r="T511" s="657"/>
      <c r="U511" s="39" t="s">
        <v>46</v>
      </c>
      <c r="V511" s="39" t="s">
        <v>46</v>
      </c>
      <c r="W511" s="40" t="s">
        <v>0</v>
      </c>
      <c r="X511" s="58">
        <v>0</v>
      </c>
      <c r="Y511" s="55">
        <f>IFERROR(IF(X511="",0,CEILING((X511/$H511),1)*$H511),"")</f>
        <v>0</v>
      </c>
      <c r="Z511" s="41" t="str">
        <f>IFERROR(IF(Y511=0,"",ROUNDUP(Y511/H511,0)*0.01196),"")</f>
        <v/>
      </c>
      <c r="AA511" s="68" t="s">
        <v>46</v>
      </c>
      <c r="AB511" s="69" t="s">
        <v>46</v>
      </c>
      <c r="AC511" s="614" t="s">
        <v>829</v>
      </c>
      <c r="AG511" s="78"/>
      <c r="AJ511" s="84" t="s">
        <v>46</v>
      </c>
      <c r="AK511" s="84">
        <v>0</v>
      </c>
      <c r="BB511" s="615" t="s">
        <v>67</v>
      </c>
      <c r="BM511" s="78">
        <f>IFERROR(X511*I511/H511,"0")</f>
        <v>0</v>
      </c>
      <c r="BN511" s="78">
        <f>IFERROR(Y511*I511/H511,"0")</f>
        <v>0</v>
      </c>
      <c r="BO511" s="78">
        <f>IFERROR(1/J511*(X511/H511),"0")</f>
        <v>0</v>
      </c>
      <c r="BP511" s="78">
        <f>IFERROR(1/J511*(Y511/H511),"0")</f>
        <v>0</v>
      </c>
    </row>
    <row r="512" spans="1:68" ht="16.5" hidden="1" customHeight="1" x14ac:dyDescent="0.25">
      <c r="A512" s="63" t="s">
        <v>830</v>
      </c>
      <c r="B512" s="63" t="s">
        <v>831</v>
      </c>
      <c r="C512" s="36">
        <v>4301020374</v>
      </c>
      <c r="D512" s="654">
        <v>4680115886407</v>
      </c>
      <c r="E512" s="654"/>
      <c r="F512" s="62">
        <v>0.4</v>
      </c>
      <c r="G512" s="37">
        <v>6</v>
      </c>
      <c r="H512" s="62">
        <v>2.4</v>
      </c>
      <c r="I512" s="62">
        <v>2.58</v>
      </c>
      <c r="J512" s="37">
        <v>182</v>
      </c>
      <c r="K512" s="37" t="s">
        <v>91</v>
      </c>
      <c r="L512" s="37" t="s">
        <v>46</v>
      </c>
      <c r="M512" s="38" t="s">
        <v>126</v>
      </c>
      <c r="N512" s="38"/>
      <c r="O512" s="37">
        <v>70</v>
      </c>
      <c r="P512" s="680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2" s="656"/>
      <c r="R512" s="656"/>
      <c r="S512" s="656"/>
      <c r="T512" s="657"/>
      <c r="U512" s="39" t="s">
        <v>46</v>
      </c>
      <c r="V512" s="39" t="s">
        <v>46</v>
      </c>
      <c r="W512" s="40" t="s">
        <v>0</v>
      </c>
      <c r="X512" s="58">
        <v>0</v>
      </c>
      <c r="Y512" s="55">
        <f>IFERROR(IF(X512="",0,CEILING((X512/$H512),1)*$H512),"")</f>
        <v>0</v>
      </c>
      <c r="Z512" s="41" t="str">
        <f>IFERROR(IF(Y512=0,"",ROUNDUP(Y512/H512,0)*0.00651),"")</f>
        <v/>
      </c>
      <c r="AA512" s="68" t="s">
        <v>46</v>
      </c>
      <c r="AB512" s="69" t="s">
        <v>46</v>
      </c>
      <c r="AC512" s="616" t="s">
        <v>829</v>
      </c>
      <c r="AG512" s="78"/>
      <c r="AJ512" s="84" t="s">
        <v>46</v>
      </c>
      <c r="AK512" s="84">
        <v>0</v>
      </c>
      <c r="BB512" s="617" t="s">
        <v>67</v>
      </c>
      <c r="BM512" s="78">
        <f>IFERROR(X512*I512/H512,"0")</f>
        <v>0</v>
      </c>
      <c r="BN512" s="78">
        <f>IFERROR(Y512*I512/H512,"0")</f>
        <v>0</v>
      </c>
      <c r="BO512" s="78">
        <f>IFERROR(1/J512*(X512/H512),"0")</f>
        <v>0</v>
      </c>
      <c r="BP512" s="78">
        <f>IFERROR(1/J512*(Y512/H512),"0")</f>
        <v>0</v>
      </c>
    </row>
    <row r="513" spans="1:68" ht="16.5" hidden="1" customHeight="1" x14ac:dyDescent="0.25">
      <c r="A513" s="63" t="s">
        <v>832</v>
      </c>
      <c r="B513" s="63" t="s">
        <v>833</v>
      </c>
      <c r="C513" s="36">
        <v>4301020385</v>
      </c>
      <c r="D513" s="654">
        <v>4680115880054</v>
      </c>
      <c r="E513" s="654"/>
      <c r="F513" s="62">
        <v>0.6</v>
      </c>
      <c r="G513" s="37">
        <v>8</v>
      </c>
      <c r="H513" s="62">
        <v>4.8</v>
      </c>
      <c r="I513" s="62">
        <v>6.91</v>
      </c>
      <c r="J513" s="37">
        <v>132</v>
      </c>
      <c r="K513" s="37" t="s">
        <v>134</v>
      </c>
      <c r="L513" s="37" t="s">
        <v>46</v>
      </c>
      <c r="M513" s="38" t="s">
        <v>126</v>
      </c>
      <c r="N513" s="38"/>
      <c r="O513" s="37">
        <v>70</v>
      </c>
      <c r="P513" s="68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3" s="656"/>
      <c r="R513" s="656"/>
      <c r="S513" s="656"/>
      <c r="T513" s="657"/>
      <c r="U513" s="39" t="s">
        <v>46</v>
      </c>
      <c r="V513" s="39" t="s">
        <v>46</v>
      </c>
      <c r="W513" s="40" t="s">
        <v>0</v>
      </c>
      <c r="X513" s="58">
        <v>0</v>
      </c>
      <c r="Y513" s="55">
        <f>IFERROR(IF(X513="",0,CEILING((X513/$H513),1)*$H513),"")</f>
        <v>0</v>
      </c>
      <c r="Z513" s="41" t="str">
        <f>IFERROR(IF(Y513=0,"",ROUNDUP(Y513/H513,0)*0.00902),"")</f>
        <v/>
      </c>
      <c r="AA513" s="68" t="s">
        <v>46</v>
      </c>
      <c r="AB513" s="69" t="s">
        <v>46</v>
      </c>
      <c r="AC513" s="618" t="s">
        <v>829</v>
      </c>
      <c r="AG513" s="78"/>
      <c r="AJ513" s="84" t="s">
        <v>46</v>
      </c>
      <c r="AK513" s="84">
        <v>0</v>
      </c>
      <c r="BB513" s="619" t="s">
        <v>67</v>
      </c>
      <c r="BM513" s="78">
        <f>IFERROR(X513*I513/H513,"0")</f>
        <v>0</v>
      </c>
      <c r="BN513" s="78">
        <f>IFERROR(Y513*I513/H513,"0")</f>
        <v>0</v>
      </c>
      <c r="BO513" s="78">
        <f>IFERROR(1/J513*(X513/H513),"0")</f>
        <v>0</v>
      </c>
      <c r="BP513" s="78">
        <f>IFERROR(1/J513*(Y513/H513),"0")</f>
        <v>0</v>
      </c>
    </row>
    <row r="514" spans="1:68" hidden="1" x14ac:dyDescent="0.2">
      <c r="A514" s="661"/>
      <c r="B514" s="661"/>
      <c r="C514" s="661"/>
      <c r="D514" s="661"/>
      <c r="E514" s="661"/>
      <c r="F514" s="661"/>
      <c r="G514" s="661"/>
      <c r="H514" s="661"/>
      <c r="I514" s="661"/>
      <c r="J514" s="661"/>
      <c r="K514" s="661"/>
      <c r="L514" s="661"/>
      <c r="M514" s="661"/>
      <c r="N514" s="661"/>
      <c r="O514" s="662"/>
      <c r="P514" s="658" t="s">
        <v>40</v>
      </c>
      <c r="Q514" s="659"/>
      <c r="R514" s="659"/>
      <c r="S514" s="659"/>
      <c r="T514" s="659"/>
      <c r="U514" s="659"/>
      <c r="V514" s="660"/>
      <c r="W514" s="42" t="s">
        <v>39</v>
      </c>
      <c r="X514" s="43">
        <f>IFERROR(X511/H511,"0")+IFERROR(X512/H512,"0")+IFERROR(X513/H513,"0")</f>
        <v>0</v>
      </c>
      <c r="Y514" s="43">
        <f>IFERROR(Y511/H511,"0")+IFERROR(Y512/H512,"0")+IFERROR(Y513/H513,"0")</f>
        <v>0</v>
      </c>
      <c r="Z514" s="43">
        <f>IFERROR(IF(Z511="",0,Z511),"0")+IFERROR(IF(Z512="",0,Z512),"0")+IFERROR(IF(Z513="",0,Z513),"0")</f>
        <v>0</v>
      </c>
      <c r="AA514" s="67"/>
      <c r="AB514" s="67"/>
      <c r="AC514" s="67"/>
    </row>
    <row r="515" spans="1:68" hidden="1" x14ac:dyDescent="0.2">
      <c r="A515" s="661"/>
      <c r="B515" s="661"/>
      <c r="C515" s="661"/>
      <c r="D515" s="661"/>
      <c r="E515" s="661"/>
      <c r="F515" s="661"/>
      <c r="G515" s="661"/>
      <c r="H515" s="661"/>
      <c r="I515" s="661"/>
      <c r="J515" s="661"/>
      <c r="K515" s="661"/>
      <c r="L515" s="661"/>
      <c r="M515" s="661"/>
      <c r="N515" s="661"/>
      <c r="O515" s="662"/>
      <c r="P515" s="658" t="s">
        <v>40</v>
      </c>
      <c r="Q515" s="659"/>
      <c r="R515" s="659"/>
      <c r="S515" s="659"/>
      <c r="T515" s="659"/>
      <c r="U515" s="659"/>
      <c r="V515" s="660"/>
      <c r="W515" s="42" t="s">
        <v>0</v>
      </c>
      <c r="X515" s="43">
        <f>IFERROR(SUM(X511:X513),"0")</f>
        <v>0</v>
      </c>
      <c r="Y515" s="43">
        <f>IFERROR(SUM(Y511:Y513),"0")</f>
        <v>0</v>
      </c>
      <c r="Z515" s="42"/>
      <c r="AA515" s="67"/>
      <c r="AB515" s="67"/>
      <c r="AC515" s="67"/>
    </row>
    <row r="516" spans="1:68" ht="14.25" hidden="1" customHeight="1" x14ac:dyDescent="0.25">
      <c r="A516" s="653" t="s">
        <v>77</v>
      </c>
      <c r="B516" s="653"/>
      <c r="C516" s="653"/>
      <c r="D516" s="653"/>
      <c r="E516" s="653"/>
      <c r="F516" s="653"/>
      <c r="G516" s="653"/>
      <c r="H516" s="653"/>
      <c r="I516" s="653"/>
      <c r="J516" s="653"/>
      <c r="K516" s="653"/>
      <c r="L516" s="653"/>
      <c r="M516" s="653"/>
      <c r="N516" s="653"/>
      <c r="O516" s="653"/>
      <c r="P516" s="653"/>
      <c r="Q516" s="653"/>
      <c r="R516" s="653"/>
      <c r="S516" s="653"/>
      <c r="T516" s="653"/>
      <c r="U516" s="653"/>
      <c r="V516" s="653"/>
      <c r="W516" s="653"/>
      <c r="X516" s="653"/>
      <c r="Y516" s="653"/>
      <c r="Z516" s="653"/>
      <c r="AA516" s="66"/>
      <c r="AB516" s="66"/>
      <c r="AC516" s="80"/>
    </row>
    <row r="517" spans="1:68" ht="27" hidden="1" customHeight="1" x14ac:dyDescent="0.25">
      <c r="A517" s="63" t="s">
        <v>834</v>
      </c>
      <c r="B517" s="63" t="s">
        <v>835</v>
      </c>
      <c r="C517" s="36">
        <v>4301031349</v>
      </c>
      <c r="D517" s="654">
        <v>4680115883116</v>
      </c>
      <c r="E517" s="654"/>
      <c r="F517" s="62">
        <v>0.88</v>
      </c>
      <c r="G517" s="37">
        <v>6</v>
      </c>
      <c r="H517" s="62">
        <v>5.28</v>
      </c>
      <c r="I517" s="62">
        <v>5.63</v>
      </c>
      <c r="J517" s="37">
        <v>104</v>
      </c>
      <c r="K517" s="37" t="s">
        <v>127</v>
      </c>
      <c r="L517" s="37" t="s">
        <v>46</v>
      </c>
      <c r="M517" s="38" t="s">
        <v>126</v>
      </c>
      <c r="N517" s="38"/>
      <c r="O517" s="37">
        <v>70</v>
      </c>
      <c r="P517" s="682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7" s="656"/>
      <c r="R517" s="656"/>
      <c r="S517" s="656"/>
      <c r="T517" s="657"/>
      <c r="U517" s="39" t="s">
        <v>46</v>
      </c>
      <c r="V517" s="39" t="s">
        <v>46</v>
      </c>
      <c r="W517" s="40" t="s">
        <v>0</v>
      </c>
      <c r="X517" s="58">
        <v>0</v>
      </c>
      <c r="Y517" s="55">
        <f t="shared" ref="Y517:Y523" si="84">IFERROR(IF(X517="",0,CEILING((X517/$H517),1)*$H517),"")</f>
        <v>0</v>
      </c>
      <c r="Z517" s="41" t="str">
        <f>IFERROR(IF(Y517=0,"",ROUNDUP(Y517/H517,0)*0.01196),"")</f>
        <v/>
      </c>
      <c r="AA517" s="68" t="s">
        <v>46</v>
      </c>
      <c r="AB517" s="69" t="s">
        <v>46</v>
      </c>
      <c r="AC517" s="620" t="s">
        <v>836</v>
      </c>
      <c r="AG517" s="78"/>
      <c r="AJ517" s="84" t="s">
        <v>46</v>
      </c>
      <c r="AK517" s="84">
        <v>0</v>
      </c>
      <c r="BB517" s="621" t="s">
        <v>67</v>
      </c>
      <c r="BM517" s="78">
        <f t="shared" ref="BM517:BM523" si="85">IFERROR(X517*I517/H517,"0")</f>
        <v>0</v>
      </c>
      <c r="BN517" s="78">
        <f t="shared" ref="BN517:BN523" si="86">IFERROR(Y517*I517/H517,"0")</f>
        <v>0</v>
      </c>
      <c r="BO517" s="78">
        <f t="shared" ref="BO517:BO523" si="87">IFERROR(1/J517*(X517/H517),"0")</f>
        <v>0</v>
      </c>
      <c r="BP517" s="78">
        <f t="shared" ref="BP517:BP523" si="88">IFERROR(1/J517*(Y517/H517),"0")</f>
        <v>0</v>
      </c>
    </row>
    <row r="518" spans="1:68" ht="27" hidden="1" customHeight="1" x14ac:dyDescent="0.25">
      <c r="A518" s="63" t="s">
        <v>837</v>
      </c>
      <c r="B518" s="63" t="s">
        <v>838</v>
      </c>
      <c r="C518" s="36">
        <v>4301031350</v>
      </c>
      <c r="D518" s="654">
        <v>4680115883093</v>
      </c>
      <c r="E518" s="654"/>
      <c r="F518" s="62">
        <v>0.88</v>
      </c>
      <c r="G518" s="37">
        <v>6</v>
      </c>
      <c r="H518" s="62">
        <v>5.28</v>
      </c>
      <c r="I518" s="62">
        <v>5.63</v>
      </c>
      <c r="J518" s="37">
        <v>104</v>
      </c>
      <c r="K518" s="37" t="s">
        <v>127</v>
      </c>
      <c r="L518" s="37" t="s">
        <v>46</v>
      </c>
      <c r="M518" s="38" t="s">
        <v>81</v>
      </c>
      <c r="N518" s="38"/>
      <c r="O518" s="37">
        <v>70</v>
      </c>
      <c r="P518" s="675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8" s="656"/>
      <c r="R518" s="656"/>
      <c r="S518" s="656"/>
      <c r="T518" s="657"/>
      <c r="U518" s="39" t="s">
        <v>46</v>
      </c>
      <c r="V518" s="39" t="s">
        <v>46</v>
      </c>
      <c r="W518" s="40" t="s">
        <v>0</v>
      </c>
      <c r="X518" s="58">
        <v>0</v>
      </c>
      <c r="Y518" s="55">
        <f t="shared" si="84"/>
        <v>0</v>
      </c>
      <c r="Z518" s="41" t="str">
        <f>IFERROR(IF(Y518=0,"",ROUNDUP(Y518/H518,0)*0.01196),"")</f>
        <v/>
      </c>
      <c r="AA518" s="68" t="s">
        <v>46</v>
      </c>
      <c r="AB518" s="69" t="s">
        <v>46</v>
      </c>
      <c r="AC518" s="622" t="s">
        <v>839</v>
      </c>
      <c r="AG518" s="78"/>
      <c r="AJ518" s="84" t="s">
        <v>46</v>
      </c>
      <c r="AK518" s="84">
        <v>0</v>
      </c>
      <c r="BB518" s="623" t="s">
        <v>67</v>
      </c>
      <c r="BM518" s="78">
        <f t="shared" si="85"/>
        <v>0</v>
      </c>
      <c r="BN518" s="78">
        <f t="shared" si="86"/>
        <v>0</v>
      </c>
      <c r="BO518" s="78">
        <f t="shared" si="87"/>
        <v>0</v>
      </c>
      <c r="BP518" s="78">
        <f t="shared" si="88"/>
        <v>0</v>
      </c>
    </row>
    <row r="519" spans="1:68" ht="27" hidden="1" customHeight="1" x14ac:dyDescent="0.25">
      <c r="A519" s="63" t="s">
        <v>840</v>
      </c>
      <c r="B519" s="63" t="s">
        <v>841</v>
      </c>
      <c r="C519" s="36">
        <v>4301031353</v>
      </c>
      <c r="D519" s="654">
        <v>4680115883109</v>
      </c>
      <c r="E519" s="654"/>
      <c r="F519" s="62">
        <v>0.88</v>
      </c>
      <c r="G519" s="37">
        <v>6</v>
      </c>
      <c r="H519" s="62">
        <v>5.28</v>
      </c>
      <c r="I519" s="62">
        <v>5.63</v>
      </c>
      <c r="J519" s="37">
        <v>104</v>
      </c>
      <c r="K519" s="37" t="s">
        <v>127</v>
      </c>
      <c r="L519" s="37" t="s">
        <v>46</v>
      </c>
      <c r="M519" s="38" t="s">
        <v>81</v>
      </c>
      <c r="N519" s="38"/>
      <c r="O519" s="37">
        <v>70</v>
      </c>
      <c r="P519" s="676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9" s="656"/>
      <c r="R519" s="656"/>
      <c r="S519" s="656"/>
      <c r="T519" s="657"/>
      <c r="U519" s="39" t="s">
        <v>46</v>
      </c>
      <c r="V519" s="39" t="s">
        <v>46</v>
      </c>
      <c r="W519" s="40" t="s">
        <v>0</v>
      </c>
      <c r="X519" s="58">
        <v>0</v>
      </c>
      <c r="Y519" s="55">
        <f t="shared" si="84"/>
        <v>0</v>
      </c>
      <c r="Z519" s="41" t="str">
        <f>IFERROR(IF(Y519=0,"",ROUNDUP(Y519/H519,0)*0.01196),"")</f>
        <v/>
      </c>
      <c r="AA519" s="68" t="s">
        <v>46</v>
      </c>
      <c r="AB519" s="69" t="s">
        <v>46</v>
      </c>
      <c r="AC519" s="624" t="s">
        <v>842</v>
      </c>
      <c r="AG519" s="78"/>
      <c r="AJ519" s="84" t="s">
        <v>46</v>
      </c>
      <c r="AK519" s="84">
        <v>0</v>
      </c>
      <c r="BB519" s="625" t="s">
        <v>67</v>
      </c>
      <c r="BM519" s="78">
        <f t="shared" si="85"/>
        <v>0</v>
      </c>
      <c r="BN519" s="78">
        <f t="shared" si="86"/>
        <v>0</v>
      </c>
      <c r="BO519" s="78">
        <f t="shared" si="87"/>
        <v>0</v>
      </c>
      <c r="BP519" s="78">
        <f t="shared" si="88"/>
        <v>0</v>
      </c>
    </row>
    <row r="520" spans="1:68" ht="27" hidden="1" customHeight="1" x14ac:dyDescent="0.25">
      <c r="A520" s="63" t="s">
        <v>843</v>
      </c>
      <c r="B520" s="63" t="s">
        <v>844</v>
      </c>
      <c r="C520" s="36">
        <v>4301031419</v>
      </c>
      <c r="D520" s="654">
        <v>4680115882072</v>
      </c>
      <c r="E520" s="654"/>
      <c r="F520" s="62">
        <v>0.6</v>
      </c>
      <c r="G520" s="37">
        <v>8</v>
      </c>
      <c r="H520" s="62">
        <v>4.8</v>
      </c>
      <c r="I520" s="62">
        <v>6.91</v>
      </c>
      <c r="J520" s="37">
        <v>132</v>
      </c>
      <c r="K520" s="37" t="s">
        <v>134</v>
      </c>
      <c r="L520" s="37" t="s">
        <v>46</v>
      </c>
      <c r="M520" s="38" t="s">
        <v>126</v>
      </c>
      <c r="N520" s="38"/>
      <c r="O520" s="37">
        <v>70</v>
      </c>
      <c r="P520" s="677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0" s="656"/>
      <c r="R520" s="656"/>
      <c r="S520" s="656"/>
      <c r="T520" s="657"/>
      <c r="U520" s="39" t="s">
        <v>46</v>
      </c>
      <c r="V520" s="39" t="s">
        <v>46</v>
      </c>
      <c r="W520" s="40" t="s">
        <v>0</v>
      </c>
      <c r="X520" s="58">
        <v>0</v>
      </c>
      <c r="Y520" s="55">
        <f t="shared" si="84"/>
        <v>0</v>
      </c>
      <c r="Z520" s="41" t="str">
        <f>IFERROR(IF(Y520=0,"",ROUNDUP(Y520/H520,0)*0.00902),"")</f>
        <v/>
      </c>
      <c r="AA520" s="68" t="s">
        <v>46</v>
      </c>
      <c r="AB520" s="69" t="s">
        <v>46</v>
      </c>
      <c r="AC520" s="626" t="s">
        <v>836</v>
      </c>
      <c r="AG520" s="78"/>
      <c r="AJ520" s="84" t="s">
        <v>46</v>
      </c>
      <c r="AK520" s="84">
        <v>0</v>
      </c>
      <c r="BB520" s="627" t="s">
        <v>67</v>
      </c>
      <c r="BM520" s="78">
        <f t="shared" si="85"/>
        <v>0</v>
      </c>
      <c r="BN520" s="78">
        <f t="shared" si="86"/>
        <v>0</v>
      </c>
      <c r="BO520" s="78">
        <f t="shared" si="87"/>
        <v>0</v>
      </c>
      <c r="BP520" s="78">
        <f t="shared" si="88"/>
        <v>0</v>
      </c>
    </row>
    <row r="521" spans="1:68" ht="27" hidden="1" customHeight="1" x14ac:dyDescent="0.25">
      <c r="A521" s="63" t="s">
        <v>845</v>
      </c>
      <c r="B521" s="63" t="s">
        <v>846</v>
      </c>
      <c r="C521" s="36">
        <v>4301031352</v>
      </c>
      <c r="D521" s="654">
        <v>4680115882102</v>
      </c>
      <c r="E521" s="654"/>
      <c r="F521" s="62">
        <v>0.6</v>
      </c>
      <c r="G521" s="37">
        <v>6</v>
      </c>
      <c r="H521" s="62">
        <v>3.6</v>
      </c>
      <c r="I521" s="62">
        <v>3.79</v>
      </c>
      <c r="J521" s="37">
        <v>132</v>
      </c>
      <c r="K521" s="37" t="s">
        <v>134</v>
      </c>
      <c r="L521" s="37" t="s">
        <v>46</v>
      </c>
      <c r="M521" s="38" t="s">
        <v>81</v>
      </c>
      <c r="N521" s="38"/>
      <c r="O521" s="37">
        <v>70</v>
      </c>
      <c r="P521" s="678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1" s="656"/>
      <c r="R521" s="656"/>
      <c r="S521" s="656"/>
      <c r="T521" s="657"/>
      <c r="U521" s="39" t="s">
        <v>46</v>
      </c>
      <c r="V521" s="39" t="s">
        <v>46</v>
      </c>
      <c r="W521" s="40" t="s">
        <v>0</v>
      </c>
      <c r="X521" s="58">
        <v>0</v>
      </c>
      <c r="Y521" s="55">
        <f t="shared" si="84"/>
        <v>0</v>
      </c>
      <c r="Z521" s="41" t="str">
        <f>IFERROR(IF(Y521=0,"",ROUNDUP(Y521/H521,0)*0.00902),"")</f>
        <v/>
      </c>
      <c r="AA521" s="68" t="s">
        <v>46</v>
      </c>
      <c r="AB521" s="69" t="s">
        <v>46</v>
      </c>
      <c r="AC521" s="628" t="s">
        <v>839</v>
      </c>
      <c r="AG521" s="78"/>
      <c r="AJ521" s="84" t="s">
        <v>46</v>
      </c>
      <c r="AK521" s="84">
        <v>0</v>
      </c>
      <c r="BB521" s="629" t="s">
        <v>67</v>
      </c>
      <c r="BM521" s="78">
        <f t="shared" si="85"/>
        <v>0</v>
      </c>
      <c r="BN521" s="78">
        <f t="shared" si="86"/>
        <v>0</v>
      </c>
      <c r="BO521" s="78">
        <f t="shared" si="87"/>
        <v>0</v>
      </c>
      <c r="BP521" s="78">
        <f t="shared" si="88"/>
        <v>0</v>
      </c>
    </row>
    <row r="522" spans="1:68" ht="27" hidden="1" customHeight="1" x14ac:dyDescent="0.25">
      <c r="A522" s="63" t="s">
        <v>845</v>
      </c>
      <c r="B522" s="63" t="s">
        <v>847</v>
      </c>
      <c r="C522" s="36">
        <v>4301031418</v>
      </c>
      <c r="D522" s="654">
        <v>4680115882102</v>
      </c>
      <c r="E522" s="654"/>
      <c r="F522" s="62">
        <v>0.6</v>
      </c>
      <c r="G522" s="37">
        <v>8</v>
      </c>
      <c r="H522" s="62">
        <v>4.8</v>
      </c>
      <c r="I522" s="62">
        <v>6.67</v>
      </c>
      <c r="J522" s="37">
        <v>132</v>
      </c>
      <c r="K522" s="37" t="s">
        <v>134</v>
      </c>
      <c r="L522" s="37" t="s">
        <v>46</v>
      </c>
      <c r="M522" s="38" t="s">
        <v>81</v>
      </c>
      <c r="N522" s="38"/>
      <c r="O522" s="37">
        <v>70</v>
      </c>
      <c r="P522" s="679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2" s="656"/>
      <c r="R522" s="656"/>
      <c r="S522" s="656"/>
      <c r="T522" s="657"/>
      <c r="U522" s="39" t="s">
        <v>46</v>
      </c>
      <c r="V522" s="39" t="s">
        <v>46</v>
      </c>
      <c r="W522" s="40" t="s">
        <v>0</v>
      </c>
      <c r="X522" s="58">
        <v>0</v>
      </c>
      <c r="Y522" s="55">
        <f t="shared" si="84"/>
        <v>0</v>
      </c>
      <c r="Z522" s="41" t="str">
        <f>IFERROR(IF(Y522=0,"",ROUNDUP(Y522/H522,0)*0.00902),"")</f>
        <v/>
      </c>
      <c r="AA522" s="68" t="s">
        <v>46</v>
      </c>
      <c r="AB522" s="69" t="s">
        <v>46</v>
      </c>
      <c r="AC522" s="630" t="s">
        <v>839</v>
      </c>
      <c r="AG522" s="78"/>
      <c r="AJ522" s="84" t="s">
        <v>46</v>
      </c>
      <c r="AK522" s="84">
        <v>0</v>
      </c>
      <c r="BB522" s="631" t="s">
        <v>67</v>
      </c>
      <c r="BM522" s="78">
        <f t="shared" si="85"/>
        <v>0</v>
      </c>
      <c r="BN522" s="78">
        <f t="shared" si="86"/>
        <v>0</v>
      </c>
      <c r="BO522" s="78">
        <f t="shared" si="87"/>
        <v>0</v>
      </c>
      <c r="BP522" s="78">
        <f t="shared" si="88"/>
        <v>0</v>
      </c>
    </row>
    <row r="523" spans="1:68" ht="27" hidden="1" customHeight="1" x14ac:dyDescent="0.25">
      <c r="A523" s="63" t="s">
        <v>848</v>
      </c>
      <c r="B523" s="63" t="s">
        <v>849</v>
      </c>
      <c r="C523" s="36">
        <v>4301031417</v>
      </c>
      <c r="D523" s="654">
        <v>4680115882096</v>
      </c>
      <c r="E523" s="654"/>
      <c r="F523" s="62">
        <v>0.6</v>
      </c>
      <c r="G523" s="37">
        <v>8</v>
      </c>
      <c r="H523" s="62">
        <v>4.8</v>
      </c>
      <c r="I523" s="62">
        <v>6.67</v>
      </c>
      <c r="J523" s="37">
        <v>132</v>
      </c>
      <c r="K523" s="37" t="s">
        <v>134</v>
      </c>
      <c r="L523" s="37" t="s">
        <v>46</v>
      </c>
      <c r="M523" s="38" t="s">
        <v>81</v>
      </c>
      <c r="N523" s="38"/>
      <c r="O523" s="37">
        <v>70</v>
      </c>
      <c r="P523" s="672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3" s="656"/>
      <c r="R523" s="656"/>
      <c r="S523" s="656"/>
      <c r="T523" s="657"/>
      <c r="U523" s="39" t="s">
        <v>46</v>
      </c>
      <c r="V523" s="39" t="s">
        <v>46</v>
      </c>
      <c r="W523" s="40" t="s">
        <v>0</v>
      </c>
      <c r="X523" s="58">
        <v>0</v>
      </c>
      <c r="Y523" s="55">
        <f t="shared" si="84"/>
        <v>0</v>
      </c>
      <c r="Z523" s="41" t="str">
        <f>IFERROR(IF(Y523=0,"",ROUNDUP(Y523/H523,0)*0.00902),"")</f>
        <v/>
      </c>
      <c r="AA523" s="68" t="s">
        <v>46</v>
      </c>
      <c r="AB523" s="69" t="s">
        <v>46</v>
      </c>
      <c r="AC523" s="632" t="s">
        <v>842</v>
      </c>
      <c r="AG523" s="78"/>
      <c r="AJ523" s="84" t="s">
        <v>46</v>
      </c>
      <c r="AK523" s="84">
        <v>0</v>
      </c>
      <c r="BB523" s="633" t="s">
        <v>67</v>
      </c>
      <c r="BM523" s="78">
        <f t="shared" si="85"/>
        <v>0</v>
      </c>
      <c r="BN523" s="78">
        <f t="shared" si="86"/>
        <v>0</v>
      </c>
      <c r="BO523" s="78">
        <f t="shared" si="87"/>
        <v>0</v>
      </c>
      <c r="BP523" s="78">
        <f t="shared" si="88"/>
        <v>0</v>
      </c>
    </row>
    <row r="524" spans="1:68" hidden="1" x14ac:dyDescent="0.2">
      <c r="A524" s="661"/>
      <c r="B524" s="661"/>
      <c r="C524" s="661"/>
      <c r="D524" s="661"/>
      <c r="E524" s="661"/>
      <c r="F524" s="661"/>
      <c r="G524" s="661"/>
      <c r="H524" s="661"/>
      <c r="I524" s="661"/>
      <c r="J524" s="661"/>
      <c r="K524" s="661"/>
      <c r="L524" s="661"/>
      <c r="M524" s="661"/>
      <c r="N524" s="661"/>
      <c r="O524" s="662"/>
      <c r="P524" s="658" t="s">
        <v>40</v>
      </c>
      <c r="Q524" s="659"/>
      <c r="R524" s="659"/>
      <c r="S524" s="659"/>
      <c r="T524" s="659"/>
      <c r="U524" s="659"/>
      <c r="V524" s="660"/>
      <c r="W524" s="42" t="s">
        <v>39</v>
      </c>
      <c r="X524" s="43">
        <f>IFERROR(X517/H517,"0")+IFERROR(X518/H518,"0")+IFERROR(X519/H519,"0")+IFERROR(X520/H520,"0")+IFERROR(X521/H521,"0")+IFERROR(X522/H522,"0")+IFERROR(X523/H523,"0")</f>
        <v>0</v>
      </c>
      <c r="Y524" s="43">
        <f>IFERROR(Y517/H517,"0")+IFERROR(Y518/H518,"0")+IFERROR(Y519/H519,"0")+IFERROR(Y520/H520,"0")+IFERROR(Y521/H521,"0")+IFERROR(Y522/H522,"0")+IFERROR(Y523/H523,"0")</f>
        <v>0</v>
      </c>
      <c r="Z524" s="43">
        <f>IFERROR(IF(Z517="",0,Z517),"0")+IFERROR(IF(Z518="",0,Z518),"0")+IFERROR(IF(Z519="",0,Z519),"0")+IFERROR(IF(Z520="",0,Z520),"0")+IFERROR(IF(Z521="",0,Z521),"0")+IFERROR(IF(Z522="",0,Z522),"0")+IFERROR(IF(Z523="",0,Z523),"0")</f>
        <v>0</v>
      </c>
      <c r="AA524" s="67"/>
      <c r="AB524" s="67"/>
      <c r="AC524" s="67"/>
    </row>
    <row r="525" spans="1:68" hidden="1" x14ac:dyDescent="0.2">
      <c r="A525" s="661"/>
      <c r="B525" s="661"/>
      <c r="C525" s="661"/>
      <c r="D525" s="661"/>
      <c r="E525" s="661"/>
      <c r="F525" s="661"/>
      <c r="G525" s="661"/>
      <c r="H525" s="661"/>
      <c r="I525" s="661"/>
      <c r="J525" s="661"/>
      <c r="K525" s="661"/>
      <c r="L525" s="661"/>
      <c r="M525" s="661"/>
      <c r="N525" s="661"/>
      <c r="O525" s="662"/>
      <c r="P525" s="658" t="s">
        <v>40</v>
      </c>
      <c r="Q525" s="659"/>
      <c r="R525" s="659"/>
      <c r="S525" s="659"/>
      <c r="T525" s="659"/>
      <c r="U525" s="659"/>
      <c r="V525" s="660"/>
      <c r="W525" s="42" t="s">
        <v>0</v>
      </c>
      <c r="X525" s="43">
        <f>IFERROR(SUM(X517:X523),"0")</f>
        <v>0</v>
      </c>
      <c r="Y525" s="43">
        <f>IFERROR(SUM(Y517:Y523),"0")</f>
        <v>0</v>
      </c>
      <c r="Z525" s="42"/>
      <c r="AA525" s="67"/>
      <c r="AB525" s="67"/>
      <c r="AC525" s="67"/>
    </row>
    <row r="526" spans="1:68" ht="27.75" hidden="1" customHeight="1" x14ac:dyDescent="0.2">
      <c r="A526" s="673" t="s">
        <v>850</v>
      </c>
      <c r="B526" s="673"/>
      <c r="C526" s="673"/>
      <c r="D526" s="673"/>
      <c r="E526" s="673"/>
      <c r="F526" s="673"/>
      <c r="G526" s="673"/>
      <c r="H526" s="673"/>
      <c r="I526" s="673"/>
      <c r="J526" s="673"/>
      <c r="K526" s="673"/>
      <c r="L526" s="673"/>
      <c r="M526" s="673"/>
      <c r="N526" s="673"/>
      <c r="O526" s="673"/>
      <c r="P526" s="673"/>
      <c r="Q526" s="673"/>
      <c r="R526" s="673"/>
      <c r="S526" s="673"/>
      <c r="T526" s="673"/>
      <c r="U526" s="673"/>
      <c r="V526" s="673"/>
      <c r="W526" s="673"/>
      <c r="X526" s="673"/>
      <c r="Y526" s="673"/>
      <c r="Z526" s="673"/>
      <c r="AA526" s="54"/>
      <c r="AB526" s="54"/>
      <c r="AC526" s="54"/>
    </row>
    <row r="527" spans="1:68" ht="16.5" hidden="1" customHeight="1" x14ac:dyDescent="0.25">
      <c r="A527" s="652" t="s">
        <v>850</v>
      </c>
      <c r="B527" s="652"/>
      <c r="C527" s="652"/>
      <c r="D527" s="652"/>
      <c r="E527" s="652"/>
      <c r="F527" s="652"/>
      <c r="G527" s="652"/>
      <c r="H527" s="652"/>
      <c r="I527" s="652"/>
      <c r="J527" s="652"/>
      <c r="K527" s="652"/>
      <c r="L527" s="652"/>
      <c r="M527" s="652"/>
      <c r="N527" s="652"/>
      <c r="O527" s="652"/>
      <c r="P527" s="652"/>
      <c r="Q527" s="652"/>
      <c r="R527" s="652"/>
      <c r="S527" s="652"/>
      <c r="T527" s="652"/>
      <c r="U527" s="652"/>
      <c r="V527" s="652"/>
      <c r="W527" s="652"/>
      <c r="X527" s="652"/>
      <c r="Y527" s="652"/>
      <c r="Z527" s="652"/>
      <c r="AA527" s="65"/>
      <c r="AB527" s="65"/>
      <c r="AC527" s="79"/>
    </row>
    <row r="528" spans="1:68" ht="14.25" hidden="1" customHeight="1" x14ac:dyDescent="0.25">
      <c r="A528" s="653" t="s">
        <v>122</v>
      </c>
      <c r="B528" s="653"/>
      <c r="C528" s="653"/>
      <c r="D528" s="653"/>
      <c r="E528" s="653"/>
      <c r="F528" s="653"/>
      <c r="G528" s="653"/>
      <c r="H528" s="653"/>
      <c r="I528" s="653"/>
      <c r="J528" s="653"/>
      <c r="K528" s="653"/>
      <c r="L528" s="653"/>
      <c r="M528" s="653"/>
      <c r="N528" s="653"/>
      <c r="O528" s="653"/>
      <c r="P528" s="653"/>
      <c r="Q528" s="653"/>
      <c r="R528" s="653"/>
      <c r="S528" s="653"/>
      <c r="T528" s="653"/>
      <c r="U528" s="653"/>
      <c r="V528" s="653"/>
      <c r="W528" s="653"/>
      <c r="X528" s="653"/>
      <c r="Y528" s="653"/>
      <c r="Z528" s="653"/>
      <c r="AA528" s="66"/>
      <c r="AB528" s="66"/>
      <c r="AC528" s="80"/>
    </row>
    <row r="529" spans="1:68" ht="27" hidden="1" customHeight="1" x14ac:dyDescent="0.25">
      <c r="A529" s="63" t="s">
        <v>851</v>
      </c>
      <c r="B529" s="63" t="s">
        <v>852</v>
      </c>
      <c r="C529" s="36">
        <v>4301011584</v>
      </c>
      <c r="D529" s="654">
        <v>4640242180564</v>
      </c>
      <c r="E529" s="654"/>
      <c r="F529" s="62">
        <v>1.5</v>
      </c>
      <c r="G529" s="37">
        <v>8</v>
      </c>
      <c r="H529" s="62">
        <v>12</v>
      </c>
      <c r="I529" s="62">
        <v>12.41</v>
      </c>
      <c r="J529" s="37">
        <v>64</v>
      </c>
      <c r="K529" s="37" t="s">
        <v>127</v>
      </c>
      <c r="L529" s="37" t="s">
        <v>46</v>
      </c>
      <c r="M529" s="38" t="s">
        <v>126</v>
      </c>
      <c r="N529" s="38"/>
      <c r="O529" s="37">
        <v>50</v>
      </c>
      <c r="P529" s="674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9" s="656"/>
      <c r="R529" s="656"/>
      <c r="S529" s="656"/>
      <c r="T529" s="657"/>
      <c r="U529" s="39" t="s">
        <v>46</v>
      </c>
      <c r="V529" s="39" t="s">
        <v>46</v>
      </c>
      <c r="W529" s="40" t="s">
        <v>0</v>
      </c>
      <c r="X529" s="58">
        <v>0</v>
      </c>
      <c r="Y529" s="55">
        <f>IFERROR(IF(X529="",0,CEILING((X529/$H529),1)*$H529),"")</f>
        <v>0</v>
      </c>
      <c r="Z529" s="41" t="str">
        <f>IFERROR(IF(Y529=0,"",ROUNDUP(Y529/H529,0)*0.01898),"")</f>
        <v/>
      </c>
      <c r="AA529" s="68" t="s">
        <v>46</v>
      </c>
      <c r="AB529" s="69" t="s">
        <v>46</v>
      </c>
      <c r="AC529" s="634" t="s">
        <v>853</v>
      </c>
      <c r="AG529" s="78"/>
      <c r="AJ529" s="84" t="s">
        <v>46</v>
      </c>
      <c r="AK529" s="84">
        <v>0</v>
      </c>
      <c r="BB529" s="635" t="s">
        <v>67</v>
      </c>
      <c r="BM529" s="78">
        <f>IFERROR(X529*I529/H529,"0")</f>
        <v>0</v>
      </c>
      <c r="BN529" s="78">
        <f>IFERROR(Y529*I529/H529,"0")</f>
        <v>0</v>
      </c>
      <c r="BO529" s="78">
        <f>IFERROR(1/J529*(X529/H529),"0")</f>
        <v>0</v>
      </c>
      <c r="BP529" s="78">
        <f>IFERROR(1/J529*(Y529/H529),"0")</f>
        <v>0</v>
      </c>
    </row>
    <row r="530" spans="1:68" hidden="1" x14ac:dyDescent="0.2">
      <c r="A530" s="661"/>
      <c r="B530" s="661"/>
      <c r="C530" s="661"/>
      <c r="D530" s="661"/>
      <c r="E530" s="661"/>
      <c r="F530" s="661"/>
      <c r="G530" s="661"/>
      <c r="H530" s="661"/>
      <c r="I530" s="661"/>
      <c r="J530" s="661"/>
      <c r="K530" s="661"/>
      <c r="L530" s="661"/>
      <c r="M530" s="661"/>
      <c r="N530" s="661"/>
      <c r="O530" s="662"/>
      <c r="P530" s="658" t="s">
        <v>40</v>
      </c>
      <c r="Q530" s="659"/>
      <c r="R530" s="659"/>
      <c r="S530" s="659"/>
      <c r="T530" s="659"/>
      <c r="U530" s="659"/>
      <c r="V530" s="660"/>
      <c r="W530" s="42" t="s">
        <v>39</v>
      </c>
      <c r="X530" s="43">
        <f>IFERROR(X529/H529,"0")</f>
        <v>0</v>
      </c>
      <c r="Y530" s="43">
        <f>IFERROR(Y529/H529,"0")</f>
        <v>0</v>
      </c>
      <c r="Z530" s="43">
        <f>IFERROR(IF(Z529="",0,Z529),"0")</f>
        <v>0</v>
      </c>
      <c r="AA530" s="67"/>
      <c r="AB530" s="67"/>
      <c r="AC530" s="67"/>
    </row>
    <row r="531" spans="1:68" hidden="1" x14ac:dyDescent="0.2">
      <c r="A531" s="661"/>
      <c r="B531" s="661"/>
      <c r="C531" s="661"/>
      <c r="D531" s="661"/>
      <c r="E531" s="661"/>
      <c r="F531" s="661"/>
      <c r="G531" s="661"/>
      <c r="H531" s="661"/>
      <c r="I531" s="661"/>
      <c r="J531" s="661"/>
      <c r="K531" s="661"/>
      <c r="L531" s="661"/>
      <c r="M531" s="661"/>
      <c r="N531" s="661"/>
      <c r="O531" s="662"/>
      <c r="P531" s="658" t="s">
        <v>40</v>
      </c>
      <c r="Q531" s="659"/>
      <c r="R531" s="659"/>
      <c r="S531" s="659"/>
      <c r="T531" s="659"/>
      <c r="U531" s="659"/>
      <c r="V531" s="660"/>
      <c r="W531" s="42" t="s">
        <v>0</v>
      </c>
      <c r="X531" s="43">
        <f>IFERROR(SUM(X529:X529),"0")</f>
        <v>0</v>
      </c>
      <c r="Y531" s="43">
        <f>IFERROR(SUM(Y529:Y529),"0")</f>
        <v>0</v>
      </c>
      <c r="Z531" s="42"/>
      <c r="AA531" s="67"/>
      <c r="AB531" s="67"/>
      <c r="AC531" s="67"/>
    </row>
    <row r="532" spans="1:68" ht="14.25" hidden="1" customHeight="1" x14ac:dyDescent="0.25">
      <c r="A532" s="653" t="s">
        <v>157</v>
      </c>
      <c r="B532" s="653"/>
      <c r="C532" s="653"/>
      <c r="D532" s="653"/>
      <c r="E532" s="653"/>
      <c r="F532" s="653"/>
      <c r="G532" s="653"/>
      <c r="H532" s="653"/>
      <c r="I532" s="653"/>
      <c r="J532" s="653"/>
      <c r="K532" s="653"/>
      <c r="L532" s="653"/>
      <c r="M532" s="653"/>
      <c r="N532" s="653"/>
      <c r="O532" s="653"/>
      <c r="P532" s="653"/>
      <c r="Q532" s="653"/>
      <c r="R532" s="653"/>
      <c r="S532" s="653"/>
      <c r="T532" s="653"/>
      <c r="U532" s="653"/>
      <c r="V532" s="653"/>
      <c r="W532" s="653"/>
      <c r="X532" s="653"/>
      <c r="Y532" s="653"/>
      <c r="Z532" s="653"/>
      <c r="AA532" s="66"/>
      <c r="AB532" s="66"/>
      <c r="AC532" s="80"/>
    </row>
    <row r="533" spans="1:68" ht="27" hidden="1" customHeight="1" x14ac:dyDescent="0.25">
      <c r="A533" s="63" t="s">
        <v>854</v>
      </c>
      <c r="B533" s="63" t="s">
        <v>855</v>
      </c>
      <c r="C533" s="36">
        <v>4301020400</v>
      </c>
      <c r="D533" s="654">
        <v>4640242180519</v>
      </c>
      <c r="E533" s="654"/>
      <c r="F533" s="62">
        <v>1.5</v>
      </c>
      <c r="G533" s="37">
        <v>8</v>
      </c>
      <c r="H533" s="62">
        <v>12</v>
      </c>
      <c r="I533" s="62">
        <v>12.41</v>
      </c>
      <c r="J533" s="37">
        <v>64</v>
      </c>
      <c r="K533" s="37" t="s">
        <v>127</v>
      </c>
      <c r="L533" s="37" t="s">
        <v>46</v>
      </c>
      <c r="M533" s="38" t="s">
        <v>126</v>
      </c>
      <c r="N533" s="38"/>
      <c r="O533" s="37">
        <v>50</v>
      </c>
      <c r="P533" s="671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3" s="656"/>
      <c r="R533" s="656"/>
      <c r="S533" s="656"/>
      <c r="T533" s="657"/>
      <c r="U533" s="39" t="s">
        <v>46</v>
      </c>
      <c r="V533" s="39" t="s">
        <v>46</v>
      </c>
      <c r="W533" s="40" t="s">
        <v>0</v>
      </c>
      <c r="X533" s="58">
        <v>0</v>
      </c>
      <c r="Y533" s="55">
        <f>IFERROR(IF(X533="",0,CEILING((X533/$H533),1)*$H533),"")</f>
        <v>0</v>
      </c>
      <c r="Z533" s="41" t="str">
        <f>IFERROR(IF(Y533=0,"",ROUNDUP(Y533/H533,0)*0.01898),"")</f>
        <v/>
      </c>
      <c r="AA533" s="68" t="s">
        <v>46</v>
      </c>
      <c r="AB533" s="69" t="s">
        <v>46</v>
      </c>
      <c r="AC533" s="636" t="s">
        <v>856</v>
      </c>
      <c r="AG533" s="78"/>
      <c r="AJ533" s="84" t="s">
        <v>46</v>
      </c>
      <c r="AK533" s="84">
        <v>0</v>
      </c>
      <c r="BB533" s="637" t="s">
        <v>67</v>
      </c>
      <c r="BM533" s="78">
        <f>IFERROR(X533*I533/H533,"0")</f>
        <v>0</v>
      </c>
      <c r="BN533" s="78">
        <f>IFERROR(Y533*I533/H533,"0")</f>
        <v>0</v>
      </c>
      <c r="BO533" s="78">
        <f>IFERROR(1/J533*(X533/H533),"0")</f>
        <v>0</v>
      </c>
      <c r="BP533" s="78">
        <f>IFERROR(1/J533*(Y533/H533),"0")</f>
        <v>0</v>
      </c>
    </row>
    <row r="534" spans="1:68" hidden="1" x14ac:dyDescent="0.2">
      <c r="A534" s="661"/>
      <c r="B534" s="661"/>
      <c r="C534" s="661"/>
      <c r="D534" s="661"/>
      <c r="E534" s="661"/>
      <c r="F534" s="661"/>
      <c r="G534" s="661"/>
      <c r="H534" s="661"/>
      <c r="I534" s="661"/>
      <c r="J534" s="661"/>
      <c r="K534" s="661"/>
      <c r="L534" s="661"/>
      <c r="M534" s="661"/>
      <c r="N534" s="661"/>
      <c r="O534" s="662"/>
      <c r="P534" s="658" t="s">
        <v>40</v>
      </c>
      <c r="Q534" s="659"/>
      <c r="R534" s="659"/>
      <c r="S534" s="659"/>
      <c r="T534" s="659"/>
      <c r="U534" s="659"/>
      <c r="V534" s="660"/>
      <c r="W534" s="42" t="s">
        <v>39</v>
      </c>
      <c r="X534" s="43">
        <f>IFERROR(X533/H533,"0")</f>
        <v>0</v>
      </c>
      <c r="Y534" s="43">
        <f>IFERROR(Y533/H533,"0")</f>
        <v>0</v>
      </c>
      <c r="Z534" s="43">
        <f>IFERROR(IF(Z533="",0,Z533),"0")</f>
        <v>0</v>
      </c>
      <c r="AA534" s="67"/>
      <c r="AB534" s="67"/>
      <c r="AC534" s="67"/>
    </row>
    <row r="535" spans="1:68" hidden="1" x14ac:dyDescent="0.2">
      <c r="A535" s="661"/>
      <c r="B535" s="661"/>
      <c r="C535" s="661"/>
      <c r="D535" s="661"/>
      <c r="E535" s="661"/>
      <c r="F535" s="661"/>
      <c r="G535" s="661"/>
      <c r="H535" s="661"/>
      <c r="I535" s="661"/>
      <c r="J535" s="661"/>
      <c r="K535" s="661"/>
      <c r="L535" s="661"/>
      <c r="M535" s="661"/>
      <c r="N535" s="661"/>
      <c r="O535" s="662"/>
      <c r="P535" s="658" t="s">
        <v>40</v>
      </c>
      <c r="Q535" s="659"/>
      <c r="R535" s="659"/>
      <c r="S535" s="659"/>
      <c r="T535" s="659"/>
      <c r="U535" s="659"/>
      <c r="V535" s="660"/>
      <c r="W535" s="42" t="s">
        <v>0</v>
      </c>
      <c r="X535" s="43">
        <f>IFERROR(SUM(X533:X533),"0")</f>
        <v>0</v>
      </c>
      <c r="Y535" s="43">
        <f>IFERROR(SUM(Y533:Y533),"0")</f>
        <v>0</v>
      </c>
      <c r="Z535" s="42"/>
      <c r="AA535" s="67"/>
      <c r="AB535" s="67"/>
      <c r="AC535" s="67"/>
    </row>
    <row r="536" spans="1:68" ht="14.25" hidden="1" customHeight="1" x14ac:dyDescent="0.25">
      <c r="A536" s="653" t="s">
        <v>77</v>
      </c>
      <c r="B536" s="653"/>
      <c r="C536" s="653"/>
      <c r="D536" s="653"/>
      <c r="E536" s="653"/>
      <c r="F536" s="653"/>
      <c r="G536" s="653"/>
      <c r="H536" s="653"/>
      <c r="I536" s="653"/>
      <c r="J536" s="653"/>
      <c r="K536" s="653"/>
      <c r="L536" s="653"/>
      <c r="M536" s="653"/>
      <c r="N536" s="653"/>
      <c r="O536" s="653"/>
      <c r="P536" s="653"/>
      <c r="Q536" s="653"/>
      <c r="R536" s="653"/>
      <c r="S536" s="653"/>
      <c r="T536" s="653"/>
      <c r="U536" s="653"/>
      <c r="V536" s="653"/>
      <c r="W536" s="653"/>
      <c r="X536" s="653"/>
      <c r="Y536" s="653"/>
      <c r="Z536" s="653"/>
      <c r="AA536" s="66"/>
      <c r="AB536" s="66"/>
      <c r="AC536" s="80"/>
    </row>
    <row r="537" spans="1:68" ht="27" hidden="1" customHeight="1" x14ac:dyDescent="0.25">
      <c r="A537" s="63" t="s">
        <v>857</v>
      </c>
      <c r="B537" s="63" t="s">
        <v>858</v>
      </c>
      <c r="C537" s="36">
        <v>4301031500</v>
      </c>
      <c r="D537" s="654">
        <v>4640242180595</v>
      </c>
      <c r="E537" s="654"/>
      <c r="F537" s="62">
        <v>0.7</v>
      </c>
      <c r="G537" s="37">
        <v>6</v>
      </c>
      <c r="H537" s="62">
        <v>4.2</v>
      </c>
      <c r="I537" s="62">
        <v>4.45</v>
      </c>
      <c r="J537" s="37">
        <v>132</v>
      </c>
      <c r="K537" s="37" t="s">
        <v>134</v>
      </c>
      <c r="L537" s="37" t="s">
        <v>46</v>
      </c>
      <c r="M537" s="38" t="s">
        <v>81</v>
      </c>
      <c r="N537" s="38"/>
      <c r="O537" s="37">
        <v>40</v>
      </c>
      <c r="P537" s="669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7" s="656"/>
      <c r="R537" s="656"/>
      <c r="S537" s="656"/>
      <c r="T537" s="657"/>
      <c r="U537" s="39" t="s">
        <v>46</v>
      </c>
      <c r="V537" s="39" t="s">
        <v>46</v>
      </c>
      <c r="W537" s="40" t="s">
        <v>0</v>
      </c>
      <c r="X537" s="58">
        <v>0</v>
      </c>
      <c r="Y537" s="55">
        <f>IFERROR(IF(X537="",0,CEILING((X537/$H537),1)*$H537),"")</f>
        <v>0</v>
      </c>
      <c r="Z537" s="41" t="str">
        <f>IFERROR(IF(Y537=0,"",ROUNDUP(Y537/H537,0)*0.00902),"")</f>
        <v/>
      </c>
      <c r="AA537" s="68" t="s">
        <v>46</v>
      </c>
      <c r="AB537" s="69" t="s">
        <v>46</v>
      </c>
      <c r="AC537" s="638" t="s">
        <v>859</v>
      </c>
      <c r="AG537" s="78"/>
      <c r="AJ537" s="84" t="s">
        <v>46</v>
      </c>
      <c r="AK537" s="84">
        <v>0</v>
      </c>
      <c r="BB537" s="639" t="s">
        <v>67</v>
      </c>
      <c r="BM537" s="78">
        <f>IFERROR(X537*I537/H537,"0")</f>
        <v>0</v>
      </c>
      <c r="BN537" s="78">
        <f>IFERROR(Y537*I537/H537,"0")</f>
        <v>0</v>
      </c>
      <c r="BO537" s="78">
        <f>IFERROR(1/J537*(X537/H537),"0")</f>
        <v>0</v>
      </c>
      <c r="BP537" s="78">
        <f>IFERROR(1/J537*(Y537/H537),"0")</f>
        <v>0</v>
      </c>
    </row>
    <row r="538" spans="1:68" hidden="1" x14ac:dyDescent="0.2">
      <c r="A538" s="661"/>
      <c r="B538" s="661"/>
      <c r="C538" s="661"/>
      <c r="D538" s="661"/>
      <c r="E538" s="661"/>
      <c r="F538" s="661"/>
      <c r="G538" s="661"/>
      <c r="H538" s="661"/>
      <c r="I538" s="661"/>
      <c r="J538" s="661"/>
      <c r="K538" s="661"/>
      <c r="L538" s="661"/>
      <c r="M538" s="661"/>
      <c r="N538" s="661"/>
      <c r="O538" s="662"/>
      <c r="P538" s="658" t="s">
        <v>40</v>
      </c>
      <c r="Q538" s="659"/>
      <c r="R538" s="659"/>
      <c r="S538" s="659"/>
      <c r="T538" s="659"/>
      <c r="U538" s="659"/>
      <c r="V538" s="660"/>
      <c r="W538" s="42" t="s">
        <v>39</v>
      </c>
      <c r="X538" s="43">
        <f>IFERROR(X537/H537,"0")</f>
        <v>0</v>
      </c>
      <c r="Y538" s="43">
        <f>IFERROR(Y537/H537,"0")</f>
        <v>0</v>
      </c>
      <c r="Z538" s="43">
        <f>IFERROR(IF(Z537="",0,Z537),"0")</f>
        <v>0</v>
      </c>
      <c r="AA538" s="67"/>
      <c r="AB538" s="67"/>
      <c r="AC538" s="67"/>
    </row>
    <row r="539" spans="1:68" hidden="1" x14ac:dyDescent="0.2">
      <c r="A539" s="661"/>
      <c r="B539" s="661"/>
      <c r="C539" s="661"/>
      <c r="D539" s="661"/>
      <c r="E539" s="661"/>
      <c r="F539" s="661"/>
      <c r="G539" s="661"/>
      <c r="H539" s="661"/>
      <c r="I539" s="661"/>
      <c r="J539" s="661"/>
      <c r="K539" s="661"/>
      <c r="L539" s="661"/>
      <c r="M539" s="661"/>
      <c r="N539" s="661"/>
      <c r="O539" s="662"/>
      <c r="P539" s="658" t="s">
        <v>40</v>
      </c>
      <c r="Q539" s="659"/>
      <c r="R539" s="659"/>
      <c r="S539" s="659"/>
      <c r="T539" s="659"/>
      <c r="U539" s="659"/>
      <c r="V539" s="660"/>
      <c r="W539" s="42" t="s">
        <v>0</v>
      </c>
      <c r="X539" s="43">
        <f>IFERROR(SUM(X537:X537),"0")</f>
        <v>0</v>
      </c>
      <c r="Y539" s="43">
        <f>IFERROR(SUM(Y537:Y537),"0")</f>
        <v>0</v>
      </c>
      <c r="Z539" s="42"/>
      <c r="AA539" s="67"/>
      <c r="AB539" s="67"/>
      <c r="AC539" s="67"/>
    </row>
    <row r="540" spans="1:68" ht="14.25" hidden="1" customHeight="1" x14ac:dyDescent="0.25">
      <c r="A540" s="653" t="s">
        <v>86</v>
      </c>
      <c r="B540" s="653"/>
      <c r="C540" s="653"/>
      <c r="D540" s="653"/>
      <c r="E540" s="653"/>
      <c r="F540" s="653"/>
      <c r="G540" s="653"/>
      <c r="H540" s="653"/>
      <c r="I540" s="653"/>
      <c r="J540" s="653"/>
      <c r="K540" s="653"/>
      <c r="L540" s="653"/>
      <c r="M540" s="653"/>
      <c r="N540" s="653"/>
      <c r="O540" s="653"/>
      <c r="P540" s="653"/>
      <c r="Q540" s="653"/>
      <c r="R540" s="653"/>
      <c r="S540" s="653"/>
      <c r="T540" s="653"/>
      <c r="U540" s="653"/>
      <c r="V540" s="653"/>
      <c r="W540" s="653"/>
      <c r="X540" s="653"/>
      <c r="Y540" s="653"/>
      <c r="Z540" s="653"/>
      <c r="AA540" s="66"/>
      <c r="AB540" s="66"/>
      <c r="AC540" s="80"/>
    </row>
    <row r="541" spans="1:68" ht="27" hidden="1" customHeight="1" x14ac:dyDescent="0.25">
      <c r="A541" s="63" t="s">
        <v>860</v>
      </c>
      <c r="B541" s="63" t="s">
        <v>861</v>
      </c>
      <c r="C541" s="36">
        <v>4301052043</v>
      </c>
      <c r="D541" s="654">
        <v>4640242180533</v>
      </c>
      <c r="E541" s="654"/>
      <c r="F541" s="62">
        <v>1.5</v>
      </c>
      <c r="G541" s="37">
        <v>6</v>
      </c>
      <c r="H541" s="62">
        <v>9</v>
      </c>
      <c r="I541" s="62">
        <v>9.4939999999999998</v>
      </c>
      <c r="J541" s="37">
        <v>64</v>
      </c>
      <c r="K541" s="37" t="s">
        <v>127</v>
      </c>
      <c r="L541" s="37" t="s">
        <v>46</v>
      </c>
      <c r="M541" s="38" t="s">
        <v>90</v>
      </c>
      <c r="N541" s="38"/>
      <c r="O541" s="37">
        <v>45</v>
      </c>
      <c r="P541" s="670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1" s="656"/>
      <c r="R541" s="656"/>
      <c r="S541" s="656"/>
      <c r="T541" s="657"/>
      <c r="U541" s="39" t="s">
        <v>46</v>
      </c>
      <c r="V541" s="39" t="s">
        <v>46</v>
      </c>
      <c r="W541" s="40" t="s">
        <v>0</v>
      </c>
      <c r="X541" s="58">
        <v>0</v>
      </c>
      <c r="Y541" s="55">
        <f>IFERROR(IF(X541="",0,CEILING((X541/$H541),1)*$H541),"")</f>
        <v>0</v>
      </c>
      <c r="Z541" s="41" t="str">
        <f>IFERROR(IF(Y541=0,"",ROUNDUP(Y541/H541,0)*0.01898),"")</f>
        <v/>
      </c>
      <c r="AA541" s="68" t="s">
        <v>46</v>
      </c>
      <c r="AB541" s="69" t="s">
        <v>46</v>
      </c>
      <c r="AC541" s="640" t="s">
        <v>862</v>
      </c>
      <c r="AG541" s="78"/>
      <c r="AJ541" s="84" t="s">
        <v>46</v>
      </c>
      <c r="AK541" s="84">
        <v>0</v>
      </c>
      <c r="BB541" s="641" t="s">
        <v>67</v>
      </c>
      <c r="BM541" s="78">
        <f>IFERROR(X541*I541/H541,"0")</f>
        <v>0</v>
      </c>
      <c r="BN541" s="78">
        <f>IFERROR(Y541*I541/H541,"0")</f>
        <v>0</v>
      </c>
      <c r="BO541" s="78">
        <f>IFERROR(1/J541*(X541/H541),"0")</f>
        <v>0</v>
      </c>
      <c r="BP541" s="78">
        <f>IFERROR(1/J541*(Y541/H541),"0")</f>
        <v>0</v>
      </c>
    </row>
    <row r="542" spans="1:68" hidden="1" x14ac:dyDescent="0.2">
      <c r="A542" s="661"/>
      <c r="B542" s="661"/>
      <c r="C542" s="661"/>
      <c r="D542" s="661"/>
      <c r="E542" s="661"/>
      <c r="F542" s="661"/>
      <c r="G542" s="661"/>
      <c r="H542" s="661"/>
      <c r="I542" s="661"/>
      <c r="J542" s="661"/>
      <c r="K542" s="661"/>
      <c r="L542" s="661"/>
      <c r="M542" s="661"/>
      <c r="N542" s="661"/>
      <c r="O542" s="662"/>
      <c r="P542" s="658" t="s">
        <v>40</v>
      </c>
      <c r="Q542" s="659"/>
      <c r="R542" s="659"/>
      <c r="S542" s="659"/>
      <c r="T542" s="659"/>
      <c r="U542" s="659"/>
      <c r="V542" s="660"/>
      <c r="W542" s="42" t="s">
        <v>39</v>
      </c>
      <c r="X542" s="43">
        <f>IFERROR(X541/H541,"0")</f>
        <v>0</v>
      </c>
      <c r="Y542" s="43">
        <f>IFERROR(Y541/H541,"0")</f>
        <v>0</v>
      </c>
      <c r="Z542" s="43">
        <f>IFERROR(IF(Z541="",0,Z541),"0")</f>
        <v>0</v>
      </c>
      <c r="AA542" s="67"/>
      <c r="AB542" s="67"/>
      <c r="AC542" s="67"/>
    </row>
    <row r="543" spans="1:68" hidden="1" x14ac:dyDescent="0.2">
      <c r="A543" s="661"/>
      <c r="B543" s="661"/>
      <c r="C543" s="661"/>
      <c r="D543" s="661"/>
      <c r="E543" s="661"/>
      <c r="F543" s="661"/>
      <c r="G543" s="661"/>
      <c r="H543" s="661"/>
      <c r="I543" s="661"/>
      <c r="J543" s="661"/>
      <c r="K543" s="661"/>
      <c r="L543" s="661"/>
      <c r="M543" s="661"/>
      <c r="N543" s="661"/>
      <c r="O543" s="662"/>
      <c r="P543" s="658" t="s">
        <v>40</v>
      </c>
      <c r="Q543" s="659"/>
      <c r="R543" s="659"/>
      <c r="S543" s="659"/>
      <c r="T543" s="659"/>
      <c r="U543" s="659"/>
      <c r="V543" s="660"/>
      <c r="W543" s="42" t="s">
        <v>0</v>
      </c>
      <c r="X543" s="43">
        <f>IFERROR(SUM(X541:X541),"0")</f>
        <v>0</v>
      </c>
      <c r="Y543" s="43">
        <f>IFERROR(SUM(Y541:Y541),"0")</f>
        <v>0</v>
      </c>
      <c r="Z543" s="42"/>
      <c r="AA543" s="67"/>
      <c r="AB543" s="67"/>
      <c r="AC543" s="67"/>
    </row>
    <row r="544" spans="1:68" ht="14.25" hidden="1" customHeight="1" x14ac:dyDescent="0.25">
      <c r="A544" s="653" t="s">
        <v>175</v>
      </c>
      <c r="B544" s="653"/>
      <c r="C544" s="653"/>
      <c r="D544" s="653"/>
      <c r="E544" s="653"/>
      <c r="F544" s="653"/>
      <c r="G544" s="653"/>
      <c r="H544" s="653"/>
      <c r="I544" s="653"/>
      <c r="J544" s="653"/>
      <c r="K544" s="653"/>
      <c r="L544" s="653"/>
      <c r="M544" s="653"/>
      <c r="N544" s="653"/>
      <c r="O544" s="653"/>
      <c r="P544" s="653"/>
      <c r="Q544" s="653"/>
      <c r="R544" s="653"/>
      <c r="S544" s="653"/>
      <c r="T544" s="653"/>
      <c r="U544" s="653"/>
      <c r="V544" s="653"/>
      <c r="W544" s="653"/>
      <c r="X544" s="653"/>
      <c r="Y544" s="653"/>
      <c r="Z544" s="653"/>
      <c r="AA544" s="66"/>
      <c r="AB544" s="66"/>
      <c r="AC544" s="80"/>
    </row>
    <row r="545" spans="1:68" ht="27" hidden="1" customHeight="1" x14ac:dyDescent="0.25">
      <c r="A545" s="63" t="s">
        <v>863</v>
      </c>
      <c r="B545" s="63" t="s">
        <v>864</v>
      </c>
      <c r="C545" s="36">
        <v>4301060535</v>
      </c>
      <c r="D545" s="654">
        <v>4640242180120</v>
      </c>
      <c r="E545" s="654"/>
      <c r="F545" s="62">
        <v>1.5</v>
      </c>
      <c r="G545" s="37">
        <v>6</v>
      </c>
      <c r="H545" s="62">
        <v>9</v>
      </c>
      <c r="I545" s="62">
        <v>9.41</v>
      </c>
      <c r="J545" s="37">
        <v>64</v>
      </c>
      <c r="K545" s="37" t="s">
        <v>127</v>
      </c>
      <c r="L545" s="37" t="s">
        <v>46</v>
      </c>
      <c r="M545" s="38" t="s">
        <v>90</v>
      </c>
      <c r="N545" s="38"/>
      <c r="O545" s="37">
        <v>40</v>
      </c>
      <c r="P545" s="667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5" s="656"/>
      <c r="R545" s="656"/>
      <c r="S545" s="656"/>
      <c r="T545" s="657"/>
      <c r="U545" s="39" t="s">
        <v>46</v>
      </c>
      <c r="V545" s="39" t="s">
        <v>46</v>
      </c>
      <c r="W545" s="40" t="s">
        <v>0</v>
      </c>
      <c r="X545" s="58">
        <v>0</v>
      </c>
      <c r="Y545" s="55">
        <f>IFERROR(IF(X545="",0,CEILING((X545/$H545),1)*$H545),"")</f>
        <v>0</v>
      </c>
      <c r="Z545" s="41" t="str">
        <f>IFERROR(IF(Y545=0,"",ROUNDUP(Y545/H545,0)*0.01898),"")</f>
        <v/>
      </c>
      <c r="AA545" s="68" t="s">
        <v>46</v>
      </c>
      <c r="AB545" s="69" t="s">
        <v>46</v>
      </c>
      <c r="AC545" s="642" t="s">
        <v>865</v>
      </c>
      <c r="AG545" s="78"/>
      <c r="AJ545" s="84" t="s">
        <v>46</v>
      </c>
      <c r="AK545" s="84">
        <v>0</v>
      </c>
      <c r="BB545" s="643" t="s">
        <v>67</v>
      </c>
      <c r="BM545" s="78">
        <f>IFERROR(X545*I545/H545,"0")</f>
        <v>0</v>
      </c>
      <c r="BN545" s="78">
        <f>IFERROR(Y545*I545/H545,"0")</f>
        <v>0</v>
      </c>
      <c r="BO545" s="78">
        <f>IFERROR(1/J545*(X545/H545),"0")</f>
        <v>0</v>
      </c>
      <c r="BP545" s="78">
        <f>IFERROR(1/J545*(Y545/H545),"0")</f>
        <v>0</v>
      </c>
    </row>
    <row r="546" spans="1:68" ht="27" hidden="1" customHeight="1" x14ac:dyDescent="0.25">
      <c r="A546" s="63" t="s">
        <v>866</v>
      </c>
      <c r="B546" s="63" t="s">
        <v>867</v>
      </c>
      <c r="C546" s="36">
        <v>4301060536</v>
      </c>
      <c r="D546" s="654">
        <v>4640242180137</v>
      </c>
      <c r="E546" s="654"/>
      <c r="F546" s="62">
        <v>1.5</v>
      </c>
      <c r="G546" s="37">
        <v>6</v>
      </c>
      <c r="H546" s="62">
        <v>9</v>
      </c>
      <c r="I546" s="62">
        <v>9.41</v>
      </c>
      <c r="J546" s="37">
        <v>64</v>
      </c>
      <c r="K546" s="37" t="s">
        <v>127</v>
      </c>
      <c r="L546" s="37" t="s">
        <v>46</v>
      </c>
      <c r="M546" s="38" t="s">
        <v>90</v>
      </c>
      <c r="N546" s="38"/>
      <c r="O546" s="37">
        <v>40</v>
      </c>
      <c r="P546" s="668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6" s="656"/>
      <c r="R546" s="656"/>
      <c r="S546" s="656"/>
      <c r="T546" s="657"/>
      <c r="U546" s="39" t="s">
        <v>46</v>
      </c>
      <c r="V546" s="39" t="s">
        <v>46</v>
      </c>
      <c r="W546" s="40" t="s">
        <v>0</v>
      </c>
      <c r="X546" s="58">
        <v>0</v>
      </c>
      <c r="Y546" s="55">
        <f>IFERROR(IF(X546="",0,CEILING((X546/$H546),1)*$H546),"")</f>
        <v>0</v>
      </c>
      <c r="Z546" s="41" t="str">
        <f>IFERROR(IF(Y546=0,"",ROUNDUP(Y546/H546,0)*0.01898),"")</f>
        <v/>
      </c>
      <c r="AA546" s="68" t="s">
        <v>46</v>
      </c>
      <c r="AB546" s="69" t="s">
        <v>46</v>
      </c>
      <c r="AC546" s="644" t="s">
        <v>868</v>
      </c>
      <c r="AG546" s="78"/>
      <c r="AJ546" s="84" t="s">
        <v>46</v>
      </c>
      <c r="AK546" s="84">
        <v>0</v>
      </c>
      <c r="BB546" s="645" t="s">
        <v>67</v>
      </c>
      <c r="BM546" s="78">
        <f>IFERROR(X546*I546/H546,"0")</f>
        <v>0</v>
      </c>
      <c r="BN546" s="78">
        <f>IFERROR(Y546*I546/H546,"0")</f>
        <v>0</v>
      </c>
      <c r="BO546" s="78">
        <f>IFERROR(1/J546*(X546/H546),"0")</f>
        <v>0</v>
      </c>
      <c r="BP546" s="78">
        <f>IFERROR(1/J546*(Y546/H546),"0")</f>
        <v>0</v>
      </c>
    </row>
    <row r="547" spans="1:68" hidden="1" x14ac:dyDescent="0.2">
      <c r="A547" s="661"/>
      <c r="B547" s="661"/>
      <c r="C547" s="661"/>
      <c r="D547" s="661"/>
      <c r="E547" s="661"/>
      <c r="F547" s="661"/>
      <c r="G547" s="661"/>
      <c r="H547" s="661"/>
      <c r="I547" s="661"/>
      <c r="J547" s="661"/>
      <c r="K547" s="661"/>
      <c r="L547" s="661"/>
      <c r="M547" s="661"/>
      <c r="N547" s="661"/>
      <c r="O547" s="662"/>
      <c r="P547" s="658" t="s">
        <v>40</v>
      </c>
      <c r="Q547" s="659"/>
      <c r="R547" s="659"/>
      <c r="S547" s="659"/>
      <c r="T547" s="659"/>
      <c r="U547" s="659"/>
      <c r="V547" s="660"/>
      <c r="W547" s="42" t="s">
        <v>39</v>
      </c>
      <c r="X547" s="43">
        <f>IFERROR(X545/H545,"0")+IFERROR(X546/H546,"0")</f>
        <v>0</v>
      </c>
      <c r="Y547" s="43">
        <f>IFERROR(Y545/H545,"0")+IFERROR(Y546/H546,"0")</f>
        <v>0</v>
      </c>
      <c r="Z547" s="43">
        <f>IFERROR(IF(Z545="",0,Z545),"0")+IFERROR(IF(Z546="",0,Z546),"0")</f>
        <v>0</v>
      </c>
      <c r="AA547" s="67"/>
      <c r="AB547" s="67"/>
      <c r="AC547" s="67"/>
    </row>
    <row r="548" spans="1:68" hidden="1" x14ac:dyDescent="0.2">
      <c r="A548" s="661"/>
      <c r="B548" s="661"/>
      <c r="C548" s="661"/>
      <c r="D548" s="661"/>
      <c r="E548" s="661"/>
      <c r="F548" s="661"/>
      <c r="G548" s="661"/>
      <c r="H548" s="661"/>
      <c r="I548" s="661"/>
      <c r="J548" s="661"/>
      <c r="K548" s="661"/>
      <c r="L548" s="661"/>
      <c r="M548" s="661"/>
      <c r="N548" s="661"/>
      <c r="O548" s="662"/>
      <c r="P548" s="658" t="s">
        <v>40</v>
      </c>
      <c r="Q548" s="659"/>
      <c r="R548" s="659"/>
      <c r="S548" s="659"/>
      <c r="T548" s="659"/>
      <c r="U548" s="659"/>
      <c r="V548" s="660"/>
      <c r="W548" s="42" t="s">
        <v>0</v>
      </c>
      <c r="X548" s="43">
        <f>IFERROR(SUM(X545:X546),"0")</f>
        <v>0</v>
      </c>
      <c r="Y548" s="43">
        <f>IFERROR(SUM(Y545:Y546),"0")</f>
        <v>0</v>
      </c>
      <c r="Z548" s="42"/>
      <c r="AA548" s="67"/>
      <c r="AB548" s="67"/>
      <c r="AC548" s="67"/>
    </row>
    <row r="549" spans="1:68" ht="16.5" hidden="1" customHeight="1" x14ac:dyDescent="0.25">
      <c r="A549" s="652" t="s">
        <v>869</v>
      </c>
      <c r="B549" s="652"/>
      <c r="C549" s="652"/>
      <c r="D549" s="652"/>
      <c r="E549" s="652"/>
      <c r="F549" s="652"/>
      <c r="G549" s="652"/>
      <c r="H549" s="652"/>
      <c r="I549" s="652"/>
      <c r="J549" s="652"/>
      <c r="K549" s="652"/>
      <c r="L549" s="652"/>
      <c r="M549" s="652"/>
      <c r="N549" s="652"/>
      <c r="O549" s="652"/>
      <c r="P549" s="652"/>
      <c r="Q549" s="652"/>
      <c r="R549" s="652"/>
      <c r="S549" s="652"/>
      <c r="T549" s="652"/>
      <c r="U549" s="652"/>
      <c r="V549" s="652"/>
      <c r="W549" s="652"/>
      <c r="X549" s="652"/>
      <c r="Y549" s="652"/>
      <c r="Z549" s="652"/>
      <c r="AA549" s="65"/>
      <c r="AB549" s="65"/>
      <c r="AC549" s="79"/>
    </row>
    <row r="550" spans="1:68" ht="14.25" hidden="1" customHeight="1" x14ac:dyDescent="0.25">
      <c r="A550" s="653" t="s">
        <v>157</v>
      </c>
      <c r="B550" s="653"/>
      <c r="C550" s="653"/>
      <c r="D550" s="653"/>
      <c r="E550" s="653"/>
      <c r="F550" s="653"/>
      <c r="G550" s="653"/>
      <c r="H550" s="653"/>
      <c r="I550" s="653"/>
      <c r="J550" s="653"/>
      <c r="K550" s="653"/>
      <c r="L550" s="653"/>
      <c r="M550" s="653"/>
      <c r="N550" s="653"/>
      <c r="O550" s="653"/>
      <c r="P550" s="653"/>
      <c r="Q550" s="653"/>
      <c r="R550" s="653"/>
      <c r="S550" s="653"/>
      <c r="T550" s="653"/>
      <c r="U550" s="653"/>
      <c r="V550" s="653"/>
      <c r="W550" s="653"/>
      <c r="X550" s="653"/>
      <c r="Y550" s="653"/>
      <c r="Z550" s="653"/>
      <c r="AA550" s="66"/>
      <c r="AB550" s="66"/>
      <c r="AC550" s="80"/>
    </row>
    <row r="551" spans="1:68" ht="27" hidden="1" customHeight="1" x14ac:dyDescent="0.25">
      <c r="A551" s="63" t="s">
        <v>870</v>
      </c>
      <c r="B551" s="63" t="s">
        <v>871</v>
      </c>
      <c r="C551" s="36">
        <v>4301020441</v>
      </c>
      <c r="D551" s="654">
        <v>4680115889798</v>
      </c>
      <c r="E551" s="654"/>
      <c r="F551" s="62">
        <v>1.5</v>
      </c>
      <c r="G551" s="37">
        <v>8</v>
      </c>
      <c r="H551" s="62">
        <v>12</v>
      </c>
      <c r="I551" s="62">
        <v>12.41</v>
      </c>
      <c r="J551" s="37">
        <v>64</v>
      </c>
      <c r="K551" s="37" t="s">
        <v>127</v>
      </c>
      <c r="L551" s="37" t="s">
        <v>46</v>
      </c>
      <c r="M551" s="38" t="s">
        <v>126</v>
      </c>
      <c r="N551" s="38"/>
      <c r="O551" s="37">
        <v>50</v>
      </c>
      <c r="P551" s="655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51" s="656"/>
      <c r="R551" s="656"/>
      <c r="S551" s="656"/>
      <c r="T551" s="657"/>
      <c r="U551" s="39" t="s">
        <v>46</v>
      </c>
      <c r="V551" s="39" t="s">
        <v>46</v>
      </c>
      <c r="W551" s="40" t="s">
        <v>0</v>
      </c>
      <c r="X551" s="58">
        <v>0</v>
      </c>
      <c r="Y551" s="55">
        <f>IFERROR(IF(X551="",0,CEILING((X551/$H551),1)*$H551),"")</f>
        <v>0</v>
      </c>
      <c r="Z551" s="41" t="str">
        <f>IFERROR(IF(Y551=0,"",ROUNDUP(Y551/H551,0)*0.01898),"")</f>
        <v/>
      </c>
      <c r="AA551" s="68" t="s">
        <v>46</v>
      </c>
      <c r="AB551" s="69" t="s">
        <v>46</v>
      </c>
      <c r="AC551" s="646" t="s">
        <v>872</v>
      </c>
      <c r="AG551" s="78"/>
      <c r="AJ551" s="84" t="s">
        <v>46</v>
      </c>
      <c r="AK551" s="84">
        <v>0</v>
      </c>
      <c r="BB551" s="647" t="s">
        <v>67</v>
      </c>
      <c r="BM551" s="78">
        <f>IFERROR(X551*I551/H551,"0")</f>
        <v>0</v>
      </c>
      <c r="BN551" s="78">
        <f>IFERROR(Y551*I551/H551,"0")</f>
        <v>0</v>
      </c>
      <c r="BO551" s="78">
        <f>IFERROR(1/J551*(X551/H551),"0")</f>
        <v>0</v>
      </c>
      <c r="BP551" s="78">
        <f>IFERROR(1/J551*(Y551/H551),"0")</f>
        <v>0</v>
      </c>
    </row>
    <row r="552" spans="1:68" hidden="1" x14ac:dyDescent="0.2">
      <c r="A552" s="661"/>
      <c r="B552" s="661"/>
      <c r="C552" s="661"/>
      <c r="D552" s="661"/>
      <c r="E552" s="661"/>
      <c r="F552" s="661"/>
      <c r="G552" s="661"/>
      <c r="H552" s="661"/>
      <c r="I552" s="661"/>
      <c r="J552" s="661"/>
      <c r="K552" s="661"/>
      <c r="L552" s="661"/>
      <c r="M552" s="661"/>
      <c r="N552" s="661"/>
      <c r="O552" s="662"/>
      <c r="P552" s="658" t="s">
        <v>40</v>
      </c>
      <c r="Q552" s="659"/>
      <c r="R552" s="659"/>
      <c r="S552" s="659"/>
      <c r="T552" s="659"/>
      <c r="U552" s="659"/>
      <c r="V552" s="660"/>
      <c r="W552" s="42" t="s">
        <v>39</v>
      </c>
      <c r="X552" s="43">
        <f>IFERROR(X551/H551,"0")</f>
        <v>0</v>
      </c>
      <c r="Y552" s="43">
        <f>IFERROR(Y551/H551,"0")</f>
        <v>0</v>
      </c>
      <c r="Z552" s="43">
        <f>IFERROR(IF(Z551="",0,Z551),"0")</f>
        <v>0</v>
      </c>
      <c r="AA552" s="67"/>
      <c r="AB552" s="67"/>
      <c r="AC552" s="67"/>
    </row>
    <row r="553" spans="1:68" hidden="1" x14ac:dyDescent="0.2">
      <c r="A553" s="661"/>
      <c r="B553" s="661"/>
      <c r="C553" s="661"/>
      <c r="D553" s="661"/>
      <c r="E553" s="661"/>
      <c r="F553" s="661"/>
      <c r="G553" s="661"/>
      <c r="H553" s="661"/>
      <c r="I553" s="661"/>
      <c r="J553" s="661"/>
      <c r="K553" s="661"/>
      <c r="L553" s="661"/>
      <c r="M553" s="661"/>
      <c r="N553" s="661"/>
      <c r="O553" s="662"/>
      <c r="P553" s="658" t="s">
        <v>40</v>
      </c>
      <c r="Q553" s="659"/>
      <c r="R553" s="659"/>
      <c r="S553" s="659"/>
      <c r="T553" s="659"/>
      <c r="U553" s="659"/>
      <c r="V553" s="660"/>
      <c r="W553" s="42" t="s">
        <v>0</v>
      </c>
      <c r="X553" s="43">
        <f>IFERROR(SUM(X551:X551),"0")</f>
        <v>0</v>
      </c>
      <c r="Y553" s="43">
        <f>IFERROR(SUM(Y551:Y551),"0")</f>
        <v>0</v>
      </c>
      <c r="Z553" s="42"/>
      <c r="AA553" s="67"/>
      <c r="AB553" s="67"/>
      <c r="AC553" s="67"/>
    </row>
    <row r="554" spans="1:68" ht="15" customHeight="1" x14ac:dyDescent="0.2">
      <c r="A554" s="661"/>
      <c r="B554" s="661"/>
      <c r="C554" s="661"/>
      <c r="D554" s="661"/>
      <c r="E554" s="661"/>
      <c r="F554" s="661"/>
      <c r="G554" s="661"/>
      <c r="H554" s="661"/>
      <c r="I554" s="661"/>
      <c r="J554" s="661"/>
      <c r="K554" s="661"/>
      <c r="L554" s="661"/>
      <c r="M554" s="661"/>
      <c r="N554" s="661"/>
      <c r="O554" s="666"/>
      <c r="P554" s="663" t="s">
        <v>33</v>
      </c>
      <c r="Q554" s="664"/>
      <c r="R554" s="664"/>
      <c r="S554" s="664"/>
      <c r="T554" s="664"/>
      <c r="U554" s="664"/>
      <c r="V554" s="665"/>
      <c r="W554" s="42" t="s">
        <v>0</v>
      </c>
      <c r="X554" s="43">
        <f>IFERROR(X25+X33+X43+X52+X63+X70+X76+X82+X91+X98+X110+X118+X125+X129+X135+X140+X145+X155+X159+X166+X171+X186+X192+X196+X208+X213+X231+X243+X249+X253+X259+X264+X275+X290+X295+X306+X310+X314+X318+X328+X335+X344+X349+X356+X367+X377+X384+X390+X397+X403+X409+X415+X422+X435+X441+X447+X452+X458+X462+X468+X479+X484+X489+X495+X509+X515+X525+X531+X535+X539+X543+X548+X553,"0")</f>
        <v>5000</v>
      </c>
      <c r="Y554" s="43">
        <f>IFERROR(Y25+Y33+Y43+Y52+Y63+Y70+Y76+Y82+Y91+Y98+Y110+Y118+Y125+Y129+Y135+Y140+Y145+Y155+Y159+Y166+Y171+Y186+Y192+Y196+Y208+Y213+Y231+Y243+Y249+Y253+Y259+Y264+Y275+Y290+Y295+Y306+Y310+Y314+Y318+Y328+Y335+Y344+Y349+Y356+Y367+Y377+Y384+Y390+Y397+Y403+Y409+Y415+Y422+Y435+Y441+Y447+Y452+Y458+Y462+Y468+Y479+Y484+Y489+Y495+Y509+Y515+Y525+Y531+Y535+Y539+Y543+Y548+Y553,"0")</f>
        <v>5007.5999999999995</v>
      </c>
      <c r="Z554" s="42"/>
      <c r="AA554" s="67"/>
      <c r="AB554" s="67"/>
      <c r="AC554" s="67"/>
    </row>
    <row r="555" spans="1:68" x14ac:dyDescent="0.2">
      <c r="A555" s="661"/>
      <c r="B555" s="661"/>
      <c r="C555" s="661"/>
      <c r="D555" s="661"/>
      <c r="E555" s="661"/>
      <c r="F555" s="661"/>
      <c r="G555" s="661"/>
      <c r="H555" s="661"/>
      <c r="I555" s="661"/>
      <c r="J555" s="661"/>
      <c r="K555" s="661"/>
      <c r="L555" s="661"/>
      <c r="M555" s="661"/>
      <c r="N555" s="661"/>
      <c r="O555" s="666"/>
      <c r="P555" s="663" t="s">
        <v>34</v>
      </c>
      <c r="Q555" s="664"/>
      <c r="R555" s="664"/>
      <c r="S555" s="664"/>
      <c r="T555" s="664"/>
      <c r="U555" s="664"/>
      <c r="V555" s="665"/>
      <c r="W555" s="42" t="s">
        <v>0</v>
      </c>
      <c r="X555" s="43">
        <f>IFERROR(SUM(BM22:BM551),"0")</f>
        <v>5312.8205128205127</v>
      </c>
      <c r="Y555" s="43">
        <f>IFERROR(SUM(BN22:BN551),"0")</f>
        <v>5320.8959999999997</v>
      </c>
      <c r="Z555" s="42"/>
      <c r="AA555" s="67"/>
      <c r="AB555" s="67"/>
      <c r="AC555" s="67"/>
    </row>
    <row r="556" spans="1:68" x14ac:dyDescent="0.2">
      <c r="A556" s="661"/>
      <c r="B556" s="661"/>
      <c r="C556" s="661"/>
      <c r="D556" s="661"/>
      <c r="E556" s="661"/>
      <c r="F556" s="661"/>
      <c r="G556" s="661"/>
      <c r="H556" s="661"/>
      <c r="I556" s="661"/>
      <c r="J556" s="661"/>
      <c r="K556" s="661"/>
      <c r="L556" s="661"/>
      <c r="M556" s="661"/>
      <c r="N556" s="661"/>
      <c r="O556" s="666"/>
      <c r="P556" s="663" t="s">
        <v>35</v>
      </c>
      <c r="Q556" s="664"/>
      <c r="R556" s="664"/>
      <c r="S556" s="664"/>
      <c r="T556" s="664"/>
      <c r="U556" s="664"/>
      <c r="V556" s="665"/>
      <c r="W556" s="42" t="s">
        <v>20</v>
      </c>
      <c r="X556" s="44">
        <f>ROUNDUP(SUM(BO22:BO551),0)</f>
        <v>11</v>
      </c>
      <c r="Y556" s="44">
        <f>ROUNDUP(SUM(BP22:BP551),0)</f>
        <v>11</v>
      </c>
      <c r="Z556" s="42"/>
      <c r="AA556" s="67"/>
      <c r="AB556" s="67"/>
      <c r="AC556" s="67"/>
    </row>
    <row r="557" spans="1:68" x14ac:dyDescent="0.2">
      <c r="A557" s="661"/>
      <c r="B557" s="661"/>
      <c r="C557" s="661"/>
      <c r="D557" s="661"/>
      <c r="E557" s="661"/>
      <c r="F557" s="661"/>
      <c r="G557" s="661"/>
      <c r="H557" s="661"/>
      <c r="I557" s="661"/>
      <c r="J557" s="661"/>
      <c r="K557" s="661"/>
      <c r="L557" s="661"/>
      <c r="M557" s="661"/>
      <c r="N557" s="661"/>
      <c r="O557" s="666"/>
      <c r="P557" s="663" t="s">
        <v>36</v>
      </c>
      <c r="Q557" s="664"/>
      <c r="R557" s="664"/>
      <c r="S557" s="664"/>
      <c r="T557" s="664"/>
      <c r="U557" s="664"/>
      <c r="V557" s="665"/>
      <c r="W557" s="42" t="s">
        <v>0</v>
      </c>
      <c r="X557" s="43">
        <f>GrossWeightTotal+PalletQtyTotal*25</f>
        <v>5587.8205128205127</v>
      </c>
      <c r="Y557" s="43">
        <f>GrossWeightTotalR+PalletQtyTotalR*25</f>
        <v>5595.8959999999997</v>
      </c>
      <c r="Z557" s="42"/>
      <c r="AA557" s="67"/>
      <c r="AB557" s="67"/>
      <c r="AC557" s="67"/>
    </row>
    <row r="558" spans="1:68" x14ac:dyDescent="0.2">
      <c r="A558" s="661"/>
      <c r="B558" s="661"/>
      <c r="C558" s="661"/>
      <c r="D558" s="661"/>
      <c r="E558" s="661"/>
      <c r="F558" s="661"/>
      <c r="G558" s="661"/>
      <c r="H558" s="661"/>
      <c r="I558" s="661"/>
      <c r="J558" s="661"/>
      <c r="K558" s="661"/>
      <c r="L558" s="661"/>
      <c r="M558" s="661"/>
      <c r="N558" s="661"/>
      <c r="O558" s="666"/>
      <c r="P558" s="663" t="s">
        <v>37</v>
      </c>
      <c r="Q558" s="664"/>
      <c r="R558" s="664"/>
      <c r="S558" s="664"/>
      <c r="T558" s="664"/>
      <c r="U558" s="664"/>
      <c r="V558" s="665"/>
      <c r="W558" s="42" t="s">
        <v>20</v>
      </c>
      <c r="X558" s="43">
        <f>IFERROR(X24+X32+X42+X51+X62+X69+X75+X81+X90+X97+X109+X117+X124+X128+X134+X139+X144+X154+X158+X165+X170+X185+X191+X195+X207+X212+X230+X242+X248+X252+X258+X263+X274+X289+X294+X305+X309+X313+X317+X327+X334+X343+X348+X355+X366+X376+X383+X389+X396+X402+X408+X414+X421+X434+X440+X446+X451+X457+X461+X467+X478+X483+X488+X494+X508+X514+X524+X530+X534+X538+X542+X547+X552,"0")</f>
        <v>641.02564102564099</v>
      </c>
      <c r="Y558" s="43">
        <f>IFERROR(Y24+Y32+Y42+Y51+Y62+Y69+Y75+Y81+Y90+Y97+Y109+Y117+Y124+Y128+Y134+Y139+Y144+Y154+Y158+Y165+Y170+Y185+Y191+Y195+Y207+Y212+Y230+Y242+Y248+Y252+Y258+Y263+Y274+Y289+Y294+Y305+Y309+Y313+Y317+Y327+Y334+Y343+Y348+Y355+Y366+Y376+Y383+Y389+Y396+Y402+Y408+Y414+Y421+Y434+Y440+Y446+Y451+Y457+Y461+Y467+Y478+Y483+Y488+Y494+Y508+Y514+Y524+Y530+Y534+Y538+Y542+Y547+Y552,"0")</f>
        <v>642</v>
      </c>
      <c r="Z558" s="42"/>
      <c r="AA558" s="67"/>
      <c r="AB558" s="67"/>
      <c r="AC558" s="67"/>
    </row>
    <row r="559" spans="1:68" ht="14.25" hidden="1" x14ac:dyDescent="0.2">
      <c r="A559" s="661"/>
      <c r="B559" s="661"/>
      <c r="C559" s="661"/>
      <c r="D559" s="661"/>
      <c r="E559" s="661"/>
      <c r="F559" s="661"/>
      <c r="G559" s="661"/>
      <c r="H559" s="661"/>
      <c r="I559" s="661"/>
      <c r="J559" s="661"/>
      <c r="K559" s="661"/>
      <c r="L559" s="661"/>
      <c r="M559" s="661"/>
      <c r="N559" s="661"/>
      <c r="O559" s="666"/>
      <c r="P559" s="663" t="s">
        <v>38</v>
      </c>
      <c r="Q559" s="664"/>
      <c r="R559" s="664"/>
      <c r="S559" s="664"/>
      <c r="T559" s="664"/>
      <c r="U559" s="664"/>
      <c r="V559" s="665"/>
      <c r="W559" s="45" t="s">
        <v>52</v>
      </c>
      <c r="X559" s="42"/>
      <c r="Y559" s="42"/>
      <c r="Z559" s="42">
        <f>IFERROR(Z24+Z32+Z42+Z51+Z62+Z69+Z75+Z81+Z90+Z97+Z109+Z117+Z124+Z128+Z134+Z139+Z144+Z154+Z158+Z165+Z170+Z185+Z191+Z195+Z207+Z212+Z230+Z242+Z248+Z252+Z258+Z263+Z274+Z289+Z294+Z305+Z309+Z313+Z317+Z327+Z334+Z343+Z348+Z355+Z366+Z376+Z383+Z389+Z396+Z402+Z408+Z414+Z421+Z434+Z440+Z446+Z451+Z457+Z461+Z467+Z478+Z483+Z488+Z494+Z508+Z514+Z524+Z530+Z534+Z538+Z542+Z547+Z552,"0")</f>
        <v>12.18516</v>
      </c>
      <c r="AA559" s="67"/>
      <c r="AB559" s="67"/>
      <c r="AC559" s="67"/>
    </row>
    <row r="560" spans="1:68" ht="13.5" thickBot="1" x14ac:dyDescent="0.25"/>
    <row r="561" spans="1:32" ht="27" thickTop="1" thickBot="1" x14ac:dyDescent="0.25">
      <c r="A561" s="46" t="s">
        <v>9</v>
      </c>
      <c r="B561" s="85" t="s">
        <v>76</v>
      </c>
      <c r="C561" s="85" t="s">
        <v>45</v>
      </c>
      <c r="D561" s="648" t="s">
        <v>120</v>
      </c>
      <c r="E561" s="648" t="s">
        <v>120</v>
      </c>
      <c r="F561" s="648" t="s">
        <v>120</v>
      </c>
      <c r="G561" s="648" t="s">
        <v>120</v>
      </c>
      <c r="H561" s="648" t="s">
        <v>120</v>
      </c>
      <c r="I561" s="648" t="s">
        <v>120</v>
      </c>
      <c r="J561" s="648" t="s">
        <v>120</v>
      </c>
      <c r="K561" s="648" t="s">
        <v>344</v>
      </c>
      <c r="L561" s="648" t="s">
        <v>344</v>
      </c>
      <c r="M561" s="648" t="s">
        <v>344</v>
      </c>
      <c r="N561" s="649"/>
      <c r="O561" s="648" t="s">
        <v>344</v>
      </c>
      <c r="P561" s="648" t="s">
        <v>344</v>
      </c>
      <c r="Q561" s="648" t="s">
        <v>344</v>
      </c>
      <c r="R561" s="648" t="s">
        <v>344</v>
      </c>
      <c r="S561" s="648" t="s">
        <v>344</v>
      </c>
      <c r="T561" s="648" t="s">
        <v>344</v>
      </c>
      <c r="U561" s="648" t="s">
        <v>344</v>
      </c>
      <c r="V561" s="648" t="s">
        <v>344</v>
      </c>
      <c r="W561" s="648" t="s">
        <v>701</v>
      </c>
      <c r="X561" s="648" t="s">
        <v>701</v>
      </c>
      <c r="Y561" s="648" t="s">
        <v>767</v>
      </c>
      <c r="Z561" s="648" t="s">
        <v>767</v>
      </c>
      <c r="AA561" s="85" t="s">
        <v>803</v>
      </c>
      <c r="AB561" s="648" t="s">
        <v>850</v>
      </c>
      <c r="AC561" s="648" t="s">
        <v>850</v>
      </c>
      <c r="AF561" s="1"/>
    </row>
    <row r="562" spans="1:32" ht="14.25" customHeight="1" thickTop="1" x14ac:dyDescent="0.2">
      <c r="A562" s="650" t="s">
        <v>10</v>
      </c>
      <c r="B562" s="648" t="s">
        <v>76</v>
      </c>
      <c r="C562" s="648" t="s">
        <v>104</v>
      </c>
      <c r="D562" s="648" t="s">
        <v>121</v>
      </c>
      <c r="E562" s="648" t="s">
        <v>137</v>
      </c>
      <c r="F562" s="648" t="s">
        <v>183</v>
      </c>
      <c r="G562" s="648" t="s">
        <v>206</v>
      </c>
      <c r="H562" s="648" t="s">
        <v>250</v>
      </c>
      <c r="I562" s="648" t="s">
        <v>263</v>
      </c>
      <c r="J562" s="648" t="s">
        <v>120</v>
      </c>
      <c r="K562" s="648" t="s">
        <v>345</v>
      </c>
      <c r="L562" s="648" t="s">
        <v>366</v>
      </c>
      <c r="M562" s="648" t="s">
        <v>440</v>
      </c>
      <c r="N562" s="1"/>
      <c r="O562" s="648" t="s">
        <v>508</v>
      </c>
      <c r="P562" s="648" t="s">
        <v>537</v>
      </c>
      <c r="Q562" s="648" t="s">
        <v>558</v>
      </c>
      <c r="R562" s="648" t="s">
        <v>567</v>
      </c>
      <c r="S562" s="648" t="s">
        <v>588</v>
      </c>
      <c r="T562" s="648" t="s">
        <v>597</v>
      </c>
      <c r="U562" s="648" t="s">
        <v>684</v>
      </c>
      <c r="V562" s="648" t="s">
        <v>691</v>
      </c>
      <c r="W562" s="648" t="s">
        <v>702</v>
      </c>
      <c r="X562" s="648" t="s">
        <v>751</v>
      </c>
      <c r="Y562" s="648" t="s">
        <v>768</v>
      </c>
      <c r="Z562" s="648" t="s">
        <v>791</v>
      </c>
      <c r="AA562" s="648" t="s">
        <v>803</v>
      </c>
      <c r="AB562" s="648" t="s">
        <v>850</v>
      </c>
      <c r="AC562" s="648" t="s">
        <v>869</v>
      </c>
      <c r="AF562" s="1"/>
    </row>
    <row r="563" spans="1:32" ht="13.5" thickBot="1" x14ac:dyDescent="0.25">
      <c r="A563" s="651"/>
      <c r="B563" s="648"/>
      <c r="C563" s="648"/>
      <c r="D563" s="648"/>
      <c r="E563" s="648"/>
      <c r="F563" s="648"/>
      <c r="G563" s="648"/>
      <c r="H563" s="648"/>
      <c r="I563" s="648"/>
      <c r="J563" s="648"/>
      <c r="K563" s="648"/>
      <c r="L563" s="648"/>
      <c r="M563" s="648"/>
      <c r="N563" s="1"/>
      <c r="O563" s="648"/>
      <c r="P563" s="648"/>
      <c r="Q563" s="648"/>
      <c r="R563" s="648"/>
      <c r="S563" s="648"/>
      <c r="T563" s="648"/>
      <c r="U563" s="648"/>
      <c r="V563" s="648"/>
      <c r="W563" s="648"/>
      <c r="X563" s="648"/>
      <c r="Y563" s="648"/>
      <c r="Z563" s="648"/>
      <c r="AA563" s="648"/>
      <c r="AB563" s="648"/>
      <c r="AC563" s="648"/>
      <c r="AF563" s="1"/>
    </row>
    <row r="564" spans="1:32" ht="18" thickTop="1" thickBot="1" x14ac:dyDescent="0.25">
      <c r="A564" s="46" t="s">
        <v>13</v>
      </c>
      <c r="B564" s="52">
        <f>IFERROR(Y22*1,"0")+IFERROR(Y23*1,"0")+IFERROR(Y27*1,"0")+IFERROR(Y28*1,"0")+IFERROR(Y29*1,"0")+IFERROR(Y30*1,"0")+IFERROR(Y31*1,"0")</f>
        <v>0</v>
      </c>
      <c r="C564" s="52">
        <f>IFERROR(Y37*1,"0")+IFERROR(Y38*1,"0")+IFERROR(Y39*1,"0")+IFERROR(Y40*1,"0")+IFERROR(Y41*1,"0")</f>
        <v>0</v>
      </c>
      <c r="D564" s="52">
        <f>IFERROR(Y47*1,"0")+IFERROR(Y48*1,"0")+IFERROR(Y49*1,"0")+IFERROR(Y50*1,"0")</f>
        <v>0</v>
      </c>
      <c r="E564" s="52">
        <f>IFERROR(Y55*1,"0")+IFERROR(Y56*1,"0")+IFERROR(Y57*1,"0")+IFERROR(Y58*1,"0")+IFERROR(Y59*1,"0")+IFERROR(Y60*1,"0")+IFERROR(Y61*1,"0")+IFERROR(Y65*1,"0")+IFERROR(Y66*1,"0")+IFERROR(Y67*1,"0")+IFERROR(Y68*1,"0")+IFERROR(Y72*1,"0")+IFERROR(Y73*1,"0")+IFERROR(Y74*1,"0")+IFERROR(Y78*1,"0")+IFERROR(Y79*1,"0")+IFERROR(Y80*1,"0")</f>
        <v>0</v>
      </c>
      <c r="F564" s="52">
        <f>IFERROR(Y85*1,"0")+IFERROR(Y86*1,"0")+IFERROR(Y87*1,"0")+IFERROR(Y88*1,"0")+IFERROR(Y89*1,"0")+IFERROR(Y93*1,"0")+IFERROR(Y94*1,"0")+IFERROR(Y95*1,"0")+IFERROR(Y96*1,"0")</f>
        <v>0</v>
      </c>
      <c r="G564" s="52">
        <f>IFERROR(Y101*1,"0")+IFERROR(Y102*1,"0")+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0</v>
      </c>
      <c r="H564" s="52">
        <f>IFERROR(Y132*1,"0")+IFERROR(Y133*1,"0")+IFERROR(Y137*1,"0")+IFERROR(Y138*1,"0")+IFERROR(Y142*1,"0")+IFERROR(Y143*1,"0")</f>
        <v>0</v>
      </c>
      <c r="I564" s="52">
        <f>IFERROR(Y148*1,"0")+IFERROR(Y149*1,"0")+IFERROR(Y150*1,"0")+IFERROR(Y151*1,"0")+IFERROR(Y152*1,"0")+IFERROR(Y153*1,"0")+IFERROR(Y157*1,"0")</f>
        <v>0</v>
      </c>
      <c r="J564" s="52">
        <f>IFERROR(Y162*1,"0")+IFERROR(Y163*1,"0")+IFERROR(Y164*1,"0")+IFERROR(Y168*1,"0")+IFERROR(Y169*1,"0")+IFERROR(Y173*1,"0")+IFERROR(Y174*1,"0")+IFERROR(Y175*1,"0")+IFERROR(Y176*1,"0")+IFERROR(Y177*1,"0")+IFERROR(Y178*1,"0")+IFERROR(Y179*1,"0")+IFERROR(Y180*1,"0")+IFERROR(Y181*1,"0")+IFERROR(Y182*1,"0")+IFERROR(Y183*1,"0")+IFERROR(Y184*1,"0")+IFERROR(Y188*1,"0")+IFERROR(Y189*1,"0")+IFERROR(Y190*1,"0")+IFERROR(Y194*1,"0")</f>
        <v>0</v>
      </c>
      <c r="K564" s="52">
        <f>IFERROR(Y200*1,"0")+IFERROR(Y201*1,"0")+IFERROR(Y202*1,"0")+IFERROR(Y203*1,"0")+IFERROR(Y204*1,"0")+IFERROR(Y205*1,"0")+IFERROR(Y206*1,"0")</f>
        <v>0</v>
      </c>
      <c r="L564" s="52">
        <f>IFERROR(Y211*1,"0")+IFERROR(Y215*1,"0")+IFERROR(Y216*1,"0")+IFERROR(Y217*1,"0")+IFERROR(Y218*1,"0")+IFERROR(Y219*1,"0")+IFERROR(Y220*1,"0")+IFERROR(Y221*1,"0")+IFERROR(Y222*1,"0")+IFERROR(Y223*1,"0")+IFERROR(Y224*1,"0")+IFERROR(Y225*1,"0")+IFERROR(Y226*1,"0")+IFERROR(Y227*1,"0")+IFERROR(Y228*1,"0")+IFERROR(Y229*1,"0")+IFERROR(Y233*1,"0")+IFERROR(Y234*1,"0")+IFERROR(Y235*1,"0")+IFERROR(Y236*1,"0")+IFERROR(Y237*1,"0")+IFERROR(Y238*1,"0")+IFERROR(Y239*1,"0")+IFERROR(Y240*1,"0")+IFERROR(Y241*1,"0")+IFERROR(Y245*1,"0")+IFERROR(Y246*1,"0")+IFERROR(Y247*1,"0")+IFERROR(Y251*1,"0")</f>
        <v>0</v>
      </c>
      <c r="M564" s="52">
        <f>IFERROR(Y256*1,"0")+IFERROR(Y257*1,"0")+IFERROR(Y261*1,"0")+IFERROR(Y262*1,"0")+IFERROR(Y266*1,"0")+IFERROR(Y267*1,"0")+IFERROR(Y268*1,"0")+IFERROR(Y269*1,"0")+IFERROR(Y270*1,"0")+IFERROR(Y271*1,"0")+IFERROR(Y272*1,"0")+IFERROR(Y273*1,"0")+IFERROR(Y277*1,"0")+IFERROR(Y278*1,"0")+IFERROR(Y279*1,"0")+IFERROR(Y280*1,"0")+IFERROR(Y281*1,"0")+IFERROR(Y282*1,"0")+IFERROR(Y283*1,"0")+IFERROR(Y284*1,"0")+IFERROR(Y285*1,"0")+IFERROR(Y286*1,"0")+IFERROR(Y287*1,"0")+IFERROR(Y288*1,"0")+IFERROR(Y292*1,"0")+IFERROR(Y293*1,"0")</f>
        <v>0</v>
      </c>
      <c r="N564" s="1"/>
      <c r="O564" s="52">
        <f>IFERROR(Y298*1,"0")+IFERROR(Y299*1,"0")+IFERROR(Y300*1,"0")+IFERROR(Y301*1,"0")+IFERROR(Y302*1,"0")+IFERROR(Y303*1,"0")+IFERROR(Y304*1,"0")+IFERROR(Y308*1,"0")+IFERROR(Y312*1,"0")+IFERROR(Y316*1,"0")</f>
        <v>0</v>
      </c>
      <c r="P564" s="52">
        <f>IFERROR(Y321*1,"0")+IFERROR(Y322*1,"0")+IFERROR(Y323*1,"0")+IFERROR(Y324*1,"0")+IFERROR(Y325*1,"0")+IFERROR(Y326*1,"0")</f>
        <v>0</v>
      </c>
      <c r="Q564" s="52">
        <f>IFERROR(Y331*1,"0")+IFERROR(Y332*1,"0")+IFERROR(Y333*1,"0")</f>
        <v>0</v>
      </c>
      <c r="R564" s="52">
        <f>IFERROR(Y338*1,"0")+IFERROR(Y339*1,"0")+IFERROR(Y340*1,"0")+IFERROR(Y341*1,"0")+IFERROR(Y342*1,"0")+IFERROR(Y346*1,"0")+IFERROR(Y347*1,"0")</f>
        <v>0</v>
      </c>
      <c r="S564" s="52">
        <f>IFERROR(Y352*1,"0")+IFERROR(Y353*1,"0")+IFERROR(Y354*1,"0")</f>
        <v>0</v>
      </c>
      <c r="T564" s="52">
        <f>IFERROR(Y359*1,"0")+IFERROR(Y360*1,"0")+IFERROR(Y361*1,"0")+IFERROR(Y362*1,"0")+IFERROR(Y363*1,"0")+IFERROR(Y364*1,"0")+IFERROR(Y365*1,"0")+IFERROR(Y369*1,"0")+IFERROR(Y370*1,"0")+IFERROR(Y371*1,"0")+IFERROR(Y372*1,"0")+IFERROR(Y373*1,"0")+IFERROR(Y374*1,"0")+IFERROR(Y375*1,"0")+IFERROR(Y379*1,"0")+IFERROR(Y380*1,"0")+IFERROR(Y381*1,"0")+IFERROR(Y382*1,"0")+IFERROR(Y386*1,"0")+IFERROR(Y387*1,"0")+IFERROR(Y388*1,"0")+IFERROR(Y392*1,"0")+IFERROR(Y393*1,"0")+IFERROR(Y394*1,"0")+IFERROR(Y395*1,"0")+IFERROR(Y399*1,"0")+IFERROR(Y400*1,"0")+IFERROR(Y401*1,"0")+IFERROR(Y405*1,"0")+IFERROR(Y406*1,"0")+IFERROR(Y407*1,"0")</f>
        <v>5007.5999999999995</v>
      </c>
      <c r="U564" s="52">
        <f>IFERROR(Y412*1,"0")+IFERROR(Y413*1,"0")</f>
        <v>0</v>
      </c>
      <c r="V564" s="52">
        <f>IFERROR(Y418*1,"0")+IFERROR(Y419*1,"0")+IFERROR(Y420*1,"0")</f>
        <v>0</v>
      </c>
      <c r="W564" s="52">
        <f>IFERROR(Y426*1,"0")+IFERROR(Y427*1,"0")+IFERROR(Y428*1,"0")+IFERROR(Y429*1,"0")+IFERROR(Y430*1,"0")+IFERROR(Y431*1,"0")+IFERROR(Y432*1,"0")+IFERROR(Y433*1,"0")+IFERROR(Y437*1,"0")+IFERROR(Y438*1,"0")+IFERROR(Y439*1,"0")+IFERROR(Y443*1,"0")+IFERROR(Y444*1,"0")+IFERROR(Y445*1,"0")+IFERROR(Y449*1,"0")+IFERROR(Y450*1,"0")</f>
        <v>0</v>
      </c>
      <c r="X564" s="52">
        <f>IFERROR(Y455*1,"0")+IFERROR(Y456*1,"0")+IFERROR(Y460*1,"0")+IFERROR(Y464*1,"0")+IFERROR(Y465*1,"0")+IFERROR(Y466*1,"0")</f>
        <v>0</v>
      </c>
      <c r="Y564" s="52">
        <f>IFERROR(Y472*1,"0")+IFERROR(Y473*1,"0")+IFERROR(Y474*1,"0")+IFERROR(Y475*1,"0")+IFERROR(Y476*1,"0")+IFERROR(Y477*1,"0")+IFERROR(Y481*1,"0")+IFERROR(Y482*1,"0")</f>
        <v>0</v>
      </c>
      <c r="Z564" s="52">
        <f>IFERROR(Y487*1,"0")+IFERROR(Y491*1,"0")+IFERROR(Y492*1,"0")+IFERROR(Y493*1,"0")</f>
        <v>0</v>
      </c>
      <c r="AA564" s="52">
        <f>IFERROR(Y499*1,"0")+IFERROR(Y500*1,"0")+IFERROR(Y501*1,"0")+IFERROR(Y502*1,"0")+IFERROR(Y503*1,"0")+IFERROR(Y504*1,"0")+IFERROR(Y505*1,"0")+IFERROR(Y506*1,"0")+IFERROR(Y507*1,"0")+IFERROR(Y511*1,"0")+IFERROR(Y512*1,"0")+IFERROR(Y513*1,"0")+IFERROR(Y517*1,"0")+IFERROR(Y518*1,"0")+IFERROR(Y519*1,"0")+IFERROR(Y520*1,"0")+IFERROR(Y521*1,"0")+IFERROR(Y522*1,"0")+IFERROR(Y523*1,"0")</f>
        <v>0</v>
      </c>
      <c r="AB564" s="52">
        <f>IFERROR(Y529*1,"0")+IFERROR(Y533*1,"0")+IFERROR(Y537*1,"0")+IFERROR(Y541*1,"0")+IFERROR(Y545*1,"0")+IFERROR(Y546*1,"0")</f>
        <v>0</v>
      </c>
      <c r="AC564" s="52">
        <f>IFERROR(Y551*1,"0")</f>
        <v>0</v>
      </c>
      <c r="AF564" s="1"/>
    </row>
  </sheetData>
  <sheetProtection algorithmName="SHA-512" hashValue="HF3uR11qeg+RcpaZmskYZ0l/jGXLtszTznQ/gDkqUu8uUAznomPPKV6FqXRROy6an4Ovlj47AMLbGnfCjTN1VA==" saltValue="SVXOacclDSC6uj9WJfZk8A==" spinCount="100000" sheet="1" objects="1" scenarios="1" sort="0" autoFilter="0" pivotTables="0"/>
  <autoFilter ref="A18:AF55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1"/>
        <filter val="5 000,00"/>
        <filter val="5 312,82"/>
        <filter val="5 587,82"/>
        <filter val="641,03"/>
      </filters>
    </filterColumn>
    <filterColumn colId="29" showButton="0"/>
    <filterColumn colId="30" showButton="0"/>
  </autoFilter>
  <dataConsolidate/>
  <mergeCells count="995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61:E61"/>
    <mergeCell ref="P61:T61"/>
    <mergeCell ref="P62:V62"/>
    <mergeCell ref="A62:O63"/>
    <mergeCell ref="P63:V63"/>
    <mergeCell ref="A64:Z64"/>
    <mergeCell ref="D65:E65"/>
    <mergeCell ref="P65:T65"/>
    <mergeCell ref="D66:E66"/>
    <mergeCell ref="P66:T66"/>
    <mergeCell ref="D67:E67"/>
    <mergeCell ref="P67:T67"/>
    <mergeCell ref="D68:E68"/>
    <mergeCell ref="P68:T68"/>
    <mergeCell ref="P69:V69"/>
    <mergeCell ref="A69:O70"/>
    <mergeCell ref="P70:V70"/>
    <mergeCell ref="A71:Z71"/>
    <mergeCell ref="D72:E72"/>
    <mergeCell ref="P72:T72"/>
    <mergeCell ref="D73:E73"/>
    <mergeCell ref="P73:T73"/>
    <mergeCell ref="D74:E74"/>
    <mergeCell ref="P74:T74"/>
    <mergeCell ref="P75:V75"/>
    <mergeCell ref="A75:O76"/>
    <mergeCell ref="P76:V76"/>
    <mergeCell ref="A77:Z77"/>
    <mergeCell ref="D78:E78"/>
    <mergeCell ref="P78:T78"/>
    <mergeCell ref="D79:E79"/>
    <mergeCell ref="P79:T79"/>
    <mergeCell ref="D80:E80"/>
    <mergeCell ref="P80:T80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D87:E87"/>
    <mergeCell ref="P87:T87"/>
    <mergeCell ref="D88:E88"/>
    <mergeCell ref="P88:T88"/>
    <mergeCell ref="D89:E89"/>
    <mergeCell ref="P89:T89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96:E96"/>
    <mergeCell ref="P96:T96"/>
    <mergeCell ref="P97:V97"/>
    <mergeCell ref="A97:O98"/>
    <mergeCell ref="P98:V98"/>
    <mergeCell ref="A99:Z99"/>
    <mergeCell ref="A100:Z100"/>
    <mergeCell ref="D101:E101"/>
    <mergeCell ref="P101:T101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P117:V117"/>
    <mergeCell ref="A117:O118"/>
    <mergeCell ref="P118:V118"/>
    <mergeCell ref="A119:Z119"/>
    <mergeCell ref="D120:E120"/>
    <mergeCell ref="P120:T120"/>
    <mergeCell ref="D121:E121"/>
    <mergeCell ref="P121:T121"/>
    <mergeCell ref="D122:E122"/>
    <mergeCell ref="P122:T122"/>
    <mergeCell ref="D123:E123"/>
    <mergeCell ref="P123:T123"/>
    <mergeCell ref="P124:V124"/>
    <mergeCell ref="A124:O125"/>
    <mergeCell ref="P125:V125"/>
    <mergeCell ref="A126:Z126"/>
    <mergeCell ref="D127:E127"/>
    <mergeCell ref="P127:T127"/>
    <mergeCell ref="P128:V128"/>
    <mergeCell ref="A128:O129"/>
    <mergeCell ref="P129:V129"/>
    <mergeCell ref="A130:Z130"/>
    <mergeCell ref="A131:Z131"/>
    <mergeCell ref="D132:E132"/>
    <mergeCell ref="P132:T132"/>
    <mergeCell ref="D133:E133"/>
    <mergeCell ref="P133:T133"/>
    <mergeCell ref="P134:V134"/>
    <mergeCell ref="A134:O135"/>
    <mergeCell ref="P135:V135"/>
    <mergeCell ref="A136:Z136"/>
    <mergeCell ref="D137:E137"/>
    <mergeCell ref="P137:T137"/>
    <mergeCell ref="D138:E138"/>
    <mergeCell ref="P138:T138"/>
    <mergeCell ref="P139:V139"/>
    <mergeCell ref="A139:O140"/>
    <mergeCell ref="P140:V140"/>
    <mergeCell ref="A141:Z141"/>
    <mergeCell ref="D142:E142"/>
    <mergeCell ref="P142:T142"/>
    <mergeCell ref="D143:E143"/>
    <mergeCell ref="P143:T143"/>
    <mergeCell ref="P144:V144"/>
    <mergeCell ref="A144:O145"/>
    <mergeCell ref="P145:V145"/>
    <mergeCell ref="A146:Z146"/>
    <mergeCell ref="A147:Z147"/>
    <mergeCell ref="D148:E148"/>
    <mergeCell ref="P148:T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P154:V154"/>
    <mergeCell ref="A154:O155"/>
    <mergeCell ref="P155:V155"/>
    <mergeCell ref="A156:Z156"/>
    <mergeCell ref="D157:E157"/>
    <mergeCell ref="P157:T157"/>
    <mergeCell ref="P158:V158"/>
    <mergeCell ref="A158:O159"/>
    <mergeCell ref="P159:V159"/>
    <mergeCell ref="A160:Z160"/>
    <mergeCell ref="A161:Z161"/>
    <mergeCell ref="D162:E162"/>
    <mergeCell ref="P162:T162"/>
    <mergeCell ref="D163:E163"/>
    <mergeCell ref="P163:T163"/>
    <mergeCell ref="D164:E164"/>
    <mergeCell ref="P164:T164"/>
    <mergeCell ref="P165:V165"/>
    <mergeCell ref="A165:O166"/>
    <mergeCell ref="P166:V166"/>
    <mergeCell ref="A167:Z167"/>
    <mergeCell ref="D168:E168"/>
    <mergeCell ref="P168:T168"/>
    <mergeCell ref="D169:E169"/>
    <mergeCell ref="P169:T169"/>
    <mergeCell ref="P170:V170"/>
    <mergeCell ref="A170:O171"/>
    <mergeCell ref="P171:V171"/>
    <mergeCell ref="A172:Z172"/>
    <mergeCell ref="D173:E173"/>
    <mergeCell ref="P173:T17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P185:V185"/>
    <mergeCell ref="A185:O186"/>
    <mergeCell ref="P186:V186"/>
    <mergeCell ref="A187:Z187"/>
    <mergeCell ref="D188:E188"/>
    <mergeCell ref="P188:T188"/>
    <mergeCell ref="D189:E189"/>
    <mergeCell ref="P189:T189"/>
    <mergeCell ref="D190:E190"/>
    <mergeCell ref="P190:T190"/>
    <mergeCell ref="P191:V191"/>
    <mergeCell ref="A191:O192"/>
    <mergeCell ref="P192:V192"/>
    <mergeCell ref="A193:Z193"/>
    <mergeCell ref="D194:E194"/>
    <mergeCell ref="P194:T194"/>
    <mergeCell ref="P195:V195"/>
    <mergeCell ref="A195:O196"/>
    <mergeCell ref="P196:V196"/>
    <mergeCell ref="A197:Z197"/>
    <mergeCell ref="A198:Z198"/>
    <mergeCell ref="A199:Z199"/>
    <mergeCell ref="D200:E200"/>
    <mergeCell ref="P200:T200"/>
    <mergeCell ref="D201:E201"/>
    <mergeCell ref="P201:T201"/>
    <mergeCell ref="D202:E202"/>
    <mergeCell ref="P202:T202"/>
    <mergeCell ref="D203:E203"/>
    <mergeCell ref="P203:T203"/>
    <mergeCell ref="D204:E204"/>
    <mergeCell ref="P204:T204"/>
    <mergeCell ref="D205:E205"/>
    <mergeCell ref="P205:T205"/>
    <mergeCell ref="D206:E206"/>
    <mergeCell ref="P206:T206"/>
    <mergeCell ref="P207:V207"/>
    <mergeCell ref="A207:O208"/>
    <mergeCell ref="P208:V208"/>
    <mergeCell ref="A209:Z209"/>
    <mergeCell ref="A210:Z210"/>
    <mergeCell ref="D211:E211"/>
    <mergeCell ref="P211:T211"/>
    <mergeCell ref="P212:V212"/>
    <mergeCell ref="A212:O213"/>
    <mergeCell ref="P213:V213"/>
    <mergeCell ref="A214:Z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P230:V230"/>
    <mergeCell ref="A230:O231"/>
    <mergeCell ref="P231:V231"/>
    <mergeCell ref="A232:Z232"/>
    <mergeCell ref="D233:E233"/>
    <mergeCell ref="P233:T233"/>
    <mergeCell ref="D234:E234"/>
    <mergeCell ref="P234:T234"/>
    <mergeCell ref="D235:E235"/>
    <mergeCell ref="P235:T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P242:V242"/>
    <mergeCell ref="A242:O243"/>
    <mergeCell ref="P243:V243"/>
    <mergeCell ref="A244:Z244"/>
    <mergeCell ref="D245:E245"/>
    <mergeCell ref="P245:T245"/>
    <mergeCell ref="D246:E246"/>
    <mergeCell ref="P246:T246"/>
    <mergeCell ref="D247:E247"/>
    <mergeCell ref="P247:T247"/>
    <mergeCell ref="P248:V248"/>
    <mergeCell ref="A248:O249"/>
    <mergeCell ref="P249:V249"/>
    <mergeCell ref="A250:Z250"/>
    <mergeCell ref="D251:E251"/>
    <mergeCell ref="P251:T251"/>
    <mergeCell ref="P252:V252"/>
    <mergeCell ref="A252:O253"/>
    <mergeCell ref="P253:V253"/>
    <mergeCell ref="A254:Z254"/>
    <mergeCell ref="A255:Z255"/>
    <mergeCell ref="D256:E256"/>
    <mergeCell ref="P256:T256"/>
    <mergeCell ref="D257:E257"/>
    <mergeCell ref="P257:T257"/>
    <mergeCell ref="P258:V258"/>
    <mergeCell ref="A258:O259"/>
    <mergeCell ref="P259:V259"/>
    <mergeCell ref="A260:Z260"/>
    <mergeCell ref="D261:E261"/>
    <mergeCell ref="P261:T261"/>
    <mergeCell ref="D262:E262"/>
    <mergeCell ref="P262:T262"/>
    <mergeCell ref="P263:V263"/>
    <mergeCell ref="A263:O264"/>
    <mergeCell ref="P264:V264"/>
    <mergeCell ref="A265:Z265"/>
    <mergeCell ref="D266:E266"/>
    <mergeCell ref="P266:T266"/>
    <mergeCell ref="D267:E267"/>
    <mergeCell ref="P267:T267"/>
    <mergeCell ref="D268:E268"/>
    <mergeCell ref="P268:T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P274:V274"/>
    <mergeCell ref="A274:O275"/>
    <mergeCell ref="P275:V275"/>
    <mergeCell ref="A276:Z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88:E288"/>
    <mergeCell ref="P288:T288"/>
    <mergeCell ref="P289:V289"/>
    <mergeCell ref="A289:O290"/>
    <mergeCell ref="P290:V290"/>
    <mergeCell ref="A291:Z291"/>
    <mergeCell ref="D292:E292"/>
    <mergeCell ref="P292:T292"/>
    <mergeCell ref="D293:E293"/>
    <mergeCell ref="P293:T293"/>
    <mergeCell ref="P294:V294"/>
    <mergeCell ref="A294:O295"/>
    <mergeCell ref="P295:V295"/>
    <mergeCell ref="A296:Z296"/>
    <mergeCell ref="A297:Z297"/>
    <mergeCell ref="D298:E298"/>
    <mergeCell ref="P298:T298"/>
    <mergeCell ref="D299:E299"/>
    <mergeCell ref="P299:T299"/>
    <mergeCell ref="D300:E300"/>
    <mergeCell ref="P300:T300"/>
    <mergeCell ref="D301:E301"/>
    <mergeCell ref="P301:T301"/>
    <mergeCell ref="D302:E302"/>
    <mergeCell ref="P302:T302"/>
    <mergeCell ref="D303:E303"/>
    <mergeCell ref="P303:T303"/>
    <mergeCell ref="D304:E304"/>
    <mergeCell ref="P304:T304"/>
    <mergeCell ref="P305:V305"/>
    <mergeCell ref="A305:O306"/>
    <mergeCell ref="P306:V306"/>
    <mergeCell ref="A307:Z307"/>
    <mergeCell ref="D308:E308"/>
    <mergeCell ref="P308:T308"/>
    <mergeCell ref="P309:V309"/>
    <mergeCell ref="A309:O310"/>
    <mergeCell ref="P310:V310"/>
    <mergeCell ref="A311:Z311"/>
    <mergeCell ref="D312:E312"/>
    <mergeCell ref="P312:T312"/>
    <mergeCell ref="P313:V313"/>
    <mergeCell ref="A313:O314"/>
    <mergeCell ref="P314:V314"/>
    <mergeCell ref="A315:Z315"/>
    <mergeCell ref="D316:E316"/>
    <mergeCell ref="P316:T316"/>
    <mergeCell ref="P317:V317"/>
    <mergeCell ref="A317:O318"/>
    <mergeCell ref="P318:V318"/>
    <mergeCell ref="A319:Z319"/>
    <mergeCell ref="A320:Z320"/>
    <mergeCell ref="D321:E321"/>
    <mergeCell ref="P321:T321"/>
    <mergeCell ref="D322:E322"/>
    <mergeCell ref="P322:T322"/>
    <mergeCell ref="D323:E323"/>
    <mergeCell ref="P323:T323"/>
    <mergeCell ref="D324:E324"/>
    <mergeCell ref="P324:T324"/>
    <mergeCell ref="D325:E325"/>
    <mergeCell ref="P325:T325"/>
    <mergeCell ref="D326:E326"/>
    <mergeCell ref="P326:T326"/>
    <mergeCell ref="P327:V327"/>
    <mergeCell ref="A327:O328"/>
    <mergeCell ref="P328:V328"/>
    <mergeCell ref="A329:Z329"/>
    <mergeCell ref="A330:Z330"/>
    <mergeCell ref="D331:E331"/>
    <mergeCell ref="P331:T331"/>
    <mergeCell ref="D332:E332"/>
    <mergeCell ref="P332:T332"/>
    <mergeCell ref="D333:E333"/>
    <mergeCell ref="P333:T333"/>
    <mergeCell ref="P334:V334"/>
    <mergeCell ref="A334:O335"/>
    <mergeCell ref="P335:V335"/>
    <mergeCell ref="A336:Z336"/>
    <mergeCell ref="A337:Z337"/>
    <mergeCell ref="D338:E338"/>
    <mergeCell ref="P338:T338"/>
    <mergeCell ref="D339:E339"/>
    <mergeCell ref="P339:T339"/>
    <mergeCell ref="D340:E340"/>
    <mergeCell ref="P340:T340"/>
    <mergeCell ref="D341:E341"/>
    <mergeCell ref="P341:T341"/>
    <mergeCell ref="D342:E342"/>
    <mergeCell ref="P342:T342"/>
    <mergeCell ref="P343:V343"/>
    <mergeCell ref="A343:O344"/>
    <mergeCell ref="P344:V344"/>
    <mergeCell ref="A345:Z345"/>
    <mergeCell ref="D346:E346"/>
    <mergeCell ref="P346:T346"/>
    <mergeCell ref="D347:E347"/>
    <mergeCell ref="P347:T347"/>
    <mergeCell ref="P348:V348"/>
    <mergeCell ref="A348:O349"/>
    <mergeCell ref="P349:V349"/>
    <mergeCell ref="A350:Z350"/>
    <mergeCell ref="A351:Z351"/>
    <mergeCell ref="D352:E352"/>
    <mergeCell ref="P352:T352"/>
    <mergeCell ref="D353:E353"/>
    <mergeCell ref="P353:T353"/>
    <mergeCell ref="D354:E354"/>
    <mergeCell ref="P354:T354"/>
    <mergeCell ref="P355:V355"/>
    <mergeCell ref="A355:O356"/>
    <mergeCell ref="P356:V356"/>
    <mergeCell ref="A357:Z357"/>
    <mergeCell ref="A358:Z358"/>
    <mergeCell ref="D359:E359"/>
    <mergeCell ref="P359:T359"/>
    <mergeCell ref="D360:E360"/>
    <mergeCell ref="P360:T360"/>
    <mergeCell ref="D361:E361"/>
    <mergeCell ref="P361:T361"/>
    <mergeCell ref="D362:E362"/>
    <mergeCell ref="P362:T362"/>
    <mergeCell ref="D363:E363"/>
    <mergeCell ref="P363:T363"/>
    <mergeCell ref="D364:E364"/>
    <mergeCell ref="P364:T364"/>
    <mergeCell ref="D365:E365"/>
    <mergeCell ref="P365:T365"/>
    <mergeCell ref="P366:V366"/>
    <mergeCell ref="A366:O367"/>
    <mergeCell ref="P367:V367"/>
    <mergeCell ref="A368:Z368"/>
    <mergeCell ref="D369:E369"/>
    <mergeCell ref="P369:T369"/>
    <mergeCell ref="D370:E370"/>
    <mergeCell ref="P370:T370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P376:V376"/>
    <mergeCell ref="A376:O377"/>
    <mergeCell ref="P377:V377"/>
    <mergeCell ref="A378:Z378"/>
    <mergeCell ref="D379:E379"/>
    <mergeCell ref="P379:T379"/>
    <mergeCell ref="D380:E380"/>
    <mergeCell ref="P380:T380"/>
    <mergeCell ref="D381:E381"/>
    <mergeCell ref="P381:T381"/>
    <mergeCell ref="D382:E382"/>
    <mergeCell ref="P382:T382"/>
    <mergeCell ref="P383:V383"/>
    <mergeCell ref="A383:O384"/>
    <mergeCell ref="P384:V384"/>
    <mergeCell ref="A385:Z385"/>
    <mergeCell ref="D386:E386"/>
    <mergeCell ref="P386:T386"/>
    <mergeCell ref="D387:E387"/>
    <mergeCell ref="P387:T387"/>
    <mergeCell ref="D388:E388"/>
    <mergeCell ref="P388:T388"/>
    <mergeCell ref="P389:V389"/>
    <mergeCell ref="A389:O390"/>
    <mergeCell ref="P390:V390"/>
    <mergeCell ref="A391:Z391"/>
    <mergeCell ref="D392:E392"/>
    <mergeCell ref="P392:T392"/>
    <mergeCell ref="D393:E393"/>
    <mergeCell ref="P393:T393"/>
    <mergeCell ref="D394:E394"/>
    <mergeCell ref="P394:T394"/>
    <mergeCell ref="D395:E395"/>
    <mergeCell ref="P395:T395"/>
    <mergeCell ref="P396:V396"/>
    <mergeCell ref="A396:O397"/>
    <mergeCell ref="P397:V397"/>
    <mergeCell ref="A398:Z398"/>
    <mergeCell ref="D399:E399"/>
    <mergeCell ref="P399:T399"/>
    <mergeCell ref="D400:E400"/>
    <mergeCell ref="P400:T400"/>
    <mergeCell ref="D401:E401"/>
    <mergeCell ref="P401:T401"/>
    <mergeCell ref="P402:V402"/>
    <mergeCell ref="A402:O403"/>
    <mergeCell ref="P403:V403"/>
    <mergeCell ref="A404:Z404"/>
    <mergeCell ref="D405:E405"/>
    <mergeCell ref="P405:T405"/>
    <mergeCell ref="D406:E406"/>
    <mergeCell ref="P406:T406"/>
    <mergeCell ref="D407:E407"/>
    <mergeCell ref="P407:T407"/>
    <mergeCell ref="P408:V408"/>
    <mergeCell ref="A408:O409"/>
    <mergeCell ref="P409:V409"/>
    <mergeCell ref="A410:Z410"/>
    <mergeCell ref="A411:Z411"/>
    <mergeCell ref="D412:E412"/>
    <mergeCell ref="P412:T412"/>
    <mergeCell ref="D413:E413"/>
    <mergeCell ref="P413:T413"/>
    <mergeCell ref="P414:V414"/>
    <mergeCell ref="A414:O415"/>
    <mergeCell ref="P415:V415"/>
    <mergeCell ref="A416:Z416"/>
    <mergeCell ref="A417:Z417"/>
    <mergeCell ref="D418:E418"/>
    <mergeCell ref="P418:T418"/>
    <mergeCell ref="D419:E419"/>
    <mergeCell ref="P419:T419"/>
    <mergeCell ref="D420:E420"/>
    <mergeCell ref="P420:T420"/>
    <mergeCell ref="P421:V421"/>
    <mergeCell ref="A421:O422"/>
    <mergeCell ref="P422:V422"/>
    <mergeCell ref="A423:Z423"/>
    <mergeCell ref="A424:Z424"/>
    <mergeCell ref="A425:Z425"/>
    <mergeCell ref="D426:E426"/>
    <mergeCell ref="P426:T426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D431:E431"/>
    <mergeCell ref="P431:T431"/>
    <mergeCell ref="D432:E432"/>
    <mergeCell ref="P432:T432"/>
    <mergeCell ref="D433:E433"/>
    <mergeCell ref="P433:T433"/>
    <mergeCell ref="P434:V434"/>
    <mergeCell ref="A434:O435"/>
    <mergeCell ref="P435:V435"/>
    <mergeCell ref="A436:Z436"/>
    <mergeCell ref="D437:E437"/>
    <mergeCell ref="P437:T437"/>
    <mergeCell ref="D438:E438"/>
    <mergeCell ref="P438:T438"/>
    <mergeCell ref="D439:E439"/>
    <mergeCell ref="P439:T439"/>
    <mergeCell ref="P440:V440"/>
    <mergeCell ref="A440:O441"/>
    <mergeCell ref="P441:V441"/>
    <mergeCell ref="A442:Z442"/>
    <mergeCell ref="D443:E443"/>
    <mergeCell ref="P443:T443"/>
    <mergeCell ref="D444:E444"/>
    <mergeCell ref="P444:T444"/>
    <mergeCell ref="D445:E445"/>
    <mergeCell ref="P445:T445"/>
    <mergeCell ref="P446:V446"/>
    <mergeCell ref="A446:O447"/>
    <mergeCell ref="P447:V447"/>
    <mergeCell ref="A448:Z448"/>
    <mergeCell ref="D449:E449"/>
    <mergeCell ref="P449:T449"/>
    <mergeCell ref="D450:E450"/>
    <mergeCell ref="P450:T450"/>
    <mergeCell ref="P451:V451"/>
    <mergeCell ref="A451:O452"/>
    <mergeCell ref="P452:V452"/>
    <mergeCell ref="A453:Z453"/>
    <mergeCell ref="A454:Z454"/>
    <mergeCell ref="D455:E455"/>
    <mergeCell ref="P455:T455"/>
    <mergeCell ref="D456:E456"/>
    <mergeCell ref="P456:T456"/>
    <mergeCell ref="P457:V457"/>
    <mergeCell ref="A457:O458"/>
    <mergeCell ref="P458:V458"/>
    <mergeCell ref="A459:Z459"/>
    <mergeCell ref="D460:E460"/>
    <mergeCell ref="P460:T460"/>
    <mergeCell ref="P461:V461"/>
    <mergeCell ref="A461:O462"/>
    <mergeCell ref="P462:V462"/>
    <mergeCell ref="A463:Z463"/>
    <mergeCell ref="D464:E464"/>
    <mergeCell ref="P464:T464"/>
    <mergeCell ref="D465:E465"/>
    <mergeCell ref="P465:T465"/>
    <mergeCell ref="D466:E466"/>
    <mergeCell ref="P466:T466"/>
    <mergeCell ref="P467:V467"/>
    <mergeCell ref="A467:O468"/>
    <mergeCell ref="P468:V468"/>
    <mergeCell ref="A469:Z469"/>
    <mergeCell ref="A470:Z470"/>
    <mergeCell ref="A471:Z471"/>
    <mergeCell ref="D472:E472"/>
    <mergeCell ref="P472:T472"/>
    <mergeCell ref="D473:E473"/>
    <mergeCell ref="P473:T473"/>
    <mergeCell ref="D474:E474"/>
    <mergeCell ref="P474:T474"/>
    <mergeCell ref="D475:E475"/>
    <mergeCell ref="P475:T475"/>
    <mergeCell ref="D476:E476"/>
    <mergeCell ref="P476:T476"/>
    <mergeCell ref="D477:E477"/>
    <mergeCell ref="P477:T477"/>
    <mergeCell ref="P478:V478"/>
    <mergeCell ref="A478:O479"/>
    <mergeCell ref="P479:V479"/>
    <mergeCell ref="A480:Z480"/>
    <mergeCell ref="D481:E481"/>
    <mergeCell ref="P481:T481"/>
    <mergeCell ref="D482:E482"/>
    <mergeCell ref="P482:T482"/>
    <mergeCell ref="P483:V483"/>
    <mergeCell ref="A483:O484"/>
    <mergeCell ref="P484:V484"/>
    <mergeCell ref="A485:Z485"/>
    <mergeCell ref="A486:Z486"/>
    <mergeCell ref="D487:E487"/>
    <mergeCell ref="P487:T487"/>
    <mergeCell ref="P488:V488"/>
    <mergeCell ref="A488:O489"/>
    <mergeCell ref="P489:V489"/>
    <mergeCell ref="A490:Z490"/>
    <mergeCell ref="D491:E491"/>
    <mergeCell ref="P491:T491"/>
    <mergeCell ref="D492:E492"/>
    <mergeCell ref="P492:T492"/>
    <mergeCell ref="D493:E493"/>
    <mergeCell ref="P493:T493"/>
    <mergeCell ref="P494:V494"/>
    <mergeCell ref="A494:O495"/>
    <mergeCell ref="P495:V495"/>
    <mergeCell ref="A496:Z496"/>
    <mergeCell ref="A497:Z497"/>
    <mergeCell ref="A498:Z498"/>
    <mergeCell ref="D499:E499"/>
    <mergeCell ref="P499:T499"/>
    <mergeCell ref="D500:E500"/>
    <mergeCell ref="P500:T500"/>
    <mergeCell ref="D501:E501"/>
    <mergeCell ref="P501:T501"/>
    <mergeCell ref="D502:E502"/>
    <mergeCell ref="P502:T502"/>
    <mergeCell ref="D503:E503"/>
    <mergeCell ref="P503:T503"/>
    <mergeCell ref="D504:E504"/>
    <mergeCell ref="P504:T504"/>
    <mergeCell ref="D505:E505"/>
    <mergeCell ref="P505:T505"/>
    <mergeCell ref="D506:E506"/>
    <mergeCell ref="P506:T506"/>
    <mergeCell ref="D507:E507"/>
    <mergeCell ref="P507:T507"/>
    <mergeCell ref="P508:V508"/>
    <mergeCell ref="A508:O509"/>
    <mergeCell ref="P509:V509"/>
    <mergeCell ref="A510:Z510"/>
    <mergeCell ref="D511:E511"/>
    <mergeCell ref="P511:T511"/>
    <mergeCell ref="D512:E512"/>
    <mergeCell ref="P512:T512"/>
    <mergeCell ref="D513:E513"/>
    <mergeCell ref="P513:T513"/>
    <mergeCell ref="P514:V514"/>
    <mergeCell ref="A514:O515"/>
    <mergeCell ref="P515:V515"/>
    <mergeCell ref="A516:Z516"/>
    <mergeCell ref="D517:E517"/>
    <mergeCell ref="P517:T517"/>
    <mergeCell ref="D518:E518"/>
    <mergeCell ref="P518:T518"/>
    <mergeCell ref="D519:E519"/>
    <mergeCell ref="P519:T519"/>
    <mergeCell ref="D520:E520"/>
    <mergeCell ref="P520:T520"/>
    <mergeCell ref="D521:E521"/>
    <mergeCell ref="P521:T521"/>
    <mergeCell ref="D522:E522"/>
    <mergeCell ref="P522:T522"/>
    <mergeCell ref="D523:E523"/>
    <mergeCell ref="P523:T523"/>
    <mergeCell ref="P524:V524"/>
    <mergeCell ref="A524:O525"/>
    <mergeCell ref="P525:V525"/>
    <mergeCell ref="A526:Z526"/>
    <mergeCell ref="A527:Z527"/>
    <mergeCell ref="A528:Z528"/>
    <mergeCell ref="D529:E529"/>
    <mergeCell ref="P529:T529"/>
    <mergeCell ref="P530:V530"/>
    <mergeCell ref="A530:O531"/>
    <mergeCell ref="P531:V531"/>
    <mergeCell ref="A532:Z532"/>
    <mergeCell ref="D533:E533"/>
    <mergeCell ref="P533:T533"/>
    <mergeCell ref="P534:V534"/>
    <mergeCell ref="A534:O535"/>
    <mergeCell ref="P535:V535"/>
    <mergeCell ref="A536:Z536"/>
    <mergeCell ref="D537:E537"/>
    <mergeCell ref="P537:T537"/>
    <mergeCell ref="P538:V538"/>
    <mergeCell ref="A538:O539"/>
    <mergeCell ref="P539:V539"/>
    <mergeCell ref="A540:Z540"/>
    <mergeCell ref="D541:E541"/>
    <mergeCell ref="P541:T541"/>
    <mergeCell ref="P542:V542"/>
    <mergeCell ref="A542:O543"/>
    <mergeCell ref="P543:V543"/>
    <mergeCell ref="A544:Z544"/>
    <mergeCell ref="D545:E545"/>
    <mergeCell ref="P545:T545"/>
    <mergeCell ref="D546:E546"/>
    <mergeCell ref="P546:T546"/>
    <mergeCell ref="P547:V547"/>
    <mergeCell ref="A547:O548"/>
    <mergeCell ref="P548:V548"/>
    <mergeCell ref="A549:Z549"/>
    <mergeCell ref="A550:Z550"/>
    <mergeCell ref="D551:E551"/>
    <mergeCell ref="P551:T551"/>
    <mergeCell ref="P552:V552"/>
    <mergeCell ref="A552:O553"/>
    <mergeCell ref="P553:V553"/>
    <mergeCell ref="P554:V554"/>
    <mergeCell ref="A554:O559"/>
    <mergeCell ref="P555:V555"/>
    <mergeCell ref="P556:V556"/>
    <mergeCell ref="P557:V557"/>
    <mergeCell ref="P558:V558"/>
    <mergeCell ref="P559:V559"/>
    <mergeCell ref="D561:J561"/>
    <mergeCell ref="K561:V561"/>
    <mergeCell ref="W561:X561"/>
    <mergeCell ref="Y561:Z561"/>
    <mergeCell ref="AB561:AC561"/>
    <mergeCell ref="A562:A563"/>
    <mergeCell ref="B562:B563"/>
    <mergeCell ref="C562:C563"/>
    <mergeCell ref="D562:D563"/>
    <mergeCell ref="E562:E563"/>
    <mergeCell ref="F562:F563"/>
    <mergeCell ref="G562:G563"/>
    <mergeCell ref="H562:H563"/>
    <mergeCell ref="I562:I563"/>
    <mergeCell ref="J562:J563"/>
    <mergeCell ref="K562:K563"/>
    <mergeCell ref="L562:L563"/>
    <mergeCell ref="M562:M563"/>
    <mergeCell ref="O562:O563"/>
    <mergeCell ref="P562:P563"/>
    <mergeCell ref="Q562:Q563"/>
    <mergeCell ref="R562:R563"/>
    <mergeCell ref="S562:S563"/>
    <mergeCell ref="T562:T563"/>
    <mergeCell ref="U562:U563"/>
    <mergeCell ref="V562:V563"/>
    <mergeCell ref="W562:W563"/>
    <mergeCell ref="X562:X563"/>
    <mergeCell ref="Y562:Y563"/>
    <mergeCell ref="Z562:Z563"/>
    <mergeCell ref="AA562:AA563"/>
    <mergeCell ref="AB562:AB563"/>
    <mergeCell ref="AC562:AC563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873</v>
      </c>
      <c r="H1" s="9"/>
    </row>
    <row r="3" spans="2:8" x14ac:dyDescent="0.2">
      <c r="B3" s="53" t="s">
        <v>874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875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876</v>
      </c>
      <c r="C6" s="53" t="s">
        <v>877</v>
      </c>
      <c r="D6" s="53" t="s">
        <v>878</v>
      </c>
      <c r="E6" s="53" t="s">
        <v>46</v>
      </c>
    </row>
    <row r="7" spans="2:8" x14ac:dyDescent="0.2">
      <c r="B7" s="53" t="s">
        <v>879</v>
      </c>
      <c r="C7" s="53" t="s">
        <v>880</v>
      </c>
      <c r="D7" s="53" t="s">
        <v>881</v>
      </c>
      <c r="E7" s="53" t="s">
        <v>46</v>
      </c>
    </row>
    <row r="8" spans="2:8" x14ac:dyDescent="0.2">
      <c r="B8" s="53" t="s">
        <v>882</v>
      </c>
      <c r="C8" s="53" t="s">
        <v>883</v>
      </c>
      <c r="D8" s="53" t="s">
        <v>884</v>
      </c>
      <c r="E8" s="53" t="s">
        <v>46</v>
      </c>
    </row>
    <row r="10" spans="2:8" x14ac:dyDescent="0.2">
      <c r="B10" s="53" t="s">
        <v>885</v>
      </c>
      <c r="C10" s="53" t="s">
        <v>877</v>
      </c>
      <c r="D10" s="53" t="s">
        <v>46</v>
      </c>
      <c r="E10" s="53" t="s">
        <v>46</v>
      </c>
    </row>
    <row r="12" spans="2:8" x14ac:dyDescent="0.2">
      <c r="B12" s="53" t="s">
        <v>886</v>
      </c>
      <c r="C12" s="53" t="s">
        <v>880</v>
      </c>
      <c r="D12" s="53" t="s">
        <v>46</v>
      </c>
      <c r="E12" s="53" t="s">
        <v>46</v>
      </c>
    </row>
    <row r="14" spans="2:8" x14ac:dyDescent="0.2">
      <c r="B14" s="53" t="s">
        <v>887</v>
      </c>
      <c r="C14" s="53" t="s">
        <v>883</v>
      </c>
      <c r="D14" s="53" t="s">
        <v>46</v>
      </c>
      <c r="E14" s="53" t="s">
        <v>46</v>
      </c>
    </row>
    <row r="16" spans="2:8" x14ac:dyDescent="0.2">
      <c r="B16" s="53" t="s">
        <v>888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889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890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891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892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893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894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895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896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897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898</v>
      </c>
      <c r="C26" s="53" t="s">
        <v>46</v>
      </c>
      <c r="D26" s="53" t="s">
        <v>46</v>
      </c>
      <c r="E26" s="53" t="s">
        <v>46</v>
      </c>
    </row>
  </sheetData>
  <sheetProtection algorithmName="SHA-512" hashValue="1FyrRSmyrC/1K/D+fc5jkIQh1nVZqjP4AaFuXYnaKgr2TcSZLsX1JN2MHfeSO4K5+P0YBPO57ylrUpDDc4Ym3Q==" saltValue="WiSFyYiUDH+wnsfxSy0gA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1169</vt:i4>
      </vt:variant>
    </vt:vector>
  </HeadingPairs>
  <TitlesOfParts>
    <vt:vector size="117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2026-09-21T09:01:53Z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