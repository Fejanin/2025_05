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ED13192E-3998-4058-864F-3254A5408E6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Y91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Y76" i="2" l="1"/>
  <c r="Y384" i="2"/>
  <c r="H564" i="2"/>
  <c r="Z178" i="2"/>
  <c r="BN178" i="2"/>
  <c r="Z182" i="2"/>
  <c r="BN182" i="2"/>
  <c r="Z183" i="2"/>
  <c r="Z79" i="2"/>
  <c r="Z304" i="2"/>
  <c r="BN304" i="2"/>
  <c r="BP312" i="2"/>
  <c r="Z333" i="2"/>
  <c r="BN333" i="2"/>
  <c r="Z346" i="2"/>
  <c r="BN346" i="2"/>
  <c r="Z347" i="2"/>
  <c r="BN347" i="2"/>
  <c r="Y348" i="2"/>
  <c r="Y349" i="2"/>
  <c r="Z362" i="2"/>
  <c r="BN362" i="2"/>
  <c r="Z22" i="2"/>
  <c r="BN22" i="2"/>
  <c r="Y25" i="2"/>
  <c r="Z106" i="2"/>
  <c r="Z237" i="2"/>
  <c r="BN237" i="2"/>
  <c r="Z501" i="2"/>
  <c r="Z418" i="2"/>
  <c r="BN418" i="2"/>
  <c r="BP48" i="2"/>
  <c r="Z88" i="2"/>
  <c r="BN88" i="2"/>
  <c r="BP116" i="2"/>
  <c r="Z221" i="2"/>
  <c r="BN221" i="2"/>
  <c r="BP280" i="2"/>
  <c r="Z387" i="2"/>
  <c r="Z522" i="2"/>
  <c r="Z38" i="2"/>
  <c r="Z85" i="2"/>
  <c r="Z101" i="2"/>
  <c r="Z133" i="2"/>
  <c r="Z204" i="2"/>
  <c r="BP227" i="2"/>
  <c r="Z268" i="2"/>
  <c r="BP285" i="2"/>
  <c r="Z374" i="2"/>
  <c r="BN374" i="2"/>
  <c r="Z400" i="2"/>
  <c r="BN400" i="2"/>
  <c r="Z450" i="2"/>
  <c r="BN450" i="2"/>
  <c r="Y451" i="2"/>
  <c r="Y452" i="2"/>
  <c r="Z477" i="2"/>
  <c r="BN477" i="2"/>
  <c r="BP517" i="2"/>
  <c r="Y543" i="2"/>
  <c r="BP41" i="2"/>
  <c r="Z58" i="2"/>
  <c r="Y69" i="2"/>
  <c r="Z78" i="2"/>
  <c r="BN79" i="2"/>
  <c r="Z86" i="2"/>
  <c r="BN86" i="2"/>
  <c r="Z107" i="2"/>
  <c r="BN107" i="2"/>
  <c r="Y118" i="2"/>
  <c r="BP114" i="2"/>
  <c r="Z121" i="2"/>
  <c r="BN121" i="2"/>
  <c r="Z168" i="2"/>
  <c r="Z170" i="2" s="1"/>
  <c r="Z189" i="2"/>
  <c r="Z217" i="2"/>
  <c r="BN217" i="2"/>
  <c r="Z218" i="2"/>
  <c r="BP224" i="2"/>
  <c r="BP229" i="2"/>
  <c r="Z247" i="2"/>
  <c r="BN247" i="2"/>
  <c r="Z251" i="2"/>
  <c r="Z252" i="2" s="1"/>
  <c r="BN251" i="2"/>
  <c r="BP251" i="2"/>
  <c r="Y252" i="2"/>
  <c r="Y264" i="2"/>
  <c r="Y275" i="2"/>
  <c r="BP282" i="2"/>
  <c r="Z287" i="2"/>
  <c r="Z316" i="2"/>
  <c r="Z317" i="2" s="1"/>
  <c r="BN316" i="2"/>
  <c r="Y318" i="2"/>
  <c r="Z322" i="2"/>
  <c r="BN322" i="2"/>
  <c r="Z323" i="2"/>
  <c r="BN323" i="2"/>
  <c r="Z370" i="2"/>
  <c r="BN370" i="2"/>
  <c r="Z382" i="2"/>
  <c r="BN382" i="2"/>
  <c r="Z393" i="2"/>
  <c r="BN393" i="2"/>
  <c r="Z394" i="2"/>
  <c r="BN394" i="2"/>
  <c r="Z439" i="2"/>
  <c r="BN439" i="2"/>
  <c r="BP443" i="2"/>
  <c r="Z465" i="2"/>
  <c r="BN465" i="2"/>
  <c r="Z475" i="2"/>
  <c r="BN475" i="2"/>
  <c r="Z487" i="2"/>
  <c r="Z488" i="2" s="1"/>
  <c r="Z520" i="2"/>
  <c r="BP529" i="2"/>
  <c r="Y75" i="2"/>
  <c r="Z533" i="2"/>
  <c r="Z534" i="2" s="1"/>
  <c r="BN533" i="2"/>
  <c r="BN23" i="2"/>
  <c r="BP23" i="2"/>
  <c r="Y24" i="2"/>
  <c r="BN28" i="2"/>
  <c r="BP28" i="2"/>
  <c r="BP29" i="2"/>
  <c r="Y52" i="2"/>
  <c r="BN59" i="2"/>
  <c r="BP59" i="2"/>
  <c r="BP60" i="2"/>
  <c r="BP67" i="2"/>
  <c r="BN68" i="2"/>
  <c r="Y81" i="2"/>
  <c r="BN103" i="2"/>
  <c r="BP103" i="2"/>
  <c r="BN105" i="2"/>
  <c r="BN123" i="2"/>
  <c r="BP123" i="2"/>
  <c r="BP127" i="2"/>
  <c r="BP137" i="2"/>
  <c r="BP149" i="2"/>
  <c r="BP163" i="2"/>
  <c r="Y21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564" i="2"/>
  <c r="X555" i="2"/>
  <c r="X556" i="2"/>
  <c r="X554" i="2"/>
  <c r="Y32" i="2"/>
  <c r="Z29" i="2"/>
  <c r="Z31" i="2"/>
  <c r="Y42" i="2"/>
  <c r="BP40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348" i="2" l="1"/>
  <c r="Z547" i="2"/>
  <c r="Z457" i="2"/>
  <c r="Z191" i="2"/>
  <c r="Z24" i="2"/>
  <c r="Z81" i="2"/>
  <c r="Z451" i="2"/>
  <c r="Z32" i="2"/>
  <c r="Z414" i="2"/>
  <c r="X557" i="2"/>
  <c r="Z396" i="2"/>
  <c r="Z334" i="2"/>
  <c r="Z467" i="2"/>
  <c r="Z294" i="2"/>
  <c r="Z165" i="2"/>
  <c r="Z139" i="2"/>
  <c r="Z207" i="2"/>
  <c r="Z134" i="2"/>
  <c r="Y554" i="2"/>
  <c r="Z274" i="2"/>
  <c r="Z242" i="2"/>
  <c r="Z90" i="2"/>
  <c r="Z62" i="2"/>
  <c r="Z408" i="2"/>
  <c r="Z124" i="2"/>
  <c r="Z117" i="2"/>
  <c r="Z69" i="2"/>
  <c r="Z514" i="2"/>
  <c r="Z434" i="2"/>
  <c r="Z230" i="2"/>
  <c r="Y556" i="2"/>
  <c r="Z51" i="2"/>
  <c r="Z42" i="2"/>
  <c r="Y555" i="2"/>
  <c r="Z75" i="2"/>
  <c r="Z154" i="2"/>
  <c r="Z494" i="2"/>
  <c r="Z109" i="2"/>
  <c r="Z327" i="2"/>
  <c r="Y558" i="2"/>
  <c r="Z483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Y557" i="2" l="1"/>
  <c r="Z559" i="2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<sst xmlns="http://schemas.openxmlformats.org/spreadsheetml/2006/main" count="4265" uniqueCount="899">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</sst>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X560" sqref="X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80</v>
      </c>
      <c r="Y47" s="55">
        <f>IFERROR(IF(X47="",0,CEILING((X47/$H47),1)*$H47),"")</f>
        <v>86.4</v>
      </c>
      <c r="Z47" s="41">
        <f>IFERROR(IF(Y47=0,"",ROUNDUP(Y47/H47,0)*0.01898),"")</f>
        <v>0.15184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83.037037037037038</v>
      </c>
      <c r="BN47" s="78">
        <f>IFERROR(Y47*I47/H47,"0")</f>
        <v>89.68</v>
      </c>
      <c r="BO47" s="78">
        <f>IFERROR(1/J47*(X47/H47),"0")</f>
        <v>0.11574074074074073</v>
      </c>
      <c r="BP47" s="78">
        <f>IFERROR(1/J47*(Y47/H47),"0")</f>
        <v>0.125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14</v>
      </c>
      <c r="Y49" s="55">
        <f>IFERROR(IF(X49="",0,CEILING((X49/$H49),1)*$H49),"")</f>
        <v>16</v>
      </c>
      <c r="Z49" s="41">
        <f>IFERROR(IF(Y49=0,"",ROUNDUP(Y49/H49,0)*0.00902),"")</f>
        <v>3.6080000000000001E-2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14.665000000000001</v>
      </c>
      <c r="BN49" s="78">
        <f>IFERROR(Y49*I49/H49,"0")</f>
        <v>16.760000000000002</v>
      </c>
      <c r="BO49" s="78">
        <f>IFERROR(1/J49*(X49/H49),"0")</f>
        <v>2.6515151515151516E-2</v>
      </c>
      <c r="BP49" s="78">
        <f>IFERROR(1/J49*(Y49/H49),"0")</f>
        <v>3.0303030303030304E-2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10.907407407407407</v>
      </c>
      <c r="Y51" s="43">
        <f>IFERROR(Y47/H47,"0")+IFERROR(Y48/H48,"0")+IFERROR(Y49/H49,"0")+IFERROR(Y50/H50,"0")</f>
        <v>12</v>
      </c>
      <c r="Z51" s="43">
        <f>IFERROR(IF(Z47="",0,Z47),"0")+IFERROR(IF(Z48="",0,Z48),"0")+IFERROR(IF(Z49="",0,Z49),"0")+IFERROR(IF(Z50="",0,Z50),"0")</f>
        <v>0.18792</v>
      </c>
      <c r="AA51" s="67"/>
      <c r="AB51" s="67"/>
      <c r="AC51" s="67"/>
    </row>
    <row r="52" spans="1:68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94</v>
      </c>
      <c r="Y52" s="43">
        <f>IFERROR(SUM(Y47:Y50),"0")</f>
        <v>102.4</v>
      </c>
      <c r="Z52" s="42"/>
      <c r="AA52" s="67"/>
      <c r="AB52" s="67"/>
      <c r="AC52" s="67"/>
    </row>
    <row r="53" spans="1:68" ht="16.5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20</v>
      </c>
      <c r="Y55" s="55">
        <f t="shared" ref="Y55:Y61" si="0">IFERROR(IF(X55="",0,CEILING((X55/$H55),1)*$H55),"")</f>
        <v>22.4</v>
      </c>
      <c r="Z55" s="41">
        <f>IFERROR(IF(Y55=0,"",ROUNDUP(Y55/H55,0)*0.01898),"")</f>
        <v>3.7960000000000001E-2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20.732142857142858</v>
      </c>
      <c r="BN55" s="78">
        <f t="shared" ref="BN55:BN61" si="2">IFERROR(Y55*I55/H55,"0")</f>
        <v>23.22</v>
      </c>
      <c r="BO55" s="78">
        <f t="shared" ref="BO55:BO61" si="3">IFERROR(1/J55*(X55/H55),"0")</f>
        <v>2.7901785714285716E-2</v>
      </c>
      <c r="BP55" s="78">
        <f t="shared" ref="BP55:BP61" si="4">IFERROR(1/J55*(Y55/H55),"0")</f>
        <v>3.125E-2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580</v>
      </c>
      <c r="Y56" s="55">
        <f t="shared" si="0"/>
        <v>583.20000000000005</v>
      </c>
      <c r="Z56" s="41">
        <f>IFERROR(IF(Y56=0,"",ROUNDUP(Y56/H56,0)*0.01898),"")</f>
        <v>1.0249200000000001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602.01851851851848</v>
      </c>
      <c r="BN56" s="78">
        <f t="shared" si="2"/>
        <v>605.34000000000015</v>
      </c>
      <c r="BO56" s="78">
        <f t="shared" si="3"/>
        <v>0.83912037037037035</v>
      </c>
      <c r="BP56" s="78">
        <f t="shared" si="4"/>
        <v>0.84375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112.5</v>
      </c>
      <c r="Y61" s="55">
        <f t="shared" si="0"/>
        <v>112.5</v>
      </c>
      <c r="Z61" s="41">
        <f>IFERROR(IF(Y61=0,"",ROUNDUP(Y61/H61,0)*0.00902),"")</f>
        <v>0.22550000000000001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117.25</v>
      </c>
      <c r="BN61" s="78">
        <f t="shared" si="2"/>
        <v>117.25</v>
      </c>
      <c r="BO61" s="78">
        <f t="shared" si="3"/>
        <v>0.18939393939393939</v>
      </c>
      <c r="BP61" s="78">
        <f t="shared" si="4"/>
        <v>0.18939393939393939</v>
      </c>
    </row>
    <row r="62" spans="1:68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80.489417989417987</v>
      </c>
      <c r="Y62" s="43">
        <f>IFERROR(Y55/H55,"0")+IFERROR(Y56/H56,"0")+IFERROR(Y57/H57,"0")+IFERROR(Y58/H58,"0")+IFERROR(Y59/H59,"0")+IFERROR(Y60/H60,"0")+IFERROR(Y61/H61,"0")</f>
        <v>81</v>
      </c>
      <c r="Z62" s="43">
        <f>IFERROR(IF(Z55="",0,Z55),"0")+IFERROR(IF(Z56="",0,Z56),"0")+IFERROR(IF(Z57="",0,Z57),"0")+IFERROR(IF(Z58="",0,Z58),"0")+IFERROR(IF(Z59="",0,Z59),"0")+IFERROR(IF(Z60="",0,Z60),"0")+IFERROR(IF(Z61="",0,Z61),"0")</f>
        <v>1.2883800000000001</v>
      </c>
      <c r="AA62" s="67"/>
      <c r="AB62" s="67"/>
      <c r="AC62" s="67"/>
    </row>
    <row r="63" spans="1:68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712.5</v>
      </c>
      <c r="Y63" s="43">
        <f>IFERROR(SUM(Y55:Y61),"0")</f>
        <v>718.1</v>
      </c>
      <c r="Z63" s="42"/>
      <c r="AA63" s="67"/>
      <c r="AB63" s="67"/>
      <c r="AC63" s="67"/>
    </row>
    <row r="64" spans="1:68" ht="14.25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620</v>
      </c>
      <c r="Y65" s="55">
        <f>IFERROR(IF(X65="",0,CEILING((X65/$H65),1)*$H65),"")</f>
        <v>626.40000000000009</v>
      </c>
      <c r="Z65" s="41">
        <f>IFERROR(IF(Y65=0,"",ROUNDUP(Y65/H65,0)*0.01898),"")</f>
        <v>1.10084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643.53703703703707</v>
      </c>
      <c r="BN65" s="78">
        <f>IFERROR(Y65*I65/H65,"0")</f>
        <v>650.18000000000006</v>
      </c>
      <c r="BO65" s="78">
        <f>IFERROR(1/J65*(X65/H65),"0")</f>
        <v>0.8969907407407407</v>
      </c>
      <c r="BP65" s="78">
        <f>IFERROR(1/J65*(Y65/H65),"0")</f>
        <v>0.90625000000000011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90.740740740740733</v>
      </c>
      <c r="Y69" s="43">
        <f>IFERROR(Y65/H65,"0")+IFERROR(Y66/H66,"0")+IFERROR(Y67/H67,"0")+IFERROR(Y68/H68,"0")</f>
        <v>92</v>
      </c>
      <c r="Z69" s="43">
        <f>IFERROR(IF(Z65="",0,Z65),"0")+IFERROR(IF(Z66="",0,Z66),"0")+IFERROR(IF(Z67="",0,Z67),"0")+IFERROR(IF(Z68="",0,Z68),"0")</f>
        <v>1.3221800000000001</v>
      </c>
      <c r="AA69" s="67"/>
      <c r="AB69" s="67"/>
      <c r="AC69" s="67"/>
    </row>
    <row r="70" spans="1:68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710</v>
      </c>
      <c r="Y70" s="43">
        <f>IFERROR(SUM(Y65:Y68),"0")</f>
        <v>718.2</v>
      </c>
      <c r="Z70" s="42"/>
      <c r="AA70" s="67"/>
      <c r="AB70" s="67"/>
      <c r="AC70" s="67"/>
    </row>
    <row r="71" spans="1:68" ht="14.25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1.8</v>
      </c>
      <c r="Y73" s="55">
        <f>IFERROR(IF(X73="",0,CEILING((X73/$H73),1)*$H73),"")</f>
        <v>1.8</v>
      </c>
      <c r="Z73" s="41">
        <f>IFERROR(IF(Y73=0,"",ROUNDUP(Y73/H73,0)*0.00651),"")</f>
        <v>6.5100000000000002E-3</v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1.98</v>
      </c>
      <c r="BN73" s="78">
        <f>IFERROR(Y73*I73/H73,"0")</f>
        <v>1.98</v>
      </c>
      <c r="BO73" s="78">
        <f>IFERROR(1/J73*(X73/H73),"0")</f>
        <v>5.4945054945054949E-3</v>
      </c>
      <c r="BP73" s="78">
        <f>IFERROR(1/J73*(Y73/H73),"0")</f>
        <v>5.4945054945054949E-3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1</v>
      </c>
      <c r="Y75" s="43">
        <f>IFERROR(Y72/H72,"0")+IFERROR(Y73/H73,"0")+IFERROR(Y74/H74,"0")</f>
        <v>1</v>
      </c>
      <c r="Z75" s="43">
        <f>IFERROR(IF(Z72="",0,Z72),"0")+IFERROR(IF(Z73="",0,Z73),"0")+IFERROR(IF(Z74="",0,Z74),"0")</f>
        <v>6.5100000000000002E-3</v>
      </c>
      <c r="AA75" s="67"/>
      <c r="AB75" s="67"/>
      <c r="AC75" s="67"/>
    </row>
    <row r="76" spans="1:68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1.8</v>
      </c>
      <c r="Y76" s="43">
        <f>IFERROR(SUM(Y72:Y74),"0")</f>
        <v>1.8</v>
      </c>
      <c r="Z76" s="42"/>
      <c r="AA76" s="67"/>
      <c r="AB76" s="67"/>
      <c r="AC76" s="67"/>
    </row>
    <row r="77" spans="1:68" ht="14.25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70</v>
      </c>
      <c r="Y85" s="55">
        <f>IFERROR(IF(X85="",0,CEILING((X85/$H85),1)*$H85),"")</f>
        <v>75.600000000000009</v>
      </c>
      <c r="Z85" s="41">
        <f>IFERROR(IF(Y85=0,"",ROUNDUP(Y85/H85,0)*0.01898),"")</f>
        <v>0.13286000000000001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72.657407407407405</v>
      </c>
      <c r="BN85" s="78">
        <f>IFERROR(Y85*I85/H85,"0")</f>
        <v>78.47</v>
      </c>
      <c r="BO85" s="78">
        <f>IFERROR(1/J85*(X85/H85),"0")</f>
        <v>0.10127314814814814</v>
      </c>
      <c r="BP85" s="78">
        <f>IFERROR(1/J85*(Y85/H85),"0")</f>
        <v>0.109375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9</v>
      </c>
      <c r="Y89" s="55">
        <f>IFERROR(IF(X89="",0,CEILING((X89/$H89),1)*$H89),"")</f>
        <v>9</v>
      </c>
      <c r="Z89" s="41">
        <f>IFERROR(IF(Y89=0,"",ROUNDUP(Y89/H89,0)*0.00902),"")</f>
        <v>1.804E-2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9.3800000000000008</v>
      </c>
      <c r="BN89" s="78">
        <f>IFERROR(Y89*I89/H89,"0")</f>
        <v>9.3800000000000008</v>
      </c>
      <c r="BO89" s="78">
        <f>IFERROR(1/J89*(X89/H89),"0")</f>
        <v>1.5151515151515152E-2</v>
      </c>
      <c r="BP89" s="78">
        <f>IFERROR(1/J89*(Y89/H89),"0")</f>
        <v>1.5151515151515152E-2</v>
      </c>
    </row>
    <row r="90" spans="1:68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8.481481481481481</v>
      </c>
      <c r="Y90" s="43">
        <f>IFERROR(Y85/H85,"0")+IFERROR(Y86/H86,"0")+IFERROR(Y87/H87,"0")+IFERROR(Y88/H88,"0")+IFERROR(Y89/H89,"0")</f>
        <v>9</v>
      </c>
      <c r="Z90" s="43">
        <f>IFERROR(IF(Z85="",0,Z85),"0")+IFERROR(IF(Z86="",0,Z86),"0")+IFERROR(IF(Z87="",0,Z87),"0")+IFERROR(IF(Z88="",0,Z88),"0")+IFERROR(IF(Z89="",0,Z89),"0")</f>
        <v>0.15090000000000001</v>
      </c>
      <c r="AA90" s="67"/>
      <c r="AB90" s="67"/>
      <c r="AC90" s="67"/>
    </row>
    <row r="91" spans="1:68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79</v>
      </c>
      <c r="Y91" s="43">
        <f>IFERROR(SUM(Y85:Y89),"0")</f>
        <v>84.600000000000009</v>
      </c>
      <c r="Z91" s="42"/>
      <c r="AA91" s="67"/>
      <c r="AB91" s="67"/>
      <c r="AC91" s="67"/>
    </row>
    <row r="92" spans="1:68" ht="14.25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140</v>
      </c>
      <c r="Y93" s="55">
        <f>IFERROR(IF(X93="",0,CEILING((X93/$H93),1)*$H93),"")</f>
        <v>145.79999999999998</v>
      </c>
      <c r="Z93" s="41">
        <f>IFERROR(IF(Y93=0,"",ROUNDUP(Y93/H93,0)*0.01898),"")</f>
        <v>0.34164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148.53827160493827</v>
      </c>
      <c r="BN93" s="78">
        <f>IFERROR(Y93*I93/H93,"0")</f>
        <v>154.69199999999998</v>
      </c>
      <c r="BO93" s="78">
        <f>IFERROR(1/J93*(X93/H93),"0")</f>
        <v>0.27006172839506176</v>
      </c>
      <c r="BP93" s="78">
        <f>IFERROR(1/J93*(Y93/H93),"0")</f>
        <v>0.28125</v>
      </c>
    </row>
    <row r="94" spans="1:68" ht="27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9</v>
      </c>
      <c r="Y95" s="55">
        <f>IFERROR(IF(X95="",0,CEILING((X95/$H95),1)*$H95),"")</f>
        <v>10.8</v>
      </c>
      <c r="Z95" s="41">
        <f>IFERROR(IF(Y95=0,"",ROUNDUP(Y95/H95,0)*0.00651),"")</f>
        <v>2.6040000000000001E-2</v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9.8399999999999981</v>
      </c>
      <c r="BN95" s="78">
        <f>IFERROR(Y95*I95/H95,"0")</f>
        <v>11.808</v>
      </c>
      <c r="BO95" s="78">
        <f>IFERROR(1/J95*(X95/H95),"0")</f>
        <v>1.8315018315018316E-2</v>
      </c>
      <c r="BP95" s="78">
        <f>IFERROR(1/J95*(Y95/H95),"0")</f>
        <v>2.197802197802198E-2</v>
      </c>
    </row>
    <row r="96" spans="1:68" ht="16.5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20.617283950617285</v>
      </c>
      <c r="Y97" s="43">
        <f>IFERROR(Y93/H93,"0")+IFERROR(Y94/H94,"0")+IFERROR(Y95/H95,"0")+IFERROR(Y96/H96,"0")</f>
        <v>22</v>
      </c>
      <c r="Z97" s="43">
        <f>IFERROR(IF(Z93="",0,Z93),"0")+IFERROR(IF(Z94="",0,Z94),"0")+IFERROR(IF(Z95="",0,Z95),"0")+IFERROR(IF(Z96="",0,Z96),"0")</f>
        <v>0.36768000000000001</v>
      </c>
      <c r="AA97" s="67"/>
      <c r="AB97" s="67"/>
      <c r="AC97" s="67"/>
    </row>
    <row r="98" spans="1:68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149</v>
      </c>
      <c r="Y98" s="43">
        <f>IFERROR(SUM(Y93:Y96),"0")</f>
        <v>156.6</v>
      </c>
      <c r="Z98" s="42"/>
      <c r="AA98" s="67"/>
      <c r="AB98" s="67"/>
      <c r="AC98" s="67"/>
    </row>
    <row r="99" spans="1:68" ht="16.5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7.5</v>
      </c>
      <c r="Y104" s="55">
        <f t="shared" si="5"/>
        <v>7.5</v>
      </c>
      <c r="Z104" s="41">
        <f>IFERROR(IF(Y104=0,"",ROUNDUP(Y104/H104,0)*0.00902),"")</f>
        <v>1.804E-2</v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7.88</v>
      </c>
      <c r="BN104" s="78">
        <f t="shared" si="7"/>
        <v>7.88</v>
      </c>
      <c r="BO104" s="78">
        <f t="shared" si="8"/>
        <v>1.5151515151515152E-2</v>
      </c>
      <c r="BP104" s="78">
        <f t="shared" si="9"/>
        <v>1.5151515151515152E-2</v>
      </c>
    </row>
    <row r="105" spans="1:68" ht="27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2</v>
      </c>
      <c r="Y109" s="43">
        <f>IFERROR(Y101/H101,"0")+IFERROR(Y102/H102,"0")+IFERROR(Y103/H103,"0")+IFERROR(Y104/H104,"0")+IFERROR(Y105/H105,"0")+IFERROR(Y106/H106,"0")+IFERROR(Y107/H107,"0")+IFERROR(Y108/H108,"0")</f>
        <v>2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1.804E-2</v>
      </c>
      <c r="AA109" s="67"/>
      <c r="AB109" s="67"/>
      <c r="AC109" s="67"/>
    </row>
    <row r="110" spans="1:68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7.5</v>
      </c>
      <c r="Y110" s="43">
        <f>IFERROR(SUM(Y101:Y108),"0")</f>
        <v>7.5</v>
      </c>
      <c r="Z110" s="42"/>
      <c r="AA110" s="67"/>
      <c r="AB110" s="67"/>
      <c r="AC110" s="67"/>
    </row>
    <row r="111" spans="1:68" ht="14.25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70</v>
      </c>
      <c r="Y120" s="55">
        <f>IFERROR(IF(X120="",0,CEILING((X120/$H120),1)*$H120),"")</f>
        <v>72.899999999999991</v>
      </c>
      <c r="Z120" s="41">
        <f>IFERROR(IF(Y120=0,"",ROUNDUP(Y120/H120,0)*0.01898),"")</f>
        <v>0.17082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74.217283950617286</v>
      </c>
      <c r="BN120" s="78">
        <f>IFERROR(Y120*I120/H120,"0")</f>
        <v>77.291999999999987</v>
      </c>
      <c r="BO120" s="78">
        <f>IFERROR(1/J120*(X120/H120),"0")</f>
        <v>0.13503086419753088</v>
      </c>
      <c r="BP120" s="78">
        <f>IFERROR(1/J120*(Y120/H120),"0")</f>
        <v>0.140625</v>
      </c>
    </row>
    <row r="121" spans="1:68" ht="27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18</v>
      </c>
      <c r="Y122" s="55">
        <f>IFERROR(IF(X122="",0,CEILING((X122/$H122),1)*$H122),"")</f>
        <v>18.900000000000002</v>
      </c>
      <c r="Z122" s="41">
        <f>IFERROR(IF(Y122=0,"",ROUNDUP(Y122/H122,0)*0.00651),"")</f>
        <v>4.5569999999999999E-2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19.679999999999996</v>
      </c>
      <c r="BN122" s="78">
        <f>IFERROR(Y122*I122/H122,"0")</f>
        <v>20.664000000000001</v>
      </c>
      <c r="BO122" s="78">
        <f>IFERROR(1/J122*(X122/H122),"0")</f>
        <v>3.6630036630036632E-2</v>
      </c>
      <c r="BP122" s="78">
        <f>IFERROR(1/J122*(Y122/H122),"0")</f>
        <v>3.8461538461538464E-2</v>
      </c>
    </row>
    <row r="123" spans="1:68" ht="16.5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15.308641975308642</v>
      </c>
      <c r="Y124" s="43">
        <f>IFERROR(Y120/H120,"0")+IFERROR(Y121/H121,"0")+IFERROR(Y122/H122,"0")+IFERROR(Y123/H123,"0")</f>
        <v>16</v>
      </c>
      <c r="Z124" s="43">
        <f>IFERROR(IF(Z120="",0,Z120),"0")+IFERROR(IF(Z121="",0,Z121),"0")+IFERROR(IF(Z122="",0,Z122),"0")+IFERROR(IF(Z123="",0,Z123),"0")</f>
        <v>0.21639</v>
      </c>
      <c r="AA124" s="67"/>
      <c r="AB124" s="67"/>
      <c r="AC124" s="67"/>
    </row>
    <row r="125" spans="1:68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88</v>
      </c>
      <c r="Y125" s="43">
        <f>IFERROR(SUM(Y120:Y123),"0")</f>
        <v>91.8</v>
      </c>
      <c r="Z125" s="42"/>
      <c r="AA125" s="67"/>
      <c r="AB125" s="67"/>
      <c r="AC125" s="67"/>
    </row>
    <row r="126" spans="1:68" ht="14.25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24.8</v>
      </c>
      <c r="Y132" s="55">
        <f>IFERROR(IF(X132="",0,CEILING((X132/$H132),1)*$H132),"")</f>
        <v>25.6</v>
      </c>
      <c r="Z132" s="41">
        <f>IFERROR(IF(Y132=0,"",ROUNDUP(Y132/H132,0)*0.00651),"")</f>
        <v>5.2080000000000001E-2</v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26.194999999999997</v>
      </c>
      <c r="BN132" s="78">
        <f>IFERROR(Y132*I132/H132,"0")</f>
        <v>27.04</v>
      </c>
      <c r="BO132" s="78">
        <f>IFERROR(1/J132*(X132/H132),"0")</f>
        <v>4.2582417582417584E-2</v>
      </c>
      <c r="BP132" s="78">
        <f>IFERROR(1/J132*(Y132/H132),"0")</f>
        <v>4.3956043956043959E-2</v>
      </c>
    </row>
    <row r="133" spans="1:68" ht="27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7.75</v>
      </c>
      <c r="Y134" s="43">
        <f>IFERROR(Y132/H132,"0")+IFERROR(Y133/H133,"0")</f>
        <v>8</v>
      </c>
      <c r="Z134" s="43">
        <f>IFERROR(IF(Z132="",0,Z132),"0")+IFERROR(IF(Z133="",0,Z133),"0")</f>
        <v>5.2080000000000001E-2</v>
      </c>
      <c r="AA134" s="67"/>
      <c r="AB134" s="67"/>
      <c r="AC134" s="67"/>
    </row>
    <row r="135" spans="1:68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24.8</v>
      </c>
      <c r="Y135" s="43">
        <f>IFERROR(SUM(Y132:Y133),"0")</f>
        <v>25.6</v>
      </c>
      <c r="Z135" s="42"/>
      <c r="AA135" s="67"/>
      <c r="AB135" s="67"/>
      <c r="AC135" s="67"/>
    </row>
    <row r="136" spans="1:68" ht="14.25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17.5</v>
      </c>
      <c r="Y137" s="55">
        <f>IFERROR(IF(X137="",0,CEILING((X137/$H137),1)*$H137),"")</f>
        <v>19.599999999999998</v>
      </c>
      <c r="Z137" s="41">
        <f>IFERROR(IF(Y137=0,"",ROUNDUP(Y137/H137,0)*0.00651),"")</f>
        <v>4.5569999999999999E-2</v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19.175000000000001</v>
      </c>
      <c r="BN137" s="78">
        <f>IFERROR(Y137*I137/H137,"0")</f>
        <v>21.475999999999999</v>
      </c>
      <c r="BO137" s="78">
        <f>IFERROR(1/J137*(X137/H137),"0")</f>
        <v>3.4340659340659344E-2</v>
      </c>
      <c r="BP137" s="78">
        <f>IFERROR(1/J137*(Y137/H137),"0")</f>
        <v>3.8461538461538464E-2</v>
      </c>
    </row>
    <row r="138" spans="1:68" ht="27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6.25</v>
      </c>
      <c r="Y139" s="43">
        <f>IFERROR(Y137/H137,"0")+IFERROR(Y138/H138,"0")</f>
        <v>7</v>
      </c>
      <c r="Z139" s="43">
        <f>IFERROR(IF(Z137="",0,Z137),"0")+IFERROR(IF(Z138="",0,Z138),"0")</f>
        <v>4.5569999999999999E-2</v>
      </c>
      <c r="AA139" s="67"/>
      <c r="AB139" s="67"/>
      <c r="AC139" s="67"/>
    </row>
    <row r="140" spans="1:68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17.5</v>
      </c>
      <c r="Y140" s="43">
        <f>IFERROR(SUM(Y137:Y138),"0")</f>
        <v>19.599999999999998</v>
      </c>
      <c r="Z140" s="42"/>
      <c r="AA140" s="67"/>
      <c r="AB140" s="67"/>
      <c r="AC140" s="67"/>
    </row>
    <row r="141" spans="1:68" ht="14.25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60</v>
      </c>
      <c r="Y173" s="55">
        <f t="shared" ref="Y173:Y184" si="16">IFERROR(IF(X173="",0,CEILING((X173/$H173),1)*$H173),"")</f>
        <v>63</v>
      </c>
      <c r="Z173" s="41">
        <f>IFERROR(IF(Y173=0,"",ROUNDUP(Y173/H173,0)*0.00902),"")</f>
        <v>0.16236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63.25714285714286</v>
      </c>
      <c r="BN173" s="78">
        <f t="shared" ref="BN173:BN184" si="18">IFERROR(Y173*I173/H173,"0")</f>
        <v>66.42</v>
      </c>
      <c r="BO173" s="78">
        <f t="shared" ref="BO173:BO184" si="19">IFERROR(1/J173*(X173/H173),"0")</f>
        <v>0.12987012987012986</v>
      </c>
      <c r="BP173" s="78">
        <f t="shared" ref="BP173:BP184" si="20">IFERROR(1/J173*(Y173/H173),"0")</f>
        <v>0.13636363636363635</v>
      </c>
    </row>
    <row r="174" spans="1:68" ht="27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20</v>
      </c>
      <c r="Y174" s="55">
        <f t="shared" si="16"/>
        <v>21</v>
      </c>
      <c r="Z174" s="41">
        <f>IFERROR(IF(Y174=0,"",ROUNDUP(Y174/H174,0)*0.00902),"")</f>
        <v>5.4120000000000001E-2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21.514285714285712</v>
      </c>
      <c r="BN174" s="78">
        <f t="shared" si="18"/>
        <v>22.59</v>
      </c>
      <c r="BO174" s="78">
        <f t="shared" si="19"/>
        <v>4.3290043290043295E-2</v>
      </c>
      <c r="BP174" s="78">
        <f t="shared" si="20"/>
        <v>4.5454545454545456E-2</v>
      </c>
    </row>
    <row r="175" spans="1:68" ht="27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22.857142857142858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24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0.21648000000000001</v>
      </c>
      <c r="AA185" s="67"/>
      <c r="AB185" s="67"/>
      <c r="AC185" s="67"/>
    </row>
    <row r="186" spans="1:68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80</v>
      </c>
      <c r="Y186" s="43">
        <f>IFERROR(SUM(Y173:Y184),"0")</f>
        <v>84</v>
      </c>
      <c r="Z186" s="42"/>
      <c r="AA186" s="67"/>
      <c r="AB186" s="67"/>
      <c r="AC186" s="67"/>
    </row>
    <row r="187" spans="1:68" ht="14.25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25</v>
      </c>
      <c r="Y215" s="55">
        <f t="shared" ref="Y215:Y229" si="27">IFERROR(IF(X215="",0,CEILING((X215/$H215),1)*$H215),"")</f>
        <v>25.200000000000003</v>
      </c>
      <c r="Z215" s="41">
        <f>IFERROR(IF(Y215=0,"",ROUNDUP(Y215/H215,0)*0.00902),"")</f>
        <v>5.4120000000000001E-2</v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26.488095238095237</v>
      </c>
      <c r="BN215" s="78">
        <f t="shared" ref="BN215:BN229" si="29">IFERROR(Y215*I215/H215,"0")</f>
        <v>26.700000000000003</v>
      </c>
      <c r="BO215" s="78">
        <f t="shared" ref="BO215:BO229" si="30">IFERROR(1/J215*(X215/H215),"0")</f>
        <v>4.5093795093795096E-2</v>
      </c>
      <c r="BP215" s="78">
        <f t="shared" ref="BP215:BP229" si="31">IFERROR(1/J215*(Y215/H215),"0")</f>
        <v>4.5454545454545456E-2</v>
      </c>
    </row>
    <row r="216" spans="1:68" ht="27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8.4</v>
      </c>
      <c r="Y219" s="55">
        <f t="shared" si="27"/>
        <v>8.4</v>
      </c>
      <c r="Z219" s="41">
        <f t="shared" ref="Z219:Z224" si="32">IFERROR(IF(Y219=0,"",ROUNDUP(Y219/H219,0)*0.00502),"")</f>
        <v>2.0080000000000001E-2</v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8.92</v>
      </c>
      <c r="BN219" s="78">
        <f t="shared" si="29"/>
        <v>8.92</v>
      </c>
      <c r="BO219" s="78">
        <f t="shared" si="30"/>
        <v>1.7094017094017096E-2</v>
      </c>
      <c r="BP219" s="78">
        <f t="shared" si="31"/>
        <v>1.7094017094017096E-2</v>
      </c>
    </row>
    <row r="220" spans="1:68" ht="27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9.9523809523809526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10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7.4200000000000002E-2</v>
      </c>
      <c r="AA230" s="67"/>
      <c r="AB230" s="67"/>
      <c r="AC230" s="67"/>
    </row>
    <row r="231" spans="1:68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33.4</v>
      </c>
      <c r="Y231" s="43">
        <f>IFERROR(SUM(Y215:Y229),"0")</f>
        <v>33.6</v>
      </c>
      <c r="Z231" s="42"/>
      <c r="AA231" s="67"/>
      <c r="AB231" s="67"/>
      <c r="AC231" s="67"/>
    </row>
    <row r="232" spans="1:68" ht="14.25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100</v>
      </c>
      <c r="Y266" s="55">
        <f t="shared" ref="Y266:Y273" si="38">IFERROR(IF(X266="",0,CEILING((X266/$H266),1)*$H266),"")</f>
        <v>102.60000000000001</v>
      </c>
      <c r="Z266" s="41">
        <f>IFERROR(IF(Y266=0,"",ROUNDUP(Y266/H266,0)*0.00902),"")</f>
        <v>0.17138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103.5185185185185</v>
      </c>
      <c r="BN266" s="78">
        <f t="shared" ref="BN266:BN273" si="40">IFERROR(Y266*I266/H266,"0")</f>
        <v>106.21</v>
      </c>
      <c r="BO266" s="78">
        <f t="shared" ref="BO266:BO273" si="41">IFERROR(1/J266*(X266/H266),"0")</f>
        <v>0.14029180695847362</v>
      </c>
      <c r="BP266" s="78">
        <f t="shared" ref="BP266:BP273" si="42">IFERROR(1/J266*(Y266/H266),"0")</f>
        <v>0.14393939393939395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si="38"/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51.759259259259252</v>
      </c>
      <c r="BN267" s="78">
        <f t="shared" si="40"/>
        <v>55.9</v>
      </c>
      <c r="BO267" s="78">
        <f t="shared" si="41"/>
        <v>7.0145903479236812E-2</v>
      </c>
      <c r="BP267" s="78">
        <f t="shared" si="42"/>
        <v>7.575757575757576E-2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90</v>
      </c>
      <c r="Y268" s="55">
        <f t="shared" si="38"/>
        <v>91.800000000000011</v>
      </c>
      <c r="Z268" s="41">
        <f>IFERROR(IF(Y268=0,"",ROUNDUP(Y268/H268,0)*0.00902),"")</f>
        <v>0.15334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93.166666666666657</v>
      </c>
      <c r="BN268" s="78">
        <f t="shared" si="40"/>
        <v>95.03</v>
      </c>
      <c r="BO268" s="78">
        <f t="shared" si="41"/>
        <v>0.12626262626262624</v>
      </c>
      <c r="BP268" s="78">
        <f t="shared" si="42"/>
        <v>0.12878787878787878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50</v>
      </c>
      <c r="Y269" s="55">
        <f t="shared" si="38"/>
        <v>54</v>
      </c>
      <c r="Z269" s="41">
        <f>IFERROR(IF(Y269=0,"",ROUNDUP(Y269/H269,0)*0.00902),"")</f>
        <v>9.0200000000000002E-2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51.759259259259252</v>
      </c>
      <c r="BN269" s="78">
        <f t="shared" si="40"/>
        <v>55.9</v>
      </c>
      <c r="BO269" s="78">
        <f t="shared" si="41"/>
        <v>7.0145903479236812E-2</v>
      </c>
      <c r="BP269" s="78">
        <f t="shared" si="42"/>
        <v>7.575757575757576E-2</v>
      </c>
    </row>
    <row r="270" spans="1:68" ht="27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9</v>
      </c>
      <c r="Y270" s="55">
        <f t="shared" si="38"/>
        <v>9</v>
      </c>
      <c r="Z270" s="41">
        <f>IFERROR(IF(Y270=0,"",ROUNDUP(Y270/H270,0)*0.00502),"")</f>
        <v>2.5100000000000001E-2</v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9.65</v>
      </c>
      <c r="BN270" s="78">
        <f t="shared" si="40"/>
        <v>9.65</v>
      </c>
      <c r="BO270" s="78">
        <f t="shared" si="41"/>
        <v>2.1367521367521368E-2</v>
      </c>
      <c r="BP270" s="78">
        <f t="shared" si="42"/>
        <v>2.1367521367521368E-2</v>
      </c>
    </row>
    <row r="271" spans="1:68" ht="27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9</v>
      </c>
      <c r="Y271" s="55">
        <f t="shared" si="38"/>
        <v>9</v>
      </c>
      <c r="Z271" s="41">
        <f>IFERROR(IF(Y271=0,"",ROUNDUP(Y271/H271,0)*0.00502),"")</f>
        <v>2.5100000000000001E-2</v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9.4999999999999982</v>
      </c>
      <c r="BN271" s="78">
        <f t="shared" si="40"/>
        <v>9.4999999999999982</v>
      </c>
      <c r="BO271" s="78">
        <f t="shared" si="41"/>
        <v>2.1367521367521368E-2</v>
      </c>
      <c r="BP271" s="78">
        <f t="shared" si="42"/>
        <v>2.1367521367521368E-2</v>
      </c>
    </row>
    <row r="272" spans="1:68" ht="27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9</v>
      </c>
      <c r="Y273" s="55">
        <f t="shared" si="38"/>
        <v>9</v>
      </c>
      <c r="Z273" s="41">
        <f>IFERROR(IF(Y273=0,"",ROUNDUP(Y273/H273,0)*0.00502),"")</f>
        <v>2.5100000000000001E-2</v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9.4999999999999982</v>
      </c>
      <c r="BN273" s="78">
        <f t="shared" si="40"/>
        <v>9.4999999999999982</v>
      </c>
      <c r="BO273" s="78">
        <f t="shared" si="41"/>
        <v>2.1367521367521368E-2</v>
      </c>
      <c r="BP273" s="78">
        <f t="shared" si="42"/>
        <v>2.1367521367521368E-2</v>
      </c>
    </row>
    <row r="274" spans="1:68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68.703703703703695</v>
      </c>
      <c r="Y274" s="43">
        <f>IFERROR(Y266/H266,"0")+IFERROR(Y267/H267,"0")+IFERROR(Y268/H268,"0")+IFERROR(Y269/H269,"0")+IFERROR(Y270/H270,"0")+IFERROR(Y271/H271,"0")+IFERROR(Y272/H272,"0")+IFERROR(Y273/H273,"0")</f>
        <v>71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0.58042000000000005</v>
      </c>
      <c r="AA274" s="67"/>
      <c r="AB274" s="67"/>
      <c r="AC274" s="67"/>
    </row>
    <row r="275" spans="1:68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317</v>
      </c>
      <c r="Y275" s="43">
        <f>IFERROR(SUM(Y266:Y273),"0")</f>
        <v>329.40000000000003</v>
      </c>
      <c r="Z275" s="42"/>
      <c r="AA275" s="67"/>
      <c r="AB275" s="67"/>
      <c r="AC275" s="67"/>
    </row>
    <row r="276" spans="1:68" ht="14.25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12</v>
      </c>
      <c r="Y280" s="55">
        <f t="shared" si="43"/>
        <v>12</v>
      </c>
      <c r="Z280" s="41">
        <f>IFERROR(IF(Y280=0,"",ROUNDUP(Y280/H280,0)*0.00651),"")</f>
        <v>3.2550000000000003E-2</v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13.35</v>
      </c>
      <c r="BN280" s="78">
        <f t="shared" si="45"/>
        <v>13.35</v>
      </c>
      <c r="BO280" s="78">
        <f t="shared" si="46"/>
        <v>2.7472527472527476E-2</v>
      </c>
      <c r="BP280" s="78">
        <f t="shared" si="47"/>
        <v>2.7472527472527476E-2</v>
      </c>
    </row>
    <row r="281" spans="1:68" ht="27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12.8</v>
      </c>
      <c r="Y283" s="55">
        <f t="shared" si="43"/>
        <v>14.399999999999999</v>
      </c>
      <c r="Z283" s="41">
        <f>IFERROR(IF(Y283=0,"",ROUNDUP(Y283/H283,0)*0.00651),"")</f>
        <v>3.9059999999999997E-2</v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14.144000000000004</v>
      </c>
      <c r="BN283" s="78">
        <f t="shared" si="45"/>
        <v>15.912000000000001</v>
      </c>
      <c r="BO283" s="78">
        <f t="shared" si="46"/>
        <v>2.9304029304029311E-2</v>
      </c>
      <c r="BP283" s="78">
        <f t="shared" si="47"/>
        <v>3.2967032967032968E-2</v>
      </c>
    </row>
    <row r="284" spans="1:68" ht="27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10</v>
      </c>
      <c r="Y285" s="55">
        <f t="shared" si="43"/>
        <v>12</v>
      </c>
      <c r="Z285" s="41">
        <f>IFERROR(IF(Y285=0,"",ROUNDUP(Y285/H285,0)*0.00651),"")</f>
        <v>3.2550000000000003E-2</v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11.050000000000002</v>
      </c>
      <c r="BN285" s="78">
        <f t="shared" si="45"/>
        <v>13.260000000000002</v>
      </c>
      <c r="BO285" s="78">
        <f t="shared" si="46"/>
        <v>2.2893772893772896E-2</v>
      </c>
      <c r="BP285" s="78">
        <f t="shared" si="47"/>
        <v>2.7472527472527476E-2</v>
      </c>
    </row>
    <row r="286" spans="1:68" ht="27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16</v>
      </c>
      <c r="Y287" s="55">
        <f t="shared" si="43"/>
        <v>16.8</v>
      </c>
      <c r="Z287" s="41">
        <f>IFERROR(IF(Y287=0,"",ROUNDUP(Y287/H287,0)*0.00651),"")</f>
        <v>4.5569999999999999E-2</v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17.72</v>
      </c>
      <c r="BN287" s="78">
        <f t="shared" si="45"/>
        <v>18.606000000000002</v>
      </c>
      <c r="BO287" s="78">
        <f t="shared" si="46"/>
        <v>3.6630036630036632E-2</v>
      </c>
      <c r="BP287" s="78">
        <f t="shared" si="47"/>
        <v>3.8461538461538471E-2</v>
      </c>
    </row>
    <row r="288" spans="1:68" ht="27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21.166666666666668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23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0.14973</v>
      </c>
      <c r="AA289" s="67"/>
      <c r="AB289" s="67"/>
      <c r="AC289" s="67"/>
    </row>
    <row r="290" spans="1:68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50.8</v>
      </c>
      <c r="Y290" s="43">
        <f>IFERROR(SUM(Y277:Y288),"0")</f>
        <v>55.2</v>
      </c>
      <c r="Z290" s="42"/>
      <c r="AA290" s="67"/>
      <c r="AB290" s="67"/>
      <c r="AC290" s="67"/>
    </row>
    <row r="291" spans="1:68" ht="14.25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20</v>
      </c>
      <c r="Y322" s="55">
        <f t="shared" si="53"/>
        <v>21.6</v>
      </c>
      <c r="Z322" s="41">
        <f>IFERROR(IF(Y322=0,"",ROUNDUP(Y322/H322,0)*0.01898),"")</f>
        <v>3.7960000000000001E-2</v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20.75925925925926</v>
      </c>
      <c r="BN322" s="78">
        <f t="shared" si="55"/>
        <v>22.42</v>
      </c>
      <c r="BO322" s="78">
        <f t="shared" si="56"/>
        <v>2.8935185185185182E-2</v>
      </c>
      <c r="BP322" s="78">
        <f t="shared" si="57"/>
        <v>3.125E-2</v>
      </c>
    </row>
    <row r="323" spans="1:68" ht="37.5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140</v>
      </c>
      <c r="Y324" s="55">
        <f t="shared" si="53"/>
        <v>140.4</v>
      </c>
      <c r="Z324" s="41">
        <f>IFERROR(IF(Y324=0,"",ROUNDUP(Y324/H324,0)*0.01898),"")</f>
        <v>0.24674000000000001</v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145.31481481481481</v>
      </c>
      <c r="BN324" s="78">
        <f t="shared" si="55"/>
        <v>145.73000000000002</v>
      </c>
      <c r="BO324" s="78">
        <f t="shared" si="56"/>
        <v>0.20254629629629628</v>
      </c>
      <c r="BP324" s="78">
        <f t="shared" si="57"/>
        <v>0.203125</v>
      </c>
    </row>
    <row r="325" spans="1:68" ht="27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8</v>
      </c>
      <c r="Y325" s="55">
        <f t="shared" si="53"/>
        <v>8</v>
      </c>
      <c r="Z325" s="41">
        <f>IFERROR(IF(Y325=0,"",ROUNDUP(Y325/H325,0)*0.00902),"")</f>
        <v>1.804E-2</v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8.3800000000000008</v>
      </c>
      <c r="BN325" s="78">
        <f t="shared" si="55"/>
        <v>8.3800000000000008</v>
      </c>
      <c r="BO325" s="78">
        <f t="shared" si="56"/>
        <v>1.5151515151515152E-2</v>
      </c>
      <c r="BP325" s="78">
        <f t="shared" si="57"/>
        <v>1.5151515151515152E-2</v>
      </c>
    </row>
    <row r="326" spans="1:68" ht="37.5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8</v>
      </c>
      <c r="Y326" s="55">
        <f t="shared" si="53"/>
        <v>8</v>
      </c>
      <c r="Z326" s="41">
        <f>IFERROR(IF(Y326=0,"",ROUNDUP(Y326/H326,0)*0.00902),"")</f>
        <v>1.804E-2</v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8.3800000000000008</v>
      </c>
      <c r="BN326" s="78">
        <f t="shared" si="55"/>
        <v>8.3800000000000008</v>
      </c>
      <c r="BO326" s="78">
        <f t="shared" si="56"/>
        <v>1.5151515151515152E-2</v>
      </c>
      <c r="BP326" s="78">
        <f t="shared" si="57"/>
        <v>1.5151515151515152E-2</v>
      </c>
    </row>
    <row r="327" spans="1:68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18.814814814814813</v>
      </c>
      <c r="Y327" s="43">
        <f>IFERROR(Y321/H321,"0")+IFERROR(Y322/H322,"0")+IFERROR(Y323/H323,"0")+IFERROR(Y324/H324,"0")+IFERROR(Y325/H325,"0")+IFERROR(Y326/H326,"0")</f>
        <v>19</v>
      </c>
      <c r="Z327" s="43">
        <f>IFERROR(IF(Z321="",0,Z321),"0")+IFERROR(IF(Z322="",0,Z322),"0")+IFERROR(IF(Z323="",0,Z323),"0")+IFERROR(IF(Z324="",0,Z324),"0")+IFERROR(IF(Z325="",0,Z325),"0")+IFERROR(IF(Z326="",0,Z326),"0")</f>
        <v>0.32078000000000001</v>
      </c>
      <c r="AA327" s="67"/>
      <c r="AB327" s="67"/>
      <c r="AC327" s="67"/>
    </row>
    <row r="328" spans="1:68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176</v>
      </c>
      <c r="Y328" s="43">
        <f>IFERROR(SUM(Y321:Y326),"0")</f>
        <v>178</v>
      </c>
      <c r="Z328" s="42"/>
      <c r="AA328" s="67"/>
      <c r="AB328" s="67"/>
      <c r="AC328" s="67"/>
    </row>
    <row r="329" spans="1:68" ht="16.5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150</v>
      </c>
      <c r="Y361" s="55">
        <f t="shared" si="58"/>
        <v>151.20000000000002</v>
      </c>
      <c r="Z361" s="41">
        <f>IFERROR(IF(Y361=0,"",ROUNDUP(Y361/H361,0)*0.01898),"")</f>
        <v>0.26572000000000001</v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155.69444444444446</v>
      </c>
      <c r="BN361" s="78">
        <f t="shared" si="60"/>
        <v>156.94</v>
      </c>
      <c r="BO361" s="78">
        <f t="shared" si="61"/>
        <v>0.21701388888888887</v>
      </c>
      <c r="BP361" s="78">
        <f t="shared" si="62"/>
        <v>0.21875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200</v>
      </c>
      <c r="Y362" s="55">
        <f t="shared" si="58"/>
        <v>205.20000000000002</v>
      </c>
      <c r="Z362" s="41">
        <f>IFERROR(IF(Y362=0,"",ROUNDUP(Y362/H362,0)*0.01898),"")</f>
        <v>0.36062</v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207.59259259259258</v>
      </c>
      <c r="BN362" s="78">
        <f t="shared" si="60"/>
        <v>212.99</v>
      </c>
      <c r="BO362" s="78">
        <f t="shared" si="61"/>
        <v>0.28935185185185186</v>
      </c>
      <c r="BP362" s="78">
        <f t="shared" si="62"/>
        <v>0.296875</v>
      </c>
    </row>
    <row r="363" spans="1:68" ht="27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780</v>
      </c>
      <c r="Y363" s="55">
        <f t="shared" si="58"/>
        <v>788.40000000000009</v>
      </c>
      <c r="Z363" s="41">
        <f>IFERROR(IF(Y363=0,"",ROUNDUP(Y363/H363,0)*0.01898),"")</f>
        <v>1.38554</v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809.6111111111112</v>
      </c>
      <c r="BN363" s="78">
        <f t="shared" si="60"/>
        <v>818.33000000000015</v>
      </c>
      <c r="BO363" s="78">
        <f t="shared" si="61"/>
        <v>1.1284722222222221</v>
      </c>
      <c r="BP363" s="78">
        <f t="shared" si="62"/>
        <v>1.140625</v>
      </c>
    </row>
    <row r="364" spans="1:68" ht="27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20</v>
      </c>
      <c r="Y364" s="55">
        <f t="shared" si="58"/>
        <v>20</v>
      </c>
      <c r="Z364" s="41">
        <f>IFERROR(IF(Y364=0,"",ROUNDUP(Y364/H364,0)*0.00902),"")</f>
        <v>4.5100000000000001E-2</v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20.950000000000003</v>
      </c>
      <c r="BN364" s="78">
        <f t="shared" si="60"/>
        <v>20.950000000000003</v>
      </c>
      <c r="BO364" s="78">
        <f t="shared" si="61"/>
        <v>3.787878787878788E-2</v>
      </c>
      <c r="BP364" s="78">
        <f t="shared" si="62"/>
        <v>3.787878787878788E-2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64</v>
      </c>
      <c r="Y365" s="55">
        <f t="shared" si="58"/>
        <v>64</v>
      </c>
      <c r="Z365" s="41">
        <f>IFERROR(IF(Y365=0,"",ROUNDUP(Y365/H365,0)*0.00902),"")</f>
        <v>0.14432</v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67.040000000000006</v>
      </c>
      <c r="BN365" s="78">
        <f t="shared" si="60"/>
        <v>67.040000000000006</v>
      </c>
      <c r="BO365" s="78">
        <f t="shared" si="61"/>
        <v>0.12121212121212122</v>
      </c>
      <c r="BP365" s="78">
        <f t="shared" si="62"/>
        <v>0.12121212121212122</v>
      </c>
    </row>
    <row r="366" spans="1:68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125.62962962962962</v>
      </c>
      <c r="Y366" s="43">
        <f>IFERROR(Y359/H359,"0")+IFERROR(Y360/H360,"0")+IFERROR(Y361/H361,"0")+IFERROR(Y362/H362,"0")+IFERROR(Y363/H363,"0")+IFERROR(Y364/H364,"0")+IFERROR(Y365/H365,"0")</f>
        <v>127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2.2013000000000003</v>
      </c>
      <c r="AA366" s="67"/>
      <c r="AB366" s="67"/>
      <c r="AC366" s="67"/>
    </row>
    <row r="367" spans="1:68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1214</v>
      </c>
      <c r="Y367" s="43">
        <f>IFERROR(SUM(Y359:Y365),"0")</f>
        <v>1228.8000000000002</v>
      </c>
      <c r="Z367" s="42"/>
      <c r="AA367" s="67"/>
      <c r="AB367" s="67"/>
      <c r="AC367" s="67"/>
    </row>
    <row r="368" spans="1:68" ht="14.25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115</v>
      </c>
      <c r="Y369" s="55">
        <f t="shared" ref="Y369:Y375" si="63">IFERROR(IF(X369="",0,CEILING((X369/$H369),1)*$H369),"")</f>
        <v>117.60000000000001</v>
      </c>
      <c r="Z369" s="41">
        <f>IFERROR(IF(Y369=0,"",ROUNDUP(Y369/H369,0)*0.00902),"")</f>
        <v>0.25256000000000001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121.84523809523809</v>
      </c>
      <c r="BN369" s="78">
        <f t="shared" ref="BN369:BN375" si="65">IFERROR(Y369*I369/H369,"0")</f>
        <v>124.60000000000001</v>
      </c>
      <c r="BO369" s="78">
        <f t="shared" ref="BO369:BO375" si="66">IFERROR(1/J369*(X369/H369),"0")</f>
        <v>0.20743145743145744</v>
      </c>
      <c r="BP369" s="78">
        <f t="shared" ref="BP369:BP375" si="67">IFERROR(1/J369*(Y369/H369),"0")</f>
        <v>0.21212121212121213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300</v>
      </c>
      <c r="Y370" s="55">
        <f t="shared" si="63"/>
        <v>302.40000000000003</v>
      </c>
      <c r="Z370" s="41">
        <f>IFERROR(IF(Y370=0,"",ROUNDUP(Y370/H370,0)*0.00902),"")</f>
        <v>0.64944000000000002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317.85714285714283</v>
      </c>
      <c r="BN370" s="78">
        <f t="shared" si="65"/>
        <v>320.40000000000003</v>
      </c>
      <c r="BO370" s="78">
        <f t="shared" si="66"/>
        <v>0.54112554112554112</v>
      </c>
      <c r="BP370" s="78">
        <f t="shared" si="67"/>
        <v>0.54545454545454541</v>
      </c>
    </row>
    <row r="371" spans="1:68" ht="27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39.200000000000003</v>
      </c>
      <c r="Y372" s="55">
        <f t="shared" si="63"/>
        <v>39.9</v>
      </c>
      <c r="Z372" s="41">
        <f>IFERROR(IF(Y372=0,"",ROUNDUP(Y372/H372,0)*0.00502),"")</f>
        <v>9.5380000000000006E-2</v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41.626666666666672</v>
      </c>
      <c r="BN372" s="78">
        <f t="shared" si="65"/>
        <v>42.36999999999999</v>
      </c>
      <c r="BO372" s="78">
        <f t="shared" si="66"/>
        <v>7.9772079772079785E-2</v>
      </c>
      <c r="BP372" s="78">
        <f t="shared" si="67"/>
        <v>8.11965811965812E-2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8.4</v>
      </c>
      <c r="Y373" s="55">
        <f t="shared" si="63"/>
        <v>8.4</v>
      </c>
      <c r="Z373" s="41">
        <f>IFERROR(IF(Y373=0,"",ROUNDUP(Y373/H373,0)*0.00502),"")</f>
        <v>2.0080000000000001E-2</v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8.8000000000000007</v>
      </c>
      <c r="BN373" s="78">
        <f t="shared" si="65"/>
        <v>8.8000000000000007</v>
      </c>
      <c r="BO373" s="78">
        <f t="shared" si="66"/>
        <v>1.7094017094017096E-2</v>
      </c>
      <c r="BP373" s="78">
        <f t="shared" si="67"/>
        <v>1.7094017094017096E-2</v>
      </c>
    </row>
    <row r="374" spans="1:68" ht="27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121.47619047619048</v>
      </c>
      <c r="Y376" s="43">
        <f>IFERROR(Y369/H369,"0")+IFERROR(Y370/H370,"0")+IFERROR(Y371/H371,"0")+IFERROR(Y372/H372,"0")+IFERROR(Y373/H373,"0")+IFERROR(Y374/H374,"0")+IFERROR(Y375/H375,"0")</f>
        <v>123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1.01746</v>
      </c>
      <c r="AA376" s="67"/>
      <c r="AB376" s="67"/>
      <c r="AC376" s="67"/>
    </row>
    <row r="377" spans="1:68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462.59999999999997</v>
      </c>
      <c r="Y377" s="43">
        <f>IFERROR(SUM(Y369:Y375),"0")</f>
        <v>468.3</v>
      </c>
      <c r="Z377" s="42"/>
      <c r="AA377" s="67"/>
      <c r="AB377" s="67"/>
      <c r="AC377" s="67"/>
    </row>
    <row r="378" spans="1:68" ht="14.25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15</v>
      </c>
      <c r="Y382" s="55">
        <f>IFERROR(IF(X382="",0,CEILING((X382/$H382),1)*$H382),"")</f>
        <v>15</v>
      </c>
      <c r="Z382" s="41">
        <f>IFERROR(IF(Y382=0,"",ROUNDUP(Y382/H382,0)*0.00651),"")</f>
        <v>3.2550000000000003E-2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16.23</v>
      </c>
      <c r="BN382" s="78">
        <f>IFERROR(Y382*I382/H382,"0")</f>
        <v>16.23</v>
      </c>
      <c r="BO382" s="78">
        <f>IFERROR(1/J382*(X382/H382),"0")</f>
        <v>2.7472527472527476E-2</v>
      </c>
      <c r="BP382" s="78">
        <f>IFERROR(1/J382*(Y382/H382),"0")</f>
        <v>2.7472527472527476E-2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5</v>
      </c>
      <c r="Y383" s="43">
        <f>IFERROR(Y379/H379,"0")+IFERROR(Y380/H380,"0")+IFERROR(Y381/H381,"0")+IFERROR(Y382/H382,"0")</f>
        <v>5</v>
      </c>
      <c r="Z383" s="43">
        <f>IFERROR(IF(Z379="",0,Z379),"0")+IFERROR(IF(Z380="",0,Z380),"0")+IFERROR(IF(Z381="",0,Z381),"0")+IFERROR(IF(Z382="",0,Z382),"0")</f>
        <v>3.2550000000000003E-2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15</v>
      </c>
      <c r="Y384" s="43">
        <f>IFERROR(SUM(Y379:Y382),"0")</f>
        <v>15</v>
      </c>
      <c r="Z384" s="42"/>
      <c r="AA384" s="67"/>
      <c r="AB384" s="67"/>
      <c r="AC384" s="67"/>
    </row>
    <row r="385" spans="1:68" ht="14.25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198</v>
      </c>
      <c r="Y387" s="55">
        <f>IFERROR(IF(X387="",0,CEILING((X387/$H387),1)*$H387),"")</f>
        <v>202.79999999999998</v>
      </c>
      <c r="Z387" s="41">
        <f>IFERROR(IF(Y387=0,"",ROUNDUP(Y387/H387,0)*0.01898),"")</f>
        <v>0.49348000000000003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210.54</v>
      </c>
      <c r="BN387" s="78">
        <f>IFERROR(Y387*I387/H387,"0")</f>
        <v>215.64399999999998</v>
      </c>
      <c r="BO387" s="78">
        <f>IFERROR(1/J387*(X387/H387),"0")</f>
        <v>0.39663461538461542</v>
      </c>
      <c r="BP387" s="78">
        <f>IFERROR(1/J387*(Y387/H387),"0")</f>
        <v>0.40625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118</v>
      </c>
      <c r="Y388" s="55">
        <f>IFERROR(IF(X388="",0,CEILING((X388/$H388),1)*$H388),"")</f>
        <v>126</v>
      </c>
      <c r="Z388" s="41">
        <f>IFERROR(IF(Y388=0,"",ROUNDUP(Y388/H388,0)*0.01898),"")</f>
        <v>0.28470000000000001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124.93952380952381</v>
      </c>
      <c r="BN388" s="78">
        <f>IFERROR(Y388*I388/H388,"0")</f>
        <v>133.41</v>
      </c>
      <c r="BO388" s="78">
        <f>IFERROR(1/J388*(X388/H388),"0")</f>
        <v>0.21949404761904762</v>
      </c>
      <c r="BP388" s="78">
        <f>IFERROR(1/J388*(Y388/H388),"0")</f>
        <v>0.234375</v>
      </c>
    </row>
    <row r="389" spans="1:68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39.432234432234438</v>
      </c>
      <c r="Y389" s="43">
        <f>IFERROR(Y386/H386,"0")+IFERROR(Y387/H387,"0")+IFERROR(Y388/H388,"0")</f>
        <v>41</v>
      </c>
      <c r="Z389" s="43">
        <f>IFERROR(IF(Z386="",0,Z386),"0")+IFERROR(IF(Z387="",0,Z387),"0")+IFERROR(IF(Z388="",0,Z388),"0")</f>
        <v>0.77818000000000009</v>
      </c>
      <c r="AA389" s="67"/>
      <c r="AB389" s="67"/>
      <c r="AC389" s="67"/>
    </row>
    <row r="390" spans="1:68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316</v>
      </c>
      <c r="Y390" s="43">
        <f>IFERROR(SUM(Y386:Y388),"0")</f>
        <v>328.79999999999995</v>
      </c>
      <c r="Z390" s="42"/>
      <c r="AA390" s="67"/>
      <c r="AB390" s="67"/>
      <c r="AC390" s="67"/>
    </row>
    <row r="391" spans="1:68" ht="14.25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5.0999999999999996</v>
      </c>
      <c r="Y395" s="55">
        <f>IFERROR(IF(X395="",0,CEILING((X395/$H395),1)*$H395),"")</f>
        <v>5.0999999999999996</v>
      </c>
      <c r="Z395" s="41">
        <f>IFERROR(IF(Y395=0,"",ROUNDUP(Y395/H395,0)*0.00651),"")</f>
        <v>1.302E-2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5.76</v>
      </c>
      <c r="BN395" s="78">
        <f>IFERROR(Y395*I395/H395,"0")</f>
        <v>5.76</v>
      </c>
      <c r="BO395" s="78">
        <f>IFERROR(1/J395*(X395/H395),"0")</f>
        <v>1.098901098901099E-2</v>
      </c>
      <c r="BP395" s="78">
        <f>IFERROR(1/J395*(Y395/H395),"0")</f>
        <v>1.098901098901099E-2</v>
      </c>
    </row>
    <row r="396" spans="1:68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2</v>
      </c>
      <c r="Y396" s="43">
        <f>IFERROR(Y392/H392,"0")+IFERROR(Y393/H393,"0")+IFERROR(Y394/H394,"0")+IFERROR(Y395/H395,"0")</f>
        <v>2</v>
      </c>
      <c r="Z396" s="43">
        <f>IFERROR(IF(Z392="",0,Z392),"0")+IFERROR(IF(Z393="",0,Z393),"0")+IFERROR(IF(Z394="",0,Z394),"0")+IFERROR(IF(Z395="",0,Z395),"0")</f>
        <v>1.302E-2</v>
      </c>
      <c r="AA396" s="67"/>
      <c r="AB396" s="67"/>
      <c r="AC396" s="67"/>
    </row>
    <row r="397" spans="1:68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5.0999999999999996</v>
      </c>
      <c r="Y397" s="43">
        <f>IFERROR(SUM(Y392:Y395),"0")</f>
        <v>5.0999999999999996</v>
      </c>
      <c r="Z397" s="42"/>
      <c r="AA397" s="67"/>
      <c r="AB397" s="67"/>
      <c r="AC397" s="67"/>
    </row>
    <row r="398" spans="1:68" ht="14.25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70</v>
      </c>
      <c r="Y418" s="55">
        <f>IFERROR(IF(X418="",0,CEILING((X418/$H418),1)*$H418),"")</f>
        <v>72.899999999999991</v>
      </c>
      <c r="Z418" s="41">
        <f>IFERROR(IF(Y418=0,"",ROUNDUP(Y418/H418,0)*0.01898),"")</f>
        <v>0.17082</v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74.269135802469137</v>
      </c>
      <c r="BN418" s="78">
        <f>IFERROR(Y418*I418/H418,"0")</f>
        <v>77.345999999999989</v>
      </c>
      <c r="BO418" s="78">
        <f>IFERROR(1/J418*(X418/H418),"0")</f>
        <v>0.13503086419753088</v>
      </c>
      <c r="BP418" s="78">
        <f>IFERROR(1/J418*(Y418/H418),"0")</f>
        <v>0.140625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44.1</v>
      </c>
      <c r="Y419" s="55">
        <f>IFERROR(IF(X419="",0,CEILING((X419/$H419),1)*$H419),"")</f>
        <v>44.1</v>
      </c>
      <c r="Z419" s="41">
        <f>IFERROR(IF(Y419=0,"",ROUNDUP(Y419/H419,0)*0.00651),"")</f>
        <v>0.13671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49.391999999999996</v>
      </c>
      <c r="BN419" s="78">
        <f>IFERROR(Y419*I419/H419,"0")</f>
        <v>49.391999999999996</v>
      </c>
      <c r="BO419" s="78">
        <f>IFERROR(1/J419*(X419/H419),"0")</f>
        <v>0.11538461538461539</v>
      </c>
      <c r="BP419" s="78">
        <f>IFERROR(1/J419*(Y419/H419),"0")</f>
        <v>0.11538461538461539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46.2</v>
      </c>
      <c r="Y420" s="55">
        <f>IFERROR(IF(X420="",0,CEILING((X420/$H420),1)*$H420),"")</f>
        <v>46.2</v>
      </c>
      <c r="Z420" s="41">
        <f>IFERROR(IF(Y420=0,"",ROUNDUP(Y420/H420,0)*0.00651),"")</f>
        <v>0.14322000000000001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51.48</v>
      </c>
      <c r="BN420" s="78">
        <f>IFERROR(Y420*I420/H420,"0")</f>
        <v>51.48</v>
      </c>
      <c r="BO420" s="78">
        <f>IFERROR(1/J420*(X420/H420),"0")</f>
        <v>0.12087912087912089</v>
      </c>
      <c r="BP420" s="78">
        <f>IFERROR(1/J420*(Y420/H420),"0")</f>
        <v>0.12087912087912089</v>
      </c>
    </row>
    <row r="421" spans="1:68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51.641975308641975</v>
      </c>
      <c r="Y421" s="43">
        <f>IFERROR(Y418/H418,"0")+IFERROR(Y419/H419,"0")+IFERROR(Y420/H420,"0")</f>
        <v>52</v>
      </c>
      <c r="Z421" s="43">
        <f>IFERROR(IF(Z418="",0,Z418),"0")+IFERROR(IF(Z419="",0,Z419),"0")+IFERROR(IF(Z420="",0,Z420),"0")</f>
        <v>0.45074999999999998</v>
      </c>
      <c r="AA421" s="67"/>
      <c r="AB421" s="67"/>
      <c r="AC421" s="67"/>
    </row>
    <row r="422" spans="1:68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160.30000000000001</v>
      </c>
      <c r="Y422" s="43">
        <f>IFERROR(SUM(Y418:Y420),"0")</f>
        <v>163.19999999999999</v>
      </c>
      <c r="Z422" s="42"/>
      <c r="AA422" s="67"/>
      <c r="AB422" s="67"/>
      <c r="AC422" s="67"/>
    </row>
    <row r="423" spans="1:68" ht="27.75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75</v>
      </c>
      <c r="Y427" s="55">
        <f t="shared" si="68"/>
        <v>75</v>
      </c>
      <c r="Z427" s="41">
        <f>IFERROR(IF(Y427=0,"",ROUNDUP(Y427/H427,0)*0.02175),"")</f>
        <v>0.10874999999999999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77.349999999999994</v>
      </c>
      <c r="BN427" s="78">
        <f t="shared" si="70"/>
        <v>77.349999999999994</v>
      </c>
      <c r="BO427" s="78">
        <f t="shared" si="71"/>
        <v>0.10416666666666666</v>
      </c>
      <c r="BP427" s="78">
        <f t="shared" si="72"/>
        <v>0.10416666666666666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635</v>
      </c>
      <c r="Y428" s="55">
        <f t="shared" si="68"/>
        <v>645</v>
      </c>
      <c r="Z428" s="41">
        <f>IFERROR(IF(Y428=0,"",ROUNDUP(Y428/H428,0)*0.02175),"")</f>
        <v>0.93524999999999991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654.89666666666676</v>
      </c>
      <c r="BN428" s="78">
        <f t="shared" si="70"/>
        <v>665.20999999999992</v>
      </c>
      <c r="BO428" s="78">
        <f t="shared" si="71"/>
        <v>0.88194444444444442</v>
      </c>
      <c r="BP428" s="78">
        <f t="shared" si="72"/>
        <v>0.89583333333333326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565</v>
      </c>
      <c r="Y430" s="55">
        <f t="shared" si="68"/>
        <v>570</v>
      </c>
      <c r="Z430" s="41">
        <f>IFERROR(IF(Y430=0,"",ROUNDUP(Y430/H430,0)*0.02175),"")</f>
        <v>0.8264999999999999</v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582.70333333333338</v>
      </c>
      <c r="BN430" s="78">
        <f t="shared" si="70"/>
        <v>587.86</v>
      </c>
      <c r="BO430" s="78">
        <f t="shared" si="71"/>
        <v>0.7847222222222221</v>
      </c>
      <c r="BP430" s="78">
        <f t="shared" si="72"/>
        <v>0.79166666666666663</v>
      </c>
    </row>
    <row r="431" spans="1:68" ht="27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85</v>
      </c>
      <c r="Y434" s="43">
        <f>IFERROR(Y426/H426,"0")+IFERROR(Y427/H427,"0")+IFERROR(Y428/H428,"0")+IFERROR(Y429/H429,"0")+IFERROR(Y430/H430,"0")+IFERROR(Y431/H431,"0")+IFERROR(Y432/H432,"0")+IFERROR(Y433/H433,"0")</f>
        <v>86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1.8704999999999998</v>
      </c>
      <c r="AA434" s="67"/>
      <c r="AB434" s="67"/>
      <c r="AC434" s="67"/>
    </row>
    <row r="435" spans="1:68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1275</v>
      </c>
      <c r="Y435" s="43">
        <f>IFERROR(SUM(Y426:Y433),"0")</f>
        <v>1290</v>
      </c>
      <c r="Z435" s="42"/>
      <c r="AA435" s="67"/>
      <c r="AB435" s="67"/>
      <c r="AC435" s="67"/>
    </row>
    <row r="436" spans="1:68" ht="14.25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835</v>
      </c>
      <c r="Y437" s="55">
        <f>IFERROR(IF(X437="",0,CEILING((X437/$H437),1)*$H437),"")</f>
        <v>840</v>
      </c>
      <c r="Z437" s="41">
        <f>IFERROR(IF(Y437=0,"",ROUNDUP(Y437/H437,0)*0.02175),"")</f>
        <v>1.218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861.16333333333341</v>
      </c>
      <c r="BN437" s="78">
        <f>IFERROR(Y437*I437/H437,"0")</f>
        <v>866.32</v>
      </c>
      <c r="BO437" s="78">
        <f>IFERROR(1/J437*(X437/H437),"0")</f>
        <v>1.1597222222222221</v>
      </c>
      <c r="BP437" s="78">
        <f>IFERROR(1/J437*(Y437/H437),"0")</f>
        <v>1.1666666666666665</v>
      </c>
    </row>
    <row r="438" spans="1:68" ht="27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55.666666666666664</v>
      </c>
      <c r="Y440" s="43">
        <f>IFERROR(Y437/H437,"0")+IFERROR(Y438/H438,"0")+IFERROR(Y439/H439,"0")</f>
        <v>56</v>
      </c>
      <c r="Z440" s="43">
        <f>IFERROR(IF(Z437="",0,Z437),"0")+IFERROR(IF(Z438="",0,Z438),"0")+IFERROR(IF(Z439="",0,Z439),"0")</f>
        <v>1.218</v>
      </c>
      <c r="AA440" s="67"/>
      <c r="AB440" s="67"/>
      <c r="AC440" s="67"/>
    </row>
    <row r="441" spans="1:68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835</v>
      </c>
      <c r="Y441" s="43">
        <f>IFERROR(SUM(Y437:Y439),"0")</f>
        <v>840</v>
      </c>
      <c r="Z441" s="42"/>
      <c r="AA441" s="67"/>
      <c r="AB441" s="67"/>
      <c r="AC441" s="67"/>
    </row>
    <row r="442" spans="1:68" ht="14.25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4.2</v>
      </c>
      <c r="Y476" s="55">
        <f t="shared" si="73"/>
        <v>4.2</v>
      </c>
      <c r="Z476" s="41">
        <f>IFERROR(IF(Y476=0,"",ROUNDUP(Y476/H476,0)*0.00502),"")</f>
        <v>1.004E-2</v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4.46</v>
      </c>
      <c r="BN476" s="78">
        <f t="shared" si="75"/>
        <v>4.46</v>
      </c>
      <c r="BO476" s="78">
        <f t="shared" si="76"/>
        <v>8.5470085470085479E-3</v>
      </c>
      <c r="BP476" s="78">
        <f t="shared" si="77"/>
        <v>8.5470085470085479E-3</v>
      </c>
    </row>
    <row r="477" spans="1:68" ht="37.5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4.2</v>
      </c>
      <c r="Y477" s="55">
        <f t="shared" si="73"/>
        <v>4.2</v>
      </c>
      <c r="Z477" s="41">
        <f>IFERROR(IF(Y477=0,"",ROUNDUP(Y477/H477,0)*0.00502),"")</f>
        <v>1.004E-2</v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4.46</v>
      </c>
      <c r="BN477" s="78">
        <f t="shared" si="75"/>
        <v>4.46</v>
      </c>
      <c r="BO477" s="78">
        <f t="shared" si="76"/>
        <v>8.5470085470085479E-3</v>
      </c>
      <c r="BP477" s="78">
        <f t="shared" si="77"/>
        <v>8.5470085470085479E-3</v>
      </c>
    </row>
    <row r="478" spans="1:68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4</v>
      </c>
      <c r="Y478" s="43">
        <f>IFERROR(Y472/H472,"0")+IFERROR(Y473/H473,"0")+IFERROR(Y474/H474,"0")+IFERROR(Y475/H475,"0")+IFERROR(Y476/H476,"0")+IFERROR(Y477/H477,"0")</f>
        <v>4</v>
      </c>
      <c r="Z478" s="43">
        <f>IFERROR(IF(Z472="",0,Z472),"0")+IFERROR(IF(Z473="",0,Z473),"0")+IFERROR(IF(Z474="",0,Z474),"0")+IFERROR(IF(Z475="",0,Z475),"0")+IFERROR(IF(Z476="",0,Z476),"0")+IFERROR(IF(Z477="",0,Z477),"0")</f>
        <v>2.0080000000000001E-2</v>
      </c>
      <c r="AA478" s="67"/>
      <c r="AB478" s="67"/>
      <c r="AC478" s="67"/>
    </row>
    <row r="479" spans="1:68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8.4</v>
      </c>
      <c r="Y479" s="43">
        <f>IFERROR(SUM(Y472:Y477),"0")</f>
        <v>8.4</v>
      </c>
      <c r="Z479" s="42"/>
      <c r="AA479" s="67"/>
      <c r="AB479" s="67"/>
      <c r="AC479" s="67"/>
    </row>
    <row r="480" spans="1:68" ht="14.25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60</v>
      </c>
      <c r="Y499" s="55">
        <f t="shared" ref="Y499:Y507" si="78">IFERROR(IF(X499="",0,CEILING((X499/$H499),1)*$H499),"")</f>
        <v>63.36</v>
      </c>
      <c r="Z499" s="41">
        <f t="shared" ref="Z499:Z504" si="79">IFERROR(IF(Y499=0,"",ROUNDUP(Y499/H499,0)*0.01196),"")</f>
        <v>0.14352000000000001</v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63.977272727272727</v>
      </c>
      <c r="BN499" s="78">
        <f t="shared" ref="BN499:BN507" si="81">IFERROR(Y499*I499/H499,"0")</f>
        <v>67.559999999999988</v>
      </c>
      <c r="BO499" s="78">
        <f t="shared" ref="BO499:BO507" si="82">IFERROR(1/J499*(X499/H499),"0")</f>
        <v>0.10926573426573427</v>
      </c>
      <c r="BP499" s="78">
        <f t="shared" ref="BP499:BP507" si="83">IFERROR(1/J499*(Y499/H499),"0")</f>
        <v>0.11538461538461539</v>
      </c>
    </row>
    <row r="500" spans="1:68" ht="16.5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11.363636363636363</v>
      </c>
      <c r="Y508" s="43">
        <f>IFERROR(Y499/H499,"0")+IFERROR(Y500/H500,"0")+IFERROR(Y501/H501,"0")+IFERROR(Y502/H502,"0")+IFERROR(Y503/H503,"0")+IFERROR(Y504/H504,"0")+IFERROR(Y505/H505,"0")+IFERROR(Y506/H506,"0")+IFERROR(Y507/H507,"0")</f>
        <v>12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0.14352000000000001</v>
      </c>
      <c r="AA508" s="67"/>
      <c r="AB508" s="67"/>
      <c r="AC508" s="67"/>
    </row>
    <row r="509" spans="1:68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60</v>
      </c>
      <c r="Y509" s="43">
        <f>IFERROR(SUM(Y499:Y507),"0")</f>
        <v>63.36</v>
      </c>
      <c r="Z509" s="42"/>
      <c r="AA509" s="67"/>
      <c r="AB509" s="67"/>
      <c r="AC509" s="67"/>
    </row>
    <row r="510" spans="1:68" ht="14.25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65</v>
      </c>
      <c r="Y511" s="55">
        <f>IFERROR(IF(X511="",0,CEILING((X511/$H511),1)*$H511),"")</f>
        <v>68.64</v>
      </c>
      <c r="Z511" s="41">
        <f>IFERROR(IF(Y511=0,"",ROUNDUP(Y511/H511,0)*0.01196),"")</f>
        <v>0.15548000000000001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69.30871212121211</v>
      </c>
      <c r="BN511" s="78">
        <f>IFERROR(Y511*I511/H511,"0")</f>
        <v>73.19</v>
      </c>
      <c r="BO511" s="78">
        <f>IFERROR(1/J511*(X511/H511),"0")</f>
        <v>0.11837121212121213</v>
      </c>
      <c r="BP511" s="78">
        <f>IFERROR(1/J511*(Y511/H511),"0")</f>
        <v>0.125</v>
      </c>
    </row>
    <row r="512" spans="1:68" ht="16.5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12.310606060606061</v>
      </c>
      <c r="Y514" s="43">
        <f>IFERROR(Y511/H511,"0")+IFERROR(Y512/H512,"0")+IFERROR(Y513/H513,"0")</f>
        <v>13</v>
      </c>
      <c r="Z514" s="43">
        <f>IFERROR(IF(Z511="",0,Z511),"0")+IFERROR(IF(Z512="",0,Z512),"0")+IFERROR(IF(Z513="",0,Z513),"0")</f>
        <v>0.15548000000000001</v>
      </c>
      <c r="AA514" s="67"/>
      <c r="AB514" s="67"/>
      <c r="AC514" s="67"/>
    </row>
    <row r="515" spans="1:68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65</v>
      </c>
      <c r="Y515" s="43">
        <f>IFERROR(SUM(Y511:Y513),"0")</f>
        <v>68.64</v>
      </c>
      <c r="Z515" s="42"/>
      <c r="AA515" s="67"/>
      <c r="AB515" s="67"/>
      <c r="AC515" s="67"/>
    </row>
    <row r="516" spans="1:68" ht="14.25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15</v>
      </c>
      <c r="Y517" s="55">
        <f t="shared" ref="Y517:Y523" si="84">IFERROR(IF(X517="",0,CEILING((X517/$H517),1)*$H517),"")</f>
        <v>15.84</v>
      </c>
      <c r="Z517" s="41">
        <f>IFERROR(IF(Y517=0,"",ROUNDUP(Y517/H517,0)*0.01196),"")</f>
        <v>3.5880000000000002E-2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15.994318181818182</v>
      </c>
      <c r="BN517" s="78">
        <f t="shared" ref="BN517:BN523" si="86">IFERROR(Y517*I517/H517,"0")</f>
        <v>16.889999999999997</v>
      </c>
      <c r="BO517" s="78">
        <f t="shared" ref="BO517:BO523" si="87">IFERROR(1/J517*(X517/H517),"0")</f>
        <v>2.7316433566433568E-2</v>
      </c>
      <c r="BP517" s="78">
        <f t="shared" ref="BP517:BP523" si="88">IFERROR(1/J517*(Y517/H517),"0")</f>
        <v>2.8846153846153848E-2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2.8409090909090908</v>
      </c>
      <c r="Y524" s="43">
        <f>IFERROR(Y517/H517,"0")+IFERROR(Y518/H518,"0")+IFERROR(Y519/H519,"0")+IFERROR(Y520/H520,"0")+IFERROR(Y521/H521,"0")+IFERROR(Y522/H522,"0")+IFERROR(Y523/H523,"0")</f>
        <v>3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3.5880000000000002E-2</v>
      </c>
      <c r="AA524" s="67"/>
      <c r="AB524" s="67"/>
      <c r="AC524" s="67"/>
    </row>
    <row r="525" spans="1:68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15</v>
      </c>
      <c r="Y525" s="43">
        <f>IFERROR(SUM(Y517:Y523),"0")</f>
        <v>15.84</v>
      </c>
      <c r="Z525" s="42"/>
      <c r="AA525" s="67"/>
      <c r="AB525" s="67"/>
      <c r="AC525" s="67"/>
    </row>
    <row r="526" spans="1:68" ht="27.75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70</v>
      </c>
      <c r="Y529" s="55">
        <f>IFERROR(IF(X529="",0,CEILING((X529/$H529),1)*$H529),"")</f>
        <v>72</v>
      </c>
      <c r="Z529" s="41">
        <f>IFERROR(IF(Y529=0,"",ROUNDUP(Y529/H529,0)*0.01898),"")</f>
        <v>0.11388000000000001</v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72.391666666666666</v>
      </c>
      <c r="BN529" s="78">
        <f>IFERROR(Y529*I529/H529,"0")</f>
        <v>74.459999999999994</v>
      </c>
      <c r="BO529" s="78">
        <f>IFERROR(1/J529*(X529/H529),"0")</f>
        <v>9.1145833333333329E-2</v>
      </c>
      <c r="BP529" s="78">
        <f>IFERROR(1/J529*(Y529/H529),"0")</f>
        <v>9.375E-2</v>
      </c>
    </row>
    <row r="530" spans="1:68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5.833333333333333</v>
      </c>
      <c r="Y530" s="43">
        <f>IFERROR(Y529/H529,"0")</f>
        <v>6</v>
      </c>
      <c r="Z530" s="43">
        <f>IFERROR(IF(Z529="",0,Z529),"0")</f>
        <v>0.11388000000000001</v>
      </c>
      <c r="AA530" s="67"/>
      <c r="AB530" s="67"/>
      <c r="AC530" s="67"/>
    </row>
    <row r="531" spans="1:68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70</v>
      </c>
      <c r="Y531" s="43">
        <f>IFERROR(SUM(Y529:Y529),"0")</f>
        <v>72</v>
      </c>
      <c r="Z531" s="42"/>
      <c r="AA531" s="67"/>
      <c r="AB531" s="67"/>
      <c r="AC531" s="67"/>
    </row>
    <row r="532" spans="1:68" ht="14.25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120</v>
      </c>
      <c r="Y537" s="55">
        <f>IFERROR(IF(X537="",0,CEILING((X537/$H537),1)*$H537),"")</f>
        <v>121.80000000000001</v>
      </c>
      <c r="Z537" s="41">
        <f>IFERROR(IF(Y537=0,"",ROUNDUP(Y537/H537,0)*0.00902),"")</f>
        <v>0.26158000000000003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127.14285714285714</v>
      </c>
      <c r="BN537" s="78">
        <f>IFERROR(Y537*I537/H537,"0")</f>
        <v>129.05000000000001</v>
      </c>
      <c r="BO537" s="78">
        <f>IFERROR(1/J537*(X537/H537),"0")</f>
        <v>0.21645021645021645</v>
      </c>
      <c r="BP537" s="78">
        <f>IFERROR(1/J537*(Y537/H537),"0")</f>
        <v>0.2196969696969697</v>
      </c>
    </row>
    <row r="538" spans="1:68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28.571428571428569</v>
      </c>
      <c r="Y538" s="43">
        <f>IFERROR(Y537/H537,"0")</f>
        <v>29</v>
      </c>
      <c r="Z538" s="43">
        <f>IFERROR(IF(Z537="",0,Z537),"0")</f>
        <v>0.26158000000000003</v>
      </c>
      <c r="AA538" s="67"/>
      <c r="AB538" s="67"/>
      <c r="AC538" s="67"/>
    </row>
    <row r="539" spans="1:68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120</v>
      </c>
      <c r="Y539" s="43">
        <f>IFERROR(SUM(Y537:Y537),"0")</f>
        <v>121.80000000000001</v>
      </c>
      <c r="Z539" s="42"/>
      <c r="AA539" s="67"/>
      <c r="AB539" s="67"/>
      <c r="AC539" s="67"/>
    </row>
    <row r="540" spans="1:68" ht="14.25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7162.7000000000007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7295.6399999999994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7472.3900155523488</v>
      </c>
      <c r="Y555" s="43">
        <f>IFERROR(SUM(BN22:BN551),"0")</f>
        <v>7611.8820000000005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12</v>
      </c>
      <c r="Y556" s="44">
        <f>ROUNDUP(SUM(BP22:BP551),0)</f>
        <v>12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7772.3900155523488</v>
      </c>
      <c r="Y557" s="43">
        <f>GrossWeightTotalR+PalletQtyTotalR*25</f>
        <v>7911.8820000000005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935.80629247295894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956</v>
      </c>
      <c r="Z558" s="42"/>
      <c r="AA558" s="67"/>
      <c r="AB558" s="67"/>
      <c r="AC558" s="67"/>
    </row>
    <row r="559" spans="1:68" ht="14.25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13.309440000000002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102.4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1438.1</v>
      </c>
      <c r="F564" s="52">
        <f>IFERROR(Y85*1,"0")+IFERROR(Y86*1,"0")+IFERROR(Y87*1,"0")+IFERROR(Y88*1,"0")+IFERROR(Y89*1,"0")+IFERROR(Y93*1,"0")+IFERROR(Y94*1,"0")+IFERROR(Y95*1,"0")+IFERROR(Y96*1,"0")</f>
        <v>241.2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99.3</v>
      </c>
      <c r="H564" s="52">
        <f>IFERROR(Y132*1,"0")+IFERROR(Y133*1,"0")+IFERROR(Y137*1,"0")+IFERROR(Y138*1,"0")+IFERROR(Y142*1,"0")+IFERROR(Y143*1,"0")</f>
        <v>45.2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84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33.6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384.6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178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2046.0000000000002</v>
      </c>
      <c r="U564" s="52">
        <f>IFERROR(Y412*1,"0")+IFERROR(Y413*1,"0")</f>
        <v>0</v>
      </c>
      <c r="V564" s="52">
        <f>IFERROR(Y418*1,"0")+IFERROR(Y419*1,"0")+IFERROR(Y420*1,"0")</f>
        <v>163.19999999999999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2130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8.4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147.84</v>
      </c>
      <c r="AB564" s="52">
        <f>IFERROR(Y529*1,"0")+IFERROR(Y533*1,"0")+IFERROR(Y537*1,"0")+IFERROR(Y541*1,"0")+IFERROR(Y545*1,"0")+IFERROR(Y546*1,"0")</f>
        <v>193.8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2026-09-21T09:05:57Z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