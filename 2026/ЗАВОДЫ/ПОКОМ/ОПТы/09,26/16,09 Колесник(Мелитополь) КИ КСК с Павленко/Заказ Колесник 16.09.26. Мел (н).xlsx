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ЗАКАЗЫ\Колесник\"/>
    </mc:Choice>
  </mc:AlternateContent>
  <xr:revisionPtr revIDLastSave="0" documentId="13_ncr:1_{328593E7-6769-403A-A611-5CF2CEECAF3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Z525" i="2"/>
  <c r="Y525" i="2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Y517" i="2" s="1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P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Y418" i="2" s="1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N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392" i="2" l="1"/>
  <c r="Z183" i="2"/>
  <c r="BN183" i="2"/>
  <c r="Z223" i="2"/>
  <c r="BN223" i="2"/>
  <c r="Z447" i="2"/>
  <c r="BN447" i="2"/>
  <c r="Z30" i="2"/>
  <c r="BN30" i="2"/>
  <c r="Z204" i="2"/>
  <c r="BN204" i="2"/>
  <c r="Z238" i="2"/>
  <c r="BN238" i="2"/>
  <c r="BP504" i="2"/>
  <c r="Y52" i="2"/>
  <c r="Y198" i="2"/>
  <c r="Y417" i="2"/>
  <c r="Z40" i="2"/>
  <c r="Z78" i="2"/>
  <c r="Y109" i="2"/>
  <c r="Z208" i="2"/>
  <c r="Z228" i="2"/>
  <c r="BN228" i="2"/>
  <c r="Z282" i="2"/>
  <c r="Z434" i="2"/>
  <c r="BN434" i="2"/>
  <c r="Z478" i="2"/>
  <c r="BN478" i="2"/>
  <c r="Z522" i="2"/>
  <c r="BN22" i="2"/>
  <c r="BN49" i="2"/>
  <c r="BN57" i="2"/>
  <c r="BN67" i="2"/>
  <c r="BN104" i="2"/>
  <c r="BN131" i="2"/>
  <c r="BN142" i="2"/>
  <c r="BN163" i="2"/>
  <c r="BN209" i="2"/>
  <c r="BN219" i="2"/>
  <c r="BN240" i="2"/>
  <c r="BN250" i="2"/>
  <c r="BN307" i="2"/>
  <c r="BN319" i="2"/>
  <c r="BN391" i="2"/>
  <c r="BN442" i="2"/>
  <c r="BN453" i="2"/>
  <c r="Y471" i="2"/>
  <c r="BN476" i="2"/>
  <c r="BN490" i="2"/>
  <c r="BN495" i="2"/>
  <c r="BN503" i="2"/>
  <c r="BN508" i="2"/>
  <c r="Y518" i="2"/>
  <c r="BN521" i="2"/>
  <c r="X560" i="2"/>
  <c r="BN59" i="2"/>
  <c r="BN87" i="2"/>
  <c r="Z95" i="2"/>
  <c r="BN95" i="2"/>
  <c r="BP111" i="2"/>
  <c r="BN113" i="2"/>
  <c r="Z119" i="2"/>
  <c r="Y153" i="2"/>
  <c r="Z148" i="2"/>
  <c r="BN151" i="2"/>
  <c r="Z152" i="2"/>
  <c r="BN152" i="2"/>
  <c r="BN156" i="2"/>
  <c r="Z161" i="2"/>
  <c r="BN168" i="2"/>
  <c r="Z176" i="2"/>
  <c r="BN178" i="2"/>
  <c r="Z180" i="2"/>
  <c r="BN180" i="2"/>
  <c r="Z193" i="2"/>
  <c r="Z194" i="2" s="1"/>
  <c r="BN197" i="2"/>
  <c r="Z226" i="2"/>
  <c r="BN243" i="2"/>
  <c r="BN273" i="2"/>
  <c r="Z284" i="2"/>
  <c r="Z291" i="2"/>
  <c r="BN291" i="2"/>
  <c r="BN302" i="2"/>
  <c r="Z306" i="2"/>
  <c r="BN306" i="2"/>
  <c r="BN364" i="2"/>
  <c r="Z365" i="2"/>
  <c r="BN365" i="2"/>
  <c r="BP366" i="2"/>
  <c r="BN373" i="2"/>
  <c r="Z385" i="2"/>
  <c r="BN385" i="2"/>
  <c r="BN396" i="2"/>
  <c r="Z403" i="2"/>
  <c r="BN403" i="2"/>
  <c r="BN416" i="2"/>
  <c r="Z422" i="2"/>
  <c r="BN422" i="2"/>
  <c r="BN459" i="2"/>
  <c r="BN484" i="2"/>
  <c r="Y491" i="2"/>
  <c r="BN509" i="2"/>
  <c r="BP514" i="2"/>
  <c r="BP524" i="2"/>
  <c r="Y542" i="2"/>
  <c r="BN554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X561" i="2" s="1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Z251" i="2" s="1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Z164" i="2" s="1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57" i="2"/>
  <c r="Z368" i="2"/>
  <c r="Z378" i="2"/>
  <c r="Z410" i="2"/>
  <c r="Z446" i="2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411" i="2" l="1"/>
  <c r="Z133" i="2"/>
  <c r="Z449" i="2"/>
  <c r="Z359" i="2"/>
  <c r="Z437" i="2"/>
  <c r="Z399" i="2"/>
  <c r="Z556" i="2"/>
  <c r="Z245" i="2"/>
  <c r="Z123" i="2"/>
  <c r="Z62" i="2"/>
  <c r="Z443" i="2"/>
  <c r="Z297" i="2"/>
  <c r="Z143" i="2"/>
  <c r="Z511" i="2"/>
  <c r="Z322" i="2"/>
  <c r="Z417" i="2"/>
  <c r="Z42" i="2"/>
  <c r="Z108" i="2"/>
  <c r="Z454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<sst xmlns="http://schemas.openxmlformats.org/spreadsheetml/2006/main" count="4274" uniqueCount="894">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</sst>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8"/>
  <sheetViews>
    <sheetView showGridLines="0" tabSelected="1" topLeftCell="A535" zoomScaleNormal="100" zoomScaleSheetLayoutView="100" workbookViewId="0">
      <selection activeCell="X468" sqref="X46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46279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876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Понедельник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4.1666666666666664E-2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450</v>
      </c>
      <c r="Y47" s="55">
        <f>IFERROR(IF(X47="",0,CEILING((X47/$H47),1)*$H47),"")</f>
        <v>453.6</v>
      </c>
      <c r="Z47" s="41">
        <f>IFERROR(IF(Y47=0,"",ROUNDUP(Y47/H47,0)*0.01898),"")</f>
        <v>0.79715999999999998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467.08333333333331</v>
      </c>
      <c r="BN47" s="78">
        <f>IFERROR(Y47*I47/H47,"0")</f>
        <v>470.82000000000005</v>
      </c>
      <c r="BO47" s="78">
        <f>IFERROR(1/J47*(X47/H47),"0")</f>
        <v>0.65104166666666663</v>
      </c>
      <c r="BP47" s="78">
        <f>IFERROR(1/J47*(Y47/H47),"0")</f>
        <v>0.65625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16</v>
      </c>
      <c r="Y49" s="55">
        <f>IFERROR(IF(X49="",0,CEILING((X49/$H49),1)*$H49),"")</f>
        <v>16</v>
      </c>
      <c r="Z49" s="41">
        <f>IFERROR(IF(Y49=0,"",ROUNDUP(Y49/H49,0)*0.00902),"")</f>
        <v>3.6080000000000001E-2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16.760000000000002</v>
      </c>
      <c r="BN49" s="78">
        <f>IFERROR(Y49*I49/H49,"0")</f>
        <v>16.760000000000002</v>
      </c>
      <c r="BO49" s="78">
        <f>IFERROR(1/J49*(X49/H49),"0")</f>
        <v>3.0303030303030304E-2</v>
      </c>
      <c r="BP49" s="78">
        <f>IFERROR(1/J49*(Y49/H49),"0")</f>
        <v>3.0303030303030304E-2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45.666666666666664</v>
      </c>
      <c r="Y51" s="43">
        <f>IFERROR(Y47/H47,"0")+IFERROR(Y48/H48,"0")+IFERROR(Y49/H49,"0")+IFERROR(Y50/H50,"0")</f>
        <v>46</v>
      </c>
      <c r="Z51" s="43">
        <f>IFERROR(IF(Z47="",0,Z47),"0")+IFERROR(IF(Z48="",0,Z48),"0")+IFERROR(IF(Z49="",0,Z49),"0")+IFERROR(IF(Z50="",0,Z50),"0")</f>
        <v>0.83323999999999998</v>
      </c>
      <c r="AA51" s="67"/>
      <c r="AB51" s="67"/>
      <c r="AC51" s="67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466</v>
      </c>
      <c r="Y52" s="43">
        <f>IFERROR(SUM(Y47:Y50),"0")</f>
        <v>469.6</v>
      </c>
      <c r="Z52" s="42"/>
      <c r="AA52" s="67"/>
      <c r="AB52" s="67"/>
      <c r="AC52" s="67"/>
    </row>
    <row r="53" spans="1:68" ht="16.5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18</v>
      </c>
      <c r="Y89" s="55">
        <f t="shared" si="5"/>
        <v>18</v>
      </c>
      <c r="Z89" s="41">
        <f>IFERROR(IF(Y89=0,"",ROUNDUP(Y89/H89,0)*0.00902),"")</f>
        <v>3.6080000000000001E-2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18.760000000000002</v>
      </c>
      <c r="BN89" s="78">
        <f t="shared" si="7"/>
        <v>18.760000000000002</v>
      </c>
      <c r="BO89" s="78">
        <f t="shared" si="8"/>
        <v>3.0303030303030304E-2</v>
      </c>
      <c r="BP89" s="78">
        <f t="shared" si="9"/>
        <v>3.0303030303030304E-2</v>
      </c>
    </row>
    <row r="90" spans="1:68" ht="27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13.25925925925926</v>
      </c>
      <c r="Y91" s="43">
        <f>IFERROR(Y85/H85,"0")+IFERROR(Y86/H86,"0")+IFERROR(Y87/H87,"0")+IFERROR(Y88/H88,"0")+IFERROR(Y89/H89,"0")+IFERROR(Y90/H90,"0")</f>
        <v>14</v>
      </c>
      <c r="Z91" s="43">
        <f>IFERROR(IF(Z85="",0,Z85),"0")+IFERROR(IF(Z86="",0,Z86),"0")+IFERROR(IF(Z87="",0,Z87),"0")+IFERROR(IF(Z88="",0,Z88),"0")+IFERROR(IF(Z89="",0,Z89),"0")+IFERROR(IF(Z90="",0,Z90),"0")</f>
        <v>0.22588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118</v>
      </c>
      <c r="Y92" s="43">
        <f>IFERROR(SUM(Y85:Y90),"0")</f>
        <v>126</v>
      </c>
      <c r="Z92" s="42"/>
      <c r="AA92" s="67"/>
      <c r="AB92" s="67"/>
      <c r="AC92" s="67"/>
    </row>
    <row r="93" spans="1:68" ht="14.25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260</v>
      </c>
      <c r="Y94" s="55">
        <f>IFERROR(IF(X94="",0,CEILING((X94/$H94),1)*$H94),"")</f>
        <v>267.3</v>
      </c>
      <c r="Z94" s="41">
        <f>IFERROR(IF(Y94=0,"",ROUNDUP(Y94/H94,0)*0.01898),"")</f>
        <v>0.62634000000000001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275.85679012345679</v>
      </c>
      <c r="BN94" s="78">
        <f>IFERROR(Y94*I94/H94,"0")</f>
        <v>283.60199999999998</v>
      </c>
      <c r="BO94" s="78">
        <f>IFERROR(1/J94*(X94/H94),"0")</f>
        <v>0.50154320987654322</v>
      </c>
      <c r="BP94" s="78">
        <f>IFERROR(1/J94*(Y94/H94),"0")</f>
        <v>0.515625</v>
      </c>
    </row>
    <row r="95" spans="1:68" ht="27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32.098765432098766</v>
      </c>
      <c r="Y98" s="43">
        <f>IFERROR(Y94/H94,"0")+IFERROR(Y95/H95,"0")+IFERROR(Y96/H96,"0")+IFERROR(Y97/H97,"0")</f>
        <v>33</v>
      </c>
      <c r="Z98" s="43">
        <f>IFERROR(IF(Z94="",0,Z94),"0")+IFERROR(IF(Z95="",0,Z95),"0")+IFERROR(IF(Z96="",0,Z96),"0")+IFERROR(IF(Z97="",0,Z97),"0")</f>
        <v>0.62634000000000001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260</v>
      </c>
      <c r="Y99" s="43">
        <f>IFERROR(SUM(Y94:Y97),"0")</f>
        <v>267.3</v>
      </c>
      <c r="Z99" s="42"/>
      <c r="AA99" s="67"/>
      <c r="AB99" s="67"/>
      <c r="AC99" s="67"/>
    </row>
    <row r="100" spans="1:68" ht="16.5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130</v>
      </c>
      <c r="Y102" s="55">
        <f t="shared" ref="Y102:Y107" si="10">IFERROR(IF(X102="",0,CEILING((X102/$H102),1)*$H102),"")</f>
        <v>140.4</v>
      </c>
      <c r="Z102" s="41">
        <f>IFERROR(IF(Y102=0,"",ROUNDUP(Y102/H102,0)*0.01898),"")</f>
        <v>0.24674000000000001</v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134.93518518518519</v>
      </c>
      <c r="BN102" s="78">
        <f t="shared" ref="BN102:BN107" si="12">IFERROR(Y102*I102/H102,"0")</f>
        <v>145.73000000000002</v>
      </c>
      <c r="BO102" s="78">
        <f t="shared" ref="BO102:BO107" si="13">IFERROR(1/J102*(X102/H102),"0")</f>
        <v>0.18807870370370369</v>
      </c>
      <c r="BP102" s="78">
        <f t="shared" ref="BP102:BP107" si="14">IFERROR(1/J102*(Y102/H102),"0")</f>
        <v>0.203125</v>
      </c>
    </row>
    <row r="103" spans="1:68" ht="27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18</v>
      </c>
      <c r="Y105" s="55">
        <f t="shared" si="10"/>
        <v>18</v>
      </c>
      <c r="Z105" s="41">
        <f>IFERROR(IF(Y105=0,"",ROUNDUP(Y105/H105,0)*0.00902),"")</f>
        <v>3.6080000000000001E-2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18.760000000000002</v>
      </c>
      <c r="BN105" s="78">
        <f t="shared" si="12"/>
        <v>18.760000000000002</v>
      </c>
      <c r="BO105" s="78">
        <f t="shared" si="13"/>
        <v>3.0303030303030304E-2</v>
      </c>
      <c r="BP105" s="78">
        <f t="shared" si="14"/>
        <v>3.0303030303030304E-2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16.037037037037038</v>
      </c>
      <c r="Y108" s="43">
        <f>IFERROR(Y102/H102,"0")+IFERROR(Y103/H103,"0")+IFERROR(Y104/H104,"0")+IFERROR(Y105/H105,"0")+IFERROR(Y106/H106,"0")+IFERROR(Y107/H107,"0")</f>
        <v>17</v>
      </c>
      <c r="Z108" s="43">
        <f>IFERROR(IF(Z102="",0,Z102),"0")+IFERROR(IF(Z103="",0,Z103),"0")+IFERROR(IF(Z104="",0,Z104),"0")+IFERROR(IF(Z105="",0,Z105),"0")+IFERROR(IF(Z106="",0,Z106),"0")+IFERROR(IF(Z107="",0,Z107),"0")</f>
        <v>0.28282000000000002</v>
      </c>
      <c r="AA108" s="67"/>
      <c r="AB108" s="67"/>
      <c r="AC108" s="67"/>
    </row>
    <row r="109" spans="1:68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148</v>
      </c>
      <c r="Y109" s="43">
        <f>IFERROR(SUM(Y102:Y107),"0")</f>
        <v>158.4</v>
      </c>
      <c r="Z109" s="42"/>
      <c r="AA109" s="67"/>
      <c r="AB109" s="67"/>
      <c r="AC109" s="67"/>
    </row>
    <row r="110" spans="1:68" ht="14.25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650</v>
      </c>
      <c r="Y119" s="55">
        <f>IFERROR(IF(X119="",0,CEILING((X119/$H119),1)*$H119),"")</f>
        <v>656.1</v>
      </c>
      <c r="Z119" s="41">
        <f>IFERROR(IF(Y119=0,"",ROUNDUP(Y119/H119,0)*0.01898),"")</f>
        <v>1.53738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689.16049382716051</v>
      </c>
      <c r="BN119" s="78">
        <f>IFERROR(Y119*I119/H119,"0")</f>
        <v>695.62800000000004</v>
      </c>
      <c r="BO119" s="78">
        <f>IFERROR(1/J119*(X119/H119),"0")</f>
        <v>1.253858024691358</v>
      </c>
      <c r="BP119" s="78">
        <f>IFERROR(1/J119*(Y119/H119),"0")</f>
        <v>1.265625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80.246913580246911</v>
      </c>
      <c r="Y123" s="43">
        <f>IFERROR(Y119/H119,"0")+IFERROR(Y120/H120,"0")+IFERROR(Y121/H121,"0")+IFERROR(Y122/H122,"0")</f>
        <v>81</v>
      </c>
      <c r="Z123" s="43">
        <f>IFERROR(IF(Z119="",0,Z119),"0")+IFERROR(IF(Z120="",0,Z120),"0")+IFERROR(IF(Z121="",0,Z121),"0")+IFERROR(IF(Z122="",0,Z122),"0")</f>
        <v>1.53738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650</v>
      </c>
      <c r="Y124" s="43">
        <f>IFERROR(SUM(Y119:Y122),"0")</f>
        <v>656.1</v>
      </c>
      <c r="Z124" s="42"/>
      <c r="AA124" s="67"/>
      <c r="AB124" s="67"/>
      <c r="AC124" s="67"/>
    </row>
    <row r="125" spans="1:68" ht="14.25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100</v>
      </c>
      <c r="Y218" s="55">
        <f t="shared" ref="Y218:Y232" si="32">IFERROR(IF(X218="",0,CEILING((X218/$H218),1)*$H218),"")</f>
        <v>100.80000000000001</v>
      </c>
      <c r="Z218" s="41">
        <f>IFERROR(IF(Y218=0,"",ROUNDUP(Y218/H218,0)*0.00902),"")</f>
        <v>0.21648000000000001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105.95238095238095</v>
      </c>
      <c r="BN218" s="78">
        <f t="shared" ref="BN218:BN232" si="34">IFERROR(Y218*I218/H218,"0")</f>
        <v>106.80000000000001</v>
      </c>
      <c r="BO218" s="78">
        <f t="shared" ref="BO218:BO232" si="35">IFERROR(1/J218*(X218/H218),"0")</f>
        <v>0.18037518037518038</v>
      </c>
      <c r="BP218" s="78">
        <f t="shared" ref="BP218:BP232" si="36">IFERROR(1/J218*(Y218/H218),"0")</f>
        <v>0.18181818181818182</v>
      </c>
    </row>
    <row r="219" spans="1:68" ht="27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si="32"/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62.714285714285708</v>
      </c>
      <c r="BN220" s="78">
        <f t="shared" si="34"/>
        <v>65.849999999999994</v>
      </c>
      <c r="BO220" s="78">
        <f t="shared" si="35"/>
        <v>0.10822510822510822</v>
      </c>
      <c r="BP220" s="78">
        <f t="shared" si="36"/>
        <v>0.11363636363636365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38.095238095238095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39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0.35177999999999998</v>
      </c>
      <c r="AA233" s="67"/>
      <c r="AB233" s="67"/>
      <c r="AC233" s="67"/>
    </row>
    <row r="234" spans="1:68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160</v>
      </c>
      <c r="Y234" s="43">
        <f>IFERROR(SUM(Y218:Y232),"0")</f>
        <v>163.80000000000001</v>
      </c>
      <c r="Z234" s="42"/>
      <c r="AA234" s="67"/>
      <c r="AB234" s="67"/>
      <c r="AC234" s="67"/>
    </row>
    <row r="235" spans="1:68" ht="14.25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ref="Y269:Y276" si="43">IFERROR(IF(X269="",0,CEILING((X269/$H269),1)*$H269),"")</f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124.2222222222222</v>
      </c>
      <c r="BN269" s="78">
        <f t="shared" ref="BN269:BN276" si="45">IFERROR(Y269*I269/H269,"0")</f>
        <v>128.57</v>
      </c>
      <c r="BO269" s="78">
        <f t="shared" ref="BO269:BO276" si="46">IFERROR(1/J269*(X269/H269),"0")</f>
        <v>0.16835016835016836</v>
      </c>
      <c r="BP269" s="78">
        <f t="shared" ref="BP269:BP276" si="47">IFERROR(1/J269*(Y269/H269),"0")</f>
        <v>0.17424242424242425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130</v>
      </c>
      <c r="Y270" s="55">
        <f t="shared" si="43"/>
        <v>135</v>
      </c>
      <c r="Z270" s="41">
        <f>IFERROR(IF(Y270=0,"",ROUNDUP(Y270/H270,0)*0.00902),"")</f>
        <v>0.22550000000000001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134.57407407407405</v>
      </c>
      <c r="BN270" s="78">
        <f t="shared" si="45"/>
        <v>139.75</v>
      </c>
      <c r="BO270" s="78">
        <f t="shared" si="46"/>
        <v>0.18237934904601572</v>
      </c>
      <c r="BP270" s="78">
        <f t="shared" si="47"/>
        <v>0.18939393939393939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130</v>
      </c>
      <c r="Y272" s="55">
        <f t="shared" si="43"/>
        <v>135</v>
      </c>
      <c r="Z272" s="41">
        <f>IFERROR(IF(Y272=0,"",ROUNDUP(Y272/H272,0)*0.00902),"")</f>
        <v>0.22550000000000001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134.57407407407405</v>
      </c>
      <c r="BN272" s="78">
        <f t="shared" si="45"/>
        <v>139.75</v>
      </c>
      <c r="BO272" s="78">
        <f t="shared" si="46"/>
        <v>0.18237934904601572</v>
      </c>
      <c r="BP272" s="78">
        <f t="shared" si="47"/>
        <v>0.18939393939393939</v>
      </c>
    </row>
    <row r="273" spans="1:68" ht="27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70.370370370370367</v>
      </c>
      <c r="Y277" s="43">
        <f>IFERROR(Y269/H269,"0")+IFERROR(Y270/H270,"0")+IFERROR(Y271/H271,"0")+IFERROR(Y272/H272,"0")+IFERROR(Y273/H273,"0")+IFERROR(Y274/H274,"0")+IFERROR(Y275/H275,"0")+IFERROR(Y276/H276,"0")</f>
        <v>73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0.65846000000000005</v>
      </c>
      <c r="AA277" s="67"/>
      <c r="AB277" s="67"/>
      <c r="AC277" s="67"/>
    </row>
    <row r="278" spans="1:68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380</v>
      </c>
      <c r="Y278" s="43">
        <f>IFERROR(SUM(Y269:Y276),"0")</f>
        <v>394.2</v>
      </c>
      <c r="Z278" s="42"/>
      <c r="AA278" s="67"/>
      <c r="AB278" s="67"/>
      <c r="AC278" s="67"/>
    </row>
    <row r="279" spans="1:68" ht="14.25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300</v>
      </c>
      <c r="Y282" s="55">
        <f t="shared" si="48"/>
        <v>304.5</v>
      </c>
      <c r="Z282" s="41">
        <f>IFERROR(IF(Y282=0,"",ROUNDUP(Y282/H282,0)*0.01898),"")</f>
        <v>0.6643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317.03448275862075</v>
      </c>
      <c r="BN282" s="78">
        <f t="shared" si="50"/>
        <v>321.79000000000008</v>
      </c>
      <c r="BO282" s="78">
        <f t="shared" si="51"/>
        <v>0.53879310344827591</v>
      </c>
      <c r="BP282" s="78">
        <f t="shared" si="52"/>
        <v>0.546875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34.482758620689658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0.6643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300</v>
      </c>
      <c r="Y293" s="43">
        <f>IFERROR(SUM(Y280:Y291),"0")</f>
        <v>304.5</v>
      </c>
      <c r="Z293" s="42"/>
      <c r="AA293" s="67"/>
      <c r="AB293" s="67"/>
      <c r="AC293" s="67"/>
    </row>
    <row r="294" spans="1:68" ht="14.25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650</v>
      </c>
      <c r="Y390" s="55">
        <f>IFERROR(IF(X390="",0,CEILING((X390/$H390),1)*$H390),"")</f>
        <v>655.19999999999993</v>
      </c>
      <c r="Z390" s="41">
        <f>IFERROR(IF(Y390=0,"",ROUNDUP(Y390/H390,0)*0.01898),"")</f>
        <v>1.59432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691.16666666666674</v>
      </c>
      <c r="BN390" s="78">
        <f>IFERROR(Y390*I390/H390,"0")</f>
        <v>696.69600000000003</v>
      </c>
      <c r="BO390" s="78">
        <f>IFERROR(1/J390*(X390/H390),"0")</f>
        <v>1.3020833333333333</v>
      </c>
      <c r="BP390" s="78">
        <f>IFERROR(1/J390*(Y390/H390),"0")</f>
        <v>1.3125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83.333333333333329</v>
      </c>
      <c r="Y392" s="43">
        <f>IFERROR(Y389/H389,"0")+IFERROR(Y390/H390,"0")+IFERROR(Y391/H391,"0")</f>
        <v>84</v>
      </c>
      <c r="Z392" s="43">
        <f>IFERROR(IF(Z389="",0,Z389),"0")+IFERROR(IF(Z390="",0,Z390),"0")+IFERROR(IF(Z391="",0,Z391),"0")</f>
        <v>1.59432</v>
      </c>
      <c r="AA392" s="67"/>
      <c r="AB392" s="67"/>
      <c r="AC392" s="67"/>
    </row>
    <row r="393" spans="1:68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650</v>
      </c>
      <c r="Y393" s="43">
        <f>IFERROR(SUM(Y389:Y391),"0")</f>
        <v>655.19999999999993</v>
      </c>
      <c r="Z393" s="42"/>
      <c r="AA393" s="67"/>
      <c r="AB393" s="67"/>
      <c r="AC393" s="67"/>
    </row>
    <row r="394" spans="1:68" ht="14.25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1600</v>
      </c>
      <c r="Y430" s="55">
        <f t="shared" si="68"/>
        <v>1605</v>
      </c>
      <c r="Z430" s="41">
        <f>IFERROR(IF(Y430=0,"",ROUNDUP(Y430/H430,0)*0.02175),"")</f>
        <v>2.3272499999999998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1650.1333333333334</v>
      </c>
      <c r="BN430" s="78">
        <f t="shared" si="70"/>
        <v>1655.2900000000002</v>
      </c>
      <c r="BO430" s="78">
        <f t="shared" si="71"/>
        <v>2.2222222222222223</v>
      </c>
      <c r="BP430" s="78">
        <f t="shared" si="72"/>
        <v>2.2291666666666665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900</v>
      </c>
      <c r="Y431" s="55">
        <f t="shared" si="68"/>
        <v>900</v>
      </c>
      <c r="Z431" s="41">
        <f>IFERROR(IF(Y431=0,"",ROUNDUP(Y431/H431,0)*0.02175),"")</f>
        <v>1.3049999999999999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928.2</v>
      </c>
      <c r="BN431" s="78">
        <f t="shared" si="70"/>
        <v>928.2</v>
      </c>
      <c r="BO431" s="78">
        <f t="shared" si="71"/>
        <v>1.25</v>
      </c>
      <c r="BP431" s="78">
        <f t="shared" si="72"/>
        <v>1.25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1600</v>
      </c>
      <c r="Y432" s="55">
        <f t="shared" si="68"/>
        <v>1605</v>
      </c>
      <c r="Z432" s="41">
        <f>IFERROR(IF(Y432=0,"",ROUNDUP(Y432/H432,0)*0.02175),"")</f>
        <v>2.3272499999999998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1650.1333333333334</v>
      </c>
      <c r="BN432" s="78">
        <f t="shared" si="70"/>
        <v>1655.2900000000002</v>
      </c>
      <c r="BO432" s="78">
        <f t="shared" si="71"/>
        <v>2.2222222222222223</v>
      </c>
      <c r="BP432" s="78">
        <f t="shared" si="72"/>
        <v>2.2291666666666665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273.33333333333337</v>
      </c>
      <c r="Y437" s="43">
        <f>IFERROR(Y429/H429,"0")+IFERROR(Y430/H430,"0")+IFERROR(Y431/H431,"0")+IFERROR(Y432/H432,"0")+IFERROR(Y433/H433,"0")+IFERROR(Y434/H434,"0")+IFERROR(Y435/H435,"0")+IFERROR(Y436/H436,"0")</f>
        <v>274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5.9595000000000002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4100</v>
      </c>
      <c r="Y438" s="43">
        <f>IFERROR(SUM(Y429:Y436),"0")</f>
        <v>4110</v>
      </c>
      <c r="Z438" s="42"/>
      <c r="AA438" s="67"/>
      <c r="AB438" s="67"/>
      <c r="AC438" s="67"/>
    </row>
    <row r="439" spans="1:68" ht="14.25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950</v>
      </c>
      <c r="Y440" s="55">
        <f>IFERROR(IF(X440="",0,CEILING((X440/$H440),1)*$H440),"")</f>
        <v>960</v>
      </c>
      <c r="Z440" s="41">
        <f>IFERROR(IF(Y440=0,"",ROUNDUP(Y440/H440,0)*0.02175),"")</f>
        <v>1.3919999999999999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979.76666666666665</v>
      </c>
      <c r="BN440" s="78">
        <f>IFERROR(Y440*I440/H440,"0")</f>
        <v>990.08</v>
      </c>
      <c r="BO440" s="78">
        <f>IFERROR(1/J440*(X440/H440),"0")</f>
        <v>1.3194444444444444</v>
      </c>
      <c r="BP440" s="78">
        <f>IFERROR(1/J440*(Y440/H440),"0")</f>
        <v>1.3333333333333333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63.333333333333336</v>
      </c>
      <c r="Y443" s="43">
        <f>IFERROR(Y440/H440,"0")+IFERROR(Y441/H441,"0")+IFERROR(Y442/H442,"0")</f>
        <v>64</v>
      </c>
      <c r="Z443" s="43">
        <f>IFERROR(IF(Z440="",0,Z440),"0")+IFERROR(IF(Z441="",0,Z441),"0")+IFERROR(IF(Z442="",0,Z442),"0")</f>
        <v>1.3919999999999999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950</v>
      </c>
      <c r="Y444" s="43">
        <f>IFERROR(SUM(Y440:Y442),"0")</f>
        <v>960</v>
      </c>
      <c r="Z444" s="42"/>
      <c r="AA444" s="67"/>
      <c r="AB444" s="67"/>
      <c r="AC444" s="67"/>
    </row>
    <row r="445" spans="1:68" ht="14.25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550</v>
      </c>
      <c r="Y467" s="55">
        <f>IFERROR(IF(X467="",0,CEILING((X467/$H467),1)*$H467),"")</f>
        <v>558</v>
      </c>
      <c r="Z467" s="41">
        <f>IFERROR(IF(Y467=0,"",ROUNDUP(Y467/H467,0)*0.01898),"")</f>
        <v>1.17676</v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580.18888888888887</v>
      </c>
      <c r="BN467" s="78">
        <f>IFERROR(Y467*I467/H467,"0")</f>
        <v>588.62800000000004</v>
      </c>
      <c r="BO467" s="78">
        <f>IFERROR(1/J467*(X467/H467),"0")</f>
        <v>0.95486111111111116</v>
      </c>
      <c r="BP467" s="78">
        <f>IFERROR(1/J467*(Y467/H467),"0")</f>
        <v>0.96875</v>
      </c>
    </row>
    <row r="468" spans="1:68" ht="27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24</v>
      </c>
      <c r="Y468" s="55">
        <f>IFERROR(IF(X468="",0,CEILING((X468/$H468),1)*$H468),"")</f>
        <v>24</v>
      </c>
      <c r="Z468" s="41">
        <f>IFERROR(IF(Y468=0,"",ROUNDUP(Y468/H468,0)*0.00651),"")</f>
        <v>6.5100000000000005E-2</v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26.640000000000004</v>
      </c>
      <c r="BN468" s="78">
        <f>IFERROR(Y468*I468/H468,"0")</f>
        <v>26.640000000000004</v>
      </c>
      <c r="BO468" s="78">
        <f>IFERROR(1/J468*(X468/H468),"0")</f>
        <v>5.4945054945054951E-2</v>
      </c>
      <c r="BP468" s="78">
        <f>IFERROR(1/J468*(Y468/H468),"0")</f>
        <v>5.4945054945054951E-2</v>
      </c>
    </row>
    <row r="469" spans="1:68" ht="27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71.111111111111114</v>
      </c>
      <c r="Y470" s="43">
        <f>IFERROR(Y467/H467,"0")+IFERROR(Y468/H468,"0")+IFERROR(Y469/H469,"0")</f>
        <v>72</v>
      </c>
      <c r="Z470" s="43">
        <f>IFERROR(IF(Z467="",0,Z467),"0")+IFERROR(IF(Z468="",0,Z468),"0")+IFERROR(IF(Z469="",0,Z469),"0")</f>
        <v>1.24186</v>
      </c>
      <c r="AA470" s="67"/>
      <c r="AB470" s="67"/>
      <c r="AC470" s="67"/>
    </row>
    <row r="471" spans="1:68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574</v>
      </c>
      <c r="Y471" s="43">
        <f>IFERROR(SUM(Y467:Y469),"0")</f>
        <v>582</v>
      </c>
      <c r="Z471" s="42"/>
      <c r="AA471" s="67"/>
      <c r="AB471" s="67"/>
      <c r="AC471" s="67"/>
    </row>
    <row r="472" spans="1:68" ht="27.75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150</v>
      </c>
      <c r="Y475" s="55">
        <f t="shared" ref="Y475:Y480" si="73">IFERROR(IF(X475="",0,CEILING((X475/$H475),1)*$H475),"")</f>
        <v>151.20000000000002</v>
      </c>
      <c r="Z475" s="41">
        <f>IFERROR(IF(Y475=0,"",ROUNDUP(Y475/H475,0)*0.00902),"")</f>
        <v>0.25256000000000001</v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155.27777777777777</v>
      </c>
      <c r="BN475" s="78">
        <f t="shared" ref="BN475:BN480" si="75">IFERROR(Y475*I475/H475,"0")</f>
        <v>156.52000000000001</v>
      </c>
      <c r="BO475" s="78">
        <f t="shared" ref="BO475:BO480" si="76">IFERROR(1/J475*(X475/H475),"0")</f>
        <v>0.21043771043771042</v>
      </c>
      <c r="BP475" s="78">
        <f t="shared" ref="BP475:BP480" si="77">IFERROR(1/J475*(Y475/H475),"0")</f>
        <v>0.21212121212121213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150</v>
      </c>
      <c r="Y476" s="55">
        <f t="shared" si="73"/>
        <v>151.20000000000002</v>
      </c>
      <c r="Z476" s="41">
        <f>IFERROR(IF(Y476=0,"",ROUNDUP(Y476/H476,0)*0.00902),"")</f>
        <v>0.25256000000000001</v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155.27777777777777</v>
      </c>
      <c r="BN476" s="78">
        <f t="shared" si="75"/>
        <v>156.52000000000001</v>
      </c>
      <c r="BO476" s="78">
        <f t="shared" si="76"/>
        <v>0.21043771043771042</v>
      </c>
      <c r="BP476" s="78">
        <f t="shared" si="77"/>
        <v>0.21212121212121213</v>
      </c>
    </row>
    <row r="477" spans="1:68" ht="27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55.55555555555555</v>
      </c>
      <c r="Y481" s="43">
        <f>IFERROR(Y475/H475,"0")+IFERROR(Y476/H476,"0")+IFERROR(Y477/H477,"0")+IFERROR(Y478/H478,"0")+IFERROR(Y479/H479,"0")+IFERROR(Y480/H480,"0")</f>
        <v>56</v>
      </c>
      <c r="Z481" s="43">
        <f>IFERROR(IF(Z475="",0,Z475),"0")+IFERROR(IF(Z476="",0,Z476),"0")+IFERROR(IF(Z477="",0,Z477),"0")+IFERROR(IF(Z478="",0,Z478),"0")+IFERROR(IF(Z479="",0,Z479),"0")+IFERROR(IF(Z480="",0,Z480),"0")</f>
        <v>0.50512000000000001</v>
      </c>
      <c r="AA481" s="67"/>
      <c r="AB481" s="67"/>
      <c r="AC481" s="67"/>
    </row>
    <row r="482" spans="1:68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300</v>
      </c>
      <c r="Y482" s="43">
        <f>IFERROR(SUM(Y475:Y480),"0")</f>
        <v>302.40000000000003</v>
      </c>
      <c r="Z482" s="42"/>
      <c r="AA482" s="67"/>
      <c r="AB482" s="67"/>
      <c r="AC482" s="67"/>
    </row>
    <row r="483" spans="1:68" ht="14.25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120</v>
      </c>
      <c r="Y494" s="55">
        <f>IFERROR(IF(X494="",0,CEILING((X494/$H494),1)*$H494),"")</f>
        <v>124.2</v>
      </c>
      <c r="Z494" s="41">
        <f>IFERROR(IF(Y494=0,"",ROUNDUP(Y494/H494,0)*0.00902),"")</f>
        <v>0.20746000000000001</v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124.2222222222222</v>
      </c>
      <c r="BN494" s="78">
        <f>IFERROR(Y494*I494/H494,"0")</f>
        <v>128.57</v>
      </c>
      <c r="BO494" s="78">
        <f>IFERROR(1/J494*(X494/H494),"0")</f>
        <v>0.16835016835016836</v>
      </c>
      <c r="BP494" s="78">
        <f>IFERROR(1/J494*(Y494/H494),"0")</f>
        <v>0.17424242424242425</v>
      </c>
    </row>
    <row r="495" spans="1:68" ht="27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22.222222222222221</v>
      </c>
      <c r="Y497" s="43">
        <f>IFERROR(Y494/H494,"0")+IFERROR(Y495/H495,"0")+IFERROR(Y496/H496,"0")</f>
        <v>23</v>
      </c>
      <c r="Z497" s="43">
        <f>IFERROR(IF(Z494="",0,Z494),"0")+IFERROR(IF(Z495="",0,Z495),"0")+IFERROR(IF(Z496="",0,Z496),"0")</f>
        <v>0.20746000000000001</v>
      </c>
      <c r="AA497" s="67"/>
      <c r="AB497" s="67"/>
      <c r="AC497" s="67"/>
    </row>
    <row r="498" spans="1:68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120</v>
      </c>
      <c r="Y498" s="43">
        <f>IFERROR(SUM(Y494:Y496),"0")</f>
        <v>124.2</v>
      </c>
      <c r="Z498" s="42"/>
      <c r="AA498" s="67"/>
      <c r="AB498" s="67"/>
      <c r="AC498" s="67"/>
    </row>
    <row r="499" spans="1:68" ht="27.75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250</v>
      </c>
      <c r="Y507" s="55">
        <f t="shared" si="78"/>
        <v>253.44</v>
      </c>
      <c r="Z507" s="41">
        <f t="shared" si="79"/>
        <v>0.57408000000000003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266.57196969696969</v>
      </c>
      <c r="BN507" s="78">
        <f t="shared" si="81"/>
        <v>270.23999999999995</v>
      </c>
      <c r="BO507" s="78">
        <f t="shared" si="82"/>
        <v>0.45527389277389274</v>
      </c>
      <c r="BP507" s="78">
        <f t="shared" si="83"/>
        <v>0.46153846153846156</v>
      </c>
    </row>
    <row r="508" spans="1:68" ht="27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47.348484848484844</v>
      </c>
      <c r="Y511" s="43">
        <f>IFERROR(Y502/H502,"0")+IFERROR(Y503/H503,"0")+IFERROR(Y504/H504,"0")+IFERROR(Y505/H505,"0")+IFERROR(Y506/H506,"0")+IFERROR(Y507/H507,"0")+IFERROR(Y508/H508,"0")+IFERROR(Y509/H509,"0")+IFERROR(Y510/H510,"0")</f>
        <v>48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0.57408000000000003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250</v>
      </c>
      <c r="Y512" s="43">
        <f>IFERROR(SUM(Y502:Y510),"0")</f>
        <v>253.44</v>
      </c>
      <c r="Z512" s="42"/>
      <c r="AA512" s="67"/>
      <c r="AB512" s="67"/>
      <c r="AC512" s="67"/>
    </row>
    <row r="513" spans="1:68" ht="14.25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270</v>
      </c>
      <c r="Y514" s="55">
        <f>IFERROR(IF(X514="",0,CEILING((X514/$H514),1)*$H514),"")</f>
        <v>274.56</v>
      </c>
      <c r="Z514" s="41">
        <f>IFERROR(IF(Y514=0,"",ROUNDUP(Y514/H514,0)*0.01196),"")</f>
        <v>0.62192000000000003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287.89772727272725</v>
      </c>
      <c r="BN514" s="78">
        <f>IFERROR(Y514*I514/H514,"0")</f>
        <v>292.76</v>
      </c>
      <c r="BO514" s="78">
        <f>IFERROR(1/J514*(X514/H514),"0")</f>
        <v>0.49169580419580416</v>
      </c>
      <c r="BP514" s="78">
        <f>IFERROR(1/J514*(Y514/H514),"0")</f>
        <v>0.5</v>
      </c>
    </row>
    <row r="515" spans="1:68" ht="16.5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51.136363636363633</v>
      </c>
      <c r="Y517" s="43">
        <f>IFERROR(Y514/H514,"0")+IFERROR(Y515/H515,"0")+IFERROR(Y516/H516,"0")</f>
        <v>52</v>
      </c>
      <c r="Z517" s="43">
        <f>IFERROR(IF(Z514="",0,Z514),"0")+IFERROR(IF(Z515="",0,Z515),"0")+IFERROR(IF(Z516="",0,Z516),"0")</f>
        <v>0.62192000000000003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270</v>
      </c>
      <c r="Y518" s="43">
        <f>IFERROR(SUM(Y514:Y516),"0")</f>
        <v>274.56</v>
      </c>
      <c r="Z518" s="42"/>
      <c r="AA518" s="67"/>
      <c r="AB518" s="67"/>
      <c r="AC518" s="67"/>
    </row>
    <row r="519" spans="1:68" ht="14.25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ref="Y520:Y526" si="84">IFERROR(IF(X520="",0,CEILING((X520/$H520),1)*$H520),"")</f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106.62878787878788</v>
      </c>
      <c r="BN520" s="78">
        <f t="shared" ref="BN520:BN526" si="86">IFERROR(Y520*I520/H520,"0")</f>
        <v>106.97</v>
      </c>
      <c r="BO520" s="78">
        <f t="shared" ref="BO520:BO526" si="87">IFERROR(1/J520*(X520/H520),"0")</f>
        <v>0.18210955710955709</v>
      </c>
      <c r="BP520" s="78">
        <f t="shared" ref="BP520:BP526" si="88">IFERROR(1/J520*(Y520/H520),"0")</f>
        <v>0.18269230769230771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</v>
      </c>
      <c r="Y521" s="55">
        <f t="shared" si="84"/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106.62878787878788</v>
      </c>
      <c r="BN521" s="78">
        <f t="shared" si="86"/>
        <v>106.97</v>
      </c>
      <c r="BO521" s="78">
        <f t="shared" si="87"/>
        <v>0.18210955710955709</v>
      </c>
      <c r="BP521" s="78">
        <f t="shared" si="88"/>
        <v>0.18269230769230771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120</v>
      </c>
      <c r="Y522" s="55">
        <f t="shared" si="84"/>
        <v>121.44000000000001</v>
      </c>
      <c r="Z522" s="41">
        <f>IFERROR(IF(Y522=0,"",ROUNDUP(Y522/H522,0)*0.01196),"")</f>
        <v>0.27507999999999999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127.95454545454545</v>
      </c>
      <c r="BN522" s="78">
        <f t="shared" si="86"/>
        <v>129.49</v>
      </c>
      <c r="BO522" s="78">
        <f t="shared" si="87"/>
        <v>0.21853146853146854</v>
      </c>
      <c r="BP522" s="78">
        <f t="shared" si="88"/>
        <v>0.22115384615384617</v>
      </c>
    </row>
    <row r="523" spans="1:68" ht="27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60.606060606060602</v>
      </c>
      <c r="Y527" s="43">
        <f>IFERROR(Y520/H520,"0")+IFERROR(Y521/H521,"0")+IFERROR(Y522/H522,"0")+IFERROR(Y523/H523,"0")+IFERROR(Y524/H524,"0")+IFERROR(Y525/H525,"0")+IFERROR(Y526/H526,"0")</f>
        <v>61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0.72955999999999999</v>
      </c>
      <c r="AA527" s="67"/>
      <c r="AB527" s="67"/>
      <c r="AC527" s="67"/>
    </row>
    <row r="528" spans="1:68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320</v>
      </c>
      <c r="Y528" s="43">
        <f>IFERROR(SUM(Y520:Y526),"0")</f>
        <v>322.08000000000004</v>
      </c>
      <c r="Z528" s="42"/>
      <c r="AA528" s="67"/>
      <c r="AB528" s="67"/>
      <c r="AC528" s="67"/>
    </row>
    <row r="529" spans="1:68" ht="27.75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60</v>
      </c>
      <c r="Y540" s="55">
        <f>IFERROR(IF(X540="",0,CEILING((X540/$H540),1)*$H540),"")</f>
        <v>63</v>
      </c>
      <c r="Z540" s="41">
        <f>IFERROR(IF(Y540=0,"",ROUNDUP(Y540/H540,0)*0.00902),"")</f>
        <v>0.1353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63.571428571428569</v>
      </c>
      <c r="BN540" s="78">
        <f>IFERROR(Y540*I540/H540,"0")</f>
        <v>66.75</v>
      </c>
      <c r="BO540" s="78">
        <f>IFERROR(1/J540*(X540/H540),"0")</f>
        <v>0.10822510822510822</v>
      </c>
      <c r="BP540" s="78">
        <f>IFERROR(1/J540*(Y540/H540),"0")</f>
        <v>0.11363636363636365</v>
      </c>
    </row>
    <row r="541" spans="1:68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14.285714285714285</v>
      </c>
      <c r="Y541" s="43">
        <f>IFERROR(Y540/H540,"0")</f>
        <v>15</v>
      </c>
      <c r="Z541" s="43">
        <f>IFERROR(IF(Z540="",0,Z540),"0")</f>
        <v>0.1353</v>
      </c>
      <c r="AA541" s="67"/>
      <c r="AB541" s="67"/>
      <c r="AC541" s="67"/>
    </row>
    <row r="542" spans="1:68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60</v>
      </c>
      <c r="Y542" s="43">
        <f>IFERROR(SUM(Y540:Y540),"0")</f>
        <v>63</v>
      </c>
      <c r="Z542" s="42"/>
      <c r="AA542" s="67"/>
      <c r="AB542" s="67"/>
      <c r="AC542" s="67"/>
    </row>
    <row r="543" spans="1:68" ht="14.25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10076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10186.780000000001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10504.443531981005</v>
      </c>
      <c r="Y559" s="43">
        <f>IFERROR(SUM(BN22:BN555),"0")</f>
        <v>10620.284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16</v>
      </c>
      <c r="Y560" s="44">
        <f>ROUNDUP(SUM(BP22:BP555),0)</f>
        <v>16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10904.443531981005</v>
      </c>
      <c r="Y561" s="43">
        <f>GrossWeightTotalR+PalletQtyTotalR*25</f>
        <v>11020.284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1072.522521327119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1087</v>
      </c>
      <c r="Z562" s="42"/>
      <c r="AA562" s="67"/>
      <c r="AB562" s="67"/>
      <c r="AC562" s="67"/>
    </row>
    <row r="563" spans="1:32" ht="14.25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18.141319999999997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469.6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393.3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814.5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163.80000000000001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698.7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655.19999999999993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5070</v>
      </c>
      <c r="X568" s="52">
        <f>IFERROR(Y458*1,"0")+IFERROR(Y459*1,"0")+IFERROR(Y463*1,"0")+IFERROR(Y467*1,"0")+IFERROR(Y468*1,"0")+IFERROR(Y469*1,"0")</f>
        <v>582</v>
      </c>
      <c r="Y568" s="52">
        <f>IFERROR(Y475*1,"0")+IFERROR(Y476*1,"0")+IFERROR(Y477*1,"0")+IFERROR(Y478*1,"0")+IFERROR(Y479*1,"0")+IFERROR(Y480*1,"0")+IFERROR(Y484*1,"0")+IFERROR(Y485*1,"0")</f>
        <v>302.40000000000003</v>
      </c>
      <c r="Z568" s="52">
        <f>IFERROR(Y490*1,"0")+IFERROR(Y494*1,"0")+IFERROR(Y495*1,"0")+IFERROR(Y496*1,"0")</f>
        <v>124.2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850.08000000000015</v>
      </c>
      <c r="AB568" s="52">
        <f>IFERROR(Y532*1,"0")+IFERROR(Y536*1,"0")+IFERROR(Y540*1,"0")+IFERROR(Y544*1,"0")+IFERROR(Y548*1,"0")+IFERROR(Y549*1,"0")</f>
        <v>63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2026-09-16T07:52:05Z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