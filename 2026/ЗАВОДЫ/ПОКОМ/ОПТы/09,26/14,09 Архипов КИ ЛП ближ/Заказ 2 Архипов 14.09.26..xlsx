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45FFA6-2E2E-4DCB-B991-99877B4668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O554" i="2"/>
  <c r="BM554" i="2"/>
  <c r="Y554" i="2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P524" i="2" l="1"/>
  <c r="AC568" i="2"/>
  <c r="Y278" i="2"/>
  <c r="Z182" i="2"/>
  <c r="BN182" i="2"/>
  <c r="BP90" i="2"/>
  <c r="Y98" i="2"/>
  <c r="Z150" i="2"/>
  <c r="BN150" i="2"/>
  <c r="Z302" i="2"/>
  <c r="Z72" i="2"/>
  <c r="BN72" i="2"/>
  <c r="Z218" i="2"/>
  <c r="BN218" i="2"/>
  <c r="Z459" i="2"/>
  <c r="BN459" i="2"/>
  <c r="Z39" i="2"/>
  <c r="Z85" i="2"/>
  <c r="BN85" i="2"/>
  <c r="Z106" i="2"/>
  <c r="BN106" i="2"/>
  <c r="BP147" i="2"/>
  <c r="Z163" i="2"/>
  <c r="BN163" i="2"/>
  <c r="Z179" i="2"/>
  <c r="Y198" i="2"/>
  <c r="Z204" i="2"/>
  <c r="BP330" i="2"/>
  <c r="Z421" i="2"/>
  <c r="Z433" i="2"/>
  <c r="Z509" i="2"/>
  <c r="BN79" i="2"/>
  <c r="BP79" i="2"/>
  <c r="BN86" i="2"/>
  <c r="BN94" i="2"/>
  <c r="BP115" i="2"/>
  <c r="BN115" i="2"/>
  <c r="Z115" i="2"/>
  <c r="BN148" i="2"/>
  <c r="BN156" i="2"/>
  <c r="BN175" i="2"/>
  <c r="Z175" i="2"/>
  <c r="BN183" i="2"/>
  <c r="BN206" i="2"/>
  <c r="BP227" i="2"/>
  <c r="BN227" i="2"/>
  <c r="Z227" i="2"/>
  <c r="BN237" i="2"/>
  <c r="Y256" i="2"/>
  <c r="Z254" i="2"/>
  <c r="Z255" i="2" s="1"/>
  <c r="BN270" i="2"/>
  <c r="BN327" i="2"/>
  <c r="BN382" i="2"/>
  <c r="Y411" i="2"/>
  <c r="Y412" i="2"/>
  <c r="BP408" i="2"/>
  <c r="BN436" i="2"/>
  <c r="BN508" i="2"/>
  <c r="BN521" i="2"/>
  <c r="BN525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P180" i="2"/>
  <c r="Z180" i="2"/>
  <c r="Y194" i="2"/>
  <c r="Y195" i="2"/>
  <c r="Z193" i="2"/>
  <c r="Z194" i="2" s="1"/>
  <c r="BN214" i="2"/>
  <c r="BN220" i="2"/>
  <c r="BN242" i="2"/>
  <c r="BP254" i="2"/>
  <c r="BN276" i="2"/>
  <c r="BP276" i="2"/>
  <c r="BN282" i="2"/>
  <c r="BN286" i="2"/>
  <c r="BP286" i="2"/>
  <c r="BP289" i="2"/>
  <c r="BN289" i="2"/>
  <c r="Z289" i="2"/>
  <c r="BN295" i="2"/>
  <c r="BN306" i="2"/>
  <c r="BP344" i="2"/>
  <c r="Z344" i="2"/>
  <c r="BN366" i="2"/>
  <c r="BP366" i="2"/>
  <c r="BN373" i="2"/>
  <c r="BP390" i="2"/>
  <c r="BN390" i="2"/>
  <c r="Z390" i="2"/>
  <c r="BN397" i="2"/>
  <c r="Z397" i="2"/>
  <c r="BN403" i="2"/>
  <c r="Z403" i="2"/>
  <c r="BN429" i="2"/>
  <c r="Z429" i="2"/>
  <c r="BN453" i="2"/>
  <c r="BN479" i="2"/>
  <c r="BP479" i="2"/>
  <c r="BN484" i="2"/>
  <c r="BN495" i="2"/>
  <c r="BN504" i="2"/>
  <c r="BP504" i="2"/>
  <c r="BN507" i="2"/>
  <c r="Z507" i="2"/>
  <c r="Y541" i="2"/>
  <c r="Y542" i="2"/>
  <c r="BN554" i="2"/>
  <c r="BN555" i="2"/>
  <c r="Z555" i="2"/>
  <c r="Y75" i="2"/>
  <c r="BN80" i="2"/>
  <c r="Y92" i="2"/>
  <c r="BN96" i="2"/>
  <c r="Y143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BN415" i="2"/>
  <c r="BN448" i="2"/>
  <c r="BN468" i="2"/>
  <c r="BN480" i="2"/>
  <c r="BN505" i="2"/>
  <c r="BN532" i="2"/>
  <c r="BN536" i="2"/>
  <c r="BN544" i="2"/>
  <c r="Y546" i="2"/>
  <c r="BN548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08" i="2" l="1"/>
  <c r="Z424" i="2"/>
  <c r="Z75" i="2"/>
  <c r="Z153" i="2"/>
  <c r="Z133" i="2"/>
  <c r="Z91" i="2"/>
  <c r="Z32" i="2"/>
  <c r="Z449" i="2"/>
  <c r="Z292" i="2"/>
  <c r="Z338" i="2"/>
  <c r="Z98" i="2"/>
  <c r="Z42" i="2"/>
  <c r="Z169" i="2"/>
  <c r="Z143" i="2"/>
  <c r="Z486" i="2"/>
  <c r="Y559" i="2"/>
  <c r="Z352" i="2"/>
  <c r="Z443" i="2"/>
  <c r="Z164" i="2"/>
  <c r="Z261" i="2"/>
  <c r="Z392" i="2"/>
  <c r="Z556" i="2"/>
  <c r="Y560" i="2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Y561" i="2" l="1"/>
  <c r="Z563" i="2"/>
</calcChain>
</file>

<file path=xl/sharedStrings.xml><?xml version="1.0" encoding="utf-8"?>
<sst xmlns="http://schemas.openxmlformats.org/spreadsheetml/2006/main" count="4282" uniqueCount="899">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</sst>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422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46282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882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Четверг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3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45</v>
      </c>
      <c r="Y61" s="55">
        <f t="shared" si="0"/>
        <v>45</v>
      </c>
      <c r="Z61" s="41">
        <f>IFERROR(IF(Y61=0,"",ROUNDUP(Y61/H61,0)*0.00902),"")</f>
        <v>9.0200000000000002E-2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46.900000000000006</v>
      </c>
      <c r="BN61" s="78">
        <f t="shared" si="2"/>
        <v>46.900000000000006</v>
      </c>
      <c r="BO61" s="78">
        <f t="shared" si="3"/>
        <v>7.575757575757576E-2</v>
      </c>
      <c r="BP61" s="78">
        <f t="shared" si="4"/>
        <v>7.575757575757576E-2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19.25925925925926</v>
      </c>
      <c r="Y62" s="43">
        <f>IFERROR(Y55/H55,"0")+IFERROR(Y56/H56,"0")+IFERROR(Y57/H57,"0")+IFERROR(Y58/H58,"0")+IFERROR(Y59/H59,"0")+IFERROR(Y60/H60,"0")+IFERROR(Y61/H61,"0")</f>
        <v>20</v>
      </c>
      <c r="Z62" s="43">
        <f>IFERROR(IF(Z55="",0,Z55),"0")+IFERROR(IF(Z56="",0,Z56),"0")+IFERROR(IF(Z57="",0,Z57),"0")+IFERROR(IF(Z58="",0,Z58),"0")+IFERROR(IF(Z59="",0,Z59),"0")+IFERROR(IF(Z60="",0,Z60),"0")+IFERROR(IF(Z61="",0,Z61),"0")</f>
        <v>0.28000000000000003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145</v>
      </c>
      <c r="Y63" s="43">
        <f>IFERROR(SUM(Y55:Y61),"0")</f>
        <v>153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45</v>
      </c>
      <c r="Y89" s="55">
        <f t="shared" si="5"/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46.900000000000006</v>
      </c>
      <c r="BN89" s="78">
        <f t="shared" si="7"/>
        <v>46.900000000000006</v>
      </c>
      <c r="BO89" s="78">
        <f t="shared" si="8"/>
        <v>7.575757575757576E-2</v>
      </c>
      <c r="BP89" s="78">
        <f t="shared" si="9"/>
        <v>7.575757575757576E-2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19.25925925925926</v>
      </c>
      <c r="Y91" s="43">
        <f>IFERROR(Y85/H85,"0")+IFERROR(Y86/H86,"0")+IFERROR(Y87/H87,"0")+IFERROR(Y88/H88,"0")+IFERROR(Y89/H89,"0")+IFERROR(Y90/H90,"0")</f>
        <v>20</v>
      </c>
      <c r="Z91" s="43">
        <f>IFERROR(IF(Z85="",0,Z85),"0")+IFERROR(IF(Z86="",0,Z86),"0")+IFERROR(IF(Z87="",0,Z87),"0")+IFERROR(IF(Z88="",0,Z88),"0")+IFERROR(IF(Z89="",0,Z89),"0")+IFERROR(IF(Z90="",0,Z90),"0")</f>
        <v>0.28000000000000003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145</v>
      </c>
      <c r="Y92" s="43">
        <f>IFERROR(SUM(Y85:Y90),"0")</f>
        <v>153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39.6</v>
      </c>
      <c r="Y97" s="55">
        <f>IFERROR(IF(X97="",0,CEILING((X97/$H97),1)*$H97),"")</f>
        <v>39.6</v>
      </c>
      <c r="Z97" s="41">
        <f>IFERROR(IF(Y97=0,"",ROUNDUP(Y97/H97,0)*0.00651),"")</f>
        <v>0.13020000000000001</v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44.760000000000005</v>
      </c>
      <c r="BN97" s="78">
        <f>IFERROR(Y97*I97/H97,"0")</f>
        <v>44.760000000000005</v>
      </c>
      <c r="BO97" s="78">
        <f>IFERROR(1/J97*(X97/H97),"0")</f>
        <v>0.1098901098901099</v>
      </c>
      <c r="BP97" s="78">
        <f>IFERROR(1/J97*(Y97/H97),"0")</f>
        <v>0.1098901098901099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20</v>
      </c>
      <c r="Y98" s="43">
        <f>IFERROR(Y94/H94,"0")+IFERROR(Y95/H95,"0")+IFERROR(Y96/H96,"0")+IFERROR(Y97/H97,"0")</f>
        <v>20</v>
      </c>
      <c r="Z98" s="43">
        <f>IFERROR(IF(Z94="",0,Z94),"0")+IFERROR(IF(Z95="",0,Z95),"0")+IFERROR(IF(Z96="",0,Z96),"0")+IFERROR(IF(Z97="",0,Z97),"0")</f>
        <v>0.13020000000000001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39.6</v>
      </c>
      <c r="Y99" s="43">
        <f>IFERROR(SUM(Y94:Y97),"0")</f>
        <v>39.6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37.5</v>
      </c>
      <c r="Y104" s="55">
        <f t="shared" si="10"/>
        <v>37.5</v>
      </c>
      <c r="Z104" s="41">
        <f>IFERROR(IF(Y104=0,"",ROUNDUP(Y104/H104,0)*0.00902),"")</f>
        <v>9.0200000000000002E-2</v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39.4</v>
      </c>
      <c r="BN104" s="78">
        <f t="shared" si="12"/>
        <v>39.4</v>
      </c>
      <c r="BO104" s="78">
        <f t="shared" si="13"/>
        <v>7.575757575757576E-2</v>
      </c>
      <c r="BP104" s="78">
        <f t="shared" si="14"/>
        <v>7.575757575757576E-2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10</v>
      </c>
      <c r="Y108" s="43">
        <f>IFERROR(Y102/H102,"0")+IFERROR(Y103/H103,"0")+IFERROR(Y104/H104,"0")+IFERROR(Y105/H105,"0")+IFERROR(Y106/H106,"0")+IFERROR(Y107/H107,"0")</f>
        <v>10</v>
      </c>
      <c r="Z108" s="43">
        <f>IFERROR(IF(Z102="",0,Z102),"0")+IFERROR(IF(Z103="",0,Z103),"0")+IFERROR(IF(Z104="",0,Z104),"0")+IFERROR(IF(Z105="",0,Z105),"0")+IFERROR(IF(Z106="",0,Z106),"0")+IFERROR(IF(Z107="",0,Z107),"0")</f>
        <v>9.0200000000000002E-2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37.5</v>
      </c>
      <c r="Y109" s="43">
        <f>IFERROR(SUM(Y102:Y107),"0")</f>
        <v>37.5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39.6</v>
      </c>
      <c r="Y120" s="55">
        <f>IFERROR(IF(X120="",0,CEILING((X120/$H120),1)*$H120),"")</f>
        <v>39.6</v>
      </c>
      <c r="Z120" s="41">
        <f>IFERROR(IF(Y120=0,"",ROUNDUP(Y120/H120,0)*0.00651),"")</f>
        <v>0.13020000000000001</v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44.52</v>
      </c>
      <c r="BN120" s="78">
        <f>IFERROR(Y120*I120/H120,"0")</f>
        <v>44.52</v>
      </c>
      <c r="BO120" s="78">
        <f>IFERROR(1/J120*(X120/H120),"0")</f>
        <v>0.1098901098901099</v>
      </c>
      <c r="BP120" s="78">
        <f>IFERROR(1/J120*(Y120/H120),"0")</f>
        <v>0.1098901098901099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0.13020000000000001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39.6</v>
      </c>
      <c r="Y124" s="43">
        <f>IFERROR(SUM(Y119:Y122),"0")</f>
        <v>39.6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50</v>
      </c>
      <c r="Y174" s="55">
        <f t="shared" si="21"/>
        <v>52.5</v>
      </c>
      <c r="Z174" s="41">
        <f>IFERROR(IF(Y174=0,"",ROUNDUP(Y174/H174,0)*0.00902),"")</f>
        <v>0.1353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52.714285714285715</v>
      </c>
      <c r="BN174" s="78">
        <f t="shared" si="23"/>
        <v>55.35</v>
      </c>
      <c r="BO174" s="78">
        <f t="shared" si="24"/>
        <v>0.10822510822510824</v>
      </c>
      <c r="BP174" s="78">
        <f t="shared" si="25"/>
        <v>0.11363636363636365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50</v>
      </c>
      <c r="Y176" s="55">
        <f t="shared" si="21"/>
        <v>52.5</v>
      </c>
      <c r="Z176" s="41">
        <f>IFERROR(IF(Y176=0,"",ROUNDUP(Y176/H176,0)*0.00902),"")</f>
        <v>0.1353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52.714285714285715</v>
      </c>
      <c r="BN176" s="78">
        <f t="shared" si="23"/>
        <v>55.35</v>
      </c>
      <c r="BO176" s="78">
        <f t="shared" si="24"/>
        <v>0.10822510822510824</v>
      </c>
      <c r="BP176" s="78">
        <f t="shared" si="25"/>
        <v>0.11363636363636365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28.571428571428573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0.27060000000000001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100</v>
      </c>
      <c r="Y185" s="43">
        <f>IFERROR(SUM(Y172:Y183),"0")</f>
        <v>105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100</v>
      </c>
      <c r="Y209" s="55">
        <f t="shared" si="26"/>
        <v>108</v>
      </c>
      <c r="Z209" s="41">
        <f t="shared" si="27"/>
        <v>0.22776000000000002</v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105.66666666666667</v>
      </c>
      <c r="BN209" s="78">
        <f t="shared" si="29"/>
        <v>114.11999999999999</v>
      </c>
      <c r="BO209" s="78">
        <f t="shared" si="30"/>
        <v>0.1736111111111111</v>
      </c>
      <c r="BP209" s="78">
        <f t="shared" si="31"/>
        <v>0.1875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11.111111111111111</v>
      </c>
      <c r="Y210" s="43">
        <f>IFERROR(Y203/H203,"0")+IFERROR(Y204/H204,"0")+IFERROR(Y205/H205,"0")+IFERROR(Y206/H206,"0")+IFERROR(Y207/H207,"0")+IFERROR(Y208/H208,"0")+IFERROR(Y209/H209,"0")</f>
        <v>12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0.22776000000000002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100</v>
      </c>
      <c r="Y211" s="43">
        <f>IFERROR(SUM(Y203:Y209),"0")</f>
        <v>108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43"/>
        <v>54</v>
      </c>
      <c r="Z271" s="41">
        <f>IFERROR(IF(Y271=0,"",ROUNDUP(Y271/H271,0)*0.00902),"")</f>
        <v>9.0200000000000002E-2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51.759259259259252</v>
      </c>
      <c r="BN271" s="78">
        <f t="shared" si="45"/>
        <v>55.9</v>
      </c>
      <c r="BO271" s="78">
        <f t="shared" si="46"/>
        <v>7.0145903479236812E-2</v>
      </c>
      <c r="BP271" s="78">
        <f t="shared" si="47"/>
        <v>7.575757575757576E-2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9.2592592592592595</v>
      </c>
      <c r="Y277" s="43">
        <f>IFERROR(Y269/H269,"0")+IFERROR(Y270/H270,"0")+IFERROR(Y271/H271,"0")+IFERROR(Y272/H272,"0")+IFERROR(Y273/H273,"0")+IFERROR(Y274/H274,"0")+IFERROR(Y275/H275,"0")+IFERROR(Y276/H276,"0")</f>
        <v>10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9.0200000000000002E-2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50</v>
      </c>
      <c r="Y278" s="43">
        <f>IFERROR(SUM(Y269:Y276),"0")</f>
        <v>54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50</v>
      </c>
      <c r="Y282" s="55">
        <f t="shared" si="48"/>
        <v>52.199999999999996</v>
      </c>
      <c r="Z282" s="41">
        <f>IFERROR(IF(Y282=0,"",ROUNDUP(Y282/H282,0)*0.01898),"")</f>
        <v>0.11388000000000001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52.839080459770123</v>
      </c>
      <c r="BN282" s="78">
        <f t="shared" si="50"/>
        <v>55.164000000000009</v>
      </c>
      <c r="BO282" s="78">
        <f t="shared" si="51"/>
        <v>8.9798850574712652E-2</v>
      </c>
      <c r="BP282" s="78">
        <f t="shared" si="52"/>
        <v>9.375E-2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24</v>
      </c>
      <c r="Y283" s="55">
        <f t="shared" si="48"/>
        <v>24</v>
      </c>
      <c r="Z283" s="41">
        <f>IFERROR(IF(Y283=0,"",ROUNDUP(Y283/H283,0)*0.00651),"")</f>
        <v>6.5100000000000005E-2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26.7</v>
      </c>
      <c r="BN283" s="78">
        <f t="shared" si="50"/>
        <v>26.7</v>
      </c>
      <c r="BO283" s="78">
        <f t="shared" si="51"/>
        <v>5.4945054945054951E-2</v>
      </c>
      <c r="BP283" s="78">
        <f t="shared" si="52"/>
        <v>5.4945054945054951E-2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15.74712643678161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0.17898000000000003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74</v>
      </c>
      <c r="Y293" s="43">
        <f>IFERROR(SUM(Y280:Y291),"0")</f>
        <v>76.199999999999989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50</v>
      </c>
      <c r="Y328" s="55">
        <f>IFERROR(IF(X328="",0,CEILING((X328/$H328),1)*$H328),"")</f>
        <v>54</v>
      </c>
      <c r="Z328" s="41">
        <f>IFERROR(IF(Y328=0,"",ROUNDUP(Y328/H328,0)*0.01898),"")</f>
        <v>9.4899999999999998E-2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51.898148148148145</v>
      </c>
      <c r="BN328" s="78">
        <f>IFERROR(Y328*I328/H328,"0")</f>
        <v>56.05</v>
      </c>
      <c r="BO328" s="78">
        <f>IFERROR(1/J328*(X328/H328),"0")</f>
        <v>7.2337962962962965E-2</v>
      </c>
      <c r="BP328" s="78">
        <f>IFERROR(1/J328*(Y328/H328),"0")</f>
        <v>7.8125E-2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4.6296296296296298</v>
      </c>
      <c r="Y331" s="43">
        <f>IFERROR(Y326/H326,"0")+IFERROR(Y327/H327,"0")+IFERROR(Y328/H328,"0")+IFERROR(Y329/H329,"0")+IFERROR(Y330/H330,"0")</f>
        <v>5</v>
      </c>
      <c r="Z331" s="43">
        <f>IFERROR(IF(Z326="",0,Z326),"0")+IFERROR(IF(Z327="",0,Z327),"0")+IFERROR(IF(Z328="",0,Z328),"0")+IFERROR(IF(Z329="",0,Z329),"0")+IFERROR(IF(Z330="",0,Z330),"0")</f>
        <v>9.4899999999999998E-2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50</v>
      </c>
      <c r="Y332" s="43">
        <f>IFERROR(SUM(Y326:Y330),"0")</f>
        <v>54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50</v>
      </c>
      <c r="Y364" s="55">
        <f t="shared" si="58"/>
        <v>54</v>
      </c>
      <c r="Z364" s="41">
        <f>IFERROR(IF(Y364=0,"",ROUNDUP(Y364/H364,0)*0.01898),"")</f>
        <v>9.4899999999999998E-2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51.898148148148145</v>
      </c>
      <c r="BN364" s="78">
        <f t="shared" si="60"/>
        <v>56.05</v>
      </c>
      <c r="BO364" s="78">
        <f t="shared" si="61"/>
        <v>7.2337962962962965E-2</v>
      </c>
      <c r="BP364" s="78">
        <f t="shared" si="62"/>
        <v>7.8125E-2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40</v>
      </c>
      <c r="Y367" s="55">
        <f t="shared" si="58"/>
        <v>40</v>
      </c>
      <c r="Z367" s="41">
        <f>IFERROR(IF(Y367=0,"",ROUNDUP(Y367/H367,0)*0.00902),"")</f>
        <v>9.0200000000000002E-2</v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41.900000000000006</v>
      </c>
      <c r="BN367" s="78">
        <f t="shared" si="60"/>
        <v>41.900000000000006</v>
      </c>
      <c r="BO367" s="78">
        <f t="shared" si="61"/>
        <v>7.575757575757576E-2</v>
      </c>
      <c r="BP367" s="78">
        <f t="shared" si="62"/>
        <v>7.575757575757576E-2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14.62962962962963</v>
      </c>
      <c r="Y369" s="43">
        <f>IFERROR(Y363/H363,"0")+IFERROR(Y364/H364,"0")+IFERROR(Y365/H365,"0")+IFERROR(Y366/H366,"0")+IFERROR(Y367/H367,"0")+IFERROR(Y368/H368,"0")</f>
        <v>15</v>
      </c>
      <c r="Z369" s="43">
        <f>IFERROR(IF(Z363="",0,Z363),"0")+IFERROR(IF(Z364="",0,Z364),"0")+IFERROR(IF(Z365="",0,Z365),"0")+IFERROR(IF(Z366="",0,Z366),"0")+IFERROR(IF(Z367="",0,Z367),"0")+IFERROR(IF(Z368="",0,Z368),"0")</f>
        <v>0.18509999999999999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90</v>
      </c>
      <c r="Y370" s="43">
        <f>IFERROR(SUM(Y363:Y368),"0")</f>
        <v>94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57.6</v>
      </c>
      <c r="Y398" s="55">
        <f>IFERROR(IF(X398="",0,CEILING((X398/$H398),1)*$H398),"")</f>
        <v>58.65</v>
      </c>
      <c r="Z398" s="41">
        <f>IFERROR(IF(Y398=0,"",ROUNDUP(Y398/H398,0)*0.00651),"")</f>
        <v>0.14973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65.054117647058831</v>
      </c>
      <c r="BN398" s="78">
        <f>IFERROR(Y398*I398/H398,"0")</f>
        <v>66.239999999999995</v>
      </c>
      <c r="BO398" s="78">
        <f>IFERROR(1/J398*(X398/H398),"0")</f>
        <v>0.12411118293471236</v>
      </c>
      <c r="BP398" s="78">
        <f>IFERROR(1/J398*(Y398/H398),"0")</f>
        <v>0.1263736263736264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22.588235294117649</v>
      </c>
      <c r="Y399" s="43">
        <f>IFERROR(Y395/H395,"0")+IFERROR(Y396/H396,"0")+IFERROR(Y397/H397,"0")+IFERROR(Y398/H398,"0")</f>
        <v>23</v>
      </c>
      <c r="Z399" s="43">
        <f>IFERROR(IF(Z395="",0,Z395),"0")+IFERROR(IF(Z396="",0,Z396),"0")+IFERROR(IF(Z397="",0,Z397),"0")+IFERROR(IF(Z398="",0,Z398),"0")</f>
        <v>0.14973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57.6</v>
      </c>
      <c r="Y400" s="43">
        <f>IFERROR(SUM(Y395:Y398),"0")</f>
        <v>58.65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63</v>
      </c>
      <c r="Y422" s="55">
        <f>IFERROR(IF(X422="",0,CEILING((X422/$H422),1)*$H422),"")</f>
        <v>63</v>
      </c>
      <c r="Z422" s="41">
        <f>IFERROR(IF(Y422=0,"",ROUNDUP(Y422/H422,0)*0.00651),"")</f>
        <v>0.1953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70.559999999999988</v>
      </c>
      <c r="BN422" s="78">
        <f>IFERROR(Y422*I422/H422,"0")</f>
        <v>70.559999999999988</v>
      </c>
      <c r="BO422" s="78">
        <f>IFERROR(1/J422*(X422/H422),"0")</f>
        <v>0.16483516483516486</v>
      </c>
      <c r="BP422" s="78">
        <f>IFERROR(1/J422*(Y422/H422),"0")</f>
        <v>0.16483516483516486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63</v>
      </c>
      <c r="Y423" s="55">
        <f>IFERROR(IF(X423="",0,CEILING((X423/$H423),1)*$H423),"")</f>
        <v>63</v>
      </c>
      <c r="Z423" s="41">
        <f>IFERROR(IF(Y423=0,"",ROUNDUP(Y423/H423,0)*0.00651),"")</f>
        <v>0.1953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70.199999999999989</v>
      </c>
      <c r="BN423" s="78">
        <f>IFERROR(Y423*I423/H423,"0")</f>
        <v>70.199999999999989</v>
      </c>
      <c r="BO423" s="78">
        <f>IFERROR(1/J423*(X423/H423),"0")</f>
        <v>0.16483516483516486</v>
      </c>
      <c r="BP423" s="78">
        <f>IFERROR(1/J423*(Y423/H423),"0")</f>
        <v>0.16483516483516486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60</v>
      </c>
      <c r="Y424" s="43">
        <f>IFERROR(Y421/H421,"0")+IFERROR(Y422/H422,"0")+IFERROR(Y423/H423,"0")</f>
        <v>60</v>
      </c>
      <c r="Z424" s="43">
        <f>IFERROR(IF(Z421="",0,Z421),"0")+IFERROR(IF(Z422="",0,Z422),"0")+IFERROR(IF(Z423="",0,Z423),"0")</f>
        <v>0.3906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126</v>
      </c>
      <c r="Y425" s="43">
        <f>IFERROR(SUM(Y421:Y423),"0")</f>
        <v>126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300</v>
      </c>
      <c r="Y430" s="55">
        <f t="shared" si="68"/>
        <v>300</v>
      </c>
      <c r="Z430" s="41">
        <f>IFERROR(IF(Y430=0,"",ROUNDUP(Y430/H430,0)*0.02175),"")</f>
        <v>0.43499999999999994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309.39999999999998</v>
      </c>
      <c r="BN430" s="78">
        <f t="shared" si="70"/>
        <v>309.39999999999998</v>
      </c>
      <c r="BO430" s="78">
        <f t="shared" si="71"/>
        <v>0.41666666666666663</v>
      </c>
      <c r="BP430" s="78">
        <f t="shared" si="72"/>
        <v>0.41666666666666663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300</v>
      </c>
      <c r="Y433" s="55">
        <f t="shared" si="68"/>
        <v>300</v>
      </c>
      <c r="Z433" s="41">
        <f>IFERROR(IF(Y433=0,"",ROUNDUP(Y433/H433,0)*0.02175),"")</f>
        <v>0.43499999999999994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309.39999999999998</v>
      </c>
      <c r="BN433" s="78">
        <f t="shared" si="70"/>
        <v>309.39999999999998</v>
      </c>
      <c r="BO433" s="78">
        <f t="shared" si="71"/>
        <v>0.41666666666666663</v>
      </c>
      <c r="BP433" s="78">
        <f t="shared" si="72"/>
        <v>0.41666666666666663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50</v>
      </c>
      <c r="Y435" s="55">
        <f t="shared" si="68"/>
        <v>50</v>
      </c>
      <c r="Z435" s="41">
        <f>IFERROR(IF(Y435=0,"",ROUNDUP(Y435/H435,0)*0.00902),"")</f>
        <v>9.0200000000000002E-2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51.9</v>
      </c>
      <c r="BN435" s="78">
        <f t="shared" si="70"/>
        <v>51.9</v>
      </c>
      <c r="BO435" s="78">
        <f t="shared" si="71"/>
        <v>7.575757575757576E-2</v>
      </c>
      <c r="BP435" s="78">
        <f t="shared" si="72"/>
        <v>7.575757575757576E-2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50</v>
      </c>
      <c r="Y437" s="43">
        <f>IFERROR(Y429/H429,"0")+IFERROR(Y430/H430,"0")+IFERROR(Y431/H431,"0")+IFERROR(Y432/H432,"0")+IFERROR(Y433/H433,"0")+IFERROR(Y434/H434,"0")+IFERROR(Y435/H435,"0")+IFERROR(Y436/H436,"0")</f>
        <v>50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0.96019999999999994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650</v>
      </c>
      <c r="Y438" s="43">
        <f>IFERROR(SUM(Y429:Y436),"0")</f>
        <v>650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100</v>
      </c>
      <c r="Y440" s="55">
        <f>IFERROR(IF(X440="",0,CEILING((X440/$H440),1)*$H440),"")</f>
        <v>105</v>
      </c>
      <c r="Z440" s="41">
        <f>IFERROR(IF(Y440=0,"",ROUNDUP(Y440/H440,0)*0.02175),"")</f>
        <v>0.15225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103.13333333333334</v>
      </c>
      <c r="BN440" s="78">
        <f>IFERROR(Y440*I440/H440,"0")</f>
        <v>108.29</v>
      </c>
      <c r="BO440" s="78">
        <f>IFERROR(1/J440*(X440/H440),"0")</f>
        <v>0.1388888888888889</v>
      </c>
      <c r="BP440" s="78">
        <f>IFERROR(1/J440*(Y440/H440),"0")</f>
        <v>0.14583333333333331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6.666666666666667</v>
      </c>
      <c r="Y443" s="43">
        <f>IFERROR(Y440/H440,"0")+IFERROR(Y441/H441,"0")+IFERROR(Y442/H442,"0")</f>
        <v>7</v>
      </c>
      <c r="Z443" s="43">
        <f>IFERROR(IF(Z440="",0,Z440),"0")+IFERROR(IF(Z441="",0,Z441),"0")+IFERROR(IF(Z442="",0,Z442),"0")</f>
        <v>0.15225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100</v>
      </c>
      <c r="Y444" s="43">
        <f>IFERROR(SUM(Y440:Y442),"0")</f>
        <v>105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11.111111111111111</v>
      </c>
      <c r="Y449" s="43">
        <f>IFERROR(Y446/H446,"0")+IFERROR(Y447/H447,"0")+IFERROR(Y448/H448,"0")</f>
        <v>12</v>
      </c>
      <c r="Z449" s="43">
        <f>IFERROR(IF(Z446="",0,Z446),"0")+IFERROR(IF(Z447="",0,Z447),"0")+IFERROR(IF(Z448="",0,Z448),"0")</f>
        <v>0.22776000000000002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100</v>
      </c>
      <c r="Y450" s="43">
        <f>IFERROR(SUM(Y446:Y448),"0")</f>
        <v>108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100</v>
      </c>
      <c r="Y505" s="55">
        <f t="shared" si="78"/>
        <v>100.32000000000001</v>
      </c>
      <c r="Z505" s="41">
        <f t="shared" si="79"/>
        <v>0.22724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106.62878787878788</v>
      </c>
      <c r="BN505" s="78">
        <f t="shared" si="81"/>
        <v>106.97</v>
      </c>
      <c r="BO505" s="78">
        <f t="shared" si="82"/>
        <v>0.18210955710955709</v>
      </c>
      <c r="BP505" s="78">
        <f t="shared" si="83"/>
        <v>0.18269230769230771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50</v>
      </c>
      <c r="Y507" s="55">
        <f t="shared" si="78"/>
        <v>52.800000000000004</v>
      </c>
      <c r="Z507" s="41">
        <f t="shared" si="79"/>
        <v>0.1196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53.314393939393938</v>
      </c>
      <c r="BN507" s="78">
        <f t="shared" si="81"/>
        <v>56.3</v>
      </c>
      <c r="BO507" s="78">
        <f t="shared" si="82"/>
        <v>9.1054778554778545E-2</v>
      </c>
      <c r="BP507" s="78">
        <f t="shared" si="83"/>
        <v>9.6153846153846159E-2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28.409090909090907</v>
      </c>
      <c r="Y511" s="43">
        <f>IFERROR(Y502/H502,"0")+IFERROR(Y503/H503,"0")+IFERROR(Y504/H504,"0")+IFERROR(Y505/H505,"0")+IFERROR(Y506/H506,"0")+IFERROR(Y507/H507,"0")+IFERROR(Y508/H508,"0")+IFERROR(Y509/H509,"0")+IFERROR(Y510/H510,"0")</f>
        <v>29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0.34683999999999998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150</v>
      </c>
      <c r="Y512" s="43">
        <f>IFERROR(SUM(Y502:Y510),"0")</f>
        <v>153.12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50</v>
      </c>
      <c r="Y514" s="55">
        <f>IFERROR(IF(X514="",0,CEILING((X514/$H514),1)*$H514),"")</f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53.314393939393938</v>
      </c>
      <c r="BN514" s="78">
        <f>IFERROR(Y514*I514/H514,"0")</f>
        <v>56.3</v>
      </c>
      <c r="BO514" s="78">
        <f>IFERROR(1/J514*(X514/H514),"0")</f>
        <v>9.1054778554778545E-2</v>
      </c>
      <c r="BP514" s="78">
        <f>IFERROR(1/J514*(Y514/H514),"0")</f>
        <v>9.6153846153846159E-2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9.4696969696969688</v>
      </c>
      <c r="Y517" s="43">
        <f>IFERROR(Y514/H514,"0")+IFERROR(Y515/H515,"0")+IFERROR(Y516/H516,"0")</f>
        <v>10</v>
      </c>
      <c r="Z517" s="43">
        <f>IFERROR(IF(Z514="",0,Z514),"0")+IFERROR(IF(Z515="",0,Z515),"0")+IFERROR(IF(Z516="",0,Z516),"0")</f>
        <v>0.1196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50</v>
      </c>
      <c r="Y518" s="43">
        <f>IFERROR(SUM(Y514:Y516),"0")</f>
        <v>52.800000000000004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2104.3000000000002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2167.4700000000003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2216.5563823300135</v>
      </c>
      <c r="Y559" s="43">
        <f>IFERROR(SUM(BN22:BN555),"0")</f>
        <v>2282.752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4</v>
      </c>
      <c r="Y560" s="44">
        <f>ROUNDUP(SUM(BP22:BP555),0)</f>
        <v>4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2316.5563823300135</v>
      </c>
      <c r="Y561" s="43">
        <f>GrossWeightTotalR+PalletQtyTotalR*25</f>
        <v>2382.752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360.71150410704161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369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4.3051200000000005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153</v>
      </c>
      <c r="F568" s="52">
        <f>IFERROR(Y85*1,"0")+IFERROR(Y86*1,"0")+IFERROR(Y87*1,"0")+IFERROR(Y88*1,"0")+IFERROR(Y89*1,"0")+IFERROR(Y90*1,"0")+IFERROR(Y94*1,"0")+IFERROR(Y95*1,"0")+IFERROR(Y96*1,"0")+IFERROR(Y97*1,"0")</f>
        <v>192.6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77.099999999999994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105</v>
      </c>
      <c r="K568" s="52">
        <f>IFERROR(Y203*1,"0")+IFERROR(Y204*1,"0")+IFERROR(Y205*1,"0")+IFERROR(Y206*1,"0")+IFERROR(Y207*1,"0")+IFERROR(Y208*1,"0")+IFERROR(Y209*1,"0")</f>
        <v>108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130.19999999999999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54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152.65</v>
      </c>
      <c r="U568" s="52">
        <f>IFERROR(Y415*1,"0")+IFERROR(Y416*1,"0")</f>
        <v>0</v>
      </c>
      <c r="V568" s="52">
        <f>IFERROR(Y421*1,"0")+IFERROR(Y422*1,"0")+IFERROR(Y423*1,"0")</f>
        <v>126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863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205.92000000000002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,11"/>
        <filter val="126,00"/>
        <filter val="14,63"/>
        <filter val="145,00"/>
        <filter val="15,75"/>
        <filter val="150,00"/>
        <filter val="19,26"/>
        <filter val="2 104,30"/>
        <filter val="2 216,56"/>
        <filter val="2 316,56"/>
        <filter val="20,00"/>
        <filter val="22,59"/>
        <filter val="24,00"/>
        <filter val="28,41"/>
        <filter val="28,57"/>
        <filter val="300,00"/>
        <filter val="360,71"/>
        <filter val="37,50"/>
        <filter val="39,60"/>
        <filter val="4"/>
        <filter val="4,63"/>
        <filter val="40,00"/>
        <filter val="45,00"/>
        <filter val="50,00"/>
        <filter val="57,60"/>
        <filter val="6,67"/>
        <filter val="60,00"/>
        <filter val="63,00"/>
        <filter val="650,00"/>
        <filter val="74,00"/>
        <filter val="9,26"/>
        <filter val="9,47"/>
        <filter val="9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2026-09-14T07:56:35Z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