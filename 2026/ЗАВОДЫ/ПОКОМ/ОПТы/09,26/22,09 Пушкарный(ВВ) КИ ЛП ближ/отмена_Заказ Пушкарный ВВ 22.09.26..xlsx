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23,09,26 ОПТы\22,09 Пушкарный(ВВ) КИ ЛП ближ\"/>
    </mc:Choice>
  </mc:AlternateContent>
  <xr:revisionPtr revIDLastSave="0" documentId="13_ncr:1_{50812467-6835-4F46-948C-C46211C2D4C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BP545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P472" i="2" s="1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P387" i="2"/>
  <c r="BO386" i="2"/>
  <c r="BM386" i="2"/>
  <c r="Y386" i="2"/>
  <c r="BN386" i="2" s="1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BP312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Z292" i="2" s="1"/>
  <c r="P292" i="2"/>
  <c r="X290" i="2"/>
  <c r="X289" i="2"/>
  <c r="BO288" i="2"/>
  <c r="BM288" i="2"/>
  <c r="Y288" i="2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3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BP169" i="2" s="1"/>
  <c r="P169" i="2"/>
  <c r="BO168" i="2"/>
  <c r="BM168" i="2"/>
  <c r="Y168" i="2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M133" i="2"/>
  <c r="Y133" i="2"/>
  <c r="BN133" i="2" s="1"/>
  <c r="P133" i="2"/>
  <c r="BO132" i="2"/>
  <c r="BM132" i="2"/>
  <c r="Y132" i="2"/>
  <c r="BP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P102" i="2"/>
  <c r="BO101" i="2"/>
  <c r="BM101" i="2"/>
  <c r="Y101" i="2"/>
  <c r="Z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Y81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BP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Y42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Y32" i="2" s="1"/>
  <c r="P27" i="2"/>
  <c r="X25" i="2"/>
  <c r="X24" i="2"/>
  <c r="BO23" i="2"/>
  <c r="BM23" i="2"/>
  <c r="Y23" i="2"/>
  <c r="P23" i="2"/>
  <c r="BO22" i="2"/>
  <c r="BM22" i="2"/>
  <c r="Y22" i="2"/>
  <c r="B564" i="2" s="1"/>
  <c r="P22" i="2"/>
  <c r="H10" i="2"/>
  <c r="A9" i="2"/>
  <c r="A10" i="2" s="1"/>
  <c r="D7" i="2"/>
  <c r="Q6" i="2"/>
  <c r="P2" i="2"/>
  <c r="Z405" i="2" l="1"/>
  <c r="Z406" i="2"/>
  <c r="BN406" i="2"/>
  <c r="Z132" i="2"/>
  <c r="BN132" i="2"/>
  <c r="BP270" i="2"/>
  <c r="BP482" i="2"/>
  <c r="Z31" i="2"/>
  <c r="Z94" i="2"/>
  <c r="BN94" i="2"/>
  <c r="Z96" i="2"/>
  <c r="BN96" i="2"/>
  <c r="Z153" i="2"/>
  <c r="BN153" i="2"/>
  <c r="Z157" i="2"/>
  <c r="Z158" i="2" s="1"/>
  <c r="BN157" i="2"/>
  <c r="BP157" i="2"/>
  <c r="Y158" i="2"/>
  <c r="Z202" i="2"/>
  <c r="BN202" i="2"/>
  <c r="Z326" i="2"/>
  <c r="Z364" i="2"/>
  <c r="BN364" i="2"/>
  <c r="Z433" i="2"/>
  <c r="Z512" i="2"/>
  <c r="BN512" i="2"/>
  <c r="X554" i="2"/>
  <c r="Z55" i="2"/>
  <c r="BP57" i="2"/>
  <c r="Z115" i="2"/>
  <c r="Z142" i="2"/>
  <c r="Z144" i="2" s="1"/>
  <c r="BN142" i="2"/>
  <c r="Y144" i="2"/>
  <c r="Z149" i="2"/>
  <c r="Z164" i="2"/>
  <c r="BN164" i="2"/>
  <c r="Z223" i="2"/>
  <c r="BN223" i="2"/>
  <c r="Z380" i="2"/>
  <c r="BN380" i="2"/>
  <c r="Z426" i="2"/>
  <c r="BN426" i="2"/>
  <c r="BP466" i="2"/>
  <c r="Z502" i="2"/>
  <c r="BN502" i="2"/>
  <c r="X556" i="2"/>
  <c r="Z163" i="2"/>
  <c r="Z184" i="2"/>
  <c r="BN184" i="2"/>
  <c r="Z194" i="2"/>
  <c r="Z195" i="2" s="1"/>
  <c r="BN194" i="2"/>
  <c r="Z200" i="2"/>
  <c r="BN200" i="2"/>
  <c r="Z211" i="2"/>
  <c r="Z212" i="2" s="1"/>
  <c r="BN211" i="2"/>
  <c r="BP211" i="2"/>
  <c r="Y212" i="2"/>
  <c r="Z219" i="2"/>
  <c r="BN219" i="2"/>
  <c r="Z233" i="2"/>
  <c r="BN233" i="2"/>
  <c r="Y259" i="2"/>
  <c r="Y263" i="2"/>
  <c r="Z266" i="2"/>
  <c r="BN266" i="2"/>
  <c r="Z272" i="2"/>
  <c r="BN272" i="2"/>
  <c r="BP303" i="2"/>
  <c r="Z324" i="2"/>
  <c r="BN324" i="2"/>
  <c r="Z354" i="2"/>
  <c r="BN354" i="2"/>
  <c r="Z360" i="2"/>
  <c r="BN360" i="2"/>
  <c r="Z372" i="2"/>
  <c r="BN372" i="2"/>
  <c r="Z413" i="2"/>
  <c r="BN413" i="2"/>
  <c r="Z429" i="2"/>
  <c r="BN429" i="2"/>
  <c r="Z430" i="2"/>
  <c r="BN430" i="2"/>
  <c r="Z456" i="2"/>
  <c r="Y457" i="2"/>
  <c r="Z473" i="2"/>
  <c r="BN473" i="2"/>
  <c r="Z500" i="2"/>
  <c r="BN500" i="2"/>
  <c r="Z506" i="2"/>
  <c r="BN506" i="2"/>
  <c r="Z518" i="2"/>
  <c r="BN518" i="2"/>
  <c r="Z545" i="2"/>
  <c r="BN545" i="2"/>
  <c r="X555" i="2"/>
  <c r="Z29" i="2"/>
  <c r="BP40" i="2"/>
  <c r="Y52" i="2"/>
  <c r="Z49" i="2"/>
  <c r="Z60" i="2"/>
  <c r="Z67" i="2"/>
  <c r="Y76" i="2"/>
  <c r="Z127" i="2"/>
  <c r="Z128" i="2" s="1"/>
  <c r="Z137" i="2"/>
  <c r="Y344" i="2"/>
  <c r="Y547" i="2"/>
  <c r="Y548" i="2"/>
  <c r="BN72" i="2"/>
  <c r="BN74" i="2"/>
  <c r="BP85" i="2"/>
  <c r="Y91" i="2"/>
  <c r="BP101" i="2"/>
  <c r="Y110" i="2"/>
  <c r="BP106" i="2"/>
  <c r="BP112" i="2"/>
  <c r="BN113" i="2"/>
  <c r="BP113" i="2"/>
  <c r="Y118" i="2"/>
  <c r="BN152" i="2"/>
  <c r="BN174" i="2"/>
  <c r="BP174" i="2"/>
  <c r="BN175" i="2"/>
  <c r="BP178" i="2"/>
  <c r="BN178" i="2"/>
  <c r="Z178" i="2"/>
  <c r="BN180" i="2"/>
  <c r="BP180" i="2"/>
  <c r="BP182" i="2"/>
  <c r="BN182" i="2"/>
  <c r="Z182" i="2"/>
  <c r="BN183" i="2"/>
  <c r="Z183" i="2"/>
  <c r="BN190" i="2"/>
  <c r="BP190" i="2"/>
  <c r="Y191" i="2"/>
  <c r="BN203" i="2"/>
  <c r="BP203" i="2"/>
  <c r="BN204" i="2"/>
  <c r="Z204" i="2"/>
  <c r="BP217" i="2"/>
  <c r="BN217" i="2"/>
  <c r="Z217" i="2"/>
  <c r="BN218" i="2"/>
  <c r="Z218" i="2"/>
  <c r="Z224" i="2"/>
  <c r="BP224" i="2"/>
  <c r="BN227" i="2"/>
  <c r="BP227" i="2"/>
  <c r="BN229" i="2"/>
  <c r="BP229" i="2"/>
  <c r="BP237" i="2"/>
  <c r="BN237" i="2"/>
  <c r="Z237" i="2"/>
  <c r="BN238" i="2"/>
  <c r="BN267" i="2"/>
  <c r="BP267" i="2"/>
  <c r="BN268" i="2"/>
  <c r="Z268" i="2"/>
  <c r="BN285" i="2"/>
  <c r="BP285" i="2"/>
  <c r="BN287" i="2"/>
  <c r="Z287" i="2"/>
  <c r="BN300" i="2"/>
  <c r="BN302" i="2"/>
  <c r="BP304" i="2"/>
  <c r="BN304" i="2"/>
  <c r="Z304" i="2"/>
  <c r="BP322" i="2"/>
  <c r="BN322" i="2"/>
  <c r="Z322" i="2"/>
  <c r="BP323" i="2"/>
  <c r="BN323" i="2"/>
  <c r="Z323" i="2"/>
  <c r="BN342" i="2"/>
  <c r="BP346" i="2"/>
  <c r="Y349" i="2"/>
  <c r="Y348" i="2"/>
  <c r="BN346" i="2"/>
  <c r="Z346" i="2"/>
  <c r="BP347" i="2"/>
  <c r="BN347" i="2"/>
  <c r="Z347" i="2"/>
  <c r="BP370" i="2"/>
  <c r="BN370" i="2"/>
  <c r="Z370" i="2"/>
  <c r="BP382" i="2"/>
  <c r="BN382" i="2"/>
  <c r="Z382" i="2"/>
  <c r="BN387" i="2"/>
  <c r="Z387" i="2"/>
  <c r="BN431" i="2"/>
  <c r="BN438" i="2"/>
  <c r="BP439" i="2"/>
  <c r="BN439" i="2"/>
  <c r="Z439" i="2"/>
  <c r="Z443" i="2"/>
  <c r="BP443" i="2"/>
  <c r="BP449" i="2"/>
  <c r="Y452" i="2"/>
  <c r="Y451" i="2"/>
  <c r="BP450" i="2"/>
  <c r="BN450" i="2"/>
  <c r="Z450" i="2"/>
  <c r="BN487" i="2"/>
  <c r="Z487" i="2"/>
  <c r="Z488" i="2" s="1"/>
  <c r="BN491" i="2"/>
  <c r="BP491" i="2"/>
  <c r="BN493" i="2"/>
  <c r="BP501" i="2"/>
  <c r="Z501" i="2"/>
  <c r="BN520" i="2"/>
  <c r="Z520" i="2"/>
  <c r="BP520" i="2"/>
  <c r="Z22" i="2"/>
  <c r="BN22" i="2"/>
  <c r="BP22" i="2"/>
  <c r="Y25" i="2"/>
  <c r="BN23" i="2"/>
  <c r="BP23" i="2"/>
  <c r="Y24" i="2"/>
  <c r="Z27" i="2"/>
  <c r="BN28" i="2"/>
  <c r="BP28" i="2"/>
  <c r="BP29" i="2"/>
  <c r="Z38" i="2"/>
  <c r="BP41" i="2"/>
  <c r="BP48" i="2"/>
  <c r="Z58" i="2"/>
  <c r="BN59" i="2"/>
  <c r="BP59" i="2"/>
  <c r="BP60" i="2"/>
  <c r="Y69" i="2"/>
  <c r="BP67" i="2"/>
  <c r="BN68" i="2"/>
  <c r="Y75" i="2"/>
  <c r="Z78" i="2"/>
  <c r="BN78" i="2"/>
  <c r="Z79" i="2"/>
  <c r="Z81" i="2" s="1"/>
  <c r="BN79" i="2"/>
  <c r="Z86" i="2"/>
  <c r="BN86" i="2"/>
  <c r="Z88" i="2"/>
  <c r="BN88" i="2"/>
  <c r="BP102" i="2"/>
  <c r="BN103" i="2"/>
  <c r="BP103" i="2"/>
  <c r="BN105" i="2"/>
  <c r="Z106" i="2"/>
  <c r="Z107" i="2"/>
  <c r="BN107" i="2"/>
  <c r="BP114" i="2"/>
  <c r="BP116" i="2"/>
  <c r="Z121" i="2"/>
  <c r="BN121" i="2"/>
  <c r="BN123" i="2"/>
  <c r="BP123" i="2"/>
  <c r="BP127" i="2"/>
  <c r="H564" i="2"/>
  <c r="Z133" i="2"/>
  <c r="BN168" i="2"/>
  <c r="Z168" i="2"/>
  <c r="Y171" i="2"/>
  <c r="Z169" i="2"/>
  <c r="BN188" i="2"/>
  <c r="BN189" i="2"/>
  <c r="Z189" i="2"/>
  <c r="BP221" i="2"/>
  <c r="BN221" i="2"/>
  <c r="Z221" i="2"/>
  <c r="BN234" i="2"/>
  <c r="BP247" i="2"/>
  <c r="BN247" i="2"/>
  <c r="Z247" i="2"/>
  <c r="Y253" i="2"/>
  <c r="Y252" i="2"/>
  <c r="BP251" i="2"/>
  <c r="BN251" i="2"/>
  <c r="Z251" i="2"/>
  <c r="Z252" i="2" s="1"/>
  <c r="Y258" i="2"/>
  <c r="BN261" i="2"/>
  <c r="BP268" i="2"/>
  <c r="BN269" i="2"/>
  <c r="BN271" i="2"/>
  <c r="Y275" i="2"/>
  <c r="Y289" i="2"/>
  <c r="BP277" i="2"/>
  <c r="BN280" i="2"/>
  <c r="BP280" i="2"/>
  <c r="BN282" i="2"/>
  <c r="BP282" i="2"/>
  <c r="Y314" i="2"/>
  <c r="Y317" i="2"/>
  <c r="Y318" i="2"/>
  <c r="BN316" i="2"/>
  <c r="Z316" i="2"/>
  <c r="Z317" i="2" s="1"/>
  <c r="BN523" i="2"/>
  <c r="BP523" i="2"/>
  <c r="Y530" i="2"/>
  <c r="BP529" i="2"/>
  <c r="Y531" i="2"/>
  <c r="BP137" i="2"/>
  <c r="BP149" i="2"/>
  <c r="BP163" i="2"/>
  <c r="BN215" i="2"/>
  <c r="BN226" i="2"/>
  <c r="BN228" i="2"/>
  <c r="BN236" i="2"/>
  <c r="BN241" i="2"/>
  <c r="BN246" i="2"/>
  <c r="BN256" i="2"/>
  <c r="Y264" i="2"/>
  <c r="BN262" i="2"/>
  <c r="BN279" i="2"/>
  <c r="BN281" i="2"/>
  <c r="BN286" i="2"/>
  <c r="Y294" i="2"/>
  <c r="Y295" i="2"/>
  <c r="BN325" i="2"/>
  <c r="BP333" i="2"/>
  <c r="BN333" i="2"/>
  <c r="Z333" i="2"/>
  <c r="BP362" i="2"/>
  <c r="BN362" i="2"/>
  <c r="Z362" i="2"/>
  <c r="BP374" i="2"/>
  <c r="BN374" i="2"/>
  <c r="Z374" i="2"/>
  <c r="Y384" i="2"/>
  <c r="BP393" i="2"/>
  <c r="BN393" i="2"/>
  <c r="Z393" i="2"/>
  <c r="BP394" i="2"/>
  <c r="BN394" i="2"/>
  <c r="Z394" i="2"/>
  <c r="BP400" i="2"/>
  <c r="BN400" i="2"/>
  <c r="Z400" i="2"/>
  <c r="BP418" i="2"/>
  <c r="BN418" i="2"/>
  <c r="Z418" i="2"/>
  <c r="Y461" i="2"/>
  <c r="Y462" i="2"/>
  <c r="BP465" i="2"/>
  <c r="BN465" i="2"/>
  <c r="Z465" i="2"/>
  <c r="BP475" i="2"/>
  <c r="BN475" i="2"/>
  <c r="Z475" i="2"/>
  <c r="BP477" i="2"/>
  <c r="BN477" i="2"/>
  <c r="Z477" i="2"/>
  <c r="BN503" i="2"/>
  <c r="BP503" i="2"/>
  <c r="Y509" i="2"/>
  <c r="BN505" i="2"/>
  <c r="BN513" i="2"/>
  <c r="BP513" i="2"/>
  <c r="BN517" i="2"/>
  <c r="BP517" i="2"/>
  <c r="BN522" i="2"/>
  <c r="Z522" i="2"/>
  <c r="Y535" i="2"/>
  <c r="BN533" i="2"/>
  <c r="Z533" i="2"/>
  <c r="Z534" i="2" s="1"/>
  <c r="BN537" i="2"/>
  <c r="BP537" i="2"/>
  <c r="Y538" i="2"/>
  <c r="Y539" i="2"/>
  <c r="Y542" i="2"/>
  <c r="Y543" i="2"/>
  <c r="BP326" i="2"/>
  <c r="BN331" i="2"/>
  <c r="BN340" i="2"/>
  <c r="Y366" i="2"/>
  <c r="Y383" i="2"/>
  <c r="Y389" i="2"/>
  <c r="BN399" i="2"/>
  <c r="Y402" i="2"/>
  <c r="Y403" i="2"/>
  <c r="W564" i="2"/>
  <c r="BN445" i="2"/>
  <c r="X564" i="2"/>
  <c r="BN476" i="2"/>
  <c r="BN546" i="2"/>
  <c r="F10" i="2"/>
  <c r="BP56" i="2"/>
  <c r="BN56" i="2"/>
  <c r="BN50" i="2"/>
  <c r="BN206" i="2"/>
  <c r="BP301" i="2"/>
  <c r="BN301" i="2"/>
  <c r="BN321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Y207" i="2"/>
  <c r="BP201" i="2"/>
  <c r="K564" i="2"/>
  <c r="Z341" i="2"/>
  <c r="Z363" i="2"/>
  <c r="BN412" i="2"/>
  <c r="Z412" i="2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Z514" i="2" s="1"/>
  <c r="Y514" i="2"/>
  <c r="F9" i="2"/>
  <c r="H9" i="2"/>
  <c r="BN31" i="2"/>
  <c r="Z41" i="2"/>
  <c r="Y51" i="2"/>
  <c r="Z57" i="2"/>
  <c r="Z65" i="2"/>
  <c r="Z69" i="2" s="1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Z165" i="2" s="1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74" i="2"/>
  <c r="Z499" i="2"/>
  <c r="Z519" i="2"/>
  <c r="Z371" i="2"/>
  <c r="Z381" i="2"/>
  <c r="Z286" i="2"/>
  <c r="Z325" i="2"/>
  <c r="Z386" i="2"/>
  <c r="Z420" i="2"/>
  <c r="Z432" i="2"/>
  <c r="Z455" i="2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408" i="2" l="1"/>
  <c r="Z134" i="2"/>
  <c r="Z170" i="2"/>
  <c r="Z451" i="2"/>
  <c r="Z547" i="2"/>
  <c r="Z457" i="2"/>
  <c r="Z467" i="2"/>
  <c r="Z124" i="2"/>
  <c r="Z414" i="2"/>
  <c r="Z396" i="2"/>
  <c r="Z348" i="2"/>
  <c r="Z207" i="2"/>
  <c r="X557" i="2"/>
  <c r="Z42" i="2"/>
  <c r="Z117" i="2"/>
  <c r="Z139" i="2"/>
  <c r="Z154" i="2"/>
  <c r="Y554" i="2"/>
  <c r="Z434" i="2"/>
  <c r="Z334" i="2"/>
  <c r="Z191" i="2"/>
  <c r="Z32" i="2"/>
  <c r="Z230" i="2"/>
  <c r="Y556" i="2"/>
  <c r="Z51" i="2"/>
  <c r="Y555" i="2"/>
  <c r="Z75" i="2"/>
  <c r="Z494" i="2"/>
  <c r="Z109" i="2"/>
  <c r="Z274" i="2"/>
  <c r="Z242" i="2"/>
  <c r="Z90" i="2"/>
  <c r="Z24" i="2"/>
  <c r="Z327" i="2"/>
  <c r="Z62" i="2"/>
  <c r="Y558" i="2"/>
  <c r="Z483" i="2"/>
  <c r="Y557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<sst xmlns="http://schemas.openxmlformats.org/spreadsheetml/2006/main" count="4265" uniqueCount="899">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</sst>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8" t="s">
        <v>26</v>
      </c>
      <c r="E1" s="648"/>
      <c r="F1" s="648"/>
      <c r="G1" s="14" t="s">
        <v>67</v>
      </c>
      <c r="H1" s="648" t="s">
        <v>47</v>
      </c>
      <c r="I1" s="648"/>
      <c r="J1" s="648"/>
      <c r="K1" s="648"/>
      <c r="L1" s="648"/>
      <c r="M1" s="648"/>
      <c r="N1" s="648"/>
      <c r="O1" s="648"/>
      <c r="P1" s="648"/>
      <c r="Q1" s="648"/>
      <c r="R1" s="649" t="s">
        <v>68</v>
      </c>
      <c r="S1" s="650"/>
      <c r="T1" s="6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1"/>
      <c r="Q3" s="651"/>
      <c r="R3" s="651"/>
      <c r="S3" s="651"/>
      <c r="T3" s="651"/>
      <c r="U3" s="651"/>
      <c r="V3" s="651"/>
      <c r="W3" s="6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2" t="s">
        <v>8</v>
      </c>
      <c r="B5" s="652"/>
      <c r="C5" s="652"/>
      <c r="D5" s="653"/>
      <c r="E5" s="653"/>
      <c r="F5" s="654" t="s">
        <v>14</v>
      </c>
      <c r="G5" s="654"/>
      <c r="H5" s="653"/>
      <c r="I5" s="653"/>
      <c r="J5" s="653"/>
      <c r="K5" s="653"/>
      <c r="L5" s="653"/>
      <c r="M5" s="653"/>
      <c r="N5" s="72"/>
      <c r="P5" s="27" t="s">
        <v>4</v>
      </c>
      <c r="Q5" s="655">
        <v>46289</v>
      </c>
      <c r="R5" s="655"/>
      <c r="T5" s="656" t="s">
        <v>3</v>
      </c>
      <c r="U5" s="657"/>
      <c r="V5" s="658" t="s">
        <v>875</v>
      </c>
      <c r="W5" s="659"/>
      <c r="AB5" s="59"/>
      <c r="AC5" s="59"/>
      <c r="AD5" s="59"/>
      <c r="AE5" s="59"/>
    </row>
    <row r="6" spans="1:32" s="17" customFormat="1" ht="24" customHeight="1" x14ac:dyDescent="0.2">
      <c r="A6" s="652" t="s">
        <v>1</v>
      </c>
      <c r="B6" s="652"/>
      <c r="C6" s="652"/>
      <c r="D6" s="660" t="s">
        <v>882</v>
      </c>
      <c r="E6" s="660"/>
      <c r="F6" s="660"/>
      <c r="G6" s="660"/>
      <c r="H6" s="660"/>
      <c r="I6" s="660"/>
      <c r="J6" s="660"/>
      <c r="K6" s="660"/>
      <c r="L6" s="660"/>
      <c r="M6" s="660"/>
      <c r="N6" s="73"/>
      <c r="P6" s="27" t="s">
        <v>27</v>
      </c>
      <c r="Q6" s="661" t="str">
        <f>IF(Q5=0," ",CHOOSE(WEEKDAY(Q5,2),"Понедельник","Вторник","Среда","Четверг","Пятница","Суббота","Воскресенье"))</f>
        <v>Четверг</v>
      </c>
      <c r="R6" s="661"/>
      <c r="T6" s="662" t="s">
        <v>5</v>
      </c>
      <c r="U6" s="663"/>
      <c r="V6" s="664" t="s">
        <v>70</v>
      </c>
      <c r="W6" s="6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0" t="str">
        <f>IFERROR(VLOOKUP(DeliveryAddress,Table,3,0),1)</f>
        <v>3</v>
      </c>
      <c r="E7" s="671"/>
      <c r="F7" s="671"/>
      <c r="G7" s="671"/>
      <c r="H7" s="671"/>
      <c r="I7" s="671"/>
      <c r="J7" s="671"/>
      <c r="K7" s="671"/>
      <c r="L7" s="671"/>
      <c r="M7" s="672"/>
      <c r="N7" s="74"/>
      <c r="P7" s="29"/>
      <c r="Q7" s="48"/>
      <c r="R7" s="48"/>
      <c r="T7" s="662"/>
      <c r="U7" s="663"/>
      <c r="V7" s="666"/>
      <c r="W7" s="667"/>
      <c r="AB7" s="59"/>
      <c r="AC7" s="59"/>
      <c r="AD7" s="59"/>
      <c r="AE7" s="59"/>
    </row>
    <row r="8" spans="1:32" s="17" customFormat="1" ht="25.5" customHeight="1" x14ac:dyDescent="0.2">
      <c r="A8" s="673" t="s">
        <v>58</v>
      </c>
      <c r="B8" s="673"/>
      <c r="C8" s="673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75"/>
      <c r="P8" s="27" t="s">
        <v>11</v>
      </c>
      <c r="Q8" s="675">
        <v>0.41666666666666669</v>
      </c>
      <c r="R8" s="675"/>
      <c r="T8" s="662"/>
      <c r="U8" s="663"/>
      <c r="V8" s="666"/>
      <c r="W8" s="667"/>
      <c r="AB8" s="59"/>
      <c r="AC8" s="59"/>
      <c r="AD8" s="59"/>
      <c r="AE8" s="59"/>
    </row>
    <row r="9" spans="1:32" s="17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6"/>
      <c r="C9" s="676"/>
      <c r="D9" s="677" t="s">
        <v>46</v>
      </c>
      <c r="E9" s="678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6"/>
      <c r="H9" s="679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70"/>
      <c r="P9" s="31" t="s">
        <v>15</v>
      </c>
      <c r="Q9" s="680"/>
      <c r="R9" s="680"/>
      <c r="T9" s="662"/>
      <c r="U9" s="663"/>
      <c r="V9" s="668"/>
      <c r="W9" s="6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6"/>
      <c r="C10" s="676"/>
      <c r="D10" s="677"/>
      <c r="E10" s="678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6"/>
      <c r="H10" s="681" t="str">
        <f>IFERROR(VLOOKUP($D$10,Proxy,2,FALSE),"")</f>
        <v/>
      </c>
      <c r="I10" s="681"/>
      <c r="J10" s="681"/>
      <c r="K10" s="681"/>
      <c r="L10" s="681"/>
      <c r="M10" s="681"/>
      <c r="N10" s="71"/>
      <c r="P10" s="31" t="s">
        <v>32</v>
      </c>
      <c r="Q10" s="682"/>
      <c r="R10" s="682"/>
      <c r="U10" s="29" t="s">
        <v>12</v>
      </c>
      <c r="V10" s="683" t="s">
        <v>71</v>
      </c>
      <c r="W10" s="6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5"/>
      <c r="R11" s="685"/>
      <c r="U11" s="29" t="s">
        <v>28</v>
      </c>
      <c r="V11" s="686" t="s">
        <v>55</v>
      </c>
      <c r="W11" s="6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7" t="s">
        <v>72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76"/>
      <c r="P12" s="27" t="s">
        <v>30</v>
      </c>
      <c r="Q12" s="675"/>
      <c r="R12" s="675"/>
      <c r="S12" s="28"/>
      <c r="T12"/>
      <c r="U12" s="29" t="s">
        <v>46</v>
      </c>
      <c r="V12" s="688"/>
      <c r="W12" s="688"/>
      <c r="X12"/>
      <c r="AB12" s="59"/>
      <c r="AC12" s="59"/>
      <c r="AD12" s="59"/>
      <c r="AE12" s="59"/>
    </row>
    <row r="13" spans="1:32" s="17" customFormat="1" ht="23.25" customHeight="1" x14ac:dyDescent="0.2">
      <c r="A13" s="687" t="s">
        <v>73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76"/>
      <c r="O13" s="31"/>
      <c r="P13" s="31" t="s">
        <v>31</v>
      </c>
      <c r="Q13" s="686"/>
      <c r="R13" s="6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7" t="s">
        <v>74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9" t="s">
        <v>75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"/>
      <c r="O15"/>
      <c r="P15" s="690" t="s">
        <v>61</v>
      </c>
      <c r="Q15" s="690"/>
      <c r="R15" s="690"/>
      <c r="S15" s="690"/>
      <c r="T15" s="6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1"/>
      <c r="Q16" s="691"/>
      <c r="R16" s="691"/>
      <c r="S16" s="691"/>
      <c r="T16" s="6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4" t="s">
        <v>59</v>
      </c>
      <c r="B17" s="694" t="s">
        <v>49</v>
      </c>
      <c r="C17" s="696" t="s">
        <v>48</v>
      </c>
      <c r="D17" s="698" t="s">
        <v>50</v>
      </c>
      <c r="E17" s="699"/>
      <c r="F17" s="694" t="s">
        <v>21</v>
      </c>
      <c r="G17" s="694" t="s">
        <v>24</v>
      </c>
      <c r="H17" s="694" t="s">
        <v>22</v>
      </c>
      <c r="I17" s="694" t="s">
        <v>23</v>
      </c>
      <c r="J17" s="694" t="s">
        <v>16</v>
      </c>
      <c r="K17" s="694" t="s">
        <v>66</v>
      </c>
      <c r="L17" s="694" t="s">
        <v>64</v>
      </c>
      <c r="M17" s="694" t="s">
        <v>2</v>
      </c>
      <c r="N17" s="694" t="s">
        <v>63</v>
      </c>
      <c r="O17" s="694" t="s">
        <v>25</v>
      </c>
      <c r="P17" s="698" t="s">
        <v>17</v>
      </c>
      <c r="Q17" s="702"/>
      <c r="R17" s="702"/>
      <c r="S17" s="702"/>
      <c r="T17" s="699"/>
      <c r="U17" s="692" t="s">
        <v>56</v>
      </c>
      <c r="V17" s="693"/>
      <c r="W17" s="694" t="s">
        <v>6</v>
      </c>
      <c r="X17" s="694" t="s">
        <v>41</v>
      </c>
      <c r="Y17" s="704" t="s">
        <v>54</v>
      </c>
      <c r="Z17" s="706" t="s">
        <v>18</v>
      </c>
      <c r="AA17" s="708" t="s">
        <v>60</v>
      </c>
      <c r="AB17" s="708" t="s">
        <v>19</v>
      </c>
      <c r="AC17" s="708" t="s">
        <v>65</v>
      </c>
      <c r="AD17" s="710" t="s">
        <v>57</v>
      </c>
      <c r="AE17" s="711"/>
      <c r="AF17" s="712"/>
      <c r="AG17" s="82"/>
      <c r="BD17" s="81" t="s">
        <v>62</v>
      </c>
    </row>
    <row r="18" spans="1:68" ht="14.25" customHeight="1" x14ac:dyDescent="0.2">
      <c r="A18" s="695"/>
      <c r="B18" s="695"/>
      <c r="C18" s="697"/>
      <c r="D18" s="700"/>
      <c r="E18" s="70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00"/>
      <c r="Q18" s="703"/>
      <c r="R18" s="703"/>
      <c r="S18" s="703"/>
      <c r="T18" s="701"/>
      <c r="U18" s="83" t="s">
        <v>44</v>
      </c>
      <c r="V18" s="83" t="s">
        <v>43</v>
      </c>
      <c r="W18" s="695"/>
      <c r="X18" s="695"/>
      <c r="Y18" s="705"/>
      <c r="Z18" s="707"/>
      <c r="AA18" s="709"/>
      <c r="AB18" s="709"/>
      <c r="AC18" s="709"/>
      <c r="AD18" s="713"/>
      <c r="AE18" s="714"/>
      <c r="AF18" s="715"/>
      <c r="AG18" s="82"/>
      <c r="BD18" s="81"/>
    </row>
    <row r="19" spans="1:68" ht="27.75" hidden="1" customHeight="1" x14ac:dyDescent="0.2">
      <c r="A19" s="716" t="s">
        <v>76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4"/>
      <c r="AB19" s="54"/>
      <c r="AC19" s="54"/>
    </row>
    <row r="20" spans="1:68" ht="16.5" hidden="1" customHeight="1" x14ac:dyDescent="0.25">
      <c r="A20" s="717" t="s">
        <v>76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  <c r="O20" s="717"/>
      <c r="P20" s="717"/>
      <c r="Q20" s="717"/>
      <c r="R20" s="717"/>
      <c r="S20" s="717"/>
      <c r="T20" s="717"/>
      <c r="U20" s="717"/>
      <c r="V20" s="717"/>
      <c r="W20" s="717"/>
      <c r="X20" s="717"/>
      <c r="Y20" s="717"/>
      <c r="Z20" s="717"/>
      <c r="AA20" s="65"/>
      <c r="AB20" s="65"/>
      <c r="AC20" s="79"/>
    </row>
    <row r="21" spans="1:68" ht="14.25" hidden="1" customHeight="1" x14ac:dyDescent="0.25">
      <c r="A21" s="718" t="s">
        <v>77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18"/>
      <c r="P21" s="718"/>
      <c r="Q21" s="718"/>
      <c r="R21" s="718"/>
      <c r="S21" s="718"/>
      <c r="T21" s="718"/>
      <c r="U21" s="718"/>
      <c r="V21" s="718"/>
      <c r="W21" s="718"/>
      <c r="X21" s="718"/>
      <c r="Y21" s="718"/>
      <c r="Z21" s="71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9">
        <v>4680115886643</v>
      </c>
      <c r="E22" s="7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1"/>
      <c r="R22" s="721"/>
      <c r="S22" s="721"/>
      <c r="T22" s="7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9">
        <v>4680115889071</v>
      </c>
      <c r="E23" s="7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1"/>
      <c r="R23" s="721"/>
      <c r="S23" s="721"/>
      <c r="T23" s="7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8"/>
      <c r="P24" s="724" t="s">
        <v>40</v>
      </c>
      <c r="Q24" s="725"/>
      <c r="R24" s="725"/>
      <c r="S24" s="725"/>
      <c r="T24" s="725"/>
      <c r="U24" s="725"/>
      <c r="V24" s="7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8"/>
      <c r="P25" s="724" t="s">
        <v>40</v>
      </c>
      <c r="Q25" s="725"/>
      <c r="R25" s="725"/>
      <c r="S25" s="725"/>
      <c r="T25" s="725"/>
      <c r="U25" s="725"/>
      <c r="V25" s="7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8" t="s">
        <v>86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9">
        <v>4680115885912</v>
      </c>
      <c r="E27" s="7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1"/>
      <c r="R27" s="721"/>
      <c r="S27" s="721"/>
      <c r="T27" s="7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9">
        <v>4607091388237</v>
      </c>
      <c r="E28" s="7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1"/>
      <c r="R28" s="721"/>
      <c r="S28" s="721"/>
      <c r="T28" s="7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9">
        <v>4680115887350</v>
      </c>
      <c r="E29" s="7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1"/>
      <c r="R29" s="721"/>
      <c r="S29" s="721"/>
      <c r="T29" s="7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9">
        <v>4680115885905</v>
      </c>
      <c r="E30" s="7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1"/>
      <c r="R30" s="721"/>
      <c r="S30" s="721"/>
      <c r="T30" s="7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9">
        <v>4680115887619</v>
      </c>
      <c r="E31" s="7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1"/>
      <c r="R31" s="721"/>
      <c r="S31" s="721"/>
      <c r="T31" s="7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8"/>
      <c r="P32" s="724" t="s">
        <v>40</v>
      </c>
      <c r="Q32" s="725"/>
      <c r="R32" s="725"/>
      <c r="S32" s="725"/>
      <c r="T32" s="725"/>
      <c r="U32" s="725"/>
      <c r="V32" s="72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4" t="s">
        <v>40</v>
      </c>
      <c r="Q33" s="725"/>
      <c r="R33" s="725"/>
      <c r="S33" s="725"/>
      <c r="T33" s="725"/>
      <c r="U33" s="725"/>
      <c r="V33" s="72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6" t="s">
        <v>45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4"/>
      <c r="AB34" s="54"/>
      <c r="AC34" s="54"/>
    </row>
    <row r="35" spans="1:68" ht="16.5" hidden="1" customHeight="1" x14ac:dyDescent="0.25">
      <c r="A35" s="717" t="s">
        <v>104</v>
      </c>
      <c r="B35" s="717"/>
      <c r="C35" s="717"/>
      <c r="D35" s="717"/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Y35" s="717"/>
      <c r="Z35" s="717"/>
      <c r="AA35" s="65"/>
      <c r="AB35" s="65"/>
      <c r="AC35" s="79"/>
    </row>
    <row r="36" spans="1:68" ht="14.25" hidden="1" customHeight="1" x14ac:dyDescent="0.25">
      <c r="A36" s="718" t="s">
        <v>86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718"/>
      <c r="O36" s="718"/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9">
        <v>4680115889354</v>
      </c>
      <c r="E37" s="71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1"/>
      <c r="R37" s="721"/>
      <c r="S37" s="721"/>
      <c r="T37" s="72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9">
        <v>4680115888463</v>
      </c>
      <c r="E38" s="71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1"/>
      <c r="R38" s="721"/>
      <c r="S38" s="721"/>
      <c r="T38" s="72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19">
        <v>4680115889590</v>
      </c>
      <c r="E39" s="71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1"/>
      <c r="R39" s="721"/>
      <c r="S39" s="721"/>
      <c r="T39" s="72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9">
        <v>4680115888272</v>
      </c>
      <c r="E40" s="71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1"/>
      <c r="R40" s="721"/>
      <c r="S40" s="721"/>
      <c r="T40" s="72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9">
        <v>4680115888364</v>
      </c>
      <c r="E41" s="7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1"/>
      <c r="R41" s="721"/>
      <c r="S41" s="721"/>
      <c r="T41" s="7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8"/>
      <c r="P42" s="724" t="s">
        <v>40</v>
      </c>
      <c r="Q42" s="725"/>
      <c r="R42" s="725"/>
      <c r="S42" s="725"/>
      <c r="T42" s="725"/>
      <c r="U42" s="725"/>
      <c r="V42" s="72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8"/>
      <c r="P43" s="724" t="s">
        <v>40</v>
      </c>
      <c r="Q43" s="725"/>
      <c r="R43" s="725"/>
      <c r="S43" s="725"/>
      <c r="T43" s="725"/>
      <c r="U43" s="725"/>
      <c r="V43" s="72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6" t="s">
        <v>120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4"/>
      <c r="AB44" s="54"/>
      <c r="AC44" s="54"/>
    </row>
    <row r="45" spans="1:68" ht="16.5" hidden="1" customHeight="1" x14ac:dyDescent="0.25">
      <c r="A45" s="717" t="s">
        <v>121</v>
      </c>
      <c r="B45" s="717"/>
      <c r="C45" s="717"/>
      <c r="D45" s="717"/>
      <c r="E45" s="717"/>
      <c r="F45" s="717"/>
      <c r="G45" s="717"/>
      <c r="H45" s="717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Y45" s="717"/>
      <c r="Z45" s="717"/>
      <c r="AA45" s="65"/>
      <c r="AB45" s="65"/>
      <c r="AC45" s="79"/>
    </row>
    <row r="46" spans="1:68" ht="14.25" hidden="1" customHeight="1" x14ac:dyDescent="0.25">
      <c r="A46" s="718" t="s">
        <v>122</v>
      </c>
      <c r="B46" s="718"/>
      <c r="C46" s="718"/>
      <c r="D46" s="718"/>
      <c r="E46" s="718"/>
      <c r="F46" s="718"/>
      <c r="G46" s="718"/>
      <c r="H46" s="718"/>
      <c r="I46" s="718"/>
      <c r="J46" s="718"/>
      <c r="K46" s="718"/>
      <c r="L46" s="718"/>
      <c r="M46" s="718"/>
      <c r="N46" s="718"/>
      <c r="O46" s="718"/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9">
        <v>4607091385670</v>
      </c>
      <c r="E47" s="71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1"/>
      <c r="R47" s="721"/>
      <c r="S47" s="721"/>
      <c r="T47" s="722"/>
      <c r="U47" s="39" t="s">
        <v>46</v>
      </c>
      <c r="V47" s="39" t="s">
        <v>46</v>
      </c>
      <c r="W47" s="40" t="s">
        <v>0</v>
      </c>
      <c r="X47" s="58">
        <v>108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112.1</v>
      </c>
      <c r="BN47" s="78">
        <f>IFERROR(Y47*I47/H47,"0")</f>
        <v>112.1</v>
      </c>
      <c r="BO47" s="78">
        <f>IFERROR(1/J47*(X47/H47),"0")</f>
        <v>0.15625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9">
        <v>4680115887725</v>
      </c>
      <c r="E48" s="71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1"/>
      <c r="R48" s="721"/>
      <c r="S48" s="721"/>
      <c r="T48" s="72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9">
        <v>4607091385687</v>
      </c>
      <c r="E49" s="71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1"/>
      <c r="R49" s="721"/>
      <c r="S49" s="721"/>
      <c r="T49" s="722"/>
      <c r="U49" s="39" t="s">
        <v>46</v>
      </c>
      <c r="V49" s="39" t="s">
        <v>46</v>
      </c>
      <c r="W49" s="40" t="s">
        <v>0</v>
      </c>
      <c r="X49" s="58">
        <v>40</v>
      </c>
      <c r="Y49" s="55">
        <f>IFERROR(IF(X49="",0,CEILING((X49/$H49),1)*$H49),"")</f>
        <v>40</v>
      </c>
      <c r="Z49" s="41">
        <f>IFERROR(IF(Y49=0,"",ROUNDUP(Y49/H49,0)*0.00902),"")</f>
        <v>9.0200000000000002E-2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41.900000000000006</v>
      </c>
      <c r="BN49" s="78">
        <f>IFERROR(Y49*I49/H49,"0")</f>
        <v>41.900000000000006</v>
      </c>
      <c r="BO49" s="78">
        <f>IFERROR(1/J49*(X49/H49),"0")</f>
        <v>7.575757575757576E-2</v>
      </c>
      <c r="BP49" s="78">
        <f>IFERROR(1/J49*(Y49/H49),"0")</f>
        <v>7.575757575757576E-2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9">
        <v>4680115882539</v>
      </c>
      <c r="E50" s="71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1"/>
      <c r="R50" s="721"/>
      <c r="S50" s="721"/>
      <c r="T50" s="72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8"/>
      <c r="P51" s="724" t="s">
        <v>40</v>
      </c>
      <c r="Q51" s="725"/>
      <c r="R51" s="725"/>
      <c r="S51" s="725"/>
      <c r="T51" s="725"/>
      <c r="U51" s="725"/>
      <c r="V51" s="726"/>
      <c r="W51" s="42" t="s">
        <v>39</v>
      </c>
      <c r="X51" s="43">
        <f>IFERROR(X47/H47,"0")+IFERROR(X48/H48,"0")+IFERROR(X49/H49,"0")+IFERROR(X50/H50,"0")</f>
        <v>20</v>
      </c>
      <c r="Y51" s="43">
        <f>IFERROR(Y47/H47,"0")+IFERROR(Y48/H48,"0")+IFERROR(Y49/H49,"0")+IFERROR(Y50/H50,"0")</f>
        <v>20</v>
      </c>
      <c r="Z51" s="43">
        <f>IFERROR(IF(Z47="",0,Z47),"0")+IFERROR(IF(Z48="",0,Z48),"0")+IFERROR(IF(Z49="",0,Z49),"0")+IFERROR(IF(Z50="",0,Z50),"0")</f>
        <v>0.28000000000000003</v>
      </c>
      <c r="AA51" s="67"/>
      <c r="AB51" s="67"/>
      <c r="AC51" s="67"/>
    </row>
    <row r="52" spans="1:68" x14ac:dyDescent="0.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8"/>
      <c r="P52" s="724" t="s">
        <v>40</v>
      </c>
      <c r="Q52" s="725"/>
      <c r="R52" s="725"/>
      <c r="S52" s="725"/>
      <c r="T52" s="725"/>
      <c r="U52" s="725"/>
      <c r="V52" s="726"/>
      <c r="W52" s="42" t="s">
        <v>0</v>
      </c>
      <c r="X52" s="43">
        <f>IFERROR(SUM(X47:X50),"0")</f>
        <v>148</v>
      </c>
      <c r="Y52" s="43">
        <f>IFERROR(SUM(Y47:Y50),"0")</f>
        <v>148</v>
      </c>
      <c r="Z52" s="42"/>
      <c r="AA52" s="67"/>
      <c r="AB52" s="67"/>
      <c r="AC52" s="67"/>
    </row>
    <row r="53" spans="1:68" ht="16.5" hidden="1" customHeight="1" x14ac:dyDescent="0.25">
      <c r="A53" s="717" t="s">
        <v>137</v>
      </c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65"/>
      <c r="AB53" s="65"/>
      <c r="AC53" s="79"/>
    </row>
    <row r="54" spans="1:68" ht="14.25" hidden="1" customHeight="1" x14ac:dyDescent="0.25">
      <c r="A54" s="718" t="s">
        <v>122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19">
        <v>4680115885882</v>
      </c>
      <c r="E55" s="71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1"/>
      <c r="R55" s="721"/>
      <c r="S55" s="721"/>
      <c r="T55" s="722"/>
      <c r="U55" s="39" t="s">
        <v>46</v>
      </c>
      <c r="V55" s="39" t="s">
        <v>46</v>
      </c>
      <c r="W55" s="40" t="s">
        <v>0</v>
      </c>
      <c r="X55" s="58">
        <v>56</v>
      </c>
      <c r="Y55" s="55">
        <f t="shared" ref="Y55:Y61" si="0">IFERROR(IF(X55="",0,CEILING((X55/$H55),1)*$H55),"")</f>
        <v>56</v>
      </c>
      <c r="Z55" s="41">
        <f>IFERROR(IF(Y55=0,"",ROUNDUP(Y55/H55,0)*0.01898),"")</f>
        <v>9.4899999999999998E-2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58.050000000000004</v>
      </c>
      <c r="BN55" s="78">
        <f t="shared" ref="BN55:BN61" si="2">IFERROR(Y55*I55/H55,"0")</f>
        <v>58.050000000000004</v>
      </c>
      <c r="BO55" s="78">
        <f t="shared" ref="BO55:BO61" si="3">IFERROR(1/J55*(X55/H55),"0")</f>
        <v>7.8125E-2</v>
      </c>
      <c r="BP55" s="78">
        <f t="shared" ref="BP55:BP61" si="4">IFERROR(1/J55*(Y55/H55),"0")</f>
        <v>7.8125E-2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19">
        <v>4680115881426</v>
      </c>
      <c r="E56" s="71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1"/>
      <c r="R56" s="721"/>
      <c r="S56" s="721"/>
      <c r="T56" s="722"/>
      <c r="U56" s="39" t="s">
        <v>46</v>
      </c>
      <c r="V56" s="39" t="s">
        <v>46</v>
      </c>
      <c r="W56" s="40" t="s">
        <v>0</v>
      </c>
      <c r="X56" s="58">
        <v>691.2</v>
      </c>
      <c r="Y56" s="55">
        <f t="shared" si="0"/>
        <v>691.2</v>
      </c>
      <c r="Z56" s="41">
        <f>IFERROR(IF(Y56=0,"",ROUNDUP(Y56/H56,0)*0.01898),"")</f>
        <v>1.21472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717.44</v>
      </c>
      <c r="BN56" s="78">
        <f t="shared" si="2"/>
        <v>717.44</v>
      </c>
      <c r="BO56" s="78">
        <f t="shared" si="3"/>
        <v>1</v>
      </c>
      <c r="BP56" s="78">
        <f t="shared" si="4"/>
        <v>1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19">
        <v>4680115880283</v>
      </c>
      <c r="E57" s="71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1"/>
      <c r="R57" s="721"/>
      <c r="S57" s="721"/>
      <c r="T57" s="72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719">
        <v>4680115881525</v>
      </c>
      <c r="E58" s="71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1"/>
      <c r="R58" s="721"/>
      <c r="S58" s="721"/>
      <c r="T58" s="722"/>
      <c r="U58" s="39" t="s">
        <v>46</v>
      </c>
      <c r="V58" s="39" t="s">
        <v>46</v>
      </c>
      <c r="W58" s="40" t="s">
        <v>0</v>
      </c>
      <c r="X58" s="58">
        <v>40</v>
      </c>
      <c r="Y58" s="55">
        <f t="shared" si="0"/>
        <v>40</v>
      </c>
      <c r="Z58" s="41">
        <f>IFERROR(IF(Y58=0,"",ROUNDUP(Y58/H58,0)*0.00902),"")</f>
        <v>9.0200000000000002E-2</v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41.900000000000006</v>
      </c>
      <c r="BN58" s="78">
        <f t="shared" si="2"/>
        <v>41.900000000000006</v>
      </c>
      <c r="BO58" s="78">
        <f t="shared" si="3"/>
        <v>7.575757575757576E-2</v>
      </c>
      <c r="BP58" s="78">
        <f t="shared" si="4"/>
        <v>7.575757575757576E-2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19">
        <v>4680115881525</v>
      </c>
      <c r="E59" s="71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1"/>
      <c r="R59" s="721"/>
      <c r="S59" s="721"/>
      <c r="T59" s="7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19">
        <v>4680115885899</v>
      </c>
      <c r="E60" s="71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1"/>
      <c r="R60" s="721"/>
      <c r="S60" s="721"/>
      <c r="T60" s="72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19">
        <v>4680115881419</v>
      </c>
      <c r="E61" s="71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1"/>
      <c r="R61" s="721"/>
      <c r="S61" s="721"/>
      <c r="T61" s="72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4" t="s">
        <v>40</v>
      </c>
      <c r="Q62" s="725"/>
      <c r="R62" s="725"/>
      <c r="S62" s="725"/>
      <c r="T62" s="725"/>
      <c r="U62" s="725"/>
      <c r="V62" s="726"/>
      <c r="W62" s="42" t="s">
        <v>39</v>
      </c>
      <c r="X62" s="43">
        <f>IFERROR(X55/H55,"0")+IFERROR(X56/H56,"0")+IFERROR(X57/H57,"0")+IFERROR(X58/H58,"0")+IFERROR(X59/H59,"0")+IFERROR(X60/H60,"0")+IFERROR(X61/H61,"0")</f>
        <v>79</v>
      </c>
      <c r="Y62" s="43">
        <f>IFERROR(Y55/H55,"0")+IFERROR(Y56/H56,"0")+IFERROR(Y57/H57,"0")+IFERROR(Y58/H58,"0")+IFERROR(Y59/H59,"0")+IFERROR(Y60/H60,"0")+IFERROR(Y61/H61,"0")</f>
        <v>79</v>
      </c>
      <c r="Z62" s="43">
        <f>IFERROR(IF(Z55="",0,Z55),"0")+IFERROR(IF(Z56="",0,Z56),"0")+IFERROR(IF(Z57="",0,Z57),"0")+IFERROR(IF(Z58="",0,Z58),"0")+IFERROR(IF(Z59="",0,Z59),"0")+IFERROR(IF(Z60="",0,Z60),"0")+IFERROR(IF(Z61="",0,Z61),"0")</f>
        <v>1.3998200000000001</v>
      </c>
      <c r="AA62" s="67"/>
      <c r="AB62" s="67"/>
      <c r="AC62" s="67"/>
    </row>
    <row r="63" spans="1:68" x14ac:dyDescent="0.2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8"/>
      <c r="P63" s="724" t="s">
        <v>40</v>
      </c>
      <c r="Q63" s="725"/>
      <c r="R63" s="725"/>
      <c r="S63" s="725"/>
      <c r="T63" s="725"/>
      <c r="U63" s="725"/>
      <c r="V63" s="726"/>
      <c r="W63" s="42" t="s">
        <v>0</v>
      </c>
      <c r="X63" s="43">
        <f>IFERROR(SUM(X55:X61),"0")</f>
        <v>787.2</v>
      </c>
      <c r="Y63" s="43">
        <f>IFERROR(SUM(Y55:Y61),"0")</f>
        <v>787.2</v>
      </c>
      <c r="Z63" s="42"/>
      <c r="AA63" s="67"/>
      <c r="AB63" s="67"/>
      <c r="AC63" s="67"/>
    </row>
    <row r="64" spans="1:68" ht="14.25" hidden="1" customHeight="1" x14ac:dyDescent="0.25">
      <c r="A64" s="718" t="s">
        <v>157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719">
        <v>4680115881440</v>
      </c>
      <c r="E65" s="71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1"/>
      <c r="R65" s="721"/>
      <c r="S65" s="721"/>
      <c r="T65" s="72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19">
        <v>4680115885950</v>
      </c>
      <c r="E66" s="71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1"/>
      <c r="R66" s="721"/>
      <c r="S66" s="721"/>
      <c r="T66" s="72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19">
        <v>4680115887688</v>
      </c>
      <c r="E67" s="71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1"/>
      <c r="R67" s="721"/>
      <c r="S67" s="721"/>
      <c r="T67" s="72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719">
        <v>4680115881433</v>
      </c>
      <c r="E68" s="71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1"/>
      <c r="R68" s="721"/>
      <c r="S68" s="721"/>
      <c r="T68" s="722"/>
      <c r="U68" s="39" t="s">
        <v>46</v>
      </c>
      <c r="V68" s="39" t="s">
        <v>46</v>
      </c>
      <c r="W68" s="40" t="s">
        <v>0</v>
      </c>
      <c r="X68" s="58">
        <v>27</v>
      </c>
      <c r="Y68" s="55">
        <f>IFERROR(IF(X68="",0,CEILING((X68/$H68),1)*$H68),"")</f>
        <v>27</v>
      </c>
      <c r="Z68" s="41">
        <f>IFERROR(IF(Y68=0,"",ROUNDUP(Y68/H68,0)*0.00651),"")</f>
        <v>6.5100000000000005E-2</v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28.799999999999994</v>
      </c>
      <c r="BN68" s="78">
        <f>IFERROR(Y68*I68/H68,"0")</f>
        <v>28.799999999999994</v>
      </c>
      <c r="BO68" s="78">
        <f>IFERROR(1/J68*(X68/H68),"0")</f>
        <v>5.4945054945054951E-2</v>
      </c>
      <c r="BP68" s="78">
        <f>IFERROR(1/J68*(Y68/H68),"0")</f>
        <v>5.4945054945054951E-2</v>
      </c>
    </row>
    <row r="69" spans="1:68" x14ac:dyDescent="0.2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8"/>
      <c r="P69" s="724" t="s">
        <v>40</v>
      </c>
      <c r="Q69" s="725"/>
      <c r="R69" s="725"/>
      <c r="S69" s="725"/>
      <c r="T69" s="725"/>
      <c r="U69" s="725"/>
      <c r="V69" s="726"/>
      <c r="W69" s="42" t="s">
        <v>39</v>
      </c>
      <c r="X69" s="43">
        <f>IFERROR(X65/H65,"0")+IFERROR(X66/H66,"0")+IFERROR(X67/H67,"0")+IFERROR(X68/H68,"0")</f>
        <v>10</v>
      </c>
      <c r="Y69" s="43">
        <f>IFERROR(Y65/H65,"0")+IFERROR(Y66/H66,"0")+IFERROR(Y67/H67,"0")+IFERROR(Y68/H68,"0")</f>
        <v>10</v>
      </c>
      <c r="Z69" s="43">
        <f>IFERROR(IF(Z65="",0,Z65),"0")+IFERROR(IF(Z66="",0,Z66),"0")+IFERROR(IF(Z67="",0,Z67),"0")+IFERROR(IF(Z68="",0,Z68),"0")</f>
        <v>6.5100000000000005E-2</v>
      </c>
      <c r="AA69" s="67"/>
      <c r="AB69" s="67"/>
      <c r="AC69" s="67"/>
    </row>
    <row r="70" spans="1:68" x14ac:dyDescent="0.2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8"/>
      <c r="P70" s="724" t="s">
        <v>40</v>
      </c>
      <c r="Q70" s="725"/>
      <c r="R70" s="725"/>
      <c r="S70" s="725"/>
      <c r="T70" s="725"/>
      <c r="U70" s="725"/>
      <c r="V70" s="726"/>
      <c r="W70" s="42" t="s">
        <v>0</v>
      </c>
      <c r="X70" s="43">
        <f>IFERROR(SUM(X65:X68),"0")</f>
        <v>27</v>
      </c>
      <c r="Y70" s="43">
        <f>IFERROR(SUM(Y65:Y68),"0")</f>
        <v>27</v>
      </c>
      <c r="Z70" s="42"/>
      <c r="AA70" s="67"/>
      <c r="AB70" s="67"/>
      <c r="AC70" s="67"/>
    </row>
    <row r="71" spans="1:68" ht="14.25" hidden="1" customHeight="1" x14ac:dyDescent="0.25">
      <c r="A71" s="718" t="s">
        <v>86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19">
        <v>4680115884311</v>
      </c>
      <c r="E72" s="7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1"/>
      <c r="R72" s="721"/>
      <c r="S72" s="721"/>
      <c r="T72" s="7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19">
        <v>4680115884403</v>
      </c>
      <c r="E73" s="71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1"/>
      <c r="R73" s="721"/>
      <c r="S73" s="721"/>
      <c r="T73" s="72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19">
        <v>4680115884403</v>
      </c>
      <c r="E74" s="7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1"/>
      <c r="R74" s="721"/>
      <c r="S74" s="721"/>
      <c r="T74" s="72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8"/>
      <c r="P75" s="724" t="s">
        <v>40</v>
      </c>
      <c r="Q75" s="725"/>
      <c r="R75" s="725"/>
      <c r="S75" s="725"/>
      <c r="T75" s="725"/>
      <c r="U75" s="725"/>
      <c r="V75" s="726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8"/>
      <c r="P76" s="724" t="s">
        <v>40</v>
      </c>
      <c r="Q76" s="725"/>
      <c r="R76" s="725"/>
      <c r="S76" s="725"/>
      <c r="T76" s="725"/>
      <c r="U76" s="725"/>
      <c r="V76" s="726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18" t="s">
        <v>175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9">
        <v>4680115881532</v>
      </c>
      <c r="E78" s="7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1"/>
      <c r="R78" s="721"/>
      <c r="S78" s="721"/>
      <c r="T78" s="72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19">
        <v>4680115881532</v>
      </c>
      <c r="E79" s="7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1"/>
      <c r="R79" s="721"/>
      <c r="S79" s="721"/>
      <c r="T79" s="72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19">
        <v>4680115881464</v>
      </c>
      <c r="E80" s="7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5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1"/>
      <c r="R80" s="721"/>
      <c r="S80" s="721"/>
      <c r="T80" s="72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8"/>
      <c r="P81" s="724" t="s">
        <v>40</v>
      </c>
      <c r="Q81" s="725"/>
      <c r="R81" s="725"/>
      <c r="S81" s="725"/>
      <c r="T81" s="725"/>
      <c r="U81" s="725"/>
      <c r="V81" s="726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8"/>
      <c r="P82" s="724" t="s">
        <v>40</v>
      </c>
      <c r="Q82" s="725"/>
      <c r="R82" s="725"/>
      <c r="S82" s="725"/>
      <c r="T82" s="725"/>
      <c r="U82" s="725"/>
      <c r="V82" s="726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7" t="s">
        <v>183</v>
      </c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65"/>
      <c r="AB83" s="65"/>
      <c r="AC83" s="79"/>
    </row>
    <row r="84" spans="1:68" ht="14.25" hidden="1" customHeight="1" x14ac:dyDescent="0.25">
      <c r="A84" s="718" t="s">
        <v>122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719">
        <v>4680115881327</v>
      </c>
      <c r="E85" s="7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1"/>
      <c r="R85" s="721"/>
      <c r="S85" s="721"/>
      <c r="T85" s="72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19">
        <v>4680115887732</v>
      </c>
      <c r="E86" s="71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1"/>
      <c r="R86" s="721"/>
      <c r="S86" s="721"/>
      <c r="T86" s="72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19">
        <v>4680115887732</v>
      </c>
      <c r="E87" s="71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1"/>
      <c r="R87" s="721"/>
      <c r="S87" s="721"/>
      <c r="T87" s="72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19">
        <v>4680115881518</v>
      </c>
      <c r="E88" s="71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1"/>
      <c r="R88" s="721"/>
      <c r="S88" s="721"/>
      <c r="T88" s="7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719">
        <v>4680115881303</v>
      </c>
      <c r="E89" s="71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76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21"/>
      <c r="R89" s="721"/>
      <c r="S89" s="721"/>
      <c r="T89" s="72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8"/>
      <c r="P90" s="724" t="s">
        <v>40</v>
      </c>
      <c r="Q90" s="725"/>
      <c r="R90" s="725"/>
      <c r="S90" s="725"/>
      <c r="T90" s="725"/>
      <c r="U90" s="725"/>
      <c r="V90" s="72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8"/>
      <c r="P91" s="724" t="s">
        <v>40</v>
      </c>
      <c r="Q91" s="725"/>
      <c r="R91" s="725"/>
      <c r="S91" s="725"/>
      <c r="T91" s="725"/>
      <c r="U91" s="725"/>
      <c r="V91" s="72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18" t="s">
        <v>86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719">
        <v>4607091386967</v>
      </c>
      <c r="E93" s="71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21"/>
      <c r="R93" s="721"/>
      <c r="S93" s="721"/>
      <c r="T93" s="722"/>
      <c r="U93" s="39" t="s">
        <v>46</v>
      </c>
      <c r="V93" s="39" t="s">
        <v>46</v>
      </c>
      <c r="W93" s="40" t="s">
        <v>0</v>
      </c>
      <c r="X93" s="58">
        <v>162</v>
      </c>
      <c r="Y93" s="55">
        <f>IFERROR(IF(X93="",0,CEILING((X93/$H93),1)*$H93),"")</f>
        <v>162</v>
      </c>
      <c r="Z93" s="41">
        <f>IFERROR(IF(Y93=0,"",ROUNDUP(Y93/H93,0)*0.01898),"")</f>
        <v>0.37959999999999999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171.88</v>
      </c>
      <c r="BN93" s="78">
        <f>IFERROR(Y93*I93/H93,"0")</f>
        <v>171.88</v>
      </c>
      <c r="BO93" s="78">
        <f>IFERROR(1/J93*(X93/H93),"0")</f>
        <v>0.3125</v>
      </c>
      <c r="BP93" s="78">
        <f>IFERROR(1/J93*(Y93/H93),"0")</f>
        <v>0.3125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719">
        <v>4680115884953</v>
      </c>
      <c r="E94" s="71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21"/>
      <c r="R94" s="721"/>
      <c r="S94" s="721"/>
      <c r="T94" s="72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719">
        <v>4607091385731</v>
      </c>
      <c r="E95" s="71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76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21"/>
      <c r="R95" s="721"/>
      <c r="S95" s="721"/>
      <c r="T95" s="72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719">
        <v>4680115880894</v>
      </c>
      <c r="E96" s="71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21"/>
      <c r="R96" s="721"/>
      <c r="S96" s="721"/>
      <c r="T96" s="7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8"/>
      <c r="P97" s="724" t="s">
        <v>40</v>
      </c>
      <c r="Q97" s="725"/>
      <c r="R97" s="725"/>
      <c r="S97" s="725"/>
      <c r="T97" s="725"/>
      <c r="U97" s="725"/>
      <c r="V97" s="726"/>
      <c r="W97" s="42" t="s">
        <v>39</v>
      </c>
      <c r="X97" s="43">
        <f>IFERROR(X93/H93,"0")+IFERROR(X94/H94,"0")+IFERROR(X95/H95,"0")+IFERROR(X96/H96,"0")</f>
        <v>20</v>
      </c>
      <c r="Y97" s="43">
        <f>IFERROR(Y93/H93,"0")+IFERROR(Y94/H94,"0")+IFERROR(Y95/H95,"0")+IFERROR(Y96/H96,"0")</f>
        <v>20</v>
      </c>
      <c r="Z97" s="43">
        <f>IFERROR(IF(Z93="",0,Z93),"0")+IFERROR(IF(Z94="",0,Z94),"0")+IFERROR(IF(Z95="",0,Z95),"0")+IFERROR(IF(Z96="",0,Z96),"0")</f>
        <v>0.37959999999999999</v>
      </c>
      <c r="AA97" s="67"/>
      <c r="AB97" s="67"/>
      <c r="AC97" s="67"/>
    </row>
    <row r="98" spans="1:68" x14ac:dyDescent="0.2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8"/>
      <c r="P98" s="724" t="s">
        <v>40</v>
      </c>
      <c r="Q98" s="725"/>
      <c r="R98" s="725"/>
      <c r="S98" s="725"/>
      <c r="T98" s="725"/>
      <c r="U98" s="725"/>
      <c r="V98" s="726"/>
      <c r="W98" s="42" t="s">
        <v>0</v>
      </c>
      <c r="X98" s="43">
        <f>IFERROR(SUM(X93:X96),"0")</f>
        <v>162</v>
      </c>
      <c r="Y98" s="43">
        <f>IFERROR(SUM(Y93:Y96),"0")</f>
        <v>162</v>
      </c>
      <c r="Z98" s="42"/>
      <c r="AA98" s="67"/>
      <c r="AB98" s="67"/>
      <c r="AC98" s="67"/>
    </row>
    <row r="99" spans="1:68" ht="16.5" hidden="1" customHeight="1" x14ac:dyDescent="0.25">
      <c r="A99" s="717" t="s">
        <v>206</v>
      </c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  <c r="R99" s="717"/>
      <c r="S99" s="717"/>
      <c r="T99" s="717"/>
      <c r="U99" s="717"/>
      <c r="V99" s="717"/>
      <c r="W99" s="717"/>
      <c r="X99" s="717"/>
      <c r="Y99" s="717"/>
      <c r="Z99" s="717"/>
      <c r="AA99" s="65"/>
      <c r="AB99" s="65"/>
      <c r="AC99" s="79"/>
    </row>
    <row r="100" spans="1:68" ht="14.25" hidden="1" customHeight="1" x14ac:dyDescent="0.25">
      <c r="A100" s="718" t="s">
        <v>122</v>
      </c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719">
        <v>4680115882133</v>
      </c>
      <c r="E101" s="71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21"/>
      <c r="R101" s="721"/>
      <c r="S101" s="721"/>
      <c r="T101" s="72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719">
        <v>4680115882133</v>
      </c>
      <c r="E102" s="71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21"/>
      <c r="R102" s="721"/>
      <c r="S102" s="721"/>
      <c r="T102" s="72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719">
        <v>4680115887718</v>
      </c>
      <c r="E103" s="71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1"/>
      <c r="R103" s="721"/>
      <c r="S103" s="721"/>
      <c r="T103" s="7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719">
        <v>4680115880269</v>
      </c>
      <c r="E104" s="71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1"/>
      <c r="R104" s="721"/>
      <c r="S104" s="721"/>
      <c r="T104" s="72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719">
        <v>4680115880429</v>
      </c>
      <c r="E105" s="71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1"/>
      <c r="R105" s="721"/>
      <c r="S105" s="721"/>
      <c r="T105" s="7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19">
        <v>4680115881457</v>
      </c>
      <c r="E106" s="71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1"/>
      <c r="R106" s="721"/>
      <c r="S106" s="721"/>
      <c r="T106" s="7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19">
        <v>4680115881457</v>
      </c>
      <c r="E107" s="71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1"/>
      <c r="R107" s="721"/>
      <c r="S107" s="721"/>
      <c r="T107" s="7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719">
        <v>4680115889477</v>
      </c>
      <c r="E108" s="7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7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21"/>
      <c r="R108" s="721"/>
      <c r="S108" s="721"/>
      <c r="T108" s="7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8"/>
      <c r="P109" s="724" t="s">
        <v>40</v>
      </c>
      <c r="Q109" s="725"/>
      <c r="R109" s="725"/>
      <c r="S109" s="725"/>
      <c r="T109" s="725"/>
      <c r="U109" s="725"/>
      <c r="V109" s="726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8"/>
      <c r="P110" s="724" t="s">
        <v>40</v>
      </c>
      <c r="Q110" s="725"/>
      <c r="R110" s="725"/>
      <c r="S110" s="725"/>
      <c r="T110" s="725"/>
      <c r="U110" s="725"/>
      <c r="V110" s="726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18" t="s">
        <v>157</v>
      </c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719">
        <v>4680115881488</v>
      </c>
      <c r="E112" s="7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77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21"/>
      <c r="R112" s="721"/>
      <c r="S112" s="721"/>
      <c r="T112" s="72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719">
        <v>4680115887664</v>
      </c>
      <c r="E113" s="71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1"/>
      <c r="R113" s="721"/>
      <c r="S113" s="721"/>
      <c r="T113" s="72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719">
        <v>4680115887664</v>
      </c>
      <c r="E114" s="71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7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21"/>
      <c r="R114" s="721"/>
      <c r="S114" s="721"/>
      <c r="T114" s="72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719">
        <v>4680115882775</v>
      </c>
      <c r="E115" s="71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21"/>
      <c r="R115" s="721"/>
      <c r="S115" s="721"/>
      <c r="T115" s="72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719">
        <v>4680115880658</v>
      </c>
      <c r="E116" s="71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21"/>
      <c r="R116" s="721"/>
      <c r="S116" s="721"/>
      <c r="T116" s="72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8"/>
      <c r="P117" s="724" t="s">
        <v>40</v>
      </c>
      <c r="Q117" s="725"/>
      <c r="R117" s="725"/>
      <c r="S117" s="725"/>
      <c r="T117" s="725"/>
      <c r="U117" s="725"/>
      <c r="V117" s="72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8"/>
      <c r="P118" s="724" t="s">
        <v>40</v>
      </c>
      <c r="Q118" s="725"/>
      <c r="R118" s="725"/>
      <c r="S118" s="725"/>
      <c r="T118" s="725"/>
      <c r="U118" s="725"/>
      <c r="V118" s="72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18" t="s">
        <v>86</v>
      </c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719">
        <v>4607091385168</v>
      </c>
      <c r="E120" s="71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21"/>
      <c r="R120" s="721"/>
      <c r="S120" s="721"/>
      <c r="T120" s="722"/>
      <c r="U120" s="39" t="s">
        <v>46</v>
      </c>
      <c r="V120" s="39" t="s">
        <v>46</v>
      </c>
      <c r="W120" s="40" t="s">
        <v>0</v>
      </c>
      <c r="X120" s="58">
        <v>162</v>
      </c>
      <c r="Y120" s="55">
        <f>IFERROR(IF(X120="",0,CEILING((X120/$H120),1)*$H120),"")</f>
        <v>162</v>
      </c>
      <c r="Z120" s="41">
        <f>IFERROR(IF(Y120=0,"",ROUNDUP(Y120/H120,0)*0.01898),"")</f>
        <v>0.37959999999999999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171.76</v>
      </c>
      <c r="BN120" s="78">
        <f>IFERROR(Y120*I120/H120,"0")</f>
        <v>171.76</v>
      </c>
      <c r="BO120" s="78">
        <f>IFERROR(1/J120*(X120/H120),"0")</f>
        <v>0.3125</v>
      </c>
      <c r="BP120" s="78">
        <f>IFERROR(1/J120*(Y120/H120),"0")</f>
        <v>0.3125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719">
        <v>4607091383256</v>
      </c>
      <c r="E121" s="71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21"/>
      <c r="R121" s="721"/>
      <c r="S121" s="721"/>
      <c r="T121" s="72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719">
        <v>4607091385748</v>
      </c>
      <c r="E122" s="71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21"/>
      <c r="R122" s="721"/>
      <c r="S122" s="721"/>
      <c r="T122" s="72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719">
        <v>4680115884533</v>
      </c>
      <c r="E123" s="71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21"/>
      <c r="R123" s="721"/>
      <c r="S123" s="721"/>
      <c r="T123" s="7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8"/>
      <c r="P124" s="724" t="s">
        <v>40</v>
      </c>
      <c r="Q124" s="725"/>
      <c r="R124" s="725"/>
      <c r="S124" s="725"/>
      <c r="T124" s="725"/>
      <c r="U124" s="725"/>
      <c r="V124" s="726"/>
      <c r="W124" s="42" t="s">
        <v>39</v>
      </c>
      <c r="X124" s="43">
        <f>IFERROR(X120/H120,"0")+IFERROR(X121/H121,"0")+IFERROR(X122/H122,"0")+IFERROR(X123/H123,"0")</f>
        <v>20</v>
      </c>
      <c r="Y124" s="43">
        <f>IFERROR(Y120/H120,"0")+IFERROR(Y121/H121,"0")+IFERROR(Y122/H122,"0")+IFERROR(Y123/H123,"0")</f>
        <v>20</v>
      </c>
      <c r="Z124" s="43">
        <f>IFERROR(IF(Z120="",0,Z120),"0")+IFERROR(IF(Z121="",0,Z121),"0")+IFERROR(IF(Z122="",0,Z122),"0")+IFERROR(IF(Z123="",0,Z123),"0")</f>
        <v>0.37959999999999999</v>
      </c>
      <c r="AA124" s="67"/>
      <c r="AB124" s="67"/>
      <c r="AC124" s="67"/>
    </row>
    <row r="125" spans="1:68" x14ac:dyDescent="0.2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4" t="s">
        <v>40</v>
      </c>
      <c r="Q125" s="725"/>
      <c r="R125" s="725"/>
      <c r="S125" s="725"/>
      <c r="T125" s="725"/>
      <c r="U125" s="725"/>
      <c r="V125" s="726"/>
      <c r="W125" s="42" t="s">
        <v>0</v>
      </c>
      <c r="X125" s="43">
        <f>IFERROR(SUM(X120:X123),"0")</f>
        <v>162</v>
      </c>
      <c r="Y125" s="43">
        <f>IFERROR(SUM(Y120:Y123),"0")</f>
        <v>162</v>
      </c>
      <c r="Z125" s="42"/>
      <c r="AA125" s="67"/>
      <c r="AB125" s="67"/>
      <c r="AC125" s="67"/>
    </row>
    <row r="126" spans="1:68" ht="14.25" hidden="1" customHeight="1" x14ac:dyDescent="0.25">
      <c r="A126" s="718" t="s">
        <v>175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719">
        <v>4680115880238</v>
      </c>
      <c r="E127" s="71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21"/>
      <c r="R127" s="721"/>
      <c r="S127" s="721"/>
      <c r="T127" s="72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8"/>
      <c r="P128" s="724" t="s">
        <v>40</v>
      </c>
      <c r="Q128" s="725"/>
      <c r="R128" s="725"/>
      <c r="S128" s="725"/>
      <c r="T128" s="725"/>
      <c r="U128" s="725"/>
      <c r="V128" s="72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8"/>
      <c r="P129" s="724" t="s">
        <v>40</v>
      </c>
      <c r="Q129" s="725"/>
      <c r="R129" s="725"/>
      <c r="S129" s="725"/>
      <c r="T129" s="725"/>
      <c r="U129" s="725"/>
      <c r="V129" s="72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17" t="s">
        <v>250</v>
      </c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717"/>
      <c r="M130" s="717"/>
      <c r="N130" s="717"/>
      <c r="O130" s="717"/>
      <c r="P130" s="717"/>
      <c r="Q130" s="717"/>
      <c r="R130" s="717"/>
      <c r="S130" s="717"/>
      <c r="T130" s="717"/>
      <c r="U130" s="717"/>
      <c r="V130" s="717"/>
      <c r="W130" s="717"/>
      <c r="X130" s="717"/>
      <c r="Y130" s="717"/>
      <c r="Z130" s="717"/>
      <c r="AA130" s="65"/>
      <c r="AB130" s="65"/>
      <c r="AC130" s="79"/>
    </row>
    <row r="131" spans="1:68" ht="14.25" hidden="1" customHeight="1" x14ac:dyDescent="0.25">
      <c r="A131" s="718" t="s">
        <v>122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719">
        <v>4680115882577</v>
      </c>
      <c r="E132" s="71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21"/>
      <c r="R132" s="721"/>
      <c r="S132" s="721"/>
      <c r="T132" s="72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719">
        <v>4680115882577</v>
      </c>
      <c r="E133" s="719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21"/>
      <c r="R133" s="721"/>
      <c r="S133" s="721"/>
      <c r="T133" s="72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8"/>
      <c r="P134" s="724" t="s">
        <v>40</v>
      </c>
      <c r="Q134" s="725"/>
      <c r="R134" s="725"/>
      <c r="S134" s="725"/>
      <c r="T134" s="725"/>
      <c r="U134" s="725"/>
      <c r="V134" s="72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8"/>
      <c r="P135" s="724" t="s">
        <v>40</v>
      </c>
      <c r="Q135" s="725"/>
      <c r="R135" s="725"/>
      <c r="S135" s="725"/>
      <c r="T135" s="725"/>
      <c r="U135" s="725"/>
      <c r="V135" s="72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718" t="s">
        <v>77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719">
        <v>4680115883444</v>
      </c>
      <c r="E137" s="71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21"/>
      <c r="R137" s="721"/>
      <c r="S137" s="721"/>
      <c r="T137" s="72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719">
        <v>4680115883444</v>
      </c>
      <c r="E138" s="719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21"/>
      <c r="R138" s="721"/>
      <c r="S138" s="721"/>
      <c r="T138" s="722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8"/>
      <c r="P139" s="724" t="s">
        <v>40</v>
      </c>
      <c r="Q139" s="725"/>
      <c r="R139" s="725"/>
      <c r="S139" s="725"/>
      <c r="T139" s="725"/>
      <c r="U139" s="725"/>
      <c r="V139" s="72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8"/>
      <c r="P140" s="724" t="s">
        <v>40</v>
      </c>
      <c r="Q140" s="725"/>
      <c r="R140" s="725"/>
      <c r="S140" s="725"/>
      <c r="T140" s="725"/>
      <c r="U140" s="725"/>
      <c r="V140" s="72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8" t="s">
        <v>86</v>
      </c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719">
        <v>4680115882584</v>
      </c>
      <c r="E142" s="71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21"/>
      <c r="R142" s="721"/>
      <c r="S142" s="721"/>
      <c r="T142" s="72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719">
        <v>4680115882584</v>
      </c>
      <c r="E143" s="71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21"/>
      <c r="R143" s="721"/>
      <c r="S143" s="721"/>
      <c r="T143" s="72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4" t="s">
        <v>40</v>
      </c>
      <c r="Q144" s="725"/>
      <c r="R144" s="725"/>
      <c r="S144" s="725"/>
      <c r="T144" s="725"/>
      <c r="U144" s="725"/>
      <c r="V144" s="72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8"/>
      <c r="P145" s="724" t="s">
        <v>40</v>
      </c>
      <c r="Q145" s="725"/>
      <c r="R145" s="725"/>
      <c r="S145" s="725"/>
      <c r="T145" s="725"/>
      <c r="U145" s="725"/>
      <c r="V145" s="72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17" t="s">
        <v>263</v>
      </c>
      <c r="B146" s="717"/>
      <c r="C146" s="717"/>
      <c r="D146" s="717"/>
      <c r="E146" s="717"/>
      <c r="F146" s="717"/>
      <c r="G146" s="717"/>
      <c r="H146" s="717"/>
      <c r="I146" s="717"/>
      <c r="J146" s="717"/>
      <c r="K146" s="717"/>
      <c r="L146" s="717"/>
      <c r="M146" s="717"/>
      <c r="N146" s="717"/>
      <c r="O146" s="717"/>
      <c r="P146" s="717"/>
      <c r="Q146" s="717"/>
      <c r="R146" s="717"/>
      <c r="S146" s="717"/>
      <c r="T146" s="717"/>
      <c r="U146" s="717"/>
      <c r="V146" s="717"/>
      <c r="W146" s="717"/>
      <c r="X146" s="717"/>
      <c r="Y146" s="717"/>
      <c r="Z146" s="717"/>
      <c r="AA146" s="65"/>
      <c r="AB146" s="65"/>
      <c r="AC146" s="79"/>
    </row>
    <row r="147" spans="1:68" ht="14.25" hidden="1" customHeight="1" x14ac:dyDescent="0.25">
      <c r="A147" s="718" t="s">
        <v>86</v>
      </c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719">
        <v>4680115888203</v>
      </c>
      <c r="E148" s="71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21"/>
      <c r="R148" s="721"/>
      <c r="S148" s="721"/>
      <c r="T148" s="72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719">
        <v>4680115888180</v>
      </c>
      <c r="E149" s="71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1"/>
      <c r="R149" s="721"/>
      <c r="S149" s="721"/>
      <c r="T149" s="72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719">
        <v>4680115888180</v>
      </c>
      <c r="E150" s="71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1"/>
      <c r="R150" s="721"/>
      <c r="S150" s="721"/>
      <c r="T150" s="72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719">
        <v>4680115888197</v>
      </c>
      <c r="E151" s="719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21"/>
      <c r="R151" s="721"/>
      <c r="S151" s="721"/>
      <c r="T151" s="72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719">
        <v>4680115888210</v>
      </c>
      <c r="E152" s="7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1"/>
      <c r="R152" s="721"/>
      <c r="S152" s="721"/>
      <c r="T152" s="72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719">
        <v>4680115888210</v>
      </c>
      <c r="E153" s="719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1"/>
      <c r="R153" s="721"/>
      <c r="S153" s="721"/>
      <c r="T153" s="72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8"/>
      <c r="P154" s="724" t="s">
        <v>40</v>
      </c>
      <c r="Q154" s="725"/>
      <c r="R154" s="725"/>
      <c r="S154" s="725"/>
      <c r="T154" s="725"/>
      <c r="U154" s="725"/>
      <c r="V154" s="72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8"/>
      <c r="P155" s="724" t="s">
        <v>40</v>
      </c>
      <c r="Q155" s="725"/>
      <c r="R155" s="725"/>
      <c r="S155" s="725"/>
      <c r="T155" s="725"/>
      <c r="U155" s="725"/>
      <c r="V155" s="72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718" t="s">
        <v>278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719">
        <v>4680115889132</v>
      </c>
      <c r="E157" s="719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21"/>
      <c r="R157" s="721"/>
      <c r="S157" s="721"/>
      <c r="T157" s="72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8"/>
      <c r="P158" s="724" t="s">
        <v>40</v>
      </c>
      <c r="Q158" s="725"/>
      <c r="R158" s="725"/>
      <c r="S158" s="725"/>
      <c r="T158" s="725"/>
      <c r="U158" s="725"/>
      <c r="V158" s="72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8"/>
      <c r="P159" s="724" t="s">
        <v>40</v>
      </c>
      <c r="Q159" s="725"/>
      <c r="R159" s="725"/>
      <c r="S159" s="725"/>
      <c r="T159" s="725"/>
      <c r="U159" s="725"/>
      <c r="V159" s="72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717" t="s">
        <v>120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65"/>
      <c r="AB160" s="65"/>
      <c r="AC160" s="79"/>
    </row>
    <row r="161" spans="1:68" ht="14.25" hidden="1" customHeight="1" x14ac:dyDescent="0.25">
      <c r="A161" s="718" t="s">
        <v>122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719">
        <v>4680115887374</v>
      </c>
      <c r="E162" s="719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21"/>
      <c r="R162" s="721"/>
      <c r="S162" s="721"/>
      <c r="T162" s="72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719">
        <v>4607091384604</v>
      </c>
      <c r="E163" s="719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21"/>
      <c r="R163" s="721"/>
      <c r="S163" s="721"/>
      <c r="T163" s="7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719">
        <v>4680115888876</v>
      </c>
      <c r="E164" s="719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0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21"/>
      <c r="R164" s="721"/>
      <c r="S164" s="721"/>
      <c r="T164" s="72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8"/>
      <c r="P165" s="724" t="s">
        <v>40</v>
      </c>
      <c r="Q165" s="725"/>
      <c r="R165" s="725"/>
      <c r="S165" s="725"/>
      <c r="T165" s="725"/>
      <c r="U165" s="725"/>
      <c r="V165" s="726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8"/>
      <c r="P166" s="724" t="s">
        <v>40</v>
      </c>
      <c r="Q166" s="725"/>
      <c r="R166" s="725"/>
      <c r="S166" s="725"/>
      <c r="T166" s="725"/>
      <c r="U166" s="725"/>
      <c r="V166" s="726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718" t="s">
        <v>157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719">
        <v>4680115887695</v>
      </c>
      <c r="E168" s="719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0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21"/>
      <c r="R168" s="721"/>
      <c r="S168" s="721"/>
      <c r="T168" s="72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719">
        <v>4680115889491</v>
      </c>
      <c r="E169" s="719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0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21"/>
      <c r="R169" s="721"/>
      <c r="S169" s="721"/>
      <c r="T169" s="72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8"/>
      <c r="P170" s="724" t="s">
        <v>40</v>
      </c>
      <c r="Q170" s="725"/>
      <c r="R170" s="725"/>
      <c r="S170" s="725"/>
      <c r="T170" s="725"/>
      <c r="U170" s="725"/>
      <c r="V170" s="726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8"/>
      <c r="P171" s="724" t="s">
        <v>40</v>
      </c>
      <c r="Q171" s="725"/>
      <c r="R171" s="725"/>
      <c r="S171" s="725"/>
      <c r="T171" s="725"/>
      <c r="U171" s="725"/>
      <c r="V171" s="726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718" t="s">
        <v>77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719">
        <v>4680115887428</v>
      </c>
      <c r="E173" s="71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21"/>
      <c r="R173" s="721"/>
      <c r="S173" s="721"/>
      <c r="T173" s="72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4301031509</v>
      </c>
      <c r="D174" s="719">
        <v>4680115889170</v>
      </c>
      <c r="E174" s="719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21"/>
      <c r="R174" s="721"/>
      <c r="S174" s="721"/>
      <c r="T174" s="722"/>
      <c r="U174" s="39" t="s">
        <v>46</v>
      </c>
      <c r="V174" s="39" t="s">
        <v>46</v>
      </c>
      <c r="W174" s="40" t="s">
        <v>0</v>
      </c>
      <c r="X174" s="58">
        <v>35</v>
      </c>
      <c r="Y174" s="55">
        <f t="shared" si="16"/>
        <v>35</v>
      </c>
      <c r="Z174" s="41">
        <f>IFERROR(IF(Y174=0,"",ROUNDUP(Y174/H174,0)*0.00902),"")</f>
        <v>9.0200000000000002E-2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37.65</v>
      </c>
      <c r="BN174" s="78">
        <f t="shared" si="18"/>
        <v>37.65</v>
      </c>
      <c r="BO174" s="78">
        <f t="shared" si="19"/>
        <v>7.575757575757576E-2</v>
      </c>
      <c r="BP174" s="78">
        <f t="shared" si="20"/>
        <v>7.575757575757576E-2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719">
        <v>4680115887398</v>
      </c>
      <c r="E175" s="719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1"/>
      <c r="R175" s="721"/>
      <c r="S175" s="721"/>
      <c r="T175" s="72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719">
        <v>4680115887398</v>
      </c>
      <c r="E176" s="71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21"/>
      <c r="R176" s="721"/>
      <c r="S176" s="721"/>
      <c r="T176" s="7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719">
        <v>4680115887336</v>
      </c>
      <c r="E177" s="71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21"/>
      <c r="R177" s="721"/>
      <c r="S177" s="721"/>
      <c r="T177" s="72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719">
        <v>4680115887787</v>
      </c>
      <c r="E178" s="71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1"/>
      <c r="R178" s="721"/>
      <c r="S178" s="721"/>
      <c r="T178" s="72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719">
        <v>4680115887787</v>
      </c>
      <c r="E179" s="719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1"/>
      <c r="R179" s="721"/>
      <c r="S179" s="721"/>
      <c r="T179" s="72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719">
        <v>4680115887503</v>
      </c>
      <c r="E180" s="71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21"/>
      <c r="R180" s="721"/>
      <c r="S180" s="721"/>
      <c r="T180" s="72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719">
        <v>4680115887763</v>
      </c>
      <c r="E181" s="71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21"/>
      <c r="R181" s="721"/>
      <c r="S181" s="721"/>
      <c r="T181" s="72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719">
        <v>4680115887480</v>
      </c>
      <c r="E182" s="71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21"/>
      <c r="R182" s="721"/>
      <c r="S182" s="721"/>
      <c r="T182" s="72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719">
        <v>4680115888067</v>
      </c>
      <c r="E183" s="71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21"/>
      <c r="R183" s="721"/>
      <c r="S183" s="721"/>
      <c r="T183" s="72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719">
        <v>4680115887435</v>
      </c>
      <c r="E184" s="71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21"/>
      <c r="R184" s="721"/>
      <c r="S184" s="721"/>
      <c r="T184" s="72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x14ac:dyDescent="0.2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8"/>
      <c r="P185" s="724" t="s">
        <v>40</v>
      </c>
      <c r="Q185" s="725"/>
      <c r="R185" s="725"/>
      <c r="S185" s="725"/>
      <c r="T185" s="725"/>
      <c r="U185" s="725"/>
      <c r="V185" s="726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10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10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9.0200000000000002E-2</v>
      </c>
      <c r="AA185" s="67"/>
      <c r="AB185" s="67"/>
      <c r="AC185" s="67"/>
    </row>
    <row r="186" spans="1:68" x14ac:dyDescent="0.2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8"/>
      <c r="P186" s="724" t="s">
        <v>40</v>
      </c>
      <c r="Q186" s="725"/>
      <c r="R186" s="725"/>
      <c r="S186" s="725"/>
      <c r="T186" s="725"/>
      <c r="U186" s="725"/>
      <c r="V186" s="726"/>
      <c r="W186" s="42" t="s">
        <v>0</v>
      </c>
      <c r="X186" s="43">
        <f>IFERROR(SUM(X173:X184),"0")</f>
        <v>35</v>
      </c>
      <c r="Y186" s="43">
        <f>IFERROR(SUM(Y173:Y184),"0")</f>
        <v>35</v>
      </c>
      <c r="Z186" s="42"/>
      <c r="AA186" s="67"/>
      <c r="AB186" s="67"/>
      <c r="AC186" s="67"/>
    </row>
    <row r="187" spans="1:68" ht="14.25" hidden="1" customHeight="1" x14ac:dyDescent="0.25">
      <c r="A187" s="718" t="s">
        <v>86</v>
      </c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719">
        <v>4680115888395</v>
      </c>
      <c r="E188" s="71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21"/>
      <c r="R188" s="721"/>
      <c r="S188" s="721"/>
      <c r="T188" s="7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719">
        <v>4680115888371</v>
      </c>
      <c r="E189" s="71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21"/>
      <c r="R189" s="721"/>
      <c r="S189" s="721"/>
      <c r="T189" s="72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719">
        <v>4680115887459</v>
      </c>
      <c r="E190" s="71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21"/>
      <c r="R190" s="721"/>
      <c r="S190" s="721"/>
      <c r="T190" s="72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8"/>
      <c r="P191" s="724" t="s">
        <v>40</v>
      </c>
      <c r="Q191" s="725"/>
      <c r="R191" s="725"/>
      <c r="S191" s="725"/>
      <c r="T191" s="725"/>
      <c r="U191" s="725"/>
      <c r="V191" s="72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8"/>
      <c r="P192" s="724" t="s">
        <v>40</v>
      </c>
      <c r="Q192" s="725"/>
      <c r="R192" s="725"/>
      <c r="S192" s="725"/>
      <c r="T192" s="725"/>
      <c r="U192" s="725"/>
      <c r="V192" s="72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8" t="s">
        <v>339</v>
      </c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719">
        <v>4680115889033</v>
      </c>
      <c r="E194" s="719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2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21"/>
      <c r="R194" s="721"/>
      <c r="S194" s="721"/>
      <c r="T194" s="72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8"/>
      <c r="P195" s="724" t="s">
        <v>40</v>
      </c>
      <c r="Q195" s="725"/>
      <c r="R195" s="725"/>
      <c r="S195" s="725"/>
      <c r="T195" s="725"/>
      <c r="U195" s="725"/>
      <c r="V195" s="72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8"/>
      <c r="P196" s="724" t="s">
        <v>40</v>
      </c>
      <c r="Q196" s="725"/>
      <c r="R196" s="725"/>
      <c r="S196" s="725"/>
      <c r="T196" s="725"/>
      <c r="U196" s="725"/>
      <c r="V196" s="72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716" t="s">
        <v>344</v>
      </c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4"/>
      <c r="AB197" s="54"/>
      <c r="AC197" s="54"/>
    </row>
    <row r="198" spans="1:68" ht="16.5" hidden="1" customHeight="1" x14ac:dyDescent="0.25">
      <c r="A198" s="717" t="s">
        <v>345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5"/>
      <c r="AB198" s="65"/>
      <c r="AC198" s="79"/>
    </row>
    <row r="199" spans="1:68" ht="14.25" hidden="1" customHeight="1" x14ac:dyDescent="0.25">
      <c r="A199" s="718" t="s">
        <v>122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719">
        <v>4607091383423</v>
      </c>
      <c r="E200" s="719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2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21"/>
      <c r="R200" s="721"/>
      <c r="S200" s="721"/>
      <c r="T200" s="7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719">
        <v>4680115888760</v>
      </c>
      <c r="E201" s="71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2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21"/>
      <c r="R201" s="721"/>
      <c r="S201" s="721"/>
      <c r="T201" s="7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719">
        <v>4680115888807</v>
      </c>
      <c r="E202" s="719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2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21"/>
      <c r="R202" s="721"/>
      <c r="S202" s="721"/>
      <c r="T202" s="7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719">
        <v>4680115888852</v>
      </c>
      <c r="E203" s="719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21"/>
      <c r="R203" s="721"/>
      <c r="S203" s="721"/>
      <c r="T203" s="7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719">
        <v>4680115886957</v>
      </c>
      <c r="E204" s="719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21"/>
      <c r="R204" s="721"/>
      <c r="S204" s="721"/>
      <c r="T204" s="7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719">
        <v>4680115885660</v>
      </c>
      <c r="E205" s="719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21"/>
      <c r="R205" s="721"/>
      <c r="S205" s="721"/>
      <c r="T205" s="72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719">
        <v>4680115886773</v>
      </c>
      <c r="E206" s="719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21"/>
      <c r="R206" s="721"/>
      <c r="S206" s="721"/>
      <c r="T206" s="72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8"/>
      <c r="P207" s="724" t="s">
        <v>40</v>
      </c>
      <c r="Q207" s="725"/>
      <c r="R207" s="725"/>
      <c r="S207" s="725"/>
      <c r="T207" s="725"/>
      <c r="U207" s="725"/>
      <c r="V207" s="726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8"/>
      <c r="P208" s="724" t="s">
        <v>40</v>
      </c>
      <c r="Q208" s="725"/>
      <c r="R208" s="725"/>
      <c r="S208" s="725"/>
      <c r="T208" s="725"/>
      <c r="U208" s="725"/>
      <c r="V208" s="726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717" t="s">
        <v>366</v>
      </c>
      <c r="B209" s="717"/>
      <c r="C209" s="717"/>
      <c r="D209" s="717"/>
      <c r="E209" s="717"/>
      <c r="F209" s="717"/>
      <c r="G209" s="717"/>
      <c r="H209" s="717"/>
      <c r="I209" s="717"/>
      <c r="J209" s="717"/>
      <c r="K209" s="717"/>
      <c r="L209" s="717"/>
      <c r="M209" s="717"/>
      <c r="N209" s="717"/>
      <c r="O209" s="717"/>
      <c r="P209" s="717"/>
      <c r="Q209" s="717"/>
      <c r="R209" s="717"/>
      <c r="S209" s="717"/>
      <c r="T209" s="717"/>
      <c r="U209" s="717"/>
      <c r="V209" s="717"/>
      <c r="W209" s="717"/>
      <c r="X209" s="717"/>
      <c r="Y209" s="717"/>
      <c r="Z209" s="717"/>
      <c r="AA209" s="65"/>
      <c r="AB209" s="65"/>
      <c r="AC209" s="79"/>
    </row>
    <row r="210" spans="1:68" ht="14.25" hidden="1" customHeight="1" x14ac:dyDescent="0.25">
      <c r="A210" s="718" t="s">
        <v>157</v>
      </c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719">
        <v>4680115886223</v>
      </c>
      <c r="E211" s="719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21"/>
      <c r="R211" s="721"/>
      <c r="S211" s="721"/>
      <c r="T211" s="722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8"/>
      <c r="P212" s="724" t="s">
        <v>40</v>
      </c>
      <c r="Q212" s="725"/>
      <c r="R212" s="725"/>
      <c r="S212" s="725"/>
      <c r="T212" s="725"/>
      <c r="U212" s="725"/>
      <c r="V212" s="726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4" t="s">
        <v>40</v>
      </c>
      <c r="Q213" s="725"/>
      <c r="R213" s="725"/>
      <c r="S213" s="725"/>
      <c r="T213" s="725"/>
      <c r="U213" s="725"/>
      <c r="V213" s="726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718" t="s">
        <v>77</v>
      </c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719">
        <v>4680115880993</v>
      </c>
      <c r="E215" s="71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21"/>
      <c r="R215" s="721"/>
      <c r="S215" s="721"/>
      <c r="T215" s="72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719">
        <v>4680115881761</v>
      </c>
      <c r="E216" s="719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21"/>
      <c r="R216" s="721"/>
      <c r="S216" s="721"/>
      <c r="T216" s="7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719">
        <v>4680115881563</v>
      </c>
      <c r="E217" s="719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21"/>
      <c r="R217" s="721"/>
      <c r="S217" s="721"/>
      <c r="T217" s="72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719">
        <v>4680115887565</v>
      </c>
      <c r="E218" s="719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21"/>
      <c r="R218" s="721"/>
      <c r="S218" s="721"/>
      <c r="T218" s="7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719">
        <v>4680115880986</v>
      </c>
      <c r="E219" s="7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21"/>
      <c r="R219" s="721"/>
      <c r="S219" s="721"/>
      <c r="T219" s="72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719">
        <v>4680115887213</v>
      </c>
      <c r="E220" s="719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21"/>
      <c r="R220" s="721"/>
      <c r="S220" s="721"/>
      <c r="T220" s="7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719">
        <v>4680115881785</v>
      </c>
      <c r="E221" s="719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21"/>
      <c r="R221" s="721"/>
      <c r="S221" s="721"/>
      <c r="T221" s="7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719">
        <v>4680115888432</v>
      </c>
      <c r="E222" s="7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21"/>
      <c r="R222" s="721"/>
      <c r="S222" s="721"/>
      <c r="T222" s="7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719">
        <v>4680115888104</v>
      </c>
      <c r="E223" s="719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21"/>
      <c r="R223" s="721"/>
      <c r="S223" s="721"/>
      <c r="T223" s="7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719">
        <v>4680115886537</v>
      </c>
      <c r="E224" s="719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21"/>
      <c r="R224" s="721"/>
      <c r="S224" s="721"/>
      <c r="T224" s="7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719">
        <v>4680115887596</v>
      </c>
      <c r="E225" s="719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21"/>
      <c r="R225" s="721"/>
      <c r="S225" s="721"/>
      <c r="T225" s="7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719">
        <v>4680115881679</v>
      </c>
      <c r="E226" s="719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21"/>
      <c r="R226" s="721"/>
      <c r="S226" s="721"/>
      <c r="T226" s="7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719">
        <v>4680115880191</v>
      </c>
      <c r="E227" s="719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21"/>
      <c r="R227" s="721"/>
      <c r="S227" s="721"/>
      <c r="T227" s="72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719">
        <v>4680115880191</v>
      </c>
      <c r="E228" s="719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4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21"/>
      <c r="R228" s="721"/>
      <c r="S228" s="721"/>
      <c r="T228" s="72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719">
        <v>4680115883963</v>
      </c>
      <c r="E229" s="719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21"/>
      <c r="R229" s="721"/>
      <c r="S229" s="721"/>
      <c r="T229" s="72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8"/>
      <c r="P230" s="724" t="s">
        <v>40</v>
      </c>
      <c r="Q230" s="725"/>
      <c r="R230" s="725"/>
      <c r="S230" s="725"/>
      <c r="T230" s="725"/>
      <c r="U230" s="725"/>
      <c r="V230" s="726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8"/>
      <c r="P231" s="724" t="s">
        <v>40</v>
      </c>
      <c r="Q231" s="725"/>
      <c r="R231" s="725"/>
      <c r="S231" s="725"/>
      <c r="T231" s="725"/>
      <c r="U231" s="725"/>
      <c r="V231" s="726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718" t="s">
        <v>86</v>
      </c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719">
        <v>4680115888692</v>
      </c>
      <c r="E233" s="719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21"/>
      <c r="R233" s="721"/>
      <c r="S233" s="721"/>
      <c r="T233" s="72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719">
        <v>4680115888692</v>
      </c>
      <c r="E234" s="719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4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21"/>
      <c r="R234" s="721"/>
      <c r="S234" s="721"/>
      <c r="T234" s="72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719">
        <v>4680115888722</v>
      </c>
      <c r="E235" s="719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4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21"/>
      <c r="R235" s="721"/>
      <c r="S235" s="721"/>
      <c r="T235" s="72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719">
        <v>4680115888722</v>
      </c>
      <c r="E236" s="71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21"/>
      <c r="R236" s="721"/>
      <c r="S236" s="721"/>
      <c r="T236" s="72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719">
        <v>4680115888951</v>
      </c>
      <c r="E237" s="719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4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21"/>
      <c r="R237" s="721"/>
      <c r="S237" s="721"/>
      <c r="T237" s="722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719">
        <v>4680115888951</v>
      </c>
      <c r="E238" s="71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4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21"/>
      <c r="R238" s="721"/>
      <c r="S238" s="721"/>
      <c r="T238" s="722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719">
        <v>4680115888975</v>
      </c>
      <c r="E239" s="71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21"/>
      <c r="R239" s="721"/>
      <c r="S239" s="721"/>
      <c r="T239" s="722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719">
        <v>4680115888982</v>
      </c>
      <c r="E240" s="71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21"/>
      <c r="R240" s="721"/>
      <c r="S240" s="721"/>
      <c r="T240" s="722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719">
        <v>4680115888982</v>
      </c>
      <c r="E241" s="719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21"/>
      <c r="R241" s="721"/>
      <c r="S241" s="721"/>
      <c r="T241" s="722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8"/>
      <c r="P242" s="724" t="s">
        <v>40</v>
      </c>
      <c r="Q242" s="725"/>
      <c r="R242" s="725"/>
      <c r="S242" s="725"/>
      <c r="T242" s="725"/>
      <c r="U242" s="725"/>
      <c r="V242" s="72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4" t="s">
        <v>40</v>
      </c>
      <c r="Q243" s="725"/>
      <c r="R243" s="725"/>
      <c r="S243" s="725"/>
      <c r="T243" s="725"/>
      <c r="U243" s="725"/>
      <c r="V243" s="72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718" t="s">
        <v>278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719">
        <v>4680115886780</v>
      </c>
      <c r="E245" s="71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21"/>
      <c r="R245" s="721"/>
      <c r="S245" s="721"/>
      <c r="T245" s="72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719">
        <v>4680115886742</v>
      </c>
      <c r="E246" s="71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21"/>
      <c r="R246" s="721"/>
      <c r="S246" s="721"/>
      <c r="T246" s="72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719">
        <v>4680115886766</v>
      </c>
      <c r="E247" s="719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21"/>
      <c r="R247" s="721"/>
      <c r="S247" s="721"/>
      <c r="T247" s="722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8"/>
      <c r="P248" s="724" t="s">
        <v>40</v>
      </c>
      <c r="Q248" s="725"/>
      <c r="R248" s="725"/>
      <c r="S248" s="725"/>
      <c r="T248" s="725"/>
      <c r="U248" s="725"/>
      <c r="V248" s="726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8"/>
      <c r="P249" s="724" t="s">
        <v>40</v>
      </c>
      <c r="Q249" s="725"/>
      <c r="R249" s="725"/>
      <c r="S249" s="725"/>
      <c r="T249" s="725"/>
      <c r="U249" s="725"/>
      <c r="V249" s="726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18" t="s">
        <v>437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719">
        <v>4680115886797</v>
      </c>
      <c r="E251" s="719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21"/>
      <c r="R251" s="721"/>
      <c r="S251" s="721"/>
      <c r="T251" s="72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8"/>
      <c r="P252" s="724" t="s">
        <v>40</v>
      </c>
      <c r="Q252" s="725"/>
      <c r="R252" s="725"/>
      <c r="S252" s="725"/>
      <c r="T252" s="725"/>
      <c r="U252" s="725"/>
      <c r="V252" s="726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8"/>
      <c r="P253" s="724" t="s">
        <v>40</v>
      </c>
      <c r="Q253" s="725"/>
      <c r="R253" s="725"/>
      <c r="S253" s="725"/>
      <c r="T253" s="725"/>
      <c r="U253" s="725"/>
      <c r="V253" s="726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717" t="s">
        <v>440</v>
      </c>
      <c r="B254" s="717"/>
      <c r="C254" s="717"/>
      <c r="D254" s="717"/>
      <c r="E254" s="717"/>
      <c r="F254" s="717"/>
      <c r="G254" s="717"/>
      <c r="H254" s="717"/>
      <c r="I254" s="717"/>
      <c r="J254" s="717"/>
      <c r="K254" s="717"/>
      <c r="L254" s="717"/>
      <c r="M254" s="717"/>
      <c r="N254" s="717"/>
      <c r="O254" s="717"/>
      <c r="P254" s="717"/>
      <c r="Q254" s="717"/>
      <c r="R254" s="717"/>
      <c r="S254" s="717"/>
      <c r="T254" s="717"/>
      <c r="U254" s="717"/>
      <c r="V254" s="717"/>
      <c r="W254" s="717"/>
      <c r="X254" s="717"/>
      <c r="Y254" s="717"/>
      <c r="Z254" s="717"/>
      <c r="AA254" s="65"/>
      <c r="AB254" s="65"/>
      <c r="AC254" s="79"/>
    </row>
    <row r="255" spans="1:68" ht="14.25" hidden="1" customHeight="1" x14ac:dyDescent="0.25">
      <c r="A255" s="718" t="s">
        <v>122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719">
        <v>4680115881402</v>
      </c>
      <c r="E256" s="7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21"/>
      <c r="R256" s="721"/>
      <c r="S256" s="721"/>
      <c r="T256" s="72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719">
        <v>4680115881396</v>
      </c>
      <c r="E257" s="719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21"/>
      <c r="R257" s="721"/>
      <c r="S257" s="721"/>
      <c r="T257" s="722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8"/>
      <c r="P258" s="724" t="s">
        <v>40</v>
      </c>
      <c r="Q258" s="725"/>
      <c r="R258" s="725"/>
      <c r="S258" s="725"/>
      <c r="T258" s="725"/>
      <c r="U258" s="725"/>
      <c r="V258" s="726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8"/>
      <c r="P259" s="724" t="s">
        <v>40</v>
      </c>
      <c r="Q259" s="725"/>
      <c r="R259" s="725"/>
      <c r="S259" s="725"/>
      <c r="T259" s="725"/>
      <c r="U259" s="725"/>
      <c r="V259" s="726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18" t="s">
        <v>157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719">
        <v>4680115882935</v>
      </c>
      <c r="E261" s="71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21"/>
      <c r="R261" s="721"/>
      <c r="S261" s="721"/>
      <c r="T261" s="72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719">
        <v>4680115880764</v>
      </c>
      <c r="E262" s="719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21"/>
      <c r="R262" s="721"/>
      <c r="S262" s="721"/>
      <c r="T262" s="722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8"/>
      <c r="P263" s="724" t="s">
        <v>40</v>
      </c>
      <c r="Q263" s="725"/>
      <c r="R263" s="725"/>
      <c r="S263" s="725"/>
      <c r="T263" s="725"/>
      <c r="U263" s="725"/>
      <c r="V263" s="726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8"/>
      <c r="P264" s="724" t="s">
        <v>40</v>
      </c>
      <c r="Q264" s="725"/>
      <c r="R264" s="725"/>
      <c r="S264" s="725"/>
      <c r="T264" s="725"/>
      <c r="U264" s="725"/>
      <c r="V264" s="726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18" t="s">
        <v>77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66"/>
      <c r="AB265" s="66"/>
      <c r="AC265" s="80"/>
    </row>
    <row r="266" spans="1:68" ht="27" customHeight="1" x14ac:dyDescent="0.25">
      <c r="A266" s="63" t="s">
        <v>451</v>
      </c>
      <c r="B266" s="63" t="s">
        <v>452</v>
      </c>
      <c r="C266" s="36">
        <v>4301031224</v>
      </c>
      <c r="D266" s="719">
        <v>4680115882683</v>
      </c>
      <c r="E266" s="71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21"/>
      <c r="R266" s="721"/>
      <c r="S266" s="721"/>
      <c r="T266" s="722"/>
      <c r="U266" s="39" t="s">
        <v>46</v>
      </c>
      <c r="V266" s="39" t="s">
        <v>46</v>
      </c>
      <c r="W266" s="40" t="s">
        <v>0</v>
      </c>
      <c r="X266" s="58">
        <v>27</v>
      </c>
      <c r="Y266" s="55">
        <f t="shared" ref="Y266:Y273" si="38">IFERROR(IF(X266="",0,CEILING((X266/$H266),1)*$H266),"")</f>
        <v>27</v>
      </c>
      <c r="Z266" s="41">
        <f>IFERROR(IF(Y266=0,"",ROUNDUP(Y266/H266,0)*0.00902),"")</f>
        <v>4.5100000000000001E-2</v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27.95</v>
      </c>
      <c r="BN266" s="78">
        <f t="shared" ref="BN266:BN273" si="40">IFERROR(Y266*I266/H266,"0")</f>
        <v>27.95</v>
      </c>
      <c r="BO266" s="78">
        <f t="shared" ref="BO266:BO273" si="41">IFERROR(1/J266*(X266/H266),"0")</f>
        <v>3.787878787878788E-2</v>
      </c>
      <c r="BP266" s="78">
        <f t="shared" ref="BP266:BP273" si="42">IFERROR(1/J266*(Y266/H266),"0")</f>
        <v>3.787878787878788E-2</v>
      </c>
    </row>
    <row r="267" spans="1:68" ht="27" customHeight="1" x14ac:dyDescent="0.25">
      <c r="A267" s="63" t="s">
        <v>454</v>
      </c>
      <c r="B267" s="63" t="s">
        <v>455</v>
      </c>
      <c r="C267" s="36">
        <v>4301031230</v>
      </c>
      <c r="D267" s="719">
        <v>4680115882690</v>
      </c>
      <c r="E267" s="71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21"/>
      <c r="R267" s="721"/>
      <c r="S267" s="721"/>
      <c r="T267" s="722"/>
      <c r="U267" s="39" t="s">
        <v>46</v>
      </c>
      <c r="V267" s="39" t="s">
        <v>46</v>
      </c>
      <c r="W267" s="40" t="s">
        <v>0</v>
      </c>
      <c r="X267" s="58">
        <v>27</v>
      </c>
      <c r="Y267" s="55">
        <f t="shared" si="38"/>
        <v>27</v>
      </c>
      <c r="Z267" s="41">
        <f>IFERROR(IF(Y267=0,"",ROUNDUP(Y267/H267,0)*0.00902),"")</f>
        <v>4.5100000000000001E-2</v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27.95</v>
      </c>
      <c r="BN267" s="78">
        <f t="shared" si="40"/>
        <v>27.95</v>
      </c>
      <c r="BO267" s="78">
        <f t="shared" si="41"/>
        <v>3.787878787878788E-2</v>
      </c>
      <c r="BP267" s="78">
        <f t="shared" si="42"/>
        <v>3.787878787878788E-2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719">
        <v>4680115882669</v>
      </c>
      <c r="E268" s="71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21"/>
      <c r="R268" s="721"/>
      <c r="S268" s="721"/>
      <c r="T268" s="722"/>
      <c r="U268" s="39" t="s">
        <v>46</v>
      </c>
      <c r="V268" s="39" t="s">
        <v>46</v>
      </c>
      <c r="W268" s="40" t="s">
        <v>0</v>
      </c>
      <c r="X268" s="58">
        <v>27</v>
      </c>
      <c r="Y268" s="55">
        <f t="shared" si="38"/>
        <v>27</v>
      </c>
      <c r="Z268" s="41">
        <f>IFERROR(IF(Y268=0,"",ROUNDUP(Y268/H268,0)*0.00902),"")</f>
        <v>4.5100000000000001E-2</v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27.95</v>
      </c>
      <c r="BN268" s="78">
        <f t="shared" si="40"/>
        <v>27.95</v>
      </c>
      <c r="BO268" s="78">
        <f t="shared" si="41"/>
        <v>3.787878787878788E-2</v>
      </c>
      <c r="BP268" s="78">
        <f t="shared" si="42"/>
        <v>3.787878787878788E-2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719">
        <v>4680115882676</v>
      </c>
      <c r="E269" s="71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21"/>
      <c r="R269" s="721"/>
      <c r="S269" s="721"/>
      <c r="T269" s="722"/>
      <c r="U269" s="39" t="s">
        <v>46</v>
      </c>
      <c r="V269" s="39" t="s">
        <v>46</v>
      </c>
      <c r="W269" s="40" t="s">
        <v>0</v>
      </c>
      <c r="X269" s="58">
        <v>27</v>
      </c>
      <c r="Y269" s="55">
        <f t="shared" si="38"/>
        <v>27</v>
      </c>
      <c r="Z269" s="41">
        <f>IFERROR(IF(Y269=0,"",ROUNDUP(Y269/H269,0)*0.00902),"")</f>
        <v>4.5100000000000001E-2</v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27.95</v>
      </c>
      <c r="BN269" s="78">
        <f t="shared" si="40"/>
        <v>27.95</v>
      </c>
      <c r="BO269" s="78">
        <f t="shared" si="41"/>
        <v>3.787878787878788E-2</v>
      </c>
      <c r="BP269" s="78">
        <f t="shared" si="42"/>
        <v>3.787878787878788E-2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719">
        <v>4680115884014</v>
      </c>
      <c r="E270" s="719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21"/>
      <c r="R270" s="721"/>
      <c r="S270" s="721"/>
      <c r="T270" s="72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719">
        <v>4680115884007</v>
      </c>
      <c r="E271" s="71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21"/>
      <c r="R271" s="721"/>
      <c r="S271" s="721"/>
      <c r="T271" s="72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719">
        <v>4680115884038</v>
      </c>
      <c r="E272" s="71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21"/>
      <c r="R272" s="721"/>
      <c r="S272" s="721"/>
      <c r="T272" s="7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719">
        <v>4680115884021</v>
      </c>
      <c r="E273" s="719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21"/>
      <c r="R273" s="721"/>
      <c r="S273" s="721"/>
      <c r="T273" s="72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x14ac:dyDescent="0.2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8"/>
      <c r="P274" s="724" t="s">
        <v>40</v>
      </c>
      <c r="Q274" s="725"/>
      <c r="R274" s="725"/>
      <c r="S274" s="725"/>
      <c r="T274" s="725"/>
      <c r="U274" s="725"/>
      <c r="V274" s="726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20</v>
      </c>
      <c r="Y274" s="43">
        <f>IFERROR(Y266/H266,"0")+IFERROR(Y267/H267,"0")+IFERROR(Y268/H268,"0")+IFERROR(Y269/H269,"0")+IFERROR(Y270/H270,"0")+IFERROR(Y271/H271,"0")+IFERROR(Y272/H272,"0")+IFERROR(Y273/H273,"0")</f>
        <v>20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0.1804</v>
      </c>
      <c r="AA274" s="67"/>
      <c r="AB274" s="67"/>
      <c r="AC274" s="67"/>
    </row>
    <row r="275" spans="1:68" x14ac:dyDescent="0.2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8"/>
      <c r="P275" s="724" t="s">
        <v>40</v>
      </c>
      <c r="Q275" s="725"/>
      <c r="R275" s="725"/>
      <c r="S275" s="725"/>
      <c r="T275" s="725"/>
      <c r="U275" s="725"/>
      <c r="V275" s="726"/>
      <c r="W275" s="42" t="s">
        <v>0</v>
      </c>
      <c r="X275" s="43">
        <f>IFERROR(SUM(X266:X273),"0")</f>
        <v>108</v>
      </c>
      <c r="Y275" s="43">
        <f>IFERROR(SUM(Y266:Y273),"0")</f>
        <v>108</v>
      </c>
      <c r="Z275" s="42"/>
      <c r="AA275" s="67"/>
      <c r="AB275" s="67"/>
      <c r="AC275" s="67"/>
    </row>
    <row r="276" spans="1:68" ht="14.25" hidden="1" customHeight="1" x14ac:dyDescent="0.25">
      <c r="A276" s="718" t="s">
        <v>86</v>
      </c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719">
        <v>4680115881594</v>
      </c>
      <c r="E277" s="719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6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21"/>
      <c r="R277" s="721"/>
      <c r="S277" s="721"/>
      <c r="T277" s="72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719">
        <v>4680115881617</v>
      </c>
      <c r="E278" s="719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7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21"/>
      <c r="R278" s="721"/>
      <c r="S278" s="721"/>
      <c r="T278" s="72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719">
        <v>4680115880573</v>
      </c>
      <c r="E279" s="719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21"/>
      <c r="R279" s="721"/>
      <c r="S279" s="721"/>
      <c r="T279" s="72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719">
        <v>4680115882195</v>
      </c>
      <c r="E280" s="719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21"/>
      <c r="R280" s="721"/>
      <c r="S280" s="721"/>
      <c r="T280" s="72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719">
        <v>4680115882607</v>
      </c>
      <c r="E281" s="719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21"/>
      <c r="R281" s="721"/>
      <c r="S281" s="721"/>
      <c r="T281" s="7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719">
        <v>4680115882607</v>
      </c>
      <c r="E282" s="719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8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21"/>
      <c r="R282" s="721"/>
      <c r="S282" s="721"/>
      <c r="T282" s="72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719">
        <v>4680115880092</v>
      </c>
      <c r="E283" s="719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21"/>
      <c r="R283" s="721"/>
      <c r="S283" s="721"/>
      <c r="T283" s="72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719">
        <v>4680115889064</v>
      </c>
      <c r="E284" s="719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21"/>
      <c r="R284" s="721"/>
      <c r="S284" s="721"/>
      <c r="T284" s="72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719">
        <v>4680115880221</v>
      </c>
      <c r="E285" s="7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21"/>
      <c r="R285" s="721"/>
      <c r="S285" s="721"/>
      <c r="T285" s="72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719">
        <v>4680115880504</v>
      </c>
      <c r="E286" s="7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21"/>
      <c r="R286" s="721"/>
      <c r="S286" s="721"/>
      <c r="T286" s="72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719">
        <v>4680115882164</v>
      </c>
      <c r="E287" s="719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8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21"/>
      <c r="R287" s="721"/>
      <c r="S287" s="721"/>
      <c r="T287" s="72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719">
        <v>4680115888340</v>
      </c>
      <c r="E288" s="71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21"/>
      <c r="R288" s="721"/>
      <c r="S288" s="721"/>
      <c r="T288" s="72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8"/>
      <c r="P289" s="724" t="s">
        <v>40</v>
      </c>
      <c r="Q289" s="725"/>
      <c r="R289" s="725"/>
      <c r="S289" s="725"/>
      <c r="T289" s="725"/>
      <c r="U289" s="725"/>
      <c r="V289" s="726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8"/>
      <c r="P290" s="724" t="s">
        <v>40</v>
      </c>
      <c r="Q290" s="725"/>
      <c r="R290" s="725"/>
      <c r="S290" s="725"/>
      <c r="T290" s="725"/>
      <c r="U290" s="725"/>
      <c r="V290" s="726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718" t="s">
        <v>175</v>
      </c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719">
        <v>4680115880818</v>
      </c>
      <c r="E292" s="71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21"/>
      <c r="R292" s="721"/>
      <c r="S292" s="721"/>
      <c r="T292" s="72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719">
        <v>4680115880801</v>
      </c>
      <c r="E293" s="719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21"/>
      <c r="R293" s="721"/>
      <c r="S293" s="721"/>
      <c r="T293" s="722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8"/>
      <c r="P294" s="724" t="s">
        <v>40</v>
      </c>
      <c r="Q294" s="725"/>
      <c r="R294" s="725"/>
      <c r="S294" s="725"/>
      <c r="T294" s="725"/>
      <c r="U294" s="725"/>
      <c r="V294" s="726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8"/>
      <c r="P295" s="724" t="s">
        <v>40</v>
      </c>
      <c r="Q295" s="725"/>
      <c r="R295" s="725"/>
      <c r="S295" s="725"/>
      <c r="T295" s="725"/>
      <c r="U295" s="725"/>
      <c r="V295" s="726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717" t="s">
        <v>508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5"/>
      <c r="AB296" s="65"/>
      <c r="AC296" s="79"/>
    </row>
    <row r="297" spans="1:68" ht="14.25" hidden="1" customHeight="1" x14ac:dyDescent="0.25">
      <c r="A297" s="718" t="s">
        <v>122</v>
      </c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719">
        <v>4680115884137</v>
      </c>
      <c r="E298" s="71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21"/>
      <c r="R298" s="721"/>
      <c r="S298" s="721"/>
      <c r="T298" s="72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719">
        <v>4680115884236</v>
      </c>
      <c r="E299" s="71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21"/>
      <c r="R299" s="721"/>
      <c r="S299" s="721"/>
      <c r="T299" s="72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719">
        <v>4680115884175</v>
      </c>
      <c r="E300" s="719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21"/>
      <c r="R300" s="721"/>
      <c r="S300" s="721"/>
      <c r="T300" s="72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719">
        <v>4680115884144</v>
      </c>
      <c r="E301" s="71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21"/>
      <c r="R301" s="721"/>
      <c r="S301" s="721"/>
      <c r="T301" s="72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719">
        <v>4680115886551</v>
      </c>
      <c r="E302" s="719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21"/>
      <c r="R302" s="721"/>
      <c r="S302" s="721"/>
      <c r="T302" s="72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719">
        <v>4680115887282</v>
      </c>
      <c r="E303" s="719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8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21"/>
      <c r="R303" s="721"/>
      <c r="S303" s="721"/>
      <c r="T303" s="72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719">
        <v>4680115884205</v>
      </c>
      <c r="E304" s="71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21"/>
      <c r="R304" s="721"/>
      <c r="S304" s="721"/>
      <c r="T304" s="72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8"/>
      <c r="P305" s="724" t="s">
        <v>40</v>
      </c>
      <c r="Q305" s="725"/>
      <c r="R305" s="725"/>
      <c r="S305" s="725"/>
      <c r="T305" s="725"/>
      <c r="U305" s="725"/>
      <c r="V305" s="726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8"/>
      <c r="P306" s="724" t="s">
        <v>40</v>
      </c>
      <c r="Q306" s="725"/>
      <c r="R306" s="725"/>
      <c r="S306" s="725"/>
      <c r="T306" s="725"/>
      <c r="U306" s="725"/>
      <c r="V306" s="726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718" t="s">
        <v>157</v>
      </c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719">
        <v>4680115885981</v>
      </c>
      <c r="E308" s="719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8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21"/>
      <c r="R308" s="721"/>
      <c r="S308" s="721"/>
      <c r="T308" s="72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8"/>
      <c r="P309" s="724" t="s">
        <v>40</v>
      </c>
      <c r="Q309" s="725"/>
      <c r="R309" s="725"/>
      <c r="S309" s="725"/>
      <c r="T309" s="725"/>
      <c r="U309" s="725"/>
      <c r="V309" s="726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8"/>
      <c r="P310" s="724" t="s">
        <v>40</v>
      </c>
      <c r="Q310" s="725"/>
      <c r="R310" s="725"/>
      <c r="S310" s="725"/>
      <c r="T310" s="725"/>
      <c r="U310" s="725"/>
      <c r="V310" s="726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718" t="s">
        <v>530</v>
      </c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719">
        <v>4680115886803</v>
      </c>
      <c r="E312" s="719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8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21"/>
      <c r="R312" s="721"/>
      <c r="S312" s="721"/>
      <c r="T312" s="72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8"/>
      <c r="P313" s="724" t="s">
        <v>40</v>
      </c>
      <c r="Q313" s="725"/>
      <c r="R313" s="725"/>
      <c r="S313" s="725"/>
      <c r="T313" s="725"/>
      <c r="U313" s="725"/>
      <c r="V313" s="726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8"/>
      <c r="P314" s="724" t="s">
        <v>40</v>
      </c>
      <c r="Q314" s="725"/>
      <c r="R314" s="725"/>
      <c r="S314" s="725"/>
      <c r="T314" s="725"/>
      <c r="U314" s="725"/>
      <c r="V314" s="726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718" t="s">
        <v>339</v>
      </c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719">
        <v>4680115886681</v>
      </c>
      <c r="E316" s="71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8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21"/>
      <c r="R316" s="721"/>
      <c r="S316" s="721"/>
      <c r="T316" s="7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8"/>
      <c r="P317" s="724" t="s">
        <v>40</v>
      </c>
      <c r="Q317" s="725"/>
      <c r="R317" s="725"/>
      <c r="S317" s="725"/>
      <c r="T317" s="725"/>
      <c r="U317" s="725"/>
      <c r="V317" s="726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8"/>
      <c r="P318" s="724" t="s">
        <v>40</v>
      </c>
      <c r="Q318" s="725"/>
      <c r="R318" s="725"/>
      <c r="S318" s="725"/>
      <c r="T318" s="725"/>
      <c r="U318" s="725"/>
      <c r="V318" s="726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7" t="s">
        <v>537</v>
      </c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7"/>
      <c r="P319" s="717"/>
      <c r="Q319" s="717"/>
      <c r="R319" s="717"/>
      <c r="S319" s="717"/>
      <c r="T319" s="717"/>
      <c r="U319" s="717"/>
      <c r="V319" s="717"/>
      <c r="W319" s="717"/>
      <c r="X319" s="717"/>
      <c r="Y319" s="717"/>
      <c r="Z319" s="717"/>
      <c r="AA319" s="65"/>
      <c r="AB319" s="65"/>
      <c r="AC319" s="79"/>
    </row>
    <row r="320" spans="1:68" ht="14.25" hidden="1" customHeight="1" x14ac:dyDescent="0.25">
      <c r="A320" s="718" t="s">
        <v>122</v>
      </c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719">
        <v>4680115889637</v>
      </c>
      <c r="E321" s="71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893" t="s">
        <v>540</v>
      </c>
      <c r="Q321" s="721"/>
      <c r="R321" s="721"/>
      <c r="S321" s="721"/>
      <c r="T321" s="72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719">
        <v>4680115885837</v>
      </c>
      <c r="E322" s="71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21"/>
      <c r="R322" s="721"/>
      <c r="S322" s="721"/>
      <c r="T322" s="72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719">
        <v>4680115887237</v>
      </c>
      <c r="E323" s="71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9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21"/>
      <c r="R323" s="721"/>
      <c r="S323" s="721"/>
      <c r="T323" s="72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customHeight="1" x14ac:dyDescent="0.25">
      <c r="A324" s="63" t="s">
        <v>549</v>
      </c>
      <c r="B324" s="63" t="s">
        <v>550</v>
      </c>
      <c r="C324" s="36">
        <v>4301011850</v>
      </c>
      <c r="D324" s="719">
        <v>4680115885806</v>
      </c>
      <c r="E324" s="71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9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21"/>
      <c r="R324" s="721"/>
      <c r="S324" s="721"/>
      <c r="T324" s="722"/>
      <c r="U324" s="39" t="s">
        <v>46</v>
      </c>
      <c r="V324" s="39" t="s">
        <v>46</v>
      </c>
      <c r="W324" s="40" t="s">
        <v>0</v>
      </c>
      <c r="X324" s="58">
        <v>108</v>
      </c>
      <c r="Y324" s="55">
        <f t="shared" si="53"/>
        <v>108</v>
      </c>
      <c r="Z324" s="41">
        <f>IFERROR(IF(Y324=0,"",ROUNDUP(Y324/H324,0)*0.01898),"")</f>
        <v>0.1898</v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112.1</v>
      </c>
      <c r="BN324" s="78">
        <f t="shared" si="55"/>
        <v>112.1</v>
      </c>
      <c r="BO324" s="78">
        <f t="shared" si="56"/>
        <v>0.15625</v>
      </c>
      <c r="BP324" s="78">
        <f t="shared" si="57"/>
        <v>0.15625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719">
        <v>4680115885844</v>
      </c>
      <c r="E325" s="71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21"/>
      <c r="R325" s="721"/>
      <c r="S325" s="721"/>
      <c r="T325" s="72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719">
        <v>4680115885820</v>
      </c>
      <c r="E326" s="71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9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21"/>
      <c r="R326" s="721"/>
      <c r="S326" s="721"/>
      <c r="T326" s="722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x14ac:dyDescent="0.2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8"/>
      <c r="P327" s="724" t="s">
        <v>40</v>
      </c>
      <c r="Q327" s="725"/>
      <c r="R327" s="725"/>
      <c r="S327" s="725"/>
      <c r="T327" s="725"/>
      <c r="U327" s="725"/>
      <c r="V327" s="726"/>
      <c r="W327" s="42" t="s">
        <v>39</v>
      </c>
      <c r="X327" s="43">
        <f>IFERROR(X321/H321,"0")+IFERROR(X322/H322,"0")+IFERROR(X323/H323,"0")+IFERROR(X324/H324,"0")+IFERROR(X325/H325,"0")+IFERROR(X326/H326,"0")</f>
        <v>10</v>
      </c>
      <c r="Y327" s="43">
        <f>IFERROR(Y321/H321,"0")+IFERROR(Y322/H322,"0")+IFERROR(Y323/H323,"0")+IFERROR(Y324/H324,"0")+IFERROR(Y325/H325,"0")+IFERROR(Y326/H326,"0")</f>
        <v>10</v>
      </c>
      <c r="Z327" s="43">
        <f>IFERROR(IF(Z321="",0,Z321),"0")+IFERROR(IF(Z322="",0,Z322),"0")+IFERROR(IF(Z323="",0,Z323),"0")+IFERROR(IF(Z324="",0,Z324),"0")+IFERROR(IF(Z325="",0,Z325),"0")+IFERROR(IF(Z326="",0,Z326),"0")</f>
        <v>0.1898</v>
      </c>
      <c r="AA327" s="67"/>
      <c r="AB327" s="67"/>
      <c r="AC327" s="67"/>
    </row>
    <row r="328" spans="1:68" x14ac:dyDescent="0.2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8"/>
      <c r="P328" s="724" t="s">
        <v>40</v>
      </c>
      <c r="Q328" s="725"/>
      <c r="R328" s="725"/>
      <c r="S328" s="725"/>
      <c r="T328" s="725"/>
      <c r="U328" s="725"/>
      <c r="V328" s="726"/>
      <c r="W328" s="42" t="s">
        <v>0</v>
      </c>
      <c r="X328" s="43">
        <f>IFERROR(SUM(X321:X326),"0")</f>
        <v>108</v>
      </c>
      <c r="Y328" s="43">
        <f>IFERROR(SUM(Y321:Y326),"0")</f>
        <v>108</v>
      </c>
      <c r="Z328" s="42"/>
      <c r="AA328" s="67"/>
      <c r="AB328" s="67"/>
      <c r="AC328" s="67"/>
    </row>
    <row r="329" spans="1:68" ht="16.5" hidden="1" customHeight="1" x14ac:dyDescent="0.25">
      <c r="A329" s="717" t="s">
        <v>558</v>
      </c>
      <c r="B329" s="717"/>
      <c r="C329" s="717"/>
      <c r="D329" s="717"/>
      <c r="E329" s="717"/>
      <c r="F329" s="717"/>
      <c r="G329" s="717"/>
      <c r="H329" s="717"/>
      <c r="I329" s="717"/>
      <c r="J329" s="717"/>
      <c r="K329" s="717"/>
      <c r="L329" s="717"/>
      <c r="M329" s="717"/>
      <c r="N329" s="717"/>
      <c r="O329" s="717"/>
      <c r="P329" s="717"/>
      <c r="Q329" s="717"/>
      <c r="R329" s="717"/>
      <c r="S329" s="717"/>
      <c r="T329" s="717"/>
      <c r="U329" s="717"/>
      <c r="V329" s="717"/>
      <c r="W329" s="717"/>
      <c r="X329" s="717"/>
      <c r="Y329" s="717"/>
      <c r="Z329" s="717"/>
      <c r="AA329" s="65"/>
      <c r="AB329" s="65"/>
      <c r="AC329" s="79"/>
    </row>
    <row r="330" spans="1:68" ht="14.25" hidden="1" customHeight="1" x14ac:dyDescent="0.25">
      <c r="A330" s="718" t="s">
        <v>86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719">
        <v>4680115886186</v>
      </c>
      <c r="E331" s="71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21"/>
      <c r="R331" s="721"/>
      <c r="S331" s="721"/>
      <c r="T331" s="72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719">
        <v>4680115881228</v>
      </c>
      <c r="E332" s="71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21"/>
      <c r="R332" s="721"/>
      <c r="S332" s="721"/>
      <c r="T332" s="7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719">
        <v>4680115881211</v>
      </c>
      <c r="E333" s="71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90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21"/>
      <c r="R333" s="721"/>
      <c r="S333" s="721"/>
      <c r="T333" s="7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8"/>
      <c r="P334" s="724" t="s">
        <v>40</v>
      </c>
      <c r="Q334" s="725"/>
      <c r="R334" s="725"/>
      <c r="S334" s="725"/>
      <c r="T334" s="725"/>
      <c r="U334" s="725"/>
      <c r="V334" s="72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4" t="s">
        <v>40</v>
      </c>
      <c r="Q335" s="725"/>
      <c r="R335" s="725"/>
      <c r="S335" s="725"/>
      <c r="T335" s="725"/>
      <c r="U335" s="725"/>
      <c r="V335" s="72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17" t="s">
        <v>567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5"/>
      <c r="AB336" s="65"/>
      <c r="AC336" s="79"/>
    </row>
    <row r="337" spans="1:68" ht="14.25" hidden="1" customHeight="1" x14ac:dyDescent="0.25">
      <c r="A337" s="718" t="s">
        <v>77</v>
      </c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719">
        <v>4680115888319</v>
      </c>
      <c r="E338" s="71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9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21"/>
      <c r="R338" s="721"/>
      <c r="S338" s="721"/>
      <c r="T338" s="72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719">
        <v>4680115884700</v>
      </c>
      <c r="E339" s="71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90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21"/>
      <c r="R339" s="721"/>
      <c r="S339" s="721"/>
      <c r="T339" s="72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719">
        <v>4680115880344</v>
      </c>
      <c r="E340" s="71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9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21"/>
      <c r="R340" s="721"/>
      <c r="S340" s="721"/>
      <c r="T340" s="7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719">
        <v>4680115886919</v>
      </c>
      <c r="E341" s="71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21"/>
      <c r="R341" s="721"/>
      <c r="S341" s="721"/>
      <c r="T341" s="7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719">
        <v>4680115883970</v>
      </c>
      <c r="E342" s="71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9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21"/>
      <c r="R342" s="721"/>
      <c r="S342" s="721"/>
      <c r="T342" s="72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8"/>
      <c r="P343" s="724" t="s">
        <v>40</v>
      </c>
      <c r="Q343" s="725"/>
      <c r="R343" s="725"/>
      <c r="S343" s="725"/>
      <c r="T343" s="725"/>
      <c r="U343" s="725"/>
      <c r="V343" s="72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8"/>
      <c r="P344" s="724" t="s">
        <v>40</v>
      </c>
      <c r="Q344" s="725"/>
      <c r="R344" s="725"/>
      <c r="S344" s="725"/>
      <c r="T344" s="725"/>
      <c r="U344" s="725"/>
      <c r="V344" s="72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8" t="s">
        <v>86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719">
        <v>4680115884618</v>
      </c>
      <c r="E346" s="71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90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21"/>
      <c r="R346" s="721"/>
      <c r="S346" s="721"/>
      <c r="T346" s="7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719">
        <v>4680115887114</v>
      </c>
      <c r="E347" s="71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9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21"/>
      <c r="R347" s="721"/>
      <c r="S347" s="721"/>
      <c r="T347" s="7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8"/>
      <c r="P348" s="724" t="s">
        <v>40</v>
      </c>
      <c r="Q348" s="725"/>
      <c r="R348" s="725"/>
      <c r="S348" s="725"/>
      <c r="T348" s="725"/>
      <c r="U348" s="725"/>
      <c r="V348" s="72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8"/>
      <c r="P349" s="724" t="s">
        <v>40</v>
      </c>
      <c r="Q349" s="725"/>
      <c r="R349" s="725"/>
      <c r="S349" s="725"/>
      <c r="T349" s="725"/>
      <c r="U349" s="725"/>
      <c r="V349" s="72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17" t="s">
        <v>588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5"/>
      <c r="AB350" s="65"/>
      <c r="AC350" s="79"/>
    </row>
    <row r="351" spans="1:68" ht="14.25" hidden="1" customHeight="1" x14ac:dyDescent="0.25">
      <c r="A351" s="718" t="s">
        <v>122</v>
      </c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719">
        <v>4680115887947</v>
      </c>
      <c r="E352" s="71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21"/>
      <c r="R352" s="721"/>
      <c r="S352" s="721"/>
      <c r="T352" s="72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719">
        <v>4680115887978</v>
      </c>
      <c r="E353" s="71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9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21"/>
      <c r="R353" s="721"/>
      <c r="S353" s="721"/>
      <c r="T353" s="72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719">
        <v>4680115887992</v>
      </c>
      <c r="E354" s="71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21"/>
      <c r="R354" s="721"/>
      <c r="S354" s="721"/>
      <c r="T354" s="72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8"/>
      <c r="P355" s="724" t="s">
        <v>40</v>
      </c>
      <c r="Q355" s="725"/>
      <c r="R355" s="725"/>
      <c r="S355" s="725"/>
      <c r="T355" s="725"/>
      <c r="U355" s="725"/>
      <c r="V355" s="72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8"/>
      <c r="P356" s="724" t="s">
        <v>40</v>
      </c>
      <c r="Q356" s="725"/>
      <c r="R356" s="725"/>
      <c r="S356" s="725"/>
      <c r="T356" s="725"/>
      <c r="U356" s="725"/>
      <c r="V356" s="72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17" t="s">
        <v>597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5"/>
      <c r="AB357" s="65"/>
      <c r="AC357" s="79"/>
    </row>
    <row r="358" spans="1:68" ht="14.25" hidden="1" customHeight="1" x14ac:dyDescent="0.25">
      <c r="A358" s="718" t="s">
        <v>122</v>
      </c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719">
        <v>4680115889880</v>
      </c>
      <c r="E359" s="71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912" t="s">
        <v>600</v>
      </c>
      <c r="Q359" s="721"/>
      <c r="R359" s="721"/>
      <c r="S359" s="721"/>
      <c r="T359" s="72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719">
        <v>4680115889293</v>
      </c>
      <c r="E360" s="71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1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21"/>
      <c r="R360" s="721"/>
      <c r="S360" s="721"/>
      <c r="T360" s="72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customHeight="1" x14ac:dyDescent="0.25">
      <c r="A361" s="63" t="s">
        <v>604</v>
      </c>
      <c r="B361" s="63" t="s">
        <v>605</v>
      </c>
      <c r="C361" s="36">
        <v>4301012235</v>
      </c>
      <c r="D361" s="719">
        <v>4680115887190</v>
      </c>
      <c r="E361" s="71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21"/>
      <c r="R361" s="721"/>
      <c r="S361" s="721"/>
      <c r="T361" s="722"/>
      <c r="U361" s="39" t="s">
        <v>46</v>
      </c>
      <c r="V361" s="39" t="s">
        <v>46</v>
      </c>
      <c r="W361" s="40" t="s">
        <v>0</v>
      </c>
      <c r="X361" s="58">
        <v>54</v>
      </c>
      <c r="Y361" s="55">
        <f t="shared" si="58"/>
        <v>54</v>
      </c>
      <c r="Z361" s="41">
        <f>IFERROR(IF(Y361=0,"",ROUNDUP(Y361/H361,0)*0.01898),"")</f>
        <v>9.4899999999999998E-2</v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56.05</v>
      </c>
      <c r="BN361" s="78">
        <f t="shared" si="60"/>
        <v>56.05</v>
      </c>
      <c r="BO361" s="78">
        <f t="shared" si="61"/>
        <v>7.8125E-2</v>
      </c>
      <c r="BP361" s="78">
        <f t="shared" si="62"/>
        <v>7.8125E-2</v>
      </c>
    </row>
    <row r="362" spans="1:68" ht="37.5" customHeight="1" x14ac:dyDescent="0.25">
      <c r="A362" s="63" t="s">
        <v>607</v>
      </c>
      <c r="B362" s="63" t="s">
        <v>608</v>
      </c>
      <c r="C362" s="36">
        <v>4301012233</v>
      </c>
      <c r="D362" s="719">
        <v>4680115887138</v>
      </c>
      <c r="E362" s="719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21"/>
      <c r="R362" s="721"/>
      <c r="S362" s="721"/>
      <c r="T362" s="722"/>
      <c r="U362" s="39" t="s">
        <v>46</v>
      </c>
      <c r="V362" s="39" t="s">
        <v>46</v>
      </c>
      <c r="W362" s="40" t="s">
        <v>0</v>
      </c>
      <c r="X362" s="58">
        <v>54</v>
      </c>
      <c r="Y362" s="55">
        <f t="shared" si="58"/>
        <v>54</v>
      </c>
      <c r="Z362" s="41">
        <f>IFERROR(IF(Y362=0,"",ROUNDUP(Y362/H362,0)*0.01898),"")</f>
        <v>9.4899999999999998E-2</v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56.05</v>
      </c>
      <c r="BN362" s="78">
        <f t="shared" si="60"/>
        <v>56.05</v>
      </c>
      <c r="BO362" s="78">
        <f t="shared" si="61"/>
        <v>7.8125E-2</v>
      </c>
      <c r="BP362" s="78">
        <f t="shared" si="62"/>
        <v>7.8125E-2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719">
        <v>4680115885554</v>
      </c>
      <c r="E363" s="71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1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21"/>
      <c r="R363" s="721"/>
      <c r="S363" s="721"/>
      <c r="T363" s="72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719">
        <v>4680115887220</v>
      </c>
      <c r="E364" s="719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1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21"/>
      <c r="R364" s="721"/>
      <c r="S364" s="721"/>
      <c r="T364" s="72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customHeight="1" x14ac:dyDescent="0.25">
      <c r="A365" s="63" t="s">
        <v>615</v>
      </c>
      <c r="B365" s="63" t="s">
        <v>616</v>
      </c>
      <c r="C365" s="36">
        <v>4301011859</v>
      </c>
      <c r="D365" s="719">
        <v>4680115885608</v>
      </c>
      <c r="E365" s="719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21"/>
      <c r="R365" s="721"/>
      <c r="S365" s="721"/>
      <c r="T365" s="722"/>
      <c r="U365" s="39" t="s">
        <v>46</v>
      </c>
      <c r="V365" s="39" t="s">
        <v>46</v>
      </c>
      <c r="W365" s="40" t="s">
        <v>0</v>
      </c>
      <c r="X365" s="58">
        <v>40</v>
      </c>
      <c r="Y365" s="55">
        <f t="shared" si="58"/>
        <v>40</v>
      </c>
      <c r="Z365" s="41">
        <f>IFERROR(IF(Y365=0,"",ROUNDUP(Y365/H365,0)*0.00902),"")</f>
        <v>9.0200000000000002E-2</v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41.900000000000006</v>
      </c>
      <c r="BN365" s="78">
        <f t="shared" si="60"/>
        <v>41.900000000000006</v>
      </c>
      <c r="BO365" s="78">
        <f t="shared" si="61"/>
        <v>7.575757575757576E-2</v>
      </c>
      <c r="BP365" s="78">
        <f t="shared" si="62"/>
        <v>7.575757575757576E-2</v>
      </c>
    </row>
    <row r="366" spans="1:68" x14ac:dyDescent="0.2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8"/>
      <c r="P366" s="724" t="s">
        <v>40</v>
      </c>
      <c r="Q366" s="725"/>
      <c r="R366" s="725"/>
      <c r="S366" s="725"/>
      <c r="T366" s="725"/>
      <c r="U366" s="725"/>
      <c r="V366" s="726"/>
      <c r="W366" s="42" t="s">
        <v>39</v>
      </c>
      <c r="X366" s="43">
        <f>IFERROR(X359/H359,"0")+IFERROR(X360/H360,"0")+IFERROR(X361/H361,"0")+IFERROR(X362/H362,"0")+IFERROR(X363/H363,"0")+IFERROR(X364/H364,"0")+IFERROR(X365/H365,"0")</f>
        <v>20</v>
      </c>
      <c r="Y366" s="43">
        <f>IFERROR(Y359/H359,"0")+IFERROR(Y360/H360,"0")+IFERROR(Y361/H361,"0")+IFERROR(Y362/H362,"0")+IFERROR(Y363/H363,"0")+IFERROR(Y364/H364,"0")+IFERROR(Y365/H365,"0")</f>
        <v>20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0.28000000000000003</v>
      </c>
      <c r="AA366" s="67"/>
      <c r="AB366" s="67"/>
      <c r="AC366" s="67"/>
    </row>
    <row r="367" spans="1:68" x14ac:dyDescent="0.2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8"/>
      <c r="P367" s="724" t="s">
        <v>40</v>
      </c>
      <c r="Q367" s="725"/>
      <c r="R367" s="725"/>
      <c r="S367" s="725"/>
      <c r="T367" s="725"/>
      <c r="U367" s="725"/>
      <c r="V367" s="726"/>
      <c r="W367" s="42" t="s">
        <v>0</v>
      </c>
      <c r="X367" s="43">
        <f>IFERROR(SUM(X359:X365),"0")</f>
        <v>148</v>
      </c>
      <c r="Y367" s="43">
        <f>IFERROR(SUM(Y359:Y365),"0")</f>
        <v>148</v>
      </c>
      <c r="Z367" s="42"/>
      <c r="AA367" s="67"/>
      <c r="AB367" s="67"/>
      <c r="AC367" s="67"/>
    </row>
    <row r="368" spans="1:68" ht="14.25" hidden="1" customHeight="1" x14ac:dyDescent="0.25">
      <c r="A368" s="718" t="s">
        <v>77</v>
      </c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66"/>
      <c r="AB368" s="66"/>
      <c r="AC368" s="80"/>
    </row>
    <row r="369" spans="1:68" ht="27" customHeight="1" x14ac:dyDescent="0.25">
      <c r="A369" s="63" t="s">
        <v>618</v>
      </c>
      <c r="B369" s="63" t="s">
        <v>619</v>
      </c>
      <c r="C369" s="36">
        <v>4301030878</v>
      </c>
      <c r="D369" s="719">
        <v>4607091387193</v>
      </c>
      <c r="E369" s="719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21"/>
      <c r="R369" s="721"/>
      <c r="S369" s="721"/>
      <c r="T369" s="722"/>
      <c r="U369" s="39" t="s">
        <v>46</v>
      </c>
      <c r="V369" s="39" t="s">
        <v>46</v>
      </c>
      <c r="W369" s="40" t="s">
        <v>0</v>
      </c>
      <c r="X369" s="58">
        <v>63</v>
      </c>
      <c r="Y369" s="55">
        <f t="shared" ref="Y369:Y375" si="63">IFERROR(IF(X369="",0,CEILING((X369/$H369),1)*$H369),"")</f>
        <v>63</v>
      </c>
      <c r="Z369" s="41">
        <f>IFERROR(IF(Y369=0,"",ROUNDUP(Y369/H369,0)*0.00902),"")</f>
        <v>0.1353</v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66.75</v>
      </c>
      <c r="BN369" s="78">
        <f t="shared" ref="BN369:BN375" si="65">IFERROR(Y369*I369/H369,"0")</f>
        <v>66.75</v>
      </c>
      <c r="BO369" s="78">
        <f t="shared" ref="BO369:BO375" si="66">IFERROR(1/J369*(X369/H369),"0")</f>
        <v>0.11363636363636365</v>
      </c>
      <c r="BP369" s="78">
        <f t="shared" ref="BP369:BP375" si="67">IFERROR(1/J369*(Y369/H369),"0")</f>
        <v>0.11363636363636365</v>
      </c>
    </row>
    <row r="370" spans="1:68" ht="27" customHeight="1" x14ac:dyDescent="0.25">
      <c r="A370" s="63" t="s">
        <v>621</v>
      </c>
      <c r="B370" s="63" t="s">
        <v>622</v>
      </c>
      <c r="C370" s="36">
        <v>4301031153</v>
      </c>
      <c r="D370" s="719">
        <v>4607091387230</v>
      </c>
      <c r="E370" s="719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21"/>
      <c r="R370" s="721"/>
      <c r="S370" s="721"/>
      <c r="T370" s="722"/>
      <c r="U370" s="39" t="s">
        <v>46</v>
      </c>
      <c r="V370" s="39" t="s">
        <v>46</v>
      </c>
      <c r="W370" s="40" t="s">
        <v>0</v>
      </c>
      <c r="X370" s="58">
        <v>63</v>
      </c>
      <c r="Y370" s="55">
        <f t="shared" si="63"/>
        <v>63</v>
      </c>
      <c r="Z370" s="41">
        <f>IFERROR(IF(Y370=0,"",ROUNDUP(Y370/H370,0)*0.00902),"")</f>
        <v>0.1353</v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66.75</v>
      </c>
      <c r="BN370" s="78">
        <f t="shared" si="65"/>
        <v>66.75</v>
      </c>
      <c r="BO370" s="78">
        <f t="shared" si="66"/>
        <v>0.11363636363636365</v>
      </c>
      <c r="BP370" s="78">
        <f t="shared" si="67"/>
        <v>0.11363636363636365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719">
        <v>4607091387292</v>
      </c>
      <c r="E371" s="719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21"/>
      <c r="R371" s="721"/>
      <c r="S371" s="721"/>
      <c r="T371" s="72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customHeight="1" x14ac:dyDescent="0.25">
      <c r="A372" s="63" t="s">
        <v>627</v>
      </c>
      <c r="B372" s="63" t="s">
        <v>628</v>
      </c>
      <c r="C372" s="36">
        <v>4301031152</v>
      </c>
      <c r="D372" s="719">
        <v>4607091387285</v>
      </c>
      <c r="E372" s="719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2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21"/>
      <c r="R372" s="721"/>
      <c r="S372" s="721"/>
      <c r="T372" s="722"/>
      <c r="U372" s="39" t="s">
        <v>46</v>
      </c>
      <c r="V372" s="39" t="s">
        <v>46</v>
      </c>
      <c r="W372" s="40" t="s">
        <v>0</v>
      </c>
      <c r="X372" s="58">
        <v>10.5</v>
      </c>
      <c r="Y372" s="55">
        <f t="shared" si="63"/>
        <v>10.5</v>
      </c>
      <c r="Z372" s="41">
        <f>IFERROR(IF(Y372=0,"",ROUNDUP(Y372/H372,0)*0.00502),"")</f>
        <v>2.5100000000000001E-2</v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11.149999999999999</v>
      </c>
      <c r="BN372" s="78">
        <f t="shared" si="65"/>
        <v>11.149999999999999</v>
      </c>
      <c r="BO372" s="78">
        <f t="shared" si="66"/>
        <v>2.1367521367521368E-2</v>
      </c>
      <c r="BP372" s="78">
        <f t="shared" si="67"/>
        <v>2.1367521367521368E-2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719">
        <v>4607091389845</v>
      </c>
      <c r="E373" s="719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21"/>
      <c r="R373" s="721"/>
      <c r="S373" s="721"/>
      <c r="T373" s="72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719">
        <v>4680115887442</v>
      </c>
      <c r="E374" s="71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21"/>
      <c r="R374" s="721"/>
      <c r="S374" s="721"/>
      <c r="T374" s="72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719">
        <v>4607091383836</v>
      </c>
      <c r="E375" s="719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21"/>
      <c r="R375" s="721"/>
      <c r="S375" s="721"/>
      <c r="T375" s="72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8"/>
      <c r="P376" s="724" t="s">
        <v>40</v>
      </c>
      <c r="Q376" s="725"/>
      <c r="R376" s="725"/>
      <c r="S376" s="725"/>
      <c r="T376" s="725"/>
      <c r="U376" s="725"/>
      <c r="V376" s="726"/>
      <c r="W376" s="42" t="s">
        <v>39</v>
      </c>
      <c r="X376" s="43">
        <f>IFERROR(X369/H369,"0")+IFERROR(X370/H370,"0")+IFERROR(X371/H371,"0")+IFERROR(X372/H372,"0")+IFERROR(X373/H373,"0")+IFERROR(X374/H374,"0")+IFERROR(X375/H375,"0")</f>
        <v>35</v>
      </c>
      <c r="Y376" s="43">
        <f>IFERROR(Y369/H369,"0")+IFERROR(Y370/H370,"0")+IFERROR(Y371/H371,"0")+IFERROR(Y372/H372,"0")+IFERROR(Y373/H373,"0")+IFERROR(Y374/H374,"0")+IFERROR(Y375/H375,"0")</f>
        <v>35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0.29570000000000002</v>
      </c>
      <c r="AA376" s="67"/>
      <c r="AB376" s="67"/>
      <c r="AC376" s="67"/>
    </row>
    <row r="377" spans="1:68" x14ac:dyDescent="0.2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8"/>
      <c r="P377" s="724" t="s">
        <v>40</v>
      </c>
      <c r="Q377" s="725"/>
      <c r="R377" s="725"/>
      <c r="S377" s="725"/>
      <c r="T377" s="725"/>
      <c r="U377" s="725"/>
      <c r="V377" s="726"/>
      <c r="W377" s="42" t="s">
        <v>0</v>
      </c>
      <c r="X377" s="43">
        <f>IFERROR(SUM(X369:X375),"0")</f>
        <v>136.5</v>
      </c>
      <c r="Y377" s="43">
        <f>IFERROR(SUM(Y369:Y375),"0")</f>
        <v>136.5</v>
      </c>
      <c r="Z377" s="42"/>
      <c r="AA377" s="67"/>
      <c r="AB377" s="67"/>
      <c r="AC377" s="67"/>
    </row>
    <row r="378" spans="1:68" ht="14.25" hidden="1" customHeight="1" x14ac:dyDescent="0.25">
      <c r="A378" s="718" t="s">
        <v>86</v>
      </c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719">
        <v>4607091387766</v>
      </c>
      <c r="E379" s="719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21"/>
      <c r="R379" s="721"/>
      <c r="S379" s="721"/>
      <c r="T379" s="722"/>
      <c r="U379" s="39" t="s">
        <v>46</v>
      </c>
      <c r="V379" s="39" t="s">
        <v>46</v>
      </c>
      <c r="W379" s="40" t="s">
        <v>0</v>
      </c>
      <c r="X379" s="58">
        <v>2496</v>
      </c>
      <c r="Y379" s="55">
        <f>IFERROR(IF(X379="",0,CEILING((X379/$H379),1)*$H379),"")</f>
        <v>2496</v>
      </c>
      <c r="Z379" s="41">
        <f>IFERROR(IF(Y379=0,"",ROUNDUP(Y379/H379,0)*0.01898),"")</f>
        <v>6.0735999999999999</v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2652.1600000000003</v>
      </c>
      <c r="BN379" s="78">
        <f>IFERROR(Y379*I379/H379,"0")</f>
        <v>2652.1600000000003</v>
      </c>
      <c r="BO379" s="78">
        <f>IFERROR(1/J379*(X379/H379),"0")</f>
        <v>5</v>
      </c>
      <c r="BP379" s="78">
        <f>IFERROR(1/J379*(Y379/H379),"0")</f>
        <v>5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719">
        <v>4607091387957</v>
      </c>
      <c r="E380" s="719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21"/>
      <c r="R380" s="721"/>
      <c r="S380" s="721"/>
      <c r="T380" s="7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719">
        <v>4607091387964</v>
      </c>
      <c r="E381" s="719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21"/>
      <c r="R381" s="721"/>
      <c r="S381" s="721"/>
      <c r="T381" s="72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646</v>
      </c>
      <c r="B382" s="63" t="s">
        <v>647</v>
      </c>
      <c r="C382" s="36">
        <v>4301051734</v>
      </c>
      <c r="D382" s="719">
        <v>4680115884588</v>
      </c>
      <c r="E382" s="719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21"/>
      <c r="R382" s="721"/>
      <c r="S382" s="721"/>
      <c r="T382" s="722"/>
      <c r="U382" s="39" t="s">
        <v>46</v>
      </c>
      <c r="V382" s="39" t="s">
        <v>46</v>
      </c>
      <c r="W382" s="40" t="s">
        <v>0</v>
      </c>
      <c r="X382" s="58">
        <v>18</v>
      </c>
      <c r="Y382" s="55">
        <f>IFERROR(IF(X382="",0,CEILING((X382/$H382),1)*$H382),"")</f>
        <v>18</v>
      </c>
      <c r="Z382" s="41">
        <f>IFERROR(IF(Y382=0,"",ROUNDUP(Y382/H382,0)*0.00651),"")</f>
        <v>3.9059999999999997E-2</v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19.475999999999999</v>
      </c>
      <c r="BN382" s="78">
        <f>IFERROR(Y382*I382/H382,"0")</f>
        <v>19.475999999999999</v>
      </c>
      <c r="BO382" s="78">
        <f>IFERROR(1/J382*(X382/H382),"0")</f>
        <v>3.2967032967032968E-2</v>
      </c>
      <c r="BP382" s="78">
        <f>IFERROR(1/J382*(Y382/H382),"0")</f>
        <v>3.2967032967032968E-2</v>
      </c>
    </row>
    <row r="383" spans="1:68" x14ac:dyDescent="0.2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8"/>
      <c r="P383" s="724" t="s">
        <v>40</v>
      </c>
      <c r="Q383" s="725"/>
      <c r="R383" s="725"/>
      <c r="S383" s="725"/>
      <c r="T383" s="725"/>
      <c r="U383" s="725"/>
      <c r="V383" s="726"/>
      <c r="W383" s="42" t="s">
        <v>39</v>
      </c>
      <c r="X383" s="43">
        <f>IFERROR(X379/H379,"0")+IFERROR(X380/H380,"0")+IFERROR(X381/H381,"0")+IFERROR(X382/H382,"0")</f>
        <v>326</v>
      </c>
      <c r="Y383" s="43">
        <f>IFERROR(Y379/H379,"0")+IFERROR(Y380/H380,"0")+IFERROR(Y381/H381,"0")+IFERROR(Y382/H382,"0")</f>
        <v>326</v>
      </c>
      <c r="Z383" s="43">
        <f>IFERROR(IF(Z379="",0,Z379),"0")+IFERROR(IF(Z380="",0,Z380),"0")+IFERROR(IF(Z381="",0,Z381),"0")+IFERROR(IF(Z382="",0,Z382),"0")</f>
        <v>6.11266</v>
      </c>
      <c r="AA383" s="67"/>
      <c r="AB383" s="67"/>
      <c r="AC383" s="67"/>
    </row>
    <row r="384" spans="1:68" x14ac:dyDescent="0.2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8"/>
      <c r="P384" s="724" t="s">
        <v>40</v>
      </c>
      <c r="Q384" s="725"/>
      <c r="R384" s="725"/>
      <c r="S384" s="725"/>
      <c r="T384" s="725"/>
      <c r="U384" s="725"/>
      <c r="V384" s="726"/>
      <c r="W384" s="42" t="s">
        <v>0</v>
      </c>
      <c r="X384" s="43">
        <f>IFERROR(SUM(X379:X382),"0")</f>
        <v>2514</v>
      </c>
      <c r="Y384" s="43">
        <f>IFERROR(SUM(Y379:Y382),"0")</f>
        <v>2514</v>
      </c>
      <c r="Z384" s="42"/>
      <c r="AA384" s="67"/>
      <c r="AB384" s="67"/>
      <c r="AC384" s="67"/>
    </row>
    <row r="385" spans="1:68" ht="14.25" hidden="1" customHeight="1" x14ac:dyDescent="0.25">
      <c r="A385" s="718" t="s">
        <v>175</v>
      </c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719">
        <v>4607091380880</v>
      </c>
      <c r="E386" s="71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21"/>
      <c r="R386" s="721"/>
      <c r="S386" s="721"/>
      <c r="T386" s="72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719">
        <v>4607091384482</v>
      </c>
      <c r="E387" s="719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21"/>
      <c r="R387" s="721"/>
      <c r="S387" s="721"/>
      <c r="T387" s="722"/>
      <c r="U387" s="39" t="s">
        <v>46</v>
      </c>
      <c r="V387" s="39" t="s">
        <v>46</v>
      </c>
      <c r="W387" s="40" t="s">
        <v>0</v>
      </c>
      <c r="X387" s="58">
        <v>195</v>
      </c>
      <c r="Y387" s="55">
        <f>IFERROR(IF(X387="",0,CEILING((X387/$H387),1)*$H387),"")</f>
        <v>195</v>
      </c>
      <c r="Z387" s="41">
        <f>IFERROR(IF(Y387=0,"",ROUNDUP(Y387/H387,0)*0.01898),"")</f>
        <v>0.47450000000000003</v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207.35000000000002</v>
      </c>
      <c r="BN387" s="78">
        <f>IFERROR(Y387*I387/H387,"0")</f>
        <v>207.35000000000002</v>
      </c>
      <c r="BO387" s="78">
        <f>IFERROR(1/J387*(X387/H387),"0")</f>
        <v>0.390625</v>
      </c>
      <c r="BP387" s="78">
        <f>IFERROR(1/J387*(Y387/H387),"0")</f>
        <v>0.390625</v>
      </c>
    </row>
    <row r="388" spans="1:68" ht="27" customHeight="1" x14ac:dyDescent="0.25">
      <c r="A388" s="63" t="s">
        <v>654</v>
      </c>
      <c r="B388" s="63" t="s">
        <v>655</v>
      </c>
      <c r="C388" s="36">
        <v>4301060484</v>
      </c>
      <c r="D388" s="719">
        <v>4607091380897</v>
      </c>
      <c r="E388" s="71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21"/>
      <c r="R388" s="721"/>
      <c r="S388" s="721"/>
      <c r="T388" s="722"/>
      <c r="U388" s="39" t="s">
        <v>46</v>
      </c>
      <c r="V388" s="39" t="s">
        <v>46</v>
      </c>
      <c r="W388" s="40" t="s">
        <v>0</v>
      </c>
      <c r="X388" s="58">
        <v>42</v>
      </c>
      <c r="Y388" s="55">
        <f>IFERROR(IF(X388="",0,CEILING((X388/$H388),1)*$H388),"")</f>
        <v>42</v>
      </c>
      <c r="Z388" s="41">
        <f>IFERROR(IF(Y388=0,"",ROUNDUP(Y388/H388,0)*0.01898),"")</f>
        <v>9.4899999999999998E-2</v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44.47</v>
      </c>
      <c r="BN388" s="78">
        <f>IFERROR(Y388*I388/H388,"0")</f>
        <v>44.47</v>
      </c>
      <c r="BO388" s="78">
        <f>IFERROR(1/J388*(X388/H388),"0")</f>
        <v>7.8125E-2</v>
      </c>
      <c r="BP388" s="78">
        <f>IFERROR(1/J388*(Y388/H388),"0")</f>
        <v>7.8125E-2</v>
      </c>
    </row>
    <row r="389" spans="1:68" x14ac:dyDescent="0.2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4" t="s">
        <v>40</v>
      </c>
      <c r="Q389" s="725"/>
      <c r="R389" s="725"/>
      <c r="S389" s="725"/>
      <c r="T389" s="725"/>
      <c r="U389" s="725"/>
      <c r="V389" s="726"/>
      <c r="W389" s="42" t="s">
        <v>39</v>
      </c>
      <c r="X389" s="43">
        <f>IFERROR(X386/H386,"0")+IFERROR(X387/H387,"0")+IFERROR(X388/H388,"0")</f>
        <v>30</v>
      </c>
      <c r="Y389" s="43">
        <f>IFERROR(Y386/H386,"0")+IFERROR(Y387/H387,"0")+IFERROR(Y388/H388,"0")</f>
        <v>30</v>
      </c>
      <c r="Z389" s="43">
        <f>IFERROR(IF(Z386="",0,Z386),"0")+IFERROR(IF(Z387="",0,Z387),"0")+IFERROR(IF(Z388="",0,Z388),"0")</f>
        <v>0.56940000000000002</v>
      </c>
      <c r="AA389" s="67"/>
      <c r="AB389" s="67"/>
      <c r="AC389" s="67"/>
    </row>
    <row r="390" spans="1:68" x14ac:dyDescent="0.2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8"/>
      <c r="P390" s="724" t="s">
        <v>40</v>
      </c>
      <c r="Q390" s="725"/>
      <c r="R390" s="725"/>
      <c r="S390" s="725"/>
      <c r="T390" s="725"/>
      <c r="U390" s="725"/>
      <c r="V390" s="726"/>
      <c r="W390" s="42" t="s">
        <v>0</v>
      </c>
      <c r="X390" s="43">
        <f>IFERROR(SUM(X386:X388),"0")</f>
        <v>237</v>
      </c>
      <c r="Y390" s="43">
        <f>IFERROR(SUM(Y386:Y388),"0")</f>
        <v>237</v>
      </c>
      <c r="Z390" s="42"/>
      <c r="AA390" s="67"/>
      <c r="AB390" s="67"/>
      <c r="AC390" s="67"/>
    </row>
    <row r="391" spans="1:68" ht="14.25" hidden="1" customHeight="1" x14ac:dyDescent="0.25">
      <c r="A391" s="718" t="s">
        <v>278</v>
      </c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719">
        <v>4607091388381</v>
      </c>
      <c r="E392" s="719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9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21"/>
      <c r="R392" s="721"/>
      <c r="S392" s="721"/>
      <c r="T392" s="7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719">
        <v>4607091388374</v>
      </c>
      <c r="E393" s="719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9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21"/>
      <c r="R393" s="721"/>
      <c r="S393" s="721"/>
      <c r="T393" s="7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719">
        <v>4607091383102</v>
      </c>
      <c r="E394" s="719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9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21"/>
      <c r="R394" s="721"/>
      <c r="S394" s="721"/>
      <c r="T394" s="72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719">
        <v>4607091388404</v>
      </c>
      <c r="E395" s="719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9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21"/>
      <c r="R395" s="721"/>
      <c r="S395" s="721"/>
      <c r="T395" s="72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8"/>
      <c r="P396" s="724" t="s">
        <v>40</v>
      </c>
      <c r="Q396" s="725"/>
      <c r="R396" s="725"/>
      <c r="S396" s="725"/>
      <c r="T396" s="725"/>
      <c r="U396" s="725"/>
      <c r="V396" s="726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8"/>
      <c r="P397" s="724" t="s">
        <v>40</v>
      </c>
      <c r="Q397" s="725"/>
      <c r="R397" s="725"/>
      <c r="S397" s="725"/>
      <c r="T397" s="725"/>
      <c r="U397" s="725"/>
      <c r="V397" s="726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18" t="s">
        <v>666</v>
      </c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719">
        <v>4680115881808</v>
      </c>
      <c r="E399" s="71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9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21"/>
      <c r="R399" s="721"/>
      <c r="S399" s="721"/>
      <c r="T399" s="7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719">
        <v>4680115881822</v>
      </c>
      <c r="E400" s="719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9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21"/>
      <c r="R400" s="721"/>
      <c r="S400" s="721"/>
      <c r="T400" s="7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719">
        <v>4680115880016</v>
      </c>
      <c r="E401" s="71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21"/>
      <c r="R401" s="721"/>
      <c r="S401" s="721"/>
      <c r="T401" s="72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8"/>
      <c r="P402" s="724" t="s">
        <v>40</v>
      </c>
      <c r="Q402" s="725"/>
      <c r="R402" s="725"/>
      <c r="S402" s="725"/>
      <c r="T402" s="725"/>
      <c r="U402" s="725"/>
      <c r="V402" s="726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8"/>
      <c r="P403" s="724" t="s">
        <v>40</v>
      </c>
      <c r="Q403" s="725"/>
      <c r="R403" s="725"/>
      <c r="S403" s="725"/>
      <c r="T403" s="725"/>
      <c r="U403" s="725"/>
      <c r="V403" s="726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18" t="s">
        <v>675</v>
      </c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719">
        <v>4680115888678</v>
      </c>
      <c r="E405" s="71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21"/>
      <c r="R405" s="721"/>
      <c r="S405" s="721"/>
      <c r="T405" s="72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719">
        <v>4680115888654</v>
      </c>
      <c r="E406" s="719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9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21"/>
      <c r="R406" s="721"/>
      <c r="S406" s="721"/>
      <c r="T406" s="72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719">
        <v>4680115888753</v>
      </c>
      <c r="E407" s="71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4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21"/>
      <c r="R407" s="721"/>
      <c r="S407" s="721"/>
      <c r="T407" s="72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8"/>
      <c r="P408" s="724" t="s">
        <v>40</v>
      </c>
      <c r="Q408" s="725"/>
      <c r="R408" s="725"/>
      <c r="S408" s="725"/>
      <c r="T408" s="725"/>
      <c r="U408" s="725"/>
      <c r="V408" s="726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8"/>
      <c r="P409" s="724" t="s">
        <v>40</v>
      </c>
      <c r="Q409" s="725"/>
      <c r="R409" s="725"/>
      <c r="S409" s="725"/>
      <c r="T409" s="725"/>
      <c r="U409" s="725"/>
      <c r="V409" s="726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717" t="s">
        <v>684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5"/>
      <c r="AB410" s="65"/>
      <c r="AC410" s="79"/>
    </row>
    <row r="411" spans="1:68" ht="14.25" hidden="1" customHeight="1" x14ac:dyDescent="0.25">
      <c r="A411" s="718" t="s">
        <v>86</v>
      </c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66"/>
      <c r="AB411" s="66"/>
      <c r="AC411" s="80"/>
    </row>
    <row r="412" spans="1:68" ht="16.5" customHeight="1" x14ac:dyDescent="0.25">
      <c r="A412" s="63" t="s">
        <v>685</v>
      </c>
      <c r="B412" s="63" t="s">
        <v>686</v>
      </c>
      <c r="C412" s="36">
        <v>4301052235</v>
      </c>
      <c r="D412" s="719">
        <v>4680115889415</v>
      </c>
      <c r="E412" s="719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4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21"/>
      <c r="R412" s="721"/>
      <c r="S412" s="721"/>
      <c r="T412" s="722"/>
      <c r="U412" s="39" t="s">
        <v>46</v>
      </c>
      <c r="V412" s="39" t="s">
        <v>46</v>
      </c>
      <c r="W412" s="40" t="s">
        <v>0</v>
      </c>
      <c r="X412" s="58">
        <v>39</v>
      </c>
      <c r="Y412" s="55">
        <f>IFERROR(IF(X412="",0,CEILING((X412/$H412),1)*$H412),"")</f>
        <v>39</v>
      </c>
      <c r="Z412" s="41">
        <f>IFERROR(IF(Y412=0,"",ROUNDUP(Y412/H412,0)*0.01898),"")</f>
        <v>9.4899999999999998E-2</v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41.050000000000011</v>
      </c>
      <c r="BN412" s="78">
        <f>IFERROR(Y412*I412/H412,"0")</f>
        <v>41.050000000000011</v>
      </c>
      <c r="BO412" s="78">
        <f>IFERROR(1/J412*(X412/H412),"0")</f>
        <v>7.8125E-2</v>
      </c>
      <c r="BP412" s="78">
        <f>IFERROR(1/J412*(Y412/H412),"0")</f>
        <v>7.8125E-2</v>
      </c>
    </row>
    <row r="413" spans="1:68" ht="16.5" customHeight="1" x14ac:dyDescent="0.25">
      <c r="A413" s="63" t="s">
        <v>688</v>
      </c>
      <c r="B413" s="63" t="s">
        <v>689</v>
      </c>
      <c r="C413" s="36">
        <v>4301052236</v>
      </c>
      <c r="D413" s="719">
        <v>4680115889422</v>
      </c>
      <c r="E413" s="719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21"/>
      <c r="R413" s="721"/>
      <c r="S413" s="721"/>
      <c r="T413" s="722"/>
      <c r="U413" s="39" t="s">
        <v>46</v>
      </c>
      <c r="V413" s="39" t="s">
        <v>46</v>
      </c>
      <c r="W413" s="40" t="s">
        <v>0</v>
      </c>
      <c r="X413" s="58">
        <v>39</v>
      </c>
      <c r="Y413" s="55">
        <f>IFERROR(IF(X413="",0,CEILING((X413/$H413),1)*$H413),"")</f>
        <v>39</v>
      </c>
      <c r="Z413" s="41">
        <f>IFERROR(IF(Y413=0,"",ROUNDUP(Y413/H413,0)*0.01898),"")</f>
        <v>9.4899999999999998E-2</v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41.050000000000011</v>
      </c>
      <c r="BN413" s="78">
        <f>IFERROR(Y413*I413/H413,"0")</f>
        <v>41.050000000000011</v>
      </c>
      <c r="BO413" s="78">
        <f>IFERROR(1/J413*(X413/H413),"0")</f>
        <v>7.8125E-2</v>
      </c>
      <c r="BP413" s="78">
        <f>IFERROR(1/J413*(Y413/H413),"0")</f>
        <v>7.8125E-2</v>
      </c>
    </row>
    <row r="414" spans="1:68" x14ac:dyDescent="0.2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8"/>
      <c r="P414" s="724" t="s">
        <v>40</v>
      </c>
      <c r="Q414" s="725"/>
      <c r="R414" s="725"/>
      <c r="S414" s="725"/>
      <c r="T414" s="725"/>
      <c r="U414" s="725"/>
      <c r="V414" s="726"/>
      <c r="W414" s="42" t="s">
        <v>39</v>
      </c>
      <c r="X414" s="43">
        <f>IFERROR(X412/H412,"0")+IFERROR(X413/H413,"0")</f>
        <v>10</v>
      </c>
      <c r="Y414" s="43">
        <f>IFERROR(Y412/H412,"0")+IFERROR(Y413/H413,"0")</f>
        <v>10</v>
      </c>
      <c r="Z414" s="43">
        <f>IFERROR(IF(Z412="",0,Z412),"0")+IFERROR(IF(Z413="",0,Z413),"0")</f>
        <v>0.1898</v>
      </c>
      <c r="AA414" s="67"/>
      <c r="AB414" s="67"/>
      <c r="AC414" s="67"/>
    </row>
    <row r="415" spans="1:68" x14ac:dyDescent="0.2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8"/>
      <c r="P415" s="724" t="s">
        <v>40</v>
      </c>
      <c r="Q415" s="725"/>
      <c r="R415" s="725"/>
      <c r="S415" s="725"/>
      <c r="T415" s="725"/>
      <c r="U415" s="725"/>
      <c r="V415" s="726"/>
      <c r="W415" s="42" t="s">
        <v>0</v>
      </c>
      <c r="X415" s="43">
        <f>IFERROR(SUM(X412:X413),"0")</f>
        <v>78</v>
      </c>
      <c r="Y415" s="43">
        <f>IFERROR(SUM(Y412:Y413),"0")</f>
        <v>78</v>
      </c>
      <c r="Z415" s="42"/>
      <c r="AA415" s="67"/>
      <c r="AB415" s="67"/>
      <c r="AC415" s="67"/>
    </row>
    <row r="416" spans="1:68" ht="16.5" hidden="1" customHeight="1" x14ac:dyDescent="0.25">
      <c r="A416" s="717" t="s">
        <v>691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5"/>
      <c r="AB416" s="65"/>
      <c r="AC416" s="79"/>
    </row>
    <row r="417" spans="1:68" ht="14.25" hidden="1" customHeight="1" x14ac:dyDescent="0.25">
      <c r="A417" s="718" t="s">
        <v>86</v>
      </c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4301051489</v>
      </c>
      <c r="D418" s="719">
        <v>4607091387919</v>
      </c>
      <c r="E418" s="719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21"/>
      <c r="R418" s="721"/>
      <c r="S418" s="721"/>
      <c r="T418" s="722"/>
      <c r="U418" s="39" t="s">
        <v>46</v>
      </c>
      <c r="V418" s="39" t="s">
        <v>46</v>
      </c>
      <c r="W418" s="40" t="s">
        <v>0</v>
      </c>
      <c r="X418" s="58">
        <v>162</v>
      </c>
      <c r="Y418" s="55">
        <f>IFERROR(IF(X418="",0,CEILING((X418/$H418),1)*$H418),"")</f>
        <v>162</v>
      </c>
      <c r="Z418" s="41">
        <f>IFERROR(IF(Y418=0,"",ROUNDUP(Y418/H418,0)*0.01898),"")</f>
        <v>0.37959999999999999</v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171.88</v>
      </c>
      <c r="BN418" s="78">
        <f>IFERROR(Y418*I418/H418,"0")</f>
        <v>171.88</v>
      </c>
      <c r="BO418" s="78">
        <f>IFERROR(1/J418*(X418/H418),"0")</f>
        <v>0.3125</v>
      </c>
      <c r="BP418" s="78">
        <f>IFERROR(1/J418*(Y418/H418),"0")</f>
        <v>0.3125</v>
      </c>
    </row>
    <row r="419" spans="1:68" ht="27" customHeight="1" x14ac:dyDescent="0.25">
      <c r="A419" s="63" t="s">
        <v>695</v>
      </c>
      <c r="B419" s="63" t="s">
        <v>696</v>
      </c>
      <c r="C419" s="36">
        <v>4301051461</v>
      </c>
      <c r="D419" s="719">
        <v>4680115883604</v>
      </c>
      <c r="E419" s="719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21"/>
      <c r="R419" s="721"/>
      <c r="S419" s="721"/>
      <c r="T419" s="722"/>
      <c r="U419" s="39" t="s">
        <v>46</v>
      </c>
      <c r="V419" s="39" t="s">
        <v>46</v>
      </c>
      <c r="W419" s="40" t="s">
        <v>0</v>
      </c>
      <c r="X419" s="58">
        <v>12.6</v>
      </c>
      <c r="Y419" s="55">
        <f>IFERROR(IF(X419="",0,CEILING((X419/$H419),1)*$H419),"")</f>
        <v>12.600000000000001</v>
      </c>
      <c r="Z419" s="41">
        <f>IFERROR(IF(Y419=0,"",ROUNDUP(Y419/H419,0)*0.00651),"")</f>
        <v>3.9059999999999997E-2</v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14.111999999999998</v>
      </c>
      <c r="BN419" s="78">
        <f>IFERROR(Y419*I419/H419,"0")</f>
        <v>14.112</v>
      </c>
      <c r="BO419" s="78">
        <f>IFERROR(1/J419*(X419/H419),"0")</f>
        <v>3.2967032967032968E-2</v>
      </c>
      <c r="BP419" s="78">
        <f>IFERROR(1/J419*(Y419/H419),"0")</f>
        <v>3.2967032967032968E-2</v>
      </c>
    </row>
    <row r="420" spans="1:68" ht="27" customHeight="1" x14ac:dyDescent="0.25">
      <c r="A420" s="63" t="s">
        <v>698</v>
      </c>
      <c r="B420" s="63" t="s">
        <v>699</v>
      </c>
      <c r="C420" s="36">
        <v>4301051864</v>
      </c>
      <c r="D420" s="719">
        <v>4680115883567</v>
      </c>
      <c r="E420" s="719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21"/>
      <c r="R420" s="721"/>
      <c r="S420" s="721"/>
      <c r="T420" s="722"/>
      <c r="U420" s="39" t="s">
        <v>46</v>
      </c>
      <c r="V420" s="39" t="s">
        <v>46</v>
      </c>
      <c r="W420" s="40" t="s">
        <v>0</v>
      </c>
      <c r="X420" s="58">
        <v>12.6</v>
      </c>
      <c r="Y420" s="55">
        <f>IFERROR(IF(X420="",0,CEILING((X420/$H420),1)*$H420),"")</f>
        <v>12.600000000000001</v>
      </c>
      <c r="Z420" s="41">
        <f>IFERROR(IF(Y420=0,"",ROUNDUP(Y420/H420,0)*0.00651),"")</f>
        <v>3.9059999999999997E-2</v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14.04</v>
      </c>
      <c r="BN420" s="78">
        <f>IFERROR(Y420*I420/H420,"0")</f>
        <v>14.040000000000001</v>
      </c>
      <c r="BO420" s="78">
        <f>IFERROR(1/J420*(X420/H420),"0")</f>
        <v>3.2967032967032968E-2</v>
      </c>
      <c r="BP420" s="78">
        <f>IFERROR(1/J420*(Y420/H420),"0")</f>
        <v>3.2967032967032968E-2</v>
      </c>
    </row>
    <row r="421" spans="1:68" x14ac:dyDescent="0.2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8"/>
      <c r="P421" s="724" t="s">
        <v>40</v>
      </c>
      <c r="Q421" s="725"/>
      <c r="R421" s="725"/>
      <c r="S421" s="725"/>
      <c r="T421" s="725"/>
      <c r="U421" s="725"/>
      <c r="V421" s="726"/>
      <c r="W421" s="42" t="s">
        <v>39</v>
      </c>
      <c r="X421" s="43">
        <f>IFERROR(X418/H418,"0")+IFERROR(X419/H419,"0")+IFERROR(X420/H420,"0")</f>
        <v>32</v>
      </c>
      <c r="Y421" s="43">
        <f>IFERROR(Y418/H418,"0")+IFERROR(Y419/H419,"0")+IFERROR(Y420/H420,"0")</f>
        <v>32</v>
      </c>
      <c r="Z421" s="43">
        <f>IFERROR(IF(Z418="",0,Z418),"0")+IFERROR(IF(Z419="",0,Z419),"0")+IFERROR(IF(Z420="",0,Z420),"0")</f>
        <v>0.45771999999999996</v>
      </c>
      <c r="AA421" s="67"/>
      <c r="AB421" s="67"/>
      <c r="AC421" s="67"/>
    </row>
    <row r="422" spans="1:68" x14ac:dyDescent="0.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8"/>
      <c r="P422" s="724" t="s">
        <v>40</v>
      </c>
      <c r="Q422" s="725"/>
      <c r="R422" s="725"/>
      <c r="S422" s="725"/>
      <c r="T422" s="725"/>
      <c r="U422" s="725"/>
      <c r="V422" s="726"/>
      <c r="W422" s="42" t="s">
        <v>0</v>
      </c>
      <c r="X422" s="43">
        <f>IFERROR(SUM(X418:X420),"0")</f>
        <v>187.2</v>
      </c>
      <c r="Y422" s="43">
        <f>IFERROR(SUM(Y418:Y420),"0")</f>
        <v>187.2</v>
      </c>
      <c r="Z422" s="42"/>
      <c r="AA422" s="67"/>
      <c r="AB422" s="67"/>
      <c r="AC422" s="67"/>
    </row>
    <row r="423" spans="1:68" ht="27.75" hidden="1" customHeight="1" x14ac:dyDescent="0.2">
      <c r="A423" s="716" t="s">
        <v>701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  <c r="AA423" s="54"/>
      <c r="AB423" s="54"/>
      <c r="AC423" s="54"/>
    </row>
    <row r="424" spans="1:68" ht="16.5" hidden="1" customHeight="1" x14ac:dyDescent="0.25">
      <c r="A424" s="717" t="s">
        <v>702</v>
      </c>
      <c r="B424" s="717"/>
      <c r="C424" s="717"/>
      <c r="D424" s="717"/>
      <c r="E424" s="717"/>
      <c r="F424" s="717"/>
      <c r="G424" s="717"/>
      <c r="H424" s="717"/>
      <c r="I424" s="717"/>
      <c r="J424" s="717"/>
      <c r="K424" s="717"/>
      <c r="L424" s="717"/>
      <c r="M424" s="717"/>
      <c r="N424" s="717"/>
      <c r="O424" s="717"/>
      <c r="P424" s="717"/>
      <c r="Q424" s="717"/>
      <c r="R424" s="717"/>
      <c r="S424" s="717"/>
      <c r="T424" s="717"/>
      <c r="U424" s="717"/>
      <c r="V424" s="717"/>
      <c r="W424" s="717"/>
      <c r="X424" s="717"/>
      <c r="Y424" s="717"/>
      <c r="Z424" s="717"/>
      <c r="AA424" s="65"/>
      <c r="AB424" s="65"/>
      <c r="AC424" s="79"/>
    </row>
    <row r="425" spans="1:68" ht="14.25" hidden="1" customHeight="1" x14ac:dyDescent="0.25">
      <c r="A425" s="718" t="s">
        <v>122</v>
      </c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719">
        <v>4680115888401</v>
      </c>
      <c r="E426" s="71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4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21"/>
      <c r="R426" s="721"/>
      <c r="S426" s="721"/>
      <c r="T426" s="72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719">
        <v>4680115884847</v>
      </c>
      <c r="E427" s="71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21"/>
      <c r="R427" s="721"/>
      <c r="S427" s="721"/>
      <c r="T427" s="72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719">
        <v>4680115884854</v>
      </c>
      <c r="E428" s="71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5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21"/>
      <c r="R428" s="721"/>
      <c r="S428" s="721"/>
      <c r="T428" s="722"/>
      <c r="U428" s="39" t="s">
        <v>46</v>
      </c>
      <c r="V428" s="39" t="s">
        <v>46</v>
      </c>
      <c r="W428" s="40" t="s">
        <v>0</v>
      </c>
      <c r="X428" s="58">
        <v>720</v>
      </c>
      <c r="Y428" s="55">
        <f t="shared" si="68"/>
        <v>720</v>
      </c>
      <c r="Z428" s="41">
        <f>IFERROR(IF(Y428=0,"",ROUNDUP(Y428/H428,0)*0.02175),"")</f>
        <v>1.044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742.56</v>
      </c>
      <c r="BN428" s="78">
        <f t="shared" si="70"/>
        <v>742.56</v>
      </c>
      <c r="BO428" s="78">
        <f t="shared" si="71"/>
        <v>1</v>
      </c>
      <c r="BP428" s="78">
        <f t="shared" si="72"/>
        <v>1</v>
      </c>
    </row>
    <row r="429" spans="1:68" ht="27" customHeight="1" x14ac:dyDescent="0.25">
      <c r="A429" s="63" t="s">
        <v>712</v>
      </c>
      <c r="B429" s="63" t="s">
        <v>713</v>
      </c>
      <c r="C429" s="36">
        <v>4301011867</v>
      </c>
      <c r="D429" s="719">
        <v>4680115884830</v>
      </c>
      <c r="E429" s="719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21"/>
      <c r="R429" s="721"/>
      <c r="S429" s="721"/>
      <c r="T429" s="722"/>
      <c r="U429" s="39" t="s">
        <v>46</v>
      </c>
      <c r="V429" s="39" t="s">
        <v>46</v>
      </c>
      <c r="W429" s="40" t="s">
        <v>0</v>
      </c>
      <c r="X429" s="58">
        <v>1440</v>
      </c>
      <c r="Y429" s="55">
        <f t="shared" si="68"/>
        <v>1440</v>
      </c>
      <c r="Z429" s="41">
        <f>IFERROR(IF(Y429=0,"",ROUNDUP(Y429/H429,0)*0.02175),"")</f>
        <v>2.0880000000000001</v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1485.12</v>
      </c>
      <c r="BN429" s="78">
        <f t="shared" si="70"/>
        <v>1485.12</v>
      </c>
      <c r="BO429" s="78">
        <f t="shared" si="71"/>
        <v>2</v>
      </c>
      <c r="BP429" s="78">
        <f t="shared" si="72"/>
        <v>2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719">
        <v>4680115889231</v>
      </c>
      <c r="E430" s="719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21"/>
      <c r="R430" s="721"/>
      <c r="S430" s="721"/>
      <c r="T430" s="72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719">
        <v>4680115882638</v>
      </c>
      <c r="E431" s="71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21"/>
      <c r="R431" s="721"/>
      <c r="S431" s="721"/>
      <c r="T431" s="72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719">
        <v>4680115884922</v>
      </c>
      <c r="E432" s="719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21"/>
      <c r="R432" s="721"/>
      <c r="S432" s="721"/>
      <c r="T432" s="722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719">
        <v>4680115884861</v>
      </c>
      <c r="E433" s="719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21"/>
      <c r="R433" s="721"/>
      <c r="S433" s="721"/>
      <c r="T433" s="722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8"/>
      <c r="P434" s="724" t="s">
        <v>40</v>
      </c>
      <c r="Q434" s="725"/>
      <c r="R434" s="725"/>
      <c r="S434" s="725"/>
      <c r="T434" s="725"/>
      <c r="U434" s="725"/>
      <c r="V434" s="726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144</v>
      </c>
      <c r="Y434" s="43">
        <f>IFERROR(Y426/H426,"0")+IFERROR(Y427/H427,"0")+IFERROR(Y428/H428,"0")+IFERROR(Y429/H429,"0")+IFERROR(Y430/H430,"0")+IFERROR(Y431/H431,"0")+IFERROR(Y432/H432,"0")+IFERROR(Y433/H433,"0")</f>
        <v>144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3.1320000000000001</v>
      </c>
      <c r="AA434" s="67"/>
      <c r="AB434" s="67"/>
      <c r="AC434" s="67"/>
    </row>
    <row r="435" spans="1:68" x14ac:dyDescent="0.2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8"/>
      <c r="P435" s="724" t="s">
        <v>40</v>
      </c>
      <c r="Q435" s="725"/>
      <c r="R435" s="725"/>
      <c r="S435" s="725"/>
      <c r="T435" s="725"/>
      <c r="U435" s="725"/>
      <c r="V435" s="726"/>
      <c r="W435" s="42" t="s">
        <v>0</v>
      </c>
      <c r="X435" s="43">
        <f>IFERROR(SUM(X426:X433),"0")</f>
        <v>2160</v>
      </c>
      <c r="Y435" s="43">
        <f>IFERROR(SUM(Y426:Y433),"0")</f>
        <v>2160</v>
      </c>
      <c r="Z435" s="42"/>
      <c r="AA435" s="67"/>
      <c r="AB435" s="67"/>
      <c r="AC435" s="67"/>
    </row>
    <row r="436" spans="1:68" ht="14.25" hidden="1" customHeight="1" x14ac:dyDescent="0.25">
      <c r="A436" s="718" t="s">
        <v>157</v>
      </c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719">
        <v>4607091383980</v>
      </c>
      <c r="E437" s="71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5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21"/>
      <c r="R437" s="721"/>
      <c r="S437" s="721"/>
      <c r="T437" s="722"/>
      <c r="U437" s="39" t="s">
        <v>46</v>
      </c>
      <c r="V437" s="39" t="s">
        <v>46</v>
      </c>
      <c r="W437" s="40" t="s">
        <v>0</v>
      </c>
      <c r="X437" s="58">
        <v>720</v>
      </c>
      <c r="Y437" s="55">
        <f>IFERROR(IF(X437="",0,CEILING((X437/$H437),1)*$H437),"")</f>
        <v>720</v>
      </c>
      <c r="Z437" s="41">
        <f>IFERROR(IF(Y437=0,"",ROUNDUP(Y437/H437,0)*0.02175),"")</f>
        <v>1.044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742.56</v>
      </c>
      <c r="BN437" s="78">
        <f>IFERROR(Y437*I437/H437,"0")</f>
        <v>742.56</v>
      </c>
      <c r="BO437" s="78">
        <f>IFERROR(1/J437*(X437/H437),"0")</f>
        <v>1</v>
      </c>
      <c r="BP437" s="78">
        <f>IFERROR(1/J437*(Y437/H437),"0")</f>
        <v>1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719">
        <v>4680115888425</v>
      </c>
      <c r="E438" s="71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21"/>
      <c r="R438" s="721"/>
      <c r="S438" s="721"/>
      <c r="T438" s="7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719">
        <v>4607091384178</v>
      </c>
      <c r="E439" s="719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21"/>
      <c r="R439" s="721"/>
      <c r="S439" s="721"/>
      <c r="T439" s="72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8"/>
      <c r="P440" s="724" t="s">
        <v>40</v>
      </c>
      <c r="Q440" s="725"/>
      <c r="R440" s="725"/>
      <c r="S440" s="725"/>
      <c r="T440" s="725"/>
      <c r="U440" s="725"/>
      <c r="V440" s="726"/>
      <c r="W440" s="42" t="s">
        <v>39</v>
      </c>
      <c r="X440" s="43">
        <f>IFERROR(X437/H437,"0")+IFERROR(X438/H438,"0")+IFERROR(X439/H439,"0")</f>
        <v>48</v>
      </c>
      <c r="Y440" s="43">
        <f>IFERROR(Y437/H437,"0")+IFERROR(Y438/H438,"0")+IFERROR(Y439/H439,"0")</f>
        <v>48</v>
      </c>
      <c r="Z440" s="43">
        <f>IFERROR(IF(Z437="",0,Z437),"0")+IFERROR(IF(Z438="",0,Z438),"0")+IFERROR(IF(Z439="",0,Z439),"0")</f>
        <v>1.044</v>
      </c>
      <c r="AA440" s="67"/>
      <c r="AB440" s="67"/>
      <c r="AC440" s="67"/>
    </row>
    <row r="441" spans="1:68" x14ac:dyDescent="0.2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8"/>
      <c r="P441" s="724" t="s">
        <v>40</v>
      </c>
      <c r="Q441" s="725"/>
      <c r="R441" s="725"/>
      <c r="S441" s="725"/>
      <c r="T441" s="725"/>
      <c r="U441" s="725"/>
      <c r="V441" s="726"/>
      <c r="W441" s="42" t="s">
        <v>0</v>
      </c>
      <c r="X441" s="43">
        <f>IFERROR(SUM(X437:X439),"0")</f>
        <v>720</v>
      </c>
      <c r="Y441" s="43">
        <f>IFERROR(SUM(Y437:Y439),"0")</f>
        <v>720</v>
      </c>
      <c r="Z441" s="42"/>
      <c r="AA441" s="67"/>
      <c r="AB441" s="67"/>
      <c r="AC441" s="67"/>
    </row>
    <row r="442" spans="1:68" ht="14.25" hidden="1" customHeight="1" x14ac:dyDescent="0.25">
      <c r="A442" s="718" t="s">
        <v>86</v>
      </c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719">
        <v>4607091383928</v>
      </c>
      <c r="E443" s="719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21"/>
      <c r="R443" s="721"/>
      <c r="S443" s="721"/>
      <c r="T443" s="72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739</v>
      </c>
      <c r="B444" s="63" t="s">
        <v>740</v>
      </c>
      <c r="C444" s="36">
        <v>4301051897</v>
      </c>
      <c r="D444" s="719">
        <v>4607091384260</v>
      </c>
      <c r="E444" s="71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6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21"/>
      <c r="R444" s="721"/>
      <c r="S444" s="721"/>
      <c r="T444" s="722"/>
      <c r="U444" s="39" t="s">
        <v>46</v>
      </c>
      <c r="V444" s="39" t="s">
        <v>46</v>
      </c>
      <c r="W444" s="40" t="s">
        <v>0</v>
      </c>
      <c r="X444" s="58">
        <v>36</v>
      </c>
      <c r="Y444" s="55">
        <f>IFERROR(IF(X444="",0,CEILING((X444/$H444),1)*$H444),"")</f>
        <v>36</v>
      </c>
      <c r="Z444" s="41">
        <f>IFERROR(IF(Y444=0,"",ROUNDUP(Y444/H444,0)*0.01898),"")</f>
        <v>7.5920000000000001E-2</v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37.975999999999999</v>
      </c>
      <c r="BN444" s="78">
        <f>IFERROR(Y444*I444/H444,"0")</f>
        <v>37.975999999999999</v>
      </c>
      <c r="BO444" s="78">
        <f>IFERROR(1/J444*(X444/H444),"0")</f>
        <v>6.25E-2</v>
      </c>
      <c r="BP444" s="78">
        <f>IFERROR(1/J444*(Y444/H444),"0")</f>
        <v>6.25E-2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719">
        <v>4680115889538</v>
      </c>
      <c r="E445" s="719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6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21"/>
      <c r="R445" s="721"/>
      <c r="S445" s="721"/>
      <c r="T445" s="72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8"/>
      <c r="P446" s="724" t="s">
        <v>40</v>
      </c>
      <c r="Q446" s="725"/>
      <c r="R446" s="725"/>
      <c r="S446" s="725"/>
      <c r="T446" s="725"/>
      <c r="U446" s="725"/>
      <c r="V446" s="726"/>
      <c r="W446" s="42" t="s">
        <v>39</v>
      </c>
      <c r="X446" s="43">
        <f>IFERROR(X443/H443,"0")+IFERROR(X444/H444,"0")+IFERROR(X445/H445,"0")</f>
        <v>4</v>
      </c>
      <c r="Y446" s="43">
        <f>IFERROR(Y443/H443,"0")+IFERROR(Y444/H444,"0")+IFERROR(Y445/H445,"0")</f>
        <v>4</v>
      </c>
      <c r="Z446" s="43">
        <f>IFERROR(IF(Z443="",0,Z443),"0")+IFERROR(IF(Z444="",0,Z444),"0")+IFERROR(IF(Z445="",0,Z445),"0")</f>
        <v>7.5920000000000001E-2</v>
      </c>
      <c r="AA446" s="67"/>
      <c r="AB446" s="67"/>
      <c r="AC446" s="67"/>
    </row>
    <row r="447" spans="1:68" x14ac:dyDescent="0.2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8"/>
      <c r="P447" s="724" t="s">
        <v>40</v>
      </c>
      <c r="Q447" s="725"/>
      <c r="R447" s="725"/>
      <c r="S447" s="725"/>
      <c r="T447" s="725"/>
      <c r="U447" s="725"/>
      <c r="V447" s="726"/>
      <c r="W447" s="42" t="s">
        <v>0</v>
      </c>
      <c r="X447" s="43">
        <f>IFERROR(SUM(X443:X445),"0")</f>
        <v>36</v>
      </c>
      <c r="Y447" s="43">
        <f>IFERROR(SUM(Y443:Y445),"0")</f>
        <v>36</v>
      </c>
      <c r="Z447" s="42"/>
      <c r="AA447" s="67"/>
      <c r="AB447" s="67"/>
      <c r="AC447" s="67"/>
    </row>
    <row r="448" spans="1:68" ht="14.25" hidden="1" customHeight="1" x14ac:dyDescent="0.25">
      <c r="A448" s="718" t="s">
        <v>175</v>
      </c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719">
        <v>4680115889545</v>
      </c>
      <c r="E449" s="719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21"/>
      <c r="R449" s="721"/>
      <c r="S449" s="721"/>
      <c r="T449" s="72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719">
        <v>4607091384673</v>
      </c>
      <c r="E450" s="719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21"/>
      <c r="R450" s="721"/>
      <c r="S450" s="721"/>
      <c r="T450" s="72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8"/>
      <c r="P451" s="724" t="s">
        <v>40</v>
      </c>
      <c r="Q451" s="725"/>
      <c r="R451" s="725"/>
      <c r="S451" s="725"/>
      <c r="T451" s="725"/>
      <c r="U451" s="725"/>
      <c r="V451" s="726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8"/>
      <c r="P452" s="724" t="s">
        <v>40</v>
      </c>
      <c r="Q452" s="725"/>
      <c r="R452" s="725"/>
      <c r="S452" s="725"/>
      <c r="T452" s="725"/>
      <c r="U452" s="725"/>
      <c r="V452" s="726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717" t="s">
        <v>751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5"/>
      <c r="AB453" s="65"/>
      <c r="AC453" s="79"/>
    </row>
    <row r="454" spans="1:68" ht="14.25" hidden="1" customHeight="1" x14ac:dyDescent="0.25">
      <c r="A454" s="718" t="s">
        <v>122</v>
      </c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719">
        <v>4680115884885</v>
      </c>
      <c r="E455" s="719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6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21"/>
      <c r="R455" s="721"/>
      <c r="S455" s="721"/>
      <c r="T455" s="72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719">
        <v>4680115884908</v>
      </c>
      <c r="E456" s="719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6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21"/>
      <c r="R456" s="721"/>
      <c r="S456" s="721"/>
      <c r="T456" s="72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8"/>
      <c r="P457" s="724" t="s">
        <v>40</v>
      </c>
      <c r="Q457" s="725"/>
      <c r="R457" s="725"/>
      <c r="S457" s="725"/>
      <c r="T457" s="725"/>
      <c r="U457" s="725"/>
      <c r="V457" s="726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8"/>
      <c r="P458" s="724" t="s">
        <v>40</v>
      </c>
      <c r="Q458" s="725"/>
      <c r="R458" s="725"/>
      <c r="S458" s="725"/>
      <c r="T458" s="725"/>
      <c r="U458" s="725"/>
      <c r="V458" s="726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18" t="s">
        <v>77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719">
        <v>4607091384802</v>
      </c>
      <c r="E460" s="719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6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21"/>
      <c r="R460" s="721"/>
      <c r="S460" s="721"/>
      <c r="T460" s="7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8"/>
      <c r="P461" s="724" t="s">
        <v>40</v>
      </c>
      <c r="Q461" s="725"/>
      <c r="R461" s="725"/>
      <c r="S461" s="725"/>
      <c r="T461" s="725"/>
      <c r="U461" s="725"/>
      <c r="V461" s="726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8"/>
      <c r="P462" s="724" t="s">
        <v>40</v>
      </c>
      <c r="Q462" s="725"/>
      <c r="R462" s="725"/>
      <c r="S462" s="725"/>
      <c r="T462" s="725"/>
      <c r="U462" s="725"/>
      <c r="V462" s="726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718" t="s">
        <v>86</v>
      </c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719">
        <v>4607091384246</v>
      </c>
      <c r="E464" s="719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21"/>
      <c r="R464" s="721"/>
      <c r="S464" s="721"/>
      <c r="T464" s="72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719">
        <v>4607091384253</v>
      </c>
      <c r="E465" s="719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21"/>
      <c r="R465" s="721"/>
      <c r="S465" s="721"/>
      <c r="T465" s="72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719">
        <v>4607091384253</v>
      </c>
      <c r="E466" s="719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21"/>
      <c r="R466" s="721"/>
      <c r="S466" s="721"/>
      <c r="T466" s="72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8"/>
      <c r="P467" s="724" t="s">
        <v>40</v>
      </c>
      <c r="Q467" s="725"/>
      <c r="R467" s="725"/>
      <c r="S467" s="725"/>
      <c r="T467" s="725"/>
      <c r="U467" s="725"/>
      <c r="V467" s="726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8"/>
      <c r="P468" s="724" t="s">
        <v>40</v>
      </c>
      <c r="Q468" s="725"/>
      <c r="R468" s="725"/>
      <c r="S468" s="725"/>
      <c r="T468" s="725"/>
      <c r="U468" s="725"/>
      <c r="V468" s="726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716" t="s">
        <v>767</v>
      </c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  <c r="AA469" s="54"/>
      <c r="AB469" s="54"/>
      <c r="AC469" s="54"/>
    </row>
    <row r="470" spans="1:68" ht="16.5" hidden="1" customHeight="1" x14ac:dyDescent="0.25">
      <c r="A470" s="717" t="s">
        <v>768</v>
      </c>
      <c r="B470" s="717"/>
      <c r="C470" s="717"/>
      <c r="D470" s="717"/>
      <c r="E470" s="717"/>
      <c r="F470" s="717"/>
      <c r="G470" s="717"/>
      <c r="H470" s="717"/>
      <c r="I470" s="717"/>
      <c r="J470" s="717"/>
      <c r="K470" s="717"/>
      <c r="L470" s="717"/>
      <c r="M470" s="717"/>
      <c r="N470" s="717"/>
      <c r="O470" s="717"/>
      <c r="P470" s="717"/>
      <c r="Q470" s="717"/>
      <c r="R470" s="717"/>
      <c r="S470" s="717"/>
      <c r="T470" s="717"/>
      <c r="U470" s="717"/>
      <c r="V470" s="717"/>
      <c r="W470" s="717"/>
      <c r="X470" s="717"/>
      <c r="Y470" s="717"/>
      <c r="Z470" s="717"/>
      <c r="AA470" s="65"/>
      <c r="AB470" s="65"/>
      <c r="AC470" s="79"/>
    </row>
    <row r="471" spans="1:68" ht="14.25" hidden="1" customHeight="1" x14ac:dyDescent="0.25">
      <c r="A471" s="718" t="s">
        <v>77</v>
      </c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719">
        <v>4680115886100</v>
      </c>
      <c r="E472" s="719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21"/>
      <c r="R472" s="721"/>
      <c r="S472" s="721"/>
      <c r="T472" s="72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719">
        <v>4680115886124</v>
      </c>
      <c r="E473" s="719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21"/>
      <c r="R473" s="721"/>
      <c r="S473" s="721"/>
      <c r="T473" s="72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719">
        <v>4607091384338</v>
      </c>
      <c r="E474" s="71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21"/>
      <c r="R474" s="721"/>
      <c r="S474" s="721"/>
      <c r="T474" s="72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719">
        <v>4680115883161</v>
      </c>
      <c r="E475" s="719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7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21"/>
      <c r="R475" s="721"/>
      <c r="S475" s="721"/>
      <c r="T475" s="72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719">
        <v>4607091389531</v>
      </c>
      <c r="E476" s="719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21"/>
      <c r="R476" s="721"/>
      <c r="S476" s="721"/>
      <c r="T476" s="72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719">
        <v>4607091384345</v>
      </c>
      <c r="E477" s="719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21"/>
      <c r="R477" s="721"/>
      <c r="S477" s="721"/>
      <c r="T477" s="72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8"/>
      <c r="P478" s="724" t="s">
        <v>40</v>
      </c>
      <c r="Q478" s="725"/>
      <c r="R478" s="725"/>
      <c r="S478" s="725"/>
      <c r="T478" s="725"/>
      <c r="U478" s="725"/>
      <c r="V478" s="726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8"/>
      <c r="P479" s="724" t="s">
        <v>40</v>
      </c>
      <c r="Q479" s="725"/>
      <c r="R479" s="725"/>
      <c r="S479" s="725"/>
      <c r="T479" s="725"/>
      <c r="U479" s="725"/>
      <c r="V479" s="726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718" t="s">
        <v>86</v>
      </c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719">
        <v>4607091384352</v>
      </c>
      <c r="E481" s="719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21"/>
      <c r="R481" s="721"/>
      <c r="S481" s="721"/>
      <c r="T481" s="722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719">
        <v>4607091389654</v>
      </c>
      <c r="E482" s="719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21"/>
      <c r="R482" s="721"/>
      <c r="S482" s="721"/>
      <c r="T482" s="722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8"/>
      <c r="P483" s="724" t="s">
        <v>40</v>
      </c>
      <c r="Q483" s="725"/>
      <c r="R483" s="725"/>
      <c r="S483" s="725"/>
      <c r="T483" s="725"/>
      <c r="U483" s="725"/>
      <c r="V483" s="726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8"/>
      <c r="P484" s="724" t="s">
        <v>40</v>
      </c>
      <c r="Q484" s="725"/>
      <c r="R484" s="725"/>
      <c r="S484" s="725"/>
      <c r="T484" s="725"/>
      <c r="U484" s="725"/>
      <c r="V484" s="726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717" t="s">
        <v>791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5"/>
      <c r="AB485" s="65"/>
      <c r="AC485" s="79"/>
    </row>
    <row r="486" spans="1:68" ht="14.25" hidden="1" customHeight="1" x14ac:dyDescent="0.25">
      <c r="A486" s="718" t="s">
        <v>157</v>
      </c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719">
        <v>4680115885240</v>
      </c>
      <c r="E487" s="719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21"/>
      <c r="R487" s="721"/>
      <c r="S487" s="721"/>
      <c r="T487" s="72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8"/>
      <c r="P488" s="724" t="s">
        <v>40</v>
      </c>
      <c r="Q488" s="725"/>
      <c r="R488" s="725"/>
      <c r="S488" s="725"/>
      <c r="T488" s="725"/>
      <c r="U488" s="725"/>
      <c r="V488" s="726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8"/>
      <c r="P489" s="724" t="s">
        <v>40</v>
      </c>
      <c r="Q489" s="725"/>
      <c r="R489" s="725"/>
      <c r="S489" s="725"/>
      <c r="T489" s="725"/>
      <c r="U489" s="725"/>
      <c r="V489" s="726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8" t="s">
        <v>77</v>
      </c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719">
        <v>4680115886094</v>
      </c>
      <c r="E491" s="719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21"/>
      <c r="R491" s="721"/>
      <c r="S491" s="721"/>
      <c r="T491" s="72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719">
        <v>4680115880771</v>
      </c>
      <c r="E492" s="719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21"/>
      <c r="R492" s="721"/>
      <c r="S492" s="721"/>
      <c r="T492" s="722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719">
        <v>4607091389500</v>
      </c>
      <c r="E493" s="719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21"/>
      <c r="R493" s="721"/>
      <c r="S493" s="721"/>
      <c r="T493" s="722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8"/>
      <c r="P494" s="724" t="s">
        <v>40</v>
      </c>
      <c r="Q494" s="725"/>
      <c r="R494" s="725"/>
      <c r="S494" s="725"/>
      <c r="T494" s="725"/>
      <c r="U494" s="725"/>
      <c r="V494" s="726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8"/>
      <c r="P495" s="724" t="s">
        <v>40</v>
      </c>
      <c r="Q495" s="725"/>
      <c r="R495" s="725"/>
      <c r="S495" s="725"/>
      <c r="T495" s="725"/>
      <c r="U495" s="725"/>
      <c r="V495" s="726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716" t="s">
        <v>803</v>
      </c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  <c r="AA496" s="54"/>
      <c r="AB496" s="54"/>
      <c r="AC496" s="54"/>
    </row>
    <row r="497" spans="1:68" ht="16.5" hidden="1" customHeight="1" x14ac:dyDescent="0.25">
      <c r="A497" s="717" t="s">
        <v>803</v>
      </c>
      <c r="B497" s="717"/>
      <c r="C497" s="717"/>
      <c r="D497" s="717"/>
      <c r="E497" s="717"/>
      <c r="F497" s="717"/>
      <c r="G497" s="717"/>
      <c r="H497" s="717"/>
      <c r="I497" s="717"/>
      <c r="J497" s="717"/>
      <c r="K497" s="717"/>
      <c r="L497" s="717"/>
      <c r="M497" s="717"/>
      <c r="N497" s="717"/>
      <c r="O497" s="717"/>
      <c r="P497" s="717"/>
      <c r="Q497" s="717"/>
      <c r="R497" s="717"/>
      <c r="S497" s="717"/>
      <c r="T497" s="717"/>
      <c r="U497" s="717"/>
      <c r="V497" s="717"/>
      <c r="W497" s="717"/>
      <c r="X497" s="717"/>
      <c r="Y497" s="717"/>
      <c r="Z497" s="717"/>
      <c r="AA497" s="65"/>
      <c r="AB497" s="65"/>
      <c r="AC497" s="79"/>
    </row>
    <row r="498" spans="1:68" ht="14.25" hidden="1" customHeight="1" x14ac:dyDescent="0.25">
      <c r="A498" s="718" t="s">
        <v>122</v>
      </c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719">
        <v>4607091389067</v>
      </c>
      <c r="E499" s="71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21"/>
      <c r="R499" s="721"/>
      <c r="S499" s="721"/>
      <c r="T499" s="72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719">
        <v>4680115889576</v>
      </c>
      <c r="E500" s="71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8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21"/>
      <c r="R500" s="721"/>
      <c r="S500" s="721"/>
      <c r="T500" s="7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719">
        <v>4680115885271</v>
      </c>
      <c r="E501" s="71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21"/>
      <c r="R501" s="721"/>
      <c r="S501" s="721"/>
      <c r="T501" s="7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719">
        <v>4680115885226</v>
      </c>
      <c r="E502" s="71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21"/>
      <c r="R502" s="721"/>
      <c r="S502" s="721"/>
      <c r="T502" s="722"/>
      <c r="U502" s="39" t="s">
        <v>46</v>
      </c>
      <c r="V502" s="39" t="s">
        <v>46</v>
      </c>
      <c r="W502" s="40" t="s">
        <v>0</v>
      </c>
      <c r="X502" s="58">
        <v>105.6</v>
      </c>
      <c r="Y502" s="55">
        <f t="shared" si="78"/>
        <v>105.60000000000001</v>
      </c>
      <c r="Z502" s="41">
        <f t="shared" si="79"/>
        <v>0.2392</v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112.59999999999998</v>
      </c>
      <c r="BN502" s="78">
        <f t="shared" si="81"/>
        <v>112.6</v>
      </c>
      <c r="BO502" s="78">
        <f t="shared" si="82"/>
        <v>0.19230769230769229</v>
      </c>
      <c r="BP502" s="78">
        <f t="shared" si="83"/>
        <v>0.19230769230769232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719">
        <v>4680115884502</v>
      </c>
      <c r="E503" s="71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21"/>
      <c r="R503" s="721"/>
      <c r="S503" s="721"/>
      <c r="T503" s="72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818</v>
      </c>
      <c r="B504" s="63" t="s">
        <v>819</v>
      </c>
      <c r="C504" s="36">
        <v>4301011771</v>
      </c>
      <c r="D504" s="719">
        <v>4607091389104</v>
      </c>
      <c r="E504" s="719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21"/>
      <c r="R504" s="721"/>
      <c r="S504" s="721"/>
      <c r="T504" s="722"/>
      <c r="U504" s="39" t="s">
        <v>46</v>
      </c>
      <c r="V504" s="39" t="s">
        <v>46</v>
      </c>
      <c r="W504" s="40" t="s">
        <v>0</v>
      </c>
      <c r="X504" s="58">
        <v>105.6</v>
      </c>
      <c r="Y504" s="55">
        <f t="shared" si="78"/>
        <v>105.60000000000001</v>
      </c>
      <c r="Z504" s="41">
        <f t="shared" si="79"/>
        <v>0.2392</v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112.59999999999998</v>
      </c>
      <c r="BN504" s="78">
        <f t="shared" si="81"/>
        <v>112.6</v>
      </c>
      <c r="BO504" s="78">
        <f t="shared" si="82"/>
        <v>0.19230769230769229</v>
      </c>
      <c r="BP504" s="78">
        <f t="shared" si="83"/>
        <v>0.19230769230769232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719">
        <v>4680115886391</v>
      </c>
      <c r="E505" s="719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21"/>
      <c r="R505" s="721"/>
      <c r="S505" s="721"/>
      <c r="T505" s="72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719">
        <v>4680115880603</v>
      </c>
      <c r="E506" s="719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21"/>
      <c r="R506" s="721"/>
      <c r="S506" s="721"/>
      <c r="T506" s="722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719">
        <v>4607091389982</v>
      </c>
      <c r="E507" s="719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21"/>
      <c r="R507" s="721"/>
      <c r="S507" s="721"/>
      <c r="T507" s="722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8"/>
      <c r="P508" s="724" t="s">
        <v>40</v>
      </c>
      <c r="Q508" s="725"/>
      <c r="R508" s="725"/>
      <c r="S508" s="725"/>
      <c r="T508" s="725"/>
      <c r="U508" s="725"/>
      <c r="V508" s="726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39.999999999999993</v>
      </c>
      <c r="Y508" s="43">
        <f>IFERROR(Y499/H499,"0")+IFERROR(Y500/H500,"0")+IFERROR(Y501/H501,"0")+IFERROR(Y502/H502,"0")+IFERROR(Y503/H503,"0")+IFERROR(Y504/H504,"0")+IFERROR(Y505/H505,"0")+IFERROR(Y506/H506,"0")+IFERROR(Y507/H507,"0")</f>
        <v>40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0.47839999999999999</v>
      </c>
      <c r="AA508" s="67"/>
      <c r="AB508" s="67"/>
      <c r="AC508" s="67"/>
    </row>
    <row r="509" spans="1:68" x14ac:dyDescent="0.2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8"/>
      <c r="P509" s="724" t="s">
        <v>40</v>
      </c>
      <c r="Q509" s="725"/>
      <c r="R509" s="725"/>
      <c r="S509" s="725"/>
      <c r="T509" s="725"/>
      <c r="U509" s="725"/>
      <c r="V509" s="726"/>
      <c r="W509" s="42" t="s">
        <v>0</v>
      </c>
      <c r="X509" s="43">
        <f>IFERROR(SUM(X499:X507),"0")</f>
        <v>211.2</v>
      </c>
      <c r="Y509" s="43">
        <f>IFERROR(SUM(Y499:Y507),"0")</f>
        <v>211.20000000000002</v>
      </c>
      <c r="Z509" s="42"/>
      <c r="AA509" s="67"/>
      <c r="AB509" s="67"/>
      <c r="AC509" s="67"/>
    </row>
    <row r="510" spans="1:68" ht="14.25" hidden="1" customHeight="1" x14ac:dyDescent="0.25">
      <c r="A510" s="718" t="s">
        <v>157</v>
      </c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66"/>
      <c r="AB510" s="66"/>
      <c r="AC510" s="80"/>
    </row>
    <row r="511" spans="1:68" ht="16.5" customHeight="1" x14ac:dyDescent="0.25">
      <c r="A511" s="63" t="s">
        <v>827</v>
      </c>
      <c r="B511" s="63" t="s">
        <v>828</v>
      </c>
      <c r="C511" s="36">
        <v>4301020334</v>
      </c>
      <c r="D511" s="719">
        <v>4607091388930</v>
      </c>
      <c r="E511" s="71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21"/>
      <c r="R511" s="721"/>
      <c r="S511" s="721"/>
      <c r="T511" s="722"/>
      <c r="U511" s="39" t="s">
        <v>46</v>
      </c>
      <c r="V511" s="39" t="s">
        <v>46</v>
      </c>
      <c r="W511" s="40" t="s">
        <v>0</v>
      </c>
      <c r="X511" s="58">
        <v>105.6</v>
      </c>
      <c r="Y511" s="55">
        <f>IFERROR(IF(X511="",0,CEILING((X511/$H511),1)*$H511),"")</f>
        <v>105.60000000000001</v>
      </c>
      <c r="Z511" s="41">
        <f>IFERROR(IF(Y511=0,"",ROUNDUP(Y511/H511,0)*0.01196),"")</f>
        <v>0.2392</v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112.59999999999998</v>
      </c>
      <c r="BN511" s="78">
        <f>IFERROR(Y511*I511/H511,"0")</f>
        <v>112.6</v>
      </c>
      <c r="BO511" s="78">
        <f>IFERROR(1/J511*(X511/H511),"0")</f>
        <v>0.19230769230769229</v>
      </c>
      <c r="BP511" s="78">
        <f>IFERROR(1/J511*(Y511/H511),"0")</f>
        <v>0.19230769230769232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719">
        <v>4680115886407</v>
      </c>
      <c r="E512" s="719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21"/>
      <c r="R512" s="721"/>
      <c r="S512" s="721"/>
      <c r="T512" s="72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719">
        <v>4680115880054</v>
      </c>
      <c r="E513" s="719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21"/>
      <c r="R513" s="721"/>
      <c r="S513" s="721"/>
      <c r="T513" s="72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8"/>
      <c r="P514" s="724" t="s">
        <v>40</v>
      </c>
      <c r="Q514" s="725"/>
      <c r="R514" s="725"/>
      <c r="S514" s="725"/>
      <c r="T514" s="725"/>
      <c r="U514" s="725"/>
      <c r="V514" s="726"/>
      <c r="W514" s="42" t="s">
        <v>39</v>
      </c>
      <c r="X514" s="43">
        <f>IFERROR(X511/H511,"0")+IFERROR(X512/H512,"0")+IFERROR(X513/H513,"0")</f>
        <v>19.999999999999996</v>
      </c>
      <c r="Y514" s="43">
        <f>IFERROR(Y511/H511,"0")+IFERROR(Y512/H512,"0")+IFERROR(Y513/H513,"0")</f>
        <v>20</v>
      </c>
      <c r="Z514" s="43">
        <f>IFERROR(IF(Z511="",0,Z511),"0")+IFERROR(IF(Z512="",0,Z512),"0")+IFERROR(IF(Z513="",0,Z513),"0")</f>
        <v>0.2392</v>
      </c>
      <c r="AA514" s="67"/>
      <c r="AB514" s="67"/>
      <c r="AC514" s="67"/>
    </row>
    <row r="515" spans="1:68" x14ac:dyDescent="0.2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8"/>
      <c r="P515" s="724" t="s">
        <v>40</v>
      </c>
      <c r="Q515" s="725"/>
      <c r="R515" s="725"/>
      <c r="S515" s="725"/>
      <c r="T515" s="725"/>
      <c r="U515" s="725"/>
      <c r="V515" s="726"/>
      <c r="W515" s="42" t="s">
        <v>0</v>
      </c>
      <c r="X515" s="43">
        <f>IFERROR(SUM(X511:X513),"0")</f>
        <v>105.6</v>
      </c>
      <c r="Y515" s="43">
        <f>IFERROR(SUM(Y511:Y513),"0")</f>
        <v>105.60000000000001</v>
      </c>
      <c r="Z515" s="42"/>
      <c r="AA515" s="67"/>
      <c r="AB515" s="67"/>
      <c r="AC515" s="67"/>
    </row>
    <row r="516" spans="1:68" ht="14.25" hidden="1" customHeight="1" x14ac:dyDescent="0.25">
      <c r="A516" s="718" t="s">
        <v>77</v>
      </c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719">
        <v>4680115883116</v>
      </c>
      <c r="E517" s="71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21"/>
      <c r="R517" s="721"/>
      <c r="S517" s="721"/>
      <c r="T517" s="72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customHeight="1" x14ac:dyDescent="0.25">
      <c r="A518" s="63" t="s">
        <v>837</v>
      </c>
      <c r="B518" s="63" t="s">
        <v>838</v>
      </c>
      <c r="C518" s="36">
        <v>4301031350</v>
      </c>
      <c r="D518" s="719">
        <v>4680115883093</v>
      </c>
      <c r="E518" s="719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21"/>
      <c r="R518" s="721"/>
      <c r="S518" s="721"/>
      <c r="T518" s="722"/>
      <c r="U518" s="39" t="s">
        <v>46</v>
      </c>
      <c r="V518" s="39" t="s">
        <v>46</v>
      </c>
      <c r="W518" s="40" t="s">
        <v>0</v>
      </c>
      <c r="X518" s="58">
        <v>52.8</v>
      </c>
      <c r="Y518" s="55">
        <f t="shared" si="84"/>
        <v>52.800000000000004</v>
      </c>
      <c r="Z518" s="41">
        <f>IFERROR(IF(Y518=0,"",ROUNDUP(Y518/H518,0)*0.01196),"")</f>
        <v>0.1196</v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56.29999999999999</v>
      </c>
      <c r="BN518" s="78">
        <f t="shared" si="86"/>
        <v>56.3</v>
      </c>
      <c r="BO518" s="78">
        <f t="shared" si="87"/>
        <v>9.6153846153846145E-2</v>
      </c>
      <c r="BP518" s="78">
        <f t="shared" si="88"/>
        <v>9.6153846153846159E-2</v>
      </c>
    </row>
    <row r="519" spans="1:68" ht="27" customHeight="1" x14ac:dyDescent="0.25">
      <c r="A519" s="63" t="s">
        <v>840</v>
      </c>
      <c r="B519" s="63" t="s">
        <v>841</v>
      </c>
      <c r="C519" s="36">
        <v>4301031353</v>
      </c>
      <c r="D519" s="719">
        <v>4680115883109</v>
      </c>
      <c r="E519" s="71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21"/>
      <c r="R519" s="721"/>
      <c r="S519" s="721"/>
      <c r="T519" s="722"/>
      <c r="U519" s="39" t="s">
        <v>46</v>
      </c>
      <c r="V519" s="39" t="s">
        <v>46</v>
      </c>
      <c r="W519" s="40" t="s">
        <v>0</v>
      </c>
      <c r="X519" s="58">
        <v>52.8</v>
      </c>
      <c r="Y519" s="55">
        <f t="shared" si="84"/>
        <v>52.800000000000004</v>
      </c>
      <c r="Z519" s="41">
        <f>IFERROR(IF(Y519=0,"",ROUNDUP(Y519/H519,0)*0.01196),"")</f>
        <v>0.1196</v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56.29999999999999</v>
      </c>
      <c r="BN519" s="78">
        <f t="shared" si="86"/>
        <v>56.3</v>
      </c>
      <c r="BO519" s="78">
        <f t="shared" si="87"/>
        <v>9.6153846153846145E-2</v>
      </c>
      <c r="BP519" s="78">
        <f t="shared" si="88"/>
        <v>9.6153846153846159E-2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719">
        <v>4680115882072</v>
      </c>
      <c r="E520" s="719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21"/>
      <c r="R520" s="721"/>
      <c r="S520" s="721"/>
      <c r="T520" s="72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719">
        <v>4680115882102</v>
      </c>
      <c r="E521" s="719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21"/>
      <c r="R521" s="721"/>
      <c r="S521" s="721"/>
      <c r="T521" s="72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719">
        <v>4680115882102</v>
      </c>
      <c r="E522" s="719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21"/>
      <c r="R522" s="721"/>
      <c r="S522" s="721"/>
      <c r="T522" s="722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719">
        <v>4680115882096</v>
      </c>
      <c r="E523" s="719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10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21"/>
      <c r="R523" s="721"/>
      <c r="S523" s="721"/>
      <c r="T523" s="722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4" t="s">
        <v>40</v>
      </c>
      <c r="Q524" s="725"/>
      <c r="R524" s="725"/>
      <c r="S524" s="725"/>
      <c r="T524" s="725"/>
      <c r="U524" s="725"/>
      <c r="V524" s="726"/>
      <c r="W524" s="42" t="s">
        <v>39</v>
      </c>
      <c r="X524" s="43">
        <f>IFERROR(X517/H517,"0")+IFERROR(X518/H518,"0")+IFERROR(X519/H519,"0")+IFERROR(X520/H520,"0")+IFERROR(X521/H521,"0")+IFERROR(X522/H522,"0")+IFERROR(X523/H523,"0")</f>
        <v>19.999999999999996</v>
      </c>
      <c r="Y524" s="43">
        <f>IFERROR(Y517/H517,"0")+IFERROR(Y518/H518,"0")+IFERROR(Y519/H519,"0")+IFERROR(Y520/H520,"0")+IFERROR(Y521/H521,"0")+IFERROR(Y522/H522,"0")+IFERROR(Y523/H523,"0")</f>
        <v>20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0.2392</v>
      </c>
      <c r="AA524" s="67"/>
      <c r="AB524" s="67"/>
      <c r="AC524" s="67"/>
    </row>
    <row r="525" spans="1:68" x14ac:dyDescent="0.2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8"/>
      <c r="P525" s="724" t="s">
        <v>40</v>
      </c>
      <c r="Q525" s="725"/>
      <c r="R525" s="725"/>
      <c r="S525" s="725"/>
      <c r="T525" s="725"/>
      <c r="U525" s="725"/>
      <c r="V525" s="726"/>
      <c r="W525" s="42" t="s">
        <v>0</v>
      </c>
      <c r="X525" s="43">
        <f>IFERROR(SUM(X517:X523),"0")</f>
        <v>105.6</v>
      </c>
      <c r="Y525" s="43">
        <f>IFERROR(SUM(Y517:Y523),"0")</f>
        <v>105.60000000000001</v>
      </c>
      <c r="Z525" s="42"/>
      <c r="AA525" s="67"/>
      <c r="AB525" s="67"/>
      <c r="AC525" s="67"/>
    </row>
    <row r="526" spans="1:68" ht="27.75" hidden="1" customHeight="1" x14ac:dyDescent="0.2">
      <c r="A526" s="716" t="s">
        <v>850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  <c r="AA526" s="54"/>
      <c r="AB526" s="54"/>
      <c r="AC526" s="54"/>
    </row>
    <row r="527" spans="1:68" ht="16.5" hidden="1" customHeight="1" x14ac:dyDescent="0.25">
      <c r="A527" s="717" t="s">
        <v>850</v>
      </c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7"/>
      <c r="P527" s="717"/>
      <c r="Q527" s="717"/>
      <c r="R527" s="717"/>
      <c r="S527" s="717"/>
      <c r="T527" s="717"/>
      <c r="U527" s="717"/>
      <c r="V527" s="717"/>
      <c r="W527" s="717"/>
      <c r="X527" s="717"/>
      <c r="Y527" s="717"/>
      <c r="Z527" s="717"/>
      <c r="AA527" s="65"/>
      <c r="AB527" s="65"/>
      <c r="AC527" s="79"/>
    </row>
    <row r="528" spans="1:68" ht="14.25" hidden="1" customHeight="1" x14ac:dyDescent="0.25">
      <c r="A528" s="718" t="s">
        <v>122</v>
      </c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719">
        <v>4640242180564</v>
      </c>
      <c r="E529" s="71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10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21"/>
      <c r="R529" s="721"/>
      <c r="S529" s="721"/>
      <c r="T529" s="72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8"/>
      <c r="P530" s="724" t="s">
        <v>40</v>
      </c>
      <c r="Q530" s="725"/>
      <c r="R530" s="725"/>
      <c r="S530" s="725"/>
      <c r="T530" s="725"/>
      <c r="U530" s="725"/>
      <c r="V530" s="726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8"/>
      <c r="P531" s="724" t="s">
        <v>40</v>
      </c>
      <c r="Q531" s="725"/>
      <c r="R531" s="725"/>
      <c r="S531" s="725"/>
      <c r="T531" s="725"/>
      <c r="U531" s="725"/>
      <c r="V531" s="726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18" t="s">
        <v>157</v>
      </c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719">
        <v>4640242180519</v>
      </c>
      <c r="E533" s="719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10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21"/>
      <c r="R533" s="721"/>
      <c r="S533" s="721"/>
      <c r="T533" s="72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8"/>
      <c r="P534" s="724" t="s">
        <v>40</v>
      </c>
      <c r="Q534" s="725"/>
      <c r="R534" s="725"/>
      <c r="S534" s="725"/>
      <c r="T534" s="725"/>
      <c r="U534" s="725"/>
      <c r="V534" s="726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8"/>
      <c r="P535" s="724" t="s">
        <v>40</v>
      </c>
      <c r="Q535" s="725"/>
      <c r="R535" s="725"/>
      <c r="S535" s="725"/>
      <c r="T535" s="725"/>
      <c r="U535" s="725"/>
      <c r="V535" s="726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18" t="s">
        <v>77</v>
      </c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719">
        <v>4640242180595</v>
      </c>
      <c r="E537" s="719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100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21"/>
      <c r="R537" s="721"/>
      <c r="S537" s="721"/>
      <c r="T537" s="722"/>
      <c r="U537" s="39" t="s">
        <v>46</v>
      </c>
      <c r="V537" s="39" t="s">
        <v>46</v>
      </c>
      <c r="W537" s="40" t="s">
        <v>0</v>
      </c>
      <c r="X537" s="58">
        <v>42</v>
      </c>
      <c r="Y537" s="55">
        <f>IFERROR(IF(X537="",0,CEILING((X537/$H537),1)*$H537),"")</f>
        <v>42</v>
      </c>
      <c r="Z537" s="41">
        <f>IFERROR(IF(Y537=0,"",ROUNDUP(Y537/H537,0)*0.00902),"")</f>
        <v>9.0200000000000002E-2</v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44.5</v>
      </c>
      <c r="BN537" s="78">
        <f>IFERROR(Y537*I537/H537,"0")</f>
        <v>44.5</v>
      </c>
      <c r="BO537" s="78">
        <f>IFERROR(1/J537*(X537/H537),"0")</f>
        <v>7.575757575757576E-2</v>
      </c>
      <c r="BP537" s="78">
        <f>IFERROR(1/J537*(Y537/H537),"0")</f>
        <v>7.575757575757576E-2</v>
      </c>
    </row>
    <row r="538" spans="1:68" x14ac:dyDescent="0.2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8"/>
      <c r="P538" s="724" t="s">
        <v>40</v>
      </c>
      <c r="Q538" s="725"/>
      <c r="R538" s="725"/>
      <c r="S538" s="725"/>
      <c r="T538" s="725"/>
      <c r="U538" s="725"/>
      <c r="V538" s="726"/>
      <c r="W538" s="42" t="s">
        <v>39</v>
      </c>
      <c r="X538" s="43">
        <f>IFERROR(X537/H537,"0")</f>
        <v>10</v>
      </c>
      <c r="Y538" s="43">
        <f>IFERROR(Y537/H537,"0")</f>
        <v>10</v>
      </c>
      <c r="Z538" s="43">
        <f>IFERROR(IF(Z537="",0,Z537),"0")</f>
        <v>9.0200000000000002E-2</v>
      </c>
      <c r="AA538" s="67"/>
      <c r="AB538" s="67"/>
      <c r="AC538" s="67"/>
    </row>
    <row r="539" spans="1:68" x14ac:dyDescent="0.2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8"/>
      <c r="P539" s="724" t="s">
        <v>40</v>
      </c>
      <c r="Q539" s="725"/>
      <c r="R539" s="725"/>
      <c r="S539" s="725"/>
      <c r="T539" s="725"/>
      <c r="U539" s="725"/>
      <c r="V539" s="726"/>
      <c r="W539" s="42" t="s">
        <v>0</v>
      </c>
      <c r="X539" s="43">
        <f>IFERROR(SUM(X537:X537),"0")</f>
        <v>42</v>
      </c>
      <c r="Y539" s="43">
        <f>IFERROR(SUM(Y537:Y537),"0")</f>
        <v>42</v>
      </c>
      <c r="Z539" s="42"/>
      <c r="AA539" s="67"/>
      <c r="AB539" s="67"/>
      <c r="AC539" s="67"/>
    </row>
    <row r="540" spans="1:68" ht="14.25" hidden="1" customHeight="1" x14ac:dyDescent="0.25">
      <c r="A540" s="718" t="s">
        <v>86</v>
      </c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719">
        <v>4640242180533</v>
      </c>
      <c r="E541" s="719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10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21"/>
      <c r="R541" s="721"/>
      <c r="S541" s="721"/>
      <c r="T541" s="72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8"/>
      <c r="P542" s="724" t="s">
        <v>40</v>
      </c>
      <c r="Q542" s="725"/>
      <c r="R542" s="725"/>
      <c r="S542" s="725"/>
      <c r="T542" s="725"/>
      <c r="U542" s="725"/>
      <c r="V542" s="726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8"/>
      <c r="P543" s="724" t="s">
        <v>40</v>
      </c>
      <c r="Q543" s="725"/>
      <c r="R543" s="725"/>
      <c r="S543" s="725"/>
      <c r="T543" s="725"/>
      <c r="U543" s="725"/>
      <c r="V543" s="726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718" t="s">
        <v>175</v>
      </c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719">
        <v>4640242180120</v>
      </c>
      <c r="E545" s="719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100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21"/>
      <c r="R545" s="721"/>
      <c r="S545" s="721"/>
      <c r="T545" s="72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719">
        <v>4640242180137</v>
      </c>
      <c r="E546" s="719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10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21"/>
      <c r="R546" s="721"/>
      <c r="S546" s="721"/>
      <c r="T546" s="722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8"/>
      <c r="P547" s="724" t="s">
        <v>40</v>
      </c>
      <c r="Q547" s="725"/>
      <c r="R547" s="725"/>
      <c r="S547" s="725"/>
      <c r="T547" s="725"/>
      <c r="U547" s="725"/>
      <c r="V547" s="726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8"/>
      <c r="P548" s="724" t="s">
        <v>40</v>
      </c>
      <c r="Q548" s="725"/>
      <c r="R548" s="725"/>
      <c r="S548" s="725"/>
      <c r="T548" s="725"/>
      <c r="U548" s="725"/>
      <c r="V548" s="726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717" t="s">
        <v>869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5"/>
      <c r="AB549" s="65"/>
      <c r="AC549" s="79"/>
    </row>
    <row r="550" spans="1:68" ht="14.25" hidden="1" customHeight="1" x14ac:dyDescent="0.25">
      <c r="A550" s="718" t="s">
        <v>157</v>
      </c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719">
        <v>4680115889798</v>
      </c>
      <c r="E551" s="719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100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21"/>
      <c r="R551" s="721"/>
      <c r="S551" s="721"/>
      <c r="T551" s="722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8"/>
      <c r="P552" s="724" t="s">
        <v>40</v>
      </c>
      <c r="Q552" s="725"/>
      <c r="R552" s="725"/>
      <c r="S552" s="725"/>
      <c r="T552" s="725"/>
      <c r="U552" s="725"/>
      <c r="V552" s="726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8"/>
      <c r="P553" s="724" t="s">
        <v>40</v>
      </c>
      <c r="Q553" s="725"/>
      <c r="R553" s="725"/>
      <c r="S553" s="725"/>
      <c r="T553" s="725"/>
      <c r="U553" s="725"/>
      <c r="V553" s="726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1011"/>
      <c r="P554" s="1008" t="s">
        <v>33</v>
      </c>
      <c r="Q554" s="1009"/>
      <c r="R554" s="1009"/>
      <c r="S554" s="1009"/>
      <c r="T554" s="1009"/>
      <c r="U554" s="1009"/>
      <c r="V554" s="1010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8218.2999999999993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8218.2999999999993</v>
      </c>
      <c r="Z554" s="42"/>
      <c r="AA554" s="67"/>
      <c r="AB554" s="67"/>
      <c r="AC554" s="67"/>
    </row>
    <row r="555" spans="1:68" x14ac:dyDescent="0.2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1011"/>
      <c r="P555" s="1008" t="s">
        <v>34</v>
      </c>
      <c r="Q555" s="1009"/>
      <c r="R555" s="1009"/>
      <c r="S555" s="1009"/>
      <c r="T555" s="1009"/>
      <c r="U555" s="1009"/>
      <c r="V555" s="1010"/>
      <c r="W555" s="42" t="s">
        <v>0</v>
      </c>
      <c r="X555" s="43">
        <f>IFERROR(SUM(BM22:BM551),"0")</f>
        <v>8612.7340000000004</v>
      </c>
      <c r="Y555" s="43">
        <f>IFERROR(SUM(BN22:BN551),"0")</f>
        <v>8612.7340000000004</v>
      </c>
      <c r="Z555" s="42"/>
      <c r="AA555" s="67"/>
      <c r="AB555" s="67"/>
      <c r="AC555" s="67"/>
    </row>
    <row r="556" spans="1:68" x14ac:dyDescent="0.2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1011"/>
      <c r="P556" s="1008" t="s">
        <v>35</v>
      </c>
      <c r="Q556" s="1009"/>
      <c r="R556" s="1009"/>
      <c r="S556" s="1009"/>
      <c r="T556" s="1009"/>
      <c r="U556" s="1009"/>
      <c r="V556" s="1010"/>
      <c r="W556" s="42" t="s">
        <v>20</v>
      </c>
      <c r="X556" s="44">
        <f>ROUNDUP(SUM(BO22:BO551),0)</f>
        <v>14</v>
      </c>
      <c r="Y556" s="44">
        <f>ROUNDUP(SUM(BP22:BP551),0)</f>
        <v>14</v>
      </c>
      <c r="Z556" s="42"/>
      <c r="AA556" s="67"/>
      <c r="AB556" s="67"/>
      <c r="AC556" s="67"/>
    </row>
    <row r="557" spans="1:68" x14ac:dyDescent="0.2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1011"/>
      <c r="P557" s="1008" t="s">
        <v>36</v>
      </c>
      <c r="Q557" s="1009"/>
      <c r="R557" s="1009"/>
      <c r="S557" s="1009"/>
      <c r="T557" s="1009"/>
      <c r="U557" s="1009"/>
      <c r="V557" s="1010"/>
      <c r="W557" s="42" t="s">
        <v>0</v>
      </c>
      <c r="X557" s="43">
        <f>GrossWeightTotal+PalletQtyTotal*25</f>
        <v>8962.7340000000004</v>
      </c>
      <c r="Y557" s="43">
        <f>GrossWeightTotalR+PalletQtyTotalR*25</f>
        <v>8962.7340000000004</v>
      </c>
      <c r="Z557" s="42"/>
      <c r="AA557" s="67"/>
      <c r="AB557" s="67"/>
      <c r="AC557" s="67"/>
    </row>
    <row r="558" spans="1:68" x14ac:dyDescent="0.2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1011"/>
      <c r="P558" s="1008" t="s">
        <v>37</v>
      </c>
      <c r="Q558" s="1009"/>
      <c r="R558" s="1009"/>
      <c r="S558" s="1009"/>
      <c r="T558" s="1009"/>
      <c r="U558" s="1009"/>
      <c r="V558" s="1010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928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928</v>
      </c>
      <c r="Z558" s="42"/>
      <c r="AA558" s="67"/>
      <c r="AB558" s="67"/>
      <c r="AC558" s="67"/>
    </row>
    <row r="559" spans="1:68" ht="14.25" hidden="1" x14ac:dyDescent="0.2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1011"/>
      <c r="P559" s="1008" t="s">
        <v>38</v>
      </c>
      <c r="Q559" s="1009"/>
      <c r="R559" s="1009"/>
      <c r="S559" s="1009"/>
      <c r="T559" s="1009"/>
      <c r="U559" s="1009"/>
      <c r="V559" s="1010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16.16872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12" t="s">
        <v>120</v>
      </c>
      <c r="E561" s="1012" t="s">
        <v>120</v>
      </c>
      <c r="F561" s="1012" t="s">
        <v>120</v>
      </c>
      <c r="G561" s="1012" t="s">
        <v>120</v>
      </c>
      <c r="H561" s="1012" t="s">
        <v>120</v>
      </c>
      <c r="I561" s="1012" t="s">
        <v>120</v>
      </c>
      <c r="J561" s="1012" t="s">
        <v>120</v>
      </c>
      <c r="K561" s="1012" t="s">
        <v>344</v>
      </c>
      <c r="L561" s="1012" t="s">
        <v>344</v>
      </c>
      <c r="M561" s="1012" t="s">
        <v>344</v>
      </c>
      <c r="N561" s="1013"/>
      <c r="O561" s="1012" t="s">
        <v>344</v>
      </c>
      <c r="P561" s="1012" t="s">
        <v>344</v>
      </c>
      <c r="Q561" s="1012" t="s">
        <v>344</v>
      </c>
      <c r="R561" s="1012" t="s">
        <v>344</v>
      </c>
      <c r="S561" s="1012" t="s">
        <v>344</v>
      </c>
      <c r="T561" s="1012" t="s">
        <v>344</v>
      </c>
      <c r="U561" s="1012" t="s">
        <v>344</v>
      </c>
      <c r="V561" s="1012" t="s">
        <v>344</v>
      </c>
      <c r="W561" s="1012" t="s">
        <v>701</v>
      </c>
      <c r="X561" s="1012" t="s">
        <v>701</v>
      </c>
      <c r="Y561" s="1012" t="s">
        <v>767</v>
      </c>
      <c r="Z561" s="1012" t="s">
        <v>767</v>
      </c>
      <c r="AA561" s="85" t="s">
        <v>803</v>
      </c>
      <c r="AB561" s="1012" t="s">
        <v>850</v>
      </c>
      <c r="AC561" s="1012" t="s">
        <v>850</v>
      </c>
      <c r="AF561" s="1"/>
    </row>
    <row r="562" spans="1:32" ht="14.25" customHeight="1" thickTop="1" x14ac:dyDescent="0.2">
      <c r="A562" s="1014" t="s">
        <v>10</v>
      </c>
      <c r="B562" s="1012" t="s">
        <v>76</v>
      </c>
      <c r="C562" s="1012" t="s">
        <v>104</v>
      </c>
      <c r="D562" s="1012" t="s">
        <v>121</v>
      </c>
      <c r="E562" s="1012" t="s">
        <v>137</v>
      </c>
      <c r="F562" s="1012" t="s">
        <v>183</v>
      </c>
      <c r="G562" s="1012" t="s">
        <v>206</v>
      </c>
      <c r="H562" s="1012" t="s">
        <v>250</v>
      </c>
      <c r="I562" s="1012" t="s">
        <v>263</v>
      </c>
      <c r="J562" s="1012" t="s">
        <v>120</v>
      </c>
      <c r="K562" s="1012" t="s">
        <v>345</v>
      </c>
      <c r="L562" s="1012" t="s">
        <v>366</v>
      </c>
      <c r="M562" s="1012" t="s">
        <v>440</v>
      </c>
      <c r="N562" s="1"/>
      <c r="O562" s="1012" t="s">
        <v>508</v>
      </c>
      <c r="P562" s="1012" t="s">
        <v>537</v>
      </c>
      <c r="Q562" s="1012" t="s">
        <v>558</v>
      </c>
      <c r="R562" s="1012" t="s">
        <v>567</v>
      </c>
      <c r="S562" s="1012" t="s">
        <v>588</v>
      </c>
      <c r="T562" s="1012" t="s">
        <v>597</v>
      </c>
      <c r="U562" s="1012" t="s">
        <v>684</v>
      </c>
      <c r="V562" s="1012" t="s">
        <v>691</v>
      </c>
      <c r="W562" s="1012" t="s">
        <v>702</v>
      </c>
      <c r="X562" s="1012" t="s">
        <v>751</v>
      </c>
      <c r="Y562" s="1012" t="s">
        <v>768</v>
      </c>
      <c r="Z562" s="1012" t="s">
        <v>791</v>
      </c>
      <c r="AA562" s="1012" t="s">
        <v>803</v>
      </c>
      <c r="AB562" s="1012" t="s">
        <v>850</v>
      </c>
      <c r="AC562" s="1012" t="s">
        <v>869</v>
      </c>
      <c r="AF562" s="1"/>
    </row>
    <row r="563" spans="1:32" ht="13.5" thickBot="1" x14ac:dyDescent="0.25">
      <c r="A563" s="1015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  <c r="AA563" s="1012"/>
      <c r="AB563" s="1012"/>
      <c r="AC563" s="101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148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814.2</v>
      </c>
      <c r="F564" s="52">
        <f>IFERROR(Y85*1,"0")+IFERROR(Y86*1,"0")+IFERROR(Y87*1,"0")+IFERROR(Y88*1,"0")+IFERROR(Y89*1,"0")+IFERROR(Y93*1,"0")+IFERROR(Y94*1,"0")+IFERROR(Y95*1,"0")+IFERROR(Y96*1,"0")</f>
        <v>162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162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35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108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108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3035.5</v>
      </c>
      <c r="U564" s="52">
        <f>IFERROR(Y412*1,"0")+IFERROR(Y413*1,"0")</f>
        <v>78</v>
      </c>
      <c r="V564" s="52">
        <f>IFERROR(Y418*1,"0")+IFERROR(Y419*1,"0")+IFERROR(Y420*1,"0")</f>
        <v>187.2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2916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422.40000000000003</v>
      </c>
      <c r="AB564" s="52">
        <f>IFERROR(Y529*1,"0")+IFERROR(Y533*1,"0")+IFERROR(Y537*1,"0")+IFERROR(Y541*1,"0")+IFERROR(Y545*1,"0")+IFERROR(Y546*1,"0")</f>
        <v>42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0,00"/>
        <filter val="10,50"/>
        <filter val="105,60"/>
        <filter val="108,00"/>
        <filter val="12,60"/>
        <filter val="136,50"/>
        <filter val="14"/>
        <filter val="144,00"/>
        <filter val="148,00"/>
        <filter val="162,00"/>
        <filter val="18,00"/>
        <filter val="187,20"/>
        <filter val="195,00"/>
        <filter val="2 160,00"/>
        <filter val="2 496,00"/>
        <filter val="2 514,00"/>
        <filter val="20,00"/>
        <filter val="211,20"/>
        <filter val="237,00"/>
        <filter val="27,00"/>
        <filter val="30,00"/>
        <filter val="32,00"/>
        <filter val="326,00"/>
        <filter val="35,00"/>
        <filter val="36,00"/>
        <filter val="39,00"/>
        <filter val="4,00"/>
        <filter val="40,00"/>
        <filter val="42,00"/>
        <filter val="48,00"/>
        <filter val="52,80"/>
        <filter val="54,00"/>
        <filter val="56,00"/>
        <filter val="63,00"/>
        <filter val="691,20"/>
        <filter val="720,00"/>
        <filter val="78,00"/>
        <filter val="787,20"/>
        <filter val="79,00"/>
        <filter val="8 218,30"/>
        <filter val="8 612,73"/>
        <filter val="8 962,73"/>
        <filter val="928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2026-09-23T08:54:05Z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