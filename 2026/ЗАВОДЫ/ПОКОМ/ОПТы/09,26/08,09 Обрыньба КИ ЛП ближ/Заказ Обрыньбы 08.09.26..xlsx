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Обрыньба КИ ЛП ближ\"/>
    </mc:Choice>
  </mc:AlternateContent>
  <xr:revisionPtr revIDLastSave="0" documentId="13_ncr:1_{D9293566-A806-4054-BE62-819102D358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Y400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Z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Y367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Y258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P40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574" i="2" s="1"/>
  <c r="P22" i="2"/>
  <c r="H10" i="2"/>
  <c r="A9" i="2"/>
  <c r="H9" i="2" s="1"/>
  <c r="D7" i="2"/>
  <c r="Q6" i="2"/>
  <c r="P2" i="2"/>
  <c r="BP77" i="2" l="1"/>
  <c r="Z233" i="2"/>
  <c r="BN233" i="2"/>
  <c r="Z411" i="2"/>
  <c r="Y202" i="2"/>
  <c r="Z27" i="2"/>
  <c r="Z60" i="2"/>
  <c r="Z95" i="2"/>
  <c r="BN95" i="2"/>
  <c r="Z105" i="2"/>
  <c r="BP161" i="2"/>
  <c r="Z190" i="2"/>
  <c r="Z205" i="2"/>
  <c r="Z206" i="2" s="1"/>
  <c r="Z277" i="2"/>
  <c r="Z373" i="2"/>
  <c r="Z405" i="2"/>
  <c r="BN405" i="2"/>
  <c r="Z439" i="2"/>
  <c r="Y468" i="2"/>
  <c r="Z466" i="2"/>
  <c r="BN466" i="2"/>
  <c r="Y493" i="2"/>
  <c r="Z497" i="2"/>
  <c r="Z498" i="2" s="1"/>
  <c r="BP539" i="2"/>
  <c r="Z29" i="2"/>
  <c r="BN29" i="2"/>
  <c r="BN30" i="2"/>
  <c r="Z39" i="2"/>
  <c r="Z41" i="2"/>
  <c r="BN41" i="2"/>
  <c r="Y61" i="2"/>
  <c r="Z64" i="2"/>
  <c r="Z78" i="2"/>
  <c r="BN78" i="2"/>
  <c r="BN80" i="2"/>
  <c r="Z86" i="2"/>
  <c r="BN86" i="2"/>
  <c r="BP105" i="2"/>
  <c r="BP106" i="2"/>
  <c r="BN107" i="2"/>
  <c r="BN115" i="2"/>
  <c r="Z124" i="2"/>
  <c r="BN128" i="2"/>
  <c r="Y137" i="2"/>
  <c r="Z185" i="2"/>
  <c r="BN185" i="2"/>
  <c r="Z191" i="2"/>
  <c r="BN191" i="2"/>
  <c r="BP200" i="2"/>
  <c r="BN201" i="2"/>
  <c r="Z250" i="2"/>
  <c r="BN250" i="2"/>
  <c r="BP255" i="2"/>
  <c r="BN256" i="2"/>
  <c r="Z267" i="2"/>
  <c r="BN267" i="2"/>
  <c r="BN289" i="2"/>
  <c r="BN314" i="2"/>
  <c r="BN326" i="2"/>
  <c r="Z403" i="2"/>
  <c r="Z409" i="2"/>
  <c r="BP410" i="2"/>
  <c r="BN429" i="2"/>
  <c r="BP429" i="2"/>
  <c r="Z441" i="2"/>
  <c r="BN441" i="2"/>
  <c r="BN442" i="2"/>
  <c r="Z449" i="2"/>
  <c r="BP465" i="2"/>
  <c r="BN492" i="2"/>
  <c r="BN511" i="2"/>
  <c r="BN517" i="2"/>
  <c r="BN23" i="2"/>
  <c r="BN99" i="2"/>
  <c r="BN119" i="2"/>
  <c r="BN160" i="2"/>
  <c r="BN195" i="2"/>
  <c r="BN215" i="2"/>
  <c r="BN282" i="2"/>
  <c r="BN303" i="2"/>
  <c r="BN310" i="2"/>
  <c r="BN318" i="2"/>
  <c r="BN372" i="2"/>
  <c r="BN379" i="2"/>
  <c r="BP409" i="2"/>
  <c r="Y412" i="2"/>
  <c r="BN510" i="2"/>
  <c r="BN515" i="2"/>
  <c r="BN530" i="2"/>
  <c r="BN556" i="2"/>
  <c r="BN503" i="2"/>
  <c r="Z455" i="2"/>
  <c r="BP455" i="2"/>
  <c r="Z454" i="2"/>
  <c r="BN430" i="2"/>
  <c r="BN422" i="2"/>
  <c r="BN415" i="2"/>
  <c r="Z397" i="2"/>
  <c r="Z396" i="2"/>
  <c r="BP396" i="2"/>
  <c r="BN389" i="2"/>
  <c r="BN352" i="2"/>
  <c r="BN351" i="2"/>
  <c r="BN343" i="2"/>
  <c r="BN336" i="2"/>
  <c r="BP298" i="2"/>
  <c r="Z297" i="2"/>
  <c r="BP297" i="2"/>
  <c r="BN293" i="2"/>
  <c r="BN287" i="2"/>
  <c r="BN283" i="2"/>
  <c r="BN278" i="2"/>
  <c r="BN277" i="2"/>
  <c r="BN249" i="2"/>
  <c r="BN236" i="2"/>
  <c r="BN234" i="2"/>
  <c r="BN231" i="2"/>
  <c r="Z230" i="2"/>
  <c r="BN226" i="2"/>
  <c r="Y227" i="2"/>
  <c r="Z195" i="2"/>
  <c r="BP184" i="2"/>
  <c r="BN145" i="2"/>
  <c r="Z127" i="2"/>
  <c r="BN123" i="2"/>
  <c r="Z104" i="2"/>
  <c r="Z93" i="2"/>
  <c r="BP93" i="2"/>
  <c r="Z85" i="2"/>
  <c r="Z77" i="2"/>
  <c r="Y24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Z467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Z345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273" i="2"/>
  <c r="Z244" i="2"/>
  <c r="Z450" i="2"/>
  <c r="Z100" i="2"/>
  <c r="Z399" i="2"/>
  <c r="Z81" i="2"/>
  <c r="Z32" i="2"/>
  <c r="Z524" i="2"/>
  <c r="Z412" i="2"/>
  <c r="Z258" i="2"/>
  <c r="Z90" i="2"/>
  <c r="Z504" i="2"/>
  <c r="Z461" i="2"/>
  <c r="Z456" i="2"/>
  <c r="Z112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<sst xmlns="http://schemas.openxmlformats.org/spreadsheetml/2006/main" count="4373" uniqueCount="914">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</sst>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2</v>
      </c>
      <c r="Y24" s="43">
        <f>IFERROR(Y22/H22,"0")+IFERROR(Y23/H23,"0")</f>
        <v>2</v>
      </c>
      <c r="Z24" s="43">
        <f>IFERROR(IF(Z22="",0,Z22),"0")+IFERROR(IF(Z23="",0,Z23),"0")</f>
        <v>1.004E-2</v>
      </c>
      <c r="AA24" s="67"/>
      <c r="AB24" s="67"/>
      <c r="AC24" s="67"/>
    </row>
    <row r="25" spans="1:68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3.8</v>
      </c>
      <c r="Y25" s="43">
        <f>IFERROR(SUM(Y22:Y23),"0")</f>
        <v>3.8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162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168.15</v>
      </c>
      <c r="BN47" s="78">
        <f>IFERROR(Y47*I47/H47,"0")</f>
        <v>168.15</v>
      </c>
      <c r="BO47" s="78">
        <f>IFERROR(1/J47*(X47/H47),"0")</f>
        <v>0.23437499999999997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14.999999999999998</v>
      </c>
      <c r="Y51" s="43">
        <f>IFERROR(Y47/H47,"0")+IFERROR(Y48/H48,"0")+IFERROR(Y49/H49,"0")+IFERROR(Y50/H50,"0")</f>
        <v>14.999999999999998</v>
      </c>
      <c r="Z51" s="43">
        <f>IFERROR(IF(Z47="",0,Z47),"0")+IFERROR(IF(Z48="",0,Z48),"0")+IFERROR(IF(Z49="",0,Z49),"0")+IFERROR(IF(Z50="",0,Z50),"0")</f>
        <v>0.28470000000000001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162</v>
      </c>
      <c r="Y52" s="43">
        <f>IFERROR(SUM(Y47:Y50),"0")</f>
        <v>162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0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58.050000000000004</v>
      </c>
      <c r="BN55" s="78">
        <f t="shared" ref="BN55:BN60" si="2">IFERROR(Y55*I55/H55,"0")</f>
        <v>58.050000000000004</v>
      </c>
      <c r="BO55" s="78">
        <f t="shared" ref="BO55:BO60" si="3">IFERROR(1/J55*(X55/H55),"0")</f>
        <v>7.8125E-2</v>
      </c>
      <c r="BP55" s="78">
        <f t="shared" ref="BP55:BP60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54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56.05</v>
      </c>
      <c r="BN56" s="78">
        <f t="shared" si="2"/>
        <v>56.05</v>
      </c>
      <c r="BO56" s="78">
        <f t="shared" si="3"/>
        <v>7.8125E-2</v>
      </c>
      <c r="BP56" s="78">
        <f t="shared" si="4"/>
        <v>7.8125E-2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14.4</v>
      </c>
      <c r="Y57" s="55">
        <f t="shared" si="0"/>
        <v>14.399999999999999</v>
      </c>
      <c r="Z57" s="41">
        <f>IFERROR(IF(Y57=0,"",ROUNDUP(Y57/H57,0)*0.00902),"")</f>
        <v>2.7060000000000001E-2</v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14.970000000000002</v>
      </c>
      <c r="BN57" s="78">
        <f t="shared" si="2"/>
        <v>14.969999999999999</v>
      </c>
      <c r="BO57" s="78">
        <f t="shared" si="3"/>
        <v>2.2727272727272728E-2</v>
      </c>
      <c r="BP57" s="78">
        <f t="shared" si="4"/>
        <v>2.2727272727272728E-2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6.3</v>
      </c>
      <c r="Y59" s="55">
        <f t="shared" si="0"/>
        <v>6.3000000000000007</v>
      </c>
      <c r="Z59" s="41">
        <f>IFERROR(IF(Y59=0,"",ROUNDUP(Y59/H59,0)*0.00651),"")</f>
        <v>1.9529999999999999E-2</v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6.839999999999999</v>
      </c>
      <c r="BN59" s="78">
        <f t="shared" si="2"/>
        <v>6.84</v>
      </c>
      <c r="BO59" s="78">
        <f t="shared" si="3"/>
        <v>1.6483516483516484E-2</v>
      </c>
      <c r="BP59" s="78">
        <f t="shared" si="4"/>
        <v>1.6483516483516484E-2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16</v>
      </c>
      <c r="Y61" s="43">
        <f>IFERROR(Y55/H55,"0")+IFERROR(Y56/H56,"0")+IFERROR(Y57/H57,"0")+IFERROR(Y58/H58,"0")+IFERROR(Y59/H59,"0")+IFERROR(Y60/H60,"0")</f>
        <v>16</v>
      </c>
      <c r="Z61" s="43">
        <f>IFERROR(IF(Z55="",0,Z55),"0")+IFERROR(IF(Z56="",0,Z56),"0")+IFERROR(IF(Z57="",0,Z57),"0")+IFERROR(IF(Z58="",0,Z58),"0")+IFERROR(IF(Z59="",0,Z59),"0")+IFERROR(IF(Z60="",0,Z60),"0")</f>
        <v>0.23638999999999999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130.70000000000002</v>
      </c>
      <c r="Y62" s="43">
        <f>IFERROR(SUM(Y55:Y60),"0")</f>
        <v>130.70000000000002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13.5</v>
      </c>
      <c r="Y67" s="55">
        <f>IFERROR(IF(X67="",0,CEILING((X67/$H67),1)*$H67),"")</f>
        <v>13.5</v>
      </c>
      <c r="Z67" s="41">
        <f>IFERROR(IF(Y67=0,"",ROUNDUP(Y67/H67,0)*0.00651),"")</f>
        <v>3.2550000000000003E-2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14.399999999999997</v>
      </c>
      <c r="BN67" s="78">
        <f>IFERROR(Y67*I67/H67,"0")</f>
        <v>14.399999999999997</v>
      </c>
      <c r="BO67" s="78">
        <f>IFERROR(1/J67*(X67/H67),"0")</f>
        <v>2.7472527472527476E-2</v>
      </c>
      <c r="BP67" s="78">
        <f>IFERROR(1/J67*(Y67/H67),"0")</f>
        <v>2.7472527472527476E-2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5</v>
      </c>
      <c r="Y68" s="43">
        <f>IFERROR(Y64/H64,"0")+IFERROR(Y65/H65,"0")+IFERROR(Y66/H66,"0")+IFERROR(Y67/H67,"0")</f>
        <v>5</v>
      </c>
      <c r="Z68" s="43">
        <f>IFERROR(IF(Z64="",0,Z64),"0")+IFERROR(IF(Z65="",0,Z65),"0")+IFERROR(IF(Z66="",0,Z66),"0")+IFERROR(IF(Z67="",0,Z67),"0")</f>
        <v>3.2550000000000003E-2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13.5</v>
      </c>
      <c r="Y69" s="43">
        <f>IFERROR(SUM(Y64:Y67),"0")</f>
        <v>13.5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15.6</v>
      </c>
      <c r="Y77" s="55">
        <f>IFERROR(IF(X77="",0,CEILING((X77/$H77),1)*$H77),"")</f>
        <v>15.6</v>
      </c>
      <c r="Z77" s="41">
        <f>IFERROR(IF(Y77=0,"",ROUNDUP(Y77/H77,0)*0.01898),"")</f>
        <v>3.7960000000000001E-2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16.420000000000002</v>
      </c>
      <c r="BN77" s="78">
        <f>IFERROR(Y77*I77/H77,"0")</f>
        <v>16.420000000000002</v>
      </c>
      <c r="BO77" s="78">
        <f>IFERROR(1/J77*(X77/H77),"0")</f>
        <v>3.125E-2</v>
      </c>
      <c r="BP77" s="78">
        <f>IFERROR(1/J77*(Y77/H77),"0")</f>
        <v>3.125E-2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2</v>
      </c>
      <c r="Y81" s="43">
        <f>IFERROR(Y77/H77,"0")+IFERROR(Y78/H78,"0")+IFERROR(Y79/H79,"0")+IFERROR(Y80/H80,"0")</f>
        <v>2</v>
      </c>
      <c r="Z81" s="43">
        <f>IFERROR(IF(Z77="",0,Z77),"0")+IFERROR(IF(Z78="",0,Z78),"0")+IFERROR(IF(Z79="",0,Z79),"0")+IFERROR(IF(Z80="",0,Z80),"0")</f>
        <v>3.7960000000000001E-2</v>
      </c>
      <c r="AA81" s="67"/>
      <c r="AB81" s="67"/>
      <c r="AC81" s="67"/>
    </row>
    <row r="82" spans="1:68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15.6</v>
      </c>
      <c r="Y82" s="43">
        <f>IFERROR(SUM(Y77:Y80),"0")</f>
        <v>15.6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108</v>
      </c>
      <c r="Y85" s="55">
        <f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112.1</v>
      </c>
      <c r="BN85" s="78">
        <f>IFERROR(Y85*I85/H85,"0")</f>
        <v>112.1</v>
      </c>
      <c r="BO85" s="78">
        <f>IFERROR(1/J85*(X85/H85),"0")</f>
        <v>0.15625</v>
      </c>
      <c r="BP85" s="78">
        <f>IFERROR(1/J85*(Y85/H85),"0")</f>
        <v>0.15625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15</v>
      </c>
      <c r="Y90" s="43">
        <f>IFERROR(Y85/H85,"0")+IFERROR(Y86/H86,"0")+IFERROR(Y87/H87,"0")+IFERROR(Y88/H88,"0")+IFERROR(Y89/H89,"0")</f>
        <v>15</v>
      </c>
      <c r="Z90" s="43">
        <f>IFERROR(IF(Z85="",0,Z85),"0")+IFERROR(IF(Z86="",0,Z86),"0")+IFERROR(IF(Z87="",0,Z87),"0")+IFERROR(IF(Z88="",0,Z88),"0")+IFERROR(IF(Z89="",0,Z89),"0")</f>
        <v>0.2349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130.5</v>
      </c>
      <c r="Y91" s="43">
        <f>IFERROR(SUM(Y85:Y89),"0")</f>
        <v>130.5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81</v>
      </c>
      <c r="Y93" s="55">
        <f t="shared" ref="Y93:Y99" si="5">IFERROR(IF(X93="",0,CEILING((X93/$H93),1)*$H93),"")</f>
        <v>81</v>
      </c>
      <c r="Z93" s="41">
        <f>IFERROR(IF(Y93=0,"",ROUNDUP(Y93/H93,0)*0.01898),"")</f>
        <v>0.1898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85.94</v>
      </c>
      <c r="BN93" s="78">
        <f t="shared" ref="BN93:BN99" si="7">IFERROR(Y93*I93/H93,"0")</f>
        <v>85.94</v>
      </c>
      <c r="BO93" s="78">
        <f t="shared" ref="BO93:BO99" si="8">IFERROR(1/J93*(X93/H93),"0")</f>
        <v>0.15625</v>
      </c>
      <c r="BP93" s="78">
        <f t="shared" ref="BP93:BP99" si="9">IFERROR(1/J93*(Y93/H93),"0")</f>
        <v>0.15625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5.4</v>
      </c>
      <c r="Y97" s="55">
        <f t="shared" si="5"/>
        <v>5.4</v>
      </c>
      <c r="Z97" s="41">
        <f>IFERROR(IF(Y97=0,"",ROUNDUP(Y97/H97,0)*0.00651),"")</f>
        <v>1.302E-2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5.9039999999999999</v>
      </c>
      <c r="BN97" s="78">
        <f t="shared" si="7"/>
        <v>5.9039999999999999</v>
      </c>
      <c r="BO97" s="78">
        <f t="shared" si="8"/>
        <v>1.098901098901099E-2</v>
      </c>
      <c r="BP97" s="78">
        <f t="shared" si="9"/>
        <v>1.098901098901099E-2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3.96</v>
      </c>
      <c r="Y99" s="55">
        <f t="shared" si="5"/>
        <v>3.96</v>
      </c>
      <c r="Z99" s="41">
        <f>IFERROR(IF(Y99=0,"",ROUNDUP(Y99/H99,0)*0.00651),"")</f>
        <v>1.302E-2</v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4.476</v>
      </c>
      <c r="BN99" s="78">
        <f t="shared" si="7"/>
        <v>4.476</v>
      </c>
      <c r="BO99" s="78">
        <f t="shared" si="8"/>
        <v>1.098901098901099E-2</v>
      </c>
      <c r="BP99" s="78">
        <f t="shared" si="9"/>
        <v>1.098901098901099E-2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14</v>
      </c>
      <c r="Y100" s="43">
        <f>IFERROR(Y93/H93,"0")+IFERROR(Y94/H94,"0")+IFERROR(Y95/H95,"0")+IFERROR(Y96/H96,"0")+IFERROR(Y97/H97,"0")+IFERROR(Y98/H98,"0")+IFERROR(Y99/H99,"0")</f>
        <v>14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0.21584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90.36</v>
      </c>
      <c r="Y101" s="43">
        <f>IFERROR(SUM(Y93:Y99),"0")</f>
        <v>90.36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54</v>
      </c>
      <c r="Y104" s="55">
        <f t="shared" ref="Y104:Y111" si="10">IFERROR(IF(X104="",0,CEILING((X104/$H104),1)*$H104),"")</f>
        <v>54</v>
      </c>
      <c r="Z104" s="41">
        <f>IFERROR(IF(Y104=0,"",ROUNDUP(Y104/H104,0)*0.01898),"")</f>
        <v>9.4899999999999998E-2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56.05</v>
      </c>
      <c r="BN104" s="78">
        <f t="shared" ref="BN104:BN111" si="12">IFERROR(Y104*I104/H104,"0")</f>
        <v>56.05</v>
      </c>
      <c r="BO104" s="78">
        <f t="shared" ref="BO104:BO111" si="13">IFERROR(1/J104*(X104/H104),"0")</f>
        <v>7.8125E-2</v>
      </c>
      <c r="BP104" s="78">
        <f t="shared" ref="BP104:BP111" si="14">IFERROR(1/J104*(Y104/H104),"0")</f>
        <v>7.8125E-2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18.75</v>
      </c>
      <c r="Y108" s="55">
        <f t="shared" si="10"/>
        <v>18.75</v>
      </c>
      <c r="Z108" s="41">
        <f>IFERROR(IF(Y108=0,"",ROUNDUP(Y108/H108,0)*0.00902),"")</f>
        <v>4.5100000000000001E-2</v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19.7</v>
      </c>
      <c r="BN108" s="78">
        <f t="shared" si="12"/>
        <v>19.7</v>
      </c>
      <c r="BO108" s="78">
        <f t="shared" si="13"/>
        <v>3.787878787878788E-2</v>
      </c>
      <c r="BP108" s="78">
        <f t="shared" si="14"/>
        <v>3.787878787878788E-2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13.5</v>
      </c>
      <c r="Y111" s="55">
        <f t="shared" si="10"/>
        <v>13.5</v>
      </c>
      <c r="Z111" s="41">
        <f>IFERROR(IF(Y111=0,"",ROUNDUP(Y111/H111,0)*0.00902),"")</f>
        <v>2.7060000000000001E-2</v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14.07</v>
      </c>
      <c r="BN111" s="78">
        <f t="shared" si="12"/>
        <v>14.07</v>
      </c>
      <c r="BO111" s="78">
        <f t="shared" si="13"/>
        <v>2.2727272727272728E-2</v>
      </c>
      <c r="BP111" s="78">
        <f t="shared" si="14"/>
        <v>2.2727272727272728E-2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13</v>
      </c>
      <c r="Y112" s="43">
        <f>IFERROR(Y104/H104,"0")+IFERROR(Y105/H105,"0")+IFERROR(Y106/H106,"0")+IFERROR(Y107/H107,"0")+IFERROR(Y108/H108,"0")+IFERROR(Y109/H109,"0")+IFERROR(Y110/H110,"0")+IFERROR(Y111/H111,"0")</f>
        <v>13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0.16706000000000001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86.25</v>
      </c>
      <c r="Y113" s="43">
        <f>IFERROR(SUM(Y104:Y111),"0")</f>
        <v>86.25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81</v>
      </c>
      <c r="Y123" s="55">
        <f t="shared" ref="Y123:Y130" si="15">IFERROR(IF(X123="",0,CEILING((X123/$H123),1)*$H123),"")</f>
        <v>81</v>
      </c>
      <c r="Z123" s="41">
        <f>IFERROR(IF(Y123=0,"",ROUNDUP(Y123/H123,0)*0.01898),"")</f>
        <v>0.1898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85.88</v>
      </c>
      <c r="BN123" s="78">
        <f t="shared" ref="BN123:BN130" si="17">IFERROR(Y123*I123/H123,"0")</f>
        <v>85.88</v>
      </c>
      <c r="BO123" s="78">
        <f t="shared" ref="BO123:BO130" si="18">IFERROR(1/J123*(X123/H123),"0")</f>
        <v>0.15625</v>
      </c>
      <c r="BP123" s="78">
        <f t="shared" ref="BP123:BP130" si="19">IFERROR(1/J123*(Y123/H123),"0")</f>
        <v>0.15625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5.4</v>
      </c>
      <c r="Y127" s="55">
        <f t="shared" si="15"/>
        <v>5.4</v>
      </c>
      <c r="Z127" s="41">
        <f t="shared" si="20"/>
        <v>1.302E-2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5.9039999999999999</v>
      </c>
      <c r="BN127" s="78">
        <f t="shared" si="17"/>
        <v>5.9039999999999999</v>
      </c>
      <c r="BO127" s="78">
        <f t="shared" si="18"/>
        <v>1.098901098901099E-2</v>
      </c>
      <c r="BP127" s="78">
        <f t="shared" si="19"/>
        <v>1.098901098901099E-2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12</v>
      </c>
      <c r="Y131" s="43">
        <f>IFERROR(Y123/H123,"0")+IFERROR(Y124/H124,"0")+IFERROR(Y125/H125,"0")+IFERROR(Y126/H126,"0")+IFERROR(Y127/H127,"0")+IFERROR(Y128/H128,"0")+IFERROR(Y129/H129,"0")+IFERROR(Y130/H130,"0")</f>
        <v>12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0.20282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86.4</v>
      </c>
      <c r="Y132" s="43">
        <f>IFERROR(SUM(Y123:Y130),"0")</f>
        <v>86.4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9.6</v>
      </c>
      <c r="Y140" s="55">
        <f>IFERROR(IF(X140="",0,CEILING((X140/$H140),1)*$H140),"")</f>
        <v>9.6000000000000014</v>
      </c>
      <c r="Z140" s="41">
        <f>IFERROR(IF(Y140=0,"",ROUNDUP(Y140/H140,0)*0.00651),"")</f>
        <v>1.9529999999999999E-2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10.139999999999999</v>
      </c>
      <c r="BN140" s="78">
        <f>IFERROR(Y140*I140/H140,"0")</f>
        <v>10.139999999999999</v>
      </c>
      <c r="BO140" s="78">
        <f>IFERROR(1/J140*(X140/H140),"0")</f>
        <v>1.6483516483516484E-2</v>
      </c>
      <c r="BP140" s="78">
        <f>IFERROR(1/J140*(Y140/H140),"0")</f>
        <v>1.6483516483516487E-2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2.9999999999999996</v>
      </c>
      <c r="Y142" s="43">
        <f>IFERROR(Y140/H140,"0")+IFERROR(Y141/H141,"0")</f>
        <v>3.0000000000000004</v>
      </c>
      <c r="Z142" s="43">
        <f>IFERROR(IF(Z140="",0,Z140),"0")+IFERROR(IF(Z141="",0,Z141),"0")</f>
        <v>1.9529999999999999E-2</v>
      </c>
      <c r="AA142" s="67"/>
      <c r="AB142" s="67"/>
      <c r="AC142" s="67"/>
    </row>
    <row r="143" spans="1:68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9.6</v>
      </c>
      <c r="Y143" s="43">
        <f>IFERROR(SUM(Y140:Y141),"0")</f>
        <v>9.6000000000000014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8.4</v>
      </c>
      <c r="Y145" s="55">
        <f>IFERROR(IF(X145="",0,CEILING((X145/$H145),1)*$H145),"")</f>
        <v>8.3999999999999986</v>
      </c>
      <c r="Z145" s="41">
        <f>IFERROR(IF(Y145=0,"",ROUNDUP(Y145/H145,0)*0.00651),"")</f>
        <v>1.9529999999999999E-2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9.2040000000000006</v>
      </c>
      <c r="BN145" s="78">
        <f>IFERROR(Y145*I145/H145,"0")</f>
        <v>9.2039999999999988</v>
      </c>
      <c r="BO145" s="78">
        <f>IFERROR(1/J145*(X145/H145),"0")</f>
        <v>1.6483516483516487E-2</v>
      </c>
      <c r="BP145" s="78">
        <f>IFERROR(1/J145*(Y145/H145),"0")</f>
        <v>1.6483516483516484E-2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3.0000000000000004</v>
      </c>
      <c r="Y147" s="43">
        <f>IFERROR(Y145/H145,"0")+IFERROR(Y146/H146,"0")</f>
        <v>2.9999999999999996</v>
      </c>
      <c r="Z147" s="43">
        <f>IFERROR(IF(Z145="",0,Z145),"0")+IFERROR(IF(Z146="",0,Z146),"0")</f>
        <v>1.9529999999999999E-2</v>
      </c>
      <c r="AA147" s="67"/>
      <c r="AB147" s="67"/>
      <c r="AC147" s="67"/>
    </row>
    <row r="148" spans="1:68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8.4</v>
      </c>
      <c r="Y148" s="43">
        <f>IFERROR(SUM(Y145:Y146),"0")</f>
        <v>8.3999999999999986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30</v>
      </c>
      <c r="Y171" s="55">
        <f>IFERROR(IF(X171="",0,CEILING((X171/$H171),1)*$H171),"")</f>
        <v>30</v>
      </c>
      <c r="Z171" s="41">
        <f>IFERROR(IF(Y171=0,"",ROUNDUP(Y171/H171,0)*0.01196),"")</f>
        <v>5.9799999999999999E-2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31.75</v>
      </c>
      <c r="BN171" s="78">
        <f>IFERROR(Y171*I171/H171,"0")</f>
        <v>31.75</v>
      </c>
      <c r="BO171" s="78">
        <f>IFERROR(1/J171*(X171/H171),"0")</f>
        <v>4.807692307692308E-2</v>
      </c>
      <c r="BP171" s="78">
        <f>IFERROR(1/J171*(Y171/H171),"0")</f>
        <v>4.807692307692308E-2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5</v>
      </c>
      <c r="Y174" s="43">
        <f>IFERROR(Y171/H171,"0")+IFERROR(Y172/H172,"0")+IFERROR(Y173/H173,"0")</f>
        <v>5</v>
      </c>
      <c r="Z174" s="43">
        <f>IFERROR(IF(Z171="",0,Z171),"0")+IFERROR(IF(Z172="",0,Z172),"0")+IFERROR(IF(Z173="",0,Z173),"0")</f>
        <v>5.9799999999999999E-2</v>
      </c>
      <c r="AA174" s="67"/>
      <c r="AB174" s="67"/>
      <c r="AC174" s="67"/>
    </row>
    <row r="175" spans="1:68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30</v>
      </c>
      <c r="Y175" s="43">
        <f>IFERROR(SUM(Y171:Y173),"0")</f>
        <v>30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35</v>
      </c>
      <c r="Y182" s="55">
        <f t="shared" ref="Y182:Y195" si="27">IFERROR(IF(X182="",0,CEILING((X182/$H182),1)*$H182),"")</f>
        <v>35</v>
      </c>
      <c r="Z182" s="41">
        <f t="shared" ref="Z182:Z187" si="28">IFERROR(IF(Y182=0,"",ROUNDUP(Y182/H182,0)*0.00902),"")</f>
        <v>9.0200000000000002E-2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36.9</v>
      </c>
      <c r="BN182" s="78">
        <f t="shared" ref="BN182:BN195" si="30">IFERROR(Y182*I182/H182,"0")</f>
        <v>36.9</v>
      </c>
      <c r="BO182" s="78">
        <f t="shared" ref="BO182:BO195" si="31">IFERROR(1/J182*(X182/H182),"0")</f>
        <v>7.575757575757576E-2</v>
      </c>
      <c r="BP182" s="78">
        <f t="shared" ref="BP182:BP195" si="32">IFERROR(1/J182*(Y182/H182),"0")</f>
        <v>7.575757575757576E-2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24.5</v>
      </c>
      <c r="Y183" s="55">
        <f t="shared" si="27"/>
        <v>24.5</v>
      </c>
      <c r="Z183" s="41">
        <f t="shared" si="28"/>
        <v>6.3140000000000002E-2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26.355</v>
      </c>
      <c r="BN183" s="78">
        <f t="shared" si="30"/>
        <v>26.355</v>
      </c>
      <c r="BO183" s="78">
        <f t="shared" si="31"/>
        <v>5.3030303030303032E-2</v>
      </c>
      <c r="BP183" s="78">
        <f t="shared" si="32"/>
        <v>5.3030303030303032E-2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17.5</v>
      </c>
      <c r="Y184" s="55">
        <f t="shared" si="27"/>
        <v>17.5</v>
      </c>
      <c r="Z184" s="41">
        <f t="shared" si="28"/>
        <v>4.5100000000000001E-2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18.45</v>
      </c>
      <c r="BN184" s="78">
        <f t="shared" si="30"/>
        <v>18.45</v>
      </c>
      <c r="BO184" s="78">
        <f t="shared" si="31"/>
        <v>3.787878787878788E-2</v>
      </c>
      <c r="BP184" s="78">
        <f t="shared" si="32"/>
        <v>3.787878787878788E-2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35</v>
      </c>
      <c r="Y186" s="55">
        <f t="shared" si="27"/>
        <v>35</v>
      </c>
      <c r="Z186" s="41">
        <f t="shared" si="28"/>
        <v>9.0200000000000002E-2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36.9</v>
      </c>
      <c r="BN186" s="78">
        <f t="shared" si="30"/>
        <v>36.9</v>
      </c>
      <c r="BO186" s="78">
        <f t="shared" si="31"/>
        <v>7.575757575757576E-2</v>
      </c>
      <c r="BP186" s="78">
        <f t="shared" si="32"/>
        <v>7.575757575757576E-2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11.76</v>
      </c>
      <c r="Y190" s="55">
        <f t="shared" si="27"/>
        <v>11.76</v>
      </c>
      <c r="Z190" s="41">
        <f>IFERROR(IF(Y190=0,"",ROUNDUP(Y190/H190,0)*0.00502),"")</f>
        <v>3.5140000000000005E-2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12.46</v>
      </c>
      <c r="BN190" s="78">
        <f t="shared" si="30"/>
        <v>12.46</v>
      </c>
      <c r="BO190" s="78">
        <f t="shared" si="31"/>
        <v>2.9914529914529919E-2</v>
      </c>
      <c r="BP190" s="78">
        <f t="shared" si="32"/>
        <v>2.9914529914529919E-2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11.76</v>
      </c>
      <c r="Y192" s="55">
        <f t="shared" si="27"/>
        <v>11.76</v>
      </c>
      <c r="Z192" s="41">
        <f>IFERROR(IF(Y192=0,"",ROUNDUP(Y192/H192,0)*0.00502),"")</f>
        <v>3.5140000000000005E-2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12.46</v>
      </c>
      <c r="BN192" s="78">
        <f t="shared" si="30"/>
        <v>12.46</v>
      </c>
      <c r="BO192" s="78">
        <f t="shared" si="31"/>
        <v>2.9914529914529919E-2</v>
      </c>
      <c r="BP192" s="78">
        <f t="shared" si="32"/>
        <v>2.9914529914529919E-2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11.76</v>
      </c>
      <c r="Y195" s="55">
        <f t="shared" si="27"/>
        <v>11.76</v>
      </c>
      <c r="Z195" s="41">
        <f>IFERROR(IF(Y195=0,"",ROUNDUP(Y195/H195,0)*0.00502),"")</f>
        <v>3.5140000000000005E-2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12.46</v>
      </c>
      <c r="BN195" s="78">
        <f t="shared" si="30"/>
        <v>12.46</v>
      </c>
      <c r="BO195" s="78">
        <f t="shared" si="31"/>
        <v>2.9914529914529919E-2</v>
      </c>
      <c r="BP195" s="78">
        <f t="shared" si="32"/>
        <v>2.9914529914529919E-2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53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0.39406000000000002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147.28</v>
      </c>
      <c r="Y197" s="43">
        <f>IFERROR(SUM(Y182:Y195),"0")</f>
        <v>147.28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9.9</v>
      </c>
      <c r="Y226" s="55">
        <f>IFERROR(IF(X226="",0,CEILING((X226/$H226),1)*$H226),"")</f>
        <v>9.9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10.400000000000002</v>
      </c>
      <c r="BN226" s="78">
        <f>IFERROR(Y226*I226/H226,"0")</f>
        <v>10.400000000000002</v>
      </c>
      <c r="BO226" s="78">
        <f>IFERROR(1/J226*(X226/H226),"0")</f>
        <v>2.1367521367521368E-2</v>
      </c>
      <c r="BP226" s="78">
        <f>IFERROR(1/J226*(Y226/H226),"0")</f>
        <v>2.1367521367521368E-2</v>
      </c>
    </row>
    <row r="227" spans="1:68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5</v>
      </c>
      <c r="Y227" s="43">
        <f>IFERROR(Y226/H226,"0")</f>
        <v>5</v>
      </c>
      <c r="Z227" s="43">
        <f>IFERROR(IF(Z226="",0,Z226),"0")</f>
        <v>2.5100000000000001E-2</v>
      </c>
      <c r="AA227" s="67"/>
      <c r="AB227" s="67"/>
      <c r="AC227" s="67"/>
    </row>
    <row r="228" spans="1:68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9.9</v>
      </c>
      <c r="Y228" s="43">
        <f>IFERROR(SUM(Y226:Y226),"0")</f>
        <v>9.9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29.4</v>
      </c>
      <c r="Y230" s="55">
        <f t="shared" ref="Y230:Y243" si="39">IFERROR(IF(X230="",0,CEILING((X230/$H230),1)*$H230),"")</f>
        <v>29.400000000000002</v>
      </c>
      <c r="Z230" s="41">
        <f>IFERROR(IF(Y230=0,"",ROUNDUP(Y230/H230,0)*0.00902),"")</f>
        <v>6.3140000000000002E-2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31.150000000000002</v>
      </c>
      <c r="BN230" s="78">
        <f t="shared" ref="BN230:BN243" si="41">IFERROR(Y230*I230/H230,"0")</f>
        <v>31.150000000000002</v>
      </c>
      <c r="BO230" s="78">
        <f t="shared" ref="BO230:BO243" si="42">IFERROR(1/J230*(X230/H230),"0")</f>
        <v>5.3030303030303025E-2</v>
      </c>
      <c r="BP230" s="78">
        <f t="shared" ref="BP230:BP243" si="43">IFERROR(1/J230*(Y230/H230),"0")</f>
        <v>5.3030303030303032E-2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21</v>
      </c>
      <c r="Y231" s="55">
        <f t="shared" si="39"/>
        <v>21</v>
      </c>
      <c r="Z231" s="41">
        <f>IFERROR(IF(Y231=0,"",ROUNDUP(Y231/H231,0)*0.00902),"")</f>
        <v>4.5100000000000001E-2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22.25</v>
      </c>
      <c r="BN231" s="78">
        <f t="shared" si="41"/>
        <v>22.25</v>
      </c>
      <c r="BO231" s="78">
        <f t="shared" si="42"/>
        <v>3.787878787878788E-2</v>
      </c>
      <c r="BP231" s="78">
        <f t="shared" si="43"/>
        <v>3.787878787878788E-2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29.4</v>
      </c>
      <c r="Y232" s="55">
        <f t="shared" si="39"/>
        <v>29.400000000000002</v>
      </c>
      <c r="Z232" s="41">
        <f>IFERROR(IF(Y232=0,"",ROUNDUP(Y232/H232,0)*0.00902),"")</f>
        <v>6.3140000000000002E-2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30.729999999999993</v>
      </c>
      <c r="BN232" s="78">
        <f t="shared" si="41"/>
        <v>30.73</v>
      </c>
      <c r="BO232" s="78">
        <f t="shared" si="42"/>
        <v>5.3030303030303025E-2</v>
      </c>
      <c r="BP232" s="78">
        <f t="shared" si="43"/>
        <v>5.3030303030303032E-2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14.7</v>
      </c>
      <c r="Y234" s="55">
        <f t="shared" si="39"/>
        <v>14.700000000000001</v>
      </c>
      <c r="Z234" s="41">
        <f t="shared" ref="Z234:Z239" si="44">IFERROR(IF(Y234=0,"",ROUNDUP(Y234/H234,0)*0.00502),"")</f>
        <v>3.5140000000000005E-2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15.61</v>
      </c>
      <c r="BN234" s="78">
        <f t="shared" si="41"/>
        <v>15.61</v>
      </c>
      <c r="BO234" s="78">
        <f t="shared" si="42"/>
        <v>2.9914529914529912E-2</v>
      </c>
      <c r="BP234" s="78">
        <f t="shared" si="43"/>
        <v>2.9914529914529919E-2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14.7</v>
      </c>
      <c r="Y236" s="55">
        <f t="shared" si="39"/>
        <v>14.700000000000001</v>
      </c>
      <c r="Z236" s="41">
        <f t="shared" si="44"/>
        <v>3.5140000000000005E-2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15.61</v>
      </c>
      <c r="BN236" s="78">
        <f t="shared" si="41"/>
        <v>15.61</v>
      </c>
      <c r="BO236" s="78">
        <f t="shared" si="42"/>
        <v>2.9914529914529912E-2</v>
      </c>
      <c r="BP236" s="78">
        <f t="shared" si="43"/>
        <v>2.9914529914529919E-2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/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14.7</v>
      </c>
      <c r="Y238" s="55">
        <f t="shared" si="39"/>
        <v>14.700000000000001</v>
      </c>
      <c r="Z238" s="41">
        <f t="shared" si="44"/>
        <v>3.5140000000000005E-2</v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15.4</v>
      </c>
      <c r="BN238" s="78">
        <f t="shared" si="41"/>
        <v>15.4</v>
      </c>
      <c r="BO238" s="78">
        <f t="shared" si="42"/>
        <v>2.9914529914529912E-2</v>
      </c>
      <c r="BP238" s="78">
        <f t="shared" si="43"/>
        <v>2.9914529914529919E-2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12.6</v>
      </c>
      <c r="Y239" s="55">
        <f t="shared" si="39"/>
        <v>12.6</v>
      </c>
      <c r="Z239" s="41">
        <f t="shared" si="44"/>
        <v>3.5140000000000005E-2</v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13.509999999999998</v>
      </c>
      <c r="BN239" s="78">
        <f t="shared" si="41"/>
        <v>13.509999999999998</v>
      </c>
      <c r="BO239" s="78">
        <f t="shared" si="42"/>
        <v>2.9914529914529919E-2</v>
      </c>
      <c r="BP239" s="78">
        <f t="shared" si="43"/>
        <v>2.9914529914529919E-2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14.7</v>
      </c>
      <c r="Y241" s="55">
        <f t="shared" si="39"/>
        <v>14.700000000000001</v>
      </c>
      <c r="Z241" s="41">
        <f>IFERROR(IF(Y241=0,"",ROUNDUP(Y241/H241,0)*0.00502),"")</f>
        <v>3.5140000000000005E-2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15.4</v>
      </c>
      <c r="BN241" s="78">
        <f t="shared" si="41"/>
        <v>15.4</v>
      </c>
      <c r="BO241" s="78">
        <f t="shared" si="42"/>
        <v>2.9914529914529912E-2</v>
      </c>
      <c r="BP241" s="78">
        <f t="shared" si="43"/>
        <v>2.9914529914529919E-2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54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54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0.34708000000000006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151.19999999999999</v>
      </c>
      <c r="Y245" s="43">
        <f>IFERROR(SUM(Y230:Y243),"0")</f>
        <v>151.20000000000002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9.6</v>
      </c>
      <c r="Y247" s="55">
        <f>IFERROR(IF(X247="",0,CEILING((X247/$H247),1)*$H247),"")</f>
        <v>9.6</v>
      </c>
      <c r="Z247" s="41">
        <f>IFERROR(IF(Y247=0,"",ROUNDUP(Y247/H247,0)*0.01196),"")</f>
        <v>2.392E-2</v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10.444000000000001</v>
      </c>
      <c r="BN247" s="78">
        <f>IFERROR(Y247*I247/H247,"0")</f>
        <v>10.444000000000001</v>
      </c>
      <c r="BO247" s="78">
        <f>IFERROR(1/J247*(X247/H247),"0")</f>
        <v>1.9230769230769232E-2</v>
      </c>
      <c r="BP247" s="78">
        <f>IFERROR(1/J247*(Y247/H247),"0")</f>
        <v>1.9230769230769232E-2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9.6</v>
      </c>
      <c r="Y248" s="55">
        <f>IFERROR(IF(X248="",0,CEILING((X248/$H248),1)*$H248),"")</f>
        <v>9.6</v>
      </c>
      <c r="Z248" s="41">
        <f>IFERROR(IF(Y248=0,"",ROUNDUP(Y248/H248,0)*0.01196),"")</f>
        <v>2.392E-2</v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10.444000000000001</v>
      </c>
      <c r="BN248" s="78">
        <f>IFERROR(Y248*I248/H248,"0")</f>
        <v>10.444000000000001</v>
      </c>
      <c r="BO248" s="78">
        <f>IFERROR(1/J248*(X248/H248),"0")</f>
        <v>1.9230769230769232E-2</v>
      </c>
      <c r="BP248" s="78">
        <f>IFERROR(1/J248*(Y248/H248),"0")</f>
        <v>1.9230769230769232E-2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2.16</v>
      </c>
      <c r="Y249" s="55">
        <f>IFERROR(IF(X249="",0,CEILING((X249/$H249),1)*$H249),"")</f>
        <v>2.16</v>
      </c>
      <c r="Z249" s="41">
        <f>IFERROR(IF(Y249=0,"",ROUNDUP(Y249/H249,0)*0.00902),"")</f>
        <v>9.0200000000000002E-3</v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2.4220000000000002</v>
      </c>
      <c r="BN249" s="78">
        <f>IFERROR(Y249*I249/H249,"0")</f>
        <v>2.4220000000000002</v>
      </c>
      <c r="BO249" s="78">
        <f>IFERROR(1/J249*(X249/H249),"0")</f>
        <v>7.575757575757576E-3</v>
      </c>
      <c r="BP249" s="78">
        <f>IFERROR(1/J249*(Y249/H249),"0")</f>
        <v>7.575757575757576E-3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2.16</v>
      </c>
      <c r="Y251" s="55">
        <f>IFERROR(IF(X251="",0,CEILING((X251/$H251),1)*$H251),"")</f>
        <v>2.16</v>
      </c>
      <c r="Z251" s="41">
        <f>IFERROR(IF(Y251=0,"",ROUNDUP(Y251/H251,0)*0.00902),"")</f>
        <v>9.0200000000000002E-3</v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2.4220000000000002</v>
      </c>
      <c r="BN251" s="78">
        <f>IFERROR(Y251*I251/H251,"0")</f>
        <v>2.4220000000000002</v>
      </c>
      <c r="BO251" s="78">
        <f>IFERROR(1/J251*(X251/H251),"0")</f>
        <v>7.575757575757576E-3</v>
      </c>
      <c r="BP251" s="78">
        <f>IFERROR(1/J251*(Y251/H251),"0")</f>
        <v>7.575757575757576E-3</v>
      </c>
    </row>
    <row r="252" spans="1:68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6</v>
      </c>
      <c r="Y252" s="43">
        <f>IFERROR(Y247/H247,"0")+IFERROR(Y248/H248,"0")+IFERROR(Y249/H249,"0")+IFERROR(Y250/H250,"0")+IFERROR(Y251/H251,"0")</f>
        <v>6</v>
      </c>
      <c r="Z252" s="43">
        <f>IFERROR(IF(Z247="",0,Z247),"0")+IFERROR(IF(Z248="",0,Z248),"0")+IFERROR(IF(Z249="",0,Z249),"0")+IFERROR(IF(Z250="",0,Z250),"0")+IFERROR(IF(Z251="",0,Z251),"0")</f>
        <v>6.5879999999999994E-2</v>
      </c>
      <c r="AA252" s="67"/>
      <c r="AB252" s="67"/>
      <c r="AC252" s="67"/>
    </row>
    <row r="253" spans="1:68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23.52</v>
      </c>
      <c r="Y253" s="43">
        <f>IFERROR(SUM(Y247:Y251),"0")</f>
        <v>23.52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27</v>
      </c>
      <c r="Y276" s="55">
        <f t="shared" ref="Y276:Y283" si="45">IFERROR(IF(X276="",0,CEILING((X276/$H276),1)*$H276),"")</f>
        <v>27</v>
      </c>
      <c r="Z276" s="41">
        <f>IFERROR(IF(Y276=0,"",ROUNDUP(Y276/H276,0)*0.00902),"")</f>
        <v>4.5100000000000001E-2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27.95</v>
      </c>
      <c r="BN276" s="78">
        <f t="shared" ref="BN276:BN283" si="47">IFERROR(Y276*I276/H276,"0")</f>
        <v>27.95</v>
      </c>
      <c r="BO276" s="78">
        <f t="shared" ref="BO276:BO283" si="48">IFERROR(1/J276*(X276/H276),"0")</f>
        <v>3.787878787878788E-2</v>
      </c>
      <c r="BP276" s="78">
        <f t="shared" ref="BP276:BP283" si="49">IFERROR(1/J276*(Y276/H276),"0")</f>
        <v>3.787878787878788E-2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27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27.95</v>
      </c>
      <c r="BN277" s="78">
        <f t="shared" si="47"/>
        <v>27.95</v>
      </c>
      <c r="BO277" s="78">
        <f t="shared" si="48"/>
        <v>3.787878787878788E-2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27</v>
      </c>
      <c r="Y278" s="55">
        <f t="shared" si="45"/>
        <v>27</v>
      </c>
      <c r="Z278" s="41">
        <f>IFERROR(IF(Y278=0,"",ROUNDUP(Y278/H278,0)*0.00902),"")</f>
        <v>4.5100000000000001E-2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27.95</v>
      </c>
      <c r="BN278" s="78">
        <f t="shared" si="47"/>
        <v>27.95</v>
      </c>
      <c r="BO278" s="78">
        <f t="shared" si="48"/>
        <v>3.787878787878788E-2</v>
      </c>
      <c r="BP278" s="78">
        <f t="shared" si="49"/>
        <v>3.787878787878788E-2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27</v>
      </c>
      <c r="Y279" s="55">
        <f t="shared" si="45"/>
        <v>27</v>
      </c>
      <c r="Z279" s="41">
        <f>IFERROR(IF(Y279=0,"",ROUNDUP(Y279/H279,0)*0.00902),"")</f>
        <v>4.5100000000000001E-2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27.95</v>
      </c>
      <c r="BN279" s="78">
        <f t="shared" si="47"/>
        <v>27.95</v>
      </c>
      <c r="BO279" s="78">
        <f t="shared" si="48"/>
        <v>3.787878787878788E-2</v>
      </c>
      <c r="BP279" s="78">
        <f t="shared" si="49"/>
        <v>3.787878787878788E-2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12.6</v>
      </c>
      <c r="Y280" s="55">
        <f t="shared" si="45"/>
        <v>12.6</v>
      </c>
      <c r="Z280" s="41">
        <f>IFERROR(IF(Y280=0,"",ROUNDUP(Y280/H280,0)*0.00502),"")</f>
        <v>3.5140000000000005E-2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13.509999999999998</v>
      </c>
      <c r="BN280" s="78">
        <f t="shared" si="47"/>
        <v>13.509999999999998</v>
      </c>
      <c r="BO280" s="78">
        <f t="shared" si="48"/>
        <v>2.9914529914529919E-2</v>
      </c>
      <c r="BP280" s="78">
        <f t="shared" si="49"/>
        <v>2.9914529914529919E-2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12.6</v>
      </c>
      <c r="Y281" s="55">
        <f t="shared" si="45"/>
        <v>12.6</v>
      </c>
      <c r="Z281" s="41">
        <f>IFERROR(IF(Y281=0,"",ROUNDUP(Y281/H281,0)*0.00502),"")</f>
        <v>3.5140000000000005E-2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13.299999999999999</v>
      </c>
      <c r="BN281" s="78">
        <f t="shared" si="47"/>
        <v>13.299999999999999</v>
      </c>
      <c r="BO281" s="78">
        <f t="shared" si="48"/>
        <v>2.9914529914529919E-2</v>
      </c>
      <c r="BP281" s="78">
        <f t="shared" si="49"/>
        <v>2.9914529914529919E-2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12.6</v>
      </c>
      <c r="Y282" s="55">
        <f t="shared" si="45"/>
        <v>12.6</v>
      </c>
      <c r="Z282" s="41">
        <f>IFERROR(IF(Y282=0,"",ROUNDUP(Y282/H282,0)*0.00502),"")</f>
        <v>3.5140000000000005E-2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13.299999999999999</v>
      </c>
      <c r="BN282" s="78">
        <f t="shared" si="47"/>
        <v>13.299999999999999</v>
      </c>
      <c r="BO282" s="78">
        <f t="shared" si="48"/>
        <v>2.9914529914529919E-2</v>
      </c>
      <c r="BP282" s="78">
        <f t="shared" si="49"/>
        <v>2.9914529914529919E-2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12.6</v>
      </c>
      <c r="Y283" s="55">
        <f t="shared" si="45"/>
        <v>12.6</v>
      </c>
      <c r="Z283" s="41">
        <f>IFERROR(IF(Y283=0,"",ROUNDUP(Y283/H283,0)*0.00502),"")</f>
        <v>3.5140000000000005E-2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13.299999999999999</v>
      </c>
      <c r="BN283" s="78">
        <f t="shared" si="47"/>
        <v>13.299999999999999</v>
      </c>
      <c r="BO283" s="78">
        <f t="shared" si="48"/>
        <v>2.9914529914529919E-2</v>
      </c>
      <c r="BP283" s="78">
        <f t="shared" si="49"/>
        <v>2.9914529914529919E-2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48</v>
      </c>
      <c r="Y284" s="43">
        <f>IFERROR(Y276/H276,"0")+IFERROR(Y277/H277,"0")+IFERROR(Y278/H278,"0")+IFERROR(Y279/H279,"0")+IFERROR(Y280/H280,"0")+IFERROR(Y281/H281,"0")+IFERROR(Y282/H282,"0")+IFERROR(Y283/H283,"0")</f>
        <v>48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0.32096000000000002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158.39999999999998</v>
      </c>
      <c r="Y285" s="43">
        <f>IFERROR(SUM(Y276:Y283),"0")</f>
        <v>158.39999999999998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40.5</v>
      </c>
      <c r="Y287" s="55">
        <f t="shared" ref="Y287:Y298" si="50">IFERROR(IF(X287="",0,CEILING((X287/$H287),1)*$H287),"")</f>
        <v>40.5</v>
      </c>
      <c r="Z287" s="41">
        <f>IFERROR(IF(Y287=0,"",ROUNDUP(Y287/H287,0)*0.01898),"")</f>
        <v>9.4899999999999998E-2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42.97</v>
      </c>
      <c r="BN287" s="78">
        <f t="shared" ref="BN287:BN298" si="52">IFERROR(Y287*I287/H287,"0")</f>
        <v>42.97</v>
      </c>
      <c r="BO287" s="78">
        <f t="shared" ref="BO287:BO298" si="53">IFERROR(1/J287*(X287/H287),"0")</f>
        <v>7.8125E-2</v>
      </c>
      <c r="BP287" s="78">
        <f t="shared" ref="BP287:BP298" si="54">IFERROR(1/J287*(Y287/H287),"0")</f>
        <v>7.8125E-2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40.5</v>
      </c>
      <c r="Y288" s="55">
        <f t="shared" si="50"/>
        <v>40.5</v>
      </c>
      <c r="Z288" s="41">
        <f>IFERROR(IF(Y288=0,"",ROUNDUP(Y288/H288,0)*0.01898),"")</f>
        <v>9.4899999999999998E-2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42.88</v>
      </c>
      <c r="BN288" s="78">
        <f t="shared" si="52"/>
        <v>42.88</v>
      </c>
      <c r="BO288" s="78">
        <f t="shared" si="53"/>
        <v>7.8125E-2</v>
      </c>
      <c r="BP288" s="78">
        <f t="shared" si="54"/>
        <v>7.8125E-2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43.5</v>
      </c>
      <c r="Y289" s="55">
        <f t="shared" si="50"/>
        <v>43.5</v>
      </c>
      <c r="Z289" s="41">
        <f>IFERROR(IF(Y289=0,"",ROUNDUP(Y289/H289,0)*0.01898),"")</f>
        <v>9.4899999999999998E-2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45.970000000000006</v>
      </c>
      <c r="BN289" s="78">
        <f t="shared" si="52"/>
        <v>45.970000000000006</v>
      </c>
      <c r="BO289" s="78">
        <f t="shared" si="53"/>
        <v>7.8125E-2</v>
      </c>
      <c r="BP289" s="78">
        <f t="shared" si="54"/>
        <v>7.8125E-2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4.8</v>
      </c>
      <c r="Y290" s="55">
        <f t="shared" si="50"/>
        <v>4.8</v>
      </c>
      <c r="Z290" s="41">
        <f>IFERROR(IF(Y290=0,"",ROUNDUP(Y290/H290,0)*0.00651),"")</f>
        <v>1.302E-2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5.34</v>
      </c>
      <c r="BN290" s="78">
        <f t="shared" si="52"/>
        <v>5.34</v>
      </c>
      <c r="BO290" s="78">
        <f t="shared" si="53"/>
        <v>1.098901098901099E-2</v>
      </c>
      <c r="BP290" s="78">
        <f t="shared" si="54"/>
        <v>1.098901098901099E-2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4.8</v>
      </c>
      <c r="Y293" s="55">
        <f t="shared" si="50"/>
        <v>4.8</v>
      </c>
      <c r="Z293" s="41">
        <f>IFERROR(IF(Y293=0,"",ROUNDUP(Y293/H293,0)*0.00651),"")</f>
        <v>1.302E-2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5.3040000000000003</v>
      </c>
      <c r="BN293" s="78">
        <f t="shared" si="52"/>
        <v>5.3040000000000003</v>
      </c>
      <c r="BO293" s="78">
        <f t="shared" si="53"/>
        <v>1.098901098901099E-2</v>
      </c>
      <c r="BP293" s="78">
        <f t="shared" si="54"/>
        <v>1.098901098901099E-2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4.8</v>
      </c>
      <c r="Y295" s="55">
        <f t="shared" si="50"/>
        <v>4.8</v>
      </c>
      <c r="Z295" s="41">
        <f>IFERROR(IF(Y295=0,"",ROUNDUP(Y295/H295,0)*0.00651),"")</f>
        <v>1.302E-2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5.3040000000000003</v>
      </c>
      <c r="BN295" s="78">
        <f t="shared" si="52"/>
        <v>5.3040000000000003</v>
      </c>
      <c r="BO295" s="78">
        <f t="shared" si="53"/>
        <v>1.098901098901099E-2</v>
      </c>
      <c r="BP295" s="78">
        <f t="shared" si="54"/>
        <v>1.098901098901099E-2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4.8</v>
      </c>
      <c r="Y296" s="55">
        <f t="shared" si="50"/>
        <v>4.8</v>
      </c>
      <c r="Z296" s="41">
        <f>IFERROR(IF(Y296=0,"",ROUNDUP(Y296/H296,0)*0.00651),"")</f>
        <v>1.302E-2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5.3040000000000003</v>
      </c>
      <c r="BN296" s="78">
        <f t="shared" si="52"/>
        <v>5.3040000000000003</v>
      </c>
      <c r="BO296" s="78">
        <f t="shared" si="53"/>
        <v>1.098901098901099E-2</v>
      </c>
      <c r="BP296" s="78">
        <f t="shared" si="54"/>
        <v>1.098901098901099E-2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4.8</v>
      </c>
      <c r="Y297" s="55">
        <f t="shared" si="50"/>
        <v>4.8</v>
      </c>
      <c r="Z297" s="41">
        <f>IFERROR(IF(Y297=0,"",ROUNDUP(Y297/H297,0)*0.00651),"")</f>
        <v>1.302E-2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5.3159999999999998</v>
      </c>
      <c r="BN297" s="78">
        <f t="shared" si="52"/>
        <v>5.3159999999999998</v>
      </c>
      <c r="BO297" s="78">
        <f t="shared" si="53"/>
        <v>1.098901098901099E-2</v>
      </c>
      <c r="BP297" s="78">
        <f t="shared" si="54"/>
        <v>1.098901098901099E-2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4.8</v>
      </c>
      <c r="Y298" s="55">
        <f t="shared" si="50"/>
        <v>4.8</v>
      </c>
      <c r="Z298" s="41">
        <f>IFERROR(IF(Y298=0,"",ROUNDUP(Y298/H298,0)*0.00651),"")</f>
        <v>1.302E-2</v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5.3040000000000003</v>
      </c>
      <c r="BN298" s="78">
        <f t="shared" si="52"/>
        <v>5.3040000000000003</v>
      </c>
      <c r="BO298" s="78">
        <f t="shared" si="53"/>
        <v>1.098901098901099E-2</v>
      </c>
      <c r="BP298" s="78">
        <f t="shared" si="54"/>
        <v>1.098901098901099E-2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27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0.36281999999999986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153.30000000000007</v>
      </c>
      <c r="Y300" s="43">
        <f>IFERROR(SUM(Y287:Y298),"0")</f>
        <v>153.30000000000007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108</v>
      </c>
      <c r="Y333" s="55">
        <f>IFERROR(IF(X333="",0,CEILING((X333/$H333),1)*$H333),"")</f>
        <v>108</v>
      </c>
      <c r="Z333" s="41">
        <f>IFERROR(IF(Y333=0,"",ROUNDUP(Y333/H333,0)*0.01898),"")</f>
        <v>0.1898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112.1</v>
      </c>
      <c r="BN333" s="78">
        <f>IFERROR(Y333*I333/H333,"0")</f>
        <v>112.1</v>
      </c>
      <c r="BO333" s="78">
        <f>IFERROR(1/J333*(X333/H333),"0")</f>
        <v>0.15625</v>
      </c>
      <c r="BP333" s="78">
        <f>IFERROR(1/J333*(Y333/H333),"0")</f>
        <v>0.15625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54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56.05</v>
      </c>
      <c r="BN335" s="78">
        <f>IFERROR(Y335*I335/H335,"0")</f>
        <v>56.05</v>
      </c>
      <c r="BO335" s="78">
        <f>IFERROR(1/J335*(X335/H335),"0")</f>
        <v>7.8125E-2</v>
      </c>
      <c r="BP335" s="78">
        <f>IFERROR(1/J335*(Y335/H335),"0")</f>
        <v>7.8125E-2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12</v>
      </c>
      <c r="Y337" s="55">
        <f>IFERROR(IF(X337="",0,CEILING((X337/$H337),1)*$H337),"")</f>
        <v>12</v>
      </c>
      <c r="Z337" s="41">
        <f>IFERROR(IF(Y337=0,"",ROUNDUP(Y337/H337,0)*0.00902),"")</f>
        <v>2.7060000000000001E-2</v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12.57</v>
      </c>
      <c r="BN337" s="78">
        <f>IFERROR(Y337*I337/H337,"0")</f>
        <v>12.57</v>
      </c>
      <c r="BO337" s="78">
        <f>IFERROR(1/J337*(X337/H337),"0")</f>
        <v>2.2727272727272728E-2</v>
      </c>
      <c r="BP337" s="78">
        <f>IFERROR(1/J337*(Y337/H337),"0")</f>
        <v>2.2727272727272728E-2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21</v>
      </c>
      <c r="Y338" s="43">
        <f>IFERROR(Y333/H333,"0")+IFERROR(Y334/H334,"0")+IFERROR(Y335/H335,"0")+IFERROR(Y336/H336,"0")+IFERROR(Y337/H337,"0")</f>
        <v>21</v>
      </c>
      <c r="Z338" s="43">
        <f>IFERROR(IF(Z333="",0,Z333),"0")+IFERROR(IF(Z334="",0,Z334),"0")+IFERROR(IF(Z335="",0,Z335),"0")+IFERROR(IF(Z336="",0,Z336),"0")+IFERROR(IF(Z337="",0,Z337),"0")</f>
        <v>0.33882000000000001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186</v>
      </c>
      <c r="Y339" s="43">
        <f>IFERROR(SUM(Y333:Y337),"0")</f>
        <v>186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7.2</v>
      </c>
      <c r="Y343" s="55">
        <f>IFERROR(IF(X343="",0,CEILING((X343/$H343),1)*$H343),"")</f>
        <v>7.1999999999999993</v>
      </c>
      <c r="Z343" s="41">
        <f>IFERROR(IF(Y343=0,"",ROUNDUP(Y343/H343,0)*0.00651),"")</f>
        <v>1.9529999999999999E-2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7.9560000000000004</v>
      </c>
      <c r="BN343" s="78">
        <f>IFERROR(Y343*I343/H343,"0")</f>
        <v>7.9560000000000004</v>
      </c>
      <c r="BO343" s="78">
        <f>IFERROR(1/J343*(X343/H343),"0")</f>
        <v>1.6483516483516484E-2</v>
      </c>
      <c r="BP343" s="78">
        <f>IFERROR(1/J343*(Y343/H343),"0")</f>
        <v>1.6483516483516484E-2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7.2</v>
      </c>
      <c r="Y344" s="55">
        <f>IFERROR(IF(X344="",0,CEILING((X344/$H344),1)*$H344),"")</f>
        <v>7.1999999999999993</v>
      </c>
      <c r="Z344" s="41">
        <f>IFERROR(IF(Y344=0,"",ROUNDUP(Y344/H344,0)*0.00651),"")</f>
        <v>1.9529999999999999E-2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7.74</v>
      </c>
      <c r="BN344" s="78">
        <f>IFERROR(Y344*I344/H344,"0")</f>
        <v>7.7399999999999993</v>
      </c>
      <c r="BO344" s="78">
        <f>IFERROR(1/J344*(X344/H344),"0")</f>
        <v>1.6483516483516484E-2</v>
      </c>
      <c r="BP344" s="78">
        <f>IFERROR(1/J344*(Y344/H344),"0")</f>
        <v>1.6483516483516484E-2</v>
      </c>
    </row>
    <row r="345" spans="1:68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6</v>
      </c>
      <c r="Y345" s="43">
        <f>IFERROR(Y342/H342,"0")+IFERROR(Y343/H343,"0")+IFERROR(Y344/H344,"0")</f>
        <v>6</v>
      </c>
      <c r="Z345" s="43">
        <f>IFERROR(IF(Z342="",0,Z342),"0")+IFERROR(IF(Z343="",0,Z343),"0")+IFERROR(IF(Z344="",0,Z344),"0")</f>
        <v>3.9059999999999997E-2</v>
      </c>
      <c r="AA345" s="67"/>
      <c r="AB345" s="67"/>
      <c r="AC345" s="67"/>
    </row>
    <row r="346" spans="1:68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14.4</v>
      </c>
      <c r="Y346" s="43">
        <f>IFERROR(SUM(Y342:Y344),"0")</f>
        <v>14.399999999999999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14.7</v>
      </c>
      <c r="Y349" s="55">
        <f>IFERROR(IF(X349="",0,CEILING((X349/$H349),1)*$H349),"")</f>
        <v>14.700000000000001</v>
      </c>
      <c r="Z349" s="41">
        <f>IFERROR(IF(Y349=0,"",ROUNDUP(Y349/H349,0)*0.00502),"")</f>
        <v>3.5140000000000005E-2</v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15.61</v>
      </c>
      <c r="BN349" s="78">
        <f>IFERROR(Y349*I349/H349,"0")</f>
        <v>15.61</v>
      </c>
      <c r="BO349" s="78">
        <f>IFERROR(1/J349*(X349/H349),"0")</f>
        <v>2.9914529914529912E-2</v>
      </c>
      <c r="BP349" s="78">
        <f>IFERROR(1/J349*(Y349/H349),"0")</f>
        <v>2.9914529914529919E-2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4.6399999999999997</v>
      </c>
      <c r="Y350" s="55">
        <f>IFERROR(IF(X350="",0,CEILING((X350/$H350),1)*$H350),"")</f>
        <v>4.6399999999999997</v>
      </c>
      <c r="Z350" s="41">
        <f>IFERROR(IF(Y350=0,"",ROUNDUP(Y350/H350,0)*0.00502),"")</f>
        <v>1.004E-2</v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4.84</v>
      </c>
      <c r="BN350" s="78">
        <f>IFERROR(Y350*I350/H350,"0")</f>
        <v>4.84</v>
      </c>
      <c r="BO350" s="78">
        <f>IFERROR(1/J350*(X350/H350),"0")</f>
        <v>8.5470085470085479E-3</v>
      </c>
      <c r="BP350" s="78">
        <f>IFERROR(1/J350*(Y350/H350),"0")</f>
        <v>8.5470085470085479E-3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11.76</v>
      </c>
      <c r="Y351" s="55">
        <f>IFERROR(IF(X351="",0,CEILING((X351/$H351),1)*$H351),"")</f>
        <v>11.76</v>
      </c>
      <c r="Z351" s="41">
        <f>IFERROR(IF(Y351=0,"",ROUNDUP(Y351/H351,0)*0.00502),"")</f>
        <v>3.5140000000000005E-2</v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12.46</v>
      </c>
      <c r="BN351" s="78">
        <f>IFERROR(Y351*I351/H351,"0")</f>
        <v>12.46</v>
      </c>
      <c r="BO351" s="78">
        <f>IFERROR(1/J351*(X351/H351),"0")</f>
        <v>2.9914529914529919E-2</v>
      </c>
      <c r="BP351" s="78">
        <f>IFERROR(1/J351*(Y351/H351),"0")</f>
        <v>2.9914529914529919E-2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12</v>
      </c>
      <c r="Y352" s="55">
        <f>IFERROR(IF(X352="",0,CEILING((X352/$H352),1)*$H352),"")</f>
        <v>12</v>
      </c>
      <c r="Z352" s="41">
        <f>IFERROR(IF(Y352=0,"",ROUNDUP(Y352/H352,0)*0.00651),"")</f>
        <v>3.2550000000000003E-2</v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12.9</v>
      </c>
      <c r="BN352" s="78">
        <f>IFERROR(Y352*I352/H352,"0")</f>
        <v>12.9</v>
      </c>
      <c r="BO352" s="78">
        <f>IFERROR(1/J352*(X352/H352),"0")</f>
        <v>2.7472527472527476E-2</v>
      </c>
      <c r="BP352" s="78">
        <f>IFERROR(1/J352*(Y352/H352),"0")</f>
        <v>2.7472527472527476E-2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21</v>
      </c>
      <c r="Y354" s="43">
        <f>IFERROR(Y349/H349,"0")+IFERROR(Y350/H350,"0")+IFERROR(Y351/H351,"0")+IFERROR(Y352/H352,"0")+IFERROR(Y353/H353,"0")</f>
        <v>21</v>
      </c>
      <c r="Z354" s="43">
        <f>IFERROR(IF(Z349="",0,Z349),"0")+IFERROR(IF(Z350="",0,Z350),"0")+IFERROR(IF(Z351="",0,Z351),"0")+IFERROR(IF(Z352="",0,Z352),"0")+IFERROR(IF(Z353="",0,Z353),"0")</f>
        <v>0.11287</v>
      </c>
      <c r="AA354" s="67"/>
      <c r="AB354" s="67"/>
      <c r="AC354" s="67"/>
    </row>
    <row r="355" spans="1:68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43.1</v>
      </c>
      <c r="Y355" s="43">
        <f>IFERROR(SUM(Y349:Y353),"0")</f>
        <v>43.1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78</v>
      </c>
      <c r="Y390" s="55">
        <f>IFERROR(IF(X390="",0,CEILING((X390/$H390),1)*$H390),"")</f>
        <v>78</v>
      </c>
      <c r="Z390" s="41">
        <f>IFERROR(IF(Y390=0,"",ROUNDUP(Y390/H390,0)*0.01898),"")</f>
        <v>0.1898</v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82.94</v>
      </c>
      <c r="BN390" s="78">
        <f>IFERROR(Y390*I390/H390,"0")</f>
        <v>82.94</v>
      </c>
      <c r="BO390" s="78">
        <f>IFERROR(1/J390*(X390/H390),"0")</f>
        <v>0.15625</v>
      </c>
      <c r="BP390" s="78">
        <f>IFERROR(1/J390*(Y390/H390),"0")</f>
        <v>0.15625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81</v>
      </c>
      <c r="Y391" s="55">
        <f>IFERROR(IF(X391="",0,CEILING((X391/$H391),1)*$H391),"")</f>
        <v>81</v>
      </c>
      <c r="Z391" s="41">
        <f>IFERROR(IF(Y391=0,"",ROUNDUP(Y391/H391,0)*0.01898),"")</f>
        <v>0.1898</v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85.76</v>
      </c>
      <c r="BN391" s="78">
        <f>IFERROR(Y391*I391/H391,"0")</f>
        <v>85.76</v>
      </c>
      <c r="BO391" s="78">
        <f>IFERROR(1/J391*(X391/H391),"0")</f>
        <v>0.15625</v>
      </c>
      <c r="BP391" s="78">
        <f>IFERROR(1/J391*(Y391/H391),"0")</f>
        <v>0.15625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IFERROR(IF(Y392=0,"",ROUNDUP(Y392/H392,0)*0.00651),"")</f>
        <v>6.5100000000000005E-2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32.46</v>
      </c>
      <c r="BN392" s="78">
        <f>IFERROR(Y392*I392/H392,"0")</f>
        <v>32.46</v>
      </c>
      <c r="BO392" s="78">
        <f>IFERROR(1/J392*(X392/H392),"0")</f>
        <v>5.4945054945054951E-2</v>
      </c>
      <c r="BP392" s="78">
        <f>IFERROR(1/J392*(Y392/H392),"0")</f>
        <v>5.4945054945054951E-2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30</v>
      </c>
      <c r="Y393" s="43">
        <f>IFERROR(Y389/H389,"0")+IFERROR(Y390/H390,"0")+IFERROR(Y391/H391,"0")+IFERROR(Y392/H392,"0")</f>
        <v>30</v>
      </c>
      <c r="Z393" s="43">
        <f>IFERROR(IF(Z389="",0,Z389),"0")+IFERROR(IF(Z390="",0,Z390),"0")+IFERROR(IF(Z391="",0,Z391),"0")+IFERROR(IF(Z392="",0,Z392),"0")</f>
        <v>0.44469999999999998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189</v>
      </c>
      <c r="Y394" s="43">
        <f>IFERROR(SUM(Y389:Y392),"0")</f>
        <v>189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67.2</v>
      </c>
      <c r="Y396" s="55">
        <f>IFERROR(IF(X396="",0,CEILING((X396/$H396),1)*$H396),"")</f>
        <v>67.2</v>
      </c>
      <c r="Z396" s="41">
        <f>IFERROR(IF(Y396=0,"",ROUNDUP(Y396/H396,0)*0.01898),"")</f>
        <v>0.15184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71.152000000000001</v>
      </c>
      <c r="BN396" s="78">
        <f>IFERROR(Y396*I396/H396,"0")</f>
        <v>71.152000000000001</v>
      </c>
      <c r="BO396" s="78">
        <f>IFERROR(1/J396*(X396/H396),"0")</f>
        <v>0.125</v>
      </c>
      <c r="BP396" s="78">
        <f>IFERROR(1/J396*(Y396/H396),"0")</f>
        <v>0.125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54.6</v>
      </c>
      <c r="Y397" s="55">
        <f>IFERROR(IF(X397="",0,CEILING((X397/$H397),1)*$H397),"")</f>
        <v>54.6</v>
      </c>
      <c r="Z397" s="41">
        <f>IFERROR(IF(Y397=0,"",ROUNDUP(Y397/H397,0)*0.01898),"")</f>
        <v>0.13286000000000001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58.058000000000007</v>
      </c>
      <c r="BN397" s="78">
        <f>IFERROR(Y397*I397/H397,"0")</f>
        <v>58.058000000000007</v>
      </c>
      <c r="BO397" s="78">
        <f>IFERROR(1/J397*(X397/H397),"0")</f>
        <v>0.109375</v>
      </c>
      <c r="BP397" s="78">
        <f>IFERROR(1/J397*(Y397/H397),"0")</f>
        <v>0.109375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84</v>
      </c>
      <c r="Y398" s="55">
        <f>IFERROR(IF(X398="",0,CEILING((X398/$H398),1)*$H398),"")</f>
        <v>84</v>
      </c>
      <c r="Z398" s="41">
        <f>IFERROR(IF(Y398=0,"",ROUNDUP(Y398/H398,0)*0.01898),"")</f>
        <v>0.1898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88.94</v>
      </c>
      <c r="BN398" s="78">
        <f>IFERROR(Y398*I398/H398,"0")</f>
        <v>88.94</v>
      </c>
      <c r="BO398" s="78">
        <f>IFERROR(1/J398*(X398/H398),"0")</f>
        <v>0.15625</v>
      </c>
      <c r="BP398" s="78">
        <f>IFERROR(1/J398*(Y398/H398),"0")</f>
        <v>0.15625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25</v>
      </c>
      <c r="Y399" s="43">
        <f>IFERROR(Y396/H396,"0")+IFERROR(Y397/H397,"0")+IFERROR(Y398/H398,"0")</f>
        <v>25</v>
      </c>
      <c r="Z399" s="43">
        <f>IFERROR(IF(Z396="",0,Z396),"0")+IFERROR(IF(Z397="",0,Z397),"0")+IFERROR(IF(Z398="",0,Z398),"0")</f>
        <v>0.47450000000000003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205.8</v>
      </c>
      <c r="Y400" s="43">
        <f>IFERROR(SUM(Y396:Y398),"0")</f>
        <v>205.8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2.5499999999999998</v>
      </c>
      <c r="Y404" s="55">
        <f>IFERROR(IF(X404="",0,CEILING((X404/$H404),1)*$H404),"")</f>
        <v>2.5499999999999998</v>
      </c>
      <c r="Z404" s="41">
        <f>IFERROR(IF(Y404=0,"",ROUNDUP(Y404/H404,0)*0.00651),"")</f>
        <v>6.5100000000000002E-3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2.9550000000000001</v>
      </c>
      <c r="BN404" s="78">
        <f>IFERROR(Y404*I404/H404,"0")</f>
        <v>2.9550000000000001</v>
      </c>
      <c r="BO404" s="78">
        <f>IFERROR(1/J404*(X404/H404),"0")</f>
        <v>5.4945054945054949E-3</v>
      </c>
      <c r="BP404" s="78">
        <f>IFERROR(1/J404*(Y404/H404),"0")</f>
        <v>5.4945054945054949E-3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1</v>
      </c>
      <c r="Y406" s="43">
        <f>IFERROR(Y402/H402,"0")+IFERROR(Y403/H403,"0")+IFERROR(Y404/H404,"0")+IFERROR(Y405/H405,"0")</f>
        <v>1</v>
      </c>
      <c r="Z406" s="43">
        <f>IFERROR(IF(Z402="",0,Z402),"0")+IFERROR(IF(Z403="",0,Z403),"0")+IFERROR(IF(Z404="",0,Z404),"0")+IFERROR(IF(Z405="",0,Z405),"0")</f>
        <v>6.5100000000000002E-3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2.5499999999999998</v>
      </c>
      <c r="Y407" s="43">
        <f>IFERROR(SUM(Y402:Y405),"0")</f>
        <v>2.5499999999999998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3</v>
      </c>
      <c r="Y416" s="55">
        <f>IFERROR(IF(X416="",0,CEILING((X416/$H416),1)*$H416),"")</f>
        <v>3.9</v>
      </c>
      <c r="Z416" s="41">
        <f>IFERROR(IF(Y416=0,"",ROUNDUP(Y416/H416,0)*0.006),"")</f>
        <v>6.0000000000000001E-3</v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3.2076923076923078</v>
      </c>
      <c r="BN416" s="78">
        <f>IFERROR(Y416*I416/H416,"0")</f>
        <v>4.17</v>
      </c>
      <c r="BO416" s="78">
        <f>IFERROR(1/J416*(X416/H416),"0")</f>
        <v>5.341880341880342E-3</v>
      </c>
      <c r="BP416" s="78">
        <f>IFERROR(1/J416*(Y416/H416),"0")</f>
        <v>6.9444444444444441E-3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2.7692307692307692</v>
      </c>
      <c r="Y418" s="43">
        <f>IFERROR(Y415/H415,"0")+IFERROR(Y416/H416,"0")+IFERROR(Y417/H417,"0")</f>
        <v>3</v>
      </c>
      <c r="Z418" s="43">
        <f>IFERROR(IF(Z415="",0,Z415),"0")+IFERROR(IF(Z416="",0,Z416),"0")+IFERROR(IF(Z417="",0,Z417),"0")</f>
        <v>1.4999999999999999E-2</v>
      </c>
      <c r="AA418" s="67"/>
      <c r="AB418" s="67"/>
      <c r="AC418" s="67"/>
    </row>
    <row r="419" spans="1:68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9</v>
      </c>
      <c r="Y419" s="43">
        <f>IFERROR(SUM(Y415:Y417),"0")</f>
        <v>9.9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156</v>
      </c>
      <c r="Y422" s="55">
        <f>IFERROR(IF(X422="",0,CEILING((X422/$H422),1)*$H422),"")</f>
        <v>156</v>
      </c>
      <c r="Z422" s="41">
        <f>IFERROR(IF(Y422=0,"",ROUNDUP(Y422/H422,0)*0.01898),"")</f>
        <v>0.37959999999999999</v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164.20000000000005</v>
      </c>
      <c r="BN422" s="78">
        <f>IFERROR(Y422*I422/H422,"0")</f>
        <v>164.20000000000005</v>
      </c>
      <c r="BO422" s="78">
        <f>IFERROR(1/J422*(X422/H422),"0")</f>
        <v>0.3125</v>
      </c>
      <c r="BP422" s="78">
        <f>IFERROR(1/J422*(Y422/H422),"0")</f>
        <v>0.3125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78</v>
      </c>
      <c r="Y423" s="55">
        <f>IFERROR(IF(X423="",0,CEILING((X423/$H423),1)*$H423),"")</f>
        <v>78</v>
      </c>
      <c r="Z423" s="41">
        <f>IFERROR(IF(Y423=0,"",ROUNDUP(Y423/H423,0)*0.01898),"")</f>
        <v>0.1898</v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82.100000000000023</v>
      </c>
      <c r="BN423" s="78">
        <f>IFERROR(Y423*I423/H423,"0")</f>
        <v>82.100000000000023</v>
      </c>
      <c r="BO423" s="78">
        <f>IFERROR(1/J423*(X423/H423),"0")</f>
        <v>0.15625</v>
      </c>
      <c r="BP423" s="78">
        <f>IFERROR(1/J423*(Y423/H423),"0")</f>
        <v>0.15625</v>
      </c>
    </row>
    <row r="424" spans="1:68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30</v>
      </c>
      <c r="Y424" s="43">
        <f>IFERROR(Y422/H422,"0")+IFERROR(Y423/H423,"0")</f>
        <v>30</v>
      </c>
      <c r="Z424" s="43">
        <f>IFERROR(IF(Z422="",0,Z422),"0")+IFERROR(IF(Z423="",0,Z423),"0")</f>
        <v>0.56940000000000002</v>
      </c>
      <c r="AA424" s="67"/>
      <c r="AB424" s="67"/>
      <c r="AC424" s="67"/>
    </row>
    <row r="425" spans="1:68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234</v>
      </c>
      <c r="Y425" s="43">
        <f>IFERROR(SUM(Y422:Y423),"0")</f>
        <v>234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81</v>
      </c>
      <c r="Y428" s="55">
        <f>IFERROR(IF(X428="",0,CEILING((X428/$H428),1)*$H428),"")</f>
        <v>81</v>
      </c>
      <c r="Z428" s="41">
        <f>IFERROR(IF(Y428=0,"",ROUNDUP(Y428/H428,0)*0.01898),"")</f>
        <v>0.1898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85.94</v>
      </c>
      <c r="BN428" s="78">
        <f>IFERROR(Y428*I428/H428,"0")</f>
        <v>85.94</v>
      </c>
      <c r="BO428" s="78">
        <f>IFERROR(1/J428*(X428/H428),"0")</f>
        <v>0.15625</v>
      </c>
      <c r="BP428" s="78">
        <f>IFERROR(1/J428*(Y428/H428),"0")</f>
        <v>0.15625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20</v>
      </c>
      <c r="Y431" s="43">
        <f>IFERROR(Y428/H428,"0")+IFERROR(Y429/H429,"0")+IFERROR(Y430/H430,"0")</f>
        <v>20</v>
      </c>
      <c r="Z431" s="43">
        <f>IFERROR(IF(Z428="",0,Z428),"0")+IFERROR(IF(Z429="",0,Z429),"0")+IFERROR(IF(Z430="",0,Z430),"0")</f>
        <v>0.25490000000000002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102</v>
      </c>
      <c r="Y432" s="43">
        <f>IFERROR(SUM(Y428:Y430),"0")</f>
        <v>102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720</v>
      </c>
      <c r="Y437" s="55">
        <f t="shared" si="70"/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742.56</v>
      </c>
      <c r="BN437" s="78">
        <f t="shared" si="72"/>
        <v>742.56</v>
      </c>
      <c r="BO437" s="78">
        <f t="shared" si="73"/>
        <v>1</v>
      </c>
      <c r="BP437" s="78">
        <f t="shared" si="74"/>
        <v>1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720</v>
      </c>
      <c r="Y440" s="55">
        <f t="shared" si="70"/>
        <v>720</v>
      </c>
      <c r="Z440" s="41">
        <f>IFERROR(IF(Y440=0,"",ROUNDUP(Y440/H440,0)*0.02175),"")</f>
        <v>1.044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742.56</v>
      </c>
      <c r="BN440" s="78">
        <f t="shared" si="72"/>
        <v>742.56</v>
      </c>
      <c r="BO440" s="78">
        <f t="shared" si="73"/>
        <v>1</v>
      </c>
      <c r="BP440" s="78">
        <f t="shared" si="74"/>
        <v>1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96</v>
      </c>
      <c r="Y444" s="43">
        <f>IFERROR(Y436/H436,"0")+IFERROR(Y437/H437,"0")+IFERROR(Y438/H438,"0")+IFERROR(Y439/H439,"0")+IFERROR(Y440/H440,"0")+IFERROR(Y441/H441,"0")+IFERROR(Y442/H442,"0")+IFERROR(Y443/H443,"0")</f>
        <v>96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2.0880000000000001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1440</v>
      </c>
      <c r="Y445" s="43">
        <f>IFERROR(SUM(Y436:Y443),"0")</f>
        <v>1440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45</v>
      </c>
      <c r="Y453" s="55">
        <f>IFERROR(IF(X453="",0,CEILING((X453/$H453),1)*$H453),"")</f>
        <v>45</v>
      </c>
      <c r="Z453" s="41">
        <f>IFERROR(IF(Y453=0,"",ROUNDUP(Y453/H453,0)*0.01898),"")</f>
        <v>9.4899999999999998E-2</v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47.5</v>
      </c>
      <c r="BN453" s="78">
        <f>IFERROR(Y453*I453/H453,"0")</f>
        <v>47.5</v>
      </c>
      <c r="BO453" s="78">
        <f>IFERROR(1/J453*(X453/H453),"0")</f>
        <v>7.8125E-2</v>
      </c>
      <c r="BP453" s="78">
        <f>IFERROR(1/J453*(Y453/H453),"0")</f>
        <v>7.8125E-2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27</v>
      </c>
      <c r="Y454" s="55">
        <f>IFERROR(IF(X454="",0,CEILING((X454/$H454),1)*$H454),"")</f>
        <v>27</v>
      </c>
      <c r="Z454" s="41">
        <f>IFERROR(IF(Y454=0,"",ROUNDUP(Y454/H454,0)*0.01898),"")</f>
        <v>5.6940000000000004E-2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28.481999999999996</v>
      </c>
      <c r="BN454" s="78">
        <f>IFERROR(Y454*I454/H454,"0")</f>
        <v>28.481999999999996</v>
      </c>
      <c r="BO454" s="78">
        <f>IFERROR(1/J454*(X454/H454),"0")</f>
        <v>4.6875E-2</v>
      </c>
      <c r="BP454" s="78">
        <f>IFERROR(1/J454*(Y454/H454),"0")</f>
        <v>4.6875E-2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14.4</v>
      </c>
      <c r="Y455" s="55">
        <f>IFERROR(IF(X455="",0,CEILING((X455/$H455),1)*$H455),"")</f>
        <v>14.399999999999999</v>
      </c>
      <c r="Z455" s="41">
        <f>IFERROR(IF(Y455=0,"",ROUNDUP(Y455/H455,0)*0.01196),"")</f>
        <v>3.5880000000000002E-2</v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15.648</v>
      </c>
      <c r="BN455" s="78">
        <f>IFERROR(Y455*I455/H455,"0")</f>
        <v>15.648</v>
      </c>
      <c r="BO455" s="78">
        <f>IFERROR(1/J455*(X455/H455),"0")</f>
        <v>2.8846153846153848E-2</v>
      </c>
      <c r="BP455" s="78">
        <f>IFERROR(1/J455*(Y455/H455),"0")</f>
        <v>2.8846153846153848E-2</v>
      </c>
    </row>
    <row r="456" spans="1:68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11</v>
      </c>
      <c r="Y456" s="43">
        <f>IFERROR(Y453/H453,"0")+IFERROR(Y454/H454,"0")+IFERROR(Y455/H455,"0")</f>
        <v>11</v>
      </c>
      <c r="Z456" s="43">
        <f>IFERROR(IF(Z453="",0,Z453),"0")+IFERROR(IF(Z454="",0,Z454),"0")+IFERROR(IF(Z455="",0,Z455),"0")</f>
        <v>0.18772</v>
      </c>
      <c r="AA456" s="67"/>
      <c r="AB456" s="67"/>
      <c r="AC456" s="67"/>
    </row>
    <row r="457" spans="1:68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86.4</v>
      </c>
      <c r="Y457" s="43">
        <f>IFERROR(SUM(Y453:Y455),"0")</f>
        <v>86.4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/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18</v>
      </c>
      <c r="Y460" s="55">
        <f>IFERROR(IF(X460="",0,CEILING((X460/$H460),1)*$H460),"")</f>
        <v>18</v>
      </c>
      <c r="Z460" s="41">
        <f>IFERROR(IF(Y460=0,"",ROUNDUP(Y460/H460,0)*0.01898),"")</f>
        <v>3.7960000000000001E-2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18.988</v>
      </c>
      <c r="BN460" s="78">
        <f>IFERROR(Y460*I460/H460,"0")</f>
        <v>18.988</v>
      </c>
      <c r="BO460" s="78">
        <f>IFERROR(1/J460*(X460/H460),"0")</f>
        <v>3.125E-2</v>
      </c>
      <c r="BP460" s="78">
        <f>IFERROR(1/J460*(Y460/H460),"0")</f>
        <v>3.125E-2</v>
      </c>
    </row>
    <row r="461" spans="1:68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2</v>
      </c>
      <c r="Y461" s="43">
        <f>IFERROR(Y459/H459,"0")+IFERROR(Y460/H460,"0")</f>
        <v>2</v>
      </c>
      <c r="Z461" s="43">
        <f>IFERROR(IF(Z459="",0,Z459),"0")+IFERROR(IF(Z460="",0,Z460),"0")</f>
        <v>3.7960000000000001E-2</v>
      </c>
      <c r="AA461" s="67"/>
      <c r="AB461" s="67"/>
      <c r="AC461" s="67"/>
    </row>
    <row r="462" spans="1:68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18</v>
      </c>
      <c r="Y462" s="43">
        <f>IFERROR(SUM(Y459:Y460),"0")</f>
        <v>18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27</v>
      </c>
      <c r="Y474" s="55">
        <f>IFERROR(IF(X474="",0,CEILING((X474/$H474),1)*$H474),"")</f>
        <v>27</v>
      </c>
      <c r="Z474" s="41">
        <f>IFERROR(IF(Y474=0,"",ROUNDUP(Y474/H474,0)*0.01898),"")</f>
        <v>5.6940000000000004E-2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28.481999999999996</v>
      </c>
      <c r="BN474" s="78">
        <f>IFERROR(Y474*I474/H474,"0")</f>
        <v>28.481999999999996</v>
      </c>
      <c r="BO474" s="78">
        <f>IFERROR(1/J474*(X474/H474),"0")</f>
        <v>4.6875E-2</v>
      </c>
      <c r="BP474" s="78">
        <f>IFERROR(1/J474*(Y474/H474),"0")</f>
        <v>4.6875E-2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3</v>
      </c>
      <c r="Y477" s="43">
        <f>IFERROR(Y474/H474,"0")+IFERROR(Y475/H475,"0")+IFERROR(Y476/H476,"0")</f>
        <v>3</v>
      </c>
      <c r="Z477" s="43">
        <f>IFERROR(IF(Z474="",0,Z474),"0")+IFERROR(IF(Z475="",0,Z475),"0")+IFERROR(IF(Z476="",0,Z476),"0")</f>
        <v>5.6940000000000004E-2</v>
      </c>
      <c r="AA477" s="67"/>
      <c r="AB477" s="67"/>
      <c r="AC477" s="67"/>
    </row>
    <row r="478" spans="1:68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27</v>
      </c>
      <c r="Y478" s="43">
        <f>IFERROR(SUM(Y474:Y476),"0")</f>
        <v>27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27</v>
      </c>
      <c r="Y482" s="55">
        <f t="shared" ref="Y482:Y487" si="75">IFERROR(IF(X482="",0,CEILING((X482/$H482),1)*$H482),"")</f>
        <v>27</v>
      </c>
      <c r="Z482" s="41">
        <f>IFERROR(IF(Y482=0,"",ROUNDUP(Y482/H482,0)*0.00902),"")</f>
        <v>4.5100000000000001E-2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27.95</v>
      </c>
      <c r="BN482" s="78">
        <f t="shared" ref="BN482:BN487" si="77">IFERROR(Y482*I482/H482,"0")</f>
        <v>27.95</v>
      </c>
      <c r="BO482" s="78">
        <f t="shared" ref="BO482:BO487" si="78">IFERROR(1/J482*(X482/H482),"0")</f>
        <v>3.787878787878788E-2</v>
      </c>
      <c r="BP482" s="78">
        <f t="shared" ref="BP482:BP487" si="79">IFERROR(1/J482*(Y482/H482),"0")</f>
        <v>3.787878787878788E-2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27</v>
      </c>
      <c r="Y483" s="55">
        <f t="shared" si="75"/>
        <v>27</v>
      </c>
      <c r="Z483" s="41">
        <f>IFERROR(IF(Y483=0,"",ROUNDUP(Y483/H483,0)*0.00902),"")</f>
        <v>4.5100000000000001E-2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27.95</v>
      </c>
      <c r="BN483" s="78">
        <f t="shared" si="77"/>
        <v>27.95</v>
      </c>
      <c r="BO483" s="78">
        <f t="shared" si="78"/>
        <v>3.787878787878788E-2</v>
      </c>
      <c r="BP483" s="78">
        <f t="shared" si="79"/>
        <v>3.787878787878788E-2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14.7</v>
      </c>
      <c r="Y484" s="55">
        <f t="shared" si="75"/>
        <v>14.700000000000001</v>
      </c>
      <c r="Z484" s="41">
        <f>IFERROR(IF(Y484=0,"",ROUNDUP(Y484/H484,0)*0.00502),"")</f>
        <v>3.5140000000000005E-2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15.61</v>
      </c>
      <c r="BN484" s="78">
        <f t="shared" si="77"/>
        <v>15.61</v>
      </c>
      <c r="BO484" s="78">
        <f t="shared" si="78"/>
        <v>2.9914529914529912E-2</v>
      </c>
      <c r="BP484" s="78">
        <f t="shared" si="79"/>
        <v>2.9914529914529919E-2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14.7</v>
      </c>
      <c r="Y486" s="55">
        <f t="shared" si="75"/>
        <v>14.700000000000001</v>
      </c>
      <c r="Z486" s="41">
        <f>IFERROR(IF(Y486=0,"",ROUNDUP(Y486/H486,0)*0.00502),"")</f>
        <v>3.5140000000000005E-2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15.61</v>
      </c>
      <c r="BN486" s="78">
        <f t="shared" si="77"/>
        <v>15.61</v>
      </c>
      <c r="BO486" s="78">
        <f t="shared" si="78"/>
        <v>2.9914529914529912E-2</v>
      </c>
      <c r="BP486" s="78">
        <f t="shared" si="79"/>
        <v>2.9914529914529919E-2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14.7</v>
      </c>
      <c r="Y487" s="55">
        <f t="shared" si="75"/>
        <v>14.700000000000001</v>
      </c>
      <c r="Z487" s="41">
        <f>IFERROR(IF(Y487=0,"",ROUNDUP(Y487/H487,0)*0.00502),"")</f>
        <v>3.5140000000000005E-2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15.61</v>
      </c>
      <c r="BN487" s="78">
        <f t="shared" si="77"/>
        <v>15.61</v>
      </c>
      <c r="BO487" s="78">
        <f t="shared" si="78"/>
        <v>2.9914529914529912E-2</v>
      </c>
      <c r="BP487" s="78">
        <f t="shared" si="79"/>
        <v>2.9914529914529919E-2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31</v>
      </c>
      <c r="Y488" s="43">
        <f>IFERROR(Y482/H482,"0")+IFERROR(Y483/H483,"0")+IFERROR(Y484/H484,"0")+IFERROR(Y485/H485,"0")+IFERROR(Y486/H486,"0")+IFERROR(Y487/H487,"0")</f>
        <v>31</v>
      </c>
      <c r="Z488" s="43">
        <f>IFERROR(IF(Z482="",0,Z482),"0")+IFERROR(IF(Z483="",0,Z483),"0")+IFERROR(IF(Z484="",0,Z484),"0")+IFERROR(IF(Z485="",0,Z485),"0")+IFERROR(IF(Z486="",0,Z486),"0")+IFERROR(IF(Z487="",0,Z487),"0")</f>
        <v>0.19562000000000002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98.100000000000009</v>
      </c>
      <c r="Y489" s="43">
        <f>IFERROR(SUM(Y482:Y487),"0")</f>
        <v>98.100000000000009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7.2</v>
      </c>
      <c r="Y491" s="55">
        <f>IFERROR(IF(X491="",0,CEILING((X491/$H491),1)*$H491),"")</f>
        <v>7.1999999999999993</v>
      </c>
      <c r="Z491" s="41">
        <f>IFERROR(IF(Y491=0,"",ROUNDUP(Y491/H491,0)*0.00902),"")</f>
        <v>2.7060000000000001E-2</v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7.8780000000000001</v>
      </c>
      <c r="BN491" s="78">
        <f>IFERROR(Y491*I491/H491,"0")</f>
        <v>7.8779999999999983</v>
      </c>
      <c r="BO491" s="78">
        <f>IFERROR(1/J491*(X491/H491),"0")</f>
        <v>2.2727272727272728E-2</v>
      </c>
      <c r="BP491" s="78">
        <f>IFERROR(1/J491*(Y491/H491),"0")</f>
        <v>2.2727272727272728E-2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3</v>
      </c>
      <c r="Y493" s="43">
        <f>IFERROR(Y491/H491,"0")+IFERROR(Y492/H492,"0")</f>
        <v>3</v>
      </c>
      <c r="Z493" s="43">
        <f>IFERROR(IF(Z491="",0,Z491),"0")+IFERROR(IF(Z492="",0,Z492),"0")</f>
        <v>2.7060000000000001E-2</v>
      </c>
      <c r="AA493" s="67"/>
      <c r="AB493" s="67"/>
      <c r="AC493" s="67"/>
    </row>
    <row r="494" spans="1:68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7.2</v>
      </c>
      <c r="Y494" s="43">
        <f>IFERROR(SUM(Y491:Y492),"0")</f>
        <v>7.1999999999999993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27</v>
      </c>
      <c r="Y501" s="55">
        <f>IFERROR(IF(X501="",0,CEILING((X501/$H501),1)*$H501),"")</f>
        <v>27</v>
      </c>
      <c r="Z501" s="41">
        <f>IFERROR(IF(Y501=0,"",ROUNDUP(Y501/H501,0)*0.00902),"")</f>
        <v>4.5100000000000001E-2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27.95</v>
      </c>
      <c r="BN501" s="78">
        <f>IFERROR(Y501*I501/H501,"0")</f>
        <v>27.95</v>
      </c>
      <c r="BO501" s="78">
        <f>IFERROR(1/J501*(X501/H501),"0")</f>
        <v>3.787878787878788E-2</v>
      </c>
      <c r="BP501" s="78">
        <f>IFERROR(1/J501*(Y501/H501),"0")</f>
        <v>3.787878787878788E-2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14.7</v>
      </c>
      <c r="Y503" s="55">
        <f>IFERROR(IF(X503="",0,CEILING((X503/$H503),1)*$H503),"")</f>
        <v>14.700000000000001</v>
      </c>
      <c r="Z503" s="41">
        <f>IFERROR(IF(Y503=0,"",ROUNDUP(Y503/H503,0)*0.00502),"")</f>
        <v>3.5140000000000005E-2</v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15.61</v>
      </c>
      <c r="BN503" s="78">
        <f>IFERROR(Y503*I503/H503,"0")</f>
        <v>15.61</v>
      </c>
      <c r="BO503" s="78">
        <f>IFERROR(1/J503*(X503/H503),"0")</f>
        <v>2.9914529914529912E-2</v>
      </c>
      <c r="BP503" s="78">
        <f>IFERROR(1/J503*(Y503/H503),"0")</f>
        <v>2.9914529914529919E-2</v>
      </c>
    </row>
    <row r="504" spans="1:68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12</v>
      </c>
      <c r="Y504" s="43">
        <f>IFERROR(Y501/H501,"0")+IFERROR(Y502/H502,"0")+IFERROR(Y503/H503,"0")</f>
        <v>12</v>
      </c>
      <c r="Z504" s="43">
        <f>IFERROR(IF(Z501="",0,Z501),"0")+IFERROR(IF(Z502="",0,Z502),"0")+IFERROR(IF(Z503="",0,Z503),"0")</f>
        <v>8.0240000000000006E-2</v>
      </c>
      <c r="AA504" s="67"/>
      <c r="AB504" s="67"/>
      <c r="AC504" s="67"/>
    </row>
    <row r="505" spans="1:68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41.7</v>
      </c>
      <c r="Y505" s="43">
        <f>IFERROR(SUM(Y501:Y503),"0")</f>
        <v>41.7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21</v>
      </c>
      <c r="Y547" s="55">
        <f>IFERROR(IF(X547="",0,CEILING((X547/$H547),1)*$H547),"")</f>
        <v>21</v>
      </c>
      <c r="Z547" s="41">
        <f>IFERROR(IF(Y547=0,"",ROUNDUP(Y547/H547,0)*0.00902),"")</f>
        <v>4.5100000000000001E-2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22.25</v>
      </c>
      <c r="BN547" s="78">
        <f>IFERROR(Y547*I547/H547,"0")</f>
        <v>22.25</v>
      </c>
      <c r="BO547" s="78">
        <f>IFERROR(1/J547*(X547/H547),"0")</f>
        <v>3.787878787878788E-2</v>
      </c>
      <c r="BP547" s="78">
        <f>IFERROR(1/J547*(Y547/H547),"0")</f>
        <v>3.787878787878788E-2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5</v>
      </c>
      <c r="Y548" s="43">
        <f>IFERROR(Y547/H547,"0")</f>
        <v>5</v>
      </c>
      <c r="Z548" s="43">
        <f>IFERROR(IF(Z547="",0,Z547),"0")</f>
        <v>4.5100000000000001E-2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21</v>
      </c>
      <c r="Y549" s="43">
        <f>IFERROR(SUM(Y547:Y547),"0")</f>
        <v>21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45</v>
      </c>
      <c r="Y551" s="55">
        <f>IFERROR(IF(X551="",0,CEILING((X551/$H551),1)*$H551),"")</f>
        <v>45</v>
      </c>
      <c r="Z551" s="41">
        <f>IFERROR(IF(Y551=0,"",ROUNDUP(Y551/H551,0)*0.01898),"")</f>
        <v>9.4899999999999998E-2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47.47</v>
      </c>
      <c r="BN551" s="78">
        <f>IFERROR(Y551*I551/H551,"0")</f>
        <v>47.47</v>
      </c>
      <c r="BO551" s="78">
        <f>IFERROR(1/J551*(X551/H551),"0")</f>
        <v>7.8125E-2</v>
      </c>
      <c r="BP551" s="78">
        <f>IFERROR(1/J551*(Y551/H551),"0")</f>
        <v>7.8125E-2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5</v>
      </c>
      <c r="Y552" s="43">
        <f>IFERROR(Y551/H551,"0")</f>
        <v>5</v>
      </c>
      <c r="Z552" s="43">
        <f>IFERROR(IF(Z551="",0,Z551),"0")</f>
        <v>9.4899999999999998E-2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45</v>
      </c>
      <c r="Y553" s="43">
        <f>IFERROR(SUM(Y551:Y551),"0")</f>
        <v>45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18</v>
      </c>
      <c r="Y555" s="55">
        <f>IFERROR(IF(X555="",0,CEILING((X555/$H555),1)*$H555),"")</f>
        <v>18</v>
      </c>
      <c r="Z555" s="41">
        <f>IFERROR(IF(Y555=0,"",ROUNDUP(Y555/H555,0)*0.01898),"")</f>
        <v>3.7960000000000001E-2</v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18.82</v>
      </c>
      <c r="BN555" s="78">
        <f>IFERROR(Y555*I555/H555,"0")</f>
        <v>18.82</v>
      </c>
      <c r="BO555" s="78">
        <f>IFERROR(1/J555*(X555/H555),"0")</f>
        <v>3.125E-2</v>
      </c>
      <c r="BP555" s="78">
        <f>IFERROR(1/J555*(Y555/H555),"0")</f>
        <v>3.125E-2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18</v>
      </c>
      <c r="Y556" s="55">
        <f>IFERROR(IF(X556="",0,CEILING((X556/$H556),1)*$H556),"")</f>
        <v>18</v>
      </c>
      <c r="Z556" s="41">
        <f>IFERROR(IF(Y556=0,"",ROUNDUP(Y556/H556,0)*0.01898),"")</f>
        <v>3.7960000000000001E-2</v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18.82</v>
      </c>
      <c r="BN556" s="78">
        <f>IFERROR(Y556*I556/H556,"0")</f>
        <v>18.82</v>
      </c>
      <c r="BO556" s="78">
        <f>IFERROR(1/J556*(X556/H556),"0")</f>
        <v>3.125E-2</v>
      </c>
      <c r="BP556" s="78">
        <f>IFERROR(1/J556*(Y556/H556),"0")</f>
        <v>3.125E-2</v>
      </c>
    </row>
    <row r="557" spans="1:68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4</v>
      </c>
      <c r="Y557" s="43">
        <f>IFERROR(Y555/H555,"0")+IFERROR(Y556/H556,"0")</f>
        <v>4</v>
      </c>
      <c r="Z557" s="43">
        <f>IFERROR(IF(Z555="",0,Z555),"0")+IFERROR(IF(Z556="",0,Z556),"0")</f>
        <v>7.5920000000000001E-2</v>
      </c>
      <c r="AA557" s="67"/>
      <c r="AB557" s="67"/>
      <c r="AC557" s="67"/>
    </row>
    <row r="558" spans="1:68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36</v>
      </c>
      <c r="Y558" s="43">
        <f>IFERROR(SUM(Y555:Y556),"0")</f>
        <v>36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4216.96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4217.8600000000006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4412.2836923076902</v>
      </c>
      <c r="Y565" s="43">
        <f>IFERROR(SUM(BN22:BN561),"0")</f>
        <v>4413.2459999999974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8</v>
      </c>
      <c r="Y566" s="44">
        <f>ROUNDUP(SUM(BP22:BP561),0)</f>
        <v>8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4612.2836923076902</v>
      </c>
      <c r="Y567" s="43">
        <f>GrossWeightTotalR+PalletQtyTotalR*25</f>
        <v>4613.2459999999974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626.76923076923072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627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8.1822400000000002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3.8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162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159.80000000000001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220.86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172.65</v>
      </c>
      <c r="H574" s="52">
        <f>IFERROR(Y140*1,"0")+IFERROR(Y141*1,"0")+IFERROR(Y145*1,"0")+IFERROR(Y146*1,"0")+IFERROR(Y150*1,"0")+IFERROR(Y151*1,"0")</f>
        <v>18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177.27999999999997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184.61999999999998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311.70000000000005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186</v>
      </c>
      <c r="Q574" s="52">
        <f>IFERROR(Y342*1,"0")+IFERROR(Y343*1,"0")+IFERROR(Y344*1,"0")</f>
        <v>14.399999999999999</v>
      </c>
      <c r="R574" s="52">
        <f>IFERROR(Y349*1,"0")+IFERROR(Y350*1,"0")+IFERROR(Y351*1,"0")+IFERROR(Y352*1,"0")+IFERROR(Y353*1,"0")+IFERROR(Y357*1,"0")+IFERROR(Y358*1,"0")</f>
        <v>43.1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407.25</v>
      </c>
      <c r="U574" s="52">
        <f>IFERROR(Y422*1,"0")+IFERROR(Y423*1,"0")</f>
        <v>234</v>
      </c>
      <c r="V574" s="52">
        <f>IFERROR(Y428*1,"0")+IFERROR(Y429*1,"0")+IFERROR(Y430*1,"0")</f>
        <v>102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1544.4</v>
      </c>
      <c r="X574" s="52">
        <f>IFERROR(Y465*1,"0")+IFERROR(Y466*1,"0")+IFERROR(Y470*1,"0")+IFERROR(Y474*1,"0")+IFERROR(Y475*1,"0")+IFERROR(Y476*1,"0")</f>
        <v>27</v>
      </c>
      <c r="Y574" s="52">
        <f>IFERROR(Y482*1,"0")+IFERROR(Y483*1,"0")+IFERROR(Y484*1,"0")+IFERROR(Y485*1,"0")+IFERROR(Y486*1,"0")+IFERROR(Y487*1,"0")+IFERROR(Y491*1,"0")+IFERROR(Y492*1,"0")</f>
        <v>105.30000000000001</v>
      </c>
      <c r="Z574" s="52">
        <f>IFERROR(Y497*1,"0")+IFERROR(Y501*1,"0")+IFERROR(Y502*1,"0")+IFERROR(Y503*1,"0")</f>
        <v>41.7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102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,00"/>
        <filter val="10,50"/>
        <filter val="102,00"/>
        <filter val="108,00"/>
        <filter val="11,00"/>
        <filter val="11,76"/>
        <filter val="12,00"/>
        <filter val="12,60"/>
        <filter val="13,00"/>
        <filter val="13,50"/>
        <filter val="130,50"/>
        <filter val="130,70"/>
        <filter val="14,00"/>
        <filter val="14,40"/>
        <filter val="14,70"/>
        <filter val="147,28"/>
        <filter val="15,00"/>
        <filter val="15,60"/>
        <filter val="151,20"/>
        <filter val="153,30"/>
        <filter val="156,00"/>
        <filter val="158,40"/>
        <filter val="16,00"/>
        <filter val="162,00"/>
        <filter val="17,50"/>
        <filter val="18,00"/>
        <filter val="18,75"/>
        <filter val="186,00"/>
        <filter val="189,00"/>
        <filter val="2,00"/>
        <filter val="2,16"/>
        <filter val="2,55"/>
        <filter val="2,77"/>
        <filter val="20,00"/>
        <filter val="205,80"/>
        <filter val="21,00"/>
        <filter val="22,50"/>
        <filter val="23,52"/>
        <filter val="234,00"/>
        <filter val="24,50"/>
        <filter val="25,00"/>
        <filter val="27,00"/>
        <filter val="29,40"/>
        <filter val="3,00"/>
        <filter val="3,80"/>
        <filter val="3,96"/>
        <filter val="30,00"/>
        <filter val="31,00"/>
        <filter val="35,00"/>
        <filter val="36,00"/>
        <filter val="4 216,96"/>
        <filter val="4 412,28"/>
        <filter val="4 612,28"/>
        <filter val="4,00"/>
        <filter val="4,64"/>
        <filter val="4,80"/>
        <filter val="40,50"/>
        <filter val="41,70"/>
        <filter val="43,10"/>
        <filter val="43,50"/>
        <filter val="45,00"/>
        <filter val="48,00"/>
        <filter val="5,00"/>
        <filter val="5,40"/>
        <filter val="53,00"/>
        <filter val="54,00"/>
        <filter val="54,60"/>
        <filter val="56,00"/>
        <filter val="6,00"/>
        <filter val="6,30"/>
        <filter val="626,77"/>
        <filter val="67,20"/>
        <filter val="7,20"/>
        <filter val="720,00"/>
        <filter val="78,00"/>
        <filter val="8"/>
        <filter val="8,40"/>
        <filter val="81,00"/>
        <filter val="84,00"/>
        <filter val="86,25"/>
        <filter val="86,40"/>
        <filter val="9,00"/>
        <filter val="9,60"/>
        <filter val="9,90"/>
        <filter val="90,36"/>
        <filter val="96,00"/>
        <filter val="98,1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bb0b2827-4eb3-461f-8866-28597c48f473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