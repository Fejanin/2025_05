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ЗАКАЗЫ\Малахутин\"/>
    </mc:Choice>
  </mc:AlternateContent>
  <xr:revisionPtr revIDLastSave="0" documentId="13_ncr:1_{677018AF-DEF0-4793-82CA-8BDDFD8D69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41" i="2" l="1"/>
  <c r="BN41" i="2"/>
  <c r="BP298" i="2"/>
  <c r="Z85" i="2"/>
  <c r="Z29" i="2"/>
  <c r="BN29" i="2"/>
  <c r="Z77" i="2"/>
  <c r="Z124" i="2"/>
  <c r="Z127" i="2"/>
  <c r="Z190" i="2"/>
  <c r="Z373" i="2"/>
  <c r="B574" i="2"/>
  <c r="Z39" i="2"/>
  <c r="Z60" i="2"/>
  <c r="Z78" i="2"/>
  <c r="Z81" i="2" s="1"/>
  <c r="BN78" i="2"/>
  <c r="Z95" i="2"/>
  <c r="BN95" i="2"/>
  <c r="Z106" i="2"/>
  <c r="Y202" i="2"/>
  <c r="Z277" i="2"/>
  <c r="BN277" i="2"/>
  <c r="Y367" i="2"/>
  <c r="Z383" i="2"/>
  <c r="BN383" i="2"/>
  <c r="Z403" i="2"/>
  <c r="BP410" i="2"/>
  <c r="Z454" i="2"/>
  <c r="Y493" i="2"/>
  <c r="Z497" i="2"/>
  <c r="Z498" i="2" s="1"/>
  <c r="BN23" i="2"/>
  <c r="BN30" i="2"/>
  <c r="BN80" i="2"/>
  <c r="BP93" i="2"/>
  <c r="BN119" i="2"/>
  <c r="BN145" i="2"/>
  <c r="BN184" i="2"/>
  <c r="BP184" i="2"/>
  <c r="BP191" i="2"/>
  <c r="BN191" i="2"/>
  <c r="Z191" i="2"/>
  <c r="BN205" i="2"/>
  <c r="Z205" i="2"/>
  <c r="Z206" i="2" s="1"/>
  <c r="Z226" i="2"/>
  <c r="Z227" i="2" s="1"/>
  <c r="Y227" i="2"/>
  <c r="BN226" i="2"/>
  <c r="Y24" i="2"/>
  <c r="Z27" i="2"/>
  <c r="BP40" i="2"/>
  <c r="Y61" i="2"/>
  <c r="Z64" i="2"/>
  <c r="BP77" i="2"/>
  <c r="Z86" i="2"/>
  <c r="BN86" i="2"/>
  <c r="Z93" i="2"/>
  <c r="Z100" i="2" s="1"/>
  <c r="BN99" i="2"/>
  <c r="Z104" i="2"/>
  <c r="BN105" i="2"/>
  <c r="BP105" i="2"/>
  <c r="BN161" i="2"/>
  <c r="BP161" i="2"/>
  <c r="BP185" i="2"/>
  <c r="BN185" i="2"/>
  <c r="Z185" i="2"/>
  <c r="BP195" i="2"/>
  <c r="BN195" i="2"/>
  <c r="Z195" i="2"/>
  <c r="BN199" i="2"/>
  <c r="BN201" i="2"/>
  <c r="BN230" i="2"/>
  <c r="Z230" i="2"/>
  <c r="BP233" i="2"/>
  <c r="BN233" i="2"/>
  <c r="Z233" i="2"/>
  <c r="BN236" i="2"/>
  <c r="BP106" i="2"/>
  <c r="BN107" i="2"/>
  <c r="BN115" i="2"/>
  <c r="BN123" i="2"/>
  <c r="BN128" i="2"/>
  <c r="Y137" i="2"/>
  <c r="BN160" i="2"/>
  <c r="BN215" i="2"/>
  <c r="BN231" i="2"/>
  <c r="BN234" i="2"/>
  <c r="BN249" i="2"/>
  <c r="Z250" i="2"/>
  <c r="BN250" i="2"/>
  <c r="BP255" i="2"/>
  <c r="BN256" i="2"/>
  <c r="Z267" i="2"/>
  <c r="BN267" i="2"/>
  <c r="BN282" i="2"/>
  <c r="BN287" i="2"/>
  <c r="BN293" i="2"/>
  <c r="Z297" i="2"/>
  <c r="BN297" i="2"/>
  <c r="BN314" i="2"/>
  <c r="BN326" i="2"/>
  <c r="BN343" i="2"/>
  <c r="BN352" i="2"/>
  <c r="BN389" i="2"/>
  <c r="Z396" i="2"/>
  <c r="Z397" i="2"/>
  <c r="Y400" i="2"/>
  <c r="Z405" i="2"/>
  <c r="BN405" i="2"/>
  <c r="Y413" i="2"/>
  <c r="BP409" i="2"/>
  <c r="Z411" i="2"/>
  <c r="Y412" i="2"/>
  <c r="BN422" i="2"/>
  <c r="Z429" i="2"/>
  <c r="BN429" i="2"/>
  <c r="BN430" i="2"/>
  <c r="Z439" i="2"/>
  <c r="Z441" i="2"/>
  <c r="BN441" i="2"/>
  <c r="BN442" i="2"/>
  <c r="Z449" i="2"/>
  <c r="Z455" i="2"/>
  <c r="Z465" i="2"/>
  <c r="Z466" i="2"/>
  <c r="BN466" i="2"/>
  <c r="BN492" i="2"/>
  <c r="BN510" i="2"/>
  <c r="BN515" i="2"/>
  <c r="BN530" i="2"/>
  <c r="BP539" i="2"/>
  <c r="BN556" i="2"/>
  <c r="BN278" i="2"/>
  <c r="BN283" i="2"/>
  <c r="BN289" i="2"/>
  <c r="BN303" i="2"/>
  <c r="BN310" i="2"/>
  <c r="BN318" i="2"/>
  <c r="BN336" i="2"/>
  <c r="BN351" i="2"/>
  <c r="BN372" i="2"/>
  <c r="BN379" i="2"/>
  <c r="BP396" i="2"/>
  <c r="BN415" i="2"/>
  <c r="BP455" i="2"/>
  <c r="BP465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73" i="2"/>
  <c r="Z268" i="2"/>
  <c r="X567" i="2"/>
  <c r="Z467" i="2"/>
  <c r="Z456" i="2"/>
  <c r="Z412" i="2"/>
  <c r="Z406" i="2"/>
  <c r="Z32" i="2"/>
  <c r="Z366" i="2"/>
  <c r="Z461" i="2"/>
  <c r="Z524" i="2"/>
  <c r="Z258" i="2"/>
  <c r="Z90" i="2"/>
  <c r="Z399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<sst xmlns="http://schemas.openxmlformats.org/spreadsheetml/2006/main" count="4373" uniqueCount="914">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</sst>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44" zoomScale="106" zoomScaleNormal="106" zoomScaleSheetLayoutView="100" workbookViewId="0">
      <selection activeCell="X475" sqref="X47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700</v>
      </c>
      <c r="Y47" s="55">
        <f>IFERROR(IF(X47="",0,CEILING((X47/$H47),1)*$H47),"")</f>
        <v>702</v>
      </c>
      <c r="Z47" s="41">
        <f>IFERROR(IF(Y47=0,"",ROUNDUP(Y47/H47,0)*0.01898),"")</f>
        <v>1.2337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726.57407407407413</v>
      </c>
      <c r="BN47" s="78">
        <f>IFERROR(Y47*I47/H47,"0")</f>
        <v>728.65000000000009</v>
      </c>
      <c r="BO47" s="78">
        <f>IFERROR(1/J47*(X47/H47),"0")</f>
        <v>1.0127314814814814</v>
      </c>
      <c r="BP47" s="78">
        <f>IFERROR(1/J47*(Y47/H47),"0")</f>
        <v>1.015625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64.81481481481481</v>
      </c>
      <c r="Y51" s="43">
        <f>IFERROR(Y47/H47,"0")+IFERROR(Y48/H48,"0")+IFERROR(Y49/H49,"0")+IFERROR(Y50/H50,"0")</f>
        <v>65</v>
      </c>
      <c r="Z51" s="43">
        <f>IFERROR(IF(Z47="",0,Z47),"0")+IFERROR(IF(Z48="",0,Z48),"0")+IFERROR(IF(Z49="",0,Z49),"0")+IFERROR(IF(Z50="",0,Z50),"0")</f>
        <v>1.2337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700</v>
      </c>
      <c r="Y52" s="43">
        <f>IFERROR(SUM(Y47:Y50),"0")</f>
        <v>702</v>
      </c>
      <c r="Z52" s="42"/>
      <c r="AA52" s="67"/>
      <c r="AB52" s="67"/>
      <c r="AC52" s="67"/>
    </row>
    <row r="53" spans="1:68" ht="16.5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250</v>
      </c>
      <c r="Y56" s="55">
        <f t="shared" si="0"/>
        <v>259.20000000000005</v>
      </c>
      <c r="Z56" s="41">
        <f>IFERROR(IF(Y56=0,"",ROUNDUP(Y56/H56,0)*0.01898),"")</f>
        <v>0.45552000000000004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259.4907407407407</v>
      </c>
      <c r="BN56" s="78">
        <f t="shared" si="2"/>
        <v>269.04000000000002</v>
      </c>
      <c r="BO56" s="78">
        <f t="shared" si="3"/>
        <v>0.36168981481481477</v>
      </c>
      <c r="BP56" s="78">
        <f t="shared" si="4"/>
        <v>0.37500000000000006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33.148148148148145</v>
      </c>
      <c r="Y61" s="43">
        <f>IFERROR(Y55/H55,"0")+IFERROR(Y56/H56,"0")+IFERROR(Y57/H57,"0")+IFERROR(Y58/H58,"0")+IFERROR(Y59/H59,"0")+IFERROR(Y60/H60,"0")</f>
        <v>34</v>
      </c>
      <c r="Z61" s="43">
        <f>IFERROR(IF(Z55="",0,Z55),"0")+IFERROR(IF(Z56="",0,Z56),"0")+IFERROR(IF(Z57="",0,Z57),"0")+IFERROR(IF(Z58="",0,Z58),"0")+IFERROR(IF(Z59="",0,Z59),"0")+IFERROR(IF(Z60="",0,Z60),"0")</f>
        <v>0.54571999999999998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295</v>
      </c>
      <c r="Y62" s="43">
        <f>IFERROR(SUM(Y55:Y60),"0")</f>
        <v>304.20000000000005</v>
      </c>
      <c r="Z62" s="42"/>
      <c r="AA62" s="67"/>
      <c r="AB62" s="67"/>
      <c r="AC62" s="67"/>
    </row>
    <row r="63" spans="1:68" ht="14.25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100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103.79629629629629</v>
      </c>
      <c r="BN64" s="78">
        <f>IFERROR(Y64*I64/H64,"0")</f>
        <v>112.1</v>
      </c>
      <c r="BO64" s="78">
        <f>IFERROR(1/J64*(X64/H64),"0")</f>
        <v>0.14467592592592593</v>
      </c>
      <c r="BP64" s="78">
        <f>IFERROR(1/J64*(Y64/H64),"0")</f>
        <v>0.15625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9.2592592592592595</v>
      </c>
      <c r="Y68" s="43">
        <f>IFERROR(Y64/H64,"0")+IFERROR(Y65/H65,"0")+IFERROR(Y66/H66,"0")+IFERROR(Y67/H67,"0")</f>
        <v>10</v>
      </c>
      <c r="Z68" s="43">
        <f>IFERROR(IF(Z64="",0,Z64),"0")+IFERROR(IF(Z65="",0,Z65),"0")+IFERROR(IF(Z66="",0,Z66),"0")+IFERROR(IF(Z67="",0,Z67),"0")</f>
        <v>0.1898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100</v>
      </c>
      <c r="Y69" s="43">
        <f>IFERROR(SUM(Y64:Y67),"0")</f>
        <v>108</v>
      </c>
      <c r="Z69" s="42"/>
      <c r="AA69" s="67"/>
      <c r="AB69" s="67"/>
      <c r="AC69" s="67"/>
    </row>
    <row r="70" spans="1:68" ht="14.25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400</v>
      </c>
      <c r="Y85" s="55">
        <f>IFERROR(IF(X85="",0,CEILING((X85/$H85),1)*$H85),"")</f>
        <v>410.40000000000003</v>
      </c>
      <c r="Z85" s="41">
        <f>IFERROR(IF(Y85=0,"",ROUNDUP(Y85/H85,0)*0.01898),"")</f>
        <v>0.72123999999999999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415.18518518518516</v>
      </c>
      <c r="BN85" s="78">
        <f>IFERROR(Y85*I85/H85,"0")</f>
        <v>425.98</v>
      </c>
      <c r="BO85" s="78">
        <f>IFERROR(1/J85*(X85/H85),"0")</f>
        <v>0.57870370370370372</v>
      </c>
      <c r="BP85" s="78">
        <f>IFERROR(1/J85*(Y85/H85),"0")</f>
        <v>0.59375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37.037037037037038</v>
      </c>
      <c r="Y90" s="43">
        <f>IFERROR(Y85/H85,"0")+IFERROR(Y86/H86,"0")+IFERROR(Y87/H87,"0")+IFERROR(Y88/H88,"0")+IFERROR(Y89/H89,"0")</f>
        <v>38</v>
      </c>
      <c r="Z90" s="43">
        <f>IFERROR(IF(Z85="",0,Z85),"0")+IFERROR(IF(Z86="",0,Z86),"0")+IFERROR(IF(Z87="",0,Z87),"0")+IFERROR(IF(Z88="",0,Z88),"0")+IFERROR(IF(Z89="",0,Z89),"0")</f>
        <v>0.72123999999999999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400</v>
      </c>
      <c r="Y91" s="43">
        <f>IFERROR(SUM(Y85:Y89),"0")</f>
        <v>410.40000000000003</v>
      </c>
      <c r="Z91" s="42"/>
      <c r="AA91" s="67"/>
      <c r="AB91" s="67"/>
      <c r="AC91" s="67"/>
    </row>
    <row r="92" spans="1:68" ht="14.25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400</v>
      </c>
      <c r="Y93" s="55">
        <f t="shared" ref="Y93:Y99" si="5">IFERROR(IF(X93="",0,CEILING((X93/$H93),1)*$H93),"")</f>
        <v>405</v>
      </c>
      <c r="Z93" s="41">
        <f>IFERROR(IF(Y93=0,"",ROUNDUP(Y93/H93,0)*0.01898),"")</f>
        <v>0.94900000000000007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424.39506172839509</v>
      </c>
      <c r="BN93" s="78">
        <f t="shared" ref="BN93:BN99" si="7">IFERROR(Y93*I93/H93,"0")</f>
        <v>429.7</v>
      </c>
      <c r="BO93" s="78">
        <f t="shared" ref="BO93:BO99" si="8">IFERROR(1/J93*(X93/H93),"0")</f>
        <v>0.77160493827160492</v>
      </c>
      <c r="BP93" s="78">
        <f t="shared" ref="BP93:BP99" si="9">IFERROR(1/J93*(Y93/H93),"0")</f>
        <v>0.78125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108</v>
      </c>
      <c r="Y97" s="55">
        <f t="shared" si="5"/>
        <v>108</v>
      </c>
      <c r="Z97" s="41">
        <f>IFERROR(IF(Y97=0,"",ROUNDUP(Y97/H97,0)*0.00651),"")</f>
        <v>0.26040000000000002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118.07999999999998</v>
      </c>
      <c r="BN97" s="78">
        <f t="shared" si="7"/>
        <v>118.07999999999998</v>
      </c>
      <c r="BO97" s="78">
        <f t="shared" si="8"/>
        <v>0.2197802197802198</v>
      </c>
      <c r="BP97" s="78">
        <f t="shared" si="9"/>
        <v>0.2197802197802198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89.382716049382708</v>
      </c>
      <c r="Y100" s="43">
        <f>IFERROR(Y93/H93,"0")+IFERROR(Y94/H94,"0")+IFERROR(Y95/H95,"0")+IFERROR(Y96/H96,"0")+IFERROR(Y97/H97,"0")+IFERROR(Y98/H98,"0")+IFERROR(Y99/H99,"0")</f>
        <v>90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1.2094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508</v>
      </c>
      <c r="Y101" s="43">
        <f>IFERROR(SUM(Y93:Y99),"0")</f>
        <v>513</v>
      </c>
      <c r="Z101" s="42"/>
      <c r="AA101" s="67"/>
      <c r="AB101" s="67"/>
      <c r="AC101" s="67"/>
    </row>
    <row r="102" spans="1:68" ht="16.5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250</v>
      </c>
      <c r="Y104" s="55">
        <f t="shared" ref="Y104:Y111" si="10">IFERROR(IF(X104="",0,CEILING((X104/$H104),1)*$H104),"")</f>
        <v>259.20000000000005</v>
      </c>
      <c r="Z104" s="41">
        <f>IFERROR(IF(Y104=0,"",ROUNDUP(Y104/H104,0)*0.01898),"")</f>
        <v>0.45552000000000004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259.4907407407407</v>
      </c>
      <c r="BN104" s="78">
        <f t="shared" ref="BN104:BN111" si="12">IFERROR(Y104*I104/H104,"0")</f>
        <v>269.04000000000002</v>
      </c>
      <c r="BO104" s="78">
        <f t="shared" ref="BO104:BO111" si="13">IFERROR(1/J104*(X104/H104),"0")</f>
        <v>0.36168981481481477</v>
      </c>
      <c r="BP104" s="78">
        <f t="shared" ref="BP104:BP111" si="14">IFERROR(1/J104*(Y104/H104),"0")</f>
        <v>0.37500000000000006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23.148148148148145</v>
      </c>
      <c r="Y112" s="43">
        <f>IFERROR(Y104/H104,"0")+IFERROR(Y105/H105,"0")+IFERROR(Y106/H106,"0")+IFERROR(Y107/H107,"0")+IFERROR(Y108/H108,"0")+IFERROR(Y109/H109,"0")+IFERROR(Y110/H110,"0")+IFERROR(Y111/H111,"0")</f>
        <v>24.000000000000004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0.45552000000000004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250</v>
      </c>
      <c r="Y113" s="43">
        <f>IFERROR(SUM(Y104:Y111),"0")</f>
        <v>259.20000000000005</v>
      </c>
      <c r="Z113" s="42"/>
      <c r="AA113" s="67"/>
      <c r="AB113" s="67"/>
      <c r="AC113" s="67"/>
    </row>
    <row r="114" spans="1:68" ht="14.25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100</v>
      </c>
      <c r="Y115" s="55">
        <f>IFERROR(IF(X115="",0,CEILING((X115/$H115),1)*$H115),"")</f>
        <v>108</v>
      </c>
      <c r="Z115" s="41">
        <f>IFERROR(IF(Y115=0,"",ROUNDUP(Y115/H115,0)*0.01898),"")</f>
        <v>0.1898</v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103.79629629629629</v>
      </c>
      <c r="BN115" s="78">
        <f>IFERROR(Y115*I115/H115,"0")</f>
        <v>112.1</v>
      </c>
      <c r="BO115" s="78">
        <f>IFERROR(1/J115*(X115/H115),"0")</f>
        <v>0.14467592592592593</v>
      </c>
      <c r="BP115" s="78">
        <f>IFERROR(1/J115*(Y115/H115),"0")</f>
        <v>0.15625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9.2592592592592595</v>
      </c>
      <c r="Y120" s="43">
        <f>IFERROR(Y115/H115,"0")+IFERROR(Y116/H116,"0")+IFERROR(Y117/H117,"0")+IFERROR(Y118/H118,"0")+IFERROR(Y119/H119,"0")</f>
        <v>10</v>
      </c>
      <c r="Z120" s="43">
        <f>IFERROR(IF(Z115="",0,Z115),"0")+IFERROR(IF(Z116="",0,Z116),"0")+IFERROR(IF(Z117="",0,Z117),"0")+IFERROR(IF(Z118="",0,Z118),"0")+IFERROR(IF(Z119="",0,Z119),"0")</f>
        <v>0.1898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100</v>
      </c>
      <c r="Y121" s="43">
        <f>IFERROR(SUM(Y115:Y119),"0")</f>
        <v>108</v>
      </c>
      <c r="Z121" s="42"/>
      <c r="AA121" s="67"/>
      <c r="AB121" s="67"/>
      <c r="AC121" s="67"/>
    </row>
    <row r="122" spans="1:68" ht="14.25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1000</v>
      </c>
      <c r="Y123" s="55">
        <f t="shared" ref="Y123:Y130" si="15">IFERROR(IF(X123="",0,CEILING((X123/$H123),1)*$H123),"")</f>
        <v>1004.4</v>
      </c>
      <c r="Z123" s="41">
        <f>IFERROR(IF(Y123=0,"",ROUNDUP(Y123/H123,0)*0.01898),"")</f>
        <v>2.3535200000000001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1060.2469135802469</v>
      </c>
      <c r="BN123" s="78">
        <f t="shared" ref="BN123:BN130" si="17">IFERROR(Y123*I123/H123,"0")</f>
        <v>1064.9119999999998</v>
      </c>
      <c r="BO123" s="78">
        <f t="shared" ref="BO123:BO130" si="18">IFERROR(1/J123*(X123/H123),"0")</f>
        <v>1.9290123456790125</v>
      </c>
      <c r="BP123" s="78">
        <f t="shared" ref="BP123:BP130" si="19">IFERROR(1/J123*(Y123/H123),"0")</f>
        <v>1.9375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162</v>
      </c>
      <c r="Y127" s="55">
        <f t="shared" si="15"/>
        <v>162</v>
      </c>
      <c r="Z127" s="41">
        <f t="shared" si="20"/>
        <v>0.3906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177.11999999999998</v>
      </c>
      <c r="BN127" s="78">
        <f t="shared" si="17"/>
        <v>177.11999999999998</v>
      </c>
      <c r="BO127" s="78">
        <f t="shared" si="18"/>
        <v>0.32967032967032966</v>
      </c>
      <c r="BP127" s="78">
        <f t="shared" si="19"/>
        <v>0.32967032967032966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183.45679012345678</v>
      </c>
      <c r="Y131" s="43">
        <f>IFERROR(Y123/H123,"0")+IFERROR(Y124/H124,"0")+IFERROR(Y125/H125,"0")+IFERROR(Y126/H126,"0")+IFERROR(Y127/H127,"0")+IFERROR(Y128/H128,"0")+IFERROR(Y129/H129,"0")+IFERROR(Y130/H130,"0")</f>
        <v>184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2.7441200000000001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1162</v>
      </c>
      <c r="Y132" s="43">
        <f>IFERROR(SUM(Y123:Y130),"0")</f>
        <v>1166.4000000000001</v>
      </c>
      <c r="Z132" s="42"/>
      <c r="AA132" s="67"/>
      <c r="AB132" s="67"/>
      <c r="AC132" s="67"/>
    </row>
    <row r="133" spans="1:68" ht="14.25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8.5714285714285712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9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8.1180000000000002E-2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30</v>
      </c>
      <c r="Y197" s="43">
        <f>IFERROR(SUM(Y182:Y195),"0")</f>
        <v>31.5</v>
      </c>
      <c r="Z197" s="42"/>
      <c r="AA197" s="67"/>
      <c r="AB197" s="67"/>
      <c r="AC197" s="67"/>
    </row>
    <row r="198" spans="1:68" ht="14.25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60</v>
      </c>
      <c r="Y230" s="55">
        <f t="shared" ref="Y230:Y243" si="39">IFERROR(IF(X230="",0,CEILING((X230/$H230),1)*$H230),"")</f>
        <v>63</v>
      </c>
      <c r="Z230" s="41">
        <f>IFERROR(IF(Y230=0,"",ROUNDUP(Y230/H230,0)*0.00902),"")</f>
        <v>0.1353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63.571428571428569</v>
      </c>
      <c r="BN230" s="78">
        <f t="shared" ref="BN230:BN243" si="41">IFERROR(Y230*I230/H230,"0")</f>
        <v>66.75</v>
      </c>
      <c r="BO230" s="78">
        <f t="shared" ref="BO230:BO243" si="42">IFERROR(1/J230*(X230/H230),"0")</f>
        <v>0.10822510822510822</v>
      </c>
      <c r="BP230" s="78">
        <f t="shared" ref="BP230:BP243" si="43">IFERROR(1/J230*(Y230/H230),"0")</f>
        <v>0.11363636363636365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63</v>
      </c>
      <c r="Y241" s="55">
        <f t="shared" si="39"/>
        <v>63</v>
      </c>
      <c r="Z241" s="41">
        <f>IFERROR(IF(Y241=0,"",ROUNDUP(Y241/H241,0)*0.00502),"")</f>
        <v>0.15060000000000001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66.000000000000014</v>
      </c>
      <c r="BN241" s="78">
        <f t="shared" si="41"/>
        <v>66.000000000000014</v>
      </c>
      <c r="BO241" s="78">
        <f t="shared" si="42"/>
        <v>0.12820512820512822</v>
      </c>
      <c r="BP241" s="78">
        <f t="shared" si="43"/>
        <v>0.12820512820512822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44.285714285714285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45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0.28590000000000004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123</v>
      </c>
      <c r="Y245" s="43">
        <f>IFERROR(SUM(Y230:Y243),"0")</f>
        <v>126</v>
      </c>
      <c r="Z245" s="42"/>
      <c r="AA245" s="67"/>
      <c r="AB245" s="67"/>
      <c r="AC245" s="67"/>
    </row>
    <row r="246" spans="1:68" ht="14.25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80</v>
      </c>
      <c r="Y277" s="55">
        <f t="shared" si="45"/>
        <v>81</v>
      </c>
      <c r="Z277" s="41">
        <f>IFERROR(IF(Y277=0,"",ROUNDUP(Y277/H277,0)*0.00902),"")</f>
        <v>0.1353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82.81481481481481</v>
      </c>
      <c r="BN277" s="78">
        <f t="shared" si="47"/>
        <v>83.85</v>
      </c>
      <c r="BO277" s="78">
        <f t="shared" si="48"/>
        <v>0.11223344556677889</v>
      </c>
      <c r="BP277" s="78">
        <f t="shared" si="49"/>
        <v>0.11363636363636363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160</v>
      </c>
      <c r="Y278" s="55">
        <f t="shared" si="45"/>
        <v>162</v>
      </c>
      <c r="Z278" s="41">
        <f>IFERROR(IF(Y278=0,"",ROUNDUP(Y278/H278,0)*0.00902),"")</f>
        <v>0.27060000000000001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165.62962962962962</v>
      </c>
      <c r="BN278" s="78">
        <f t="shared" si="47"/>
        <v>167.7</v>
      </c>
      <c r="BO278" s="78">
        <f t="shared" si="48"/>
        <v>0.22446689113355778</v>
      </c>
      <c r="BP278" s="78">
        <f t="shared" si="49"/>
        <v>0.22727272727272727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45"/>
        <v>64.800000000000011</v>
      </c>
      <c r="Z279" s="41">
        <f>IFERROR(IF(Y279=0,"",ROUNDUP(Y279/H279,0)*0.00902),"")</f>
        <v>0.10824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62.1111111111111</v>
      </c>
      <c r="BN279" s="78">
        <f t="shared" si="47"/>
        <v>67.08</v>
      </c>
      <c r="BO279" s="78">
        <f t="shared" si="48"/>
        <v>8.4175084175084181E-2</v>
      </c>
      <c r="BP279" s="78">
        <f t="shared" si="49"/>
        <v>9.0909090909090925E-2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64.81481481481481</v>
      </c>
      <c r="Y284" s="43">
        <f>IFERROR(Y276/H276,"0")+IFERROR(Y277/H277,"0")+IFERROR(Y278/H278,"0")+IFERROR(Y279/H279,"0")+IFERROR(Y280/H280,"0")+IFERROR(Y281/H281,"0")+IFERROR(Y282/H282,"0")+IFERROR(Y283/H283,"0")</f>
        <v>67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0.60433999999999999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350</v>
      </c>
      <c r="Y285" s="43">
        <f>IFERROR(SUM(Y276:Y283),"0")</f>
        <v>361.8</v>
      </c>
      <c r="Z285" s="42"/>
      <c r="AA285" s="67"/>
      <c r="AB285" s="67"/>
      <c r="AC285" s="67"/>
    </row>
    <row r="286" spans="1:68" ht="14.25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72</v>
      </c>
      <c r="Y297" s="55">
        <f t="shared" si="50"/>
        <v>72</v>
      </c>
      <c r="Z297" s="41">
        <f>IFERROR(IF(Y297=0,"",ROUNDUP(Y297/H297,0)*0.00651),"")</f>
        <v>0.1953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79.740000000000009</v>
      </c>
      <c r="BN297" s="78">
        <f t="shared" si="52"/>
        <v>79.740000000000009</v>
      </c>
      <c r="BO297" s="78">
        <f t="shared" si="53"/>
        <v>0.16483516483516486</v>
      </c>
      <c r="BP297" s="78">
        <f t="shared" si="54"/>
        <v>0.16483516483516486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0.1953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72</v>
      </c>
      <c r="Y300" s="43">
        <f>IFERROR(SUM(Y287:Y298),"0")</f>
        <v>72</v>
      </c>
      <c r="Z300" s="42"/>
      <c r="AA300" s="67"/>
      <c r="AB300" s="67"/>
      <c r="AC300" s="67"/>
    </row>
    <row r="301" spans="1:68" ht="14.25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40</v>
      </c>
      <c r="Y363" s="55">
        <f>IFERROR(IF(X363="",0,CEILING((X363/$H363),1)*$H363),"")</f>
        <v>46.8</v>
      </c>
      <c r="Z363" s="41">
        <f>IFERROR(IF(Y363=0,"",ROUNDUP(Y363/H363,0)*0.01898),"")</f>
        <v>0.11388000000000001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42.102564102564109</v>
      </c>
      <c r="BN363" s="78">
        <f>IFERROR(Y363*I363/H363,"0")</f>
        <v>49.260000000000005</v>
      </c>
      <c r="BO363" s="78">
        <f>IFERROR(1/J363*(X363/H363),"0")</f>
        <v>8.0128205128205135E-2</v>
      </c>
      <c r="BP363" s="78">
        <f>IFERROR(1/J363*(Y363/H363),"0")</f>
        <v>9.375E-2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40</v>
      </c>
      <c r="Y364" s="55">
        <f>IFERROR(IF(X364="",0,CEILING((X364/$H364),1)*$H364),"")</f>
        <v>46.8</v>
      </c>
      <c r="Z364" s="41">
        <f>IFERROR(IF(Y364=0,"",ROUNDUP(Y364/H364,0)*0.01898),"")</f>
        <v>0.11388000000000001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42.102564102564109</v>
      </c>
      <c r="BN364" s="78">
        <f>IFERROR(Y364*I364/H364,"0")</f>
        <v>49.260000000000005</v>
      </c>
      <c r="BO364" s="78">
        <f>IFERROR(1/J364*(X364/H364),"0")</f>
        <v>8.0128205128205135E-2</v>
      </c>
      <c r="BP364" s="78">
        <f>IFERROR(1/J364*(Y364/H364),"0")</f>
        <v>9.375E-2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10.256410256410257</v>
      </c>
      <c r="Y366" s="43">
        <f>IFERROR(Y363/H363,"0")+IFERROR(Y364/H364,"0")+IFERROR(Y365/H365,"0")</f>
        <v>12</v>
      </c>
      <c r="Z366" s="43">
        <f>IFERROR(IF(Z363="",0,Z363),"0")+IFERROR(IF(Z364="",0,Z364),"0")+IFERROR(IF(Z365="",0,Z365),"0")</f>
        <v>0.22776000000000002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80</v>
      </c>
      <c r="Y367" s="43">
        <f>IFERROR(SUM(Y363:Y365),"0")</f>
        <v>93.6</v>
      </c>
      <c r="Z367" s="42"/>
      <c r="AA367" s="67"/>
      <c r="AB367" s="67"/>
      <c r="AC367" s="67"/>
    </row>
    <row r="368" spans="1:68" ht="16.5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750</v>
      </c>
      <c r="Y397" s="55">
        <f>IFERROR(IF(X397="",0,CEILING((X397/$H397),1)*$H397),"")</f>
        <v>756.6</v>
      </c>
      <c r="Z397" s="41">
        <f>IFERROR(IF(Y397=0,"",ROUNDUP(Y397/H397,0)*0.01898),"")</f>
        <v>1.8410600000000001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797.5</v>
      </c>
      <c r="BN397" s="78">
        <f>IFERROR(Y397*I397/H397,"0")</f>
        <v>804.51800000000014</v>
      </c>
      <c r="BO397" s="78">
        <f>IFERROR(1/J397*(X397/H397),"0")</f>
        <v>1.5024038461538463</v>
      </c>
      <c r="BP397" s="78">
        <f>IFERROR(1/J397*(Y397/H397),"0")</f>
        <v>1.515625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96.15384615384616</v>
      </c>
      <c r="Y399" s="43">
        <f>IFERROR(Y396/H396,"0")+IFERROR(Y397/H397,"0")+IFERROR(Y398/H398,"0")</f>
        <v>97</v>
      </c>
      <c r="Z399" s="43">
        <f>IFERROR(IF(Z396="",0,Z396),"0")+IFERROR(IF(Z397="",0,Z397),"0")+IFERROR(IF(Z398="",0,Z398),"0")</f>
        <v>1.8410600000000001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750</v>
      </c>
      <c r="Y400" s="43">
        <f>IFERROR(SUM(Y396:Y398),"0")</f>
        <v>756.6</v>
      </c>
      <c r="Z400" s="42"/>
      <c r="AA400" s="67"/>
      <c r="AB400" s="67"/>
      <c r="AC400" s="67"/>
    </row>
    <row r="401" spans="1:68" ht="14.25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5.0999999999999996</v>
      </c>
      <c r="Y404" s="55">
        <f>IFERROR(IF(X404="",0,CEILING((X404/$H404),1)*$H404),"")</f>
        <v>5.0999999999999996</v>
      </c>
      <c r="Z404" s="41">
        <f>IFERROR(IF(Y404=0,"",ROUNDUP(Y404/H404,0)*0.00651),"")</f>
        <v>1.302E-2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5.91</v>
      </c>
      <c r="BN404" s="78">
        <f>IFERROR(Y404*I404/H404,"0")</f>
        <v>5.91</v>
      </c>
      <c r="BO404" s="78">
        <f>IFERROR(1/J404*(X404/H404),"0")</f>
        <v>1.098901098901099E-2</v>
      </c>
      <c r="BP404" s="78">
        <f>IFERROR(1/J404*(Y404/H404),"0")</f>
        <v>1.098901098901099E-2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25.5</v>
      </c>
      <c r="Y405" s="55">
        <f>IFERROR(IF(X405="",0,CEILING((X405/$H405),1)*$H405),"")</f>
        <v>25.5</v>
      </c>
      <c r="Z405" s="41">
        <f>IFERROR(IF(Y405=0,"",ROUNDUP(Y405/H405,0)*0.00651),"")</f>
        <v>6.5100000000000005E-2</v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28.8</v>
      </c>
      <c r="BN405" s="78">
        <f>IFERROR(Y405*I405/H405,"0")</f>
        <v>28.8</v>
      </c>
      <c r="BO405" s="78">
        <f>IFERROR(1/J405*(X405/H405),"0")</f>
        <v>5.4945054945054951E-2</v>
      </c>
      <c r="BP405" s="78">
        <f>IFERROR(1/J405*(Y405/H405),"0")</f>
        <v>5.4945054945054951E-2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12</v>
      </c>
      <c r="Y406" s="43">
        <f>IFERROR(Y402/H402,"0")+IFERROR(Y403/H403,"0")+IFERROR(Y404/H404,"0")+IFERROR(Y405/H405,"0")</f>
        <v>12</v>
      </c>
      <c r="Z406" s="43">
        <f>IFERROR(IF(Z402="",0,Z402),"0")+IFERROR(IF(Z403="",0,Z403),"0")+IFERROR(IF(Z404="",0,Z404),"0")+IFERROR(IF(Z405="",0,Z405),"0")</f>
        <v>7.8120000000000009E-2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30.6</v>
      </c>
      <c r="Y407" s="43">
        <f>IFERROR(SUM(Y402:Y405),"0")</f>
        <v>30.6</v>
      </c>
      <c r="Z407" s="42"/>
      <c r="AA407" s="67"/>
      <c r="AB407" s="67"/>
      <c r="AC407" s="67"/>
    </row>
    <row r="408" spans="1:68" ht="14.25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73.5</v>
      </c>
      <c r="Y429" s="55">
        <f>IFERROR(IF(X429="",0,CEILING((X429/$H429),1)*$H429),"")</f>
        <v>73.5</v>
      </c>
      <c r="Z429" s="41">
        <f>IFERROR(IF(Y429=0,"",ROUNDUP(Y429/H429,0)*0.00651),"")</f>
        <v>0.22785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82.32</v>
      </c>
      <c r="BN429" s="78">
        <f>IFERROR(Y429*I429/H429,"0")</f>
        <v>82.32</v>
      </c>
      <c r="BO429" s="78">
        <f>IFERROR(1/J429*(X429/H429),"0")</f>
        <v>0.19230769230769232</v>
      </c>
      <c r="BP429" s="78">
        <f>IFERROR(1/J429*(Y429/H429),"0")</f>
        <v>0.19230769230769232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35</v>
      </c>
      <c r="Y431" s="43">
        <f>IFERROR(Y428/H428,"0")+IFERROR(Y429/H429,"0")+IFERROR(Y430/H430,"0")</f>
        <v>35</v>
      </c>
      <c r="Z431" s="43">
        <f>IFERROR(IF(Z428="",0,Z428),"0")+IFERROR(IF(Z429="",0,Z429),"0")+IFERROR(IF(Z430="",0,Z430),"0")</f>
        <v>0.22785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73.5</v>
      </c>
      <c r="Y432" s="43">
        <f>IFERROR(SUM(Y428:Y430),"0")</f>
        <v>73.5</v>
      </c>
      <c r="Z432" s="42"/>
      <c r="AA432" s="67"/>
      <c r="AB432" s="67"/>
      <c r="AC432" s="67"/>
    </row>
    <row r="433" spans="1:68" ht="27.75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1500</v>
      </c>
      <c r="Y437" s="55">
        <f t="shared" si="70"/>
        <v>1500</v>
      </c>
      <c r="Z437" s="41">
        <f>IFERROR(IF(Y437=0,"",ROUNDUP(Y437/H437,0)*0.02175),"")</f>
        <v>2.1749999999999998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1547</v>
      </c>
      <c r="BN437" s="78">
        <f t="shared" si="72"/>
        <v>1547</v>
      </c>
      <c r="BO437" s="78">
        <f t="shared" si="73"/>
        <v>2.083333333333333</v>
      </c>
      <c r="BP437" s="78">
        <f t="shared" si="74"/>
        <v>2.083333333333333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750</v>
      </c>
      <c r="Y438" s="55">
        <f t="shared" si="70"/>
        <v>750</v>
      </c>
      <c r="Z438" s="41">
        <f>IFERROR(IF(Y438=0,"",ROUNDUP(Y438/H438,0)*0.02175),"")</f>
        <v>1.0874999999999999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773.5</v>
      </c>
      <c r="BN438" s="78">
        <f t="shared" si="72"/>
        <v>773.5</v>
      </c>
      <c r="BO438" s="78">
        <f t="shared" si="73"/>
        <v>1.0416666666666665</v>
      </c>
      <c r="BP438" s="78">
        <f t="shared" si="74"/>
        <v>1.0416666666666665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2250</v>
      </c>
      <c r="Y439" s="55">
        <f t="shared" si="70"/>
        <v>2250</v>
      </c>
      <c r="Z439" s="41">
        <f>IFERROR(IF(Y439=0,"",ROUNDUP(Y439/H439,0)*0.02175),"")</f>
        <v>3.2624999999999997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2320.5</v>
      </c>
      <c r="BN439" s="78">
        <f t="shared" si="72"/>
        <v>2320.5</v>
      </c>
      <c r="BO439" s="78">
        <f t="shared" si="73"/>
        <v>3.125</v>
      </c>
      <c r="BP439" s="78">
        <f t="shared" si="74"/>
        <v>3.125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300</v>
      </c>
      <c r="Y444" s="43">
        <f>IFERROR(Y436/H436,"0")+IFERROR(Y437/H437,"0")+IFERROR(Y438/H438,"0")+IFERROR(Y439/H439,"0")+IFERROR(Y440/H440,"0")+IFERROR(Y441/H441,"0")+IFERROR(Y442/H442,"0")+IFERROR(Y443/H443,"0")</f>
        <v>300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6.5249999999999995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4500</v>
      </c>
      <c r="Y445" s="43">
        <f>IFERROR(SUM(Y436:Y443),"0")</f>
        <v>4500</v>
      </c>
      <c r="Z445" s="42"/>
      <c r="AA445" s="67"/>
      <c r="AB445" s="67"/>
      <c r="AC445" s="67"/>
    </row>
    <row r="446" spans="1:68" ht="14.25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1500</v>
      </c>
      <c r="Y447" s="55">
        <f>IFERROR(IF(X447="",0,CEILING((X447/$H447),1)*$H447),"")</f>
        <v>1500</v>
      </c>
      <c r="Z447" s="41">
        <f>IFERROR(IF(Y447=0,"",ROUNDUP(Y447/H447,0)*0.02175),"")</f>
        <v>2.1749999999999998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1547</v>
      </c>
      <c r="BN447" s="78">
        <f>IFERROR(Y447*I447/H447,"0")</f>
        <v>1547</v>
      </c>
      <c r="BO447" s="78">
        <f>IFERROR(1/J447*(X447/H447),"0")</f>
        <v>2.083333333333333</v>
      </c>
      <c r="BP447" s="78">
        <f>IFERROR(1/J447*(Y447/H447),"0")</f>
        <v>2.083333333333333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100</v>
      </c>
      <c r="Y450" s="43">
        <f>IFERROR(Y447/H447,"0")+IFERROR(Y448/H448,"0")+IFERROR(Y449/H449,"0")</f>
        <v>100</v>
      </c>
      <c r="Z450" s="43">
        <f>IFERROR(IF(Z447="",0,Z447),"0")+IFERROR(IF(Z448="",0,Z448),"0")+IFERROR(IF(Z449="",0,Z449),"0")</f>
        <v>2.1749999999999998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1500</v>
      </c>
      <c r="Y451" s="43">
        <f>IFERROR(SUM(Y447:Y449),"0")</f>
        <v>1500</v>
      </c>
      <c r="Z451" s="42"/>
      <c r="AA451" s="67"/>
      <c r="AB451" s="67"/>
      <c r="AC451" s="67"/>
    </row>
    <row r="452" spans="1:68" ht="14.25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20</v>
      </c>
      <c r="Y482" s="55">
        <f t="shared" ref="Y482:Y487" si="75">IFERROR(IF(X482="",0,CEILING((X482/$H482),1)*$H482),"")</f>
        <v>21.6</v>
      </c>
      <c r="Z482" s="41">
        <f>IFERROR(IF(Y482=0,"",ROUNDUP(Y482/H482,0)*0.00902),"")</f>
        <v>3.6080000000000001E-2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20.703703703703702</v>
      </c>
      <c r="BN482" s="78">
        <f t="shared" ref="BN482:BN487" si="77">IFERROR(Y482*I482/H482,"0")</f>
        <v>22.36</v>
      </c>
      <c r="BO482" s="78">
        <f t="shared" ref="BO482:BO487" si="78">IFERROR(1/J482*(X482/H482),"0")</f>
        <v>2.8058361391694722E-2</v>
      </c>
      <c r="BP482" s="78">
        <f t="shared" ref="BP482:BP487" si="79">IFERROR(1/J482*(Y482/H482),"0")</f>
        <v>3.0303030303030304E-2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3.7037037037037033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20</v>
      </c>
      <c r="Y489" s="43">
        <f>IFERROR(SUM(Y482:Y487),"0")</f>
        <v>21.6</v>
      </c>
      <c r="Z489" s="42"/>
      <c r="AA489" s="67"/>
      <c r="AB489" s="67"/>
      <c r="AC489" s="67"/>
    </row>
    <row r="490" spans="1:68" ht="14.25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50</v>
      </c>
      <c r="Y501" s="55">
        <f>IFERROR(IF(X501="",0,CEILING((X501/$H501),1)*$H501),"")</f>
        <v>54</v>
      </c>
      <c r="Z501" s="41">
        <f>IFERROR(IF(Y501=0,"",ROUNDUP(Y501/H501,0)*0.00902),"")</f>
        <v>9.0200000000000002E-2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51.759259259259252</v>
      </c>
      <c r="BN501" s="78">
        <f>IFERROR(Y501*I501/H501,"0")</f>
        <v>55.9</v>
      </c>
      <c r="BO501" s="78">
        <f>IFERROR(1/J501*(X501/H501),"0")</f>
        <v>7.0145903479236812E-2</v>
      </c>
      <c r="BP501" s="78">
        <f>IFERROR(1/J501*(Y501/H501),"0")</f>
        <v>7.575757575757576E-2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9.2592592592592595</v>
      </c>
      <c r="Y504" s="43">
        <f>IFERROR(Y501/H501,"0")+IFERROR(Y502/H502,"0")+IFERROR(Y503/H503,"0")</f>
        <v>10</v>
      </c>
      <c r="Z504" s="43">
        <f>IFERROR(IF(Z501="",0,Z501),"0")+IFERROR(IF(Z502="",0,Z502),"0")+IFERROR(IF(Z503="",0,Z503),"0")</f>
        <v>9.0200000000000002E-2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50</v>
      </c>
      <c r="Y505" s="43">
        <f>IFERROR(SUM(Y501:Y503),"0")</f>
        <v>54</v>
      </c>
      <c r="Z505" s="42"/>
      <c r="AA505" s="67"/>
      <c r="AB505" s="67"/>
      <c r="AC505" s="67"/>
    </row>
    <row r="506" spans="1:68" ht="27.75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ref="Y509:Y517" si="80">IFERROR(IF(X509="",0,CEILING((X509/$H509),1)*$H509),"")</f>
        <v>100.32000000000001</v>
      </c>
      <c r="Z509" s="41">
        <f t="shared" ref="Z509:Z514" si="81">IFERROR(IF(Y509=0,"",ROUNDUP(Y509/H509,0)*0.01196),"")</f>
        <v>0.22724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106.62878787878788</v>
      </c>
      <c r="BN509" s="78">
        <f t="shared" ref="BN509:BN517" si="83">IFERROR(Y509*I509/H509,"0")</f>
        <v>106.97</v>
      </c>
      <c r="BO509" s="78">
        <f t="shared" ref="BO509:BO517" si="84">IFERROR(1/J509*(X509/H509),"0")</f>
        <v>0.18210955710955709</v>
      </c>
      <c r="BP509" s="78">
        <f t="shared" ref="BP509:BP517" si="85">IFERROR(1/J509*(Y509/H509),"0")</f>
        <v>0.18269230769230771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700</v>
      </c>
      <c r="Y512" s="55">
        <f t="shared" si="80"/>
        <v>702.24</v>
      </c>
      <c r="Z512" s="41">
        <f t="shared" si="81"/>
        <v>1.5906800000000001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746.40151515151513</v>
      </c>
      <c r="BN512" s="78">
        <f t="shared" si="83"/>
        <v>748.79</v>
      </c>
      <c r="BO512" s="78">
        <f t="shared" si="84"/>
        <v>1.2747668997668997</v>
      </c>
      <c r="BP512" s="78">
        <f t="shared" si="85"/>
        <v>1.278846153846154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750</v>
      </c>
      <c r="Y514" s="55">
        <f t="shared" si="80"/>
        <v>755.04000000000008</v>
      </c>
      <c r="Z514" s="41">
        <f t="shared" si="81"/>
        <v>1.71028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799.71590909090901</v>
      </c>
      <c r="BN514" s="78">
        <f t="shared" si="83"/>
        <v>805.09</v>
      </c>
      <c r="BO514" s="78">
        <f t="shared" si="84"/>
        <v>1.3658216783216783</v>
      </c>
      <c r="BP514" s="78">
        <f t="shared" si="85"/>
        <v>1.375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293.56060606060601</v>
      </c>
      <c r="Y518" s="43">
        <f>IFERROR(Y509/H509,"0")+IFERROR(Y510/H510,"0")+IFERROR(Y511/H511,"0")+IFERROR(Y512/H512,"0")+IFERROR(Y513/H513,"0")+IFERROR(Y514/H514,"0")+IFERROR(Y515/H515,"0")+IFERROR(Y516/H516,"0")+IFERROR(Y517/H517,"0")</f>
        <v>295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3.5282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1550</v>
      </c>
      <c r="Y519" s="43">
        <f>IFERROR(SUM(Y509:Y517),"0")</f>
        <v>1557.6000000000001</v>
      </c>
      <c r="Z519" s="42"/>
      <c r="AA519" s="67"/>
      <c r="AB519" s="67"/>
      <c r="AC519" s="67"/>
    </row>
    <row r="520" spans="1:68" ht="14.25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1500</v>
      </c>
      <c r="Y521" s="55">
        <f>IFERROR(IF(X521="",0,CEILING((X521/$H521),1)*$H521),"")</f>
        <v>1504.8000000000002</v>
      </c>
      <c r="Z521" s="41">
        <f>IFERROR(IF(Y521=0,"",ROUNDUP(Y521/H521,0)*0.01196),"")</f>
        <v>3.4085999999999999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1599.431818181818</v>
      </c>
      <c r="BN521" s="78">
        <f>IFERROR(Y521*I521/H521,"0")</f>
        <v>1604.5500000000002</v>
      </c>
      <c r="BO521" s="78">
        <f>IFERROR(1/J521*(X521/H521),"0")</f>
        <v>2.7316433566433567</v>
      </c>
      <c r="BP521" s="78">
        <f>IFERROR(1/J521*(Y521/H521),"0")</f>
        <v>2.7403846153846154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284.09090909090907</v>
      </c>
      <c r="Y524" s="43">
        <f>IFERROR(Y521/H521,"0")+IFERROR(Y522/H522,"0")+IFERROR(Y523/H523,"0")</f>
        <v>285</v>
      </c>
      <c r="Z524" s="43">
        <f>IFERROR(IF(Z521="",0,Z521),"0")+IFERROR(IF(Z522="",0,Z522),"0")+IFERROR(IF(Z523="",0,Z523),"0")</f>
        <v>3.4085999999999999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1500</v>
      </c>
      <c r="Y525" s="43">
        <f>IFERROR(SUM(Y521:Y523),"0")</f>
        <v>1504.8000000000002</v>
      </c>
      <c r="Z525" s="42"/>
      <c r="AA525" s="67"/>
      <c r="AB525" s="67"/>
      <c r="AC525" s="67"/>
    </row>
    <row r="526" spans="1:68" ht="14.25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300</v>
      </c>
      <c r="Y527" s="55">
        <f t="shared" ref="Y527:Y533" si="86">IFERROR(IF(X527="",0,CEILING((X527/$H527),1)*$H527),"")</f>
        <v>300.96000000000004</v>
      </c>
      <c r="Z527" s="41">
        <f>IFERROR(IF(Y527=0,"",ROUNDUP(Y527/H527,0)*0.01196),"")</f>
        <v>0.68171999999999999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319.88636363636363</v>
      </c>
      <c r="BN527" s="78">
        <f t="shared" ref="BN527:BN533" si="88">IFERROR(Y527*I527/H527,"0")</f>
        <v>320.91000000000003</v>
      </c>
      <c r="BO527" s="78">
        <f t="shared" ref="BO527:BO533" si="89">IFERROR(1/J527*(X527/H527),"0")</f>
        <v>0.54632867132867136</v>
      </c>
      <c r="BP527" s="78">
        <f t="shared" ref="BP527:BP533" si="90">IFERROR(1/J527*(Y527/H527),"0")</f>
        <v>0.54807692307692313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400</v>
      </c>
      <c r="Y528" s="55">
        <f t="shared" si="86"/>
        <v>401.28000000000003</v>
      </c>
      <c r="Z528" s="41">
        <f>IFERROR(IF(Y528=0,"",ROUNDUP(Y528/H528,0)*0.01196),"")</f>
        <v>0.90895999999999999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426.5151515151515</v>
      </c>
      <c r="BN528" s="78">
        <f t="shared" si="88"/>
        <v>427.88</v>
      </c>
      <c r="BO528" s="78">
        <f t="shared" si="89"/>
        <v>0.72843822843822836</v>
      </c>
      <c r="BP528" s="78">
        <f t="shared" si="90"/>
        <v>0.73076923076923084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750</v>
      </c>
      <c r="Y529" s="55">
        <f t="shared" si="86"/>
        <v>755.04000000000008</v>
      </c>
      <c r="Z529" s="41">
        <f>IFERROR(IF(Y529=0,"",ROUNDUP(Y529/H529,0)*0.01196),"")</f>
        <v>1.71028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799.71590909090901</v>
      </c>
      <c r="BN529" s="78">
        <f t="shared" si="88"/>
        <v>805.09</v>
      </c>
      <c r="BO529" s="78">
        <f t="shared" si="89"/>
        <v>1.3658216783216783</v>
      </c>
      <c r="BP529" s="78">
        <f t="shared" si="90"/>
        <v>1.375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274.62121212121212</v>
      </c>
      <c r="Y534" s="43">
        <f>IFERROR(Y527/H527,"0")+IFERROR(Y528/H528,"0")+IFERROR(Y529/H529,"0")+IFERROR(Y530/H530,"0")+IFERROR(Y531/H531,"0")+IFERROR(Y532/H532,"0")+IFERROR(Y533/H533,"0")</f>
        <v>276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3.3009599999999999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1450</v>
      </c>
      <c r="Y535" s="43">
        <f>IFERROR(SUM(Y527:Y533),"0")</f>
        <v>1457.2800000000002</v>
      </c>
      <c r="Z535" s="42"/>
      <c r="AA535" s="67"/>
      <c r="AB535" s="67"/>
      <c r="AC535" s="67"/>
    </row>
    <row r="536" spans="1:68" ht="27.75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30</v>
      </c>
      <c r="Y539" s="55">
        <f>IFERROR(IF(X539="",0,CEILING((X539/$H539),1)*$H539),"")</f>
        <v>36</v>
      </c>
      <c r="Z539" s="41">
        <f>IFERROR(IF(Y539=0,"",ROUNDUP(Y539/H539,0)*0.01898),"")</f>
        <v>5.6940000000000004E-2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31.025000000000002</v>
      </c>
      <c r="BN539" s="78">
        <f>IFERROR(Y539*I539/H539,"0")</f>
        <v>37.229999999999997</v>
      </c>
      <c r="BO539" s="78">
        <f>IFERROR(1/J539*(X539/H539),"0")</f>
        <v>3.90625E-2</v>
      </c>
      <c r="BP539" s="78">
        <f>IFERROR(1/J539*(Y539/H539),"0")</f>
        <v>4.6875E-2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2.5</v>
      </c>
      <c r="Y540" s="43">
        <f>IFERROR(Y539/H539,"0")</f>
        <v>3</v>
      </c>
      <c r="Z540" s="43">
        <f>IFERROR(IF(Z539="",0,Z539),"0")</f>
        <v>5.6940000000000004E-2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30</v>
      </c>
      <c r="Y541" s="43">
        <f>IFERROR(SUM(Y539:Y539),"0")</f>
        <v>36</v>
      </c>
      <c r="Z541" s="42"/>
      <c r="AA541" s="67"/>
      <c r="AB541" s="67"/>
      <c r="AC541" s="67"/>
    </row>
    <row r="542" spans="1:68" ht="14.25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15624.1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15748.080000000004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16386.84866917034</v>
      </c>
      <c r="Y565" s="43">
        <f>IFERROR(SUM(BN22:BN561),"0")</f>
        <v>16516.689999999995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26</v>
      </c>
      <c r="Y566" s="44">
        <f>ROUNDUP(SUM(BP22:BP561),0)</f>
        <v>26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17036.84866917034</v>
      </c>
      <c r="Y567" s="43">
        <f>GrossWeightTotalR+PalletQtyTotalR*25</f>
        <v>17166.689999999995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2018.3240771574106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2035</v>
      </c>
      <c r="Z568" s="42"/>
      <c r="AA568" s="67"/>
      <c r="AB568" s="67"/>
      <c r="AC568" s="67"/>
    </row>
    <row r="569" spans="1:68" ht="14.25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29.951790000000003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702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412.20000000000005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923.40000000000009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1533.6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31.5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126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433.8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93.6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787.2</v>
      </c>
      <c r="U574" s="52">
        <f>IFERROR(Y422*1,"0")+IFERROR(Y423*1,"0")</f>
        <v>0</v>
      </c>
      <c r="V574" s="52">
        <f>IFERROR(Y428*1,"0")+IFERROR(Y429*1,"0")+IFERROR(Y430*1,"0")</f>
        <v>73.5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6000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21.6</v>
      </c>
      <c r="Z574" s="52">
        <f>IFERROR(Y497*1,"0")+IFERROR(Y501*1,"0")+IFERROR(Y502*1,"0")+IFERROR(Y503*1,"0")</f>
        <v>54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4519.6800000000012</v>
      </c>
      <c r="AB574" s="52">
        <f>IFERROR(Y539*1,"0")+IFERROR(Y543*1,"0")+IFERROR(Y547*1,"0")+IFERROR(Y551*1,"0")+IFERROR(Y555*1,"0")+IFERROR(Y556*1,"0")</f>
        <v>36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2026-09-10T07:58:05Z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