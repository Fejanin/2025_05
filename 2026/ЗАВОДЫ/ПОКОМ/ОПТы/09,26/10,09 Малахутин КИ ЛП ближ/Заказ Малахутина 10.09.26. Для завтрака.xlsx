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4B404FC6-34FA-41F0-AA0F-AE1ACDA9416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Z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Z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Z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N397" i="2"/>
  <c r="BM397" i="2"/>
  <c r="Z397" i="2"/>
  <c r="Y397" i="2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P267" i="2"/>
  <c r="BO267" i="2"/>
  <c r="BN267" i="2"/>
  <c r="BM267" i="2"/>
  <c r="Z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P185" i="2"/>
  <c r="BO185" i="2"/>
  <c r="BN185" i="2"/>
  <c r="BM185" i="2"/>
  <c r="Z185" i="2"/>
  <c r="Y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P106" i="2"/>
  <c r="BO106" i="2"/>
  <c r="BM106" i="2"/>
  <c r="Y106" i="2"/>
  <c r="P106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P40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Y61" i="2" l="1"/>
  <c r="Y400" i="2"/>
  <c r="Z27" i="2"/>
  <c r="Z64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Z467" i="2" s="1"/>
  <c r="BN466" i="2"/>
  <c r="BP539" i="2"/>
  <c r="BP29" i="2"/>
  <c r="BN29" i="2"/>
  <c r="Z29" i="2"/>
  <c r="BN39" i="2"/>
  <c r="Z39" i="2"/>
  <c r="BN77" i="2"/>
  <c r="Z77" i="2"/>
  <c r="BN99" i="2"/>
  <c r="BN105" i="2"/>
  <c r="Z105" i="2"/>
  <c r="BN107" i="2"/>
  <c r="BN115" i="2"/>
  <c r="BN127" i="2"/>
  <c r="Z127" i="2"/>
  <c r="BN160" i="2"/>
  <c r="BN231" i="2"/>
  <c r="BN234" i="2"/>
  <c r="BN287" i="2"/>
  <c r="BN314" i="2"/>
  <c r="BP41" i="2"/>
  <c r="BN41" i="2"/>
  <c r="Z41" i="2"/>
  <c r="BN60" i="2"/>
  <c r="Z60" i="2"/>
  <c r="BP77" i="2"/>
  <c r="BP78" i="2"/>
  <c r="BN78" i="2"/>
  <c r="Z78" i="2"/>
  <c r="BP85" i="2"/>
  <c r="Z85" i="2"/>
  <c r="BP95" i="2"/>
  <c r="BN95" i="2"/>
  <c r="Z95" i="2"/>
  <c r="BP10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P326" i="2"/>
  <c r="BN326" i="2"/>
  <c r="BN343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Z32" i="2" s="1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X567" i="2" s="1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66" i="2" l="1"/>
  <c r="Z461" i="2"/>
  <c r="Z524" i="2"/>
  <c r="Z412" i="2"/>
  <c r="Z258" i="2"/>
  <c r="Z90" i="2"/>
  <c r="Z406" i="2"/>
  <c r="Z329" i="2"/>
  <c r="Z112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<sst xmlns="http://schemas.openxmlformats.org/spreadsheetml/2006/main" count="4373" uniqueCount="914">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</sst>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37" zoomScale="85" zoomScaleNormal="85" zoomScaleSheetLayoutView="100" workbookViewId="0">
      <selection activeCell="X570" sqref="X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4500</v>
      </c>
      <c r="Y474" s="55">
        <f>IFERROR(IF(X474="",0,CEILING((X474/$H474),1)*$H474),"")</f>
        <v>4500</v>
      </c>
      <c r="Z474" s="41">
        <f>IFERROR(IF(Y474=0,"",ROUNDUP(Y474/H474,0)*0.01898),"")</f>
        <v>9.49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4747</v>
      </c>
      <c r="BN474" s="78">
        <f>IFERROR(Y474*I474/H474,"0")</f>
        <v>4747</v>
      </c>
      <c r="BO474" s="78">
        <f>IFERROR(1/J474*(X474/H474),"0")</f>
        <v>7.8125</v>
      </c>
      <c r="BP474" s="78">
        <f>IFERROR(1/J474*(Y474/H474),"0")</f>
        <v>7.8125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500</v>
      </c>
      <c r="Y477" s="43">
        <f>IFERROR(Y474/H474,"0")+IFERROR(Y475/H475,"0")+IFERROR(Y476/H476,"0")</f>
        <v>500</v>
      </c>
      <c r="Z477" s="43">
        <f>IFERROR(IF(Z474="",0,Z474),"0")+IFERROR(IF(Z475="",0,Z475),"0")+IFERROR(IF(Z476="",0,Z476),"0")</f>
        <v>9.49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4500</v>
      </c>
      <c r="Y478" s="43">
        <f>IFERROR(SUM(Y474:Y476),"0")</f>
        <v>4500</v>
      </c>
      <c r="Z478" s="42"/>
      <c r="AA478" s="67"/>
      <c r="AB478" s="67"/>
      <c r="AC478" s="67"/>
    </row>
    <row r="479" spans="1:68" ht="27.75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4500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4500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4747</v>
      </c>
      <c r="Y565" s="43">
        <f>IFERROR(SUM(BN22:BN561),"0")</f>
        <v>4747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8</v>
      </c>
      <c r="Y566" s="44">
        <f>ROUNDUP(SUM(BP22:BP561),0)</f>
        <v>8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4947</v>
      </c>
      <c r="Y567" s="43">
        <f>GrossWeightTotalR+PalletQtyTotalR*25</f>
        <v>4947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500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500</v>
      </c>
      <c r="Z568" s="42"/>
      <c r="AA568" s="67"/>
      <c r="AB568" s="67"/>
      <c r="AC568" s="67"/>
    </row>
    <row r="569" spans="1:68" ht="14.25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9.49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4500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2026-09-10T07:51:38Z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