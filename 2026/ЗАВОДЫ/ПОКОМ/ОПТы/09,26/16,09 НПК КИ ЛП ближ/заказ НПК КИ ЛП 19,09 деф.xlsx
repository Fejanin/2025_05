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6,09 НПК КИ ЛП ближ\"/>
    </mc:Choice>
  </mc:AlternateContent>
  <xr:revisionPtr revIDLastSave="0" documentId="13_ncr:1_{9F6A7956-AAE2-41F1-9744-C20CBB230A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Z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Z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Z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P323" i="2"/>
  <c r="BO323" i="2"/>
  <c r="BN323" i="2"/>
  <c r="BM323" i="2"/>
  <c r="Z323" i="2"/>
  <c r="Y323" i="2"/>
  <c r="P323" i="2"/>
  <c r="BO322" i="2"/>
  <c r="BN322" i="2"/>
  <c r="BM322" i="2"/>
  <c r="Z322" i="2"/>
  <c r="Y322" i="2"/>
  <c r="BP322" i="2" s="1"/>
  <c r="P322" i="2"/>
  <c r="BO321" i="2"/>
  <c r="BM321" i="2"/>
  <c r="Y321" i="2"/>
  <c r="BP321" i="2" s="1"/>
  <c r="Y318" i="2"/>
  <c r="X318" i="2"/>
  <c r="X317" i="2"/>
  <c r="BO316" i="2"/>
  <c r="BN316" i="2"/>
  <c r="BM316" i="2"/>
  <c r="Z316" i="2"/>
  <c r="Z317" i="2" s="1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Z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P251" i="2"/>
  <c r="BO251" i="2"/>
  <c r="BN251" i="2"/>
  <c r="BM251" i="2"/>
  <c r="Z251" i="2"/>
  <c r="Z252" i="2" s="1"/>
  <c r="Y251" i="2"/>
  <c r="P251" i="2"/>
  <c r="X249" i="2"/>
  <c r="X248" i="2"/>
  <c r="BO247" i="2"/>
  <c r="BN247" i="2"/>
  <c r="BM247" i="2"/>
  <c r="Z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P229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Z218" i="2"/>
  <c r="Y218" i="2"/>
  <c r="BN218" i="2" s="1"/>
  <c r="P218" i="2"/>
  <c r="BO217" i="2"/>
  <c r="BN217" i="2"/>
  <c r="BM217" i="2"/>
  <c r="Z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Z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Z169" i="2"/>
  <c r="Y169" i="2"/>
  <c r="P169" i="2"/>
  <c r="BO168" i="2"/>
  <c r="BN168" i="2"/>
  <c r="BM168" i="2"/>
  <c r="Z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P121" i="2"/>
  <c r="BO121" i="2"/>
  <c r="BN121" i="2"/>
  <c r="BM121" i="2"/>
  <c r="Z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P102" i="2"/>
  <c r="BO102" i="2"/>
  <c r="BM102" i="2"/>
  <c r="Y102" i="2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P79" i="2"/>
  <c r="BO79" i="2"/>
  <c r="BN79" i="2"/>
  <c r="BM79" i="2"/>
  <c r="Z79" i="2"/>
  <c r="Y79" i="2"/>
  <c r="P79" i="2"/>
  <c r="BO78" i="2"/>
  <c r="BN78" i="2"/>
  <c r="BM78" i="2"/>
  <c r="Z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Z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P41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Z27" i="2"/>
  <c r="Y27" i="2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Y264" i="2" l="1"/>
  <c r="Z22" i="2"/>
  <c r="BN22" i="2"/>
  <c r="Y25" i="2"/>
  <c r="Z38" i="2"/>
  <c r="BP48" i="2"/>
  <c r="Y75" i="2"/>
  <c r="Z85" i="2"/>
  <c r="Z88" i="2"/>
  <c r="BN88" i="2"/>
  <c r="Z101" i="2"/>
  <c r="Z106" i="2"/>
  <c r="Z112" i="2"/>
  <c r="BP116" i="2"/>
  <c r="Z133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Z348" i="2" s="1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Z81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7" i="2" s="1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Z42" i="2" s="1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Z207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154" i="2" l="1"/>
  <c r="Y554" i="2"/>
  <c r="Z434" i="2"/>
  <c r="Z334" i="2"/>
  <c r="Z294" i="2"/>
  <c r="Z408" i="2"/>
  <c r="Y556" i="2"/>
  <c r="Z75" i="2"/>
  <c r="Z109" i="2"/>
  <c r="Z230" i="2"/>
  <c r="Z51" i="2"/>
  <c r="Y555" i="2"/>
  <c r="Y557" i="2" s="1"/>
  <c r="Z494" i="2"/>
  <c r="Z274" i="2"/>
  <c r="Z242" i="2"/>
  <c r="Z90" i="2"/>
  <c r="Z327" i="2"/>
  <c r="Z62" i="2"/>
  <c r="Z32" i="2"/>
  <c r="Z165" i="2"/>
  <c r="Z69" i="2"/>
  <c r="Y558" i="2"/>
  <c r="Z514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<sst xmlns="http://schemas.openxmlformats.org/spreadsheetml/2006/main" count="4265" uniqueCount="899">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</sst>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41" sqref="AA5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500</v>
      </c>
      <c r="Y541" s="55">
        <f>IFERROR(IF(X541="",0,CEILING((X541/$H541),1)*$H541),"")</f>
        <v>504</v>
      </c>
      <c r="Z541" s="41">
        <f>IFERROR(IF(Y541=0,"",ROUNDUP(Y541/H541,0)*0.01898),"")</f>
        <v>1.06288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527.44444444444446</v>
      </c>
      <c r="BN541" s="78">
        <f>IFERROR(Y541*I541/H541,"0")</f>
        <v>531.66399999999999</v>
      </c>
      <c r="BO541" s="78">
        <f>IFERROR(1/J541*(X541/H541),"0")</f>
        <v>0.86805555555555558</v>
      </c>
      <c r="BP541" s="78">
        <f>IFERROR(1/J541*(Y541/H541),"0")</f>
        <v>0.875</v>
      </c>
    </row>
    <row r="542" spans="1:68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55.555555555555557</v>
      </c>
      <c r="Y542" s="43">
        <f>IFERROR(Y541/H541,"0")</f>
        <v>56</v>
      </c>
      <c r="Z542" s="43">
        <f>IFERROR(IF(Z541="",0,Z541),"0")</f>
        <v>1.06288</v>
      </c>
      <c r="AA542" s="67"/>
      <c r="AB542" s="67"/>
      <c r="AC542" s="67"/>
    </row>
    <row r="543" spans="1:68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500</v>
      </c>
      <c r="Y543" s="43">
        <f>IFERROR(SUM(Y541:Y541),"0")</f>
        <v>504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504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527.44444444444446</v>
      </c>
      <c r="Y555" s="43">
        <f>IFERROR(SUM(BN22:BN551),"0")</f>
        <v>531.66399999999999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552.44444444444446</v>
      </c>
      <c r="Y557" s="43">
        <f>GrossWeightTotalR+PalletQtyTotalR*25</f>
        <v>556.66399999999999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55.555555555555557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56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1.06288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504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500,00"/>
        <filter val="527,44"/>
        <filter val="55,56"/>
        <filter val="552,44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2026-09-17T08:50:23Z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