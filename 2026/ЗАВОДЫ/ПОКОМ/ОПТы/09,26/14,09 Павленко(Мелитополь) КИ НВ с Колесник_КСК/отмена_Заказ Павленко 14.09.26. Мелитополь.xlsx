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4,09 Павленко(Мелитополь) КИ НВ с Колесник_КСК\"/>
    </mc:Choice>
  </mc:AlternateContent>
  <xr:revisionPtr revIDLastSave="0" documentId="13_ncr:1_{2C19562F-55DE-400B-B879-47F9DB1C2BE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Z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Z335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P311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Y139" i="2" s="1"/>
  <c r="P136" i="2"/>
  <c r="X134" i="2"/>
  <c r="X133" i="2"/>
  <c r="BO132" i="2"/>
  <c r="BM132" i="2"/>
  <c r="Y132" i="2"/>
  <c r="BN132" i="2" s="1"/>
  <c r="P132" i="2"/>
  <c r="BO131" i="2"/>
  <c r="BM131" i="2"/>
  <c r="Y131" i="2"/>
  <c r="BN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F568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C568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237" i="2" l="1"/>
  <c r="BN237" i="2"/>
  <c r="Z113" i="2"/>
  <c r="Z27" i="2"/>
  <c r="BN27" i="2"/>
  <c r="BP178" i="2"/>
  <c r="Z284" i="2"/>
  <c r="BN284" i="2"/>
  <c r="Z395" i="2"/>
  <c r="Z50" i="2"/>
  <c r="BN50" i="2"/>
  <c r="BP223" i="2"/>
  <c r="BP269" i="2"/>
  <c r="Z351" i="2"/>
  <c r="Z431" i="2"/>
  <c r="BP476" i="2"/>
  <c r="Y127" i="2"/>
  <c r="Z49" i="2"/>
  <c r="Z65" i="2"/>
  <c r="G568" i="2"/>
  <c r="Z221" i="2"/>
  <c r="Z231" i="2"/>
  <c r="BN231" i="2"/>
  <c r="Z264" i="2"/>
  <c r="BN264" i="2"/>
  <c r="Z274" i="2"/>
  <c r="BN274" i="2"/>
  <c r="Q568" i="2"/>
  <c r="Z337" i="2"/>
  <c r="Z345" i="2"/>
  <c r="Z374" i="2"/>
  <c r="BN374" i="2"/>
  <c r="Z436" i="2"/>
  <c r="Z459" i="2"/>
  <c r="Z484" i="2"/>
  <c r="Z486" i="2" s="1"/>
  <c r="BN29" i="2"/>
  <c r="BP38" i="2"/>
  <c r="BP60" i="2"/>
  <c r="BN66" i="2"/>
  <c r="BN87" i="2"/>
  <c r="BP115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N319" i="2"/>
  <c r="BN350" i="2"/>
  <c r="Y352" i="2"/>
  <c r="BN375" i="2"/>
  <c r="X559" i="2"/>
  <c r="X558" i="2"/>
  <c r="BN31" i="2"/>
  <c r="Z38" i="2"/>
  <c r="Z39" i="2"/>
  <c r="BN39" i="2"/>
  <c r="BP49" i="2"/>
  <c r="Z55" i="2"/>
  <c r="BN56" i="2"/>
  <c r="Z60" i="2"/>
  <c r="Z61" i="2"/>
  <c r="BN61" i="2"/>
  <c r="BN72" i="2"/>
  <c r="BN89" i="2"/>
  <c r="Z94" i="2"/>
  <c r="BN94" i="2"/>
  <c r="BN95" i="2"/>
  <c r="Z104" i="2"/>
  <c r="BN104" i="2"/>
  <c r="BN105" i="2"/>
  <c r="BP111" i="2"/>
  <c r="Z115" i="2"/>
  <c r="BN126" i="2"/>
  <c r="Y134" i="2"/>
  <c r="BN136" i="2"/>
  <c r="Z136" i="2"/>
  <c r="BN177" i="2"/>
  <c r="Z177" i="2"/>
  <c r="Y199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Z390" i="2"/>
  <c r="Z398" i="2"/>
  <c r="Y406" i="2"/>
  <c r="BN403" i="2"/>
  <c r="BN410" i="2"/>
  <c r="Z422" i="2"/>
  <c r="Z434" i="2"/>
  <c r="BP436" i="2"/>
  <c r="BP459" i="2"/>
  <c r="BN467" i="2"/>
  <c r="Z469" i="2"/>
  <c r="BN469" i="2"/>
  <c r="Z477" i="2"/>
  <c r="BN477" i="2"/>
  <c r="BN478" i="2"/>
  <c r="BP484" i="2"/>
  <c r="Y497" i="2"/>
  <c r="BN510" i="2"/>
  <c r="BN515" i="2"/>
  <c r="Z516" i="2"/>
  <c r="Y517" i="2"/>
  <c r="Z520" i="2"/>
  <c r="BN522" i="2"/>
  <c r="Y541" i="2"/>
  <c r="Z544" i="2"/>
  <c r="Z545" i="2" s="1"/>
  <c r="AC568" i="2"/>
  <c r="BP390" i="2"/>
  <c r="BN391" i="2"/>
  <c r="BN408" i="2"/>
  <c r="BN430" i="2"/>
  <c r="Y470" i="2"/>
  <c r="BN479" i="2"/>
  <c r="BN494" i="2"/>
  <c r="BN504" i="2"/>
  <c r="BN514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52" i="2" l="1"/>
  <c r="Z399" i="2"/>
  <c r="Z69" i="2"/>
  <c r="Z123" i="2"/>
  <c r="Z266" i="2"/>
  <c r="Z51" i="2"/>
  <c r="Z517" i="2"/>
  <c r="Z443" i="2"/>
  <c r="Z424" i="2"/>
  <c r="Z164" i="2"/>
  <c r="Z138" i="2"/>
  <c r="X561" i="2"/>
  <c r="Z75" i="2"/>
  <c r="Z497" i="2"/>
  <c r="Z91" i="2"/>
  <c r="Z437" i="2"/>
  <c r="Y562" i="2"/>
  <c r="Z481" i="2"/>
  <c r="Z62" i="2"/>
  <c r="Z210" i="2"/>
  <c r="Z42" i="2"/>
  <c r="Z190" i="2"/>
  <c r="Z470" i="2"/>
  <c r="Z322" i="2"/>
  <c r="Z98" i="2"/>
  <c r="Z45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2" l="1"/>
  <c r="Z563" i="2"/>
</calcChain>
</file>

<file path=xl/sharedStrings.xml><?xml version="1.0" encoding="utf-8"?>
<sst xmlns="http://schemas.openxmlformats.org/spreadsheetml/2006/main" count="4313" uniqueCount="915">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</sst>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/>
      <c r="I5" s="655"/>
      <c r="J5" s="655"/>
      <c r="K5" s="655"/>
      <c r="L5" s="655"/>
      <c r="M5" s="655"/>
      <c r="N5" s="72"/>
      <c r="P5" s="27" t="s">
        <v>4</v>
      </c>
      <c r="Q5" s="657">
        <v>46279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Понедельник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0.41666666666666669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300</v>
      </c>
      <c r="Y85" s="55">
        <f t="shared" ref="Y85:Y90" si="5">IFERROR(IF(X85="",0,CEILING((X85/$H85),1)*$H85),"")</f>
        <v>302.40000000000003</v>
      </c>
      <c r="Z85" s="41">
        <f>IFERROR(IF(Y85=0,"",ROUNDUP(Y85/H85,0)*0.01898),"")</f>
        <v>0.53144000000000002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311.38888888888891</v>
      </c>
      <c r="BN85" s="78">
        <f t="shared" ref="BN85:BN90" si="7">IFERROR(Y85*I85/H85,"0")</f>
        <v>313.88</v>
      </c>
      <c r="BO85" s="78">
        <f t="shared" ref="BO85:BO90" si="8">IFERROR(1/J85*(X85/H85),"0")</f>
        <v>0.43402777777777773</v>
      </c>
      <c r="BP85" s="78">
        <f t="shared" ref="BP85:BP90" si="9">IFERROR(1/J85*(Y85/H85),"0")</f>
        <v>0.4375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27.777777777777775</v>
      </c>
      <c r="Y91" s="43">
        <f>IFERROR(Y85/H85,"0")+IFERROR(Y86/H86,"0")+IFERROR(Y87/H87,"0")+IFERROR(Y88/H88,"0")+IFERROR(Y89/H89,"0")+IFERROR(Y90/H90,"0")</f>
        <v>28</v>
      </c>
      <c r="Z91" s="43">
        <f>IFERROR(IF(Z85="",0,Z85),"0")+IFERROR(IF(Z86="",0,Z86),"0")+IFERROR(IF(Z87="",0,Z87),"0")+IFERROR(IF(Z88="",0,Z88),"0")+IFERROR(IF(Z89="",0,Z89),"0")+IFERROR(IF(Z90="",0,Z90),"0")</f>
        <v>0.53144000000000002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300</v>
      </c>
      <c r="Y92" s="43">
        <f>IFERROR(SUM(Y85:Y90),"0")</f>
        <v>302.40000000000003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6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1547</v>
      </c>
      <c r="BN431" s="78">
        <f t="shared" si="70"/>
        <v>1547</v>
      </c>
      <c r="BO431" s="78">
        <f t="shared" si="71"/>
        <v>2.083333333333333</v>
      </c>
      <c r="BP431" s="78">
        <f t="shared" si="72"/>
        <v>2.083333333333333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233.33333333333334</v>
      </c>
      <c r="Y437" s="43">
        <f>IFERROR(Y429/H429,"0")+IFERROR(Y430/H430,"0")+IFERROR(Y431/H431,"0")+IFERROR(Y432/H432,"0")+IFERROR(Y433/H433,"0")+IFERROR(Y434/H434,"0")+IFERROR(Y435/H435,"0")+IFERROR(Y436/H436,"0")</f>
        <v>234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5.0894999999999992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3500</v>
      </c>
      <c r="Y438" s="43">
        <f>IFERROR(SUM(Y429:Y436),"0")</f>
        <v>3510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1500</v>
      </c>
      <c r="Y440" s="55">
        <f>IFERROR(IF(X440="",0,CEILING((X440/$H440),1)*$H440),"")</f>
        <v>1500</v>
      </c>
      <c r="Z440" s="41">
        <f>IFERROR(IF(Y440=0,"",ROUNDUP(Y440/H440,0)*0.02175),"")</f>
        <v>2.1749999999999998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1547</v>
      </c>
      <c r="BN440" s="78">
        <f>IFERROR(Y440*I440/H440,"0")</f>
        <v>1547</v>
      </c>
      <c r="BO440" s="78">
        <f>IFERROR(1/J440*(X440/H440),"0")</f>
        <v>2.083333333333333</v>
      </c>
      <c r="BP440" s="78">
        <f>IFERROR(1/J440*(Y440/H440),"0")</f>
        <v>2.083333333333333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100</v>
      </c>
      <c r="Y443" s="43">
        <f>IFERROR(Y440/H440,"0")+IFERROR(Y441/H441,"0")+IFERROR(Y442/H442,"0")</f>
        <v>100</v>
      </c>
      <c r="Z443" s="43">
        <f>IFERROR(IF(Z440="",0,Z440),"0")+IFERROR(IF(Z441="",0,Z441),"0")+IFERROR(IF(Z442="",0,Z442),"0")</f>
        <v>2.1749999999999998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1500</v>
      </c>
      <c r="Y444" s="43">
        <f>IFERROR(SUM(Y440:Y442),"0")</f>
        <v>1500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450</v>
      </c>
      <c r="Y507" s="55">
        <f t="shared" si="78"/>
        <v>454.08000000000004</v>
      </c>
      <c r="Z507" s="41">
        <f t="shared" si="79"/>
        <v>1.0285599999999999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479.82954545454544</v>
      </c>
      <c r="BN507" s="78">
        <f t="shared" si="81"/>
        <v>484.18</v>
      </c>
      <c r="BO507" s="78">
        <f t="shared" si="82"/>
        <v>0.81949300699300698</v>
      </c>
      <c r="BP507" s="78">
        <f t="shared" si="83"/>
        <v>0.82692307692307698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85.22727272727272</v>
      </c>
      <c r="Y511" s="43">
        <f>IFERROR(Y502/H502,"0")+IFERROR(Y503/H503,"0")+IFERROR(Y504/H504,"0")+IFERROR(Y505/H505,"0")+IFERROR(Y506/H506,"0")+IFERROR(Y507/H507,"0")+IFERROR(Y508/H508,"0")+IFERROR(Y509/H509,"0")+IFERROR(Y510/H510,"0")</f>
        <v>86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1.0285599999999999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450</v>
      </c>
      <c r="Y512" s="43">
        <f>IFERROR(SUM(Y502:Y510),"0")</f>
        <v>454.08000000000004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300</v>
      </c>
      <c r="Y514" s="55">
        <f>IFERROR(IF(X514="",0,CEILING((X514/$H514),1)*$H514),"")</f>
        <v>300.96000000000004</v>
      </c>
      <c r="Z514" s="41">
        <f>IFERROR(IF(Y514=0,"",ROUNDUP(Y514/H514,0)*0.01196),"")</f>
        <v>0.68171999999999999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319.88636363636363</v>
      </c>
      <c r="BN514" s="78">
        <f>IFERROR(Y514*I514/H514,"0")</f>
        <v>320.91000000000003</v>
      </c>
      <c r="BO514" s="78">
        <f>IFERROR(1/J514*(X514/H514),"0")</f>
        <v>0.54632867132867136</v>
      </c>
      <c r="BP514" s="78">
        <f>IFERROR(1/J514*(Y514/H514),"0")</f>
        <v>0.54807692307692313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56.818181818181813</v>
      </c>
      <c r="Y517" s="43">
        <f>IFERROR(Y514/H514,"0")+IFERROR(Y515/H515,"0")+IFERROR(Y516/H516,"0")</f>
        <v>57.000000000000007</v>
      </c>
      <c r="Z517" s="43">
        <f>IFERROR(IF(Z514="",0,Z514),"0")+IFERROR(IF(Z515="",0,Z515),"0")+IFERROR(IF(Z516="",0,Z516),"0")</f>
        <v>0.68171999999999999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300</v>
      </c>
      <c r="Y518" s="43">
        <f>IFERROR(SUM(Y514:Y516),"0")</f>
        <v>300.96000000000004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6050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6067.44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6267.7714646464647</v>
      </c>
      <c r="Y559" s="43">
        <f>IFERROR(SUM(BN22:BN555),"0")</f>
        <v>6285.9500000000007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9</v>
      </c>
      <c r="Y560" s="44">
        <f>ROUNDUP(SUM(BP22:BP555),0)</f>
        <v>9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6492.7714646464647</v>
      </c>
      <c r="Y561" s="43">
        <f>GrossWeightTotalR+PalletQtyTotalR*25</f>
        <v>6510.9500000000007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503.15656565656565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505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9.506219999999999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302.40000000000003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5010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755.04000000000008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2 000,00"/>
        <filter val="233,33"/>
        <filter val="27,78"/>
        <filter val="3 500,00"/>
        <filter val="300,00"/>
        <filter val="450,00"/>
        <filter val="503,16"/>
        <filter val="56,82"/>
        <filter val="6 050,00"/>
        <filter val="6 267,77"/>
        <filter val="6 492,77"/>
        <filter val="85,23"/>
        <filter val="9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2026-09-16T07:30:59Z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