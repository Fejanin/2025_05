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791BF5-A416-49C3-8F74-095CF45C44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Z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N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48" i="2" l="1"/>
  <c r="BP173" i="2"/>
  <c r="Z221" i="2"/>
  <c r="Z240" i="2"/>
  <c r="BN240" i="2"/>
  <c r="Z241" i="2"/>
  <c r="Z318" i="2"/>
  <c r="Z319" i="2" s="1"/>
  <c r="Z353" i="2"/>
  <c r="Z396" i="2"/>
  <c r="Z486" i="2"/>
  <c r="BN486" i="2"/>
  <c r="Z532" i="2"/>
  <c r="Z28" i="2"/>
  <c r="BN28" i="2"/>
  <c r="BP50" i="2"/>
  <c r="Z77" i="2"/>
  <c r="BN77" i="2"/>
  <c r="BP77" i="2"/>
  <c r="Z86" i="2"/>
  <c r="BN86" i="2"/>
  <c r="Z93" i="2"/>
  <c r="BN93" i="2"/>
  <c r="Y179" i="2"/>
  <c r="BN187" i="2"/>
  <c r="BN194" i="2"/>
  <c r="Z261" i="2"/>
  <c r="Z262" i="2" s="1"/>
  <c r="BN266" i="2"/>
  <c r="Z326" i="2"/>
  <c r="Z329" i="2" s="1"/>
  <c r="BN326" i="2"/>
  <c r="Z327" i="2"/>
  <c r="BN327" i="2"/>
  <c r="Z328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BN41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BN250" i="2"/>
  <c r="Z251" i="2"/>
  <c r="BN292" i="2"/>
  <c r="BN298" i="2"/>
  <c r="BN313" i="2"/>
  <c r="BP333" i="2"/>
  <c r="BN336" i="2"/>
  <c r="Z337" i="2"/>
  <c r="BN343" i="2"/>
  <c r="BN351" i="2"/>
  <c r="BN372" i="2"/>
  <c r="BN384" i="2"/>
  <c r="BN392" i="2"/>
  <c r="BN443" i="2"/>
  <c r="BN454" i="2"/>
  <c r="BN460" i="2"/>
  <c r="Y462" i="2"/>
  <c r="BN502" i="2"/>
  <c r="BN510" i="2"/>
  <c r="BN515" i="2"/>
  <c r="BN530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Z32" i="2" s="1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<sst xmlns="http://schemas.openxmlformats.org/spreadsheetml/2006/main" count="4365" uniqueCount="909">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</sst>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9.6296296296296298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0.14000000000000001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72.5</v>
      </c>
      <c r="Y62" s="43">
        <f>IFERROR(SUM(Y55:Y60),"0")</f>
        <v>76.5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13.5</v>
      </c>
      <c r="Y89" s="55">
        <f>IFERROR(IF(X89="",0,CEILING((X89/$H89),1)*$H89),"")</f>
        <v>13.5</v>
      </c>
      <c r="Z89" s="41">
        <f>IFERROR(IF(Y89=0,"",ROUNDUP(Y89/H89,0)*0.00902),"")</f>
        <v>2.7060000000000001E-2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14.07</v>
      </c>
      <c r="BN89" s="78">
        <f>IFERROR(Y89*I89/H89,"0")</f>
        <v>14.07</v>
      </c>
      <c r="BO89" s="78">
        <f>IFERROR(1/J89*(X89/H89),"0")</f>
        <v>2.2727272727272728E-2</v>
      </c>
      <c r="BP89" s="78">
        <f>IFERROR(1/J89*(Y89/H89),"0")</f>
        <v>2.2727272727272728E-2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3</v>
      </c>
      <c r="Y90" s="43">
        <f>IFERROR(Y85/H85,"0")+IFERROR(Y86/H86,"0")+IFERROR(Y87/H87,"0")+IFERROR(Y88/H88,"0")+IFERROR(Y89/H89,"0")</f>
        <v>3</v>
      </c>
      <c r="Z90" s="43">
        <f>IFERROR(IF(Z85="",0,Z85),"0")+IFERROR(IF(Z86="",0,Z86),"0")+IFERROR(IF(Z87="",0,Z87),"0")+IFERROR(IF(Z88="",0,Z88),"0")+IFERROR(IF(Z89="",0,Z89),"0")</f>
        <v>2.7060000000000001E-2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13.5</v>
      </c>
      <c r="Y91" s="43">
        <f>IFERROR(SUM(Y85:Y89),"0")</f>
        <v>13.5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30</v>
      </c>
      <c r="Y186" s="55">
        <f t="shared" si="27"/>
        <v>31.5</v>
      </c>
      <c r="Z186" s="41">
        <f t="shared" si="28"/>
        <v>8.1180000000000002E-2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31.62857142857143</v>
      </c>
      <c r="BN186" s="78">
        <f t="shared" si="30"/>
        <v>33.21</v>
      </c>
      <c r="BO186" s="78">
        <f t="shared" si="31"/>
        <v>6.4935064935064929E-2</v>
      </c>
      <c r="BP186" s="78">
        <f t="shared" si="32"/>
        <v>6.8181818181818177E-2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/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5.04</v>
      </c>
      <c r="Y192" s="55">
        <f t="shared" si="27"/>
        <v>5.04</v>
      </c>
      <c r="Z192" s="41">
        <f>IFERROR(IF(Y192=0,"",ROUNDUP(Y192/H192,0)*0.00502),"")</f>
        <v>1.506E-2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5.34</v>
      </c>
      <c r="BN192" s="78">
        <f t="shared" si="30"/>
        <v>5.34</v>
      </c>
      <c r="BO192" s="78">
        <f t="shared" si="31"/>
        <v>1.2820512820512822E-2</v>
      </c>
      <c r="BP192" s="78">
        <f t="shared" si="32"/>
        <v>1.2820512820512822E-2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5.04</v>
      </c>
      <c r="Y195" s="55">
        <f t="shared" si="27"/>
        <v>5.04</v>
      </c>
      <c r="Z195" s="41">
        <f>IFERROR(IF(Y195=0,"",ROUNDUP(Y195/H195,0)*0.00502),"")</f>
        <v>1.506E-2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5.34</v>
      </c>
      <c r="BN195" s="78">
        <f t="shared" si="30"/>
        <v>5.34</v>
      </c>
      <c r="BO195" s="78">
        <f t="shared" si="31"/>
        <v>1.2820512820512822E-2</v>
      </c>
      <c r="BP195" s="78">
        <f t="shared" si="32"/>
        <v>1.2820512820512822E-2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34.571428571428569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36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0.30072000000000004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110.08000000000001</v>
      </c>
      <c r="Y197" s="43">
        <f>IFERROR(SUM(Y182:Y195),"0")</f>
        <v>115.08000000000001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27.777777777777779</v>
      </c>
      <c r="Y284" s="43">
        <f>IFERROR(Y276/H276,"0")+IFERROR(Y277/H277,"0")+IFERROR(Y278/H278,"0")+IFERROR(Y279/H279,"0")+IFERROR(Y280/H280,"0")+IFERROR(Y281/H281,"0")+IFERROR(Y282/H282,"0")+IFERROR(Y283/H283,"0")</f>
        <v>30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0.27060000000000001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150</v>
      </c>
      <c r="Y285" s="43">
        <f>IFERROR(SUM(Y276:Y283),"0")</f>
        <v>162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20</v>
      </c>
      <c r="Y335" s="55">
        <f>IFERROR(IF(X335="",0,CEILING((X335/$H335),1)*$H335),"")</f>
        <v>21.6</v>
      </c>
      <c r="Z335" s="41">
        <f>IFERROR(IF(Y335=0,"",ROUNDUP(Y335/H335,0)*0.01898),"")</f>
        <v>3.7960000000000001E-2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20.75925925925926</v>
      </c>
      <c r="BN335" s="78">
        <f>IFERROR(Y335*I335/H335,"0")</f>
        <v>22.42</v>
      </c>
      <c r="BO335" s="78">
        <f>IFERROR(1/J335*(X335/H335),"0")</f>
        <v>2.8935185185185182E-2</v>
      </c>
      <c r="BP335" s="78">
        <f>IFERROR(1/J335*(Y335/H335),"0")</f>
        <v>3.125E-2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1.8518518518518516</v>
      </c>
      <c r="Y338" s="43">
        <f>IFERROR(Y333/H333,"0")+IFERROR(Y334/H334,"0")+IFERROR(Y335/H335,"0")+IFERROR(Y336/H336,"0")+IFERROR(Y337/H337,"0")</f>
        <v>2</v>
      </c>
      <c r="Z338" s="43">
        <f>IFERROR(IF(Z333="",0,Z333),"0")+IFERROR(IF(Z334="",0,Z334),"0")+IFERROR(IF(Z335="",0,Z335),"0")+IFERROR(IF(Z336="",0,Z336),"0")+IFERROR(IF(Z337="",0,Z337),"0")</f>
        <v>3.7960000000000001E-2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20</v>
      </c>
      <c r="Y339" s="43">
        <f>IFERROR(SUM(Y333:Y337),"0")</f>
        <v>21.6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7</v>
      </c>
      <c r="Y364" s="55">
        <f>IFERROR(IF(X364="",0,CEILING((X364/$H364),1)*$H364),"")</f>
        <v>7.8</v>
      </c>
      <c r="Z364" s="41">
        <f>IFERROR(IF(Y364=0,"",ROUNDUP(Y364/H364,0)*0.01898),"")</f>
        <v>1.898E-2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7.3679487179487193</v>
      </c>
      <c r="BN364" s="78">
        <f>IFERROR(Y364*I364/H364,"0")</f>
        <v>8.2100000000000009</v>
      </c>
      <c r="BO364" s="78">
        <f>IFERROR(1/J364*(X364/H364),"0")</f>
        <v>1.4022435897435898E-2</v>
      </c>
      <c r="BP364" s="78">
        <f>IFERROR(1/J364*(Y364/H364),"0")</f>
        <v>1.5625E-2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0.89743589743589747</v>
      </c>
      <c r="Y366" s="43">
        <f>IFERROR(Y363/H363,"0")+IFERROR(Y364/H364,"0")+IFERROR(Y365/H365,"0")</f>
        <v>1</v>
      </c>
      <c r="Z366" s="43">
        <f>IFERROR(IF(Z363="",0,Z363),"0")+IFERROR(IF(Z364="",0,Z364),"0")+IFERROR(IF(Z365="",0,Z365),"0")</f>
        <v>1.898E-2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7</v>
      </c>
      <c r="Y367" s="43">
        <f>IFERROR(SUM(Y363:Y365),"0")</f>
        <v>7.8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25</v>
      </c>
      <c r="Y379" s="55">
        <f t="shared" ref="Y379:Y385" si="65">IFERROR(IF(X379="",0,CEILING((X379/$H379),1)*$H379),"")</f>
        <v>25.200000000000003</v>
      </c>
      <c r="Z379" s="41">
        <f>IFERROR(IF(Y379=0,"",ROUNDUP(Y379/H379,0)*0.00902),"")</f>
        <v>5.4120000000000001E-2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26.488095238095237</v>
      </c>
      <c r="BN379" s="78">
        <f t="shared" ref="BN379:BN385" si="67">IFERROR(Y379*I379/H379,"0")</f>
        <v>26.700000000000003</v>
      </c>
      <c r="BO379" s="78">
        <f t="shared" ref="BO379:BO385" si="68">IFERROR(1/J379*(X379/H379),"0")</f>
        <v>4.5093795093795096E-2</v>
      </c>
      <c r="BP379" s="78">
        <f t="shared" ref="BP379:BP385" si="69">IFERROR(1/J379*(Y379/H379),"0")</f>
        <v>4.5454545454545456E-2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20</v>
      </c>
      <c r="Y380" s="55">
        <f t="shared" si="65"/>
        <v>21</v>
      </c>
      <c r="Z380" s="41">
        <f>IFERROR(IF(Y380=0,"",ROUNDUP(Y380/H380,0)*0.00902),"")</f>
        <v>4.5100000000000001E-2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21.19047619047619</v>
      </c>
      <c r="BN380" s="78">
        <f t="shared" si="67"/>
        <v>22.25</v>
      </c>
      <c r="BO380" s="78">
        <f t="shared" si="68"/>
        <v>3.6075036075036072E-2</v>
      </c>
      <c r="BP380" s="78">
        <f t="shared" si="69"/>
        <v>3.787878787878788E-2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10.714285714285715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9.9220000000000003E-2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45</v>
      </c>
      <c r="Y387" s="43">
        <f>IFERROR(SUM(Y379:Y385),"0")</f>
        <v>46.2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8</v>
      </c>
      <c r="Y431" s="43">
        <f>IFERROR(Y428/H428,"0")+IFERROR(Y429/H429,"0")+IFERROR(Y430/H430,"0")</f>
        <v>8</v>
      </c>
      <c r="Z431" s="43">
        <f>IFERROR(IF(Z428="",0,Z428),"0")+IFERROR(IF(Z429="",0,Z429),"0")+IFERROR(IF(Z430="",0,Z430),"0")</f>
        <v>5.2080000000000001E-2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16.8</v>
      </c>
      <c r="Y432" s="43">
        <f>IFERROR(SUM(Y428:Y430),"0")</f>
        <v>16.8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43.333333333333336</v>
      </c>
      <c r="Y444" s="43">
        <f>IFERROR(Y436/H436,"0")+IFERROR(Y437/H437,"0")+IFERROR(Y438/H438,"0")+IFERROR(Y439/H439,"0")+IFERROR(Y440/H440,"0")+IFERROR(Y441/H441,"0")+IFERROR(Y442/H442,"0")+IFERROR(Y443/H443,"0")</f>
        <v>44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0.95699999999999985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650</v>
      </c>
      <c r="Y445" s="43">
        <f>IFERROR(SUM(Y436:Y443),"0")</f>
        <v>660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255</v>
      </c>
      <c r="Z447" s="41">
        <f>IFERROR(IF(Y447=0,"",ROUNDUP(Y447/H447,0)*0.02175),"")</f>
        <v>0.36974999999999997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257.83333333333331</v>
      </c>
      <c r="BN447" s="78">
        <f>IFERROR(Y447*I447/H447,"0")</f>
        <v>262.99</v>
      </c>
      <c r="BO447" s="78">
        <f>IFERROR(1/J447*(X447/H447),"0")</f>
        <v>0.34722222222222221</v>
      </c>
      <c r="BP447" s="78">
        <f>IFERROR(1/J447*(Y447/H447),"0")</f>
        <v>0.35416666666666663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16.666666666666668</v>
      </c>
      <c r="Y450" s="43">
        <f>IFERROR(Y447/H447,"0")+IFERROR(Y448/H448,"0")+IFERROR(Y449/H449,"0")</f>
        <v>17</v>
      </c>
      <c r="Z450" s="43">
        <f>IFERROR(IF(Z447="",0,Z447),"0")+IFERROR(IF(Z448="",0,Z448),"0")+IFERROR(IF(Z449="",0,Z449),"0")</f>
        <v>0.36974999999999997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250</v>
      </c>
      <c r="Y451" s="43">
        <f>IFERROR(SUM(Y447:Y449),"0")</f>
        <v>255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20</v>
      </c>
      <c r="Y482" s="55">
        <f t="shared" ref="Y482:Y487" si="75">IFERROR(IF(X482="",0,CEILING((X482/$H482),1)*$H482),"")</f>
        <v>21.6</v>
      </c>
      <c r="Z482" s="41">
        <f>IFERROR(IF(Y482=0,"",ROUNDUP(Y482/H482,0)*0.00902),"")</f>
        <v>3.6080000000000001E-2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20.703703703703702</v>
      </c>
      <c r="BN482" s="78">
        <f t="shared" ref="BN482:BN487" si="77">IFERROR(Y482*I482/H482,"0")</f>
        <v>22.36</v>
      </c>
      <c r="BO482" s="78">
        <f t="shared" ref="BO482:BO487" si="78">IFERROR(1/J482*(X482/H482),"0")</f>
        <v>2.8058361391694722E-2</v>
      </c>
      <c r="BP482" s="78">
        <f t="shared" ref="BP482:BP487" si="79">IFERROR(1/J482*(Y482/H482),"0")</f>
        <v>3.0303030303030304E-2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25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25.879629629629626</v>
      </c>
      <c r="BN483" s="78">
        <f t="shared" si="77"/>
        <v>27.95</v>
      </c>
      <c r="BO483" s="78">
        <f t="shared" si="78"/>
        <v>3.5072951739618406E-2</v>
      </c>
      <c r="BP483" s="78">
        <f t="shared" si="79"/>
        <v>3.787878787878788E-2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8.3333333333333321</v>
      </c>
      <c r="Y488" s="43">
        <f>IFERROR(Y482/H482,"0")+IFERROR(Y483/H483,"0")+IFERROR(Y484/H484,"0")+IFERROR(Y485/H485,"0")+IFERROR(Y486/H486,"0")+IFERROR(Y487/H487,"0")</f>
        <v>9</v>
      </c>
      <c r="Z488" s="43">
        <f>IFERROR(IF(Z482="",0,Z482),"0")+IFERROR(IF(Z483="",0,Z483),"0")+IFERROR(IF(Z484="",0,Z484),"0")+IFERROR(IF(Z485="",0,Z485),"0")+IFERROR(IF(Z486="",0,Z486),"0")+IFERROR(IF(Z487="",0,Z487),"0")</f>
        <v>8.1180000000000002E-2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45</v>
      </c>
      <c r="Y489" s="43">
        <f>IFERROR(SUM(Y482:Y487),"0")</f>
        <v>48.6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32.400000000000006</v>
      </c>
      <c r="Z501" s="41">
        <f>IFERROR(IF(Y501=0,"",ROUNDUP(Y501/H501,0)*0.00902),"")</f>
        <v>5.4120000000000001E-2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31.05555555555555</v>
      </c>
      <c r="BN501" s="78">
        <f>IFERROR(Y501*I501/H501,"0")</f>
        <v>33.54</v>
      </c>
      <c r="BO501" s="78">
        <f>IFERROR(1/J501*(X501/H501),"0")</f>
        <v>4.208754208754209E-2</v>
      </c>
      <c r="BP501" s="78">
        <f>IFERROR(1/J501*(Y501/H501),"0")</f>
        <v>4.5454545454545463E-2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5.5555555555555554</v>
      </c>
      <c r="Y504" s="43">
        <f>IFERROR(Y501/H501,"0")+IFERROR(Y502/H502,"0")+IFERROR(Y503/H503,"0")</f>
        <v>6.0000000000000009</v>
      </c>
      <c r="Z504" s="43">
        <f>IFERROR(IF(Z501="",0,Z501),"0")+IFERROR(IF(Z502="",0,Z502),"0")+IFERROR(IF(Z503="",0,Z503),"0")</f>
        <v>5.4120000000000001E-2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30</v>
      </c>
      <c r="Y505" s="43">
        <f>IFERROR(SUM(Y501:Y503),"0")</f>
        <v>32.400000000000006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70</v>
      </c>
      <c r="Y514" s="55">
        <f t="shared" si="80"/>
        <v>73.92</v>
      </c>
      <c r="Z514" s="41">
        <f t="shared" si="81"/>
        <v>0.16744000000000001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74.640151515151501</v>
      </c>
      <c r="BN514" s="78">
        <f t="shared" si="83"/>
        <v>78.819999999999993</v>
      </c>
      <c r="BO514" s="78">
        <f t="shared" si="84"/>
        <v>0.12747668997668998</v>
      </c>
      <c r="BP514" s="78">
        <f t="shared" si="85"/>
        <v>0.13461538461538464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51.136363636363633</v>
      </c>
      <c r="Y518" s="43">
        <f>IFERROR(Y509/H509,"0")+IFERROR(Y510/H510,"0")+IFERROR(Y511/H511,"0")+IFERROR(Y512/H512,"0")+IFERROR(Y513/H513,"0")+IFERROR(Y514/H514,"0")+IFERROR(Y515/H515,"0")+IFERROR(Y516/H516,"0")+IFERROR(Y517/H517,"0")</f>
        <v>52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0.62192000000000003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270</v>
      </c>
      <c r="Y519" s="43">
        <f>IFERROR(SUM(Y509:Y517),"0")</f>
        <v>274.56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150</v>
      </c>
      <c r="Y521" s="55">
        <f>IFERROR(IF(X521="",0,CEILING((X521/$H521),1)*$H521),"")</f>
        <v>153.12</v>
      </c>
      <c r="Z521" s="41">
        <f>IFERROR(IF(Y521=0,"",ROUNDUP(Y521/H521,0)*0.01196),"")</f>
        <v>0.34683999999999998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159.94318181818181</v>
      </c>
      <c r="BN521" s="78">
        <f>IFERROR(Y521*I521/H521,"0")</f>
        <v>163.26999999999998</v>
      </c>
      <c r="BO521" s="78">
        <f>IFERROR(1/J521*(X521/H521),"0")</f>
        <v>0.27316433566433568</v>
      </c>
      <c r="BP521" s="78">
        <f>IFERROR(1/J521*(Y521/H521),"0")</f>
        <v>0.27884615384615385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28.409090909090907</v>
      </c>
      <c r="Y524" s="43">
        <f>IFERROR(Y521/H521,"0")+IFERROR(Y522/H522,"0")+IFERROR(Y523/H523,"0")</f>
        <v>29</v>
      </c>
      <c r="Z524" s="43">
        <f>IFERROR(IF(Z521="",0,Z521),"0")+IFERROR(IF(Z522="",0,Z522),"0")+IFERROR(IF(Z523="",0,Z523),"0")</f>
        <v>0.34683999999999998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150</v>
      </c>
      <c r="Y525" s="43">
        <f>IFERROR(SUM(Y521:Y523),"0")</f>
        <v>153.12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75</v>
      </c>
      <c r="Y529" s="55">
        <f t="shared" si="86"/>
        <v>79.2</v>
      </c>
      <c r="Z529" s="41">
        <f>IFERROR(IF(Y529=0,"",ROUNDUP(Y529/H529,0)*0.01196),"")</f>
        <v>0.1794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79.971590909090907</v>
      </c>
      <c r="BN529" s="78">
        <f t="shared" si="88"/>
        <v>84.45</v>
      </c>
      <c r="BO529" s="78">
        <f t="shared" si="89"/>
        <v>0.13658216783216784</v>
      </c>
      <c r="BP529" s="78">
        <f t="shared" si="90"/>
        <v>0.14423076923076925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1999.88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2066.52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2088.5995932585929</v>
      </c>
      <c r="Y565" s="43">
        <f>IFERROR(SUM(BN22:BN561),"0")</f>
        <v>2158.1159999999995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2188.5995932585929</v>
      </c>
      <c r="Y567" s="43">
        <f>GrossWeightTotalR+PalletQtyTotalR*25</f>
        <v>2258.1159999999995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276.08045658045654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286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3.7544300000000002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76.5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115.08000000000001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21.6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46.2</v>
      </c>
      <c r="U574" s="52">
        <f>IFERROR(Y422*1,"0")+IFERROR(Y423*1,"0")</f>
        <v>0</v>
      </c>
      <c r="V574" s="52">
        <f>IFERROR(Y428*1,"0")+IFERROR(Y429*1,"0")+IFERROR(Y430*1,"0")</f>
        <v>16.8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915</v>
      </c>
      <c r="X574" s="52">
        <f>IFERROR(Y465*1,"0")+IFERROR(Y466*1,"0")+IFERROR(Y470*1,"0")+IFERROR(Y474*1,"0")+IFERROR(Y475*1,"0")+IFERROR(Y476*1,"0")</f>
        <v>24</v>
      </c>
      <c r="Y574" s="52">
        <f>IFERROR(Y482*1,"0")+IFERROR(Y483*1,"0")+IFERROR(Y484*1,"0")+IFERROR(Y485*1,"0")+IFERROR(Y486*1,"0")+IFERROR(Y487*1,"0")+IFERROR(Y491*1,"0")+IFERROR(Y492*1,"0")</f>
        <v>48.6</v>
      </c>
      <c r="Z574" s="52">
        <f>IFERROR(Y497*1,"0")+IFERROR(Y501*1,"0")+IFERROR(Y502*1,"0")+IFERROR(Y503*1,"0")</f>
        <v>32.400000000000006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543.84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0"/>
        <filter val="1 999,88"/>
        <filter val="1,67"/>
        <filter val="1,85"/>
        <filter val="10,71"/>
        <filter val="100,00"/>
        <filter val="110,00"/>
        <filter val="110,08"/>
        <filter val="13,50"/>
        <filter val="15,00"/>
        <filter val="150,00"/>
        <filter val="16,67"/>
        <filter val="16,80"/>
        <filter val="2 088,60"/>
        <filter val="2 188,60"/>
        <filter val="20,00"/>
        <filter val="20,83"/>
        <filter val="200,00"/>
        <filter val="22,50"/>
        <filter val="25,00"/>
        <filter val="250,00"/>
        <filter val="27,78"/>
        <filter val="270,00"/>
        <filter val="276,08"/>
        <filter val="28,41"/>
        <filter val="3,00"/>
        <filter val="30,00"/>
        <filter val="300,00"/>
        <filter val="34,57"/>
        <filter val="4"/>
        <filter val="43,33"/>
        <filter val="45,00"/>
        <filter val="5,04"/>
        <filter val="5,56"/>
        <filter val="50,00"/>
        <filter val="51,14"/>
        <filter val="650,00"/>
        <filter val="7,00"/>
        <filter val="70,00"/>
        <filter val="72,50"/>
        <filter val="75,00"/>
        <filter val="8,00"/>
        <filter val="8,33"/>
        <filter val="9,63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