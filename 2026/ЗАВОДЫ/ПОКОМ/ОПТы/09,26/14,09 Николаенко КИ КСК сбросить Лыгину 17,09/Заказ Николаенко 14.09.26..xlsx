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42A4E367-EBBB-4E20-AAD5-4F336CD77B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Z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P492" i="2"/>
  <c r="BO492" i="2"/>
  <c r="BM492" i="2"/>
  <c r="Y492" i="2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N486" i="2"/>
  <c r="BM486" i="2"/>
  <c r="Z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P441" i="2"/>
  <c r="BO441" i="2"/>
  <c r="BM441" i="2"/>
  <c r="Y441" i="2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P405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M397" i="2"/>
  <c r="Y397" i="2"/>
  <c r="BP397" i="2" s="1"/>
  <c r="P397" i="2"/>
  <c r="BO396" i="2"/>
  <c r="BM396" i="2"/>
  <c r="Z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Z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Z328" i="2"/>
  <c r="Y328" i="2"/>
  <c r="BN328" i="2" s="1"/>
  <c r="P328" i="2"/>
  <c r="BO327" i="2"/>
  <c r="BN327" i="2"/>
  <c r="BM327" i="2"/>
  <c r="Z327" i="2"/>
  <c r="Y327" i="2"/>
  <c r="BP327" i="2" s="1"/>
  <c r="P327" i="2"/>
  <c r="BO326" i="2"/>
  <c r="BN326" i="2"/>
  <c r="BM326" i="2"/>
  <c r="Z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P173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Z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Y33" i="2" l="1"/>
  <c r="Z31" i="2"/>
  <c r="BN31" i="2"/>
  <c r="BP38" i="2"/>
  <c r="BN41" i="2"/>
  <c r="Z48" i="2"/>
  <c r="Y82" i="2"/>
  <c r="BP80" i="2"/>
  <c r="Z86" i="2"/>
  <c r="BN86" i="2"/>
  <c r="Z93" i="2"/>
  <c r="BN93" i="2"/>
  <c r="BP98" i="2"/>
  <c r="Y112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3" i="2"/>
  <c r="BN293" i="2"/>
  <c r="Z295" i="2"/>
  <c r="BN298" i="2"/>
  <c r="BN313" i="2"/>
  <c r="Z318" i="2"/>
  <c r="Z319" i="2" s="1"/>
  <c r="BP333" i="2"/>
  <c r="BN336" i="2"/>
  <c r="Z337" i="2"/>
  <c r="BN343" i="2"/>
  <c r="Z349" i="2"/>
  <c r="Z354" i="2" s="1"/>
  <c r="BN351" i="2"/>
  <c r="Z353" i="2"/>
  <c r="BN382" i="2"/>
  <c r="BP396" i="2"/>
  <c r="Z404" i="2"/>
  <c r="BN410" i="2"/>
  <c r="Z415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Z521" i="2"/>
  <c r="BN521" i="2"/>
  <c r="Y179" i="2"/>
  <c r="BN187" i="2"/>
  <c r="BN194" i="2"/>
  <c r="BN266" i="2"/>
  <c r="Y366" i="2"/>
  <c r="BN372" i="2"/>
  <c r="BN384" i="2"/>
  <c r="BN392" i="2"/>
  <c r="BN443" i="2"/>
  <c r="BN454" i="2"/>
  <c r="BN460" i="2"/>
  <c r="Y462" i="2"/>
  <c r="BN502" i="2"/>
  <c r="BN510" i="2"/>
  <c r="BN515" i="2"/>
  <c r="BN530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Z32" i="2" s="1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<sst xmlns="http://schemas.openxmlformats.org/spreadsheetml/2006/main" count="4365" uniqueCount="909">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</sst>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L554" zoomScale="130" zoomScaleNormal="130" zoomScaleSheetLayoutView="100" workbookViewId="0">
      <selection activeCell="X522" sqref="X5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5</v>
      </c>
      <c r="Y61" s="43">
        <f>IFERROR(Y55/H55,"0")+IFERROR(Y56/H56,"0")+IFERROR(Y57/H57,"0")+IFERROR(Y58/H58,"0")+IFERROR(Y59/H59,"0")+IFERROR(Y60/H60,"0")</f>
        <v>5</v>
      </c>
      <c r="Z61" s="43">
        <f>IFERROR(IF(Z55="",0,Z55),"0")+IFERROR(IF(Z56="",0,Z56),"0")+IFERROR(IF(Z57="",0,Z57),"0")+IFERROR(IF(Z58="",0,Z58),"0")+IFERROR(IF(Z59="",0,Z59),"0")+IFERROR(IF(Z60="",0,Z60),"0")</f>
        <v>4.5100000000000001E-2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22.5</v>
      </c>
      <c r="Y62" s="43">
        <f>IFERROR(SUM(Y55:Y60),"0")</f>
        <v>22.5</v>
      </c>
      <c r="Z62" s="42"/>
      <c r="AA62" s="67"/>
      <c r="AB62" s="67"/>
      <c r="AC62" s="67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30</v>
      </c>
      <c r="Y64" s="55">
        <f>IFERROR(IF(X64="",0,CEILING((X64/$H64),1)*$H64),"")</f>
        <v>32.400000000000006</v>
      </c>
      <c r="Z64" s="41">
        <f>IFERROR(IF(Y64=0,"",ROUNDUP(Y64/H64,0)*0.01898),"")</f>
        <v>5.6940000000000004E-2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31.138888888888889</v>
      </c>
      <c r="BN64" s="78">
        <f>IFERROR(Y64*I64/H64,"0")</f>
        <v>33.630000000000003</v>
      </c>
      <c r="BO64" s="78">
        <f>IFERROR(1/J64*(X64/H64),"0")</f>
        <v>4.3402777777777776E-2</v>
      </c>
      <c r="BP64" s="78">
        <f>IFERROR(1/J64*(Y64/H64),"0")</f>
        <v>4.6875000000000007E-2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2.7777777777777777</v>
      </c>
      <c r="Y68" s="43">
        <f>IFERROR(Y64/H64,"0")+IFERROR(Y65/H65,"0")+IFERROR(Y66/H66,"0")+IFERROR(Y67/H67,"0")</f>
        <v>3.0000000000000004</v>
      </c>
      <c r="Z68" s="43">
        <f>IFERROR(IF(Z64="",0,Z64),"0")+IFERROR(IF(Z65="",0,Z65),"0")+IFERROR(IF(Z66="",0,Z66),"0")+IFERROR(IF(Z67="",0,Z67),"0")</f>
        <v>5.6940000000000004E-2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30</v>
      </c>
      <c r="Y69" s="43">
        <f>IFERROR(SUM(Y64:Y67),"0")</f>
        <v>32.400000000000006</v>
      </c>
      <c r="Z69" s="42"/>
      <c r="AA69" s="67"/>
      <c r="AB69" s="67"/>
      <c r="AC69" s="67"/>
    </row>
    <row r="70" spans="1:68" ht="14.25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10</v>
      </c>
      <c r="Y85" s="55">
        <f>IFERROR(IF(X85="",0,CEILING((X85/$H85),1)*$H85),"")</f>
        <v>10.8</v>
      </c>
      <c r="Z85" s="41">
        <f>IFERROR(IF(Y85=0,"",ROUNDUP(Y85/H85,0)*0.01898),"")</f>
        <v>1.898E-2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10.37962962962963</v>
      </c>
      <c r="BN85" s="78">
        <f>IFERROR(Y85*I85/H85,"0")</f>
        <v>11.21</v>
      </c>
      <c r="BO85" s="78">
        <f>IFERROR(1/J85*(X85/H85),"0")</f>
        <v>1.4467592592592591E-2</v>
      </c>
      <c r="BP85" s="78">
        <f>IFERROR(1/J85*(Y85/H85),"0")</f>
        <v>1.5625E-2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0.92592592592592582</v>
      </c>
      <c r="Y90" s="43">
        <f>IFERROR(Y85/H85,"0")+IFERROR(Y86/H86,"0")+IFERROR(Y87/H87,"0")+IFERROR(Y88/H88,"0")+IFERROR(Y89/H89,"0")</f>
        <v>1</v>
      </c>
      <c r="Z90" s="43">
        <f>IFERROR(IF(Z85="",0,Z85),"0")+IFERROR(IF(Z86="",0,Z86),"0")+IFERROR(IF(Z87="",0,Z87),"0")+IFERROR(IF(Z88="",0,Z88),"0")+IFERROR(IF(Z89="",0,Z89),"0")</f>
        <v>1.898E-2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10</v>
      </c>
      <c r="Y91" s="43">
        <f>IFERROR(SUM(Y85:Y89),"0")</f>
        <v>10.8</v>
      </c>
      <c r="Z91" s="42"/>
      <c r="AA91" s="67"/>
      <c r="AB91" s="67"/>
      <c r="AC91" s="67"/>
    </row>
    <row r="92" spans="1:68" ht="14.25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/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100</v>
      </c>
      <c r="Y184" s="55">
        <f t="shared" si="27"/>
        <v>101.5</v>
      </c>
      <c r="Z184" s="41">
        <f t="shared" si="28"/>
        <v>0.26158000000000003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105.42857142857143</v>
      </c>
      <c r="BN184" s="78">
        <f t="shared" si="30"/>
        <v>107.00999999999999</v>
      </c>
      <c r="BO184" s="78">
        <f t="shared" si="31"/>
        <v>0.21645021645021648</v>
      </c>
      <c r="BP184" s="78">
        <f t="shared" si="32"/>
        <v>0.2196969696969697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80</v>
      </c>
      <c r="Y186" s="55">
        <f t="shared" si="27"/>
        <v>80.5</v>
      </c>
      <c r="Z186" s="41">
        <f t="shared" si="28"/>
        <v>0.20746000000000001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84.342857142857142</v>
      </c>
      <c r="BN186" s="78">
        <f t="shared" si="30"/>
        <v>84.87</v>
      </c>
      <c r="BO186" s="78">
        <f t="shared" si="31"/>
        <v>0.17316017316017318</v>
      </c>
      <c r="BP186" s="78">
        <f t="shared" si="32"/>
        <v>0.17424242424242425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8.4</v>
      </c>
      <c r="Y190" s="55">
        <f t="shared" si="27"/>
        <v>8.4</v>
      </c>
      <c r="Z190" s="41">
        <f>IFERROR(IF(Y190=0,"",ROUNDUP(Y190/H190,0)*0.00502),"")</f>
        <v>2.5100000000000001E-2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8.9000000000000021</v>
      </c>
      <c r="BN190" s="78">
        <f t="shared" si="30"/>
        <v>8.9000000000000021</v>
      </c>
      <c r="BO190" s="78">
        <f t="shared" si="31"/>
        <v>2.1367521367521368E-2</v>
      </c>
      <c r="BP190" s="78">
        <f t="shared" si="32"/>
        <v>2.1367521367521368E-2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8.4</v>
      </c>
      <c r="Y195" s="55">
        <f t="shared" si="27"/>
        <v>8.4</v>
      </c>
      <c r="Z195" s="41">
        <f>IFERROR(IF(Y195=0,"",ROUNDUP(Y195/H195,0)*0.00502),"")</f>
        <v>2.5100000000000001E-2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8.9000000000000021</v>
      </c>
      <c r="BN195" s="78">
        <f t="shared" si="30"/>
        <v>8.9000000000000021</v>
      </c>
      <c r="BO195" s="78">
        <f t="shared" si="31"/>
        <v>2.1367521367521368E-2</v>
      </c>
      <c r="BP195" s="78">
        <f t="shared" si="32"/>
        <v>2.1367521367521368E-2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72.142857142857139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73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0.5984600000000001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225.20000000000002</v>
      </c>
      <c r="Y197" s="43">
        <f>IFERROR(SUM(Y182:Y195),"0")</f>
        <v>228.20000000000002</v>
      </c>
      <c r="Z197" s="42"/>
      <c r="AA197" s="67"/>
      <c r="AB197" s="67"/>
      <c r="AC197" s="67"/>
    </row>
    <row r="198" spans="1:68" ht="14.25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20</v>
      </c>
      <c r="Y277" s="55">
        <f t="shared" si="45"/>
        <v>21.6</v>
      </c>
      <c r="Z277" s="41">
        <f>IFERROR(IF(Y277=0,"",ROUNDUP(Y277/H277,0)*0.00902),"")</f>
        <v>3.6080000000000001E-2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20.703703703703702</v>
      </c>
      <c r="BN277" s="78">
        <f t="shared" si="47"/>
        <v>22.36</v>
      </c>
      <c r="BO277" s="78">
        <f t="shared" si="48"/>
        <v>2.8058361391694722E-2</v>
      </c>
      <c r="BP277" s="78">
        <f t="shared" si="49"/>
        <v>3.0303030303030304E-2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49.999999999999993</v>
      </c>
      <c r="Y284" s="43">
        <f>IFERROR(Y276/H276,"0")+IFERROR(Y277/H277,"0")+IFERROR(Y278/H278,"0")+IFERROR(Y279/H279,"0")+IFERROR(Y280/H280,"0")+IFERROR(Y281/H281,"0")+IFERROR(Y282/H282,"0")+IFERROR(Y283/H283,"0")</f>
        <v>52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0.46904000000000001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270</v>
      </c>
      <c r="Y285" s="43">
        <f>IFERROR(SUM(Y276:Y283),"0")</f>
        <v>280.8</v>
      </c>
      <c r="Z285" s="42"/>
      <c r="AA285" s="67"/>
      <c r="AB285" s="67"/>
      <c r="AC285" s="67"/>
    </row>
    <row r="286" spans="1:68" ht="14.25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24</v>
      </c>
      <c r="Y288" s="55">
        <f t="shared" si="50"/>
        <v>24.299999999999997</v>
      </c>
      <c r="Z288" s="41">
        <f>IFERROR(IF(Y288=0,"",ROUNDUP(Y288/H288,0)*0.01898),"")</f>
        <v>5.6940000000000004E-2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25.410370370370373</v>
      </c>
      <c r="BN288" s="78">
        <f t="shared" si="52"/>
        <v>25.727999999999998</v>
      </c>
      <c r="BO288" s="78">
        <f t="shared" si="53"/>
        <v>4.6296296296296301E-2</v>
      </c>
      <c r="BP288" s="78">
        <f t="shared" si="54"/>
        <v>4.6875E-2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4.9382716049382722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9.4900000000000012E-2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40</v>
      </c>
      <c r="Y300" s="43">
        <f>IFERROR(SUM(Y287:Y298),"0")</f>
        <v>40.5</v>
      </c>
      <c r="Z300" s="42"/>
      <c r="AA300" s="67"/>
      <c r="AB300" s="67"/>
      <c r="AC300" s="67"/>
    </row>
    <row r="301" spans="1:68" ht="14.25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30</v>
      </c>
      <c r="Y335" s="55">
        <f>IFERROR(IF(X335="",0,CEILING((X335/$H335),1)*$H335),"")</f>
        <v>32.400000000000006</v>
      </c>
      <c r="Z335" s="41">
        <f>IFERROR(IF(Y335=0,"",ROUNDUP(Y335/H335,0)*0.01898),"")</f>
        <v>5.6940000000000004E-2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31.138888888888889</v>
      </c>
      <c r="BN335" s="78">
        <f>IFERROR(Y335*I335/H335,"0")</f>
        <v>33.630000000000003</v>
      </c>
      <c r="BO335" s="78">
        <f>IFERROR(1/J335*(X335/H335),"0")</f>
        <v>4.3402777777777776E-2</v>
      </c>
      <c r="BP335" s="78">
        <f>IFERROR(1/J335*(Y335/H335),"0")</f>
        <v>4.6875000000000007E-2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2.7777777777777777</v>
      </c>
      <c r="Y338" s="43">
        <f>IFERROR(Y333/H333,"0")+IFERROR(Y334/H334,"0")+IFERROR(Y335/H335,"0")+IFERROR(Y336/H336,"0")+IFERROR(Y337/H337,"0")</f>
        <v>3.0000000000000004</v>
      </c>
      <c r="Z338" s="43">
        <f>IFERROR(IF(Z333="",0,Z333),"0")+IFERROR(IF(Z334="",0,Z334),"0")+IFERROR(IF(Z335="",0,Z335),"0")+IFERROR(IF(Z336="",0,Z336),"0")+IFERROR(IF(Z337="",0,Z337),"0")</f>
        <v>5.6940000000000004E-2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30</v>
      </c>
      <c r="Y339" s="43">
        <f>IFERROR(SUM(Y333:Y337),"0")</f>
        <v>32.400000000000006</v>
      </c>
      <c r="Z339" s="42"/>
      <c r="AA339" s="67"/>
      <c r="AB339" s="67"/>
      <c r="AC339" s="67"/>
    </row>
    <row r="340" spans="1:68" ht="16.5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/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20</v>
      </c>
      <c r="Y379" s="55">
        <f t="shared" ref="Y379:Y385" si="65">IFERROR(IF(X379="",0,CEILING((X379/$H379),1)*$H379),"")</f>
        <v>21</v>
      </c>
      <c r="Z379" s="41">
        <f>IFERROR(IF(Y379=0,"",ROUNDUP(Y379/H379,0)*0.00902),"")</f>
        <v>4.5100000000000001E-2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21.19047619047619</v>
      </c>
      <c r="BN379" s="78">
        <f t="shared" ref="BN379:BN385" si="67">IFERROR(Y379*I379/H379,"0")</f>
        <v>22.25</v>
      </c>
      <c r="BO379" s="78">
        <f t="shared" ref="BO379:BO385" si="68">IFERROR(1/J379*(X379/H379),"0")</f>
        <v>3.6075036075036072E-2</v>
      </c>
      <c r="BP379" s="78">
        <f t="shared" ref="BP379:BP385" si="69">IFERROR(1/J379*(Y379/H379),"0")</f>
        <v>3.787878787878788E-2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/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4.7619047619047619</v>
      </c>
      <c r="Y386" s="43">
        <f>IFERROR(Y379/H379,"0")+IFERROR(Y380/H380,"0")+IFERROR(Y381/H381,"0")+IFERROR(Y382/H382,"0")+IFERROR(Y383/H383,"0")+IFERROR(Y384/H384,"0")+IFERROR(Y385/H385,"0")</f>
        <v>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4.5100000000000001E-2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20</v>
      </c>
      <c r="Y387" s="43">
        <f>IFERROR(SUM(Y379:Y385),"0")</f>
        <v>21</v>
      </c>
      <c r="Z387" s="42"/>
      <c r="AA387" s="67"/>
      <c r="AB387" s="67"/>
      <c r="AC387" s="67"/>
    </row>
    <row r="388" spans="1:68" ht="14.25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60</v>
      </c>
      <c r="Y422" s="55">
        <f>IFERROR(IF(X422="",0,CEILING((X422/$H422),1)*$H422),"")</f>
        <v>62.4</v>
      </c>
      <c r="Z422" s="41">
        <f>IFERROR(IF(Y422=0,"",ROUNDUP(Y422/H422,0)*0.01898),"")</f>
        <v>0.15184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63.15384615384616</v>
      </c>
      <c r="BN422" s="78">
        <f>IFERROR(Y422*I422/H422,"0")</f>
        <v>65.680000000000007</v>
      </c>
      <c r="BO422" s="78">
        <f>IFERROR(1/J422*(X422/H422),"0")</f>
        <v>0.1201923076923077</v>
      </c>
      <c r="BP422" s="78">
        <f>IFERROR(1/J422*(Y422/H422),"0")</f>
        <v>0.125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30</v>
      </c>
      <c r="Y423" s="55">
        <f>IFERROR(IF(X423="",0,CEILING((X423/$H423),1)*$H423),"")</f>
        <v>31.2</v>
      </c>
      <c r="Z423" s="41">
        <f>IFERROR(IF(Y423=0,"",ROUNDUP(Y423/H423,0)*0.01898),"")</f>
        <v>7.5920000000000001E-2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31.57692307692308</v>
      </c>
      <c r="BN423" s="78">
        <f>IFERROR(Y423*I423/H423,"0")</f>
        <v>32.840000000000003</v>
      </c>
      <c r="BO423" s="78">
        <f>IFERROR(1/J423*(X423/H423),"0")</f>
        <v>6.0096153846153848E-2</v>
      </c>
      <c r="BP423" s="78">
        <f>IFERROR(1/J423*(Y423/H423),"0")</f>
        <v>6.25E-2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11.538461538461538</v>
      </c>
      <c r="Y424" s="43">
        <f>IFERROR(Y422/H422,"0")+IFERROR(Y423/H423,"0")</f>
        <v>12</v>
      </c>
      <c r="Z424" s="43">
        <f>IFERROR(IF(Z422="",0,Z422),"0")+IFERROR(IF(Z423="",0,Z423),"0")</f>
        <v>0.22776000000000002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90</v>
      </c>
      <c r="Y425" s="43">
        <f>IFERROR(SUM(Y422:Y423),"0")</f>
        <v>93.6</v>
      </c>
      <c r="Z425" s="42"/>
      <c r="AA425" s="67"/>
      <c r="AB425" s="67"/>
      <c r="AC425" s="67"/>
    </row>
    <row r="426" spans="1:68" ht="16.5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/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75</v>
      </c>
      <c r="Y437" s="55">
        <f t="shared" si="70"/>
        <v>75</v>
      </c>
      <c r="Z437" s="41">
        <f>IFERROR(IF(Y437=0,"",ROUNDUP(Y437/H437,0)*0.02175),"")</f>
        <v>0.10874999999999999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77.349999999999994</v>
      </c>
      <c r="BN437" s="78">
        <f t="shared" si="72"/>
        <v>77.349999999999994</v>
      </c>
      <c r="BO437" s="78">
        <f t="shared" si="73"/>
        <v>0.10416666666666666</v>
      </c>
      <c r="BP437" s="78">
        <f t="shared" si="74"/>
        <v>0.10416666666666666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75</v>
      </c>
      <c r="Y438" s="55">
        <f t="shared" si="70"/>
        <v>75</v>
      </c>
      <c r="Z438" s="41">
        <f>IFERROR(IF(Y438=0,"",ROUNDUP(Y438/H438,0)*0.02175),"")</f>
        <v>0.10874999999999999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77.349999999999994</v>
      </c>
      <c r="BN438" s="78">
        <f t="shared" si="72"/>
        <v>77.349999999999994</v>
      </c>
      <c r="BO438" s="78">
        <f t="shared" si="73"/>
        <v>0.10416666666666666</v>
      </c>
      <c r="BP438" s="78">
        <f t="shared" si="74"/>
        <v>0.10416666666666666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150</v>
      </c>
      <c r="Y439" s="55">
        <f t="shared" si="70"/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154.69999999999999</v>
      </c>
      <c r="BN439" s="78">
        <f t="shared" si="72"/>
        <v>154.69999999999999</v>
      </c>
      <c r="BO439" s="78">
        <f t="shared" si="73"/>
        <v>0.20833333333333331</v>
      </c>
      <c r="BP439" s="78">
        <f t="shared" si="74"/>
        <v>0.20833333333333331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</v>
      </c>
      <c r="Y444" s="43">
        <f>IFERROR(Y436/H436,"0")+IFERROR(Y437/H437,"0")+IFERROR(Y438/H438,"0")+IFERROR(Y439/H439,"0")+IFERROR(Y440/H440,"0")+IFERROR(Y441/H441,"0")+IFERROR(Y442/H442,"0")+IFERROR(Y443/H443,"0")</f>
        <v>20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0.43499999999999994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300</v>
      </c>
      <c r="Y445" s="43">
        <f>IFERROR(SUM(Y436:Y443),"0")</f>
        <v>300</v>
      </c>
      <c r="Z445" s="42"/>
      <c r="AA445" s="67"/>
      <c r="AB445" s="67"/>
      <c r="AC445" s="67"/>
    </row>
    <row r="446" spans="1:68" ht="14.25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</v>
      </c>
      <c r="Y447" s="55">
        <f>IFERROR(IF(X447="",0,CEILING((X447/$H447),1)*$H447),"")</f>
        <v>150</v>
      </c>
      <c r="Z447" s="41">
        <f>IFERROR(IF(Y447=0,"",ROUNDUP(Y447/H447,0)*0.02175),"")</f>
        <v>0.21749999999999997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154.69999999999999</v>
      </c>
      <c r="BN447" s="78">
        <f>IFERROR(Y447*I447/H447,"0")</f>
        <v>154.69999999999999</v>
      </c>
      <c r="BO447" s="78">
        <f>IFERROR(1/J447*(X447/H447),"0")</f>
        <v>0.20833333333333331</v>
      </c>
      <c r="BP447" s="78">
        <f>IFERROR(1/J447*(Y447/H447),"0")</f>
        <v>0.20833333333333331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</v>
      </c>
      <c r="Y450" s="43">
        <f>IFERROR(Y447/H447,"0")+IFERROR(Y448/H448,"0")+IFERROR(Y449/H449,"0")</f>
        <v>10</v>
      </c>
      <c r="Z450" s="43">
        <f>IFERROR(IF(Z447="",0,Z447),"0")+IFERROR(IF(Z448="",0,Z448),"0")+IFERROR(IF(Z449="",0,Z449),"0")</f>
        <v>0.21749999999999997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</v>
      </c>
      <c r="Y451" s="43">
        <f>IFERROR(SUM(Y447:Y449),"0")</f>
        <v>150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20</v>
      </c>
      <c r="Y465" s="55">
        <f>IFERROR(IF(X465="",0,CEILING((X465/$H465),1)*$H465),"")</f>
        <v>24</v>
      </c>
      <c r="Z465" s="41">
        <f>IFERROR(IF(Y465=0,"",ROUNDUP(Y465/H465,0)*0.01898),"")</f>
        <v>3.7960000000000001E-2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20.683333333333334</v>
      </c>
      <c r="BN465" s="78">
        <f>IFERROR(Y465*I465/H465,"0")</f>
        <v>24.820000000000004</v>
      </c>
      <c r="BO465" s="78">
        <f>IFERROR(1/J465*(X465/H465),"0")</f>
        <v>2.6041666666666668E-2</v>
      </c>
      <c r="BP465" s="78">
        <f>IFERROR(1/J465*(Y465/H465),"0")</f>
        <v>3.125E-2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1.6666666666666667</v>
      </c>
      <c r="Y467" s="43">
        <f>IFERROR(Y465/H465,"0")+IFERROR(Y466/H466,"0")</f>
        <v>2</v>
      </c>
      <c r="Z467" s="43">
        <f>IFERROR(IF(Z465="",0,Z465),"0")+IFERROR(IF(Z466="",0,Z466),"0")</f>
        <v>3.7960000000000001E-2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20</v>
      </c>
      <c r="Y468" s="43">
        <f>IFERROR(SUM(Y465:Y466),"0")</f>
        <v>24</v>
      </c>
      <c r="Z468" s="42"/>
      <c r="AA468" s="67"/>
      <c r="AB468" s="67"/>
      <c r="AC468" s="67"/>
    </row>
    <row r="469" spans="1:68" ht="14.25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/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20</v>
      </c>
      <c r="Y483" s="55">
        <f t="shared" si="75"/>
        <v>21.6</v>
      </c>
      <c r="Z483" s="41">
        <f>IFERROR(IF(Y483=0,"",ROUNDUP(Y483/H483,0)*0.00902),"")</f>
        <v>3.6080000000000001E-2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20.703703703703702</v>
      </c>
      <c r="BN483" s="78">
        <f t="shared" si="77"/>
        <v>22.36</v>
      </c>
      <c r="BO483" s="78">
        <f t="shared" si="78"/>
        <v>2.8058361391694722E-2</v>
      </c>
      <c r="BP483" s="78">
        <f t="shared" si="79"/>
        <v>3.0303030303030304E-2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40</v>
      </c>
      <c r="Y501" s="55">
        <f>IFERROR(IF(X501="",0,CEILING((X501/$H501),1)*$H501),"")</f>
        <v>43.2</v>
      </c>
      <c r="Z501" s="41">
        <f>IFERROR(IF(Y501=0,"",ROUNDUP(Y501/H501,0)*0.00902),"")</f>
        <v>7.2160000000000002E-2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41.407407407407405</v>
      </c>
      <c r="BN501" s="78">
        <f>IFERROR(Y501*I501/H501,"0")</f>
        <v>44.72</v>
      </c>
      <c r="BO501" s="78">
        <f>IFERROR(1/J501*(X501/H501),"0")</f>
        <v>5.6116722783389444E-2</v>
      </c>
      <c r="BP501" s="78">
        <f>IFERROR(1/J501*(Y501/H501),"0")</f>
        <v>6.0606060606060608E-2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7.4074074074074066</v>
      </c>
      <c r="Y504" s="43">
        <f>IFERROR(Y501/H501,"0")+IFERROR(Y502/H502,"0")+IFERROR(Y503/H503,"0")</f>
        <v>8</v>
      </c>
      <c r="Z504" s="43">
        <f>IFERROR(IF(Z501="",0,Z501),"0")+IFERROR(IF(Z502="",0,Z502),"0")+IFERROR(IF(Z503="",0,Z503),"0")</f>
        <v>7.2160000000000002E-2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40</v>
      </c>
      <c r="Y505" s="43">
        <f>IFERROR(SUM(Y501:Y503),"0")</f>
        <v>43.2</v>
      </c>
      <c r="Z505" s="42"/>
      <c r="AA505" s="67"/>
      <c r="AB505" s="67"/>
      <c r="AC505" s="67"/>
    </row>
    <row r="506" spans="1:68" ht="27.75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15</v>
      </c>
      <c r="Y509" s="55">
        <f t="shared" ref="Y509:Y517" si="80">IFERROR(IF(X509="",0,CEILING((X509/$H509),1)*$H509),"")</f>
        <v>15.84</v>
      </c>
      <c r="Z509" s="41">
        <f t="shared" ref="Z509:Z514" si="81">IFERROR(IF(Y509=0,"",ROUNDUP(Y509/H509,0)*0.01196),"")</f>
        <v>3.5880000000000002E-2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15.994318181818182</v>
      </c>
      <c r="BN509" s="78">
        <f t="shared" ref="BN509:BN517" si="83">IFERROR(Y509*I509/H509,"0")</f>
        <v>16.889999999999997</v>
      </c>
      <c r="BO509" s="78">
        <f t="shared" ref="BO509:BO517" si="84">IFERROR(1/J509*(X509/H509),"0")</f>
        <v>2.7316433566433568E-2</v>
      </c>
      <c r="BP509" s="78">
        <f t="shared" ref="BP509:BP517" si="85">IFERROR(1/J509*(Y509/H509),"0")</f>
        <v>2.8846153846153848E-2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/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/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12.310606060606059</v>
      </c>
      <c r="Y518" s="43">
        <f>IFERROR(Y509/H509,"0")+IFERROR(Y510/H510,"0")+IFERROR(Y511/H511,"0")+IFERROR(Y512/H512,"0")+IFERROR(Y513/H513,"0")+IFERROR(Y514/H514,"0")+IFERROR(Y515/H515,"0")+IFERROR(Y516/H516,"0")+IFERROR(Y517/H517,"0")</f>
        <v>13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0.15548000000000001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65</v>
      </c>
      <c r="Y519" s="43">
        <f>IFERROR(SUM(Y509:Y517),"0")</f>
        <v>68.64</v>
      </c>
      <c r="Z519" s="42"/>
      <c r="AA519" s="67"/>
      <c r="AB519" s="67"/>
      <c r="AC519" s="67"/>
    </row>
    <row r="520" spans="1:68" ht="14.25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200</v>
      </c>
      <c r="Y521" s="55">
        <f>IFERROR(IF(X521="",0,CEILING((X521/$H521),1)*$H521),"")</f>
        <v>200.64000000000001</v>
      </c>
      <c r="Z521" s="41">
        <f>IFERROR(IF(Y521=0,"",ROUNDUP(Y521/H521,0)*0.01196),"")</f>
        <v>0.45448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213.25757575757575</v>
      </c>
      <c r="BN521" s="78">
        <f>IFERROR(Y521*I521/H521,"0")</f>
        <v>213.94</v>
      </c>
      <c r="BO521" s="78">
        <f>IFERROR(1/J521*(X521/H521),"0")</f>
        <v>0.36421911421911418</v>
      </c>
      <c r="BP521" s="78">
        <f>IFERROR(1/J521*(Y521/H521),"0")</f>
        <v>0.36538461538461542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37.878787878787875</v>
      </c>
      <c r="Y524" s="43">
        <f>IFERROR(Y521/H521,"0")+IFERROR(Y522/H522,"0")+IFERROR(Y523/H523,"0")</f>
        <v>38</v>
      </c>
      <c r="Z524" s="43">
        <f>IFERROR(IF(Z521="",0,Z521),"0")+IFERROR(IF(Z522="",0,Z522),"0")+IFERROR(IF(Z523="",0,Z523),"0")</f>
        <v>0.45448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200</v>
      </c>
      <c r="Y525" s="43">
        <f>IFERROR(SUM(Y521:Y523),"0")</f>
        <v>200.64000000000001</v>
      </c>
      <c r="Z525" s="42"/>
      <c r="AA525" s="67"/>
      <c r="AB525" s="67"/>
      <c r="AC525" s="67"/>
    </row>
    <row r="526" spans="1:68" ht="14.25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8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21.325757575757574</v>
      </c>
      <c r="BN527" s="78">
        <f t="shared" ref="BN527:BN533" si="88">IFERROR(Y527*I527/H527,"0")</f>
        <v>22.52</v>
      </c>
      <c r="BO527" s="78">
        <f t="shared" ref="BO527:BO533" si="89">IFERROR(1/J527*(X527/H527),"0")</f>
        <v>3.6421911421911424E-2</v>
      </c>
      <c r="BP527" s="78">
        <f t="shared" ref="BP527:BP533" si="90">IFERROR(1/J527*(Y527/H527),"0")</f>
        <v>3.8461538461538464E-2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15</v>
      </c>
      <c r="Y528" s="55">
        <f t="shared" si="86"/>
        <v>15.84</v>
      </c>
      <c r="Z528" s="41">
        <f>IFERROR(IF(Y528=0,"",ROUNDUP(Y528/H528,0)*0.01196),"")</f>
        <v>3.5880000000000002E-2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15.994318181818182</v>
      </c>
      <c r="BN528" s="78">
        <f t="shared" si="88"/>
        <v>16.889999999999997</v>
      </c>
      <c r="BO528" s="78">
        <f t="shared" si="89"/>
        <v>2.7316433566433568E-2</v>
      </c>
      <c r="BP528" s="78">
        <f t="shared" si="90"/>
        <v>2.8846153846153848E-2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/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6.6287878787878789</v>
      </c>
      <c r="Y534" s="43">
        <f>IFERROR(Y527/H527,"0")+IFERROR(Y528/H528,"0")+IFERROR(Y529/H529,"0")+IFERROR(Y530/H530,"0")+IFERROR(Y531/H531,"0")+IFERROR(Y532/H532,"0")+IFERROR(Y533/H533,"0")</f>
        <v>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8.3720000000000003E-2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35</v>
      </c>
      <c r="Y535" s="43">
        <f>IFERROR(SUM(Y527:Y533),"0")</f>
        <v>36.96</v>
      </c>
      <c r="Z535" s="42"/>
      <c r="AA535" s="67"/>
      <c r="AB535" s="67"/>
      <c r="AC535" s="67"/>
    </row>
    <row r="536" spans="1:68" ht="27.75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1757.7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1811.24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1838.6425914209249</v>
      </c>
      <c r="Y565" s="43">
        <f>IFERROR(SUM(BN22:BN561),"0")</f>
        <v>1894.6559999999999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1913.6425914209249</v>
      </c>
      <c r="Y567" s="43">
        <f>GrossWeightTotalR+PalletQtyTotalR*25</f>
        <v>1994.6559999999999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275.94754011420667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284</v>
      </c>
      <c r="Z568" s="42"/>
      <c r="AA568" s="67"/>
      <c r="AB568" s="67"/>
      <c r="AC568" s="67"/>
    </row>
    <row r="569" spans="1:68" ht="14.25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3.5421399999999994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54.900000000000006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10.8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228.20000000000002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321.3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32.400000000000006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83.4</v>
      </c>
      <c r="U574" s="52">
        <f>IFERROR(Y422*1,"0")+IFERROR(Y423*1,"0")</f>
        <v>93.6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450</v>
      </c>
      <c r="X574" s="52">
        <f>IFERROR(Y465*1,"0")+IFERROR(Y466*1,"0")+IFERROR(Y470*1,"0")+IFERROR(Y474*1,"0")+IFERROR(Y475*1,"0")+IFERROR(Y476*1,"0")</f>
        <v>24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43.2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306.24</v>
      </c>
      <c r="AB574" s="52">
        <f>IFERROR(Y539*1,"0")+IFERROR(Y543*1,"0")+IFERROR(Y547*1,"0")+IFERROR(Y551*1,"0")+IFERROR(Y555*1,"0")+IFERROR(Y556*1,"0")</f>
        <v>120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1196</vt:i4>
      </vt:variant>
    </vt:vector>
  </HeadingPairs>
  <TitlesOfParts>
    <vt:vector size="119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2026-09-14T12:33:34Z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