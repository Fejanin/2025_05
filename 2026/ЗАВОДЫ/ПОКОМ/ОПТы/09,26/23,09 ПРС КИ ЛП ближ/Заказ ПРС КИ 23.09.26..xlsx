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A05C77B-10B4-441F-8E37-45ABFAA178E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BP545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P472" i="2" s="1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P387" i="2"/>
  <c r="BO386" i="2"/>
  <c r="BM386" i="2"/>
  <c r="Y386" i="2"/>
  <c r="BN386" i="2" s="1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BO321" i="2"/>
  <c r="BM321" i="2"/>
  <c r="Y321" i="2"/>
  <c r="BP321" i="2" s="1"/>
  <c r="X318" i="2"/>
  <c r="X317" i="2"/>
  <c r="BO316" i="2"/>
  <c r="BM316" i="2"/>
  <c r="Y316" i="2"/>
  <c r="Z316" i="2" s="1"/>
  <c r="Z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Y253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3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N189" i="2" s="1"/>
  <c r="P189" i="2"/>
  <c r="BO188" i="2"/>
  <c r="BM188" i="2"/>
  <c r="Y188" i="2"/>
  <c r="Y191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N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BN133" i="2" s="1"/>
  <c r="P133" i="2"/>
  <c r="BO132" i="2"/>
  <c r="BM132" i="2"/>
  <c r="Y132" i="2"/>
  <c r="H564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A10" i="2" s="1"/>
  <c r="D7" i="2"/>
  <c r="Q6" i="2"/>
  <c r="P2" i="2"/>
  <c r="Z545" i="2" l="1"/>
  <c r="BN545" i="2"/>
  <c r="Z221" i="2"/>
  <c r="BN221" i="2"/>
  <c r="Z88" i="2"/>
  <c r="BN88" i="2"/>
  <c r="Z405" i="2"/>
  <c r="Z406" i="2"/>
  <c r="BN406" i="2"/>
  <c r="Z38" i="2"/>
  <c r="BP116" i="2"/>
  <c r="BP280" i="2"/>
  <c r="BP482" i="2"/>
  <c r="Z106" i="2"/>
  <c r="Z178" i="2"/>
  <c r="BN178" i="2"/>
  <c r="Z182" i="2"/>
  <c r="BN182" i="2"/>
  <c r="Z183" i="2"/>
  <c r="Z237" i="2"/>
  <c r="BN237" i="2"/>
  <c r="Z304" i="2"/>
  <c r="BN304" i="2"/>
  <c r="BP312" i="2"/>
  <c r="Z326" i="2"/>
  <c r="Z364" i="2"/>
  <c r="BN364" i="2"/>
  <c r="Z433" i="2"/>
  <c r="Z512" i="2"/>
  <c r="BN512" i="2"/>
  <c r="Z22" i="2"/>
  <c r="BN22" i="2"/>
  <c r="Y25" i="2"/>
  <c r="BP48" i="2"/>
  <c r="Z101" i="2"/>
  <c r="Z133" i="2"/>
  <c r="Z204" i="2"/>
  <c r="BP227" i="2"/>
  <c r="Z268" i="2"/>
  <c r="BP285" i="2"/>
  <c r="Z380" i="2"/>
  <c r="BN380" i="2"/>
  <c r="Z426" i="2"/>
  <c r="BN426" i="2"/>
  <c r="BP466" i="2"/>
  <c r="Z502" i="2"/>
  <c r="BN502" i="2"/>
  <c r="BN41" i="2"/>
  <c r="BP41" i="2"/>
  <c r="Y75" i="2"/>
  <c r="BN78" i="2"/>
  <c r="Z78" i="2"/>
  <c r="BP79" i="2"/>
  <c r="BN79" i="2"/>
  <c r="Z79" i="2"/>
  <c r="BP107" i="2"/>
  <c r="BN107" i="2"/>
  <c r="Z107" i="2"/>
  <c r="BP58" i="2"/>
  <c r="Z58" i="2"/>
  <c r="BP86" i="2"/>
  <c r="BN86" i="2"/>
  <c r="Z86" i="2"/>
  <c r="Y52" i="2"/>
  <c r="Y69" i="2"/>
  <c r="Y91" i="2"/>
  <c r="Y118" i="2"/>
  <c r="BP114" i="2"/>
  <c r="Z121" i="2"/>
  <c r="BN121" i="2"/>
  <c r="Z168" i="2"/>
  <c r="Z170" i="2" s="1"/>
  <c r="Z189" i="2"/>
  <c r="Z217" i="2"/>
  <c r="BN217" i="2"/>
  <c r="Z218" i="2"/>
  <c r="BP224" i="2"/>
  <c r="BP229" i="2"/>
  <c r="Z247" i="2"/>
  <c r="BN247" i="2"/>
  <c r="Z251" i="2"/>
  <c r="Z252" i="2" s="1"/>
  <c r="BN251" i="2"/>
  <c r="BP251" i="2"/>
  <c r="Y252" i="2"/>
  <c r="Y264" i="2"/>
  <c r="Y275" i="2"/>
  <c r="BP282" i="2"/>
  <c r="Z287" i="2"/>
  <c r="Z324" i="2"/>
  <c r="BN324" i="2"/>
  <c r="Z354" i="2"/>
  <c r="BN354" i="2"/>
  <c r="Z360" i="2"/>
  <c r="BN360" i="2"/>
  <c r="Z372" i="2"/>
  <c r="BN372" i="2"/>
  <c r="Y384" i="2"/>
  <c r="Z413" i="2"/>
  <c r="BN413" i="2"/>
  <c r="Z429" i="2"/>
  <c r="BN429" i="2"/>
  <c r="Z430" i="2"/>
  <c r="BN430" i="2"/>
  <c r="Z456" i="2"/>
  <c r="Y457" i="2"/>
  <c r="Z473" i="2"/>
  <c r="BN473" i="2"/>
  <c r="Z500" i="2"/>
  <c r="BN500" i="2"/>
  <c r="Z506" i="2"/>
  <c r="BN506" i="2"/>
  <c r="Z518" i="2"/>
  <c r="BN518" i="2"/>
  <c r="Y547" i="2"/>
  <c r="Y548" i="2"/>
  <c r="B564" i="2"/>
  <c r="X555" i="2"/>
  <c r="X556" i="2"/>
  <c r="X554" i="2"/>
  <c r="Y32" i="2"/>
  <c r="Z29" i="2"/>
  <c r="Z31" i="2"/>
  <c r="Y42" i="2"/>
  <c r="BP40" i="2"/>
  <c r="BP47" i="2"/>
  <c r="Z49" i="2"/>
  <c r="Z55" i="2"/>
  <c r="BP57" i="2"/>
  <c r="Z60" i="2"/>
  <c r="BP65" i="2"/>
  <c r="Z67" i="2"/>
  <c r="BN72" i="2"/>
  <c r="Z73" i="2"/>
  <c r="BN74" i="2"/>
  <c r="BP85" i="2"/>
  <c r="Z94" i="2"/>
  <c r="BN94" i="2"/>
  <c r="Z96" i="2"/>
  <c r="BN96" i="2"/>
  <c r="Y110" i="2"/>
  <c r="BP106" i="2"/>
  <c r="BP112" i="2"/>
  <c r="BN113" i="2"/>
  <c r="BP113" i="2"/>
  <c r="Z115" i="2"/>
  <c r="Z127" i="2"/>
  <c r="Z128" i="2" s="1"/>
  <c r="Z132" i="2"/>
  <c r="Z134" i="2" s="1"/>
  <c r="BN132" i="2"/>
  <c r="BP132" i="2"/>
  <c r="Z137" i="2"/>
  <c r="Z142" i="2"/>
  <c r="Z144" i="2" s="1"/>
  <c r="BN142" i="2"/>
  <c r="Y144" i="2"/>
  <c r="Z149" i="2"/>
  <c r="BN152" i="2"/>
  <c r="Z153" i="2"/>
  <c r="BN153" i="2"/>
  <c r="Z157" i="2"/>
  <c r="Z158" i="2" s="1"/>
  <c r="BN157" i="2"/>
  <c r="BP157" i="2"/>
  <c r="Y158" i="2"/>
  <c r="Z163" i="2"/>
  <c r="Z164" i="2"/>
  <c r="BN164" i="2"/>
  <c r="Y171" i="2"/>
  <c r="BP169" i="2"/>
  <c r="BN174" i="2"/>
  <c r="BP174" i="2"/>
  <c r="BN175" i="2"/>
  <c r="BN180" i="2"/>
  <c r="BP180" i="2"/>
  <c r="Z184" i="2"/>
  <c r="BN184" i="2"/>
  <c r="BN188" i="2"/>
  <c r="BP188" i="2"/>
  <c r="BP189" i="2"/>
  <c r="BN190" i="2"/>
  <c r="BP190" i="2"/>
  <c r="Z194" i="2"/>
  <c r="Z195" i="2" s="1"/>
  <c r="BN194" i="2"/>
  <c r="Z200" i="2"/>
  <c r="BN200" i="2"/>
  <c r="Z202" i="2"/>
  <c r="BN202" i="2"/>
  <c r="BN203" i="2"/>
  <c r="BP203" i="2"/>
  <c r="Z211" i="2"/>
  <c r="Z212" i="2" s="1"/>
  <c r="BN211" i="2"/>
  <c r="BP211" i="2"/>
  <c r="Y212" i="2"/>
  <c r="Z219" i="2"/>
  <c r="BN219" i="2"/>
  <c r="Z223" i="2"/>
  <c r="BN22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Y317" i="2"/>
  <c r="Y318" i="2"/>
  <c r="BN316" i="2"/>
  <c r="BP322" i="2"/>
  <c r="BN322" i="2"/>
  <c r="Z322" i="2"/>
  <c r="BP323" i="2"/>
  <c r="BN323" i="2"/>
  <c r="Z323" i="2"/>
  <c r="BN342" i="2"/>
  <c r="Y344" i="2"/>
  <c r="BP346" i="2"/>
  <c r="Y349" i="2"/>
  <c r="Y348" i="2"/>
  <c r="BN346" i="2"/>
  <c r="Z346" i="2"/>
  <c r="BP347" i="2"/>
  <c r="BN347" i="2"/>
  <c r="Z347" i="2"/>
  <c r="BP370" i="2"/>
  <c r="BN370" i="2"/>
  <c r="Z370" i="2"/>
  <c r="BP382" i="2"/>
  <c r="BN382" i="2"/>
  <c r="Z382" i="2"/>
  <c r="BN387" i="2"/>
  <c r="Z387" i="2"/>
  <c r="BN431" i="2"/>
  <c r="BN438" i="2"/>
  <c r="BP439" i="2"/>
  <c r="BN439" i="2"/>
  <c r="Z439" i="2"/>
  <c r="Z443" i="2"/>
  <c r="BP443" i="2"/>
  <c r="BP449" i="2"/>
  <c r="Y452" i="2"/>
  <c r="Y451" i="2"/>
  <c r="BP450" i="2"/>
  <c r="BN450" i="2"/>
  <c r="Z450" i="2"/>
  <c r="BN487" i="2"/>
  <c r="Z487" i="2"/>
  <c r="Z488" i="2" s="1"/>
  <c r="BN491" i="2"/>
  <c r="BP491" i="2"/>
  <c r="BN493" i="2"/>
  <c r="BP501" i="2"/>
  <c r="Z501" i="2"/>
  <c r="BN520" i="2"/>
  <c r="Z520" i="2"/>
  <c r="BN523" i="2"/>
  <c r="BP523" i="2"/>
  <c r="Y530" i="2"/>
  <c r="BP529" i="2"/>
  <c r="BN23" i="2"/>
  <c r="BP23" i="2"/>
  <c r="Y24" i="2"/>
  <c r="BN28" i="2"/>
  <c r="BP28" i="2"/>
  <c r="BP29" i="2"/>
  <c r="BN59" i="2"/>
  <c r="BP59" i="2"/>
  <c r="BP60" i="2"/>
  <c r="BP67" i="2"/>
  <c r="BN68" i="2"/>
  <c r="Y81" i="2"/>
  <c r="BN103" i="2"/>
  <c r="BP103" i="2"/>
  <c r="BN105" i="2"/>
  <c r="BN123" i="2"/>
  <c r="BP123" i="2"/>
  <c r="BP127" i="2"/>
  <c r="BP137" i="2"/>
  <c r="BP149" i="2"/>
  <c r="BP163" i="2"/>
  <c r="BN215" i="2"/>
  <c r="BN226" i="2"/>
  <c r="BN228" i="2"/>
  <c r="BN236" i="2"/>
  <c r="BN241" i="2"/>
  <c r="BN246" i="2"/>
  <c r="BN256" i="2"/>
  <c r="BN262" i="2"/>
  <c r="BN279" i="2"/>
  <c r="BN281" i="2"/>
  <c r="BN286" i="2"/>
  <c r="Y295" i="2"/>
  <c r="BN325" i="2"/>
  <c r="BP333" i="2"/>
  <c r="BN333" i="2"/>
  <c r="Z333" i="2"/>
  <c r="BP362" i="2"/>
  <c r="BN362" i="2"/>
  <c r="Z362" i="2"/>
  <c r="BP374" i="2"/>
  <c r="BN374" i="2"/>
  <c r="Z374" i="2"/>
  <c r="BP393" i="2"/>
  <c r="BN393" i="2"/>
  <c r="Z393" i="2"/>
  <c r="BP394" i="2"/>
  <c r="BN394" i="2"/>
  <c r="Z394" i="2"/>
  <c r="BP400" i="2"/>
  <c r="BN400" i="2"/>
  <c r="Z400" i="2"/>
  <c r="BP418" i="2"/>
  <c r="BN418" i="2"/>
  <c r="Z418" i="2"/>
  <c r="Y461" i="2"/>
  <c r="Y462" i="2"/>
  <c r="BP465" i="2"/>
  <c r="BN465" i="2"/>
  <c r="Z465" i="2"/>
  <c r="BP475" i="2"/>
  <c r="BN475" i="2"/>
  <c r="Z475" i="2"/>
  <c r="BP477" i="2"/>
  <c r="BN477" i="2"/>
  <c r="Z477" i="2"/>
  <c r="BN503" i="2"/>
  <c r="BP503" i="2"/>
  <c r="Y509" i="2"/>
  <c r="BN505" i="2"/>
  <c r="BN513" i="2"/>
  <c r="BP513" i="2"/>
  <c r="BN517" i="2"/>
  <c r="BP517" i="2"/>
  <c r="BN522" i="2"/>
  <c r="Z522" i="2"/>
  <c r="Y535" i="2"/>
  <c r="BN533" i="2"/>
  <c r="Z533" i="2"/>
  <c r="Z534" i="2" s="1"/>
  <c r="BN537" i="2"/>
  <c r="BP537" i="2"/>
  <c r="Y538" i="2"/>
  <c r="Y539" i="2"/>
  <c r="Y542" i="2"/>
  <c r="Y543" i="2"/>
  <c r="BP326" i="2"/>
  <c r="BN331" i="2"/>
  <c r="BN340" i="2"/>
  <c r="Y366" i="2"/>
  <c r="Y383" i="2"/>
  <c r="Y389" i="2"/>
  <c r="BN399" i="2"/>
  <c r="Y402" i="2"/>
  <c r="Y403" i="2"/>
  <c r="W564" i="2"/>
  <c r="BN445" i="2"/>
  <c r="X564" i="2"/>
  <c r="BN476" i="2"/>
  <c r="BN546" i="2"/>
  <c r="F10" i="2"/>
  <c r="BP56" i="2"/>
  <c r="BN56" i="2"/>
  <c r="BN50" i="2"/>
  <c r="BN206" i="2"/>
  <c r="BP301" i="2"/>
  <c r="BN301" i="2"/>
  <c r="BN321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Z408" i="2" s="1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Z24" i="2" s="1"/>
  <c r="Y82" i="2"/>
  <c r="BP78" i="2"/>
  <c r="BN87" i="2"/>
  <c r="Z87" i="2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Z547" i="2" s="1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434" i="2" l="1"/>
  <c r="Z334" i="2"/>
  <c r="Z457" i="2"/>
  <c r="Z207" i="2"/>
  <c r="Z514" i="2"/>
  <c r="Z396" i="2"/>
  <c r="Z117" i="2"/>
  <c r="X557" i="2"/>
  <c r="Z81" i="2"/>
  <c r="Z451" i="2"/>
  <c r="Z467" i="2"/>
  <c r="Z42" i="2"/>
  <c r="Z124" i="2"/>
  <c r="Z154" i="2"/>
  <c r="Y554" i="2"/>
  <c r="Z139" i="2"/>
  <c r="Z348" i="2"/>
  <c r="Z294" i="2"/>
  <c r="Z230" i="2"/>
  <c r="Y556" i="2"/>
  <c r="Z51" i="2"/>
  <c r="Y555" i="2"/>
  <c r="Z75" i="2"/>
  <c r="Z494" i="2"/>
  <c r="Z109" i="2"/>
  <c r="Z274" i="2"/>
  <c r="Z242" i="2"/>
  <c r="Z90" i="2"/>
  <c r="Z327" i="2"/>
  <c r="Z62" i="2"/>
  <c r="Z32" i="2"/>
  <c r="Z165" i="2"/>
  <c r="Z69" i="2"/>
  <c r="Y558" i="2"/>
  <c r="Z483" i="2"/>
  <c r="Y557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<sst xmlns="http://schemas.openxmlformats.org/spreadsheetml/2006/main" count="4265" uniqueCount="899">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</sst>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/>
      <c r="I5" s="1009"/>
      <c r="J5" s="1009"/>
      <c r="K5" s="1009"/>
      <c r="L5" s="1009"/>
      <c r="M5" s="1009"/>
      <c r="N5" s="72"/>
      <c r="P5" s="27" t="s">
        <v>4</v>
      </c>
      <c r="Q5" s="1011">
        <v>46289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882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Четверг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3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0.41666666666666669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96</v>
      </c>
      <c r="Y49" s="55">
        <f>IFERROR(IF(X49="",0,CEILING((X49/$H49),1)*$H49),"")</f>
        <v>96</v>
      </c>
      <c r="Z49" s="41">
        <f>IFERROR(IF(Y49=0,"",ROUNDUP(Y49/H49,0)*0.00902),"")</f>
        <v>0.21648000000000001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100.56</v>
      </c>
      <c r="BN49" s="78">
        <f>IFERROR(Y49*I49/H49,"0")</f>
        <v>100.56</v>
      </c>
      <c r="BO49" s="78">
        <f>IFERROR(1/J49*(X49/H49),"0")</f>
        <v>0.18181818181818182</v>
      </c>
      <c r="BP49" s="78">
        <f>IFERROR(1/J49*(Y49/H49),"0")</f>
        <v>0.18181818181818182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24</v>
      </c>
      <c r="Y51" s="43">
        <f>IFERROR(Y47/H47,"0")+IFERROR(Y48/H48,"0")+IFERROR(Y49/H49,"0")+IFERROR(Y50/H50,"0")</f>
        <v>24</v>
      </c>
      <c r="Z51" s="43">
        <f>IFERROR(IF(Z47="",0,Z47),"0")+IFERROR(IF(Z48="",0,Z48),"0")+IFERROR(IF(Z49="",0,Z49),"0")+IFERROR(IF(Z50="",0,Z50),"0")</f>
        <v>0.21648000000000001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96</v>
      </c>
      <c r="Y52" s="43">
        <f>IFERROR(SUM(Y47:Y50),"0")</f>
        <v>96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40.5</v>
      </c>
      <c r="Y68" s="55">
        <f>IFERROR(IF(X68="",0,CEILING((X68/$H68),1)*$H68),"")</f>
        <v>40.5</v>
      </c>
      <c r="Z68" s="41">
        <f>IFERROR(IF(Y68=0,"",ROUNDUP(Y68/H68,0)*0.00651),"")</f>
        <v>9.7650000000000001E-2</v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43.199999999999996</v>
      </c>
      <c r="BN68" s="78">
        <f>IFERROR(Y68*I68/H68,"0")</f>
        <v>43.199999999999996</v>
      </c>
      <c r="BO68" s="78">
        <f>IFERROR(1/J68*(X68/H68),"0")</f>
        <v>8.2417582417582416E-2</v>
      </c>
      <c r="BP68" s="78">
        <f>IFERROR(1/J68*(Y68/H68),"0")</f>
        <v>8.2417582417582416E-2</v>
      </c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14.999999999999998</v>
      </c>
      <c r="Y69" s="43">
        <f>IFERROR(Y65/H65,"0")+IFERROR(Y66/H66,"0")+IFERROR(Y67/H67,"0")+IFERROR(Y68/H68,"0")</f>
        <v>14.999999999999998</v>
      </c>
      <c r="Z69" s="43">
        <f>IFERROR(IF(Z65="",0,Z65),"0")+IFERROR(IF(Z66="",0,Z66),"0")+IFERROR(IF(Z67="",0,Z67),"0")+IFERROR(IF(Z68="",0,Z68),"0")</f>
        <v>9.7650000000000001E-2</v>
      </c>
      <c r="AA69" s="67"/>
      <c r="AB69" s="67"/>
      <c r="AC69" s="67"/>
    </row>
    <row r="70" spans="1:68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40.5</v>
      </c>
      <c r="Y70" s="43">
        <f>IFERROR(SUM(Y65:Y68),"0")</f>
        <v>40.5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135</v>
      </c>
      <c r="Y95" s="55">
        <f>IFERROR(IF(X95="",0,CEILING((X95/$H95),1)*$H95),"")</f>
        <v>135</v>
      </c>
      <c r="Z95" s="41">
        <f>IFERROR(IF(Y95=0,"",ROUNDUP(Y95/H95,0)*0.00651),"")</f>
        <v>0.32550000000000001</v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147.6</v>
      </c>
      <c r="BN95" s="78">
        <f>IFERROR(Y95*I95/H95,"0")</f>
        <v>147.6</v>
      </c>
      <c r="BO95" s="78">
        <f>IFERROR(1/J95*(X95/H95),"0")</f>
        <v>0.27472527472527475</v>
      </c>
      <c r="BP95" s="78">
        <f>IFERROR(1/J95*(Y95/H95),"0")</f>
        <v>0.27472527472527475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50</v>
      </c>
      <c r="Y97" s="43">
        <f>IFERROR(Y93/H93,"0")+IFERROR(Y94/H94,"0")+IFERROR(Y95/H95,"0")+IFERROR(Y96/H96,"0")</f>
        <v>50</v>
      </c>
      <c r="Z97" s="43">
        <f>IFERROR(IF(Z93="",0,Z93),"0")+IFERROR(IF(Z94="",0,Z94),"0")+IFERROR(IF(Z95="",0,Z95),"0")+IFERROR(IF(Z96="",0,Z96),"0")</f>
        <v>0.32550000000000001</v>
      </c>
      <c r="AA97" s="67"/>
      <c r="AB97" s="67"/>
      <c r="AC97" s="67"/>
    </row>
    <row r="98" spans="1:68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135</v>
      </c>
      <c r="Y98" s="43">
        <f>IFERROR(SUM(Y93:Y96),"0")</f>
        <v>135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36</v>
      </c>
      <c r="Y123" s="55">
        <f>IFERROR(IF(X123="",0,CEILING((X123/$H123),1)*$H123),"")</f>
        <v>36</v>
      </c>
      <c r="Z123" s="41">
        <f>IFERROR(IF(Y123=0,"",ROUNDUP(Y123/H123,0)*0.00651),"")</f>
        <v>0.13020000000000001</v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39.6</v>
      </c>
      <c r="BN123" s="78">
        <f>IFERROR(Y123*I123/H123,"0")</f>
        <v>39.6</v>
      </c>
      <c r="BO123" s="78">
        <f>IFERROR(1/J123*(X123/H123),"0")</f>
        <v>0.1098901098901099</v>
      </c>
      <c r="BP123" s="78">
        <f>IFERROR(1/J123*(Y123/H123),"0")</f>
        <v>0.1098901098901099</v>
      </c>
    </row>
    <row r="124" spans="1:68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20</v>
      </c>
      <c r="Y124" s="43">
        <f>IFERROR(Y120/H120,"0")+IFERROR(Y121/H121,"0")+IFERROR(Y122/H122,"0")+IFERROR(Y123/H123,"0")</f>
        <v>20</v>
      </c>
      <c r="Z124" s="43">
        <f>IFERROR(IF(Z120="",0,Z120),"0")+IFERROR(IF(Z121="",0,Z121),"0")+IFERROR(IF(Z122="",0,Z122),"0")+IFERROR(IF(Z123="",0,Z123),"0")</f>
        <v>0.13020000000000001</v>
      </c>
      <c r="AA124" s="67"/>
      <c r="AB124" s="67"/>
      <c r="AC124" s="67"/>
    </row>
    <row r="125" spans="1:68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36</v>
      </c>
      <c r="Y125" s="43">
        <f>IFERROR(SUM(Y120:Y123),"0")</f>
        <v>36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2.4</v>
      </c>
      <c r="Y218" s="55">
        <f t="shared" si="27"/>
        <v>2.4000000000000004</v>
      </c>
      <c r="Z218" s="41">
        <f>IFERROR(IF(Y218=0,"",ROUNDUP(Y218/H218,0)*0.00556),"")</f>
        <v>1.668E-2</v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2.79</v>
      </c>
      <c r="BN218" s="78">
        <f t="shared" si="29"/>
        <v>2.7900000000000005</v>
      </c>
      <c r="BO218" s="78">
        <f t="shared" si="30"/>
        <v>1.1904761904761902E-2</v>
      </c>
      <c r="BP218" s="78">
        <f t="shared" si="31"/>
        <v>1.1904761904761906E-2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7.2</v>
      </c>
      <c r="Y225" s="55">
        <f t="shared" si="27"/>
        <v>7.2</v>
      </c>
      <c r="Z225" s="41">
        <f>IFERROR(IF(Y225=0,"",ROUNDUP(Y225/H225,0)*0.00417),"")</f>
        <v>3.7530000000000001E-2</v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9.09</v>
      </c>
      <c r="BN225" s="78">
        <f t="shared" si="29"/>
        <v>9.09</v>
      </c>
      <c r="BO225" s="78">
        <f t="shared" si="30"/>
        <v>2.6785714285714284E-2</v>
      </c>
      <c r="BP225" s="78">
        <f t="shared" si="31"/>
        <v>2.6785714285714284E-2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12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12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5.4210000000000001E-2</v>
      </c>
      <c r="AA230" s="67"/>
      <c r="AB230" s="67"/>
      <c r="AC230" s="67"/>
    </row>
    <row r="231" spans="1:68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9.6</v>
      </c>
      <c r="Y231" s="43">
        <f>IFERROR(SUM(Y215:Y229),"0")</f>
        <v>9.6000000000000014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48</v>
      </c>
      <c r="Y283" s="55">
        <f t="shared" si="43"/>
        <v>48</v>
      </c>
      <c r="Z283" s="41">
        <f>IFERROR(IF(Y283=0,"",ROUNDUP(Y283/H283,0)*0.00651),"")</f>
        <v>0.13020000000000001</v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53.040000000000006</v>
      </c>
      <c r="BN283" s="78">
        <f t="shared" si="45"/>
        <v>53.040000000000006</v>
      </c>
      <c r="BO283" s="78">
        <f t="shared" si="46"/>
        <v>0.1098901098901099</v>
      </c>
      <c r="BP283" s="78">
        <f t="shared" si="47"/>
        <v>0.1098901098901099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120</v>
      </c>
      <c r="Y285" s="55">
        <f t="shared" si="43"/>
        <v>120</v>
      </c>
      <c r="Z285" s="41">
        <f>IFERROR(IF(Y285=0,"",ROUNDUP(Y285/H285,0)*0.00651),"")</f>
        <v>0.32550000000000001</v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132.60000000000002</v>
      </c>
      <c r="BN285" s="78">
        <f t="shared" si="45"/>
        <v>132.60000000000002</v>
      </c>
      <c r="BO285" s="78">
        <f t="shared" si="46"/>
        <v>0.27472527472527475</v>
      </c>
      <c r="BP285" s="78">
        <f t="shared" si="47"/>
        <v>0.27472527472527475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70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70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0.45569999999999999</v>
      </c>
      <c r="AA289" s="67"/>
      <c r="AB289" s="67"/>
      <c r="AC289" s="67"/>
    </row>
    <row r="290" spans="1:68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168</v>
      </c>
      <c r="Y290" s="43">
        <f>IFERROR(SUM(Y277:Y288),"0")</f>
        <v>168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48</v>
      </c>
      <c r="Y301" s="55">
        <f t="shared" si="48"/>
        <v>48</v>
      </c>
      <c r="Z301" s="41">
        <f>IFERROR(IF(Y301=0,"",ROUNDUP(Y301/H301,0)*0.00902),"")</f>
        <v>0.10824</v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50.28</v>
      </c>
      <c r="BN301" s="78">
        <f t="shared" si="50"/>
        <v>50.28</v>
      </c>
      <c r="BO301" s="78">
        <f t="shared" si="51"/>
        <v>9.0909090909090912E-2</v>
      </c>
      <c r="BP301" s="78">
        <f t="shared" si="52"/>
        <v>9.0909090909090912E-2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24</v>
      </c>
      <c r="Y304" s="55">
        <f t="shared" si="48"/>
        <v>24</v>
      </c>
      <c r="Z304" s="41">
        <f>IFERROR(IF(Y304=0,"",ROUNDUP(Y304/H304,0)*0.00902),"")</f>
        <v>5.4120000000000001E-2</v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25.14</v>
      </c>
      <c r="BN304" s="78">
        <f t="shared" si="50"/>
        <v>25.14</v>
      </c>
      <c r="BO304" s="78">
        <f t="shared" si="51"/>
        <v>4.5454545454545456E-2</v>
      </c>
      <c r="BP304" s="78">
        <f t="shared" si="52"/>
        <v>4.5454545454545456E-2</v>
      </c>
    </row>
    <row r="305" spans="1:68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18</v>
      </c>
      <c r="Y305" s="43">
        <f>IFERROR(Y298/H298,"0")+IFERROR(Y299/H299,"0")+IFERROR(Y300/H300,"0")+IFERROR(Y301/H301,"0")+IFERROR(Y302/H302,"0")+IFERROR(Y303/H303,"0")+IFERROR(Y304/H304,"0")</f>
        <v>18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0.16236</v>
      </c>
      <c r="AA305" s="67"/>
      <c r="AB305" s="67"/>
      <c r="AC305" s="67"/>
    </row>
    <row r="306" spans="1:68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72</v>
      </c>
      <c r="Y306" s="43">
        <f>IFERROR(SUM(Y298:Y304),"0")</f>
        <v>72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27</v>
      </c>
      <c r="Y375" s="55">
        <f t="shared" si="63"/>
        <v>27</v>
      </c>
      <c r="Z375" s="41">
        <f>IFERROR(IF(Y375=0,"",ROUNDUP(Y375/H375,0)*0.00651),"")</f>
        <v>9.7650000000000001E-2</v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30.419999999999998</v>
      </c>
      <c r="BN375" s="78">
        <f t="shared" si="65"/>
        <v>30.419999999999998</v>
      </c>
      <c r="BO375" s="78">
        <f t="shared" si="66"/>
        <v>8.241758241758243E-2</v>
      </c>
      <c r="BP375" s="78">
        <f t="shared" si="67"/>
        <v>8.241758241758243E-2</v>
      </c>
    </row>
    <row r="376" spans="1:68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15</v>
      </c>
      <c r="Y376" s="43">
        <f>IFERROR(Y369/H369,"0")+IFERROR(Y370/H370,"0")+IFERROR(Y371/H371,"0")+IFERROR(Y372/H372,"0")+IFERROR(Y373/H373,"0")+IFERROR(Y374/H374,"0")+IFERROR(Y375/H375,"0")</f>
        <v>15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9.7650000000000001E-2</v>
      </c>
      <c r="AA376" s="67"/>
      <c r="AB376" s="67"/>
      <c r="AC376" s="67"/>
    </row>
    <row r="377" spans="1:68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27</v>
      </c>
      <c r="Y377" s="43">
        <f>IFERROR(SUM(Y369:Y375),"0")</f>
        <v>27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10.199999999999999</v>
      </c>
      <c r="Y394" s="55">
        <f>IFERROR(IF(X394="",0,CEILING((X394/$H394),1)*$H394),"")</f>
        <v>10.199999999999999</v>
      </c>
      <c r="Z394" s="41">
        <f>IFERROR(IF(Y394=0,"",ROUNDUP(Y394/H394,0)*0.00651),"")</f>
        <v>2.6040000000000001E-2</v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11.82</v>
      </c>
      <c r="BN394" s="78">
        <f>IFERROR(Y394*I394/H394,"0")</f>
        <v>11.82</v>
      </c>
      <c r="BO394" s="78">
        <f>IFERROR(1/J394*(X394/H394),"0")</f>
        <v>2.197802197802198E-2</v>
      </c>
      <c r="BP394" s="78">
        <f>IFERROR(1/J394*(Y394/H394),"0")</f>
        <v>2.197802197802198E-2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4</v>
      </c>
      <c r="Y396" s="43">
        <f>IFERROR(Y392/H392,"0")+IFERROR(Y393/H393,"0")+IFERROR(Y394/H394,"0")+IFERROR(Y395/H395,"0")</f>
        <v>4</v>
      </c>
      <c r="Z396" s="43">
        <f>IFERROR(IF(Z392="",0,Z392),"0")+IFERROR(IF(Z393="",0,Z393),"0")+IFERROR(IF(Z394="",0,Z394),"0")+IFERROR(IF(Z395="",0,Z395),"0")</f>
        <v>2.6040000000000001E-2</v>
      </c>
      <c r="AA396" s="67"/>
      <c r="AB396" s="67"/>
      <c r="AC396" s="67"/>
    </row>
    <row r="397" spans="1:68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10.199999999999999</v>
      </c>
      <c r="Y397" s="43">
        <f>IFERROR(SUM(Y392:Y395),"0")</f>
        <v>10.199999999999999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36</v>
      </c>
      <c r="Y401" s="55">
        <f>IFERROR(IF(X401="",0,CEILING((X401/$H401),1)*$H401),"")</f>
        <v>36</v>
      </c>
      <c r="Z401" s="41">
        <f>IFERROR(IF(Y401=0,"",ROUNDUP(Y401/H401,0)*0.00474),"")</f>
        <v>8.5320000000000007E-2</v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40.320000000000007</v>
      </c>
      <c r="BN401" s="78">
        <f>IFERROR(Y401*I401/H401,"0")</f>
        <v>40.320000000000007</v>
      </c>
      <c r="BO401" s="78">
        <f>IFERROR(1/J401*(X401/H401),"0")</f>
        <v>7.5630252100840331E-2</v>
      </c>
      <c r="BP401" s="78">
        <f>IFERROR(1/J401*(Y401/H401),"0")</f>
        <v>7.5630252100840331E-2</v>
      </c>
    </row>
    <row r="402" spans="1:68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18</v>
      </c>
      <c r="Y402" s="43">
        <f>IFERROR(Y399/H399,"0")+IFERROR(Y400/H400,"0")+IFERROR(Y401/H401,"0")</f>
        <v>18</v>
      </c>
      <c r="Z402" s="43">
        <f>IFERROR(IF(Z399="",0,Z399),"0")+IFERROR(IF(Z400="",0,Z400),"0")+IFERROR(IF(Z401="",0,Z401),"0")</f>
        <v>8.5320000000000007E-2</v>
      </c>
      <c r="AA402" s="67"/>
      <c r="AB402" s="67"/>
      <c r="AC402" s="67"/>
    </row>
    <row r="403" spans="1:68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36</v>
      </c>
      <c r="Y403" s="43">
        <f>IFERROR(SUM(Y399:Y401),"0")</f>
        <v>36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45</v>
      </c>
      <c r="Y433" s="55">
        <f t="shared" si="68"/>
        <v>45</v>
      </c>
      <c r="Z433" s="41">
        <f>IFERROR(IF(Y433=0,"",ROUNDUP(Y433/H433,0)*0.00902),"")</f>
        <v>8.1180000000000002E-2</v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46.71</v>
      </c>
      <c r="BN433" s="78">
        <f t="shared" si="70"/>
        <v>46.71</v>
      </c>
      <c r="BO433" s="78">
        <f t="shared" si="71"/>
        <v>6.8181818181818177E-2</v>
      </c>
      <c r="BP433" s="78">
        <f t="shared" si="72"/>
        <v>6.8181818181818177E-2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9</v>
      </c>
      <c r="Y434" s="43">
        <f>IFERROR(Y426/H426,"0")+IFERROR(Y427/H427,"0")+IFERROR(Y428/H428,"0")+IFERROR(Y429/H429,"0")+IFERROR(Y430/H430,"0")+IFERROR(Y431/H431,"0")+IFERROR(Y432/H432,"0")+IFERROR(Y433/H433,"0")</f>
        <v>9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8.1180000000000002E-2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45</v>
      </c>
      <c r="Y435" s="43">
        <f>IFERROR(SUM(Y426:Y433),"0")</f>
        <v>45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132</v>
      </c>
      <c r="Y506" s="55">
        <f t="shared" si="78"/>
        <v>134.4</v>
      </c>
      <c r="Z506" s="41">
        <f>IFERROR(IF(Y506=0,"",ROUNDUP(Y506/H506,0)*0.00902),"")</f>
        <v>0.25256000000000001</v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190.02500000000001</v>
      </c>
      <c r="BN506" s="78">
        <f t="shared" si="81"/>
        <v>193.48000000000002</v>
      </c>
      <c r="BO506" s="78">
        <f t="shared" si="82"/>
        <v>0.20833333333333334</v>
      </c>
      <c r="BP506" s="78">
        <f t="shared" si="83"/>
        <v>0.21212121212121215</v>
      </c>
    </row>
    <row r="507" spans="1:68" ht="27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108</v>
      </c>
      <c r="Y507" s="55">
        <f t="shared" si="78"/>
        <v>110.39999999999999</v>
      </c>
      <c r="Z507" s="41">
        <f>IFERROR(IF(Y507=0,"",ROUNDUP(Y507/H507,0)*0.00902),"")</f>
        <v>0.20746000000000001</v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155.47499999999999</v>
      </c>
      <c r="BN507" s="78">
        <f t="shared" si="81"/>
        <v>158.92999999999998</v>
      </c>
      <c r="BO507" s="78">
        <f t="shared" si="82"/>
        <v>0.17045454545454547</v>
      </c>
      <c r="BP507" s="78">
        <f t="shared" si="83"/>
        <v>0.17424242424242425</v>
      </c>
    </row>
    <row r="508" spans="1:68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50</v>
      </c>
      <c r="Y508" s="43">
        <f>IFERROR(Y499/H499,"0")+IFERROR(Y500/H500,"0")+IFERROR(Y501/H501,"0")+IFERROR(Y502/H502,"0")+IFERROR(Y503/H503,"0")+IFERROR(Y504/H504,"0")+IFERROR(Y505/H505,"0")+IFERROR(Y506/H506,"0")+IFERROR(Y507/H507,"0")</f>
        <v>51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0.46001999999999998</v>
      </c>
      <c r="AA508" s="67"/>
      <c r="AB508" s="67"/>
      <c r="AC508" s="67"/>
    </row>
    <row r="509" spans="1:68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240</v>
      </c>
      <c r="Y509" s="43">
        <f>IFERROR(SUM(Y499:Y507),"0")</f>
        <v>244.8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915.30000000000007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920.10000000000014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1078.67</v>
      </c>
      <c r="Y555" s="43">
        <f>IFERROR(SUM(BN22:BN551),"0")</f>
        <v>1085.5800000000002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2</v>
      </c>
      <c r="Y556" s="44">
        <f>ROUNDUP(SUM(BP22:BP551),0)</f>
        <v>2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1128.67</v>
      </c>
      <c r="Y557" s="43">
        <f>GrossWeightTotalR+PalletQtyTotalR*25</f>
        <v>1135.5800000000002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305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306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2.19231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96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40.5</v>
      </c>
      <c r="F564" s="52">
        <f>IFERROR(Y85*1,"0")+IFERROR(Y86*1,"0")+IFERROR(Y87*1,"0")+IFERROR(Y88*1,"0")+IFERROR(Y89*1,"0")+IFERROR(Y93*1,"0")+IFERROR(Y94*1,"0")+IFERROR(Y95*1,"0")+IFERROR(Y96*1,"0")</f>
        <v>135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36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9.6000000000000014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168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72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73.2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45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244.8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8,67"/>
        <filter val="1 128,67"/>
        <filter val="10,20"/>
        <filter val="108,00"/>
        <filter val="12,00"/>
        <filter val="120,00"/>
        <filter val="132,00"/>
        <filter val="135,00"/>
        <filter val="15,00"/>
        <filter val="168,00"/>
        <filter val="18,00"/>
        <filter val="2"/>
        <filter val="2,40"/>
        <filter val="20,00"/>
        <filter val="24,00"/>
        <filter val="240,00"/>
        <filter val="27,00"/>
        <filter val="305,00"/>
        <filter val="36,00"/>
        <filter val="4,00"/>
        <filter val="40,50"/>
        <filter val="45,00"/>
        <filter val="48,00"/>
        <filter val="50,00"/>
        <filter val="7,20"/>
        <filter val="70,00"/>
        <filter val="72,00"/>
        <filter val="9,00"/>
        <filter val="9,60"/>
        <filter val="915,30"/>
        <filter val="96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2026-09-23T07:25:11Z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