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6452415-485E-434A-A0E1-59B085CA02B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N255" i="2" s="1"/>
  <c r="P255" i="2"/>
  <c r="BO254" i="2"/>
  <c r="BM254" i="2"/>
  <c r="Z254" i="2"/>
  <c r="Y254" i="2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4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X202" i="2"/>
  <c r="X201" i="2"/>
  <c r="BO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X187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69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P157" i="2"/>
  <c r="X154" i="2"/>
  <c r="X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P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BN131" i="2" s="1"/>
  <c r="P131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24" i="2" l="1"/>
  <c r="BN29" i="2"/>
  <c r="Y37" i="2"/>
  <c r="BN35" i="2"/>
  <c r="Z49" i="2"/>
  <c r="BN47" i="2"/>
  <c r="Y49" i="2"/>
  <c r="Z57" i="2"/>
  <c r="BN55" i="2"/>
  <c r="BN61" i="2"/>
  <c r="BP61" i="2"/>
  <c r="Y62" i="2"/>
  <c r="Y67" i="2"/>
  <c r="BN66" i="2"/>
  <c r="BN71" i="2"/>
  <c r="Y73" i="2"/>
  <c r="Z79" i="2"/>
  <c r="Y101" i="2"/>
  <c r="BN95" i="2"/>
  <c r="Y106" i="2"/>
  <c r="BN105" i="2"/>
  <c r="BN111" i="2"/>
  <c r="BN204" i="2"/>
  <c r="Y142" i="2"/>
  <c r="BN139" i="2"/>
  <c r="Z147" i="2"/>
  <c r="BN145" i="2"/>
  <c r="BN151" i="2"/>
  <c r="BN152" i="2"/>
  <c r="Y153" i="2"/>
  <c r="Y154" i="2"/>
  <c r="Y160" i="2"/>
  <c r="BN194" i="2"/>
  <c r="Z267" i="2"/>
  <c r="BN264" i="2"/>
  <c r="Z153" i="2"/>
  <c r="Y268" i="2"/>
  <c r="Z280" i="2"/>
  <c r="BN270" i="2"/>
  <c r="BN276" i="2"/>
  <c r="Y30" i="2"/>
  <c r="Z36" i="2"/>
  <c r="Z43" i="2"/>
  <c r="Z67" i="2"/>
  <c r="Z90" i="2"/>
  <c r="BN116" i="2"/>
  <c r="BN118" i="2"/>
  <c r="BN122" i="2"/>
  <c r="Z195" i="2"/>
  <c r="Z257" i="2"/>
  <c r="BN256" i="2"/>
  <c r="X284" i="2"/>
  <c r="BP23" i="2"/>
  <c r="BP28" i="2"/>
  <c r="X286" i="2"/>
  <c r="BP34" i="2"/>
  <c r="BN42" i="2"/>
  <c r="Y43" i="2"/>
  <c r="Y50" i="2"/>
  <c r="BP56" i="2"/>
  <c r="BP65" i="2"/>
  <c r="Y74" i="2"/>
  <c r="BP83" i="2"/>
  <c r="BP88" i="2"/>
  <c r="Z100" i="2"/>
  <c r="BP94" i="2"/>
  <c r="BP97" i="2"/>
  <c r="Z106" i="2"/>
  <c r="Y107" i="2"/>
  <c r="BP117" i="2"/>
  <c r="BP132" i="2"/>
  <c r="Z141" i="2"/>
  <c r="BP140" i="2"/>
  <c r="Y148" i="2"/>
  <c r="BN157" i="2"/>
  <c r="Y159" i="2"/>
  <c r="Y164" i="2"/>
  <c r="BP168" i="2"/>
  <c r="Y170" i="2"/>
  <c r="BN193" i="2"/>
  <c r="BN200" i="2"/>
  <c r="BN211" i="2"/>
  <c r="BP212" i="2"/>
  <c r="BP217" i="2"/>
  <c r="BP255" i="2"/>
  <c r="BP260" i="2"/>
  <c r="Y262" i="2"/>
  <c r="BN265" i="2"/>
  <c r="Y280" i="2"/>
  <c r="BP272" i="2"/>
  <c r="BN275" i="2"/>
  <c r="BP277" i="2"/>
  <c r="BP22" i="2"/>
  <c r="X282" i="2"/>
  <c r="Z73" i="2"/>
  <c r="Y100" i="2"/>
  <c r="Y136" i="2"/>
  <c r="BP185" i="2"/>
  <c r="Y195" i="2"/>
  <c r="BP191" i="2"/>
  <c r="Z30" i="2"/>
  <c r="BN34" i="2"/>
  <c r="BN41" i="2"/>
  <c r="Y44" i="2"/>
  <c r="BN65" i="2"/>
  <c r="Y68" i="2"/>
  <c r="BP89" i="2"/>
  <c r="BN94" i="2"/>
  <c r="Y120" i="2"/>
  <c r="BP110" i="2"/>
  <c r="BN112" i="2"/>
  <c r="BN126" i="2"/>
  <c r="Z135" i="2"/>
  <c r="BN146" i="2"/>
  <c r="Z159" i="2"/>
  <c r="BP157" i="2"/>
  <c r="BN168" i="2"/>
  <c r="Z181" i="2"/>
  <c r="Z207" i="2"/>
  <c r="Y207" i="2"/>
  <c r="Z213" i="2"/>
  <c r="BP244" i="2"/>
  <c r="BP248" i="2"/>
  <c r="Y258" i="2"/>
  <c r="BN260" i="2"/>
  <c r="BN266" i="2"/>
  <c r="BP273" i="2"/>
  <c r="BP278" i="2"/>
  <c r="X283" i="2"/>
  <c r="BP99" i="2"/>
  <c r="Z119" i="2"/>
  <c r="Y128" i="2"/>
  <c r="BP134" i="2"/>
  <c r="BP192" i="2"/>
  <c r="BP228" i="2"/>
  <c r="BP234" i="2"/>
  <c r="Y281" i="2"/>
  <c r="Y186" i="2"/>
  <c r="Y196" i="2"/>
  <c r="Y213" i="2"/>
  <c r="Y229" i="2"/>
  <c r="Y245" i="2"/>
  <c r="BN48" i="2"/>
  <c r="BN72" i="2"/>
  <c r="Y90" i="2"/>
  <c r="BN98" i="2"/>
  <c r="BP122" i="2"/>
  <c r="BN133" i="2"/>
  <c r="BN158" i="2"/>
  <c r="BN173" i="2"/>
  <c r="BN271" i="2"/>
  <c r="Y57" i="2"/>
  <c r="BN78" i="2"/>
  <c r="BN180" i="2"/>
  <c r="BN222" i="2"/>
  <c r="BN238" i="2"/>
  <c r="BN254" i="2"/>
  <c r="Y257" i="2"/>
  <c r="Y84" i="2"/>
  <c r="BN27" i="2"/>
  <c r="BN54" i="2"/>
  <c r="BN115" i="2"/>
  <c r="Y208" i="2"/>
  <c r="BN22" i="2"/>
  <c r="Y36" i="2"/>
  <c r="BP48" i="2"/>
  <c r="BP72" i="2"/>
  <c r="Y85" i="2"/>
  <c r="BN110" i="2"/>
  <c r="Y123" i="2"/>
  <c r="Y147" i="2"/>
  <c r="BP158" i="2"/>
  <c r="BP173" i="2"/>
  <c r="Y187" i="2"/>
  <c r="Y214" i="2"/>
  <c r="Y230" i="2"/>
  <c r="Y246" i="2"/>
  <c r="BP271" i="2"/>
  <c r="BN279" i="2"/>
  <c r="BN104" i="2"/>
  <c r="BN138" i="2"/>
  <c r="Y141" i="2"/>
  <c r="Y165" i="2"/>
  <c r="Y91" i="2"/>
  <c r="BP104" i="2"/>
  <c r="BP138" i="2"/>
  <c r="BP222" i="2"/>
  <c r="BP238" i="2"/>
  <c r="BP254" i="2"/>
  <c r="Y267" i="2"/>
  <c r="BN274" i="2"/>
  <c r="Y31" i="2"/>
  <c r="Y58" i="2"/>
  <c r="Y174" i="2"/>
  <c r="BN25" i="2"/>
  <c r="Y79" i="2"/>
  <c r="BN113" i="2"/>
  <c r="Y181" i="2"/>
  <c r="BN205" i="2"/>
  <c r="Y223" i="2"/>
  <c r="Y239" i="2"/>
  <c r="BP70" i="2"/>
  <c r="BP96" i="2"/>
  <c r="BP131" i="2"/>
  <c r="BP200" i="2"/>
  <c r="BN191" i="2"/>
  <c r="BN217" i="2"/>
  <c r="BN234" i="2"/>
  <c r="BN248" i="2"/>
  <c r="Y80" i="2"/>
  <c r="Y119" i="2"/>
  <c r="Y182" i="2"/>
  <c r="Y201" i="2"/>
  <c r="H9" i="2"/>
  <c r="Y135" i="2"/>
  <c r="Y218" i="2"/>
  <c r="F9" i="2"/>
  <c r="Y235" i="2"/>
  <c r="Y249" i="2"/>
  <c r="J9" i="2"/>
  <c r="BN26" i="2"/>
  <c r="BN53" i="2"/>
  <c r="BN77" i="2"/>
  <c r="BN114" i="2"/>
  <c r="BP126" i="2"/>
  <c r="BN163" i="2"/>
  <c r="BN179" i="2"/>
  <c r="BN206" i="2"/>
  <c r="A10" i="2"/>
  <c r="Z287" i="2" l="1"/>
  <c r="X285" i="2"/>
  <c r="Y286" i="2"/>
  <c r="Y284" i="2"/>
  <c r="Y283" i="2"/>
  <c r="Y282" i="2"/>
  <c r="B295" i="2" l="1"/>
  <c r="Y285" i="2"/>
  <c r="A295" i="2" s="1"/>
  <c r="C295" i="2" l="1"/>
</calcChain>
</file>

<file path=xl/sharedStrings.xml><?xml version="1.0" encoding="utf-8"?>
<sst xmlns="http://schemas.openxmlformats.org/spreadsheetml/2006/main" count="1761" uniqueCount="407">
  <si>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</si>
  <si>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</si>
  <si>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</si>
  <si>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</si>
  <si>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</si>
  <si>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</si>
  <si>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</si>
  <si>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</si>
  <si>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</si>
  <si>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</si>
  <si>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</si>
  <si>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</si>
  <si>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</si>
  <si>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</si>
  <si>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</si>
  <si>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</si>
  <si>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</si>
  <si>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</si>
  <si>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</si>
  <si>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</si>
  <si>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</si>
  <si>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</si>
  <si>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</si>
  <si>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</si>
  <si>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</si>
  <si>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</si>
  <si>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</si>
  <si>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</si>
  <si>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</si>
  <si>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</si>
  <si>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</si>
  <si>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</si>
  <si>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</si>
  <si>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</si>
  <si>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</si>
  <si>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</si>
  <si>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</si>
  <si>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</si>
  <si>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</si>
  <si>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</si>
  <si>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</si>
  <si>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</si>
  <si>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</si>
  <si>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</si>
  <si>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</si>
  <si>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</si>
  <si>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</si>
  <si>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</si>
  <si>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</si>
  <si>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</si>
  <si>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</si>
  <si>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</si>
  <si>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</si>
  <si>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</si>
  <si>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</si>
  <si>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</si>
  <si>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</si>
  <si>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</si>
  <si>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</si>
  <si>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</si>
  <si>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</si>
  <si>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</si>
  <si>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</si>
  <si>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</si>
  <si>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</si>
  <si>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</si>
  <si>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</si>
  <si>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</si>
  <si>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</si>
  <si>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</si>
  <si>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</si>
  <si>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</si>
  <si>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</si>
  <si>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</si>
  <si>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</si>
  <si>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</si>
  <si>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</si>
  <si>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</si>
  <si>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</si>
  <si>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</si>
  <si>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</si>
  <si>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</si>
  <si>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</si>
  <si>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</si>
  <si>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</si>
  <si>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</si>
  <si>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</si>
  <si>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</si>
  <si>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</si>
  <si>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</si>
  <si>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</si>
  <si>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</si>
  <si>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</si>
  <si>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</si>
  <si>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</si>
  <si>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</si>
  <si>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</si>
  <si>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</si>
  <si>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</si>
  <si>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</si>
  <si>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</si>
  <si>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</si>
  <si>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</si>
  <si>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</si>
  <si>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</si>
  <si>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</si>
  <si>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</si>
  <si>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</si>
  <si>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</si>
  <si>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</si>
  <si>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</si>
  <si>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</si>
  <si>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</si>
  <si>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</si>
  <si>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</si>
  <si>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</si>
  <si>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</si>
  <si>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</si>
  <si>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</si>
  <si>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</si>
  <si>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</si>
  <si>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</si>
  <si>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</si>
  <si>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</si>
  <si>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</si>
  <si>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</si>
  <si>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</si>
  <si>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</si>
  <si>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</si>
  <si>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</si>
  <si>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</si>
  <si>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</si>
  <si>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</si>
  <si>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</si>
  <si>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</si>
  <si>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</si>
  <si>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</si>
  <si>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</si>
  <si>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</si>
  <si>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</si>
  <si>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</si>
  <si>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</si>
  <si>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</si>
  <si>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</si>
  <si>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</si>
  <si>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</si>
  <si>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</si>
  <si>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</si>
  <si>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</si>
  <si>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</si>
  <si>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</si>
  <si>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</si>
  <si>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</si>
  <si>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</si>
  <si>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</si>
  <si>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</si>
  <si>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</si>
  <si>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</si>
  <si>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</si>
  <si>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</si>
  <si>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</si>
  <si>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</si>
  <si>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</si>
  <si>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</si>
  <si>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</si>
  <si>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</si>
  <si>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</si>
  <si>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</si>
  <si>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</si>
  <si>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</si>
  <si>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</si>
  <si>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</si>
  <si>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</si>
  <si>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</si>
  <si>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</si>
  <si>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</si>
  <si>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</si>
  <si>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</si>
  <si>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</si>
  <si>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</si>
  <si>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</si>
  <si>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</si>
  <si>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</si>
  <si>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SU004257</t>
  </si>
  <si>
    <t>P005598</t>
  </si>
  <si>
    <t>ЕАЭС N RU Д-RU.РА03.В.73991/26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</si>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</sst>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5"/>
  <sheetViews>
    <sheetView showGridLines="0" tabSelected="1" topLeftCell="A163" zoomScaleNormal="100" zoomScaleSheetLayoutView="100" workbookViewId="0">
      <selection activeCell="AA288" sqref="AA28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8" t="s">
        <v>26</v>
      </c>
      <c r="E1" s="468"/>
      <c r="F1" s="468"/>
      <c r="G1" s="14" t="s">
        <v>70</v>
      </c>
      <c r="H1" s="468" t="s">
        <v>47</v>
      </c>
      <c r="I1" s="468"/>
      <c r="J1" s="468"/>
      <c r="K1" s="468"/>
      <c r="L1" s="468"/>
      <c r="M1" s="468"/>
      <c r="N1" s="468"/>
      <c r="O1" s="468"/>
      <c r="P1" s="468"/>
      <c r="Q1" s="468"/>
      <c r="R1" s="469" t="s">
        <v>71</v>
      </c>
      <c r="S1" s="470"/>
      <c r="T1" s="47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7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71"/>
      <c r="R2" s="471"/>
      <c r="S2" s="471"/>
      <c r="T2" s="471"/>
      <c r="U2" s="471"/>
      <c r="V2" s="471"/>
      <c r="W2" s="47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71"/>
      <c r="Q3" s="471"/>
      <c r="R3" s="471"/>
      <c r="S3" s="471"/>
      <c r="T3" s="471"/>
      <c r="U3" s="471"/>
      <c r="V3" s="471"/>
      <c r="W3" s="47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50" t="s">
        <v>8</v>
      </c>
      <c r="B5" s="450"/>
      <c r="C5" s="450"/>
      <c r="D5" s="472"/>
      <c r="E5" s="472"/>
      <c r="F5" s="473" t="s">
        <v>14</v>
      </c>
      <c r="G5" s="473"/>
      <c r="H5" s="472"/>
      <c r="I5" s="472"/>
      <c r="J5" s="472"/>
      <c r="K5" s="472"/>
      <c r="L5" s="472"/>
      <c r="M5" s="472"/>
      <c r="N5" s="75"/>
      <c r="P5" s="27" t="s">
        <v>4</v>
      </c>
      <c r="Q5" s="474">
        <v>46272</v>
      </c>
      <c r="R5" s="474"/>
      <c r="T5" s="475" t="s">
        <v>3</v>
      </c>
      <c r="U5" s="476"/>
      <c r="V5" s="477" t="s">
        <v>393</v>
      </c>
      <c r="W5" s="478"/>
      <c r="AB5" s="59"/>
      <c r="AC5" s="59"/>
      <c r="AD5" s="59"/>
      <c r="AE5" s="59"/>
    </row>
    <row r="6" spans="1:32" s="17" customFormat="1" ht="24" customHeight="1" x14ac:dyDescent="0.2">
      <c r="A6" s="450" t="s">
        <v>1</v>
      </c>
      <c r="B6" s="450"/>
      <c r="C6" s="450"/>
      <c r="D6" s="451" t="s">
        <v>79</v>
      </c>
      <c r="E6" s="451"/>
      <c r="F6" s="451"/>
      <c r="G6" s="451"/>
      <c r="H6" s="451"/>
      <c r="I6" s="451"/>
      <c r="J6" s="451"/>
      <c r="K6" s="451"/>
      <c r="L6" s="451"/>
      <c r="M6" s="451"/>
      <c r="N6" s="76"/>
      <c r="P6" s="27" t="s">
        <v>27</v>
      </c>
      <c r="Q6" s="452" t="str">
        <f>IF(Q5=0," ",CHOOSE(WEEKDAY(Q5,2),"Понедельник","Вторник","Среда","Четверг","Пятница","Суббота","Воскресенье"))</f>
        <v>Понедельник</v>
      </c>
      <c r="R6" s="452"/>
      <c r="T6" s="453" t="s">
        <v>5</v>
      </c>
      <c r="U6" s="454"/>
      <c r="V6" s="455" t="s">
        <v>73</v>
      </c>
      <c r="W6" s="45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61" t="str">
        <f>IFERROR(VLOOKUP(DeliveryAddress,Table,3,0),1)</f>
        <v>1</v>
      </c>
      <c r="E7" s="462"/>
      <c r="F7" s="462"/>
      <c r="G7" s="462"/>
      <c r="H7" s="462"/>
      <c r="I7" s="462"/>
      <c r="J7" s="462"/>
      <c r="K7" s="462"/>
      <c r="L7" s="462"/>
      <c r="M7" s="463"/>
      <c r="N7" s="77"/>
      <c r="P7" s="29"/>
      <c r="Q7" s="48"/>
      <c r="R7" s="48"/>
      <c r="T7" s="453"/>
      <c r="U7" s="454"/>
      <c r="V7" s="457"/>
      <c r="W7" s="458"/>
      <c r="AB7" s="59"/>
      <c r="AC7" s="59"/>
      <c r="AD7" s="59"/>
      <c r="AE7" s="59"/>
    </row>
    <row r="8" spans="1:32" s="17" customFormat="1" ht="25.5" customHeight="1" x14ac:dyDescent="0.2">
      <c r="A8" s="464" t="s">
        <v>58</v>
      </c>
      <c r="B8" s="464"/>
      <c r="C8" s="464"/>
      <c r="D8" s="465" t="s">
        <v>80</v>
      </c>
      <c r="E8" s="465"/>
      <c r="F8" s="465"/>
      <c r="G8" s="465"/>
      <c r="H8" s="465"/>
      <c r="I8" s="465"/>
      <c r="J8" s="465"/>
      <c r="K8" s="465"/>
      <c r="L8" s="465"/>
      <c r="M8" s="465"/>
      <c r="N8" s="78"/>
      <c r="P8" s="27" t="s">
        <v>11</v>
      </c>
      <c r="Q8" s="448">
        <v>0.41666666666666669</v>
      </c>
      <c r="R8" s="448"/>
      <c r="T8" s="453"/>
      <c r="U8" s="454"/>
      <c r="V8" s="457"/>
      <c r="W8" s="458"/>
      <c r="AB8" s="59"/>
      <c r="AC8" s="59"/>
      <c r="AD8" s="59"/>
      <c r="AE8" s="59"/>
    </row>
    <row r="9" spans="1:32" s="17" customFormat="1" ht="39.950000000000003" customHeight="1" x14ac:dyDescent="0.2">
      <c r="A9" s="4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40"/>
      <c r="C9" s="440"/>
      <c r="D9" s="441" t="s">
        <v>46</v>
      </c>
      <c r="E9" s="442"/>
      <c r="F9" s="4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40"/>
      <c r="H9" s="466" t="str">
        <f>IF(AND($A$9="Тип доверенности/получателя при получении в адресе перегруза:",$D$9="Разовая доверенность"),"Введите ФИО","")</f>
        <v/>
      </c>
      <c r="I9" s="466"/>
      <c r="J9" s="4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6"/>
      <c r="L9" s="466"/>
      <c r="M9" s="466"/>
      <c r="N9" s="73"/>
      <c r="P9" s="31" t="s">
        <v>15</v>
      </c>
      <c r="Q9" s="467"/>
      <c r="R9" s="467"/>
      <c r="T9" s="453"/>
      <c r="U9" s="454"/>
      <c r="V9" s="459"/>
      <c r="W9" s="46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40"/>
      <c r="C10" s="440"/>
      <c r="D10" s="441"/>
      <c r="E10" s="442"/>
      <c r="F10" s="4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40"/>
      <c r="H10" s="443" t="str">
        <f>IFERROR(VLOOKUP($D$10,Proxy,2,FALSE),"")</f>
        <v/>
      </c>
      <c r="I10" s="443"/>
      <c r="J10" s="443"/>
      <c r="K10" s="443"/>
      <c r="L10" s="443"/>
      <c r="M10" s="443"/>
      <c r="N10" s="74"/>
      <c r="P10" s="31" t="s">
        <v>32</v>
      </c>
      <c r="Q10" s="444"/>
      <c r="R10" s="444"/>
      <c r="U10" s="29" t="s">
        <v>12</v>
      </c>
      <c r="V10" s="445" t="s">
        <v>74</v>
      </c>
      <c r="W10" s="44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7"/>
      <c r="R11" s="447"/>
      <c r="U11" s="29" t="s">
        <v>28</v>
      </c>
      <c r="V11" s="426" t="s">
        <v>55</v>
      </c>
      <c r="W11" s="42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25" t="s">
        <v>75</v>
      </c>
      <c r="B12" s="425"/>
      <c r="C12" s="425"/>
      <c r="D12" s="425"/>
      <c r="E12" s="425"/>
      <c r="F12" s="425"/>
      <c r="G12" s="425"/>
      <c r="H12" s="425"/>
      <c r="I12" s="425"/>
      <c r="J12" s="425"/>
      <c r="K12" s="425"/>
      <c r="L12" s="425"/>
      <c r="M12" s="425"/>
      <c r="N12" s="79"/>
      <c r="P12" s="27" t="s">
        <v>30</v>
      </c>
      <c r="Q12" s="448"/>
      <c r="R12" s="448"/>
      <c r="S12" s="28"/>
      <c r="T12"/>
      <c r="U12" s="29" t="s">
        <v>46</v>
      </c>
      <c r="V12" s="449"/>
      <c r="W12" s="449"/>
      <c r="X12"/>
      <c r="AB12" s="59"/>
      <c r="AC12" s="59"/>
      <c r="AD12" s="59"/>
      <c r="AE12" s="59"/>
    </row>
    <row r="13" spans="1:32" s="17" customFormat="1" ht="23.25" customHeight="1" x14ac:dyDescent="0.2">
      <c r="A13" s="425" t="s">
        <v>76</v>
      </c>
      <c r="B13" s="425"/>
      <c r="C13" s="425"/>
      <c r="D13" s="425"/>
      <c r="E13" s="425"/>
      <c r="F13" s="425"/>
      <c r="G13" s="425"/>
      <c r="H13" s="425"/>
      <c r="I13" s="425"/>
      <c r="J13" s="425"/>
      <c r="K13" s="425"/>
      <c r="L13" s="425"/>
      <c r="M13" s="425"/>
      <c r="N13" s="79"/>
      <c r="O13" s="31"/>
      <c r="P13" s="31" t="s">
        <v>31</v>
      </c>
      <c r="Q13" s="426"/>
      <c r="R13" s="42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25" t="s">
        <v>77</v>
      </c>
      <c r="B14" s="425"/>
      <c r="C14" s="425"/>
      <c r="D14" s="425"/>
      <c r="E14" s="425"/>
      <c r="F14" s="425"/>
      <c r="G14" s="425"/>
      <c r="H14" s="425"/>
      <c r="I14" s="425"/>
      <c r="J14" s="425"/>
      <c r="K14" s="425"/>
      <c r="L14" s="425"/>
      <c r="M14" s="425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7" t="s">
        <v>78</v>
      </c>
      <c r="B15" s="427"/>
      <c r="C15" s="427"/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80"/>
      <c r="O15"/>
      <c r="P15" s="428" t="s">
        <v>61</v>
      </c>
      <c r="Q15" s="428"/>
      <c r="R15" s="428"/>
      <c r="S15" s="428"/>
      <c r="T15" s="42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9"/>
      <c r="Q16" s="429"/>
      <c r="R16" s="429"/>
      <c r="S16" s="429"/>
      <c r="T16" s="42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11" t="s">
        <v>59</v>
      </c>
      <c r="B17" s="411" t="s">
        <v>49</v>
      </c>
      <c r="C17" s="432" t="s">
        <v>48</v>
      </c>
      <c r="D17" s="434" t="s">
        <v>50</v>
      </c>
      <c r="E17" s="435"/>
      <c r="F17" s="411" t="s">
        <v>21</v>
      </c>
      <c r="G17" s="411" t="s">
        <v>24</v>
      </c>
      <c r="H17" s="411" t="s">
        <v>22</v>
      </c>
      <c r="I17" s="411" t="s">
        <v>23</v>
      </c>
      <c r="J17" s="411" t="s">
        <v>16</v>
      </c>
      <c r="K17" s="411" t="s">
        <v>69</v>
      </c>
      <c r="L17" s="411" t="s">
        <v>67</v>
      </c>
      <c r="M17" s="411" t="s">
        <v>2</v>
      </c>
      <c r="N17" s="411" t="s">
        <v>66</v>
      </c>
      <c r="O17" s="411" t="s">
        <v>25</v>
      </c>
      <c r="P17" s="434" t="s">
        <v>17</v>
      </c>
      <c r="Q17" s="438"/>
      <c r="R17" s="438"/>
      <c r="S17" s="438"/>
      <c r="T17" s="435"/>
      <c r="U17" s="430" t="s">
        <v>56</v>
      </c>
      <c r="V17" s="431"/>
      <c r="W17" s="411" t="s">
        <v>6</v>
      </c>
      <c r="X17" s="411" t="s">
        <v>41</v>
      </c>
      <c r="Y17" s="413" t="s">
        <v>54</v>
      </c>
      <c r="Z17" s="415" t="s">
        <v>18</v>
      </c>
      <c r="AA17" s="417" t="s">
        <v>60</v>
      </c>
      <c r="AB17" s="417" t="s">
        <v>19</v>
      </c>
      <c r="AC17" s="417" t="s">
        <v>68</v>
      </c>
      <c r="AD17" s="419" t="s">
        <v>57</v>
      </c>
      <c r="AE17" s="420"/>
      <c r="AF17" s="421"/>
      <c r="AG17" s="85"/>
      <c r="BD17" s="84" t="s">
        <v>64</v>
      </c>
    </row>
    <row r="18" spans="1:68" ht="14.25" customHeight="1" x14ac:dyDescent="0.2">
      <c r="A18" s="412"/>
      <c r="B18" s="412"/>
      <c r="C18" s="433"/>
      <c r="D18" s="436"/>
      <c r="E18" s="437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36"/>
      <c r="Q18" s="439"/>
      <c r="R18" s="439"/>
      <c r="S18" s="439"/>
      <c r="T18" s="437"/>
      <c r="U18" s="86" t="s">
        <v>44</v>
      </c>
      <c r="V18" s="86" t="s">
        <v>43</v>
      </c>
      <c r="W18" s="412"/>
      <c r="X18" s="412"/>
      <c r="Y18" s="414"/>
      <c r="Z18" s="416"/>
      <c r="AA18" s="418"/>
      <c r="AB18" s="418"/>
      <c r="AC18" s="418"/>
      <c r="AD18" s="422"/>
      <c r="AE18" s="423"/>
      <c r="AF18" s="424"/>
      <c r="AG18" s="85"/>
      <c r="BD18" s="84"/>
    </row>
    <row r="19" spans="1:68" ht="27.75" hidden="1" customHeight="1" x14ac:dyDescent="0.2">
      <c r="A19" s="322" t="s">
        <v>81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54"/>
      <c r="AB19" s="54"/>
      <c r="AC19" s="54"/>
    </row>
    <row r="20" spans="1:68" ht="16.5" hidden="1" customHeight="1" x14ac:dyDescent="0.25">
      <c r="A20" s="323" t="s">
        <v>81</v>
      </c>
      <c r="B20" s="323"/>
      <c r="C20" s="323"/>
      <c r="D20" s="323"/>
      <c r="E20" s="323"/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65"/>
      <c r="AB20" s="65"/>
      <c r="AC20" s="82"/>
    </row>
    <row r="21" spans="1:68" ht="14.25" hidden="1" customHeight="1" x14ac:dyDescent="0.25">
      <c r="A21" s="313" t="s">
        <v>82</v>
      </c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3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295">
        <v>4620207491508</v>
      </c>
      <c r="E22" s="295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0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7"/>
      <c r="R22" s="297"/>
      <c r="S22" s="297"/>
      <c r="T22" s="298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295">
        <v>4620207491256</v>
      </c>
      <c r="E23" s="295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0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7"/>
      <c r="R23" s="297"/>
      <c r="S23" s="297"/>
      <c r="T23" s="298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295">
        <v>4620207491713</v>
      </c>
      <c r="E24" s="295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0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7"/>
      <c r="R24" s="297"/>
      <c r="S24" s="297"/>
      <c r="T24" s="298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295">
        <v>4620207491720</v>
      </c>
      <c r="E25" s="295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10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7"/>
      <c r="R25" s="297"/>
      <c r="S25" s="297"/>
      <c r="T25" s="298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295">
        <v>4607111035912</v>
      </c>
      <c r="E26" s="295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0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7"/>
      <c r="R26" s="297"/>
      <c r="S26" s="297"/>
      <c r="T26" s="298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100</v>
      </c>
      <c r="B27" s="63" t="s">
        <v>101</v>
      </c>
      <c r="C27" s="36">
        <v>4301071109</v>
      </c>
      <c r="D27" s="295">
        <v>4607111035929</v>
      </c>
      <c r="E27" s="295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0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7"/>
      <c r="R27" s="297"/>
      <c r="S27" s="297"/>
      <c r="T27" s="298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295">
        <v>4607111035882</v>
      </c>
      <c r="E28" s="295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0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7"/>
      <c r="R28" s="297"/>
      <c r="S28" s="297"/>
      <c r="T28" s="298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295">
        <v>4607111035905</v>
      </c>
      <c r="E29" s="295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0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7"/>
      <c r="R29" s="297"/>
      <c r="S29" s="297"/>
      <c r="T29" s="298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02"/>
      <c r="B30" s="302"/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3"/>
      <c r="P30" s="299" t="s">
        <v>40</v>
      </c>
      <c r="Q30" s="300"/>
      <c r="R30" s="300"/>
      <c r="S30" s="300"/>
      <c r="T30" s="300"/>
      <c r="U30" s="300"/>
      <c r="V30" s="301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02"/>
      <c r="B31" s="302"/>
      <c r="C31" s="302"/>
      <c r="D31" s="302"/>
      <c r="E31" s="302"/>
      <c r="F31" s="302"/>
      <c r="G31" s="302"/>
      <c r="H31" s="302"/>
      <c r="I31" s="302"/>
      <c r="J31" s="302"/>
      <c r="K31" s="302"/>
      <c r="L31" s="302"/>
      <c r="M31" s="302"/>
      <c r="N31" s="302"/>
      <c r="O31" s="303"/>
      <c r="P31" s="299" t="s">
        <v>40</v>
      </c>
      <c r="Q31" s="300"/>
      <c r="R31" s="300"/>
      <c r="S31" s="300"/>
      <c r="T31" s="300"/>
      <c r="U31" s="300"/>
      <c r="V31" s="301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23" t="s">
        <v>106</v>
      </c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65"/>
      <c r="AB32" s="65"/>
      <c r="AC32" s="82"/>
    </row>
    <row r="33" spans="1:68" ht="14.25" hidden="1" customHeight="1" x14ac:dyDescent="0.25">
      <c r="A33" s="313" t="s">
        <v>82</v>
      </c>
      <c r="B33" s="313"/>
      <c r="C33" s="313"/>
      <c r="D33" s="313"/>
      <c r="E33" s="313"/>
      <c r="F33" s="313"/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  <c r="T33" s="313"/>
      <c r="U33" s="313"/>
      <c r="V33" s="313"/>
      <c r="W33" s="313"/>
      <c r="X33" s="313"/>
      <c r="Y33" s="313"/>
      <c r="Z33" s="313"/>
      <c r="AA33" s="66"/>
      <c r="AB33" s="66"/>
      <c r="AC33" s="83"/>
    </row>
    <row r="34" spans="1:68" ht="16.5" customHeight="1" x14ac:dyDescent="0.25">
      <c r="A34" s="63" t="s">
        <v>107</v>
      </c>
      <c r="B34" s="63" t="s">
        <v>108</v>
      </c>
      <c r="C34" s="36">
        <v>4301071099</v>
      </c>
      <c r="D34" s="295">
        <v>4607111039019</v>
      </c>
      <c r="E34" s="295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40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7"/>
      <c r="R34" s="297"/>
      <c r="S34" s="297"/>
      <c r="T34" s="298"/>
      <c r="U34" s="39" t="s">
        <v>46</v>
      </c>
      <c r="V34" s="39" t="s">
        <v>46</v>
      </c>
      <c r="W34" s="40" t="s">
        <v>39</v>
      </c>
      <c r="X34" s="58">
        <v>60</v>
      </c>
      <c r="Y34" s="55">
        <f>IFERROR(IF(X34="","",X34),"")</f>
        <v>60</v>
      </c>
      <c r="Z34" s="41">
        <f>IFERROR(IF(X34="","",X34*0.0155),"")</f>
        <v>0.92999999999999994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432.36</v>
      </c>
      <c r="BN34" s="81">
        <f>IFERROR(Y34*I34,"0")</f>
        <v>432.36</v>
      </c>
      <c r="BO34" s="81">
        <f>IFERROR(X34/J34,"0")</f>
        <v>0.7142857142857143</v>
      </c>
      <c r="BP34" s="81">
        <f>IFERROR(Y34/J34,"0")</f>
        <v>0.7142857142857143</v>
      </c>
    </row>
    <row r="35" spans="1:68" ht="16.5" hidden="1" customHeight="1" x14ac:dyDescent="0.25">
      <c r="A35" s="63" t="s">
        <v>110</v>
      </c>
      <c r="B35" s="63" t="s">
        <v>111</v>
      </c>
      <c r="C35" s="36">
        <v>4301071100</v>
      </c>
      <c r="D35" s="295">
        <v>4607111038708</v>
      </c>
      <c r="E35" s="295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40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7"/>
      <c r="R35" s="297"/>
      <c r="S35" s="297"/>
      <c r="T35" s="298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02"/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3"/>
      <c r="P36" s="299" t="s">
        <v>40</v>
      </c>
      <c r="Q36" s="300"/>
      <c r="R36" s="300"/>
      <c r="S36" s="300"/>
      <c r="T36" s="300"/>
      <c r="U36" s="300"/>
      <c r="V36" s="301"/>
      <c r="W36" s="42" t="s">
        <v>39</v>
      </c>
      <c r="X36" s="43">
        <f>IFERROR(SUM(X34:X35),"0")</f>
        <v>60</v>
      </c>
      <c r="Y36" s="43">
        <f>IFERROR(SUM(Y34:Y35),"0")</f>
        <v>60</v>
      </c>
      <c r="Z36" s="43">
        <f>IFERROR(IF(Z34="",0,Z34),"0")+IFERROR(IF(Z35="",0,Z35),"0")</f>
        <v>0.92999999999999994</v>
      </c>
      <c r="AA36" s="67"/>
      <c r="AB36" s="67"/>
      <c r="AC36" s="67"/>
    </row>
    <row r="37" spans="1:68" x14ac:dyDescent="0.2">
      <c r="A37" s="302"/>
      <c r="B37" s="302"/>
      <c r="C37" s="302"/>
      <c r="D37" s="302"/>
      <c r="E37" s="302"/>
      <c r="F37" s="302"/>
      <c r="G37" s="302"/>
      <c r="H37" s="302"/>
      <c r="I37" s="302"/>
      <c r="J37" s="302"/>
      <c r="K37" s="302"/>
      <c r="L37" s="302"/>
      <c r="M37" s="302"/>
      <c r="N37" s="302"/>
      <c r="O37" s="303"/>
      <c r="P37" s="299" t="s">
        <v>40</v>
      </c>
      <c r="Q37" s="300"/>
      <c r="R37" s="300"/>
      <c r="S37" s="300"/>
      <c r="T37" s="300"/>
      <c r="U37" s="300"/>
      <c r="V37" s="301"/>
      <c r="W37" s="42" t="s">
        <v>0</v>
      </c>
      <c r="X37" s="43">
        <f>IFERROR(SUMPRODUCT(X34:X35*H34:H35),"0")</f>
        <v>412.8</v>
      </c>
      <c r="Y37" s="43">
        <f>IFERROR(SUMPRODUCT(Y34:Y35*H34:H35),"0")</f>
        <v>412.8</v>
      </c>
      <c r="Z37" s="42"/>
      <c r="AA37" s="67"/>
      <c r="AB37" s="67"/>
      <c r="AC37" s="67"/>
    </row>
    <row r="38" spans="1:68" ht="27.75" hidden="1" customHeight="1" x14ac:dyDescent="0.2">
      <c r="A38" s="322" t="s">
        <v>45</v>
      </c>
      <c r="B38" s="322"/>
      <c r="C38" s="322"/>
      <c r="D38" s="322"/>
      <c r="E38" s="322"/>
      <c r="F38" s="322"/>
      <c r="G38" s="322"/>
      <c r="H38" s="322"/>
      <c r="I38" s="322"/>
      <c r="J38" s="322"/>
      <c r="K38" s="322"/>
      <c r="L38" s="322"/>
      <c r="M38" s="322"/>
      <c r="N38" s="322"/>
      <c r="O38" s="322"/>
      <c r="P38" s="322"/>
      <c r="Q38" s="322"/>
      <c r="R38" s="322"/>
      <c r="S38" s="322"/>
      <c r="T38" s="322"/>
      <c r="U38" s="322"/>
      <c r="V38" s="322"/>
      <c r="W38" s="322"/>
      <c r="X38" s="322"/>
      <c r="Y38" s="322"/>
      <c r="Z38" s="322"/>
      <c r="AA38" s="54"/>
      <c r="AB38" s="54"/>
      <c r="AC38" s="54"/>
    </row>
    <row r="39" spans="1:68" ht="16.5" hidden="1" customHeight="1" x14ac:dyDescent="0.25">
      <c r="A39" s="323" t="s">
        <v>112</v>
      </c>
      <c r="B39" s="323"/>
      <c r="C39" s="323"/>
      <c r="D39" s="323"/>
      <c r="E39" s="323"/>
      <c r="F39" s="323"/>
      <c r="G39" s="323"/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65"/>
      <c r="AB39" s="65"/>
      <c r="AC39" s="82"/>
    </row>
    <row r="40" spans="1:68" ht="14.25" hidden="1" customHeight="1" x14ac:dyDescent="0.25">
      <c r="A40" s="313" t="s">
        <v>113</v>
      </c>
      <c r="B40" s="313"/>
      <c r="C40" s="313"/>
      <c r="D40" s="313"/>
      <c r="E40" s="313"/>
      <c r="F40" s="313"/>
      <c r="G40" s="313"/>
      <c r="H40" s="313"/>
      <c r="I40" s="313"/>
      <c r="J40" s="313"/>
      <c r="K40" s="313"/>
      <c r="L40" s="313"/>
      <c r="M40" s="313"/>
      <c r="N40" s="313"/>
      <c r="O40" s="313"/>
      <c r="P40" s="313"/>
      <c r="Q40" s="313"/>
      <c r="R40" s="313"/>
      <c r="S40" s="313"/>
      <c r="T40" s="313"/>
      <c r="U40" s="313"/>
      <c r="V40" s="313"/>
      <c r="W40" s="313"/>
      <c r="X40" s="313"/>
      <c r="Y40" s="313"/>
      <c r="Z40" s="313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295">
        <v>4607111036537</v>
      </c>
      <c r="E41" s="295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9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7"/>
      <c r="R41" s="297"/>
      <c r="S41" s="297"/>
      <c r="T41" s="298"/>
      <c r="U41" s="39" t="s">
        <v>46</v>
      </c>
      <c r="V41" s="39" t="s">
        <v>46</v>
      </c>
      <c r="W41" s="40" t="s">
        <v>39</v>
      </c>
      <c r="X41" s="58">
        <v>98</v>
      </c>
      <c r="Y41" s="55">
        <f>IFERROR(IF(X41="","",X41),"")</f>
        <v>98</v>
      </c>
      <c r="Z41" s="41">
        <f>IFERROR(IF(X41="","",X41*0.00941),"")</f>
        <v>0.92218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188.3364</v>
      </c>
      <c r="BN41" s="81">
        <f>IFERROR(Y41*I41,"0")</f>
        <v>188.3364</v>
      </c>
      <c r="BO41" s="81">
        <f>IFERROR(X41/J41,"0")</f>
        <v>0.7</v>
      </c>
      <c r="BP41" s="81">
        <f>IFERROR(Y41/J41,"0")</f>
        <v>0.7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295">
        <v>4607111036605</v>
      </c>
      <c r="E42" s="295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119</v>
      </c>
      <c r="M42" s="38" t="s">
        <v>86</v>
      </c>
      <c r="N42" s="38"/>
      <c r="O42" s="37">
        <v>365</v>
      </c>
      <c r="P42" s="40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7"/>
      <c r="R42" s="297"/>
      <c r="S42" s="297"/>
      <c r="T42" s="298"/>
      <c r="U42" s="39" t="s">
        <v>46</v>
      </c>
      <c r="V42" s="39" t="s">
        <v>46</v>
      </c>
      <c r="W42" s="40" t="s">
        <v>39</v>
      </c>
      <c r="X42" s="58">
        <v>154</v>
      </c>
      <c r="Y42" s="55">
        <f>IFERROR(IF(X42="","",X42),"")</f>
        <v>154</v>
      </c>
      <c r="Z42" s="41">
        <f>IFERROR(IF(X42="","",X42*0.00941),"")</f>
        <v>1.4491400000000001</v>
      </c>
      <c r="AA42" s="68" t="s">
        <v>46</v>
      </c>
      <c r="AB42" s="69" t="s">
        <v>46</v>
      </c>
      <c r="AC42" s="111" t="s">
        <v>116</v>
      </c>
      <c r="AG42" s="81"/>
      <c r="AJ42" s="87" t="s">
        <v>120</v>
      </c>
      <c r="AK42" s="87">
        <v>14</v>
      </c>
      <c r="BB42" s="112" t="s">
        <v>117</v>
      </c>
      <c r="BM42" s="81">
        <f>IFERROR(X42*I42,"0")</f>
        <v>295.9572</v>
      </c>
      <c r="BN42" s="81">
        <f>IFERROR(Y42*I42,"0")</f>
        <v>295.9572</v>
      </c>
      <c r="BO42" s="81">
        <f>IFERROR(X42/J42,"0")</f>
        <v>1.1000000000000001</v>
      </c>
      <c r="BP42" s="81">
        <f>IFERROR(Y42/J42,"0")</f>
        <v>1.1000000000000001</v>
      </c>
    </row>
    <row r="43" spans="1:68" x14ac:dyDescent="0.2">
      <c r="A43" s="302"/>
      <c r="B43" s="302"/>
      <c r="C43" s="302"/>
      <c r="D43" s="302"/>
      <c r="E43" s="302"/>
      <c r="F43" s="302"/>
      <c r="G43" s="302"/>
      <c r="H43" s="302"/>
      <c r="I43" s="302"/>
      <c r="J43" s="302"/>
      <c r="K43" s="302"/>
      <c r="L43" s="302"/>
      <c r="M43" s="302"/>
      <c r="N43" s="302"/>
      <c r="O43" s="303"/>
      <c r="P43" s="299" t="s">
        <v>40</v>
      </c>
      <c r="Q43" s="300"/>
      <c r="R43" s="300"/>
      <c r="S43" s="300"/>
      <c r="T43" s="300"/>
      <c r="U43" s="300"/>
      <c r="V43" s="301"/>
      <c r="W43" s="42" t="s">
        <v>39</v>
      </c>
      <c r="X43" s="43">
        <f>IFERROR(SUM(X41:X42),"0")</f>
        <v>252</v>
      </c>
      <c r="Y43" s="43">
        <f>IFERROR(SUM(Y41:Y42),"0")</f>
        <v>252</v>
      </c>
      <c r="Z43" s="43">
        <f>IFERROR(IF(Z41="",0,Z41),"0")+IFERROR(IF(Z42="",0,Z42),"0")</f>
        <v>2.3713199999999999</v>
      </c>
      <c r="AA43" s="67"/>
      <c r="AB43" s="67"/>
      <c r="AC43" s="67"/>
    </row>
    <row r="44" spans="1:68" x14ac:dyDescent="0.2">
      <c r="A44" s="302"/>
      <c r="B44" s="302"/>
      <c r="C44" s="302"/>
      <c r="D44" s="302"/>
      <c r="E44" s="302"/>
      <c r="F44" s="302"/>
      <c r="G44" s="302"/>
      <c r="H44" s="302"/>
      <c r="I44" s="302"/>
      <c r="J44" s="302"/>
      <c r="K44" s="302"/>
      <c r="L44" s="302"/>
      <c r="M44" s="302"/>
      <c r="N44" s="302"/>
      <c r="O44" s="303"/>
      <c r="P44" s="299" t="s">
        <v>40</v>
      </c>
      <c r="Q44" s="300"/>
      <c r="R44" s="300"/>
      <c r="S44" s="300"/>
      <c r="T44" s="300"/>
      <c r="U44" s="300"/>
      <c r="V44" s="301"/>
      <c r="W44" s="42" t="s">
        <v>0</v>
      </c>
      <c r="X44" s="43">
        <f>IFERROR(SUMPRODUCT(X41:X42*H41:H42),"0")</f>
        <v>378</v>
      </c>
      <c r="Y44" s="43">
        <f>IFERROR(SUMPRODUCT(Y41:Y42*H41:H42),"0")</f>
        <v>378</v>
      </c>
      <c r="Z44" s="42"/>
      <c r="AA44" s="67"/>
      <c r="AB44" s="67"/>
      <c r="AC44" s="67"/>
    </row>
    <row r="45" spans="1:68" ht="16.5" hidden="1" customHeight="1" x14ac:dyDescent="0.25">
      <c r="A45" s="323" t="s">
        <v>123</v>
      </c>
      <c r="B45" s="323"/>
      <c r="C45" s="323"/>
      <c r="D45" s="323"/>
      <c r="E45" s="323"/>
      <c r="F45" s="323"/>
      <c r="G45" s="323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65"/>
      <c r="AB45" s="65"/>
      <c r="AC45" s="82"/>
    </row>
    <row r="46" spans="1:68" ht="14.25" hidden="1" customHeight="1" x14ac:dyDescent="0.25">
      <c r="A46" s="313" t="s">
        <v>82</v>
      </c>
      <c r="B46" s="313"/>
      <c r="C46" s="313"/>
      <c r="D46" s="313"/>
      <c r="E46" s="313"/>
      <c r="F46" s="313"/>
      <c r="G46" s="313"/>
      <c r="H46" s="313"/>
      <c r="I46" s="313"/>
      <c r="J46" s="313"/>
      <c r="K46" s="313"/>
      <c r="L46" s="313"/>
      <c r="M46" s="313"/>
      <c r="N46" s="313"/>
      <c r="O46" s="313"/>
      <c r="P46" s="313"/>
      <c r="Q46" s="313"/>
      <c r="R46" s="313"/>
      <c r="S46" s="313"/>
      <c r="T46" s="313"/>
      <c r="U46" s="313"/>
      <c r="V46" s="313"/>
      <c r="W46" s="313"/>
      <c r="X46" s="313"/>
      <c r="Y46" s="313"/>
      <c r="Z46" s="313"/>
      <c r="AA46" s="66"/>
      <c r="AB46" s="66"/>
      <c r="AC46" s="83"/>
    </row>
    <row r="47" spans="1:68" ht="27" customHeight="1" x14ac:dyDescent="0.25">
      <c r="A47" s="63" t="s">
        <v>124</v>
      </c>
      <c r="B47" s="63" t="s">
        <v>125</v>
      </c>
      <c r="C47" s="36">
        <v>4301071090</v>
      </c>
      <c r="D47" s="295">
        <v>4620207490075</v>
      </c>
      <c r="E47" s="295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119</v>
      </c>
      <c r="M47" s="38" t="s">
        <v>86</v>
      </c>
      <c r="N47" s="38"/>
      <c r="O47" s="37">
        <v>180</v>
      </c>
      <c r="P47" s="39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7"/>
      <c r="R47" s="297"/>
      <c r="S47" s="297"/>
      <c r="T47" s="298"/>
      <c r="U47" s="39" t="s">
        <v>46</v>
      </c>
      <c r="V47" s="39" t="s">
        <v>46</v>
      </c>
      <c r="W47" s="40" t="s">
        <v>39</v>
      </c>
      <c r="X47" s="58">
        <v>156</v>
      </c>
      <c r="Y47" s="55">
        <f>IFERROR(IF(X47="","",X47),"")</f>
        <v>156</v>
      </c>
      <c r="Z47" s="41">
        <f>IFERROR(IF(X47="","",X47*0.0155),"")</f>
        <v>2.4180000000000001</v>
      </c>
      <c r="AA47" s="68" t="s">
        <v>46</v>
      </c>
      <c r="AB47" s="69" t="s">
        <v>46</v>
      </c>
      <c r="AC47" s="113" t="s">
        <v>126</v>
      </c>
      <c r="AG47" s="81"/>
      <c r="AJ47" s="87" t="s">
        <v>120</v>
      </c>
      <c r="AK47" s="87">
        <v>12</v>
      </c>
      <c r="BB47" s="114" t="s">
        <v>70</v>
      </c>
      <c r="BM47" s="81">
        <f>IFERROR(X47*I47,"0")</f>
        <v>915.72</v>
      </c>
      <c r="BN47" s="81">
        <f>IFERROR(Y47*I47,"0")</f>
        <v>915.72</v>
      </c>
      <c r="BO47" s="81">
        <f>IFERROR(X47/J47,"0")</f>
        <v>1.8571428571428572</v>
      </c>
      <c r="BP47" s="81">
        <f>IFERROR(Y47/J47,"0")</f>
        <v>1.8571428571428572</v>
      </c>
    </row>
    <row r="48" spans="1:68" ht="27" hidden="1" customHeight="1" x14ac:dyDescent="0.25">
      <c r="A48" s="63" t="s">
        <v>127</v>
      </c>
      <c r="B48" s="63" t="s">
        <v>128</v>
      </c>
      <c r="C48" s="36">
        <v>4301071092</v>
      </c>
      <c r="D48" s="295">
        <v>4620207490174</v>
      </c>
      <c r="E48" s="295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88</v>
      </c>
      <c r="M48" s="38" t="s">
        <v>86</v>
      </c>
      <c r="N48" s="38"/>
      <c r="O48" s="37">
        <v>180</v>
      </c>
      <c r="P48" s="39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7"/>
      <c r="R48" s="297"/>
      <c r="S48" s="297"/>
      <c r="T48" s="298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89</v>
      </c>
      <c r="AK48" s="87">
        <v>1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302"/>
      <c r="B49" s="302"/>
      <c r="C49" s="302"/>
      <c r="D49" s="302"/>
      <c r="E49" s="302"/>
      <c r="F49" s="302"/>
      <c r="G49" s="302"/>
      <c r="H49" s="302"/>
      <c r="I49" s="302"/>
      <c r="J49" s="302"/>
      <c r="K49" s="302"/>
      <c r="L49" s="302"/>
      <c r="M49" s="302"/>
      <c r="N49" s="302"/>
      <c r="O49" s="303"/>
      <c r="P49" s="299" t="s">
        <v>40</v>
      </c>
      <c r="Q49" s="300"/>
      <c r="R49" s="300"/>
      <c r="S49" s="300"/>
      <c r="T49" s="300"/>
      <c r="U49" s="300"/>
      <c r="V49" s="301"/>
      <c r="W49" s="42" t="s">
        <v>39</v>
      </c>
      <c r="X49" s="43">
        <f>IFERROR(SUM(X47:X48),"0")</f>
        <v>156</v>
      </c>
      <c r="Y49" s="43">
        <f>IFERROR(SUM(Y47:Y48),"0")</f>
        <v>156</v>
      </c>
      <c r="Z49" s="43">
        <f>IFERROR(IF(Z47="",0,Z47),"0")+IFERROR(IF(Z48="",0,Z48),"0")</f>
        <v>2.4180000000000001</v>
      </c>
      <c r="AA49" s="67"/>
      <c r="AB49" s="67"/>
      <c r="AC49" s="67"/>
    </row>
    <row r="50" spans="1:68" x14ac:dyDescent="0.2">
      <c r="A50" s="302"/>
      <c r="B50" s="302"/>
      <c r="C50" s="302"/>
      <c r="D50" s="302"/>
      <c r="E50" s="302"/>
      <c r="F50" s="302"/>
      <c r="G50" s="302"/>
      <c r="H50" s="302"/>
      <c r="I50" s="302"/>
      <c r="J50" s="302"/>
      <c r="K50" s="302"/>
      <c r="L50" s="302"/>
      <c r="M50" s="302"/>
      <c r="N50" s="302"/>
      <c r="O50" s="303"/>
      <c r="P50" s="299" t="s">
        <v>40</v>
      </c>
      <c r="Q50" s="300"/>
      <c r="R50" s="300"/>
      <c r="S50" s="300"/>
      <c r="T50" s="300"/>
      <c r="U50" s="300"/>
      <c r="V50" s="301"/>
      <c r="W50" s="42" t="s">
        <v>0</v>
      </c>
      <c r="X50" s="43">
        <f>IFERROR(SUMPRODUCT(X47:X48*H47:H48),"0")</f>
        <v>873.59999999999991</v>
      </c>
      <c r="Y50" s="43">
        <f>IFERROR(SUMPRODUCT(Y47:Y48*H47:H48),"0")</f>
        <v>873.59999999999991</v>
      </c>
      <c r="Z50" s="42"/>
      <c r="AA50" s="67"/>
      <c r="AB50" s="67"/>
      <c r="AC50" s="67"/>
    </row>
    <row r="51" spans="1:68" ht="16.5" hidden="1" customHeight="1" x14ac:dyDescent="0.25">
      <c r="A51" s="323" t="s">
        <v>130</v>
      </c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  <c r="AA51" s="65"/>
      <c r="AB51" s="65"/>
      <c r="AC51" s="82"/>
    </row>
    <row r="52" spans="1:68" ht="14.25" hidden="1" customHeight="1" x14ac:dyDescent="0.25">
      <c r="A52" s="313" t="s">
        <v>82</v>
      </c>
      <c r="B52" s="313"/>
      <c r="C52" s="313"/>
      <c r="D52" s="313"/>
      <c r="E52" s="313"/>
      <c r="F52" s="313"/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  <c r="T52" s="313"/>
      <c r="U52" s="313"/>
      <c r="V52" s="313"/>
      <c r="W52" s="313"/>
      <c r="X52" s="313"/>
      <c r="Y52" s="313"/>
      <c r="Z52" s="313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295">
        <v>4607111039385</v>
      </c>
      <c r="E53" s="295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9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7"/>
      <c r="R53" s="297"/>
      <c r="S53" s="297"/>
      <c r="T53" s="298"/>
      <c r="U53" s="39" t="s">
        <v>46</v>
      </c>
      <c r="V53" s="39" t="s">
        <v>46</v>
      </c>
      <c r="W53" s="40" t="s">
        <v>39</v>
      </c>
      <c r="X53" s="58">
        <v>120</v>
      </c>
      <c r="Y53" s="55">
        <f>IFERROR(IF(X53="","",X53),"")</f>
        <v>120</v>
      </c>
      <c r="Z53" s="41">
        <f>IFERROR(IF(X53="","",X53*0.0155),"")</f>
        <v>1.8599999999999999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876</v>
      </c>
      <c r="BN53" s="81">
        <f>IFERROR(Y53*I53,"0")</f>
        <v>876</v>
      </c>
      <c r="BO53" s="81">
        <f>IFERROR(X53/J53,"0")</f>
        <v>1.4285714285714286</v>
      </c>
      <c r="BP53" s="81">
        <f>IFERROR(Y53/J53,"0")</f>
        <v>1.4285714285714286</v>
      </c>
    </row>
    <row r="54" spans="1:68" ht="27" hidden="1" customHeight="1" x14ac:dyDescent="0.25">
      <c r="A54" s="63" t="s">
        <v>134</v>
      </c>
      <c r="B54" s="63" t="s">
        <v>135</v>
      </c>
      <c r="C54" s="36">
        <v>4301071031</v>
      </c>
      <c r="D54" s="295">
        <v>4607111038982</v>
      </c>
      <c r="E54" s="295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9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7"/>
      <c r="R54" s="297"/>
      <c r="S54" s="297"/>
      <c r="T54" s="298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hidden="1" customHeight="1" x14ac:dyDescent="0.25">
      <c r="A55" s="63" t="s">
        <v>137</v>
      </c>
      <c r="B55" s="63" t="s">
        <v>138</v>
      </c>
      <c r="C55" s="36">
        <v>4301071046</v>
      </c>
      <c r="D55" s="295">
        <v>4607111039354</v>
      </c>
      <c r="E55" s="295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9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7"/>
      <c r="R55" s="297"/>
      <c r="S55" s="297"/>
      <c r="T55" s="298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4301071047</v>
      </c>
      <c r="D56" s="295">
        <v>4607111039330</v>
      </c>
      <c r="E56" s="295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9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7"/>
      <c r="R56" s="297"/>
      <c r="S56" s="297"/>
      <c r="T56" s="298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02"/>
      <c r="B57" s="302"/>
      <c r="C57" s="302"/>
      <c r="D57" s="302"/>
      <c r="E57" s="302"/>
      <c r="F57" s="302"/>
      <c r="G57" s="302"/>
      <c r="H57" s="302"/>
      <c r="I57" s="302"/>
      <c r="J57" s="302"/>
      <c r="K57" s="302"/>
      <c r="L57" s="302"/>
      <c r="M57" s="302"/>
      <c r="N57" s="302"/>
      <c r="O57" s="303"/>
      <c r="P57" s="299" t="s">
        <v>40</v>
      </c>
      <c r="Q57" s="300"/>
      <c r="R57" s="300"/>
      <c r="S57" s="300"/>
      <c r="T57" s="300"/>
      <c r="U57" s="300"/>
      <c r="V57" s="301"/>
      <c r="W57" s="42" t="s">
        <v>39</v>
      </c>
      <c r="X57" s="43">
        <f>IFERROR(SUM(X53:X56),"0")</f>
        <v>120</v>
      </c>
      <c r="Y57" s="43">
        <f>IFERROR(SUM(Y53:Y56),"0")</f>
        <v>120</v>
      </c>
      <c r="Z57" s="43">
        <f>IFERROR(IF(Z53="",0,Z53),"0")+IFERROR(IF(Z54="",0,Z54),"0")+IFERROR(IF(Z55="",0,Z55),"0")+IFERROR(IF(Z56="",0,Z56),"0")</f>
        <v>1.8599999999999999</v>
      </c>
      <c r="AA57" s="67"/>
      <c r="AB57" s="67"/>
      <c r="AC57" s="67"/>
    </row>
    <row r="58" spans="1:68" x14ac:dyDescent="0.2">
      <c r="A58" s="302"/>
      <c r="B58" s="302"/>
      <c r="C58" s="302"/>
      <c r="D58" s="302"/>
      <c r="E58" s="302"/>
      <c r="F58" s="302"/>
      <c r="G58" s="302"/>
      <c r="H58" s="302"/>
      <c r="I58" s="302"/>
      <c r="J58" s="302"/>
      <c r="K58" s="302"/>
      <c r="L58" s="302"/>
      <c r="M58" s="302"/>
      <c r="N58" s="302"/>
      <c r="O58" s="303"/>
      <c r="P58" s="299" t="s">
        <v>40</v>
      </c>
      <c r="Q58" s="300"/>
      <c r="R58" s="300"/>
      <c r="S58" s="300"/>
      <c r="T58" s="300"/>
      <c r="U58" s="300"/>
      <c r="V58" s="301"/>
      <c r="W58" s="42" t="s">
        <v>0</v>
      </c>
      <c r="X58" s="43">
        <f>IFERROR(SUMPRODUCT(X53:X56*H53:H56),"0")</f>
        <v>840</v>
      </c>
      <c r="Y58" s="43">
        <f>IFERROR(SUMPRODUCT(Y53:Y56*H53:H56),"0")</f>
        <v>840</v>
      </c>
      <c r="Z58" s="42"/>
      <c r="AA58" s="67"/>
      <c r="AB58" s="67"/>
      <c r="AC58" s="67"/>
    </row>
    <row r="59" spans="1:68" ht="16.5" hidden="1" customHeight="1" x14ac:dyDescent="0.25">
      <c r="A59" s="323" t="s">
        <v>141</v>
      </c>
      <c r="B59" s="323"/>
      <c r="C59" s="323"/>
      <c r="D59" s="323"/>
      <c r="E59" s="323"/>
      <c r="F59" s="323"/>
      <c r="G59" s="323"/>
      <c r="H59" s="323"/>
      <c r="I59" s="323"/>
      <c r="J59" s="323"/>
      <c r="K59" s="323"/>
      <c r="L59" s="323"/>
      <c r="M59" s="323"/>
      <c r="N59" s="323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  <c r="AA59" s="65"/>
      <c r="AB59" s="65"/>
      <c r="AC59" s="82"/>
    </row>
    <row r="60" spans="1:68" ht="14.25" hidden="1" customHeight="1" x14ac:dyDescent="0.25">
      <c r="A60" s="313" t="s">
        <v>113</v>
      </c>
      <c r="B60" s="313"/>
      <c r="C60" s="313"/>
      <c r="D60" s="313"/>
      <c r="E60" s="313"/>
      <c r="F60" s="313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13"/>
      <c r="Y60" s="313"/>
      <c r="Z60" s="313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295">
        <v>4607111039712</v>
      </c>
      <c r="E61" s="295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9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7"/>
      <c r="R61" s="297"/>
      <c r="S61" s="297"/>
      <c r="T61" s="298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02"/>
      <c r="B62" s="302"/>
      <c r="C62" s="302"/>
      <c r="D62" s="302"/>
      <c r="E62" s="302"/>
      <c r="F62" s="302"/>
      <c r="G62" s="302"/>
      <c r="H62" s="302"/>
      <c r="I62" s="302"/>
      <c r="J62" s="302"/>
      <c r="K62" s="302"/>
      <c r="L62" s="302"/>
      <c r="M62" s="302"/>
      <c r="N62" s="302"/>
      <c r="O62" s="303"/>
      <c r="P62" s="299" t="s">
        <v>40</v>
      </c>
      <c r="Q62" s="300"/>
      <c r="R62" s="300"/>
      <c r="S62" s="300"/>
      <c r="T62" s="300"/>
      <c r="U62" s="300"/>
      <c r="V62" s="301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02"/>
      <c r="B63" s="302"/>
      <c r="C63" s="302"/>
      <c r="D63" s="302"/>
      <c r="E63" s="302"/>
      <c r="F63" s="302"/>
      <c r="G63" s="302"/>
      <c r="H63" s="302"/>
      <c r="I63" s="302"/>
      <c r="J63" s="302"/>
      <c r="K63" s="302"/>
      <c r="L63" s="302"/>
      <c r="M63" s="302"/>
      <c r="N63" s="302"/>
      <c r="O63" s="303"/>
      <c r="P63" s="299" t="s">
        <v>40</v>
      </c>
      <c r="Q63" s="300"/>
      <c r="R63" s="300"/>
      <c r="S63" s="300"/>
      <c r="T63" s="300"/>
      <c r="U63" s="300"/>
      <c r="V63" s="301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13" t="s">
        <v>145</v>
      </c>
      <c r="B64" s="313"/>
      <c r="C64" s="313"/>
      <c r="D64" s="313"/>
      <c r="E64" s="313"/>
      <c r="F64" s="313"/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  <c r="T64" s="313"/>
      <c r="U64" s="313"/>
      <c r="V64" s="313"/>
      <c r="W64" s="313"/>
      <c r="X64" s="313"/>
      <c r="Y64" s="313"/>
      <c r="Z64" s="313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4301136018</v>
      </c>
      <c r="D65" s="295">
        <v>4607111037008</v>
      </c>
      <c r="E65" s="295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9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7"/>
      <c r="R65" s="297"/>
      <c r="S65" s="297"/>
      <c r="T65" s="298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149</v>
      </c>
      <c r="B66" s="63" t="s">
        <v>150</v>
      </c>
      <c r="C66" s="36">
        <v>4301136015</v>
      </c>
      <c r="D66" s="295">
        <v>4607111037398</v>
      </c>
      <c r="E66" s="295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9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7"/>
      <c r="R66" s="297"/>
      <c r="S66" s="297"/>
      <c r="T66" s="298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02"/>
      <c r="B67" s="302"/>
      <c r="C67" s="302"/>
      <c r="D67" s="302"/>
      <c r="E67" s="302"/>
      <c r="F67" s="302"/>
      <c r="G67" s="302"/>
      <c r="H67" s="302"/>
      <c r="I67" s="302"/>
      <c r="J67" s="302"/>
      <c r="K67" s="302"/>
      <c r="L67" s="302"/>
      <c r="M67" s="302"/>
      <c r="N67" s="302"/>
      <c r="O67" s="303"/>
      <c r="P67" s="299" t="s">
        <v>40</v>
      </c>
      <c r="Q67" s="300"/>
      <c r="R67" s="300"/>
      <c r="S67" s="300"/>
      <c r="T67" s="300"/>
      <c r="U67" s="300"/>
      <c r="V67" s="301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02"/>
      <c r="B68" s="302"/>
      <c r="C68" s="302"/>
      <c r="D68" s="302"/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3"/>
      <c r="P68" s="299" t="s">
        <v>40</v>
      </c>
      <c r="Q68" s="300"/>
      <c r="R68" s="300"/>
      <c r="S68" s="300"/>
      <c r="T68" s="300"/>
      <c r="U68" s="300"/>
      <c r="V68" s="301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13" t="s">
        <v>151</v>
      </c>
      <c r="B69" s="313"/>
      <c r="C69" s="313"/>
      <c r="D69" s="313"/>
      <c r="E69" s="313"/>
      <c r="F69" s="313"/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  <c r="T69" s="313"/>
      <c r="U69" s="313"/>
      <c r="V69" s="313"/>
      <c r="W69" s="313"/>
      <c r="X69" s="313"/>
      <c r="Y69" s="313"/>
      <c r="Z69" s="313"/>
      <c r="AA69" s="66"/>
      <c r="AB69" s="66"/>
      <c r="AC69" s="83"/>
    </row>
    <row r="70" spans="1:68" ht="27" hidden="1" customHeight="1" x14ac:dyDescent="0.25">
      <c r="A70" s="63" t="s">
        <v>152</v>
      </c>
      <c r="B70" s="63" t="s">
        <v>153</v>
      </c>
      <c r="C70" s="36">
        <v>4301135664</v>
      </c>
      <c r="D70" s="295">
        <v>4607111039705</v>
      </c>
      <c r="E70" s="295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8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7"/>
      <c r="R70" s="297"/>
      <c r="S70" s="297"/>
      <c r="T70" s="298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154</v>
      </c>
      <c r="B71" s="63" t="s">
        <v>155</v>
      </c>
      <c r="C71" s="36">
        <v>4301135665</v>
      </c>
      <c r="D71" s="295">
        <v>4607111039729</v>
      </c>
      <c r="E71" s="295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7"/>
      <c r="R71" s="297"/>
      <c r="S71" s="297"/>
      <c r="T71" s="298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156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hidden="1" customHeight="1" x14ac:dyDescent="0.25">
      <c r="A72" s="63" t="s">
        <v>157</v>
      </c>
      <c r="B72" s="63" t="s">
        <v>158</v>
      </c>
      <c r="C72" s="36">
        <v>4301135702</v>
      </c>
      <c r="D72" s="295">
        <v>4620207490228</v>
      </c>
      <c r="E72" s="295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88</v>
      </c>
      <c r="M72" s="38" t="s">
        <v>86</v>
      </c>
      <c r="N72" s="38"/>
      <c r="O72" s="37">
        <v>365</v>
      </c>
      <c r="P72" s="38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7"/>
      <c r="R72" s="297"/>
      <c r="S72" s="297"/>
      <c r="T72" s="298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156</v>
      </c>
      <c r="AG72" s="81"/>
      <c r="AJ72" s="87" t="s">
        <v>89</v>
      </c>
      <c r="AK72" s="87">
        <v>1</v>
      </c>
      <c r="BB72" s="136" t="s">
        <v>117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hidden="1" x14ac:dyDescent="0.2">
      <c r="A73" s="302"/>
      <c r="B73" s="302"/>
      <c r="C73" s="302"/>
      <c r="D73" s="302"/>
      <c r="E73" s="302"/>
      <c r="F73" s="302"/>
      <c r="G73" s="302"/>
      <c r="H73" s="302"/>
      <c r="I73" s="302"/>
      <c r="J73" s="302"/>
      <c r="K73" s="302"/>
      <c r="L73" s="302"/>
      <c r="M73" s="302"/>
      <c r="N73" s="302"/>
      <c r="O73" s="303"/>
      <c r="P73" s="299" t="s">
        <v>40</v>
      </c>
      <c r="Q73" s="300"/>
      <c r="R73" s="300"/>
      <c r="S73" s="300"/>
      <c r="T73" s="300"/>
      <c r="U73" s="300"/>
      <c r="V73" s="301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302"/>
      <c r="B74" s="302"/>
      <c r="C74" s="302"/>
      <c r="D74" s="302"/>
      <c r="E74" s="302"/>
      <c r="F74" s="302"/>
      <c r="G74" s="302"/>
      <c r="H74" s="302"/>
      <c r="I74" s="302"/>
      <c r="J74" s="302"/>
      <c r="K74" s="302"/>
      <c r="L74" s="302"/>
      <c r="M74" s="302"/>
      <c r="N74" s="302"/>
      <c r="O74" s="303"/>
      <c r="P74" s="299" t="s">
        <v>40</v>
      </c>
      <c r="Q74" s="300"/>
      <c r="R74" s="300"/>
      <c r="S74" s="300"/>
      <c r="T74" s="300"/>
      <c r="U74" s="300"/>
      <c r="V74" s="301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hidden="1" customHeight="1" x14ac:dyDescent="0.25">
      <c r="A75" s="323" t="s">
        <v>159</v>
      </c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  <c r="AA75" s="65"/>
      <c r="AB75" s="65"/>
      <c r="AC75" s="82"/>
    </row>
    <row r="76" spans="1:68" ht="14.25" hidden="1" customHeight="1" x14ac:dyDescent="0.25">
      <c r="A76" s="313" t="s">
        <v>82</v>
      </c>
      <c r="B76" s="313"/>
      <c r="C76" s="313"/>
      <c r="D76" s="313"/>
      <c r="E76" s="313"/>
      <c r="F76" s="313"/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  <c r="T76" s="313"/>
      <c r="U76" s="313"/>
      <c r="V76" s="313"/>
      <c r="W76" s="313"/>
      <c r="X76" s="313"/>
      <c r="Y76" s="313"/>
      <c r="Z76" s="313"/>
      <c r="AA76" s="66"/>
      <c r="AB76" s="66"/>
      <c r="AC76" s="83"/>
    </row>
    <row r="77" spans="1:68" ht="27" hidden="1" customHeight="1" x14ac:dyDescent="0.25">
      <c r="A77" s="63" t="s">
        <v>160</v>
      </c>
      <c r="B77" s="63" t="s">
        <v>161</v>
      </c>
      <c r="C77" s="36">
        <v>4301070977</v>
      </c>
      <c r="D77" s="295">
        <v>4607111037411</v>
      </c>
      <c r="E77" s="295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8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7"/>
      <c r="R77" s="297"/>
      <c r="S77" s="297"/>
      <c r="T77" s="298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hidden="1" customHeight="1" x14ac:dyDescent="0.25">
      <c r="A78" s="63" t="s">
        <v>164</v>
      </c>
      <c r="B78" s="63" t="s">
        <v>165</v>
      </c>
      <c r="C78" s="36">
        <v>4301070981</v>
      </c>
      <c r="D78" s="295">
        <v>4607111036728</v>
      </c>
      <c r="E78" s="295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8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7"/>
      <c r="R78" s="297"/>
      <c r="S78" s="297"/>
      <c r="T78" s="298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idden="1" x14ac:dyDescent="0.2">
      <c r="A79" s="302"/>
      <c r="B79" s="302"/>
      <c r="C79" s="302"/>
      <c r="D79" s="302"/>
      <c r="E79" s="302"/>
      <c r="F79" s="302"/>
      <c r="G79" s="302"/>
      <c r="H79" s="302"/>
      <c r="I79" s="302"/>
      <c r="J79" s="302"/>
      <c r="K79" s="302"/>
      <c r="L79" s="302"/>
      <c r="M79" s="302"/>
      <c r="N79" s="302"/>
      <c r="O79" s="303"/>
      <c r="P79" s="299" t="s">
        <v>40</v>
      </c>
      <c r="Q79" s="300"/>
      <c r="R79" s="300"/>
      <c r="S79" s="300"/>
      <c r="T79" s="300"/>
      <c r="U79" s="300"/>
      <c r="V79" s="301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302"/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299" t="s">
        <v>40</v>
      </c>
      <c r="Q80" s="300"/>
      <c r="R80" s="300"/>
      <c r="S80" s="300"/>
      <c r="T80" s="300"/>
      <c r="U80" s="300"/>
      <c r="V80" s="301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hidden="1" customHeight="1" x14ac:dyDescent="0.25">
      <c r="A81" s="323" t="s">
        <v>166</v>
      </c>
      <c r="B81" s="323"/>
      <c r="C81" s="323"/>
      <c r="D81" s="323"/>
      <c r="E81" s="323"/>
      <c r="F81" s="323"/>
      <c r="G81" s="323"/>
      <c r="H81" s="323"/>
      <c r="I81" s="323"/>
      <c r="J81" s="323"/>
      <c r="K81" s="323"/>
      <c r="L81" s="323"/>
      <c r="M81" s="323"/>
      <c r="N81" s="323"/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3"/>
      <c r="Z81" s="323"/>
      <c r="AA81" s="65"/>
      <c r="AB81" s="65"/>
      <c r="AC81" s="82"/>
    </row>
    <row r="82" spans="1:68" ht="14.25" hidden="1" customHeight="1" x14ac:dyDescent="0.25">
      <c r="A82" s="313" t="s">
        <v>151</v>
      </c>
      <c r="B82" s="313"/>
      <c r="C82" s="313"/>
      <c r="D82" s="313"/>
      <c r="E82" s="313"/>
      <c r="F82" s="313"/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  <c r="T82" s="313"/>
      <c r="U82" s="313"/>
      <c r="V82" s="313"/>
      <c r="W82" s="313"/>
      <c r="X82" s="313"/>
      <c r="Y82" s="313"/>
      <c r="Z82" s="313"/>
      <c r="AA82" s="66"/>
      <c r="AB82" s="66"/>
      <c r="AC82" s="83"/>
    </row>
    <row r="83" spans="1:68" ht="27" customHeight="1" x14ac:dyDescent="0.25">
      <c r="A83" s="63" t="s">
        <v>167</v>
      </c>
      <c r="B83" s="63" t="s">
        <v>168</v>
      </c>
      <c r="C83" s="36">
        <v>4301135574</v>
      </c>
      <c r="D83" s="295">
        <v>4607111033659</v>
      </c>
      <c r="E83" s="295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8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7"/>
      <c r="R83" s="297"/>
      <c r="S83" s="297"/>
      <c r="T83" s="298"/>
      <c r="U83" s="39" t="s">
        <v>46</v>
      </c>
      <c r="V83" s="39" t="s">
        <v>46</v>
      </c>
      <c r="W83" s="40" t="s">
        <v>39</v>
      </c>
      <c r="X83" s="58">
        <v>56</v>
      </c>
      <c r="Y83" s="55">
        <f>IFERROR(IF(X83="","",X83),"")</f>
        <v>56</v>
      </c>
      <c r="Z83" s="41">
        <f>IFERROR(IF(X83="","",X83*0.01788),"")</f>
        <v>1.0012799999999999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241.00160000000002</v>
      </c>
      <c r="BN83" s="81">
        <f>IFERROR(Y83*I83,"0")</f>
        <v>241.00160000000002</v>
      </c>
      <c r="BO83" s="81">
        <f>IFERROR(X83/J83,"0")</f>
        <v>0.8</v>
      </c>
      <c r="BP83" s="81">
        <f>IFERROR(Y83/J83,"0")</f>
        <v>0.8</v>
      </c>
    </row>
    <row r="84" spans="1:68" x14ac:dyDescent="0.2">
      <c r="A84" s="302"/>
      <c r="B84" s="302"/>
      <c r="C84" s="302"/>
      <c r="D84" s="302"/>
      <c r="E84" s="302"/>
      <c r="F84" s="302"/>
      <c r="G84" s="302"/>
      <c r="H84" s="302"/>
      <c r="I84" s="302"/>
      <c r="J84" s="302"/>
      <c r="K84" s="302"/>
      <c r="L84" s="302"/>
      <c r="M84" s="302"/>
      <c r="N84" s="302"/>
      <c r="O84" s="303"/>
      <c r="P84" s="299" t="s">
        <v>40</v>
      </c>
      <c r="Q84" s="300"/>
      <c r="R84" s="300"/>
      <c r="S84" s="300"/>
      <c r="T84" s="300"/>
      <c r="U84" s="300"/>
      <c r="V84" s="301"/>
      <c r="W84" s="42" t="s">
        <v>39</v>
      </c>
      <c r="X84" s="43">
        <f>IFERROR(SUM(X83:X83),"0")</f>
        <v>56</v>
      </c>
      <c r="Y84" s="43">
        <f>IFERROR(SUM(Y83:Y83),"0")</f>
        <v>56</v>
      </c>
      <c r="Z84" s="43">
        <f>IFERROR(IF(Z83="",0,Z83),"0")</f>
        <v>1.0012799999999999</v>
      </c>
      <c r="AA84" s="67"/>
      <c r="AB84" s="67"/>
      <c r="AC84" s="67"/>
    </row>
    <row r="85" spans="1:68" x14ac:dyDescent="0.2">
      <c r="A85" s="302"/>
      <c r="B85" s="302"/>
      <c r="C85" s="302"/>
      <c r="D85" s="302"/>
      <c r="E85" s="302"/>
      <c r="F85" s="302"/>
      <c r="G85" s="302"/>
      <c r="H85" s="302"/>
      <c r="I85" s="302"/>
      <c r="J85" s="302"/>
      <c r="K85" s="302"/>
      <c r="L85" s="302"/>
      <c r="M85" s="302"/>
      <c r="N85" s="302"/>
      <c r="O85" s="303"/>
      <c r="P85" s="299" t="s">
        <v>40</v>
      </c>
      <c r="Q85" s="300"/>
      <c r="R85" s="300"/>
      <c r="S85" s="300"/>
      <c r="T85" s="300"/>
      <c r="U85" s="300"/>
      <c r="V85" s="301"/>
      <c r="W85" s="42" t="s">
        <v>0</v>
      </c>
      <c r="X85" s="43">
        <f>IFERROR(SUMPRODUCT(X83:X83*H83:H83),"0")</f>
        <v>201.6</v>
      </c>
      <c r="Y85" s="43">
        <f>IFERROR(SUMPRODUCT(Y83:Y83*H83:H83),"0")</f>
        <v>201.6</v>
      </c>
      <c r="Z85" s="42"/>
      <c r="AA85" s="67"/>
      <c r="AB85" s="67"/>
      <c r="AC85" s="67"/>
    </row>
    <row r="86" spans="1:68" ht="16.5" hidden="1" customHeight="1" x14ac:dyDescent="0.25">
      <c r="A86" s="323" t="s">
        <v>170</v>
      </c>
      <c r="B86" s="323"/>
      <c r="C86" s="323"/>
      <c r="D86" s="323"/>
      <c r="E86" s="323"/>
      <c r="F86" s="323"/>
      <c r="G86" s="323"/>
      <c r="H86" s="323"/>
      <c r="I86" s="323"/>
      <c r="J86" s="323"/>
      <c r="K86" s="323"/>
      <c r="L86" s="323"/>
      <c r="M86" s="323"/>
      <c r="N86" s="323"/>
      <c r="O86" s="323"/>
      <c r="P86" s="323"/>
      <c r="Q86" s="323"/>
      <c r="R86" s="323"/>
      <c r="S86" s="323"/>
      <c r="T86" s="323"/>
      <c r="U86" s="323"/>
      <c r="V86" s="323"/>
      <c r="W86" s="323"/>
      <c r="X86" s="323"/>
      <c r="Y86" s="323"/>
      <c r="Z86" s="323"/>
      <c r="AA86" s="65"/>
      <c r="AB86" s="65"/>
      <c r="AC86" s="82"/>
    </row>
    <row r="87" spans="1:68" ht="14.25" hidden="1" customHeight="1" x14ac:dyDescent="0.25">
      <c r="A87" s="313" t="s">
        <v>171</v>
      </c>
      <c r="B87" s="313"/>
      <c r="C87" s="313"/>
      <c r="D87" s="313"/>
      <c r="E87" s="313"/>
      <c r="F87" s="313"/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  <c r="T87" s="313"/>
      <c r="U87" s="313"/>
      <c r="V87" s="313"/>
      <c r="W87" s="313"/>
      <c r="X87" s="313"/>
      <c r="Y87" s="313"/>
      <c r="Z87" s="313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4301131047</v>
      </c>
      <c r="D88" s="295">
        <v>4607111034120</v>
      </c>
      <c r="E88" s="295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8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7"/>
      <c r="R88" s="297"/>
      <c r="S88" s="297"/>
      <c r="T88" s="298"/>
      <c r="U88" s="39" t="s">
        <v>46</v>
      </c>
      <c r="V88" s="39" t="s">
        <v>46</v>
      </c>
      <c r="W88" s="40" t="s">
        <v>39</v>
      </c>
      <c r="X88" s="58">
        <v>98</v>
      </c>
      <c r="Y88" s="55">
        <f>IFERROR(IF(X88="","",X88),"")</f>
        <v>98</v>
      </c>
      <c r="Z88" s="41">
        <f>IFERROR(IF(X88="","",X88*0.01788),"")</f>
        <v>1.75224</v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421.75280000000004</v>
      </c>
      <c r="BN88" s="81">
        <f>IFERROR(Y88*I88,"0")</f>
        <v>421.75280000000004</v>
      </c>
      <c r="BO88" s="81">
        <f>IFERROR(X88/J88,"0")</f>
        <v>1.4</v>
      </c>
      <c r="BP88" s="81">
        <f>IFERROR(Y88/J88,"0")</f>
        <v>1.4</v>
      </c>
    </row>
    <row r="89" spans="1:68" ht="27" customHeight="1" x14ac:dyDescent="0.25">
      <c r="A89" s="63" t="s">
        <v>175</v>
      </c>
      <c r="B89" s="63" t="s">
        <v>176</v>
      </c>
      <c r="C89" s="36">
        <v>4301131046</v>
      </c>
      <c r="D89" s="295">
        <v>4607111034137</v>
      </c>
      <c r="E89" s="295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8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7"/>
      <c r="R89" s="297"/>
      <c r="S89" s="297"/>
      <c r="T89" s="298"/>
      <c r="U89" s="39" t="s">
        <v>46</v>
      </c>
      <c r="V89" s="39" t="s">
        <v>46</v>
      </c>
      <c r="W89" s="40" t="s">
        <v>39</v>
      </c>
      <c r="X89" s="58">
        <v>84</v>
      </c>
      <c r="Y89" s="55">
        <f>IFERROR(IF(X89="","",X89),"")</f>
        <v>84</v>
      </c>
      <c r="Z89" s="41">
        <f>IFERROR(IF(X89="","",X89*0.01788),"")</f>
        <v>1.5019199999999999</v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361.50240000000002</v>
      </c>
      <c r="BN89" s="81">
        <f>IFERROR(Y89*I89,"0")</f>
        <v>361.50240000000002</v>
      </c>
      <c r="BO89" s="81">
        <f>IFERROR(X89/J89,"0")</f>
        <v>1.2</v>
      </c>
      <c r="BP89" s="81">
        <f>IFERROR(Y89/J89,"0")</f>
        <v>1.2</v>
      </c>
    </row>
    <row r="90" spans="1:68" x14ac:dyDescent="0.2">
      <c r="A90" s="302"/>
      <c r="B90" s="302"/>
      <c r="C90" s="302"/>
      <c r="D90" s="302"/>
      <c r="E90" s="302"/>
      <c r="F90" s="302"/>
      <c r="G90" s="302"/>
      <c r="H90" s="302"/>
      <c r="I90" s="302"/>
      <c r="J90" s="302"/>
      <c r="K90" s="302"/>
      <c r="L90" s="302"/>
      <c r="M90" s="302"/>
      <c r="N90" s="302"/>
      <c r="O90" s="303"/>
      <c r="P90" s="299" t="s">
        <v>40</v>
      </c>
      <c r="Q90" s="300"/>
      <c r="R90" s="300"/>
      <c r="S90" s="300"/>
      <c r="T90" s="300"/>
      <c r="U90" s="300"/>
      <c r="V90" s="301"/>
      <c r="W90" s="42" t="s">
        <v>39</v>
      </c>
      <c r="X90" s="43">
        <f>IFERROR(SUM(X88:X89),"0")</f>
        <v>182</v>
      </c>
      <c r="Y90" s="43">
        <f>IFERROR(SUM(Y88:Y89),"0")</f>
        <v>182</v>
      </c>
      <c r="Z90" s="43">
        <f>IFERROR(IF(Z88="",0,Z88),"0")+IFERROR(IF(Z89="",0,Z89),"0")</f>
        <v>3.2541599999999997</v>
      </c>
      <c r="AA90" s="67"/>
      <c r="AB90" s="67"/>
      <c r="AC90" s="67"/>
    </row>
    <row r="91" spans="1:68" x14ac:dyDescent="0.2">
      <c r="A91" s="302"/>
      <c r="B91" s="302"/>
      <c r="C91" s="302"/>
      <c r="D91" s="302"/>
      <c r="E91" s="302"/>
      <c r="F91" s="302"/>
      <c r="G91" s="302"/>
      <c r="H91" s="302"/>
      <c r="I91" s="302"/>
      <c r="J91" s="302"/>
      <c r="K91" s="302"/>
      <c r="L91" s="302"/>
      <c r="M91" s="302"/>
      <c r="N91" s="302"/>
      <c r="O91" s="303"/>
      <c r="P91" s="299" t="s">
        <v>40</v>
      </c>
      <c r="Q91" s="300"/>
      <c r="R91" s="300"/>
      <c r="S91" s="300"/>
      <c r="T91" s="300"/>
      <c r="U91" s="300"/>
      <c r="V91" s="301"/>
      <c r="W91" s="42" t="s">
        <v>0</v>
      </c>
      <c r="X91" s="43">
        <f>IFERROR(SUMPRODUCT(X88:X89*H88:H89),"0")</f>
        <v>655.20000000000005</v>
      </c>
      <c r="Y91" s="43">
        <f>IFERROR(SUMPRODUCT(Y88:Y89*H88:H89),"0")</f>
        <v>655.20000000000005</v>
      </c>
      <c r="Z91" s="42"/>
      <c r="AA91" s="67"/>
      <c r="AB91" s="67"/>
      <c r="AC91" s="67"/>
    </row>
    <row r="92" spans="1:68" ht="16.5" hidden="1" customHeight="1" x14ac:dyDescent="0.25">
      <c r="A92" s="323" t="s">
        <v>178</v>
      </c>
      <c r="B92" s="323"/>
      <c r="C92" s="323"/>
      <c r="D92" s="323"/>
      <c r="E92" s="323"/>
      <c r="F92" s="323"/>
      <c r="G92" s="323"/>
      <c r="H92" s="323"/>
      <c r="I92" s="323"/>
      <c r="J92" s="323"/>
      <c r="K92" s="323"/>
      <c r="L92" s="323"/>
      <c r="M92" s="323"/>
      <c r="N92" s="323"/>
      <c r="O92" s="323"/>
      <c r="P92" s="323"/>
      <c r="Q92" s="323"/>
      <c r="R92" s="323"/>
      <c r="S92" s="323"/>
      <c r="T92" s="323"/>
      <c r="U92" s="323"/>
      <c r="V92" s="323"/>
      <c r="W92" s="323"/>
      <c r="X92" s="323"/>
      <c r="Y92" s="323"/>
      <c r="Z92" s="323"/>
      <c r="AA92" s="65"/>
      <c r="AB92" s="65"/>
      <c r="AC92" s="82"/>
    </row>
    <row r="93" spans="1:68" ht="14.25" hidden="1" customHeight="1" x14ac:dyDescent="0.25">
      <c r="A93" s="313" t="s">
        <v>151</v>
      </c>
      <c r="B93" s="313"/>
      <c r="C93" s="313"/>
      <c r="D93" s="313"/>
      <c r="E93" s="313"/>
      <c r="F93" s="313"/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  <c r="T93" s="313"/>
      <c r="U93" s="313"/>
      <c r="V93" s="313"/>
      <c r="W93" s="313"/>
      <c r="X93" s="313"/>
      <c r="Y93" s="313"/>
      <c r="Z93" s="313"/>
      <c r="AA93" s="66"/>
      <c r="AB93" s="66"/>
      <c r="AC93" s="83"/>
    </row>
    <row r="94" spans="1:68" ht="27" hidden="1" customHeight="1" x14ac:dyDescent="0.25">
      <c r="A94" s="63" t="s">
        <v>179</v>
      </c>
      <c r="B94" s="63" t="s">
        <v>180</v>
      </c>
      <c r="C94" s="36">
        <v>4301135763</v>
      </c>
      <c r="D94" s="295">
        <v>4620207491027</v>
      </c>
      <c r="E94" s="295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7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7"/>
      <c r="R94" s="297"/>
      <c r="S94" s="297"/>
      <c r="T94" s="298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99" si="6">IFERROR(IF(X94="","",X94),"")</f>
        <v>0</v>
      </c>
      <c r="Z94" s="41">
        <f t="shared" ref="Z94:Z99" si="7">IFERROR(IF(X94="","",X94*0.01788),"")</f>
        <v>0</v>
      </c>
      <c r="AA94" s="68" t="s">
        <v>46</v>
      </c>
      <c r="AB94" s="69" t="s">
        <v>46</v>
      </c>
      <c r="AC94" s="147" t="s">
        <v>169</v>
      </c>
      <c r="AG94" s="81"/>
      <c r="AJ94" s="87" t="s">
        <v>89</v>
      </c>
      <c r="AK94" s="87">
        <v>1</v>
      </c>
      <c r="BB94" s="148" t="s">
        <v>117</v>
      </c>
      <c r="BM94" s="81">
        <f t="shared" ref="BM94:BM99" si="8">IFERROR(X94*I94,"0")</f>
        <v>0</v>
      </c>
      <c r="BN94" s="81">
        <f t="shared" ref="BN94:BN99" si="9">IFERROR(Y94*I94,"0")</f>
        <v>0</v>
      </c>
      <c r="BO94" s="81">
        <f t="shared" ref="BO94:BO99" si="10">IFERROR(X94/J94,"0")</f>
        <v>0</v>
      </c>
      <c r="BP94" s="81">
        <f t="shared" ref="BP94:BP99" si="11">IFERROR(Y94/J94,"0")</f>
        <v>0</v>
      </c>
    </row>
    <row r="95" spans="1:68" ht="27" customHeight="1" x14ac:dyDescent="0.25">
      <c r="A95" s="63" t="s">
        <v>181</v>
      </c>
      <c r="B95" s="63" t="s">
        <v>182</v>
      </c>
      <c r="C95" s="36">
        <v>4301135793</v>
      </c>
      <c r="D95" s="295">
        <v>4620207491003</v>
      </c>
      <c r="E95" s="295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119</v>
      </c>
      <c r="M95" s="38" t="s">
        <v>86</v>
      </c>
      <c r="N95" s="38"/>
      <c r="O95" s="37">
        <v>180</v>
      </c>
      <c r="P95" s="37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7"/>
      <c r="R95" s="297"/>
      <c r="S95" s="297"/>
      <c r="T95" s="298"/>
      <c r="U95" s="39" t="s">
        <v>46</v>
      </c>
      <c r="V95" s="39" t="s">
        <v>46</v>
      </c>
      <c r="W95" s="40" t="s">
        <v>39</v>
      </c>
      <c r="X95" s="58">
        <v>112</v>
      </c>
      <c r="Y95" s="55">
        <f t="shared" si="6"/>
        <v>112</v>
      </c>
      <c r="Z95" s="41">
        <f t="shared" si="7"/>
        <v>2.0025599999999999</v>
      </c>
      <c r="AA95" s="68" t="s">
        <v>46</v>
      </c>
      <c r="AB95" s="69" t="s">
        <v>46</v>
      </c>
      <c r="AC95" s="149" t="s">
        <v>169</v>
      </c>
      <c r="AG95" s="81"/>
      <c r="AJ95" s="87" t="s">
        <v>120</v>
      </c>
      <c r="AK95" s="87">
        <v>14</v>
      </c>
      <c r="BB95" s="150" t="s">
        <v>117</v>
      </c>
      <c r="BM95" s="81">
        <f t="shared" si="8"/>
        <v>401.36320000000001</v>
      </c>
      <c r="BN95" s="81">
        <f t="shared" si="9"/>
        <v>401.36320000000001</v>
      </c>
      <c r="BO95" s="81">
        <f t="shared" si="10"/>
        <v>1.6</v>
      </c>
      <c r="BP95" s="81">
        <f t="shared" si="11"/>
        <v>1.6</v>
      </c>
    </row>
    <row r="96" spans="1:68" ht="27" hidden="1" customHeight="1" x14ac:dyDescent="0.25">
      <c r="A96" s="63" t="s">
        <v>183</v>
      </c>
      <c r="B96" s="63" t="s">
        <v>184</v>
      </c>
      <c r="C96" s="36">
        <v>4301135990</v>
      </c>
      <c r="D96" s="295">
        <v>4620207491881</v>
      </c>
      <c r="E96" s="295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7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297"/>
      <c r="R96" s="297"/>
      <c r="S96" s="297"/>
      <c r="T96" s="298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185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186</v>
      </c>
      <c r="B97" s="63" t="s">
        <v>187</v>
      </c>
      <c r="C97" s="36">
        <v>4301135760</v>
      </c>
      <c r="D97" s="295">
        <v>4620207491010</v>
      </c>
      <c r="E97" s="295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38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7"/>
      <c r="R97" s="297"/>
      <c r="S97" s="297"/>
      <c r="T97" s="298"/>
      <c r="U97" s="39" t="s">
        <v>46</v>
      </c>
      <c r="V97" s="39" t="s">
        <v>46</v>
      </c>
      <c r="W97" s="40" t="s">
        <v>39</v>
      </c>
      <c r="X97" s="58">
        <v>112</v>
      </c>
      <c r="Y97" s="55">
        <f t="shared" si="6"/>
        <v>112</v>
      </c>
      <c r="Z97" s="41">
        <f t="shared" si="7"/>
        <v>2.0025599999999999</v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401.36320000000001</v>
      </c>
      <c r="BN97" s="81">
        <f t="shared" si="9"/>
        <v>401.36320000000001</v>
      </c>
      <c r="BO97" s="81">
        <f t="shared" si="10"/>
        <v>1.6</v>
      </c>
      <c r="BP97" s="81">
        <f t="shared" si="11"/>
        <v>1.6</v>
      </c>
    </row>
    <row r="98" spans="1:68" ht="27" hidden="1" customHeight="1" x14ac:dyDescent="0.25">
      <c r="A98" s="63" t="s">
        <v>188</v>
      </c>
      <c r="B98" s="63" t="s">
        <v>189</v>
      </c>
      <c r="C98" s="36">
        <v>4301135984</v>
      </c>
      <c r="D98" s="295">
        <v>4620207491874</v>
      </c>
      <c r="E98" s="295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38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7"/>
      <c r="R98" s="297"/>
      <c r="S98" s="297"/>
      <c r="T98" s="298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185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190</v>
      </c>
      <c r="B99" s="63" t="s">
        <v>191</v>
      </c>
      <c r="C99" s="36">
        <v>4301135285</v>
      </c>
      <c r="D99" s="295">
        <v>4607111036407</v>
      </c>
      <c r="E99" s="295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37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7"/>
      <c r="R99" s="297"/>
      <c r="S99" s="297"/>
      <c r="T99" s="298"/>
      <c r="U99" s="39" t="s">
        <v>46</v>
      </c>
      <c r="V99" s="39" t="s">
        <v>46</v>
      </c>
      <c r="W99" s="40" t="s">
        <v>39</v>
      </c>
      <c r="X99" s="58">
        <v>84</v>
      </c>
      <c r="Y99" s="55">
        <f t="shared" si="6"/>
        <v>84</v>
      </c>
      <c r="Z99" s="41">
        <f t="shared" si="7"/>
        <v>1.5019199999999999</v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380.45280000000002</v>
      </c>
      <c r="BN99" s="81">
        <f t="shared" si="9"/>
        <v>380.45280000000002</v>
      </c>
      <c r="BO99" s="81">
        <f t="shared" si="10"/>
        <v>1.2</v>
      </c>
      <c r="BP99" s="81">
        <f t="shared" si="11"/>
        <v>1.2</v>
      </c>
    </row>
    <row r="100" spans="1:68" x14ac:dyDescent="0.2">
      <c r="A100" s="302"/>
      <c r="B100" s="302"/>
      <c r="C100" s="302"/>
      <c r="D100" s="302"/>
      <c r="E100" s="302"/>
      <c r="F100" s="302"/>
      <c r="G100" s="302"/>
      <c r="H100" s="302"/>
      <c r="I100" s="302"/>
      <c r="J100" s="302"/>
      <c r="K100" s="302"/>
      <c r="L100" s="302"/>
      <c r="M100" s="302"/>
      <c r="N100" s="302"/>
      <c r="O100" s="303"/>
      <c r="P100" s="299" t="s">
        <v>40</v>
      </c>
      <c r="Q100" s="300"/>
      <c r="R100" s="300"/>
      <c r="S100" s="300"/>
      <c r="T100" s="300"/>
      <c r="U100" s="300"/>
      <c r="V100" s="301"/>
      <c r="W100" s="42" t="s">
        <v>39</v>
      </c>
      <c r="X100" s="43">
        <f>IFERROR(SUM(X94:X99),"0")</f>
        <v>308</v>
      </c>
      <c r="Y100" s="43">
        <f>IFERROR(SUM(Y94:Y99),"0")</f>
        <v>308</v>
      </c>
      <c r="Z100" s="43">
        <f>IFERROR(IF(Z94="",0,Z94),"0")+IFERROR(IF(Z95="",0,Z95),"0")+IFERROR(IF(Z96="",0,Z96),"0")+IFERROR(IF(Z97="",0,Z97),"0")+IFERROR(IF(Z98="",0,Z98),"0")+IFERROR(IF(Z99="",0,Z99),"0")</f>
        <v>5.5070399999999999</v>
      </c>
      <c r="AA100" s="67"/>
      <c r="AB100" s="67"/>
      <c r="AC100" s="67"/>
    </row>
    <row r="101" spans="1:68" x14ac:dyDescent="0.2">
      <c r="A101" s="302"/>
      <c r="B101" s="302"/>
      <c r="C101" s="302"/>
      <c r="D101" s="302"/>
      <c r="E101" s="302"/>
      <c r="F101" s="302"/>
      <c r="G101" s="302"/>
      <c r="H101" s="302"/>
      <c r="I101" s="302"/>
      <c r="J101" s="302"/>
      <c r="K101" s="302"/>
      <c r="L101" s="302"/>
      <c r="M101" s="302"/>
      <c r="N101" s="302"/>
      <c r="O101" s="303"/>
      <c r="P101" s="299" t="s">
        <v>40</v>
      </c>
      <c r="Q101" s="300"/>
      <c r="R101" s="300"/>
      <c r="S101" s="300"/>
      <c r="T101" s="300"/>
      <c r="U101" s="300"/>
      <c r="V101" s="301"/>
      <c r="W101" s="42" t="s">
        <v>0</v>
      </c>
      <c r="X101" s="43">
        <f>IFERROR(SUMPRODUCT(X94:X99*H94:H99),"0")</f>
        <v>997.92000000000007</v>
      </c>
      <c r="Y101" s="43">
        <f>IFERROR(SUMPRODUCT(Y94:Y99*H94:H99),"0")</f>
        <v>997.92000000000007</v>
      </c>
      <c r="Z101" s="42"/>
      <c r="AA101" s="67"/>
      <c r="AB101" s="67"/>
      <c r="AC101" s="67"/>
    </row>
    <row r="102" spans="1:68" ht="16.5" hidden="1" customHeight="1" x14ac:dyDescent="0.25">
      <c r="A102" s="323" t="s">
        <v>193</v>
      </c>
      <c r="B102" s="323"/>
      <c r="C102" s="323"/>
      <c r="D102" s="323"/>
      <c r="E102" s="323"/>
      <c r="F102" s="323"/>
      <c r="G102" s="323"/>
      <c r="H102" s="323"/>
      <c r="I102" s="323"/>
      <c r="J102" s="323"/>
      <c r="K102" s="323"/>
      <c r="L102" s="323"/>
      <c r="M102" s="323"/>
      <c r="N102" s="323"/>
      <c r="O102" s="323"/>
      <c r="P102" s="323"/>
      <c r="Q102" s="323"/>
      <c r="R102" s="323"/>
      <c r="S102" s="323"/>
      <c r="T102" s="323"/>
      <c r="U102" s="323"/>
      <c r="V102" s="323"/>
      <c r="W102" s="323"/>
      <c r="X102" s="323"/>
      <c r="Y102" s="323"/>
      <c r="Z102" s="323"/>
      <c r="AA102" s="65"/>
      <c r="AB102" s="65"/>
      <c r="AC102" s="82"/>
    </row>
    <row r="103" spans="1:68" ht="14.25" hidden="1" customHeight="1" x14ac:dyDescent="0.25">
      <c r="A103" s="313" t="s">
        <v>145</v>
      </c>
      <c r="B103" s="313"/>
      <c r="C103" s="313"/>
      <c r="D103" s="313"/>
      <c r="E103" s="313"/>
      <c r="F103" s="313"/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  <c r="T103" s="313"/>
      <c r="U103" s="313"/>
      <c r="V103" s="313"/>
      <c r="W103" s="313"/>
      <c r="X103" s="313"/>
      <c r="Y103" s="313"/>
      <c r="Z103" s="313"/>
      <c r="AA103" s="66"/>
      <c r="AB103" s="66"/>
      <c r="AC103" s="83"/>
    </row>
    <row r="104" spans="1:68" ht="27" customHeight="1" x14ac:dyDescent="0.25">
      <c r="A104" s="63" t="s">
        <v>194</v>
      </c>
      <c r="B104" s="63" t="s">
        <v>195</v>
      </c>
      <c r="C104" s="36">
        <v>4301136070</v>
      </c>
      <c r="D104" s="295">
        <v>4607025784012</v>
      </c>
      <c r="E104" s="295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37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7"/>
      <c r="R104" s="297"/>
      <c r="S104" s="297"/>
      <c r="T104" s="298"/>
      <c r="U104" s="39" t="s">
        <v>46</v>
      </c>
      <c r="V104" s="39" t="s">
        <v>46</v>
      </c>
      <c r="W104" s="40" t="s">
        <v>39</v>
      </c>
      <c r="X104" s="58">
        <v>84</v>
      </c>
      <c r="Y104" s="55">
        <f>IFERROR(IF(X104="","",X104),"")</f>
        <v>84</v>
      </c>
      <c r="Z104" s="41">
        <f>IFERROR(IF(X104="","",X104*0.00936),"")</f>
        <v>0.78624000000000005</v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209.26080000000002</v>
      </c>
      <c r="BN104" s="81">
        <f>IFERROR(Y104*I104,"0")</f>
        <v>209.26080000000002</v>
      </c>
      <c r="BO104" s="81">
        <f>IFERROR(X104/J104,"0")</f>
        <v>0.66666666666666663</v>
      </c>
      <c r="BP104" s="81">
        <f>IFERROR(Y104/J104,"0")</f>
        <v>0.66666666666666663</v>
      </c>
    </row>
    <row r="105" spans="1:68" ht="27" hidden="1" customHeight="1" x14ac:dyDescent="0.25">
      <c r="A105" s="63" t="s">
        <v>197</v>
      </c>
      <c r="B105" s="63" t="s">
        <v>198</v>
      </c>
      <c r="C105" s="36">
        <v>4301136103</v>
      </c>
      <c r="D105" s="295">
        <v>4620207491645</v>
      </c>
      <c r="E105" s="295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37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7"/>
      <c r="R105" s="297"/>
      <c r="S105" s="297"/>
      <c r="T105" s="298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302"/>
      <c r="B106" s="302"/>
      <c r="C106" s="302"/>
      <c r="D106" s="302"/>
      <c r="E106" s="302"/>
      <c r="F106" s="302"/>
      <c r="G106" s="302"/>
      <c r="H106" s="302"/>
      <c r="I106" s="302"/>
      <c r="J106" s="302"/>
      <c r="K106" s="302"/>
      <c r="L106" s="302"/>
      <c r="M106" s="302"/>
      <c r="N106" s="302"/>
      <c r="O106" s="303"/>
      <c r="P106" s="299" t="s">
        <v>40</v>
      </c>
      <c r="Q106" s="300"/>
      <c r="R106" s="300"/>
      <c r="S106" s="300"/>
      <c r="T106" s="300"/>
      <c r="U106" s="300"/>
      <c r="V106" s="301"/>
      <c r="W106" s="42" t="s">
        <v>39</v>
      </c>
      <c r="X106" s="43">
        <f>IFERROR(SUM(X104:X105),"0")</f>
        <v>84</v>
      </c>
      <c r="Y106" s="43">
        <f>IFERROR(SUM(Y104:Y105),"0")</f>
        <v>84</v>
      </c>
      <c r="Z106" s="43">
        <f>IFERROR(IF(Z104="",0,Z104),"0")+IFERROR(IF(Z105="",0,Z105),"0")</f>
        <v>0.78624000000000005</v>
      </c>
      <c r="AA106" s="67"/>
      <c r="AB106" s="67"/>
      <c r="AC106" s="67"/>
    </row>
    <row r="107" spans="1:68" x14ac:dyDescent="0.2">
      <c r="A107" s="302"/>
      <c r="B107" s="302"/>
      <c r="C107" s="302"/>
      <c r="D107" s="302"/>
      <c r="E107" s="302"/>
      <c r="F107" s="302"/>
      <c r="G107" s="302"/>
      <c r="H107" s="302"/>
      <c r="I107" s="302"/>
      <c r="J107" s="302"/>
      <c r="K107" s="302"/>
      <c r="L107" s="302"/>
      <c r="M107" s="302"/>
      <c r="N107" s="302"/>
      <c r="O107" s="303"/>
      <c r="P107" s="299" t="s">
        <v>40</v>
      </c>
      <c r="Q107" s="300"/>
      <c r="R107" s="300"/>
      <c r="S107" s="300"/>
      <c r="T107" s="300"/>
      <c r="U107" s="300"/>
      <c r="V107" s="301"/>
      <c r="W107" s="42" t="s">
        <v>0</v>
      </c>
      <c r="X107" s="43">
        <f>IFERROR(SUMPRODUCT(X104:X105*H104:H105),"0")</f>
        <v>181.44</v>
      </c>
      <c r="Y107" s="43">
        <f>IFERROR(SUMPRODUCT(Y104:Y105*H104:H105),"0")</f>
        <v>181.44</v>
      </c>
      <c r="Z107" s="42"/>
      <c r="AA107" s="67"/>
      <c r="AB107" s="67"/>
      <c r="AC107" s="67"/>
    </row>
    <row r="108" spans="1:68" ht="16.5" hidden="1" customHeight="1" x14ac:dyDescent="0.25">
      <c r="A108" s="323" t="s">
        <v>200</v>
      </c>
      <c r="B108" s="323"/>
      <c r="C108" s="323"/>
      <c r="D108" s="323"/>
      <c r="E108" s="323"/>
      <c r="F108" s="323"/>
      <c r="G108" s="323"/>
      <c r="H108" s="323"/>
      <c r="I108" s="323"/>
      <c r="J108" s="323"/>
      <c r="K108" s="323"/>
      <c r="L108" s="323"/>
      <c r="M108" s="323"/>
      <c r="N108" s="323"/>
      <c r="O108" s="323"/>
      <c r="P108" s="323"/>
      <c r="Q108" s="323"/>
      <c r="R108" s="323"/>
      <c r="S108" s="323"/>
      <c r="T108" s="323"/>
      <c r="U108" s="323"/>
      <c r="V108" s="323"/>
      <c r="W108" s="323"/>
      <c r="X108" s="323"/>
      <c r="Y108" s="323"/>
      <c r="Z108" s="323"/>
      <c r="AA108" s="65"/>
      <c r="AB108" s="65"/>
      <c r="AC108" s="82"/>
    </row>
    <row r="109" spans="1:68" ht="14.25" hidden="1" customHeight="1" x14ac:dyDescent="0.25">
      <c r="A109" s="313" t="s">
        <v>82</v>
      </c>
      <c r="B109" s="313"/>
      <c r="C109" s="313"/>
      <c r="D109" s="313"/>
      <c r="E109" s="313"/>
      <c r="F109" s="313"/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  <c r="T109" s="313"/>
      <c r="U109" s="313"/>
      <c r="V109" s="313"/>
      <c r="W109" s="313"/>
      <c r="X109" s="313"/>
      <c r="Y109" s="313"/>
      <c r="Z109" s="313"/>
      <c r="AA109" s="66"/>
      <c r="AB109" s="66"/>
      <c r="AC109" s="83"/>
    </row>
    <row r="110" spans="1:68" ht="27" hidden="1" customHeight="1" x14ac:dyDescent="0.25">
      <c r="A110" s="63" t="s">
        <v>201</v>
      </c>
      <c r="B110" s="63" t="s">
        <v>202</v>
      </c>
      <c r="C110" s="36">
        <v>4301071074</v>
      </c>
      <c r="D110" s="295">
        <v>4620207491157</v>
      </c>
      <c r="E110" s="295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37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7"/>
      <c r="R110" s="297"/>
      <c r="S110" s="297"/>
      <c r="T110" s="298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8" si="12">IFERROR(IF(X110="","",X110),"")</f>
        <v>0</v>
      </c>
      <c r="Z110" s="41">
        <f t="shared" ref="Z110:Z118" si="13">IFERROR(IF(X110="","",X110*0.0155),"")</f>
        <v>0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0</v>
      </c>
      <c r="BN110" s="81">
        <f t="shared" ref="BN110:BN118" si="15">IFERROR(Y110*I110,"0")</f>
        <v>0</v>
      </c>
      <c r="BO110" s="81">
        <f t="shared" ref="BO110:BO118" si="16">IFERROR(X110/J110,"0")</f>
        <v>0</v>
      </c>
      <c r="BP110" s="81">
        <f t="shared" ref="BP110:BP118" si="17">IFERROR(Y110/J110,"0")</f>
        <v>0</v>
      </c>
    </row>
    <row r="111" spans="1:68" ht="27" hidden="1" customHeight="1" x14ac:dyDescent="0.25">
      <c r="A111" s="63" t="s">
        <v>204</v>
      </c>
      <c r="B111" s="63" t="s">
        <v>205</v>
      </c>
      <c r="C111" s="36">
        <v>4301071121</v>
      </c>
      <c r="D111" s="295">
        <v>4620207491393</v>
      </c>
      <c r="E111" s="295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36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7"/>
      <c r="R111" s="297"/>
      <c r="S111" s="297"/>
      <c r="T111" s="298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207</v>
      </c>
      <c r="B112" s="63" t="s">
        <v>208</v>
      </c>
      <c r="C112" s="36">
        <v>4301071136</v>
      </c>
      <c r="D112" s="295">
        <v>4620207491829</v>
      </c>
      <c r="E112" s="295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369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7"/>
      <c r="R112" s="297"/>
      <c r="S112" s="297"/>
      <c r="T112" s="298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206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209</v>
      </c>
      <c r="B113" s="63" t="s">
        <v>210</v>
      </c>
      <c r="C113" s="36">
        <v>4301071051</v>
      </c>
      <c r="D113" s="295">
        <v>4607111039262</v>
      </c>
      <c r="E113" s="295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37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7"/>
      <c r="R113" s="297"/>
      <c r="S113" s="297"/>
      <c r="T113" s="298"/>
      <c r="U113" s="39" t="s">
        <v>46</v>
      </c>
      <c r="V113" s="39" t="s">
        <v>46</v>
      </c>
      <c r="W113" s="40" t="s">
        <v>39</v>
      </c>
      <c r="X113" s="58">
        <v>72</v>
      </c>
      <c r="Y113" s="55">
        <f t="shared" si="12"/>
        <v>72</v>
      </c>
      <c r="Z113" s="41">
        <f t="shared" si="13"/>
        <v>1.1160000000000001</v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483.81119999999999</v>
      </c>
      <c r="BN113" s="81">
        <f t="shared" si="15"/>
        <v>483.81119999999999</v>
      </c>
      <c r="BO113" s="81">
        <f t="shared" si="16"/>
        <v>0.8571428571428571</v>
      </c>
      <c r="BP113" s="81">
        <f t="shared" si="17"/>
        <v>0.8571428571428571</v>
      </c>
    </row>
    <row r="114" spans="1:68" ht="27" customHeight="1" x14ac:dyDescent="0.25">
      <c r="A114" s="63" t="s">
        <v>211</v>
      </c>
      <c r="B114" s="63" t="s">
        <v>212</v>
      </c>
      <c r="C114" s="36">
        <v>4301071038</v>
      </c>
      <c r="D114" s="295">
        <v>4607111039248</v>
      </c>
      <c r="E114" s="295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37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7"/>
      <c r="R114" s="297"/>
      <c r="S114" s="297"/>
      <c r="T114" s="298"/>
      <c r="U114" s="39" t="s">
        <v>46</v>
      </c>
      <c r="V114" s="39" t="s">
        <v>46</v>
      </c>
      <c r="W114" s="40" t="s">
        <v>39</v>
      </c>
      <c r="X114" s="58">
        <v>144</v>
      </c>
      <c r="Y114" s="55">
        <f t="shared" si="12"/>
        <v>144</v>
      </c>
      <c r="Z114" s="41">
        <f t="shared" si="13"/>
        <v>2.2320000000000002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1051.2</v>
      </c>
      <c r="BN114" s="81">
        <f t="shared" si="15"/>
        <v>1051.2</v>
      </c>
      <c r="BO114" s="81">
        <f t="shared" si="16"/>
        <v>1.7142857142857142</v>
      </c>
      <c r="BP114" s="81">
        <f t="shared" si="17"/>
        <v>1.7142857142857142</v>
      </c>
    </row>
    <row r="115" spans="1:68" ht="27" hidden="1" customHeight="1" x14ac:dyDescent="0.25">
      <c r="A115" s="63" t="s">
        <v>213</v>
      </c>
      <c r="B115" s="63" t="s">
        <v>214</v>
      </c>
      <c r="C115" s="36">
        <v>4301070979</v>
      </c>
      <c r="D115" s="295">
        <v>4607111037145</v>
      </c>
      <c r="E115" s="295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7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7"/>
      <c r="R115" s="297"/>
      <c r="S115" s="297"/>
      <c r="T115" s="298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215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216</v>
      </c>
      <c r="B116" s="63" t="s">
        <v>217</v>
      </c>
      <c r="C116" s="36">
        <v>4301071075</v>
      </c>
      <c r="D116" s="295">
        <v>4620207491102</v>
      </c>
      <c r="E116" s="295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6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297"/>
      <c r="R116" s="297"/>
      <c r="S116" s="297"/>
      <c r="T116" s="298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218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219</v>
      </c>
      <c r="B117" s="63" t="s">
        <v>220</v>
      </c>
      <c r="C117" s="36">
        <v>4301071049</v>
      </c>
      <c r="D117" s="295">
        <v>4607111039293</v>
      </c>
      <c r="E117" s="295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36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297"/>
      <c r="R117" s="297"/>
      <c r="S117" s="297"/>
      <c r="T117" s="298"/>
      <c r="U117" s="39" t="s">
        <v>46</v>
      </c>
      <c r="V117" s="39" t="s">
        <v>46</v>
      </c>
      <c r="W117" s="40" t="s">
        <v>39</v>
      </c>
      <c r="X117" s="58">
        <v>72</v>
      </c>
      <c r="Y117" s="55">
        <f t="shared" si="12"/>
        <v>72</v>
      </c>
      <c r="Z117" s="41">
        <f t="shared" si="13"/>
        <v>1.1160000000000001</v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483.81119999999999</v>
      </c>
      <c r="BN117" s="81">
        <f t="shared" si="15"/>
        <v>483.81119999999999</v>
      </c>
      <c r="BO117" s="81">
        <f t="shared" si="16"/>
        <v>0.8571428571428571</v>
      </c>
      <c r="BP117" s="81">
        <f t="shared" si="17"/>
        <v>0.8571428571428571</v>
      </c>
    </row>
    <row r="118" spans="1:68" ht="27" customHeight="1" x14ac:dyDescent="0.25">
      <c r="A118" s="63" t="s">
        <v>221</v>
      </c>
      <c r="B118" s="63" t="s">
        <v>222</v>
      </c>
      <c r="C118" s="36">
        <v>4301071039</v>
      </c>
      <c r="D118" s="295">
        <v>4607111039279</v>
      </c>
      <c r="E118" s="295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36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297"/>
      <c r="R118" s="297"/>
      <c r="S118" s="297"/>
      <c r="T118" s="298"/>
      <c r="U118" s="39" t="s">
        <v>46</v>
      </c>
      <c r="V118" s="39" t="s">
        <v>46</v>
      </c>
      <c r="W118" s="40" t="s">
        <v>39</v>
      </c>
      <c r="X118" s="58">
        <v>120</v>
      </c>
      <c r="Y118" s="55">
        <f t="shared" si="12"/>
        <v>120</v>
      </c>
      <c r="Z118" s="41">
        <f t="shared" si="13"/>
        <v>1.8599999999999999</v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876</v>
      </c>
      <c r="BN118" s="81">
        <f t="shared" si="15"/>
        <v>876</v>
      </c>
      <c r="BO118" s="81">
        <f t="shared" si="16"/>
        <v>1.4285714285714286</v>
      </c>
      <c r="BP118" s="81">
        <f t="shared" si="17"/>
        <v>1.4285714285714286</v>
      </c>
    </row>
    <row r="119" spans="1:68" x14ac:dyDescent="0.2">
      <c r="A119" s="302"/>
      <c r="B119" s="302"/>
      <c r="C119" s="302"/>
      <c r="D119" s="302"/>
      <c r="E119" s="302"/>
      <c r="F119" s="302"/>
      <c r="G119" s="302"/>
      <c r="H119" s="302"/>
      <c r="I119" s="302"/>
      <c r="J119" s="302"/>
      <c r="K119" s="302"/>
      <c r="L119" s="302"/>
      <c r="M119" s="302"/>
      <c r="N119" s="302"/>
      <c r="O119" s="303"/>
      <c r="P119" s="299" t="s">
        <v>40</v>
      </c>
      <c r="Q119" s="300"/>
      <c r="R119" s="300"/>
      <c r="S119" s="300"/>
      <c r="T119" s="300"/>
      <c r="U119" s="300"/>
      <c r="V119" s="301"/>
      <c r="W119" s="42" t="s">
        <v>39</v>
      </c>
      <c r="X119" s="43">
        <f>IFERROR(SUM(X110:X118),"0")</f>
        <v>408</v>
      </c>
      <c r="Y119" s="43">
        <f>IFERROR(SUM(Y110:Y118),"0")</f>
        <v>408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6.3239999999999998</v>
      </c>
      <c r="AA119" s="67"/>
      <c r="AB119" s="67"/>
      <c r="AC119" s="67"/>
    </row>
    <row r="120" spans="1:68" x14ac:dyDescent="0.2">
      <c r="A120" s="302"/>
      <c r="B120" s="302"/>
      <c r="C120" s="302"/>
      <c r="D120" s="302"/>
      <c r="E120" s="302"/>
      <c r="F120" s="302"/>
      <c r="G120" s="302"/>
      <c r="H120" s="302"/>
      <c r="I120" s="302"/>
      <c r="J120" s="302"/>
      <c r="K120" s="302"/>
      <c r="L120" s="302"/>
      <c r="M120" s="302"/>
      <c r="N120" s="302"/>
      <c r="O120" s="303"/>
      <c r="P120" s="299" t="s">
        <v>40</v>
      </c>
      <c r="Q120" s="300"/>
      <c r="R120" s="300"/>
      <c r="S120" s="300"/>
      <c r="T120" s="300"/>
      <c r="U120" s="300"/>
      <c r="V120" s="301"/>
      <c r="W120" s="42" t="s">
        <v>0</v>
      </c>
      <c r="X120" s="43">
        <f>IFERROR(SUMPRODUCT(X110:X118*H110:H118),"0")</f>
        <v>2769.6</v>
      </c>
      <c r="Y120" s="43">
        <f>IFERROR(SUMPRODUCT(Y110:Y118*H110:H118),"0")</f>
        <v>2769.6</v>
      </c>
      <c r="Z120" s="42"/>
      <c r="AA120" s="67"/>
      <c r="AB120" s="67"/>
      <c r="AC120" s="67"/>
    </row>
    <row r="121" spans="1:68" ht="14.25" hidden="1" customHeight="1" x14ac:dyDescent="0.25">
      <c r="A121" s="313" t="s">
        <v>151</v>
      </c>
      <c r="B121" s="313"/>
      <c r="C121" s="313"/>
      <c r="D121" s="313"/>
      <c r="E121" s="313"/>
      <c r="F121" s="313"/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  <c r="T121" s="313"/>
      <c r="U121" s="313"/>
      <c r="V121" s="313"/>
      <c r="W121" s="313"/>
      <c r="X121" s="313"/>
      <c r="Y121" s="313"/>
      <c r="Z121" s="313"/>
      <c r="AA121" s="66"/>
      <c r="AB121" s="66"/>
      <c r="AC121" s="83"/>
    </row>
    <row r="122" spans="1:68" ht="27" hidden="1" customHeight="1" x14ac:dyDescent="0.25">
      <c r="A122" s="63" t="s">
        <v>223</v>
      </c>
      <c r="B122" s="63" t="s">
        <v>224</v>
      </c>
      <c r="C122" s="36">
        <v>4301135826</v>
      </c>
      <c r="D122" s="295">
        <v>4620207490983</v>
      </c>
      <c r="E122" s="295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36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297"/>
      <c r="R122" s="297"/>
      <c r="S122" s="297"/>
      <c r="T122" s="298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225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302"/>
      <c r="B123" s="302"/>
      <c r="C123" s="302"/>
      <c r="D123" s="302"/>
      <c r="E123" s="302"/>
      <c r="F123" s="302"/>
      <c r="G123" s="302"/>
      <c r="H123" s="302"/>
      <c r="I123" s="302"/>
      <c r="J123" s="302"/>
      <c r="K123" s="302"/>
      <c r="L123" s="302"/>
      <c r="M123" s="302"/>
      <c r="N123" s="302"/>
      <c r="O123" s="303"/>
      <c r="P123" s="299" t="s">
        <v>40</v>
      </c>
      <c r="Q123" s="300"/>
      <c r="R123" s="300"/>
      <c r="S123" s="300"/>
      <c r="T123" s="300"/>
      <c r="U123" s="300"/>
      <c r="V123" s="301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302"/>
      <c r="B124" s="302"/>
      <c r="C124" s="302"/>
      <c r="D124" s="302"/>
      <c r="E124" s="302"/>
      <c r="F124" s="302"/>
      <c r="G124" s="302"/>
      <c r="H124" s="302"/>
      <c r="I124" s="302"/>
      <c r="J124" s="302"/>
      <c r="K124" s="302"/>
      <c r="L124" s="302"/>
      <c r="M124" s="302"/>
      <c r="N124" s="302"/>
      <c r="O124" s="303"/>
      <c r="P124" s="299" t="s">
        <v>40</v>
      </c>
      <c r="Q124" s="300"/>
      <c r="R124" s="300"/>
      <c r="S124" s="300"/>
      <c r="T124" s="300"/>
      <c r="U124" s="300"/>
      <c r="V124" s="301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13" t="s">
        <v>226</v>
      </c>
      <c r="B125" s="313"/>
      <c r="C125" s="313"/>
      <c r="D125" s="313"/>
      <c r="E125" s="313"/>
      <c r="F125" s="313"/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  <c r="T125" s="313"/>
      <c r="U125" s="313"/>
      <c r="V125" s="313"/>
      <c r="W125" s="313"/>
      <c r="X125" s="313"/>
      <c r="Y125" s="313"/>
      <c r="Z125" s="313"/>
      <c r="AA125" s="66"/>
      <c r="AB125" s="66"/>
      <c r="AC125" s="83"/>
    </row>
    <row r="126" spans="1:68" ht="27" hidden="1" customHeight="1" x14ac:dyDescent="0.25">
      <c r="A126" s="63" t="s">
        <v>227</v>
      </c>
      <c r="B126" s="63" t="s">
        <v>228</v>
      </c>
      <c r="C126" s="36">
        <v>4301071094</v>
      </c>
      <c r="D126" s="295">
        <v>4620207491140</v>
      </c>
      <c r="E126" s="295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36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297"/>
      <c r="R126" s="297"/>
      <c r="S126" s="297"/>
      <c r="T126" s="298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229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302"/>
      <c r="B127" s="302"/>
      <c r="C127" s="302"/>
      <c r="D127" s="302"/>
      <c r="E127" s="302"/>
      <c r="F127" s="302"/>
      <c r="G127" s="302"/>
      <c r="H127" s="302"/>
      <c r="I127" s="302"/>
      <c r="J127" s="302"/>
      <c r="K127" s="302"/>
      <c r="L127" s="302"/>
      <c r="M127" s="302"/>
      <c r="N127" s="302"/>
      <c r="O127" s="303"/>
      <c r="P127" s="299" t="s">
        <v>40</v>
      </c>
      <c r="Q127" s="300"/>
      <c r="R127" s="300"/>
      <c r="S127" s="300"/>
      <c r="T127" s="300"/>
      <c r="U127" s="300"/>
      <c r="V127" s="301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302"/>
      <c r="B128" s="302"/>
      <c r="C128" s="302"/>
      <c r="D128" s="302"/>
      <c r="E128" s="302"/>
      <c r="F128" s="302"/>
      <c r="G128" s="302"/>
      <c r="H128" s="302"/>
      <c r="I128" s="302"/>
      <c r="J128" s="302"/>
      <c r="K128" s="302"/>
      <c r="L128" s="302"/>
      <c r="M128" s="302"/>
      <c r="N128" s="302"/>
      <c r="O128" s="303"/>
      <c r="P128" s="299" t="s">
        <v>40</v>
      </c>
      <c r="Q128" s="300"/>
      <c r="R128" s="300"/>
      <c r="S128" s="300"/>
      <c r="T128" s="300"/>
      <c r="U128" s="300"/>
      <c r="V128" s="301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hidden="1" customHeight="1" x14ac:dyDescent="0.25">
      <c r="A129" s="323" t="s">
        <v>230</v>
      </c>
      <c r="B129" s="323"/>
      <c r="C129" s="323"/>
      <c r="D129" s="323"/>
      <c r="E129" s="323"/>
      <c r="F129" s="323"/>
      <c r="G129" s="323"/>
      <c r="H129" s="323"/>
      <c r="I129" s="323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65"/>
      <c r="AB129" s="65"/>
      <c r="AC129" s="82"/>
    </row>
    <row r="130" spans="1:68" ht="14.25" hidden="1" customHeight="1" x14ac:dyDescent="0.25">
      <c r="A130" s="313" t="s">
        <v>151</v>
      </c>
      <c r="B130" s="313"/>
      <c r="C130" s="313"/>
      <c r="D130" s="313"/>
      <c r="E130" s="313"/>
      <c r="F130" s="313"/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  <c r="T130" s="313"/>
      <c r="U130" s="313"/>
      <c r="V130" s="313"/>
      <c r="W130" s="313"/>
      <c r="X130" s="313"/>
      <c r="Y130" s="313"/>
      <c r="Z130" s="313"/>
      <c r="AA130" s="66"/>
      <c r="AB130" s="66"/>
      <c r="AC130" s="83"/>
    </row>
    <row r="131" spans="1:68" ht="27" hidden="1" customHeight="1" x14ac:dyDescent="0.25">
      <c r="A131" s="63" t="s">
        <v>231</v>
      </c>
      <c r="B131" s="63" t="s">
        <v>232</v>
      </c>
      <c r="C131" s="36">
        <v>4301135848</v>
      </c>
      <c r="D131" s="295">
        <v>4620207491799</v>
      </c>
      <c r="E131" s="295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36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297"/>
      <c r="R131" s="297"/>
      <c r="S131" s="297"/>
      <c r="T131" s="298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233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hidden="1" customHeight="1" x14ac:dyDescent="0.25">
      <c r="A132" s="63" t="s">
        <v>234</v>
      </c>
      <c r="B132" s="63" t="s">
        <v>235</v>
      </c>
      <c r="C132" s="36">
        <v>4301135850</v>
      </c>
      <c r="D132" s="295">
        <v>4620207491492</v>
      </c>
      <c r="E132" s="295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36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97"/>
      <c r="R132" s="297"/>
      <c r="S132" s="297"/>
      <c r="T132" s="298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233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hidden="1" customHeight="1" x14ac:dyDescent="0.25">
      <c r="A133" s="63" t="s">
        <v>236</v>
      </c>
      <c r="B133" s="63" t="s">
        <v>237</v>
      </c>
      <c r="C133" s="36">
        <v>4301190118</v>
      </c>
      <c r="D133" s="295">
        <v>4620207491461</v>
      </c>
      <c r="E133" s="295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358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97"/>
      <c r="R133" s="297"/>
      <c r="S133" s="297"/>
      <c r="T133" s="298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hidden="1" customHeight="1" x14ac:dyDescent="0.25">
      <c r="A134" s="63" t="s">
        <v>238</v>
      </c>
      <c r="B134" s="63" t="s">
        <v>239</v>
      </c>
      <c r="C134" s="36">
        <v>4301135865</v>
      </c>
      <c r="D134" s="295">
        <v>4620207491485</v>
      </c>
      <c r="E134" s="295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359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97"/>
      <c r="R134" s="297"/>
      <c r="S134" s="297"/>
      <c r="T134" s="298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91" t="s">
        <v>233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idden="1" x14ac:dyDescent="0.2">
      <c r="A135" s="302"/>
      <c r="B135" s="302"/>
      <c r="C135" s="302"/>
      <c r="D135" s="302"/>
      <c r="E135" s="302"/>
      <c r="F135" s="302"/>
      <c r="G135" s="302"/>
      <c r="H135" s="302"/>
      <c r="I135" s="302"/>
      <c r="J135" s="302"/>
      <c r="K135" s="302"/>
      <c r="L135" s="302"/>
      <c r="M135" s="302"/>
      <c r="N135" s="302"/>
      <c r="O135" s="303"/>
      <c r="P135" s="299" t="s">
        <v>40</v>
      </c>
      <c r="Q135" s="300"/>
      <c r="R135" s="300"/>
      <c r="S135" s="300"/>
      <c r="T135" s="300"/>
      <c r="U135" s="300"/>
      <c r="V135" s="301"/>
      <c r="W135" s="42" t="s">
        <v>39</v>
      </c>
      <c r="X135" s="43">
        <f>IFERROR(SUM(X131:X134),"0")</f>
        <v>0</v>
      </c>
      <c r="Y135" s="43">
        <f>IFERROR(SUM(Y131:Y134),"0")</f>
        <v>0</v>
      </c>
      <c r="Z135" s="43">
        <f>IFERROR(IF(Z131="",0,Z131),"0")+IFERROR(IF(Z132="",0,Z132),"0")+IFERROR(IF(Z133="",0,Z133),"0")+IFERROR(IF(Z134="",0,Z134),"0")</f>
        <v>0</v>
      </c>
      <c r="AA135" s="67"/>
      <c r="AB135" s="67"/>
      <c r="AC135" s="67"/>
    </row>
    <row r="136" spans="1:68" hidden="1" x14ac:dyDescent="0.2">
      <c r="A136" s="302"/>
      <c r="B136" s="302"/>
      <c r="C136" s="302"/>
      <c r="D136" s="302"/>
      <c r="E136" s="302"/>
      <c r="F136" s="302"/>
      <c r="G136" s="302"/>
      <c r="H136" s="302"/>
      <c r="I136" s="302"/>
      <c r="J136" s="302"/>
      <c r="K136" s="302"/>
      <c r="L136" s="302"/>
      <c r="M136" s="302"/>
      <c r="N136" s="302"/>
      <c r="O136" s="303"/>
      <c r="P136" s="299" t="s">
        <v>40</v>
      </c>
      <c r="Q136" s="300"/>
      <c r="R136" s="300"/>
      <c r="S136" s="300"/>
      <c r="T136" s="300"/>
      <c r="U136" s="300"/>
      <c r="V136" s="301"/>
      <c r="W136" s="42" t="s">
        <v>0</v>
      </c>
      <c r="X136" s="43">
        <f>IFERROR(SUMPRODUCT(X131:X134*H131:H134),"0")</f>
        <v>0</v>
      </c>
      <c r="Y136" s="43">
        <f>IFERROR(SUMPRODUCT(Y131:Y134*H131:H134),"0")</f>
        <v>0</v>
      </c>
      <c r="Z136" s="42"/>
      <c r="AA136" s="67"/>
      <c r="AB136" s="67"/>
      <c r="AC136" s="67"/>
    </row>
    <row r="137" spans="1:68" ht="14.25" hidden="1" customHeight="1" x14ac:dyDescent="0.25">
      <c r="A137" s="313" t="s">
        <v>240</v>
      </c>
      <c r="B137" s="313"/>
      <c r="C137" s="313"/>
      <c r="D137" s="313"/>
      <c r="E137" s="313"/>
      <c r="F137" s="313"/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  <c r="T137" s="313"/>
      <c r="U137" s="313"/>
      <c r="V137" s="313"/>
      <c r="W137" s="313"/>
      <c r="X137" s="313"/>
      <c r="Y137" s="313"/>
      <c r="Z137" s="313"/>
      <c r="AA137" s="66"/>
      <c r="AB137" s="66"/>
      <c r="AC137" s="83"/>
    </row>
    <row r="138" spans="1:68" ht="27" hidden="1" customHeight="1" x14ac:dyDescent="0.25">
      <c r="A138" s="63" t="s">
        <v>241</v>
      </c>
      <c r="B138" s="63" t="s">
        <v>242</v>
      </c>
      <c r="C138" s="36">
        <v>4301190117</v>
      </c>
      <c r="D138" s="295">
        <v>4620207491386</v>
      </c>
      <c r="E138" s="295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36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97"/>
      <c r="R138" s="297"/>
      <c r="S138" s="297"/>
      <c r="T138" s="298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244</v>
      </c>
      <c r="B139" s="63" t="s">
        <v>245</v>
      </c>
      <c r="C139" s="36">
        <v>4301190115</v>
      </c>
      <c r="D139" s="295">
        <v>4620207491362</v>
      </c>
      <c r="E139" s="295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35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97"/>
      <c r="R139" s="297"/>
      <c r="S139" s="297"/>
      <c r="T139" s="298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246</v>
      </c>
      <c r="B140" s="63" t="s">
        <v>247</v>
      </c>
      <c r="C140" s="36">
        <v>4301190116</v>
      </c>
      <c r="D140" s="295">
        <v>4620207491379</v>
      </c>
      <c r="E140" s="295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35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97"/>
      <c r="R140" s="297"/>
      <c r="S140" s="297"/>
      <c r="T140" s="298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243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302"/>
      <c r="B141" s="302"/>
      <c r="C141" s="302"/>
      <c r="D141" s="302"/>
      <c r="E141" s="302"/>
      <c r="F141" s="302"/>
      <c r="G141" s="302"/>
      <c r="H141" s="302"/>
      <c r="I141" s="302"/>
      <c r="J141" s="302"/>
      <c r="K141" s="302"/>
      <c r="L141" s="302"/>
      <c r="M141" s="302"/>
      <c r="N141" s="302"/>
      <c r="O141" s="303"/>
      <c r="P141" s="299" t="s">
        <v>40</v>
      </c>
      <c r="Q141" s="300"/>
      <c r="R141" s="300"/>
      <c r="S141" s="300"/>
      <c r="T141" s="300"/>
      <c r="U141" s="300"/>
      <c r="V141" s="301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302"/>
      <c r="B142" s="302"/>
      <c r="C142" s="302"/>
      <c r="D142" s="302"/>
      <c r="E142" s="302"/>
      <c r="F142" s="302"/>
      <c r="G142" s="302"/>
      <c r="H142" s="302"/>
      <c r="I142" s="302"/>
      <c r="J142" s="302"/>
      <c r="K142" s="302"/>
      <c r="L142" s="302"/>
      <c r="M142" s="302"/>
      <c r="N142" s="302"/>
      <c r="O142" s="303"/>
      <c r="P142" s="299" t="s">
        <v>40</v>
      </c>
      <c r="Q142" s="300"/>
      <c r="R142" s="300"/>
      <c r="S142" s="300"/>
      <c r="T142" s="300"/>
      <c r="U142" s="300"/>
      <c r="V142" s="301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23" t="s">
        <v>248</v>
      </c>
      <c r="B143" s="323"/>
      <c r="C143" s="323"/>
      <c r="D143" s="323"/>
      <c r="E143" s="323"/>
      <c r="F143" s="323"/>
      <c r="G143" s="323"/>
      <c r="H143" s="323"/>
      <c r="I143" s="323"/>
      <c r="J143" s="323"/>
      <c r="K143" s="323"/>
      <c r="L143" s="323"/>
      <c r="M143" s="323"/>
      <c r="N143" s="323"/>
      <c r="O143" s="323"/>
      <c r="P143" s="323"/>
      <c r="Q143" s="323"/>
      <c r="R143" s="323"/>
      <c r="S143" s="323"/>
      <c r="T143" s="323"/>
      <c r="U143" s="323"/>
      <c r="V143" s="323"/>
      <c r="W143" s="323"/>
      <c r="X143" s="323"/>
      <c r="Y143" s="323"/>
      <c r="Z143" s="323"/>
      <c r="AA143" s="65"/>
      <c r="AB143" s="65"/>
      <c r="AC143" s="82"/>
    </row>
    <row r="144" spans="1:68" ht="14.25" hidden="1" customHeight="1" x14ac:dyDescent="0.25">
      <c r="A144" s="313" t="s">
        <v>151</v>
      </c>
      <c r="B144" s="313"/>
      <c r="C144" s="313"/>
      <c r="D144" s="313"/>
      <c r="E144" s="313"/>
      <c r="F144" s="313"/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  <c r="T144" s="313"/>
      <c r="U144" s="313"/>
      <c r="V144" s="313"/>
      <c r="W144" s="313"/>
      <c r="X144" s="313"/>
      <c r="Y144" s="313"/>
      <c r="Z144" s="313"/>
      <c r="AA144" s="66"/>
      <c r="AB144" s="66"/>
      <c r="AC144" s="83"/>
    </row>
    <row r="145" spans="1:68" ht="27" customHeight="1" x14ac:dyDescent="0.25">
      <c r="A145" s="63" t="s">
        <v>249</v>
      </c>
      <c r="B145" s="63" t="s">
        <v>250</v>
      </c>
      <c r="C145" s="36">
        <v>4301135555</v>
      </c>
      <c r="D145" s="295">
        <v>4607111034014</v>
      </c>
      <c r="E145" s="295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35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97"/>
      <c r="R145" s="297"/>
      <c r="S145" s="297"/>
      <c r="T145" s="298"/>
      <c r="U145" s="39" t="s">
        <v>46</v>
      </c>
      <c r="V145" s="39" t="s">
        <v>46</v>
      </c>
      <c r="W145" s="40" t="s">
        <v>39</v>
      </c>
      <c r="X145" s="58">
        <v>154</v>
      </c>
      <c r="Y145" s="55">
        <f>IFERROR(IF(X145="","",X145),"")</f>
        <v>154</v>
      </c>
      <c r="Z145" s="41">
        <f>IFERROR(IF(X145="","",X145*0.01788),"")</f>
        <v>2.75352</v>
      </c>
      <c r="AA145" s="68" t="s">
        <v>46</v>
      </c>
      <c r="AB145" s="69" t="s">
        <v>46</v>
      </c>
      <c r="AC145" s="199" t="s">
        <v>251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570.35439999999994</v>
      </c>
      <c r="BN145" s="81">
        <f>IFERROR(Y145*I145,"0")</f>
        <v>570.35439999999994</v>
      </c>
      <c r="BO145" s="81">
        <f>IFERROR(X145/J145,"0")</f>
        <v>2.2000000000000002</v>
      </c>
      <c r="BP145" s="81">
        <f>IFERROR(Y145/J145,"0")</f>
        <v>2.2000000000000002</v>
      </c>
    </row>
    <row r="146" spans="1:68" ht="27" customHeight="1" x14ac:dyDescent="0.25">
      <c r="A146" s="63" t="s">
        <v>252</v>
      </c>
      <c r="B146" s="63" t="s">
        <v>253</v>
      </c>
      <c r="C146" s="36">
        <v>4301135532</v>
      </c>
      <c r="D146" s="295">
        <v>4607111033994</v>
      </c>
      <c r="E146" s="295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119</v>
      </c>
      <c r="M146" s="38" t="s">
        <v>86</v>
      </c>
      <c r="N146" s="38"/>
      <c r="O146" s="37">
        <v>180</v>
      </c>
      <c r="P146" s="35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97"/>
      <c r="R146" s="297"/>
      <c r="S146" s="297"/>
      <c r="T146" s="298"/>
      <c r="U146" s="39" t="s">
        <v>46</v>
      </c>
      <c r="V146" s="39" t="s">
        <v>46</v>
      </c>
      <c r="W146" s="40" t="s">
        <v>39</v>
      </c>
      <c r="X146" s="58">
        <v>154</v>
      </c>
      <c r="Y146" s="55">
        <f>IFERROR(IF(X146="","",X146),"")</f>
        <v>154</v>
      </c>
      <c r="Z146" s="41">
        <f>IFERROR(IF(X146="","",X146*0.01788),"")</f>
        <v>2.75352</v>
      </c>
      <c r="AA146" s="68" t="s">
        <v>46</v>
      </c>
      <c r="AB146" s="69" t="s">
        <v>46</v>
      </c>
      <c r="AC146" s="201" t="s">
        <v>169</v>
      </c>
      <c r="AG146" s="81"/>
      <c r="AJ146" s="87" t="s">
        <v>120</v>
      </c>
      <c r="AK146" s="87">
        <v>14</v>
      </c>
      <c r="BB146" s="202" t="s">
        <v>117</v>
      </c>
      <c r="BM146" s="81">
        <f>IFERROR(X146*I146,"0")</f>
        <v>570.35439999999994</v>
      </c>
      <c r="BN146" s="81">
        <f>IFERROR(Y146*I146,"0")</f>
        <v>570.35439999999994</v>
      </c>
      <c r="BO146" s="81">
        <f>IFERROR(X146/J146,"0")</f>
        <v>2.2000000000000002</v>
      </c>
      <c r="BP146" s="81">
        <f>IFERROR(Y146/J146,"0")</f>
        <v>2.2000000000000002</v>
      </c>
    </row>
    <row r="147" spans="1:68" x14ac:dyDescent="0.2">
      <c r="A147" s="302"/>
      <c r="B147" s="302"/>
      <c r="C147" s="302"/>
      <c r="D147" s="302"/>
      <c r="E147" s="302"/>
      <c r="F147" s="302"/>
      <c r="G147" s="302"/>
      <c r="H147" s="302"/>
      <c r="I147" s="302"/>
      <c r="J147" s="302"/>
      <c r="K147" s="302"/>
      <c r="L147" s="302"/>
      <c r="M147" s="302"/>
      <c r="N147" s="302"/>
      <c r="O147" s="303"/>
      <c r="P147" s="299" t="s">
        <v>40</v>
      </c>
      <c r="Q147" s="300"/>
      <c r="R147" s="300"/>
      <c r="S147" s="300"/>
      <c r="T147" s="300"/>
      <c r="U147" s="300"/>
      <c r="V147" s="301"/>
      <c r="W147" s="42" t="s">
        <v>39</v>
      </c>
      <c r="X147" s="43">
        <f>IFERROR(SUM(X145:X146),"0")</f>
        <v>308</v>
      </c>
      <c r="Y147" s="43">
        <f>IFERROR(SUM(Y145:Y146),"0")</f>
        <v>308</v>
      </c>
      <c r="Z147" s="43">
        <f>IFERROR(IF(Z145="",0,Z145),"0")+IFERROR(IF(Z146="",0,Z146),"0")</f>
        <v>5.5070399999999999</v>
      </c>
      <c r="AA147" s="67"/>
      <c r="AB147" s="67"/>
      <c r="AC147" s="67"/>
    </row>
    <row r="148" spans="1:68" x14ac:dyDescent="0.2">
      <c r="A148" s="302"/>
      <c r="B148" s="302"/>
      <c r="C148" s="302"/>
      <c r="D148" s="302"/>
      <c r="E148" s="302"/>
      <c r="F148" s="302"/>
      <c r="G148" s="302"/>
      <c r="H148" s="302"/>
      <c r="I148" s="302"/>
      <c r="J148" s="302"/>
      <c r="K148" s="302"/>
      <c r="L148" s="302"/>
      <c r="M148" s="302"/>
      <c r="N148" s="302"/>
      <c r="O148" s="303"/>
      <c r="P148" s="299" t="s">
        <v>40</v>
      </c>
      <c r="Q148" s="300"/>
      <c r="R148" s="300"/>
      <c r="S148" s="300"/>
      <c r="T148" s="300"/>
      <c r="U148" s="300"/>
      <c r="V148" s="301"/>
      <c r="W148" s="42" t="s">
        <v>0</v>
      </c>
      <c r="X148" s="43">
        <f>IFERROR(SUMPRODUCT(X145:X146*H145:H146),"0")</f>
        <v>924</v>
      </c>
      <c r="Y148" s="43">
        <f>IFERROR(SUMPRODUCT(Y145:Y146*H145:H146),"0")</f>
        <v>924</v>
      </c>
      <c r="Z148" s="42"/>
      <c r="AA148" s="67"/>
      <c r="AB148" s="67"/>
      <c r="AC148" s="67"/>
    </row>
    <row r="149" spans="1:68" ht="16.5" hidden="1" customHeight="1" x14ac:dyDescent="0.25">
      <c r="A149" s="323" t="s">
        <v>254</v>
      </c>
      <c r="B149" s="323"/>
      <c r="C149" s="323"/>
      <c r="D149" s="323"/>
      <c r="E149" s="323"/>
      <c r="F149" s="323"/>
      <c r="G149" s="323"/>
      <c r="H149" s="323"/>
      <c r="I149" s="323"/>
      <c r="J149" s="323"/>
      <c r="K149" s="323"/>
      <c r="L149" s="323"/>
      <c r="M149" s="323"/>
      <c r="N149" s="323"/>
      <c r="O149" s="323"/>
      <c r="P149" s="323"/>
      <c r="Q149" s="323"/>
      <c r="R149" s="323"/>
      <c r="S149" s="323"/>
      <c r="T149" s="323"/>
      <c r="U149" s="323"/>
      <c r="V149" s="323"/>
      <c r="W149" s="323"/>
      <c r="X149" s="323"/>
      <c r="Y149" s="323"/>
      <c r="Z149" s="323"/>
      <c r="AA149" s="65"/>
      <c r="AB149" s="65"/>
      <c r="AC149" s="82"/>
    </row>
    <row r="150" spans="1:68" ht="14.25" hidden="1" customHeight="1" x14ac:dyDescent="0.25">
      <c r="A150" s="313" t="s">
        <v>151</v>
      </c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  <c r="T150" s="313"/>
      <c r="U150" s="313"/>
      <c r="V150" s="313"/>
      <c r="W150" s="313"/>
      <c r="X150" s="313"/>
      <c r="Y150" s="313"/>
      <c r="Z150" s="313"/>
      <c r="AA150" s="66"/>
      <c r="AB150" s="66"/>
      <c r="AC150" s="83"/>
    </row>
    <row r="151" spans="1:68" ht="27" hidden="1" customHeight="1" x14ac:dyDescent="0.25">
      <c r="A151" s="63" t="s">
        <v>255</v>
      </c>
      <c r="B151" s="63" t="s">
        <v>256</v>
      </c>
      <c r="C151" s="36">
        <v>4301135824</v>
      </c>
      <c r="D151" s="295">
        <v>4607111039095</v>
      </c>
      <c r="E151" s="295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35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97"/>
      <c r="R151" s="297"/>
      <c r="S151" s="297"/>
      <c r="T151" s="298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257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ht="16.5" customHeight="1" x14ac:dyDescent="0.25">
      <c r="A152" s="63" t="s">
        <v>258</v>
      </c>
      <c r="B152" s="63" t="s">
        <v>259</v>
      </c>
      <c r="C152" s="36">
        <v>4301135946</v>
      </c>
      <c r="D152" s="295">
        <v>4620207491553</v>
      </c>
      <c r="E152" s="295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35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297"/>
      <c r="R152" s="297"/>
      <c r="S152" s="297"/>
      <c r="T152" s="298"/>
      <c r="U152" s="39" t="s">
        <v>46</v>
      </c>
      <c r="V152" s="39" t="s">
        <v>46</v>
      </c>
      <c r="W152" s="40" t="s">
        <v>39</v>
      </c>
      <c r="X152" s="58">
        <v>126</v>
      </c>
      <c r="Y152" s="55">
        <f>IFERROR(IF(X152="","",X152),"")</f>
        <v>126</v>
      </c>
      <c r="Z152" s="41">
        <f>IFERROR(IF(X152="","",X152*0.01788),"")</f>
        <v>2.2528800000000002</v>
      </c>
      <c r="AA152" s="68" t="s">
        <v>46</v>
      </c>
      <c r="AB152" s="69" t="s">
        <v>46</v>
      </c>
      <c r="AC152" s="205" t="s">
        <v>260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466.65359999999998</v>
      </c>
      <c r="BN152" s="81">
        <f>IFERROR(Y152*I152,"0")</f>
        <v>466.65359999999998</v>
      </c>
      <c r="BO152" s="81">
        <f>IFERROR(X152/J152,"0")</f>
        <v>1.8</v>
      </c>
      <c r="BP152" s="81">
        <f>IFERROR(Y152/J152,"0")</f>
        <v>1.8</v>
      </c>
    </row>
    <row r="153" spans="1:68" x14ac:dyDescent="0.2">
      <c r="A153" s="302"/>
      <c r="B153" s="302"/>
      <c r="C153" s="302"/>
      <c r="D153" s="302"/>
      <c r="E153" s="302"/>
      <c r="F153" s="302"/>
      <c r="G153" s="302"/>
      <c r="H153" s="302"/>
      <c r="I153" s="302"/>
      <c r="J153" s="302"/>
      <c r="K153" s="302"/>
      <c r="L153" s="302"/>
      <c r="M153" s="302"/>
      <c r="N153" s="302"/>
      <c r="O153" s="303"/>
      <c r="P153" s="299" t="s">
        <v>40</v>
      </c>
      <c r="Q153" s="300"/>
      <c r="R153" s="300"/>
      <c r="S153" s="300"/>
      <c r="T153" s="300"/>
      <c r="U153" s="300"/>
      <c r="V153" s="301"/>
      <c r="W153" s="42" t="s">
        <v>39</v>
      </c>
      <c r="X153" s="43">
        <f>IFERROR(SUM(X151:X152),"0")</f>
        <v>126</v>
      </c>
      <c r="Y153" s="43">
        <f>IFERROR(SUM(Y151:Y152),"0")</f>
        <v>126</v>
      </c>
      <c r="Z153" s="43">
        <f>IFERROR(IF(Z151="",0,Z151),"0")+IFERROR(IF(Z152="",0,Z152),"0")</f>
        <v>2.2528800000000002</v>
      </c>
      <c r="AA153" s="67"/>
      <c r="AB153" s="67"/>
      <c r="AC153" s="67"/>
    </row>
    <row r="154" spans="1:68" x14ac:dyDescent="0.2">
      <c r="A154" s="302"/>
      <c r="B154" s="302"/>
      <c r="C154" s="302"/>
      <c r="D154" s="302"/>
      <c r="E154" s="302"/>
      <c r="F154" s="302"/>
      <c r="G154" s="302"/>
      <c r="H154" s="302"/>
      <c r="I154" s="302"/>
      <c r="J154" s="302"/>
      <c r="K154" s="302"/>
      <c r="L154" s="302"/>
      <c r="M154" s="302"/>
      <c r="N154" s="302"/>
      <c r="O154" s="303"/>
      <c r="P154" s="299" t="s">
        <v>40</v>
      </c>
      <c r="Q154" s="300"/>
      <c r="R154" s="300"/>
      <c r="S154" s="300"/>
      <c r="T154" s="300"/>
      <c r="U154" s="300"/>
      <c r="V154" s="301"/>
      <c r="W154" s="42" t="s">
        <v>0</v>
      </c>
      <c r="X154" s="43">
        <f>IFERROR(SUMPRODUCT(X151:X152*H151:H152),"0")</f>
        <v>378</v>
      </c>
      <c r="Y154" s="43">
        <f>IFERROR(SUMPRODUCT(Y151:Y152*H151:H152),"0")</f>
        <v>378</v>
      </c>
      <c r="Z154" s="42"/>
      <c r="AA154" s="67"/>
      <c r="AB154" s="67"/>
      <c r="AC154" s="67"/>
    </row>
    <row r="155" spans="1:68" ht="16.5" hidden="1" customHeight="1" x14ac:dyDescent="0.25">
      <c r="A155" s="323" t="s">
        <v>261</v>
      </c>
      <c r="B155" s="323"/>
      <c r="C155" s="323"/>
      <c r="D155" s="323"/>
      <c r="E155" s="323"/>
      <c r="F155" s="323"/>
      <c r="G155" s="323"/>
      <c r="H155" s="323"/>
      <c r="I155" s="323"/>
      <c r="J155" s="323"/>
      <c r="K155" s="323"/>
      <c r="L155" s="323"/>
      <c r="M155" s="323"/>
      <c r="N155" s="323"/>
      <c r="O155" s="323"/>
      <c r="P155" s="323"/>
      <c r="Q155" s="323"/>
      <c r="R155" s="323"/>
      <c r="S155" s="323"/>
      <c r="T155" s="323"/>
      <c r="U155" s="323"/>
      <c r="V155" s="323"/>
      <c r="W155" s="323"/>
      <c r="X155" s="323"/>
      <c r="Y155" s="323"/>
      <c r="Z155" s="323"/>
      <c r="AA155" s="65"/>
      <c r="AB155" s="65"/>
      <c r="AC155" s="82"/>
    </row>
    <row r="156" spans="1:68" ht="14.25" hidden="1" customHeight="1" x14ac:dyDescent="0.25">
      <c r="A156" s="313" t="s">
        <v>151</v>
      </c>
      <c r="B156" s="313"/>
      <c r="C156" s="313"/>
      <c r="D156" s="313"/>
      <c r="E156" s="313"/>
      <c r="F156" s="313"/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  <c r="T156" s="313"/>
      <c r="U156" s="313"/>
      <c r="V156" s="313"/>
      <c r="W156" s="313"/>
      <c r="X156" s="313"/>
      <c r="Y156" s="313"/>
      <c r="Z156" s="313"/>
      <c r="AA156" s="66"/>
      <c r="AB156" s="66"/>
      <c r="AC156" s="83"/>
    </row>
    <row r="157" spans="1:68" ht="27" customHeight="1" x14ac:dyDescent="0.25">
      <c r="A157" s="63" t="s">
        <v>262</v>
      </c>
      <c r="B157" s="63" t="s">
        <v>263</v>
      </c>
      <c r="C157" s="36">
        <v>4301135753</v>
      </c>
      <c r="D157" s="295">
        <v>4620207490914</v>
      </c>
      <c r="E157" s="295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119</v>
      </c>
      <c r="M157" s="38" t="s">
        <v>86</v>
      </c>
      <c r="N157" s="38"/>
      <c r="O157" s="37">
        <v>180</v>
      </c>
      <c r="P157" s="35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97"/>
      <c r="R157" s="297"/>
      <c r="S157" s="297"/>
      <c r="T157" s="298"/>
      <c r="U157" s="39" t="s">
        <v>46</v>
      </c>
      <c r="V157" s="39" t="s">
        <v>46</v>
      </c>
      <c r="W157" s="40" t="s">
        <v>39</v>
      </c>
      <c r="X157" s="58">
        <v>84</v>
      </c>
      <c r="Y157" s="55">
        <f>IFERROR(IF(X157="","",X157),"")</f>
        <v>84</v>
      </c>
      <c r="Z157" s="41">
        <f>IFERROR(IF(X157="","",X157*0.01788),"")</f>
        <v>1.5019199999999999</v>
      </c>
      <c r="AA157" s="68" t="s">
        <v>46</v>
      </c>
      <c r="AB157" s="69" t="s">
        <v>46</v>
      </c>
      <c r="AC157" s="207" t="s">
        <v>251</v>
      </c>
      <c r="AG157" s="81"/>
      <c r="AJ157" s="87" t="s">
        <v>120</v>
      </c>
      <c r="AK157" s="87">
        <v>14</v>
      </c>
      <c r="BB157" s="208" t="s">
        <v>117</v>
      </c>
      <c r="BM157" s="81">
        <f>IFERROR(X157*I157,"0")</f>
        <v>225.12</v>
      </c>
      <c r="BN157" s="81">
        <f>IFERROR(Y157*I157,"0")</f>
        <v>225.12</v>
      </c>
      <c r="BO157" s="81">
        <f>IFERROR(X157/J157,"0")</f>
        <v>1.2</v>
      </c>
      <c r="BP157" s="81">
        <f>IFERROR(Y157/J157,"0")</f>
        <v>1.2</v>
      </c>
    </row>
    <row r="158" spans="1:68" ht="27" hidden="1" customHeight="1" x14ac:dyDescent="0.25">
      <c r="A158" s="63" t="s">
        <v>264</v>
      </c>
      <c r="B158" s="63" t="s">
        <v>265</v>
      </c>
      <c r="C158" s="36">
        <v>4301135778</v>
      </c>
      <c r="D158" s="295">
        <v>4620207490853</v>
      </c>
      <c r="E158" s="295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35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97"/>
      <c r="R158" s="297"/>
      <c r="S158" s="297"/>
      <c r="T158" s="298"/>
      <c r="U158" s="39" t="s">
        <v>46</v>
      </c>
      <c r="V158" s="39" t="s">
        <v>46</v>
      </c>
      <c r="W158" s="40" t="s">
        <v>39</v>
      </c>
      <c r="X158" s="58">
        <v>0</v>
      </c>
      <c r="Y158" s="55">
        <f>IFERROR(IF(X158="","",X158),"")</f>
        <v>0</v>
      </c>
      <c r="Z158" s="41">
        <f>IFERROR(IF(X158="","",X158*0.01788),"")</f>
        <v>0</v>
      </c>
      <c r="AA158" s="68" t="s">
        <v>46</v>
      </c>
      <c r="AB158" s="69" t="s">
        <v>46</v>
      </c>
      <c r="AC158" s="209" t="s">
        <v>251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0</v>
      </c>
      <c r="BN158" s="81">
        <f>IFERROR(Y158*I158,"0")</f>
        <v>0</v>
      </c>
      <c r="BO158" s="81">
        <f>IFERROR(X158/J158,"0")</f>
        <v>0</v>
      </c>
      <c r="BP158" s="81">
        <f>IFERROR(Y158/J158,"0")</f>
        <v>0</v>
      </c>
    </row>
    <row r="159" spans="1:68" x14ac:dyDescent="0.2">
      <c r="A159" s="302"/>
      <c r="B159" s="302"/>
      <c r="C159" s="302"/>
      <c r="D159" s="302"/>
      <c r="E159" s="302"/>
      <c r="F159" s="302"/>
      <c r="G159" s="302"/>
      <c r="H159" s="302"/>
      <c r="I159" s="302"/>
      <c r="J159" s="302"/>
      <c r="K159" s="302"/>
      <c r="L159" s="302"/>
      <c r="M159" s="302"/>
      <c r="N159" s="302"/>
      <c r="O159" s="303"/>
      <c r="P159" s="299" t="s">
        <v>40</v>
      </c>
      <c r="Q159" s="300"/>
      <c r="R159" s="300"/>
      <c r="S159" s="300"/>
      <c r="T159" s="300"/>
      <c r="U159" s="300"/>
      <c r="V159" s="301"/>
      <c r="W159" s="42" t="s">
        <v>39</v>
      </c>
      <c r="X159" s="43">
        <f>IFERROR(SUM(X157:X158),"0")</f>
        <v>84</v>
      </c>
      <c r="Y159" s="43">
        <f>IFERROR(SUM(Y157:Y158),"0")</f>
        <v>84</v>
      </c>
      <c r="Z159" s="43">
        <f>IFERROR(IF(Z157="",0,Z157),"0")+IFERROR(IF(Z158="",0,Z158),"0")</f>
        <v>1.5019199999999999</v>
      </c>
      <c r="AA159" s="67"/>
      <c r="AB159" s="67"/>
      <c r="AC159" s="67"/>
    </row>
    <row r="160" spans="1:68" x14ac:dyDescent="0.2">
      <c r="A160" s="302"/>
      <c r="B160" s="302"/>
      <c r="C160" s="302"/>
      <c r="D160" s="302"/>
      <c r="E160" s="302"/>
      <c r="F160" s="302"/>
      <c r="G160" s="302"/>
      <c r="H160" s="302"/>
      <c r="I160" s="302"/>
      <c r="J160" s="302"/>
      <c r="K160" s="302"/>
      <c r="L160" s="302"/>
      <c r="M160" s="302"/>
      <c r="N160" s="302"/>
      <c r="O160" s="303"/>
      <c r="P160" s="299" t="s">
        <v>40</v>
      </c>
      <c r="Q160" s="300"/>
      <c r="R160" s="300"/>
      <c r="S160" s="300"/>
      <c r="T160" s="300"/>
      <c r="U160" s="300"/>
      <c r="V160" s="301"/>
      <c r="W160" s="42" t="s">
        <v>0</v>
      </c>
      <c r="X160" s="43">
        <f>IFERROR(SUMPRODUCT(X157:X158*H157:H158),"0")</f>
        <v>201.6</v>
      </c>
      <c r="Y160" s="43">
        <f>IFERROR(SUMPRODUCT(Y157:Y158*H157:H158),"0")</f>
        <v>201.6</v>
      </c>
      <c r="Z160" s="42"/>
      <c r="AA160" s="67"/>
      <c r="AB160" s="67"/>
      <c r="AC160" s="67"/>
    </row>
    <row r="161" spans="1:68" ht="16.5" hidden="1" customHeight="1" x14ac:dyDescent="0.25">
      <c r="A161" s="323" t="s">
        <v>266</v>
      </c>
      <c r="B161" s="323"/>
      <c r="C161" s="323"/>
      <c r="D161" s="323"/>
      <c r="E161" s="323"/>
      <c r="F161" s="323"/>
      <c r="G161" s="323"/>
      <c r="H161" s="323"/>
      <c r="I161" s="323"/>
      <c r="J161" s="323"/>
      <c r="K161" s="323"/>
      <c r="L161" s="323"/>
      <c r="M161" s="323"/>
      <c r="N161" s="323"/>
      <c r="O161" s="323"/>
      <c r="P161" s="323"/>
      <c r="Q161" s="323"/>
      <c r="R161" s="323"/>
      <c r="S161" s="323"/>
      <c r="T161" s="323"/>
      <c r="U161" s="323"/>
      <c r="V161" s="323"/>
      <c r="W161" s="323"/>
      <c r="X161" s="323"/>
      <c r="Y161" s="323"/>
      <c r="Z161" s="323"/>
      <c r="AA161" s="65"/>
      <c r="AB161" s="65"/>
      <c r="AC161" s="82"/>
    </row>
    <row r="162" spans="1:68" ht="14.25" hidden="1" customHeight="1" x14ac:dyDescent="0.25">
      <c r="A162" s="313" t="s">
        <v>151</v>
      </c>
      <c r="B162" s="313"/>
      <c r="C162" s="313"/>
      <c r="D162" s="313"/>
      <c r="E162" s="313"/>
      <c r="F162" s="313"/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  <c r="T162" s="313"/>
      <c r="U162" s="313"/>
      <c r="V162" s="313"/>
      <c r="W162" s="313"/>
      <c r="X162" s="313"/>
      <c r="Y162" s="313"/>
      <c r="Z162" s="313"/>
      <c r="AA162" s="66"/>
      <c r="AB162" s="66"/>
      <c r="AC162" s="83"/>
    </row>
    <row r="163" spans="1:68" ht="27" customHeight="1" x14ac:dyDescent="0.25">
      <c r="A163" s="63" t="s">
        <v>267</v>
      </c>
      <c r="B163" s="63" t="s">
        <v>268</v>
      </c>
      <c r="C163" s="36">
        <v>4301135940</v>
      </c>
      <c r="D163" s="295">
        <v>4620207491614</v>
      </c>
      <c r="E163" s="295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88</v>
      </c>
      <c r="M163" s="38" t="s">
        <v>86</v>
      </c>
      <c r="N163" s="38"/>
      <c r="O163" s="37">
        <v>180</v>
      </c>
      <c r="P163" s="348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297"/>
      <c r="R163" s="297"/>
      <c r="S163" s="297"/>
      <c r="T163" s="298"/>
      <c r="U163" s="39" t="s">
        <v>46</v>
      </c>
      <c r="V163" s="39" t="s">
        <v>46</v>
      </c>
      <c r="W163" s="40" t="s">
        <v>39</v>
      </c>
      <c r="X163" s="58">
        <v>84</v>
      </c>
      <c r="Y163" s="55">
        <f>IFERROR(IF(X163="","",X163),"")</f>
        <v>84</v>
      </c>
      <c r="Z163" s="41">
        <f>IFERROR(IF(X163="","",X163*0.01788),"")</f>
        <v>1.5019199999999999</v>
      </c>
      <c r="AA163" s="68" t="s">
        <v>46</v>
      </c>
      <c r="AB163" s="69" t="s">
        <v>46</v>
      </c>
      <c r="AC163" s="211" t="s">
        <v>269</v>
      </c>
      <c r="AG163" s="81"/>
      <c r="AJ163" s="87" t="s">
        <v>89</v>
      </c>
      <c r="AK163" s="87">
        <v>1</v>
      </c>
      <c r="BB163" s="212" t="s">
        <v>117</v>
      </c>
      <c r="BM163" s="81">
        <f>IFERROR(X163*I163,"0")</f>
        <v>311.10239999999999</v>
      </c>
      <c r="BN163" s="81">
        <f>IFERROR(Y163*I163,"0")</f>
        <v>311.10239999999999</v>
      </c>
      <c r="BO163" s="81">
        <f>IFERROR(X163/J163,"0")</f>
        <v>1.2</v>
      </c>
      <c r="BP163" s="81">
        <f>IFERROR(Y163/J163,"0")</f>
        <v>1.2</v>
      </c>
    </row>
    <row r="164" spans="1:68" x14ac:dyDescent="0.2">
      <c r="A164" s="302"/>
      <c r="B164" s="302"/>
      <c r="C164" s="302"/>
      <c r="D164" s="302"/>
      <c r="E164" s="302"/>
      <c r="F164" s="302"/>
      <c r="G164" s="302"/>
      <c r="H164" s="302"/>
      <c r="I164" s="302"/>
      <c r="J164" s="302"/>
      <c r="K164" s="302"/>
      <c r="L164" s="302"/>
      <c r="M164" s="302"/>
      <c r="N164" s="302"/>
      <c r="O164" s="303"/>
      <c r="P164" s="299" t="s">
        <v>40</v>
      </c>
      <c r="Q164" s="300"/>
      <c r="R164" s="300"/>
      <c r="S164" s="300"/>
      <c r="T164" s="300"/>
      <c r="U164" s="300"/>
      <c r="V164" s="301"/>
      <c r="W164" s="42" t="s">
        <v>39</v>
      </c>
      <c r="X164" s="43">
        <f>IFERROR(SUM(X163:X163),"0")</f>
        <v>84</v>
      </c>
      <c r="Y164" s="43">
        <f>IFERROR(SUM(Y163:Y163),"0")</f>
        <v>84</v>
      </c>
      <c r="Z164" s="43">
        <f>IFERROR(IF(Z163="",0,Z163),"0")</f>
        <v>1.5019199999999999</v>
      </c>
      <c r="AA164" s="67"/>
      <c r="AB164" s="67"/>
      <c r="AC164" s="67"/>
    </row>
    <row r="165" spans="1:68" x14ac:dyDescent="0.2">
      <c r="A165" s="302"/>
      <c r="B165" s="302"/>
      <c r="C165" s="302"/>
      <c r="D165" s="302"/>
      <c r="E165" s="302"/>
      <c r="F165" s="302"/>
      <c r="G165" s="302"/>
      <c r="H165" s="302"/>
      <c r="I165" s="302"/>
      <c r="J165" s="302"/>
      <c r="K165" s="302"/>
      <c r="L165" s="302"/>
      <c r="M165" s="302"/>
      <c r="N165" s="302"/>
      <c r="O165" s="303"/>
      <c r="P165" s="299" t="s">
        <v>40</v>
      </c>
      <c r="Q165" s="300"/>
      <c r="R165" s="300"/>
      <c r="S165" s="300"/>
      <c r="T165" s="300"/>
      <c r="U165" s="300"/>
      <c r="V165" s="301"/>
      <c r="W165" s="42" t="s">
        <v>0</v>
      </c>
      <c r="X165" s="43">
        <f>IFERROR(SUMPRODUCT(X163:X163*H163:H163),"0")</f>
        <v>252</v>
      </c>
      <c r="Y165" s="43">
        <f>IFERROR(SUMPRODUCT(Y163:Y163*H163:H163),"0")</f>
        <v>252</v>
      </c>
      <c r="Z165" s="42"/>
      <c r="AA165" s="67"/>
      <c r="AB165" s="67"/>
      <c r="AC165" s="67"/>
    </row>
    <row r="166" spans="1:68" ht="16.5" hidden="1" customHeight="1" x14ac:dyDescent="0.25">
      <c r="A166" s="323" t="s">
        <v>270</v>
      </c>
      <c r="B166" s="323"/>
      <c r="C166" s="323"/>
      <c r="D166" s="323"/>
      <c r="E166" s="323"/>
      <c r="F166" s="323"/>
      <c r="G166" s="323"/>
      <c r="H166" s="323"/>
      <c r="I166" s="323"/>
      <c r="J166" s="323"/>
      <c r="K166" s="323"/>
      <c r="L166" s="323"/>
      <c r="M166" s="323"/>
      <c r="N166" s="323"/>
      <c r="O166" s="323"/>
      <c r="P166" s="323"/>
      <c r="Q166" s="323"/>
      <c r="R166" s="323"/>
      <c r="S166" s="323"/>
      <c r="T166" s="323"/>
      <c r="U166" s="323"/>
      <c r="V166" s="323"/>
      <c r="W166" s="323"/>
      <c r="X166" s="323"/>
      <c r="Y166" s="323"/>
      <c r="Z166" s="323"/>
      <c r="AA166" s="65"/>
      <c r="AB166" s="65"/>
      <c r="AC166" s="82"/>
    </row>
    <row r="167" spans="1:68" ht="14.25" hidden="1" customHeight="1" x14ac:dyDescent="0.25">
      <c r="A167" s="313" t="s">
        <v>151</v>
      </c>
      <c r="B167" s="313"/>
      <c r="C167" s="313"/>
      <c r="D167" s="313"/>
      <c r="E167" s="313"/>
      <c r="F167" s="313"/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  <c r="T167" s="313"/>
      <c r="U167" s="313"/>
      <c r="V167" s="313"/>
      <c r="W167" s="313"/>
      <c r="X167" s="313"/>
      <c r="Y167" s="313"/>
      <c r="Z167" s="313"/>
      <c r="AA167" s="66"/>
      <c r="AB167" s="66"/>
      <c r="AC167" s="83"/>
    </row>
    <row r="168" spans="1:68" ht="16.5" hidden="1" customHeight="1" x14ac:dyDescent="0.25">
      <c r="A168" s="63" t="s">
        <v>271</v>
      </c>
      <c r="B168" s="63" t="s">
        <v>272</v>
      </c>
      <c r="C168" s="36">
        <v>4301135607</v>
      </c>
      <c r="D168" s="295">
        <v>4607111039613</v>
      </c>
      <c r="E168" s="295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34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97"/>
      <c r="R168" s="297"/>
      <c r="S168" s="297"/>
      <c r="T168" s="298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257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302"/>
      <c r="B169" s="302"/>
      <c r="C169" s="302"/>
      <c r="D169" s="302"/>
      <c r="E169" s="302"/>
      <c r="F169" s="302"/>
      <c r="G169" s="302"/>
      <c r="H169" s="302"/>
      <c r="I169" s="302"/>
      <c r="J169" s="302"/>
      <c r="K169" s="302"/>
      <c r="L169" s="302"/>
      <c r="M169" s="302"/>
      <c r="N169" s="302"/>
      <c r="O169" s="303"/>
      <c r="P169" s="299" t="s">
        <v>40</v>
      </c>
      <c r="Q169" s="300"/>
      <c r="R169" s="300"/>
      <c r="S169" s="300"/>
      <c r="T169" s="300"/>
      <c r="U169" s="300"/>
      <c r="V169" s="301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302"/>
      <c r="B170" s="302"/>
      <c r="C170" s="302"/>
      <c r="D170" s="302"/>
      <c r="E170" s="302"/>
      <c r="F170" s="302"/>
      <c r="G170" s="302"/>
      <c r="H170" s="302"/>
      <c r="I170" s="302"/>
      <c r="J170" s="302"/>
      <c r="K170" s="302"/>
      <c r="L170" s="302"/>
      <c r="M170" s="302"/>
      <c r="N170" s="302"/>
      <c r="O170" s="303"/>
      <c r="P170" s="299" t="s">
        <v>40</v>
      </c>
      <c r="Q170" s="300"/>
      <c r="R170" s="300"/>
      <c r="S170" s="300"/>
      <c r="T170" s="300"/>
      <c r="U170" s="300"/>
      <c r="V170" s="301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23" t="s">
        <v>273</v>
      </c>
      <c r="B171" s="323"/>
      <c r="C171" s="323"/>
      <c r="D171" s="323"/>
      <c r="E171" s="323"/>
      <c r="F171" s="323"/>
      <c r="G171" s="323"/>
      <c r="H171" s="323"/>
      <c r="I171" s="323"/>
      <c r="J171" s="323"/>
      <c r="K171" s="323"/>
      <c r="L171" s="323"/>
      <c r="M171" s="323"/>
      <c r="N171" s="323"/>
      <c r="O171" s="323"/>
      <c r="P171" s="323"/>
      <c r="Q171" s="323"/>
      <c r="R171" s="323"/>
      <c r="S171" s="323"/>
      <c r="T171" s="323"/>
      <c r="U171" s="323"/>
      <c r="V171" s="323"/>
      <c r="W171" s="323"/>
      <c r="X171" s="323"/>
      <c r="Y171" s="323"/>
      <c r="Z171" s="323"/>
      <c r="AA171" s="65"/>
      <c r="AB171" s="65"/>
      <c r="AC171" s="82"/>
    </row>
    <row r="172" spans="1:68" ht="14.25" hidden="1" customHeight="1" x14ac:dyDescent="0.25">
      <c r="A172" s="313" t="s">
        <v>151</v>
      </c>
      <c r="B172" s="313"/>
      <c r="C172" s="313"/>
      <c r="D172" s="313"/>
      <c r="E172" s="313"/>
      <c r="F172" s="313"/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  <c r="T172" s="313"/>
      <c r="U172" s="313"/>
      <c r="V172" s="313"/>
      <c r="W172" s="313"/>
      <c r="X172" s="313"/>
      <c r="Y172" s="313"/>
      <c r="Z172" s="313"/>
      <c r="AA172" s="66"/>
      <c r="AB172" s="66"/>
      <c r="AC172" s="83"/>
    </row>
    <row r="173" spans="1:68" ht="27" hidden="1" customHeight="1" x14ac:dyDescent="0.25">
      <c r="A173" s="63" t="s">
        <v>274</v>
      </c>
      <c r="B173" s="63" t="s">
        <v>275</v>
      </c>
      <c r="C173" s="36">
        <v>4301135591</v>
      </c>
      <c r="D173" s="295">
        <v>4607111036568</v>
      </c>
      <c r="E173" s="295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34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97"/>
      <c r="R173" s="297"/>
      <c r="S173" s="297"/>
      <c r="T173" s="298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IFERROR(IF(X173="","",X173*0.00941),"")</f>
        <v>0</v>
      </c>
      <c r="AA173" s="68" t="s">
        <v>46</v>
      </c>
      <c r="AB173" s="69" t="s">
        <v>46</v>
      </c>
      <c r="AC173" s="215" t="s">
        <v>276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idden="1" x14ac:dyDescent="0.2">
      <c r="A174" s="302"/>
      <c r="B174" s="302"/>
      <c r="C174" s="302"/>
      <c r="D174" s="302"/>
      <c r="E174" s="302"/>
      <c r="F174" s="302"/>
      <c r="G174" s="302"/>
      <c r="H174" s="302"/>
      <c r="I174" s="302"/>
      <c r="J174" s="302"/>
      <c r="K174" s="302"/>
      <c r="L174" s="302"/>
      <c r="M174" s="302"/>
      <c r="N174" s="302"/>
      <c r="O174" s="303"/>
      <c r="P174" s="299" t="s">
        <v>40</v>
      </c>
      <c r="Q174" s="300"/>
      <c r="R174" s="300"/>
      <c r="S174" s="300"/>
      <c r="T174" s="300"/>
      <c r="U174" s="300"/>
      <c r="V174" s="301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302"/>
      <c r="B175" s="302"/>
      <c r="C175" s="302"/>
      <c r="D175" s="302"/>
      <c r="E175" s="302"/>
      <c r="F175" s="302"/>
      <c r="G175" s="302"/>
      <c r="H175" s="302"/>
      <c r="I175" s="302"/>
      <c r="J175" s="302"/>
      <c r="K175" s="302"/>
      <c r="L175" s="302"/>
      <c r="M175" s="302"/>
      <c r="N175" s="302"/>
      <c r="O175" s="303"/>
      <c r="P175" s="299" t="s">
        <v>40</v>
      </c>
      <c r="Q175" s="300"/>
      <c r="R175" s="300"/>
      <c r="S175" s="300"/>
      <c r="T175" s="300"/>
      <c r="U175" s="300"/>
      <c r="V175" s="301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hidden="1" customHeight="1" x14ac:dyDescent="0.2">
      <c r="A176" s="322" t="s">
        <v>277</v>
      </c>
      <c r="B176" s="322"/>
      <c r="C176" s="322"/>
      <c r="D176" s="322"/>
      <c r="E176" s="322"/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  <c r="Z176" s="322"/>
      <c r="AA176" s="54"/>
      <c r="AB176" s="54"/>
      <c r="AC176" s="54"/>
    </row>
    <row r="177" spans="1:68" ht="16.5" hidden="1" customHeight="1" x14ac:dyDescent="0.25">
      <c r="A177" s="323" t="s">
        <v>278</v>
      </c>
      <c r="B177" s="323"/>
      <c r="C177" s="323"/>
      <c r="D177" s="323"/>
      <c r="E177" s="323"/>
      <c r="F177" s="323"/>
      <c r="G177" s="323"/>
      <c r="H177" s="323"/>
      <c r="I177" s="323"/>
      <c r="J177" s="323"/>
      <c r="K177" s="323"/>
      <c r="L177" s="323"/>
      <c r="M177" s="323"/>
      <c r="N177" s="323"/>
      <c r="O177" s="323"/>
      <c r="P177" s="323"/>
      <c r="Q177" s="323"/>
      <c r="R177" s="323"/>
      <c r="S177" s="323"/>
      <c r="T177" s="323"/>
      <c r="U177" s="323"/>
      <c r="V177" s="323"/>
      <c r="W177" s="323"/>
      <c r="X177" s="323"/>
      <c r="Y177" s="323"/>
      <c r="Z177" s="323"/>
      <c r="AA177" s="65"/>
      <c r="AB177" s="65"/>
      <c r="AC177" s="82"/>
    </row>
    <row r="178" spans="1:68" ht="14.25" hidden="1" customHeight="1" x14ac:dyDescent="0.25">
      <c r="A178" s="313" t="s">
        <v>82</v>
      </c>
      <c r="B178" s="313"/>
      <c r="C178" s="313"/>
      <c r="D178" s="313"/>
      <c r="E178" s="313"/>
      <c r="F178" s="313"/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  <c r="T178" s="313"/>
      <c r="U178" s="313"/>
      <c r="V178" s="313"/>
      <c r="W178" s="313"/>
      <c r="X178" s="313"/>
      <c r="Y178" s="313"/>
      <c r="Z178" s="313"/>
      <c r="AA178" s="66"/>
      <c r="AB178" s="66"/>
      <c r="AC178" s="83"/>
    </row>
    <row r="179" spans="1:68" ht="16.5" hidden="1" customHeight="1" x14ac:dyDescent="0.25">
      <c r="A179" s="63" t="s">
        <v>279</v>
      </c>
      <c r="B179" s="63" t="s">
        <v>280</v>
      </c>
      <c r="C179" s="36">
        <v>4301071062</v>
      </c>
      <c r="D179" s="295">
        <v>4607111036384</v>
      </c>
      <c r="E179" s="295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88</v>
      </c>
      <c r="M179" s="38" t="s">
        <v>86</v>
      </c>
      <c r="N179" s="38"/>
      <c r="O179" s="37">
        <v>180</v>
      </c>
      <c r="P179" s="34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97"/>
      <c r="R179" s="297"/>
      <c r="S179" s="297"/>
      <c r="T179" s="298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281</v>
      </c>
      <c r="AG179" s="81"/>
      <c r="AJ179" s="87" t="s">
        <v>89</v>
      </c>
      <c r="AK179" s="87">
        <v>1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hidden="1" customHeight="1" x14ac:dyDescent="0.25">
      <c r="A180" s="63" t="s">
        <v>282</v>
      </c>
      <c r="B180" s="63" t="s">
        <v>283</v>
      </c>
      <c r="C180" s="36">
        <v>4301071050</v>
      </c>
      <c r="D180" s="295">
        <v>4607111036216</v>
      </c>
      <c r="E180" s="295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34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97"/>
      <c r="R180" s="297"/>
      <c r="S180" s="297"/>
      <c r="T180" s="298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9" t="s">
        <v>284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idden="1" x14ac:dyDescent="0.2">
      <c r="A181" s="302"/>
      <c r="B181" s="302"/>
      <c r="C181" s="302"/>
      <c r="D181" s="302"/>
      <c r="E181" s="302"/>
      <c r="F181" s="302"/>
      <c r="G181" s="302"/>
      <c r="H181" s="302"/>
      <c r="I181" s="302"/>
      <c r="J181" s="302"/>
      <c r="K181" s="302"/>
      <c r="L181" s="302"/>
      <c r="M181" s="302"/>
      <c r="N181" s="302"/>
      <c r="O181" s="303"/>
      <c r="P181" s="299" t="s">
        <v>40</v>
      </c>
      <c r="Q181" s="300"/>
      <c r="R181" s="300"/>
      <c r="S181" s="300"/>
      <c r="T181" s="300"/>
      <c r="U181" s="300"/>
      <c r="V181" s="301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hidden="1" x14ac:dyDescent="0.2">
      <c r="A182" s="302"/>
      <c r="B182" s="302"/>
      <c r="C182" s="302"/>
      <c r="D182" s="302"/>
      <c r="E182" s="302"/>
      <c r="F182" s="302"/>
      <c r="G182" s="302"/>
      <c r="H182" s="302"/>
      <c r="I182" s="302"/>
      <c r="J182" s="302"/>
      <c r="K182" s="302"/>
      <c r="L182" s="302"/>
      <c r="M182" s="302"/>
      <c r="N182" s="302"/>
      <c r="O182" s="303"/>
      <c r="P182" s="299" t="s">
        <v>40</v>
      </c>
      <c r="Q182" s="300"/>
      <c r="R182" s="300"/>
      <c r="S182" s="300"/>
      <c r="T182" s="300"/>
      <c r="U182" s="300"/>
      <c r="V182" s="301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16.5" hidden="1" customHeight="1" x14ac:dyDescent="0.25">
      <c r="A183" s="323" t="s">
        <v>285</v>
      </c>
      <c r="B183" s="323"/>
      <c r="C183" s="323"/>
      <c r="D183" s="323"/>
      <c r="E183" s="323"/>
      <c r="F183" s="323"/>
      <c r="G183" s="323"/>
      <c r="H183" s="323"/>
      <c r="I183" s="323"/>
      <c r="J183" s="323"/>
      <c r="K183" s="323"/>
      <c r="L183" s="323"/>
      <c r="M183" s="323"/>
      <c r="N183" s="323"/>
      <c r="O183" s="323"/>
      <c r="P183" s="323"/>
      <c r="Q183" s="323"/>
      <c r="R183" s="323"/>
      <c r="S183" s="323"/>
      <c r="T183" s="323"/>
      <c r="U183" s="323"/>
      <c r="V183" s="323"/>
      <c r="W183" s="323"/>
      <c r="X183" s="323"/>
      <c r="Y183" s="323"/>
      <c r="Z183" s="323"/>
      <c r="AA183" s="65"/>
      <c r="AB183" s="65"/>
      <c r="AC183" s="82"/>
    </row>
    <row r="184" spans="1:68" ht="14.25" hidden="1" customHeight="1" x14ac:dyDescent="0.25">
      <c r="A184" s="313" t="s">
        <v>82</v>
      </c>
      <c r="B184" s="313"/>
      <c r="C184" s="313"/>
      <c r="D184" s="313"/>
      <c r="E184" s="313"/>
      <c r="F184" s="313"/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  <c r="T184" s="313"/>
      <c r="U184" s="313"/>
      <c r="V184" s="313"/>
      <c r="W184" s="313"/>
      <c r="X184" s="313"/>
      <c r="Y184" s="313"/>
      <c r="Z184" s="313"/>
      <c r="AA184" s="66"/>
      <c r="AB184" s="66"/>
      <c r="AC184" s="83"/>
    </row>
    <row r="185" spans="1:68" ht="27" hidden="1" customHeight="1" x14ac:dyDescent="0.25">
      <c r="A185" s="63" t="s">
        <v>286</v>
      </c>
      <c r="B185" s="63" t="s">
        <v>287</v>
      </c>
      <c r="C185" s="36">
        <v>4301071117</v>
      </c>
      <c r="D185" s="295">
        <v>4620207491737</v>
      </c>
      <c r="E185" s="295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34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297"/>
      <c r="R185" s="297"/>
      <c r="S185" s="297"/>
      <c r="T185" s="298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IFERROR(IF(X185="","",X185*0.0155),"")</f>
        <v>0</v>
      </c>
      <c r="AA185" s="68" t="s">
        <v>46</v>
      </c>
      <c r="AB185" s="69" t="s">
        <v>46</v>
      </c>
      <c r="AC185" s="221" t="s">
        <v>284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idden="1" x14ac:dyDescent="0.2">
      <c r="A186" s="302"/>
      <c r="B186" s="302"/>
      <c r="C186" s="302"/>
      <c r="D186" s="302"/>
      <c r="E186" s="302"/>
      <c r="F186" s="302"/>
      <c r="G186" s="302"/>
      <c r="H186" s="302"/>
      <c r="I186" s="302"/>
      <c r="J186" s="302"/>
      <c r="K186" s="302"/>
      <c r="L186" s="302"/>
      <c r="M186" s="302"/>
      <c r="N186" s="302"/>
      <c r="O186" s="303"/>
      <c r="P186" s="299" t="s">
        <v>40</v>
      </c>
      <c r="Q186" s="300"/>
      <c r="R186" s="300"/>
      <c r="S186" s="300"/>
      <c r="T186" s="300"/>
      <c r="U186" s="300"/>
      <c r="V186" s="301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hidden="1" x14ac:dyDescent="0.2">
      <c r="A187" s="302"/>
      <c r="B187" s="302"/>
      <c r="C187" s="302"/>
      <c r="D187" s="302"/>
      <c r="E187" s="302"/>
      <c r="F187" s="302"/>
      <c r="G187" s="302"/>
      <c r="H187" s="302"/>
      <c r="I187" s="302"/>
      <c r="J187" s="302"/>
      <c r="K187" s="302"/>
      <c r="L187" s="302"/>
      <c r="M187" s="302"/>
      <c r="N187" s="302"/>
      <c r="O187" s="303"/>
      <c r="P187" s="299" t="s">
        <v>40</v>
      </c>
      <c r="Q187" s="300"/>
      <c r="R187" s="300"/>
      <c r="S187" s="300"/>
      <c r="T187" s="300"/>
      <c r="U187" s="300"/>
      <c r="V187" s="301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hidden="1" customHeight="1" x14ac:dyDescent="0.2">
      <c r="A188" s="322" t="s">
        <v>288</v>
      </c>
      <c r="B188" s="322"/>
      <c r="C188" s="322"/>
      <c r="D188" s="322"/>
      <c r="E188" s="322"/>
      <c r="F188" s="322"/>
      <c r="G188" s="322"/>
      <c r="H188" s="322"/>
      <c r="I188" s="322"/>
      <c r="J188" s="322"/>
      <c r="K188" s="322"/>
      <c r="L188" s="322"/>
      <c r="M188" s="322"/>
      <c r="N188" s="322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  <c r="Z188" s="322"/>
      <c r="AA188" s="54"/>
      <c r="AB188" s="54"/>
      <c r="AC188" s="54"/>
    </row>
    <row r="189" spans="1:68" ht="16.5" hidden="1" customHeight="1" x14ac:dyDescent="0.25">
      <c r="A189" s="323" t="s">
        <v>289</v>
      </c>
      <c r="B189" s="323"/>
      <c r="C189" s="323"/>
      <c r="D189" s="323"/>
      <c r="E189" s="323"/>
      <c r="F189" s="323"/>
      <c r="G189" s="323"/>
      <c r="H189" s="323"/>
      <c r="I189" s="323"/>
      <c r="J189" s="323"/>
      <c r="K189" s="323"/>
      <c r="L189" s="323"/>
      <c r="M189" s="323"/>
      <c r="N189" s="323"/>
      <c r="O189" s="323"/>
      <c r="P189" s="323"/>
      <c r="Q189" s="323"/>
      <c r="R189" s="323"/>
      <c r="S189" s="323"/>
      <c r="T189" s="323"/>
      <c r="U189" s="323"/>
      <c r="V189" s="323"/>
      <c r="W189" s="323"/>
      <c r="X189" s="323"/>
      <c r="Y189" s="323"/>
      <c r="Z189" s="323"/>
      <c r="AA189" s="65"/>
      <c r="AB189" s="65"/>
      <c r="AC189" s="82"/>
    </row>
    <row r="190" spans="1:68" ht="14.25" hidden="1" customHeight="1" x14ac:dyDescent="0.25">
      <c r="A190" s="313" t="s">
        <v>113</v>
      </c>
      <c r="B190" s="313"/>
      <c r="C190" s="313"/>
      <c r="D190" s="313"/>
      <c r="E190" s="313"/>
      <c r="F190" s="313"/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  <c r="T190" s="313"/>
      <c r="U190" s="313"/>
      <c r="V190" s="313"/>
      <c r="W190" s="313"/>
      <c r="X190" s="313"/>
      <c r="Y190" s="313"/>
      <c r="Z190" s="313"/>
      <c r="AA190" s="66"/>
      <c r="AB190" s="66"/>
      <c r="AC190" s="83"/>
    </row>
    <row r="191" spans="1:68" ht="16.5" customHeight="1" x14ac:dyDescent="0.25">
      <c r="A191" s="63" t="s">
        <v>290</v>
      </c>
      <c r="B191" s="63" t="s">
        <v>291</v>
      </c>
      <c r="C191" s="36">
        <v>4301132179</v>
      </c>
      <c r="D191" s="295">
        <v>4607111035691</v>
      </c>
      <c r="E191" s="295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3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97"/>
      <c r="R191" s="297"/>
      <c r="S191" s="297"/>
      <c r="T191" s="298"/>
      <c r="U191" s="39" t="s">
        <v>46</v>
      </c>
      <c r="V191" s="39" t="s">
        <v>46</v>
      </c>
      <c r="W191" s="40" t="s">
        <v>39</v>
      </c>
      <c r="X191" s="58">
        <v>238</v>
      </c>
      <c r="Y191" s="55">
        <f>IFERROR(IF(X191="","",X191),"")</f>
        <v>238</v>
      </c>
      <c r="Z191" s="41">
        <f>IFERROR(IF(X191="","",X191*0.01788),"")</f>
        <v>4.2554400000000001</v>
      </c>
      <c r="AA191" s="68" t="s">
        <v>46</v>
      </c>
      <c r="AB191" s="69" t="s">
        <v>46</v>
      </c>
      <c r="AC191" s="223" t="s">
        <v>292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806.34399999999994</v>
      </c>
      <c r="BN191" s="81">
        <f>IFERROR(Y191*I191,"0")</f>
        <v>806.34399999999994</v>
      </c>
      <c r="BO191" s="81">
        <f>IFERROR(X191/J191,"0")</f>
        <v>3.4</v>
      </c>
      <c r="BP191" s="81">
        <f>IFERROR(Y191/J191,"0")</f>
        <v>3.4</v>
      </c>
    </row>
    <row r="192" spans="1:68" ht="27" hidden="1" customHeight="1" x14ac:dyDescent="0.25">
      <c r="A192" s="63" t="s">
        <v>293</v>
      </c>
      <c r="B192" s="63" t="s">
        <v>294</v>
      </c>
      <c r="C192" s="36">
        <v>4301132182</v>
      </c>
      <c r="D192" s="295">
        <v>4607111035721</v>
      </c>
      <c r="E192" s="295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3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97"/>
      <c r="R192" s="297"/>
      <c r="S192" s="297"/>
      <c r="T192" s="298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295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hidden="1" customHeight="1" x14ac:dyDescent="0.25">
      <c r="A193" s="63" t="s">
        <v>296</v>
      </c>
      <c r="B193" s="63" t="s">
        <v>297</v>
      </c>
      <c r="C193" s="36">
        <v>4301132170</v>
      </c>
      <c r="D193" s="295">
        <v>4607111038487</v>
      </c>
      <c r="E193" s="295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97"/>
      <c r="R193" s="297"/>
      <c r="S193" s="297"/>
      <c r="T193" s="298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7" t="s">
        <v>298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hidden="1" customHeight="1" x14ac:dyDescent="0.25">
      <c r="A194" s="63" t="s">
        <v>299</v>
      </c>
      <c r="B194" s="63" t="s">
        <v>300</v>
      </c>
      <c r="C194" s="36">
        <v>4301132243</v>
      </c>
      <c r="D194" s="295">
        <v>4620207491195</v>
      </c>
      <c r="E194" s="295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34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97"/>
      <c r="R194" s="297"/>
      <c r="S194" s="297"/>
      <c r="T194" s="298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9" t="s">
        <v>301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x14ac:dyDescent="0.2">
      <c r="A195" s="302"/>
      <c r="B195" s="302"/>
      <c r="C195" s="302"/>
      <c r="D195" s="302"/>
      <c r="E195" s="302"/>
      <c r="F195" s="302"/>
      <c r="G195" s="302"/>
      <c r="H195" s="302"/>
      <c r="I195" s="302"/>
      <c r="J195" s="302"/>
      <c r="K195" s="302"/>
      <c r="L195" s="302"/>
      <c r="M195" s="302"/>
      <c r="N195" s="302"/>
      <c r="O195" s="303"/>
      <c r="P195" s="299" t="s">
        <v>40</v>
      </c>
      <c r="Q195" s="300"/>
      <c r="R195" s="300"/>
      <c r="S195" s="300"/>
      <c r="T195" s="300"/>
      <c r="U195" s="300"/>
      <c r="V195" s="301"/>
      <c r="W195" s="42" t="s">
        <v>39</v>
      </c>
      <c r="X195" s="43">
        <f>IFERROR(SUM(X191:X194),"0")</f>
        <v>238</v>
      </c>
      <c r="Y195" s="43">
        <f>IFERROR(SUM(Y191:Y194),"0")</f>
        <v>238</v>
      </c>
      <c r="Z195" s="43">
        <f>IFERROR(IF(Z191="",0,Z191),"0")+IFERROR(IF(Z192="",0,Z192),"0")+IFERROR(IF(Z193="",0,Z193),"0")+IFERROR(IF(Z194="",0,Z194),"0")</f>
        <v>4.2554400000000001</v>
      </c>
      <c r="AA195" s="67"/>
      <c r="AB195" s="67"/>
      <c r="AC195" s="67"/>
    </row>
    <row r="196" spans="1:68" x14ac:dyDescent="0.2">
      <c r="A196" s="302"/>
      <c r="B196" s="302"/>
      <c r="C196" s="302"/>
      <c r="D196" s="302"/>
      <c r="E196" s="302"/>
      <c r="F196" s="302"/>
      <c r="G196" s="302"/>
      <c r="H196" s="302"/>
      <c r="I196" s="302"/>
      <c r="J196" s="302"/>
      <c r="K196" s="302"/>
      <c r="L196" s="302"/>
      <c r="M196" s="302"/>
      <c r="N196" s="302"/>
      <c r="O196" s="303"/>
      <c r="P196" s="299" t="s">
        <v>40</v>
      </c>
      <c r="Q196" s="300"/>
      <c r="R196" s="300"/>
      <c r="S196" s="300"/>
      <c r="T196" s="300"/>
      <c r="U196" s="300"/>
      <c r="V196" s="301"/>
      <c r="W196" s="42" t="s">
        <v>0</v>
      </c>
      <c r="X196" s="43">
        <f>IFERROR(SUMPRODUCT(X191:X194*H191:H194),"0")</f>
        <v>714</v>
      </c>
      <c r="Y196" s="43">
        <f>IFERROR(SUMPRODUCT(Y191:Y194*H191:H194),"0")</f>
        <v>714</v>
      </c>
      <c r="Z196" s="42"/>
      <c r="AA196" s="67"/>
      <c r="AB196" s="67"/>
      <c r="AC196" s="67"/>
    </row>
    <row r="197" spans="1:68" ht="27.75" hidden="1" customHeight="1" x14ac:dyDescent="0.2">
      <c r="A197" s="322" t="s">
        <v>302</v>
      </c>
      <c r="B197" s="322"/>
      <c r="C197" s="322"/>
      <c r="D197" s="322"/>
      <c r="E197" s="322"/>
      <c r="F197" s="322"/>
      <c r="G197" s="322"/>
      <c r="H197" s="322"/>
      <c r="I197" s="322"/>
      <c r="J197" s="322"/>
      <c r="K197" s="322"/>
      <c r="L197" s="322"/>
      <c r="M197" s="322"/>
      <c r="N197" s="322"/>
      <c r="O197" s="322"/>
      <c r="P197" s="322"/>
      <c r="Q197" s="322"/>
      <c r="R197" s="322"/>
      <c r="S197" s="322"/>
      <c r="T197" s="322"/>
      <c r="U197" s="322"/>
      <c r="V197" s="322"/>
      <c r="W197" s="322"/>
      <c r="X197" s="322"/>
      <c r="Y197" s="322"/>
      <c r="Z197" s="322"/>
      <c r="AA197" s="54"/>
      <c r="AB197" s="54"/>
      <c r="AC197" s="54"/>
    </row>
    <row r="198" spans="1:68" ht="16.5" hidden="1" customHeight="1" x14ac:dyDescent="0.25">
      <c r="A198" s="323" t="s">
        <v>303</v>
      </c>
      <c r="B198" s="323"/>
      <c r="C198" s="323"/>
      <c r="D198" s="323"/>
      <c r="E198" s="323"/>
      <c r="F198" s="323"/>
      <c r="G198" s="323"/>
      <c r="H198" s="323"/>
      <c r="I198" s="323"/>
      <c r="J198" s="323"/>
      <c r="K198" s="323"/>
      <c r="L198" s="323"/>
      <c r="M198" s="323"/>
      <c r="N198" s="323"/>
      <c r="O198" s="323"/>
      <c r="P198" s="323"/>
      <c r="Q198" s="323"/>
      <c r="R198" s="323"/>
      <c r="S198" s="323"/>
      <c r="T198" s="323"/>
      <c r="U198" s="323"/>
      <c r="V198" s="323"/>
      <c r="W198" s="323"/>
      <c r="X198" s="323"/>
      <c r="Y198" s="323"/>
      <c r="Z198" s="323"/>
      <c r="AA198" s="65"/>
      <c r="AB198" s="65"/>
      <c r="AC198" s="82"/>
    </row>
    <row r="199" spans="1:68" ht="14.25" hidden="1" customHeight="1" x14ac:dyDescent="0.25">
      <c r="A199" s="313" t="s">
        <v>113</v>
      </c>
      <c r="B199" s="313"/>
      <c r="C199" s="313"/>
      <c r="D199" s="313"/>
      <c r="E199" s="313"/>
      <c r="F199" s="313"/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  <c r="T199" s="313"/>
      <c r="U199" s="313"/>
      <c r="V199" s="313"/>
      <c r="W199" s="313"/>
      <c r="X199" s="313"/>
      <c r="Y199" s="313"/>
      <c r="Z199" s="313"/>
      <c r="AA199" s="66"/>
      <c r="AB199" s="66"/>
      <c r="AC199" s="83"/>
    </row>
    <row r="200" spans="1:68" ht="27" hidden="1" customHeight="1" x14ac:dyDescent="0.25">
      <c r="A200" s="63" t="s">
        <v>304</v>
      </c>
      <c r="B200" s="63" t="s">
        <v>305</v>
      </c>
      <c r="C200" s="36">
        <v>4301132227</v>
      </c>
      <c r="D200" s="295">
        <v>4620207491133</v>
      </c>
      <c r="E200" s="295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33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97"/>
      <c r="R200" s="297"/>
      <c r="S200" s="297"/>
      <c r="T200" s="298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31" t="s">
        <v>306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hidden="1" x14ac:dyDescent="0.2">
      <c r="A201" s="302"/>
      <c r="B201" s="302"/>
      <c r="C201" s="302"/>
      <c r="D201" s="302"/>
      <c r="E201" s="302"/>
      <c r="F201" s="302"/>
      <c r="G201" s="302"/>
      <c r="H201" s="302"/>
      <c r="I201" s="302"/>
      <c r="J201" s="302"/>
      <c r="K201" s="302"/>
      <c r="L201" s="302"/>
      <c r="M201" s="302"/>
      <c r="N201" s="302"/>
      <c r="O201" s="303"/>
      <c r="P201" s="299" t="s">
        <v>40</v>
      </c>
      <c r="Q201" s="300"/>
      <c r="R201" s="300"/>
      <c r="S201" s="300"/>
      <c r="T201" s="300"/>
      <c r="U201" s="300"/>
      <c r="V201" s="301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302"/>
      <c r="B202" s="302"/>
      <c r="C202" s="302"/>
      <c r="D202" s="302"/>
      <c r="E202" s="302"/>
      <c r="F202" s="302"/>
      <c r="G202" s="302"/>
      <c r="H202" s="302"/>
      <c r="I202" s="302"/>
      <c r="J202" s="302"/>
      <c r="K202" s="302"/>
      <c r="L202" s="302"/>
      <c r="M202" s="302"/>
      <c r="N202" s="302"/>
      <c r="O202" s="303"/>
      <c r="P202" s="299" t="s">
        <v>40</v>
      </c>
      <c r="Q202" s="300"/>
      <c r="R202" s="300"/>
      <c r="S202" s="300"/>
      <c r="T202" s="300"/>
      <c r="U202" s="300"/>
      <c r="V202" s="301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4.25" hidden="1" customHeight="1" x14ac:dyDescent="0.25">
      <c r="A203" s="313" t="s">
        <v>151</v>
      </c>
      <c r="B203" s="313"/>
      <c r="C203" s="313"/>
      <c r="D203" s="313"/>
      <c r="E203" s="313"/>
      <c r="F203" s="313"/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  <c r="T203" s="313"/>
      <c r="U203" s="313"/>
      <c r="V203" s="313"/>
      <c r="W203" s="313"/>
      <c r="X203" s="313"/>
      <c r="Y203" s="313"/>
      <c r="Z203" s="313"/>
      <c r="AA203" s="66"/>
      <c r="AB203" s="66"/>
      <c r="AC203" s="83"/>
    </row>
    <row r="204" spans="1:68" ht="27" hidden="1" customHeight="1" x14ac:dyDescent="0.25">
      <c r="A204" s="63" t="s">
        <v>307</v>
      </c>
      <c r="B204" s="63" t="s">
        <v>308</v>
      </c>
      <c r="C204" s="36">
        <v>4301135834</v>
      </c>
      <c r="D204" s="295">
        <v>4620207491188</v>
      </c>
      <c r="E204" s="295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33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97"/>
      <c r="R204" s="297"/>
      <c r="S204" s="297"/>
      <c r="T204" s="298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309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310</v>
      </c>
      <c r="B205" s="63" t="s">
        <v>311</v>
      </c>
      <c r="C205" s="36">
        <v>4301135696</v>
      </c>
      <c r="D205" s="295">
        <v>4620207490235</v>
      </c>
      <c r="E205" s="295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33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297"/>
      <c r="R205" s="297"/>
      <c r="S205" s="297"/>
      <c r="T205" s="298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312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313</v>
      </c>
      <c r="B206" s="63" t="s">
        <v>314</v>
      </c>
      <c r="C206" s="36">
        <v>4301135697</v>
      </c>
      <c r="D206" s="295">
        <v>4620207490259</v>
      </c>
      <c r="E206" s="295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88</v>
      </c>
      <c r="M206" s="38" t="s">
        <v>86</v>
      </c>
      <c r="N206" s="38"/>
      <c r="O206" s="37">
        <v>180</v>
      </c>
      <c r="P206" s="3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97"/>
      <c r="R206" s="297"/>
      <c r="S206" s="297"/>
      <c r="T206" s="298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315</v>
      </c>
      <c r="AG206" s="81"/>
      <c r="AJ206" s="87" t="s">
        <v>89</v>
      </c>
      <c r="AK206" s="87">
        <v>1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idden="1" x14ac:dyDescent="0.2">
      <c r="A207" s="302"/>
      <c r="B207" s="302"/>
      <c r="C207" s="302"/>
      <c r="D207" s="302"/>
      <c r="E207" s="302"/>
      <c r="F207" s="302"/>
      <c r="G207" s="302"/>
      <c r="H207" s="302"/>
      <c r="I207" s="302"/>
      <c r="J207" s="302"/>
      <c r="K207" s="302"/>
      <c r="L207" s="302"/>
      <c r="M207" s="302"/>
      <c r="N207" s="302"/>
      <c r="O207" s="303"/>
      <c r="P207" s="299" t="s">
        <v>40</v>
      </c>
      <c r="Q207" s="300"/>
      <c r="R207" s="300"/>
      <c r="S207" s="300"/>
      <c r="T207" s="300"/>
      <c r="U207" s="300"/>
      <c r="V207" s="301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302"/>
      <c r="B208" s="302"/>
      <c r="C208" s="302"/>
      <c r="D208" s="302"/>
      <c r="E208" s="302"/>
      <c r="F208" s="302"/>
      <c r="G208" s="302"/>
      <c r="H208" s="302"/>
      <c r="I208" s="302"/>
      <c r="J208" s="302"/>
      <c r="K208" s="302"/>
      <c r="L208" s="302"/>
      <c r="M208" s="302"/>
      <c r="N208" s="302"/>
      <c r="O208" s="303"/>
      <c r="P208" s="299" t="s">
        <v>40</v>
      </c>
      <c r="Q208" s="300"/>
      <c r="R208" s="300"/>
      <c r="S208" s="300"/>
      <c r="T208" s="300"/>
      <c r="U208" s="300"/>
      <c r="V208" s="301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hidden="1" customHeight="1" x14ac:dyDescent="0.25">
      <c r="A209" s="323" t="s">
        <v>316</v>
      </c>
      <c r="B209" s="323"/>
      <c r="C209" s="323"/>
      <c r="D209" s="323"/>
      <c r="E209" s="323"/>
      <c r="F209" s="323"/>
      <c r="G209" s="323"/>
      <c r="H209" s="323"/>
      <c r="I209" s="323"/>
      <c r="J209" s="323"/>
      <c r="K209" s="323"/>
      <c r="L209" s="323"/>
      <c r="M209" s="323"/>
      <c r="N209" s="323"/>
      <c r="O209" s="323"/>
      <c r="P209" s="323"/>
      <c r="Q209" s="323"/>
      <c r="R209" s="323"/>
      <c r="S209" s="323"/>
      <c r="T209" s="323"/>
      <c r="U209" s="323"/>
      <c r="V209" s="323"/>
      <c r="W209" s="323"/>
      <c r="X209" s="323"/>
      <c r="Y209" s="323"/>
      <c r="Z209" s="323"/>
      <c r="AA209" s="65"/>
      <c r="AB209" s="65"/>
      <c r="AC209" s="82"/>
    </row>
    <row r="210" spans="1:68" ht="14.25" hidden="1" customHeight="1" x14ac:dyDescent="0.25">
      <c r="A210" s="313" t="s">
        <v>151</v>
      </c>
      <c r="B210" s="313"/>
      <c r="C210" s="313"/>
      <c r="D210" s="313"/>
      <c r="E210" s="313"/>
      <c r="F210" s="313"/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  <c r="T210" s="313"/>
      <c r="U210" s="313"/>
      <c r="V210" s="313"/>
      <c r="W210" s="313"/>
      <c r="X210" s="313"/>
      <c r="Y210" s="313"/>
      <c r="Z210" s="313"/>
      <c r="AA210" s="66"/>
      <c r="AB210" s="66"/>
      <c r="AC210" s="83"/>
    </row>
    <row r="211" spans="1:68" ht="27" hidden="1" customHeight="1" x14ac:dyDescent="0.25">
      <c r="A211" s="63" t="s">
        <v>317</v>
      </c>
      <c r="B211" s="63" t="s">
        <v>318</v>
      </c>
      <c r="C211" s="36">
        <v>4301135854</v>
      </c>
      <c r="D211" s="295">
        <v>4620207491706</v>
      </c>
      <c r="E211" s="295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33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97"/>
      <c r="R211" s="297"/>
      <c r="S211" s="297"/>
      <c r="T211" s="298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319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hidden="1" customHeight="1" x14ac:dyDescent="0.25">
      <c r="A212" s="63" t="s">
        <v>320</v>
      </c>
      <c r="B212" s="63" t="s">
        <v>321</v>
      </c>
      <c r="C212" s="36">
        <v>4301135895</v>
      </c>
      <c r="D212" s="295">
        <v>4620207491522</v>
      </c>
      <c r="E212" s="295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33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97"/>
      <c r="R212" s="297"/>
      <c r="S212" s="297"/>
      <c r="T212" s="298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322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idden="1" x14ac:dyDescent="0.2">
      <c r="A213" s="302"/>
      <c r="B213" s="302"/>
      <c r="C213" s="302"/>
      <c r="D213" s="302"/>
      <c r="E213" s="302"/>
      <c r="F213" s="302"/>
      <c r="G213" s="302"/>
      <c r="H213" s="302"/>
      <c r="I213" s="302"/>
      <c r="J213" s="302"/>
      <c r="K213" s="302"/>
      <c r="L213" s="302"/>
      <c r="M213" s="302"/>
      <c r="N213" s="302"/>
      <c r="O213" s="303"/>
      <c r="P213" s="299" t="s">
        <v>40</v>
      </c>
      <c r="Q213" s="300"/>
      <c r="R213" s="300"/>
      <c r="S213" s="300"/>
      <c r="T213" s="300"/>
      <c r="U213" s="300"/>
      <c r="V213" s="301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302"/>
      <c r="B214" s="302"/>
      <c r="C214" s="302"/>
      <c r="D214" s="302"/>
      <c r="E214" s="302"/>
      <c r="F214" s="302"/>
      <c r="G214" s="302"/>
      <c r="H214" s="302"/>
      <c r="I214" s="302"/>
      <c r="J214" s="302"/>
      <c r="K214" s="302"/>
      <c r="L214" s="302"/>
      <c r="M214" s="302"/>
      <c r="N214" s="302"/>
      <c r="O214" s="303"/>
      <c r="P214" s="299" t="s">
        <v>40</v>
      </c>
      <c r="Q214" s="300"/>
      <c r="R214" s="300"/>
      <c r="S214" s="300"/>
      <c r="T214" s="300"/>
      <c r="U214" s="300"/>
      <c r="V214" s="301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hidden="1" customHeight="1" x14ac:dyDescent="0.25">
      <c r="A215" s="323" t="s">
        <v>323</v>
      </c>
      <c r="B215" s="323"/>
      <c r="C215" s="323"/>
      <c r="D215" s="323"/>
      <c r="E215" s="323"/>
      <c r="F215" s="323"/>
      <c r="G215" s="323"/>
      <c r="H215" s="323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/>
      <c r="X215" s="323"/>
      <c r="Y215" s="323"/>
      <c r="Z215" s="323"/>
      <c r="AA215" s="65"/>
      <c r="AB215" s="65"/>
      <c r="AC215" s="82"/>
    </row>
    <row r="216" spans="1:68" ht="14.25" hidden="1" customHeight="1" x14ac:dyDescent="0.25">
      <c r="A216" s="313" t="s">
        <v>82</v>
      </c>
      <c r="B216" s="313"/>
      <c r="C216" s="313"/>
      <c r="D216" s="313"/>
      <c r="E216" s="313"/>
      <c r="F216" s="313"/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  <c r="T216" s="313"/>
      <c r="U216" s="313"/>
      <c r="V216" s="313"/>
      <c r="W216" s="313"/>
      <c r="X216" s="313"/>
      <c r="Y216" s="313"/>
      <c r="Z216" s="313"/>
      <c r="AA216" s="66"/>
      <c r="AB216" s="66"/>
      <c r="AC216" s="83"/>
    </row>
    <row r="217" spans="1:68" ht="27" customHeight="1" x14ac:dyDescent="0.25">
      <c r="A217" s="63" t="s">
        <v>324</v>
      </c>
      <c r="B217" s="63" t="s">
        <v>325</v>
      </c>
      <c r="C217" s="36">
        <v>4301071097</v>
      </c>
      <c r="D217" s="295">
        <v>4620207491096</v>
      </c>
      <c r="E217" s="295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33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97"/>
      <c r="R217" s="297"/>
      <c r="S217" s="297"/>
      <c r="T217" s="298"/>
      <c r="U217" s="39" t="s">
        <v>46</v>
      </c>
      <c r="V217" s="39" t="s">
        <v>46</v>
      </c>
      <c r="W217" s="40" t="s">
        <v>39</v>
      </c>
      <c r="X217" s="58">
        <v>192</v>
      </c>
      <c r="Y217" s="55">
        <f>IFERROR(IF(X217="","",X217),"")</f>
        <v>192</v>
      </c>
      <c r="Z217" s="41">
        <f>IFERROR(IF(X217="","",X217*0.0155),"")</f>
        <v>2.976</v>
      </c>
      <c r="AA217" s="68" t="s">
        <v>46</v>
      </c>
      <c r="AB217" s="69" t="s">
        <v>46</v>
      </c>
      <c r="AC217" s="243" t="s">
        <v>326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1004.1600000000001</v>
      </c>
      <c r="BN217" s="81">
        <f>IFERROR(Y217*I217,"0")</f>
        <v>1004.1600000000001</v>
      </c>
      <c r="BO217" s="81">
        <f>IFERROR(X217/J217,"0")</f>
        <v>2.2857142857142856</v>
      </c>
      <c r="BP217" s="81">
        <f>IFERROR(Y217/J217,"0")</f>
        <v>2.2857142857142856</v>
      </c>
    </row>
    <row r="218" spans="1:68" x14ac:dyDescent="0.2">
      <c r="A218" s="302"/>
      <c r="B218" s="302"/>
      <c r="C218" s="302"/>
      <c r="D218" s="302"/>
      <c r="E218" s="302"/>
      <c r="F218" s="302"/>
      <c r="G218" s="302"/>
      <c r="H218" s="302"/>
      <c r="I218" s="302"/>
      <c r="J218" s="302"/>
      <c r="K218" s="302"/>
      <c r="L218" s="302"/>
      <c r="M218" s="302"/>
      <c r="N218" s="302"/>
      <c r="O218" s="303"/>
      <c r="P218" s="299" t="s">
        <v>40</v>
      </c>
      <c r="Q218" s="300"/>
      <c r="R218" s="300"/>
      <c r="S218" s="300"/>
      <c r="T218" s="300"/>
      <c r="U218" s="300"/>
      <c r="V218" s="301"/>
      <c r="W218" s="42" t="s">
        <v>39</v>
      </c>
      <c r="X218" s="43">
        <f>IFERROR(SUM(X217:X217),"0")</f>
        <v>192</v>
      </c>
      <c r="Y218" s="43">
        <f>IFERROR(SUM(Y217:Y217),"0")</f>
        <v>192</v>
      </c>
      <c r="Z218" s="43">
        <f>IFERROR(IF(Z217="",0,Z217),"0")</f>
        <v>2.976</v>
      </c>
      <c r="AA218" s="67"/>
      <c r="AB218" s="67"/>
      <c r="AC218" s="67"/>
    </row>
    <row r="219" spans="1:68" x14ac:dyDescent="0.2">
      <c r="A219" s="302"/>
      <c r="B219" s="302"/>
      <c r="C219" s="302"/>
      <c r="D219" s="302"/>
      <c r="E219" s="302"/>
      <c r="F219" s="302"/>
      <c r="G219" s="302"/>
      <c r="H219" s="302"/>
      <c r="I219" s="302"/>
      <c r="J219" s="302"/>
      <c r="K219" s="302"/>
      <c r="L219" s="302"/>
      <c r="M219" s="302"/>
      <c r="N219" s="302"/>
      <c r="O219" s="303"/>
      <c r="P219" s="299" t="s">
        <v>40</v>
      </c>
      <c r="Q219" s="300"/>
      <c r="R219" s="300"/>
      <c r="S219" s="300"/>
      <c r="T219" s="300"/>
      <c r="U219" s="300"/>
      <c r="V219" s="301"/>
      <c r="W219" s="42" t="s">
        <v>0</v>
      </c>
      <c r="X219" s="43">
        <f>IFERROR(SUMPRODUCT(X217:X217*H217:H217),"0")</f>
        <v>960</v>
      </c>
      <c r="Y219" s="43">
        <f>IFERROR(SUMPRODUCT(Y217:Y217*H217:H217),"0")</f>
        <v>960</v>
      </c>
      <c r="Z219" s="42"/>
      <c r="AA219" s="67"/>
      <c r="AB219" s="67"/>
      <c r="AC219" s="67"/>
    </row>
    <row r="220" spans="1:68" ht="16.5" hidden="1" customHeight="1" x14ac:dyDescent="0.25">
      <c r="A220" s="323" t="s">
        <v>327</v>
      </c>
      <c r="B220" s="323"/>
      <c r="C220" s="323"/>
      <c r="D220" s="323"/>
      <c r="E220" s="323"/>
      <c r="F220" s="323"/>
      <c r="G220" s="323"/>
      <c r="H220" s="323"/>
      <c r="I220" s="323"/>
      <c r="J220" s="323"/>
      <c r="K220" s="323"/>
      <c r="L220" s="323"/>
      <c r="M220" s="323"/>
      <c r="N220" s="323"/>
      <c r="O220" s="323"/>
      <c r="P220" s="323"/>
      <c r="Q220" s="323"/>
      <c r="R220" s="323"/>
      <c r="S220" s="323"/>
      <c r="T220" s="323"/>
      <c r="U220" s="323"/>
      <c r="V220" s="323"/>
      <c r="W220" s="323"/>
      <c r="X220" s="323"/>
      <c r="Y220" s="323"/>
      <c r="Z220" s="323"/>
      <c r="AA220" s="65"/>
      <c r="AB220" s="65"/>
      <c r="AC220" s="82"/>
    </row>
    <row r="221" spans="1:68" ht="14.25" hidden="1" customHeight="1" x14ac:dyDescent="0.25">
      <c r="A221" s="313" t="s">
        <v>151</v>
      </c>
      <c r="B221" s="313"/>
      <c r="C221" s="313"/>
      <c r="D221" s="313"/>
      <c r="E221" s="313"/>
      <c r="F221" s="313"/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  <c r="T221" s="313"/>
      <c r="U221" s="313"/>
      <c r="V221" s="313"/>
      <c r="W221" s="313"/>
      <c r="X221" s="313"/>
      <c r="Y221" s="313"/>
      <c r="Z221" s="313"/>
      <c r="AA221" s="66"/>
      <c r="AB221" s="66"/>
      <c r="AC221" s="83"/>
    </row>
    <row r="222" spans="1:68" ht="27" hidden="1" customHeight="1" x14ac:dyDescent="0.25">
      <c r="A222" s="63" t="s">
        <v>328</v>
      </c>
      <c r="B222" s="63" t="s">
        <v>329</v>
      </c>
      <c r="C222" s="36">
        <v>4301135694</v>
      </c>
      <c r="D222" s="295">
        <v>4620207490501</v>
      </c>
      <c r="E222" s="295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33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97"/>
      <c r="R222" s="297"/>
      <c r="S222" s="297"/>
      <c r="T222" s="298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330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302"/>
      <c r="B223" s="302"/>
      <c r="C223" s="302"/>
      <c r="D223" s="302"/>
      <c r="E223" s="302"/>
      <c r="F223" s="302"/>
      <c r="G223" s="302"/>
      <c r="H223" s="302"/>
      <c r="I223" s="302"/>
      <c r="J223" s="302"/>
      <c r="K223" s="302"/>
      <c r="L223" s="302"/>
      <c r="M223" s="302"/>
      <c r="N223" s="302"/>
      <c r="O223" s="303"/>
      <c r="P223" s="299" t="s">
        <v>40</v>
      </c>
      <c r="Q223" s="300"/>
      <c r="R223" s="300"/>
      <c r="S223" s="300"/>
      <c r="T223" s="300"/>
      <c r="U223" s="300"/>
      <c r="V223" s="301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302"/>
      <c r="B224" s="302"/>
      <c r="C224" s="302"/>
      <c r="D224" s="302"/>
      <c r="E224" s="302"/>
      <c r="F224" s="302"/>
      <c r="G224" s="302"/>
      <c r="H224" s="302"/>
      <c r="I224" s="302"/>
      <c r="J224" s="302"/>
      <c r="K224" s="302"/>
      <c r="L224" s="302"/>
      <c r="M224" s="302"/>
      <c r="N224" s="302"/>
      <c r="O224" s="303"/>
      <c r="P224" s="299" t="s">
        <v>40</v>
      </c>
      <c r="Q224" s="300"/>
      <c r="R224" s="300"/>
      <c r="S224" s="300"/>
      <c r="T224" s="300"/>
      <c r="U224" s="300"/>
      <c r="V224" s="301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hidden="1" customHeight="1" x14ac:dyDescent="0.2">
      <c r="A225" s="322" t="s">
        <v>331</v>
      </c>
      <c r="B225" s="322"/>
      <c r="C225" s="322"/>
      <c r="D225" s="322"/>
      <c r="E225" s="322"/>
      <c r="F225" s="322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54"/>
      <c r="AB225" s="54"/>
      <c r="AC225" s="54"/>
    </row>
    <row r="226" spans="1:68" ht="16.5" hidden="1" customHeight="1" x14ac:dyDescent="0.25">
      <c r="A226" s="323" t="s">
        <v>332</v>
      </c>
      <c r="B226" s="323"/>
      <c r="C226" s="323"/>
      <c r="D226" s="323"/>
      <c r="E226" s="323"/>
      <c r="F226" s="323"/>
      <c r="G226" s="323"/>
      <c r="H226" s="323"/>
      <c r="I226" s="323"/>
      <c r="J226" s="323"/>
      <c r="K226" s="323"/>
      <c r="L226" s="323"/>
      <c r="M226" s="323"/>
      <c r="N226" s="323"/>
      <c r="O226" s="323"/>
      <c r="P226" s="323"/>
      <c r="Q226" s="323"/>
      <c r="R226" s="323"/>
      <c r="S226" s="323"/>
      <c r="T226" s="323"/>
      <c r="U226" s="323"/>
      <c r="V226" s="323"/>
      <c r="W226" s="323"/>
      <c r="X226" s="323"/>
      <c r="Y226" s="323"/>
      <c r="Z226" s="323"/>
      <c r="AA226" s="65"/>
      <c r="AB226" s="65"/>
      <c r="AC226" s="82"/>
    </row>
    <row r="227" spans="1:68" ht="14.25" hidden="1" customHeight="1" x14ac:dyDescent="0.25">
      <c r="A227" s="313" t="s">
        <v>82</v>
      </c>
      <c r="B227" s="313"/>
      <c r="C227" s="313"/>
      <c r="D227" s="313"/>
      <c r="E227" s="313"/>
      <c r="F227" s="313"/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  <c r="T227" s="313"/>
      <c r="U227" s="313"/>
      <c r="V227" s="313"/>
      <c r="W227" s="313"/>
      <c r="X227" s="313"/>
      <c r="Y227" s="313"/>
      <c r="Z227" s="313"/>
      <c r="AA227" s="66"/>
      <c r="AB227" s="66"/>
      <c r="AC227" s="83"/>
    </row>
    <row r="228" spans="1:68" ht="27" hidden="1" customHeight="1" x14ac:dyDescent="0.25">
      <c r="A228" s="63" t="s">
        <v>333</v>
      </c>
      <c r="B228" s="63" t="s">
        <v>334</v>
      </c>
      <c r="C228" s="36">
        <v>4301071036</v>
      </c>
      <c r="D228" s="295">
        <v>4607111036162</v>
      </c>
      <c r="E228" s="295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33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97"/>
      <c r="R228" s="297"/>
      <c r="S228" s="297"/>
      <c r="T228" s="298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335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hidden="1" x14ac:dyDescent="0.2">
      <c r="A229" s="302"/>
      <c r="B229" s="302"/>
      <c r="C229" s="302"/>
      <c r="D229" s="302"/>
      <c r="E229" s="302"/>
      <c r="F229" s="302"/>
      <c r="G229" s="302"/>
      <c r="H229" s="302"/>
      <c r="I229" s="302"/>
      <c r="J229" s="302"/>
      <c r="K229" s="302"/>
      <c r="L229" s="302"/>
      <c r="M229" s="302"/>
      <c r="N229" s="302"/>
      <c r="O229" s="303"/>
      <c r="P229" s="299" t="s">
        <v>40</v>
      </c>
      <c r="Q229" s="300"/>
      <c r="R229" s="300"/>
      <c r="S229" s="300"/>
      <c r="T229" s="300"/>
      <c r="U229" s="300"/>
      <c r="V229" s="301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hidden="1" x14ac:dyDescent="0.2">
      <c r="A230" s="302"/>
      <c r="B230" s="302"/>
      <c r="C230" s="302"/>
      <c r="D230" s="302"/>
      <c r="E230" s="302"/>
      <c r="F230" s="302"/>
      <c r="G230" s="302"/>
      <c r="H230" s="302"/>
      <c r="I230" s="302"/>
      <c r="J230" s="302"/>
      <c r="K230" s="302"/>
      <c r="L230" s="302"/>
      <c r="M230" s="302"/>
      <c r="N230" s="302"/>
      <c r="O230" s="303"/>
      <c r="P230" s="299" t="s">
        <v>40</v>
      </c>
      <c r="Q230" s="300"/>
      <c r="R230" s="300"/>
      <c r="S230" s="300"/>
      <c r="T230" s="300"/>
      <c r="U230" s="300"/>
      <c r="V230" s="301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hidden="1" customHeight="1" x14ac:dyDescent="0.2">
      <c r="A231" s="322" t="s">
        <v>336</v>
      </c>
      <c r="B231" s="322"/>
      <c r="C231" s="322"/>
      <c r="D231" s="322"/>
      <c r="E231" s="322"/>
      <c r="F231" s="322"/>
      <c r="G231" s="322"/>
      <c r="H231" s="322"/>
      <c r="I231" s="322"/>
      <c r="J231" s="322"/>
      <c r="K231" s="322"/>
      <c r="L231" s="322"/>
      <c r="M231" s="322"/>
      <c r="N231" s="322"/>
      <c r="O231" s="322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  <c r="AA231" s="54"/>
      <c r="AB231" s="54"/>
      <c r="AC231" s="54"/>
    </row>
    <row r="232" spans="1:68" ht="16.5" hidden="1" customHeight="1" x14ac:dyDescent="0.25">
      <c r="A232" s="323" t="s">
        <v>337</v>
      </c>
      <c r="B232" s="323"/>
      <c r="C232" s="323"/>
      <c r="D232" s="323"/>
      <c r="E232" s="323"/>
      <c r="F232" s="323"/>
      <c r="G232" s="323"/>
      <c r="H232" s="323"/>
      <c r="I232" s="323"/>
      <c r="J232" s="323"/>
      <c r="K232" s="323"/>
      <c r="L232" s="323"/>
      <c r="M232" s="323"/>
      <c r="N232" s="323"/>
      <c r="O232" s="323"/>
      <c r="P232" s="323"/>
      <c r="Q232" s="323"/>
      <c r="R232" s="323"/>
      <c r="S232" s="323"/>
      <c r="T232" s="323"/>
      <c r="U232" s="323"/>
      <c r="V232" s="323"/>
      <c r="W232" s="323"/>
      <c r="X232" s="323"/>
      <c r="Y232" s="323"/>
      <c r="Z232" s="323"/>
      <c r="AA232" s="65"/>
      <c r="AB232" s="65"/>
      <c r="AC232" s="82"/>
    </row>
    <row r="233" spans="1:68" ht="14.25" hidden="1" customHeight="1" x14ac:dyDescent="0.25">
      <c r="A233" s="313" t="s">
        <v>338</v>
      </c>
      <c r="B233" s="313"/>
      <c r="C233" s="313"/>
      <c r="D233" s="313"/>
      <c r="E233" s="313"/>
      <c r="F233" s="313"/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  <c r="T233" s="313"/>
      <c r="U233" s="313"/>
      <c r="V233" s="313"/>
      <c r="W233" s="313"/>
      <c r="X233" s="313"/>
      <c r="Y233" s="313"/>
      <c r="Z233" s="313"/>
      <c r="AA233" s="66"/>
      <c r="AB233" s="66"/>
      <c r="AC233" s="83"/>
    </row>
    <row r="234" spans="1:68" ht="27" hidden="1" customHeight="1" x14ac:dyDescent="0.25">
      <c r="A234" s="63" t="s">
        <v>339</v>
      </c>
      <c r="B234" s="63" t="s">
        <v>340</v>
      </c>
      <c r="C234" s="36">
        <v>4301133004</v>
      </c>
      <c r="D234" s="295">
        <v>4607111039774</v>
      </c>
      <c r="E234" s="295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33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97"/>
      <c r="R234" s="297"/>
      <c r="S234" s="297"/>
      <c r="T234" s="298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341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hidden="1" x14ac:dyDescent="0.2">
      <c r="A235" s="302"/>
      <c r="B235" s="302"/>
      <c r="C235" s="302"/>
      <c r="D235" s="302"/>
      <c r="E235" s="302"/>
      <c r="F235" s="302"/>
      <c r="G235" s="302"/>
      <c r="H235" s="302"/>
      <c r="I235" s="302"/>
      <c r="J235" s="302"/>
      <c r="K235" s="302"/>
      <c r="L235" s="302"/>
      <c r="M235" s="302"/>
      <c r="N235" s="302"/>
      <c r="O235" s="303"/>
      <c r="P235" s="299" t="s">
        <v>40</v>
      </c>
      <c r="Q235" s="300"/>
      <c r="R235" s="300"/>
      <c r="S235" s="300"/>
      <c r="T235" s="300"/>
      <c r="U235" s="300"/>
      <c r="V235" s="301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hidden="1" x14ac:dyDescent="0.2">
      <c r="A236" s="302"/>
      <c r="B236" s="302"/>
      <c r="C236" s="302"/>
      <c r="D236" s="302"/>
      <c r="E236" s="302"/>
      <c r="F236" s="302"/>
      <c r="G236" s="302"/>
      <c r="H236" s="302"/>
      <c r="I236" s="302"/>
      <c r="J236" s="302"/>
      <c r="K236" s="302"/>
      <c r="L236" s="302"/>
      <c r="M236" s="302"/>
      <c r="N236" s="302"/>
      <c r="O236" s="303"/>
      <c r="P236" s="299" t="s">
        <v>40</v>
      </c>
      <c r="Q236" s="300"/>
      <c r="R236" s="300"/>
      <c r="S236" s="300"/>
      <c r="T236" s="300"/>
      <c r="U236" s="300"/>
      <c r="V236" s="301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hidden="1" customHeight="1" x14ac:dyDescent="0.25">
      <c r="A237" s="313" t="s">
        <v>151</v>
      </c>
      <c r="B237" s="313"/>
      <c r="C237" s="313"/>
      <c r="D237" s="313"/>
      <c r="E237" s="313"/>
      <c r="F237" s="313"/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  <c r="T237" s="313"/>
      <c r="U237" s="313"/>
      <c r="V237" s="313"/>
      <c r="W237" s="313"/>
      <c r="X237" s="313"/>
      <c r="Y237" s="313"/>
      <c r="Z237" s="313"/>
      <c r="AA237" s="66"/>
      <c r="AB237" s="66"/>
      <c r="AC237" s="83"/>
    </row>
    <row r="238" spans="1:68" ht="37.5" hidden="1" customHeight="1" x14ac:dyDescent="0.25">
      <c r="A238" s="63" t="s">
        <v>342</v>
      </c>
      <c r="B238" s="63" t="s">
        <v>343</v>
      </c>
      <c r="C238" s="36">
        <v>4301135400</v>
      </c>
      <c r="D238" s="295">
        <v>4607111039361</v>
      </c>
      <c r="E238" s="295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32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97"/>
      <c r="R238" s="297"/>
      <c r="S238" s="297"/>
      <c r="T238" s="298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341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302"/>
      <c r="B239" s="302"/>
      <c r="C239" s="302"/>
      <c r="D239" s="302"/>
      <c r="E239" s="302"/>
      <c r="F239" s="302"/>
      <c r="G239" s="302"/>
      <c r="H239" s="302"/>
      <c r="I239" s="302"/>
      <c r="J239" s="302"/>
      <c r="K239" s="302"/>
      <c r="L239" s="302"/>
      <c r="M239" s="302"/>
      <c r="N239" s="302"/>
      <c r="O239" s="303"/>
      <c r="P239" s="299" t="s">
        <v>40</v>
      </c>
      <c r="Q239" s="300"/>
      <c r="R239" s="300"/>
      <c r="S239" s="300"/>
      <c r="T239" s="300"/>
      <c r="U239" s="300"/>
      <c r="V239" s="301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302"/>
      <c r="B240" s="302"/>
      <c r="C240" s="302"/>
      <c r="D240" s="302"/>
      <c r="E240" s="302"/>
      <c r="F240" s="302"/>
      <c r="G240" s="302"/>
      <c r="H240" s="302"/>
      <c r="I240" s="302"/>
      <c r="J240" s="302"/>
      <c r="K240" s="302"/>
      <c r="L240" s="302"/>
      <c r="M240" s="302"/>
      <c r="N240" s="302"/>
      <c r="O240" s="303"/>
      <c r="P240" s="299" t="s">
        <v>40</v>
      </c>
      <c r="Q240" s="300"/>
      <c r="R240" s="300"/>
      <c r="S240" s="300"/>
      <c r="T240" s="300"/>
      <c r="U240" s="300"/>
      <c r="V240" s="301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hidden="1" customHeight="1" x14ac:dyDescent="0.2">
      <c r="A241" s="322" t="s">
        <v>344</v>
      </c>
      <c r="B241" s="322"/>
      <c r="C241" s="322"/>
      <c r="D241" s="322"/>
      <c r="E241" s="322"/>
      <c r="F241" s="322"/>
      <c r="G241" s="322"/>
      <c r="H241" s="322"/>
      <c r="I241" s="322"/>
      <c r="J241" s="322"/>
      <c r="K241" s="322"/>
      <c r="L241" s="322"/>
      <c r="M241" s="322"/>
      <c r="N241" s="322"/>
      <c r="O241" s="322"/>
      <c r="P241" s="322"/>
      <c r="Q241" s="322"/>
      <c r="R241" s="322"/>
      <c r="S241" s="322"/>
      <c r="T241" s="322"/>
      <c r="U241" s="322"/>
      <c r="V241" s="322"/>
      <c r="W241" s="322"/>
      <c r="X241" s="322"/>
      <c r="Y241" s="322"/>
      <c r="Z241" s="322"/>
      <c r="AA241" s="54"/>
      <c r="AB241" s="54"/>
      <c r="AC241" s="54"/>
    </row>
    <row r="242" spans="1:68" ht="16.5" hidden="1" customHeight="1" x14ac:dyDescent="0.25">
      <c r="A242" s="323" t="s">
        <v>344</v>
      </c>
      <c r="B242" s="323"/>
      <c r="C242" s="323"/>
      <c r="D242" s="323"/>
      <c r="E242" s="323"/>
      <c r="F242" s="323"/>
      <c r="G242" s="323"/>
      <c r="H242" s="323"/>
      <c r="I242" s="323"/>
      <c r="J242" s="323"/>
      <c r="K242" s="323"/>
      <c r="L242" s="323"/>
      <c r="M242" s="323"/>
      <c r="N242" s="323"/>
      <c r="O242" s="323"/>
      <c r="P242" s="323"/>
      <c r="Q242" s="323"/>
      <c r="R242" s="323"/>
      <c r="S242" s="323"/>
      <c r="T242" s="323"/>
      <c r="U242" s="323"/>
      <c r="V242" s="323"/>
      <c r="W242" s="323"/>
      <c r="X242" s="323"/>
      <c r="Y242" s="323"/>
      <c r="Z242" s="323"/>
      <c r="AA242" s="65"/>
      <c r="AB242" s="65"/>
      <c r="AC242" s="82"/>
    </row>
    <row r="243" spans="1:68" ht="14.25" hidden="1" customHeight="1" x14ac:dyDescent="0.25">
      <c r="A243" s="313" t="s">
        <v>113</v>
      </c>
      <c r="B243" s="313"/>
      <c r="C243" s="313"/>
      <c r="D243" s="313"/>
      <c r="E243" s="313"/>
      <c r="F243" s="313"/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  <c r="T243" s="313"/>
      <c r="U243" s="313"/>
      <c r="V243" s="313"/>
      <c r="W243" s="313"/>
      <c r="X243" s="313"/>
      <c r="Y243" s="313"/>
      <c r="Z243" s="313"/>
      <c r="AA243" s="66"/>
      <c r="AB243" s="66"/>
      <c r="AC243" s="83"/>
    </row>
    <row r="244" spans="1:68" ht="27" hidden="1" customHeight="1" x14ac:dyDescent="0.25">
      <c r="A244" s="63" t="s">
        <v>345</v>
      </c>
      <c r="B244" s="63" t="s">
        <v>346</v>
      </c>
      <c r="C244" s="36">
        <v>4301132228</v>
      </c>
      <c r="D244" s="295">
        <v>4640242181950</v>
      </c>
      <c r="E244" s="295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32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297"/>
      <c r="R244" s="297"/>
      <c r="S244" s="297"/>
      <c r="T244" s="298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347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302"/>
      <c r="B245" s="302"/>
      <c r="C245" s="302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3"/>
      <c r="P245" s="299" t="s">
        <v>40</v>
      </c>
      <c r="Q245" s="300"/>
      <c r="R245" s="300"/>
      <c r="S245" s="300"/>
      <c r="T245" s="300"/>
      <c r="U245" s="300"/>
      <c r="V245" s="301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302"/>
      <c r="B246" s="302"/>
      <c r="C246" s="302"/>
      <c r="D246" s="302"/>
      <c r="E246" s="302"/>
      <c r="F246" s="302"/>
      <c r="G246" s="302"/>
      <c r="H246" s="302"/>
      <c r="I246" s="302"/>
      <c r="J246" s="302"/>
      <c r="K246" s="302"/>
      <c r="L246" s="302"/>
      <c r="M246" s="302"/>
      <c r="N246" s="302"/>
      <c r="O246" s="303"/>
      <c r="P246" s="299" t="s">
        <v>40</v>
      </c>
      <c r="Q246" s="300"/>
      <c r="R246" s="300"/>
      <c r="S246" s="300"/>
      <c r="T246" s="300"/>
      <c r="U246" s="300"/>
      <c r="V246" s="301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hidden="1" customHeight="1" x14ac:dyDescent="0.25">
      <c r="A247" s="313" t="s">
        <v>145</v>
      </c>
      <c r="B247" s="313"/>
      <c r="C247" s="313"/>
      <c r="D247" s="313"/>
      <c r="E247" s="313"/>
      <c r="F247" s="313"/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  <c r="T247" s="313"/>
      <c r="U247" s="313"/>
      <c r="V247" s="313"/>
      <c r="W247" s="313"/>
      <c r="X247" s="313"/>
      <c r="Y247" s="313"/>
      <c r="Z247" s="313"/>
      <c r="AA247" s="66"/>
      <c r="AB247" s="66"/>
      <c r="AC247" s="83"/>
    </row>
    <row r="248" spans="1:68" ht="27" hidden="1" customHeight="1" x14ac:dyDescent="0.25">
      <c r="A248" s="63" t="s">
        <v>348</v>
      </c>
      <c r="B248" s="63" t="s">
        <v>349</v>
      </c>
      <c r="C248" s="36">
        <v>4301136098</v>
      </c>
      <c r="D248" s="295">
        <v>4640242181943</v>
      </c>
      <c r="E248" s="295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32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297"/>
      <c r="R248" s="297"/>
      <c r="S248" s="297"/>
      <c r="T248" s="298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350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302"/>
      <c r="B249" s="302"/>
      <c r="C249" s="302"/>
      <c r="D249" s="302"/>
      <c r="E249" s="302"/>
      <c r="F249" s="302"/>
      <c r="G249" s="302"/>
      <c r="H249" s="302"/>
      <c r="I249" s="302"/>
      <c r="J249" s="302"/>
      <c r="K249" s="302"/>
      <c r="L249" s="302"/>
      <c r="M249" s="302"/>
      <c r="N249" s="302"/>
      <c r="O249" s="303"/>
      <c r="P249" s="299" t="s">
        <v>40</v>
      </c>
      <c r="Q249" s="300"/>
      <c r="R249" s="300"/>
      <c r="S249" s="300"/>
      <c r="T249" s="300"/>
      <c r="U249" s="300"/>
      <c r="V249" s="301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302"/>
      <c r="B250" s="302"/>
      <c r="C250" s="302"/>
      <c r="D250" s="302"/>
      <c r="E250" s="302"/>
      <c r="F250" s="302"/>
      <c r="G250" s="302"/>
      <c r="H250" s="302"/>
      <c r="I250" s="302"/>
      <c r="J250" s="302"/>
      <c r="K250" s="302"/>
      <c r="L250" s="302"/>
      <c r="M250" s="302"/>
      <c r="N250" s="302"/>
      <c r="O250" s="303"/>
      <c r="P250" s="299" t="s">
        <v>40</v>
      </c>
      <c r="Q250" s="300"/>
      <c r="R250" s="300"/>
      <c r="S250" s="300"/>
      <c r="T250" s="300"/>
      <c r="U250" s="300"/>
      <c r="V250" s="301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22" t="s">
        <v>351</v>
      </c>
      <c r="B251" s="322"/>
      <c r="C251" s="322"/>
      <c r="D251" s="322"/>
      <c r="E251" s="322"/>
      <c r="F251" s="322"/>
      <c r="G251" s="322"/>
      <c r="H251" s="322"/>
      <c r="I251" s="322"/>
      <c r="J251" s="322"/>
      <c r="K251" s="322"/>
      <c r="L251" s="322"/>
      <c r="M251" s="322"/>
      <c r="N251" s="322"/>
      <c r="O251" s="322"/>
      <c r="P251" s="322"/>
      <c r="Q251" s="322"/>
      <c r="R251" s="322"/>
      <c r="S251" s="322"/>
      <c r="T251" s="322"/>
      <c r="U251" s="322"/>
      <c r="V251" s="322"/>
      <c r="W251" s="322"/>
      <c r="X251" s="322"/>
      <c r="Y251" s="322"/>
      <c r="Z251" s="322"/>
      <c r="AA251" s="54"/>
      <c r="AB251" s="54"/>
      <c r="AC251" s="54"/>
    </row>
    <row r="252" spans="1:68" ht="16.5" hidden="1" customHeight="1" x14ac:dyDescent="0.25">
      <c r="A252" s="323" t="s">
        <v>351</v>
      </c>
      <c r="B252" s="323"/>
      <c r="C252" s="323"/>
      <c r="D252" s="323"/>
      <c r="E252" s="323"/>
      <c r="F252" s="323"/>
      <c r="G252" s="323"/>
      <c r="H252" s="323"/>
      <c r="I252" s="323"/>
      <c r="J252" s="323"/>
      <c r="K252" s="323"/>
      <c r="L252" s="323"/>
      <c r="M252" s="323"/>
      <c r="N252" s="323"/>
      <c r="O252" s="323"/>
      <c r="P252" s="323"/>
      <c r="Q252" s="323"/>
      <c r="R252" s="323"/>
      <c r="S252" s="323"/>
      <c r="T252" s="323"/>
      <c r="U252" s="323"/>
      <c r="V252" s="323"/>
      <c r="W252" s="323"/>
      <c r="X252" s="323"/>
      <c r="Y252" s="323"/>
      <c r="Z252" s="323"/>
      <c r="AA252" s="65"/>
      <c r="AB252" s="65"/>
      <c r="AC252" s="82"/>
    </row>
    <row r="253" spans="1:68" ht="14.25" hidden="1" customHeight="1" x14ac:dyDescent="0.25">
      <c r="A253" s="313" t="s">
        <v>82</v>
      </c>
      <c r="B253" s="313"/>
      <c r="C253" s="313"/>
      <c r="D253" s="313"/>
      <c r="E253" s="313"/>
      <c r="F253" s="313"/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  <c r="T253" s="313"/>
      <c r="U253" s="313"/>
      <c r="V253" s="313"/>
      <c r="W253" s="313"/>
      <c r="X253" s="313"/>
      <c r="Y253" s="313"/>
      <c r="Z253" s="313"/>
      <c r="AA253" s="66"/>
      <c r="AB253" s="66"/>
      <c r="AC253" s="83"/>
    </row>
    <row r="254" spans="1:68" ht="27" hidden="1" customHeight="1" x14ac:dyDescent="0.25">
      <c r="A254" s="63" t="s">
        <v>352</v>
      </c>
      <c r="B254" s="63" t="s">
        <v>353</v>
      </c>
      <c r="C254" s="36">
        <v>4301071014</v>
      </c>
      <c r="D254" s="295">
        <v>4640242181264</v>
      </c>
      <c r="E254" s="295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32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297"/>
      <c r="R254" s="297"/>
      <c r="S254" s="297"/>
      <c r="T254" s="298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354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hidden="1" customHeight="1" x14ac:dyDescent="0.25">
      <c r="A255" s="63" t="s">
        <v>355</v>
      </c>
      <c r="B255" s="63" t="s">
        <v>356</v>
      </c>
      <c r="C255" s="36">
        <v>4301071021</v>
      </c>
      <c r="D255" s="295">
        <v>4640242181325</v>
      </c>
      <c r="E255" s="295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32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297"/>
      <c r="R255" s="297"/>
      <c r="S255" s="297"/>
      <c r="T255" s="298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354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hidden="1" customHeight="1" x14ac:dyDescent="0.25">
      <c r="A256" s="63" t="s">
        <v>355</v>
      </c>
      <c r="B256" s="63" t="s">
        <v>357</v>
      </c>
      <c r="C256" s="36">
        <v>4301071141</v>
      </c>
      <c r="D256" s="295">
        <v>4620207491980</v>
      </c>
      <c r="E256" s="295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32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297"/>
      <c r="R256" s="297"/>
      <c r="S256" s="297"/>
      <c r="T256" s="298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61" t="s">
        <v>358</v>
      </c>
      <c r="AG256" s="81"/>
      <c r="AJ256" s="87" t="s">
        <v>89</v>
      </c>
      <c r="AK256" s="87">
        <v>1</v>
      </c>
      <c r="BB256" s="262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idden="1" x14ac:dyDescent="0.2">
      <c r="A257" s="302"/>
      <c r="B257" s="302"/>
      <c r="C257" s="302"/>
      <c r="D257" s="302"/>
      <c r="E257" s="302"/>
      <c r="F257" s="302"/>
      <c r="G257" s="302"/>
      <c r="H257" s="302"/>
      <c r="I257" s="302"/>
      <c r="J257" s="302"/>
      <c r="K257" s="302"/>
      <c r="L257" s="302"/>
      <c r="M257" s="302"/>
      <c r="N257" s="302"/>
      <c r="O257" s="303"/>
      <c r="P257" s="299" t="s">
        <v>40</v>
      </c>
      <c r="Q257" s="300"/>
      <c r="R257" s="300"/>
      <c r="S257" s="300"/>
      <c r="T257" s="300"/>
      <c r="U257" s="300"/>
      <c r="V257" s="301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hidden="1" x14ac:dyDescent="0.2">
      <c r="A258" s="302"/>
      <c r="B258" s="302"/>
      <c r="C258" s="302"/>
      <c r="D258" s="302"/>
      <c r="E258" s="302"/>
      <c r="F258" s="302"/>
      <c r="G258" s="302"/>
      <c r="H258" s="302"/>
      <c r="I258" s="302"/>
      <c r="J258" s="302"/>
      <c r="K258" s="302"/>
      <c r="L258" s="302"/>
      <c r="M258" s="302"/>
      <c r="N258" s="302"/>
      <c r="O258" s="303"/>
      <c r="P258" s="299" t="s">
        <v>40</v>
      </c>
      <c r="Q258" s="300"/>
      <c r="R258" s="300"/>
      <c r="S258" s="300"/>
      <c r="T258" s="300"/>
      <c r="U258" s="300"/>
      <c r="V258" s="301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hidden="1" customHeight="1" x14ac:dyDescent="0.25">
      <c r="A259" s="313" t="s">
        <v>113</v>
      </c>
      <c r="B259" s="313"/>
      <c r="C259" s="313"/>
      <c r="D259" s="313"/>
      <c r="E259" s="313"/>
      <c r="F259" s="313"/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  <c r="T259" s="313"/>
      <c r="U259" s="313"/>
      <c r="V259" s="313"/>
      <c r="W259" s="313"/>
      <c r="X259" s="313"/>
      <c r="Y259" s="313"/>
      <c r="Z259" s="313"/>
      <c r="AA259" s="66"/>
      <c r="AB259" s="66"/>
      <c r="AC259" s="83"/>
    </row>
    <row r="260" spans="1:68" ht="27" hidden="1" customHeight="1" x14ac:dyDescent="0.25">
      <c r="A260" s="63" t="s">
        <v>359</v>
      </c>
      <c r="B260" s="63" t="s">
        <v>360</v>
      </c>
      <c r="C260" s="36">
        <v>4301132080</v>
      </c>
      <c r="D260" s="295">
        <v>4640242180397</v>
      </c>
      <c r="E260" s="295"/>
      <c r="F260" s="62">
        <v>1</v>
      </c>
      <c r="G260" s="37">
        <v>6</v>
      </c>
      <c r="H260" s="62">
        <v>6</v>
      </c>
      <c r="I260" s="62">
        <v>6.26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32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297"/>
      <c r="R260" s="297"/>
      <c r="S260" s="297"/>
      <c r="T260" s="298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3" t="s">
        <v>361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idden="1" x14ac:dyDescent="0.2">
      <c r="A261" s="302"/>
      <c r="B261" s="302"/>
      <c r="C261" s="302"/>
      <c r="D261" s="302"/>
      <c r="E261" s="302"/>
      <c r="F261" s="302"/>
      <c r="G261" s="302"/>
      <c r="H261" s="302"/>
      <c r="I261" s="302"/>
      <c r="J261" s="302"/>
      <c r="K261" s="302"/>
      <c r="L261" s="302"/>
      <c r="M261" s="302"/>
      <c r="N261" s="302"/>
      <c r="O261" s="303"/>
      <c r="P261" s="299" t="s">
        <v>40</v>
      </c>
      <c r="Q261" s="300"/>
      <c r="R261" s="300"/>
      <c r="S261" s="300"/>
      <c r="T261" s="300"/>
      <c r="U261" s="300"/>
      <c r="V261" s="301"/>
      <c r="W261" s="42" t="s">
        <v>39</v>
      </c>
      <c r="X261" s="43">
        <f>IFERROR(SUM(X260:X260),"0")</f>
        <v>0</v>
      </c>
      <c r="Y261" s="43">
        <f>IFERROR(SUM(Y260:Y260),"0")</f>
        <v>0</v>
      </c>
      <c r="Z261" s="43">
        <f>IFERROR(IF(Z260="",0,Z260),"0")</f>
        <v>0</v>
      </c>
      <c r="AA261" s="67"/>
      <c r="AB261" s="67"/>
      <c r="AC261" s="67"/>
    </row>
    <row r="262" spans="1:68" hidden="1" x14ac:dyDescent="0.2">
      <c r="A262" s="302"/>
      <c r="B262" s="302"/>
      <c r="C262" s="302"/>
      <c r="D262" s="302"/>
      <c r="E262" s="302"/>
      <c r="F262" s="302"/>
      <c r="G262" s="302"/>
      <c r="H262" s="302"/>
      <c r="I262" s="302"/>
      <c r="J262" s="302"/>
      <c r="K262" s="302"/>
      <c r="L262" s="302"/>
      <c r="M262" s="302"/>
      <c r="N262" s="302"/>
      <c r="O262" s="303"/>
      <c r="P262" s="299" t="s">
        <v>40</v>
      </c>
      <c r="Q262" s="300"/>
      <c r="R262" s="300"/>
      <c r="S262" s="300"/>
      <c r="T262" s="300"/>
      <c r="U262" s="300"/>
      <c r="V262" s="301"/>
      <c r="W262" s="42" t="s">
        <v>0</v>
      </c>
      <c r="X262" s="43">
        <f>IFERROR(SUMPRODUCT(X260:X260*H260:H260),"0")</f>
        <v>0</v>
      </c>
      <c r="Y262" s="43">
        <f>IFERROR(SUMPRODUCT(Y260:Y260*H260:H260),"0")</f>
        <v>0</v>
      </c>
      <c r="Z262" s="42"/>
      <c r="AA262" s="67"/>
      <c r="AB262" s="67"/>
      <c r="AC262" s="67"/>
    </row>
    <row r="263" spans="1:68" ht="14.25" hidden="1" customHeight="1" x14ac:dyDescent="0.25">
      <c r="A263" s="313" t="s">
        <v>145</v>
      </c>
      <c r="B263" s="313"/>
      <c r="C263" s="313"/>
      <c r="D263" s="313"/>
      <c r="E263" s="313"/>
      <c r="F263" s="313"/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  <c r="T263" s="313"/>
      <c r="U263" s="313"/>
      <c r="V263" s="313"/>
      <c r="W263" s="313"/>
      <c r="X263" s="313"/>
      <c r="Y263" s="313"/>
      <c r="Z263" s="313"/>
      <c r="AA263" s="66"/>
      <c r="AB263" s="66"/>
      <c r="AC263" s="83"/>
    </row>
    <row r="264" spans="1:68" ht="27" hidden="1" customHeight="1" x14ac:dyDescent="0.25">
      <c r="A264" s="63" t="s">
        <v>362</v>
      </c>
      <c r="B264" s="63" t="s">
        <v>363</v>
      </c>
      <c r="C264" s="36">
        <v>4301136051</v>
      </c>
      <c r="D264" s="295">
        <v>4640242180304</v>
      </c>
      <c r="E264" s="295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31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297"/>
      <c r="R264" s="297"/>
      <c r="S264" s="297"/>
      <c r="T264" s="298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364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hidden="1" customHeight="1" x14ac:dyDescent="0.25">
      <c r="A265" s="63" t="s">
        <v>365</v>
      </c>
      <c r="B265" s="63" t="s">
        <v>366</v>
      </c>
      <c r="C265" s="36">
        <v>4301136053</v>
      </c>
      <c r="D265" s="295">
        <v>4640242180236</v>
      </c>
      <c r="E265" s="295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87</v>
      </c>
      <c r="L265" s="37" t="s">
        <v>119</v>
      </c>
      <c r="M265" s="38" t="s">
        <v>86</v>
      </c>
      <c r="N265" s="38"/>
      <c r="O265" s="37">
        <v>180</v>
      </c>
      <c r="P265" s="31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297"/>
      <c r="R265" s="297"/>
      <c r="S265" s="297"/>
      <c r="T265" s="298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7" t="s">
        <v>364</v>
      </c>
      <c r="AG265" s="81"/>
      <c r="AJ265" s="87" t="s">
        <v>120</v>
      </c>
      <c r="AK265" s="87">
        <v>12</v>
      </c>
      <c r="BB265" s="268" t="s">
        <v>117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hidden="1" customHeight="1" x14ac:dyDescent="0.25">
      <c r="A266" s="63" t="s">
        <v>367</v>
      </c>
      <c r="B266" s="63" t="s">
        <v>368</v>
      </c>
      <c r="C266" s="36">
        <v>4301136052</v>
      </c>
      <c r="D266" s="295">
        <v>4640242180410</v>
      </c>
      <c r="E266" s="295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32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297"/>
      <c r="R266" s="297"/>
      <c r="S266" s="297"/>
      <c r="T266" s="298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9" t="s">
        <v>364</v>
      </c>
      <c r="AG266" s="81"/>
      <c r="AJ266" s="87" t="s">
        <v>120</v>
      </c>
      <c r="AK266" s="87">
        <v>14</v>
      </c>
      <c r="BB266" s="270" t="s">
        <v>117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hidden="1" x14ac:dyDescent="0.2">
      <c r="A267" s="302"/>
      <c r="B267" s="302"/>
      <c r="C267" s="302"/>
      <c r="D267" s="302"/>
      <c r="E267" s="302"/>
      <c r="F267" s="302"/>
      <c r="G267" s="302"/>
      <c r="H267" s="302"/>
      <c r="I267" s="302"/>
      <c r="J267" s="302"/>
      <c r="K267" s="302"/>
      <c r="L267" s="302"/>
      <c r="M267" s="302"/>
      <c r="N267" s="302"/>
      <c r="O267" s="303"/>
      <c r="P267" s="299" t="s">
        <v>40</v>
      </c>
      <c r="Q267" s="300"/>
      <c r="R267" s="300"/>
      <c r="S267" s="300"/>
      <c r="T267" s="300"/>
      <c r="U267" s="300"/>
      <c r="V267" s="301"/>
      <c r="W267" s="42" t="s">
        <v>39</v>
      </c>
      <c r="X267" s="43">
        <f>IFERROR(SUM(X264:X266),"0")</f>
        <v>0</v>
      </c>
      <c r="Y267" s="43">
        <f>IFERROR(SUM(Y264:Y266),"0")</f>
        <v>0</v>
      </c>
      <c r="Z267" s="43">
        <f>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302"/>
      <c r="B268" s="302"/>
      <c r="C268" s="302"/>
      <c r="D268" s="302"/>
      <c r="E268" s="302"/>
      <c r="F268" s="302"/>
      <c r="G268" s="302"/>
      <c r="H268" s="302"/>
      <c r="I268" s="302"/>
      <c r="J268" s="302"/>
      <c r="K268" s="302"/>
      <c r="L268" s="302"/>
      <c r="M268" s="302"/>
      <c r="N268" s="302"/>
      <c r="O268" s="303"/>
      <c r="P268" s="299" t="s">
        <v>40</v>
      </c>
      <c r="Q268" s="300"/>
      <c r="R268" s="300"/>
      <c r="S268" s="300"/>
      <c r="T268" s="300"/>
      <c r="U268" s="300"/>
      <c r="V268" s="301"/>
      <c r="W268" s="42" t="s">
        <v>0</v>
      </c>
      <c r="X268" s="43">
        <f>IFERROR(SUMPRODUCT(X264:X266*H264:H266),"0")</f>
        <v>0</v>
      </c>
      <c r="Y268" s="43">
        <f>IFERROR(SUMPRODUCT(Y264:Y266*H264:H266),"0")</f>
        <v>0</v>
      </c>
      <c r="Z268" s="42"/>
      <c r="AA268" s="67"/>
      <c r="AB268" s="67"/>
      <c r="AC268" s="67"/>
    </row>
    <row r="269" spans="1:68" ht="14.25" hidden="1" customHeight="1" x14ac:dyDescent="0.25">
      <c r="A269" s="313" t="s">
        <v>151</v>
      </c>
      <c r="B269" s="313"/>
      <c r="C269" s="313"/>
      <c r="D269" s="313"/>
      <c r="E269" s="313"/>
      <c r="F269" s="313"/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  <c r="T269" s="313"/>
      <c r="U269" s="313"/>
      <c r="V269" s="313"/>
      <c r="W269" s="313"/>
      <c r="X269" s="313"/>
      <c r="Y269" s="313"/>
      <c r="Z269" s="313"/>
      <c r="AA269" s="66"/>
      <c r="AB269" s="66"/>
      <c r="AC269" s="83"/>
    </row>
    <row r="270" spans="1:68" ht="37.5" hidden="1" customHeight="1" x14ac:dyDescent="0.25">
      <c r="A270" s="63" t="s">
        <v>369</v>
      </c>
      <c r="B270" s="63" t="s">
        <v>370</v>
      </c>
      <c r="C270" s="36">
        <v>4301135504</v>
      </c>
      <c r="D270" s="295">
        <v>4640242181554</v>
      </c>
      <c r="E270" s="295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31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297"/>
      <c r="R270" s="297"/>
      <c r="S270" s="297"/>
      <c r="T270" s="298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ref="Y270:Y279" si="18"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371</v>
      </c>
      <c r="AG270" s="81"/>
      <c r="AJ270" s="87" t="s">
        <v>89</v>
      </c>
      <c r="AK270" s="87">
        <v>1</v>
      </c>
      <c r="BB270" s="272" t="s">
        <v>117</v>
      </c>
      <c r="BM270" s="81">
        <f t="shared" ref="BM270:BM279" si="19">IFERROR(X270*I270,"0")</f>
        <v>0</v>
      </c>
      <c r="BN270" s="81">
        <f t="shared" ref="BN270:BN279" si="20">IFERROR(Y270*I270,"0")</f>
        <v>0</v>
      </c>
      <c r="BO270" s="81">
        <f t="shared" ref="BO270:BO279" si="21">IFERROR(X270/J270,"0")</f>
        <v>0</v>
      </c>
      <c r="BP270" s="81">
        <f t="shared" ref="BP270:BP279" si="22">IFERROR(Y270/J270,"0")</f>
        <v>0</v>
      </c>
    </row>
    <row r="271" spans="1:68" ht="27" hidden="1" customHeight="1" x14ac:dyDescent="0.25">
      <c r="A271" s="63" t="s">
        <v>372</v>
      </c>
      <c r="B271" s="63" t="s">
        <v>373</v>
      </c>
      <c r="C271" s="36">
        <v>4301135518</v>
      </c>
      <c r="D271" s="295">
        <v>4640242181561</v>
      </c>
      <c r="E271" s="295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31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297"/>
      <c r="R271" s="297"/>
      <c r="S271" s="297"/>
      <c r="T271" s="298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IFERROR(IF(X271="","",X271*0.00936),"")</f>
        <v>0</v>
      </c>
      <c r="AA271" s="68" t="s">
        <v>46</v>
      </c>
      <c r="AB271" s="69" t="s">
        <v>46</v>
      </c>
      <c r="AC271" s="273" t="s">
        <v>374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375</v>
      </c>
      <c r="B272" s="63" t="s">
        <v>376</v>
      </c>
      <c r="C272" s="36">
        <v>4301135374</v>
      </c>
      <c r="D272" s="295">
        <v>4640242181424</v>
      </c>
      <c r="E272" s="295"/>
      <c r="F272" s="62">
        <v>5.5</v>
      </c>
      <c r="G272" s="37">
        <v>1</v>
      </c>
      <c r="H272" s="62">
        <v>5.5</v>
      </c>
      <c r="I272" s="62">
        <v>5.7350000000000003</v>
      </c>
      <c r="J272" s="37">
        <v>84</v>
      </c>
      <c r="K272" s="37" t="s">
        <v>87</v>
      </c>
      <c r="L272" s="37" t="s">
        <v>119</v>
      </c>
      <c r="M272" s="38" t="s">
        <v>86</v>
      </c>
      <c r="N272" s="38"/>
      <c r="O272" s="37">
        <v>180</v>
      </c>
      <c r="P272" s="31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297"/>
      <c r="R272" s="297"/>
      <c r="S272" s="297"/>
      <c r="T272" s="298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75" t="s">
        <v>371</v>
      </c>
      <c r="AG272" s="81"/>
      <c r="AJ272" s="87" t="s">
        <v>120</v>
      </c>
      <c r="AK272" s="87">
        <v>12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hidden="1" customHeight="1" x14ac:dyDescent="0.25">
      <c r="A273" s="63" t="s">
        <v>377</v>
      </c>
      <c r="B273" s="63" t="s">
        <v>378</v>
      </c>
      <c r="C273" s="36">
        <v>4301135405</v>
      </c>
      <c r="D273" s="295">
        <v>4640242181523</v>
      </c>
      <c r="E273" s="295"/>
      <c r="F273" s="62">
        <v>3</v>
      </c>
      <c r="G273" s="37">
        <v>1</v>
      </c>
      <c r="H273" s="62">
        <v>3</v>
      </c>
      <c r="I273" s="62">
        <v>3.1920000000000002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31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297"/>
      <c r="R273" s="297"/>
      <c r="S273" s="297"/>
      <c r="T273" s="298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ref="Z273:Z278" si="23">IFERROR(IF(X273="","",X273*0.00936),"")</f>
        <v>0</v>
      </c>
      <c r="AA273" s="68" t="s">
        <v>46</v>
      </c>
      <c r="AB273" s="69" t="s">
        <v>46</v>
      </c>
      <c r="AC273" s="277" t="s">
        <v>374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hidden="1" customHeight="1" x14ac:dyDescent="0.25">
      <c r="A274" s="63" t="s">
        <v>379</v>
      </c>
      <c r="B274" s="63" t="s">
        <v>380</v>
      </c>
      <c r="C274" s="36">
        <v>4301135375</v>
      </c>
      <c r="D274" s="295">
        <v>4640242181486</v>
      </c>
      <c r="E274" s="295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119</v>
      </c>
      <c r="M274" s="38" t="s">
        <v>86</v>
      </c>
      <c r="N274" s="38"/>
      <c r="O274" s="37">
        <v>180</v>
      </c>
      <c r="P274" s="30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297"/>
      <c r="R274" s="297"/>
      <c r="S274" s="297"/>
      <c r="T274" s="298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371</v>
      </c>
      <c r="AG274" s="81"/>
      <c r="AJ274" s="87" t="s">
        <v>120</v>
      </c>
      <c r="AK274" s="87">
        <v>14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hidden="1" customHeight="1" x14ac:dyDescent="0.25">
      <c r="A275" s="63" t="s">
        <v>381</v>
      </c>
      <c r="B275" s="63" t="s">
        <v>382</v>
      </c>
      <c r="C275" s="36">
        <v>4301135402</v>
      </c>
      <c r="D275" s="295">
        <v>4640242181493</v>
      </c>
      <c r="E275" s="295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119</v>
      </c>
      <c r="M275" s="38" t="s">
        <v>86</v>
      </c>
      <c r="N275" s="38"/>
      <c r="O275" s="37">
        <v>180</v>
      </c>
      <c r="P275" s="30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297"/>
      <c r="R275" s="297"/>
      <c r="S275" s="297"/>
      <c r="T275" s="298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371</v>
      </c>
      <c r="AG275" s="81"/>
      <c r="AJ275" s="87" t="s">
        <v>120</v>
      </c>
      <c r="AK275" s="87">
        <v>14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37.5" hidden="1" customHeight="1" x14ac:dyDescent="0.25">
      <c r="A276" s="63" t="s">
        <v>383</v>
      </c>
      <c r="B276" s="63" t="s">
        <v>384</v>
      </c>
      <c r="C276" s="36">
        <v>4301135403</v>
      </c>
      <c r="D276" s="295">
        <v>4640242181509</v>
      </c>
      <c r="E276" s="295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118</v>
      </c>
      <c r="L276" s="37" t="s">
        <v>119</v>
      </c>
      <c r="M276" s="38" t="s">
        <v>86</v>
      </c>
      <c r="N276" s="38"/>
      <c r="O276" s="37">
        <v>180</v>
      </c>
      <c r="P276" s="31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297"/>
      <c r="R276" s="297"/>
      <c r="S276" s="297"/>
      <c r="T276" s="298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371</v>
      </c>
      <c r="AG276" s="81"/>
      <c r="AJ276" s="87" t="s">
        <v>120</v>
      </c>
      <c r="AK276" s="87">
        <v>14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385</v>
      </c>
      <c r="B277" s="63" t="s">
        <v>386</v>
      </c>
      <c r="C277" s="36">
        <v>4301135304</v>
      </c>
      <c r="D277" s="295">
        <v>4640242181240</v>
      </c>
      <c r="E277" s="295"/>
      <c r="F277" s="62">
        <v>0.3</v>
      </c>
      <c r="G277" s="37">
        <v>9</v>
      </c>
      <c r="H277" s="62">
        <v>2.7</v>
      </c>
      <c r="I277" s="62">
        <v>2.88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31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297"/>
      <c r="R277" s="297"/>
      <c r="S277" s="297"/>
      <c r="T277" s="298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371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387</v>
      </c>
      <c r="B278" s="63" t="s">
        <v>388</v>
      </c>
      <c r="C278" s="36">
        <v>4301135610</v>
      </c>
      <c r="D278" s="295">
        <v>4640242181318</v>
      </c>
      <c r="E278" s="295"/>
      <c r="F278" s="62">
        <v>0.3</v>
      </c>
      <c r="G278" s="37">
        <v>9</v>
      </c>
      <c r="H278" s="62">
        <v>2.7</v>
      </c>
      <c r="I278" s="62">
        <v>2.988</v>
      </c>
      <c r="J278" s="37">
        <v>126</v>
      </c>
      <c r="K278" s="37" t="s">
        <v>118</v>
      </c>
      <c r="L278" s="37" t="s">
        <v>88</v>
      </c>
      <c r="M278" s="38" t="s">
        <v>86</v>
      </c>
      <c r="N278" s="38"/>
      <c r="O278" s="37">
        <v>180</v>
      </c>
      <c r="P278" s="31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297"/>
      <c r="R278" s="297"/>
      <c r="S278" s="297"/>
      <c r="T278" s="298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7" t="s">
        <v>374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hidden="1" customHeight="1" x14ac:dyDescent="0.25">
      <c r="A279" s="63" t="s">
        <v>389</v>
      </c>
      <c r="B279" s="63" t="s">
        <v>390</v>
      </c>
      <c r="C279" s="36">
        <v>4301135306</v>
      </c>
      <c r="D279" s="295">
        <v>4640242181387</v>
      </c>
      <c r="E279" s="295"/>
      <c r="F279" s="62">
        <v>0.3</v>
      </c>
      <c r="G279" s="37">
        <v>9</v>
      </c>
      <c r="H279" s="62">
        <v>2.7</v>
      </c>
      <c r="I279" s="62">
        <v>2.8450000000000002</v>
      </c>
      <c r="J279" s="37">
        <v>234</v>
      </c>
      <c r="K279" s="37" t="s">
        <v>163</v>
      </c>
      <c r="L279" s="37" t="s">
        <v>88</v>
      </c>
      <c r="M279" s="38" t="s">
        <v>86</v>
      </c>
      <c r="N279" s="38"/>
      <c r="O279" s="37">
        <v>180</v>
      </c>
      <c r="P279" s="29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297"/>
      <c r="R279" s="297"/>
      <c r="S279" s="297"/>
      <c r="T279" s="298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IFERROR(IF(X279="","",X279*0.00502),"")</f>
        <v>0</v>
      </c>
      <c r="AA279" s="68" t="s">
        <v>46</v>
      </c>
      <c r="AB279" s="69" t="s">
        <v>46</v>
      </c>
      <c r="AC279" s="289" t="s">
        <v>371</v>
      </c>
      <c r="AG279" s="81"/>
      <c r="AJ279" s="87" t="s">
        <v>89</v>
      </c>
      <c r="AK279" s="87">
        <v>1</v>
      </c>
      <c r="BB279" s="290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idden="1" x14ac:dyDescent="0.2">
      <c r="A280" s="302"/>
      <c r="B280" s="302"/>
      <c r="C280" s="302"/>
      <c r="D280" s="302"/>
      <c r="E280" s="302"/>
      <c r="F280" s="302"/>
      <c r="G280" s="302"/>
      <c r="H280" s="302"/>
      <c r="I280" s="302"/>
      <c r="J280" s="302"/>
      <c r="K280" s="302"/>
      <c r="L280" s="302"/>
      <c r="M280" s="302"/>
      <c r="N280" s="302"/>
      <c r="O280" s="303"/>
      <c r="P280" s="299" t="s">
        <v>40</v>
      </c>
      <c r="Q280" s="300"/>
      <c r="R280" s="300"/>
      <c r="S280" s="300"/>
      <c r="T280" s="300"/>
      <c r="U280" s="300"/>
      <c r="V280" s="301"/>
      <c r="W280" s="42" t="s">
        <v>39</v>
      </c>
      <c r="X280" s="43">
        <f>IFERROR(SUM(X270:X279),"0")</f>
        <v>0</v>
      </c>
      <c r="Y280" s="43">
        <f>IFERROR(SUM(Y270:Y279),"0")</f>
        <v>0</v>
      </c>
      <c r="Z280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302"/>
      <c r="B281" s="302"/>
      <c r="C281" s="302"/>
      <c r="D281" s="302"/>
      <c r="E281" s="302"/>
      <c r="F281" s="302"/>
      <c r="G281" s="302"/>
      <c r="H281" s="302"/>
      <c r="I281" s="302"/>
      <c r="J281" s="302"/>
      <c r="K281" s="302"/>
      <c r="L281" s="302"/>
      <c r="M281" s="302"/>
      <c r="N281" s="302"/>
      <c r="O281" s="303"/>
      <c r="P281" s="299" t="s">
        <v>40</v>
      </c>
      <c r="Q281" s="300"/>
      <c r="R281" s="300"/>
      <c r="S281" s="300"/>
      <c r="T281" s="300"/>
      <c r="U281" s="300"/>
      <c r="V281" s="301"/>
      <c r="W281" s="42" t="s">
        <v>0</v>
      </c>
      <c r="X281" s="43">
        <f>IFERROR(SUMPRODUCT(X270:X279*H270:H279),"0")</f>
        <v>0</v>
      </c>
      <c r="Y281" s="43">
        <f>IFERROR(SUMPRODUCT(Y270:Y279*H270:H279),"0")</f>
        <v>0</v>
      </c>
      <c r="Z281" s="42"/>
      <c r="AA281" s="67"/>
      <c r="AB281" s="67"/>
      <c r="AC281" s="67"/>
    </row>
    <row r="282" spans="1:68" ht="15" customHeight="1" x14ac:dyDescent="0.2">
      <c r="A282" s="302"/>
      <c r="B282" s="302"/>
      <c r="C282" s="302"/>
      <c r="D282" s="302"/>
      <c r="E282" s="302"/>
      <c r="F282" s="302"/>
      <c r="G282" s="302"/>
      <c r="H282" s="302"/>
      <c r="I282" s="302"/>
      <c r="J282" s="302"/>
      <c r="K282" s="302"/>
      <c r="L282" s="302"/>
      <c r="M282" s="302"/>
      <c r="N282" s="302"/>
      <c r="O282" s="307"/>
      <c r="P282" s="304" t="s">
        <v>33</v>
      </c>
      <c r="Q282" s="305"/>
      <c r="R282" s="305"/>
      <c r="S282" s="305"/>
      <c r="T282" s="305"/>
      <c r="U282" s="305"/>
      <c r="V282" s="306"/>
      <c r="W282" s="42" t="s">
        <v>0</v>
      </c>
      <c r="X282" s="43">
        <f>IFERROR(X31+X37+X44+X50+X58+X63+X68+X74+X80+X85+X91+X101+X107+X120+X124+X128+X136+X142+X148+X154+X160+X165+X170+X175+X182+X187+X196+X202+X208+X214+X219+X224+X230+X236+X240+X246+X250+X258+X262+X268+X281,"0")</f>
        <v>10739.76</v>
      </c>
      <c r="Y282" s="43">
        <f>IFERROR(Y31+Y37+Y44+Y50+Y58+Y63+Y68+Y74+Y80+Y85+Y91+Y101+Y107+Y120+Y124+Y128+Y136+Y142+Y148+Y154+Y160+Y165+Y170+Y175+Y182+Y187+Y196+Y202+Y208+Y214+Y219+Y224+Y230+Y236+Y240+Y246+Y250+Y258+Y262+Y268+Y281,"0")</f>
        <v>10739.76</v>
      </c>
      <c r="Z282" s="42"/>
      <c r="AA282" s="67"/>
      <c r="AB282" s="67"/>
      <c r="AC282" s="67"/>
    </row>
    <row r="283" spans="1:68" x14ac:dyDescent="0.2">
      <c r="A283" s="302"/>
      <c r="B283" s="302"/>
      <c r="C283" s="302"/>
      <c r="D283" s="302"/>
      <c r="E283" s="302"/>
      <c r="F283" s="302"/>
      <c r="G283" s="302"/>
      <c r="H283" s="302"/>
      <c r="I283" s="302"/>
      <c r="J283" s="302"/>
      <c r="K283" s="302"/>
      <c r="L283" s="302"/>
      <c r="M283" s="302"/>
      <c r="N283" s="302"/>
      <c r="O283" s="307"/>
      <c r="P283" s="304" t="s">
        <v>34</v>
      </c>
      <c r="Q283" s="305"/>
      <c r="R283" s="305"/>
      <c r="S283" s="305"/>
      <c r="T283" s="305"/>
      <c r="U283" s="305"/>
      <c r="V283" s="306"/>
      <c r="W283" s="42" t="s">
        <v>0</v>
      </c>
      <c r="X283" s="43">
        <f>IFERROR(SUM(BM22:BM279),"0")</f>
        <v>11973.981599999999</v>
      </c>
      <c r="Y283" s="43">
        <f>IFERROR(SUM(BN22:BN279),"0")</f>
        <v>11973.981599999999</v>
      </c>
      <c r="Z283" s="42"/>
      <c r="AA283" s="67"/>
      <c r="AB283" s="67"/>
      <c r="AC283" s="67"/>
    </row>
    <row r="284" spans="1:68" x14ac:dyDescent="0.2">
      <c r="A284" s="302"/>
      <c r="B284" s="302"/>
      <c r="C284" s="302"/>
      <c r="D284" s="302"/>
      <c r="E284" s="302"/>
      <c r="F284" s="302"/>
      <c r="G284" s="302"/>
      <c r="H284" s="302"/>
      <c r="I284" s="302"/>
      <c r="J284" s="302"/>
      <c r="K284" s="302"/>
      <c r="L284" s="302"/>
      <c r="M284" s="302"/>
      <c r="N284" s="302"/>
      <c r="O284" s="307"/>
      <c r="P284" s="304" t="s">
        <v>35</v>
      </c>
      <c r="Q284" s="305"/>
      <c r="R284" s="305"/>
      <c r="S284" s="305"/>
      <c r="T284" s="305"/>
      <c r="U284" s="305"/>
      <c r="V284" s="306"/>
      <c r="W284" s="42" t="s">
        <v>20</v>
      </c>
      <c r="X284" s="44">
        <f>ROUNDUP(SUM(BO22:BO279),0)</f>
        <v>34</v>
      </c>
      <c r="Y284" s="44">
        <f>ROUNDUP(SUM(BP22:BP279),0)</f>
        <v>34</v>
      </c>
      <c r="Z284" s="42"/>
      <c r="AA284" s="67"/>
      <c r="AB284" s="67"/>
      <c r="AC284" s="67"/>
    </row>
    <row r="285" spans="1:68" x14ac:dyDescent="0.2">
      <c r="A285" s="302"/>
      <c r="B285" s="302"/>
      <c r="C285" s="302"/>
      <c r="D285" s="302"/>
      <c r="E285" s="302"/>
      <c r="F285" s="302"/>
      <c r="G285" s="302"/>
      <c r="H285" s="302"/>
      <c r="I285" s="302"/>
      <c r="J285" s="302"/>
      <c r="K285" s="302"/>
      <c r="L285" s="302"/>
      <c r="M285" s="302"/>
      <c r="N285" s="302"/>
      <c r="O285" s="307"/>
      <c r="P285" s="304" t="s">
        <v>36</v>
      </c>
      <c r="Q285" s="305"/>
      <c r="R285" s="305"/>
      <c r="S285" s="305"/>
      <c r="T285" s="305"/>
      <c r="U285" s="305"/>
      <c r="V285" s="306"/>
      <c r="W285" s="42" t="s">
        <v>0</v>
      </c>
      <c r="X285" s="43">
        <f>GrossWeightTotal+PalletQtyTotal*25</f>
        <v>12823.981599999999</v>
      </c>
      <c r="Y285" s="43">
        <f>GrossWeightTotalR+PalletQtyTotalR*25</f>
        <v>12823.981599999999</v>
      </c>
      <c r="Z285" s="42"/>
      <c r="AA285" s="67"/>
      <c r="AB285" s="67"/>
      <c r="AC285" s="67"/>
    </row>
    <row r="286" spans="1:68" x14ac:dyDescent="0.2">
      <c r="A286" s="302"/>
      <c r="B286" s="302"/>
      <c r="C286" s="302"/>
      <c r="D286" s="302"/>
      <c r="E286" s="302"/>
      <c r="F286" s="302"/>
      <c r="G286" s="302"/>
      <c r="H286" s="302"/>
      <c r="I286" s="302"/>
      <c r="J286" s="302"/>
      <c r="K286" s="302"/>
      <c r="L286" s="302"/>
      <c r="M286" s="302"/>
      <c r="N286" s="302"/>
      <c r="O286" s="307"/>
      <c r="P286" s="304" t="s">
        <v>37</v>
      </c>
      <c r="Q286" s="305"/>
      <c r="R286" s="305"/>
      <c r="S286" s="305"/>
      <c r="T286" s="305"/>
      <c r="U286" s="305"/>
      <c r="V286" s="306"/>
      <c r="W286" s="42" t="s">
        <v>20</v>
      </c>
      <c r="X286" s="43">
        <f>IFERROR(X30+X36+X43+X49+X57+X62+X67+X73+X79+X84+X90+X100+X106+X119+X123+X127+X135+X141+X147+X153+X159+X164+X169+X174+X181+X186+X195+X201+X207+X213+X218+X223+X229+X235+X239+X245+X249+X257+X261+X267+X280,"0")</f>
        <v>2658</v>
      </c>
      <c r="Y286" s="43">
        <f>IFERROR(Y30+Y36+Y43+Y49+Y57+Y62+Y67+Y73+Y79+Y84+Y90+Y100+Y106+Y119+Y123+Y127+Y135+Y141+Y147+Y153+Y159+Y164+Y169+Y174+Y181+Y186+Y195+Y201+Y207+Y213+Y218+Y223+Y229+Y235+Y239+Y245+Y249+Y257+Y261+Y267+Y280,"0")</f>
        <v>2658</v>
      </c>
      <c r="Z286" s="42"/>
      <c r="AA286" s="67"/>
      <c r="AB286" s="67"/>
      <c r="AC286" s="67"/>
    </row>
    <row r="287" spans="1:68" ht="14.25" hidden="1" x14ac:dyDescent="0.2">
      <c r="A287" s="302"/>
      <c r="B287" s="302"/>
      <c r="C287" s="302"/>
      <c r="D287" s="302"/>
      <c r="E287" s="302"/>
      <c r="F287" s="302"/>
      <c r="G287" s="302"/>
      <c r="H287" s="302"/>
      <c r="I287" s="302"/>
      <c r="J287" s="302"/>
      <c r="K287" s="302"/>
      <c r="L287" s="302"/>
      <c r="M287" s="302"/>
      <c r="N287" s="302"/>
      <c r="O287" s="307"/>
      <c r="P287" s="304" t="s">
        <v>38</v>
      </c>
      <c r="Q287" s="305"/>
      <c r="R287" s="305"/>
      <c r="S287" s="305"/>
      <c r="T287" s="305"/>
      <c r="U287" s="305"/>
      <c r="V287" s="306"/>
      <c r="W287" s="45" t="s">
        <v>52</v>
      </c>
      <c r="X287" s="42"/>
      <c r="Y287" s="42"/>
      <c r="Z287" s="42">
        <f>IFERROR(Z30+Z36+Z43+Z49+Z57+Z62+Z67+Z73+Z79+Z84+Z90+Z100+Z106+Z119+Z123+Z127+Z135+Z141+Z147+Z153+Z159+Z164+Z169+Z174+Z181+Z186+Z195+Z201+Z207+Z213+Z218+Z223+Z229+Z235+Z239+Z245+Z249+Z257+Z261+Z267+Z280,"0")</f>
        <v>42.447239999999994</v>
      </c>
      <c r="AA287" s="67"/>
      <c r="AB287" s="67"/>
      <c r="AC287" s="67"/>
    </row>
    <row r="288" spans="1:68" ht="13.5" thickBot="1" x14ac:dyDescent="0.25"/>
    <row r="289" spans="1:32" ht="27" thickTop="1" thickBot="1" x14ac:dyDescent="0.25">
      <c r="A289" s="46" t="s">
        <v>9</v>
      </c>
      <c r="B289" s="291" t="s">
        <v>81</v>
      </c>
      <c r="C289" s="291" t="s">
        <v>81</v>
      </c>
      <c r="D289" s="291" t="s">
        <v>45</v>
      </c>
      <c r="E289" s="291" t="s">
        <v>45</v>
      </c>
      <c r="F289" s="291" t="s">
        <v>45</v>
      </c>
      <c r="G289" s="291" t="s">
        <v>45</v>
      </c>
      <c r="H289" s="291" t="s">
        <v>45</v>
      </c>
      <c r="I289" s="291" t="s">
        <v>45</v>
      </c>
      <c r="J289" s="291" t="s">
        <v>45</v>
      </c>
      <c r="K289" s="291" t="s">
        <v>45</v>
      </c>
      <c r="L289" s="291" t="s">
        <v>45</v>
      </c>
      <c r="M289" s="291" t="s">
        <v>45</v>
      </c>
      <c r="N289" s="292"/>
      <c r="O289" s="291" t="s">
        <v>45</v>
      </c>
      <c r="P289" s="291" t="s">
        <v>45</v>
      </c>
      <c r="Q289" s="291" t="s">
        <v>45</v>
      </c>
      <c r="R289" s="291" t="s">
        <v>45</v>
      </c>
      <c r="S289" s="291" t="s">
        <v>45</v>
      </c>
      <c r="T289" s="291" t="s">
        <v>45</v>
      </c>
      <c r="U289" s="291" t="s">
        <v>45</v>
      </c>
      <c r="V289" s="291" t="s">
        <v>277</v>
      </c>
      <c r="W289" s="291" t="s">
        <v>277</v>
      </c>
      <c r="X289" s="88" t="s">
        <v>288</v>
      </c>
      <c r="Y289" s="291" t="s">
        <v>302</v>
      </c>
      <c r="Z289" s="291" t="s">
        <v>302</v>
      </c>
      <c r="AA289" s="291" t="s">
        <v>302</v>
      </c>
      <c r="AB289" s="291" t="s">
        <v>302</v>
      </c>
      <c r="AC289" s="88" t="s">
        <v>331</v>
      </c>
      <c r="AD289" s="88" t="s">
        <v>336</v>
      </c>
      <c r="AE289" s="88" t="s">
        <v>344</v>
      </c>
      <c r="AF289" s="88" t="s">
        <v>351</v>
      </c>
    </row>
    <row r="290" spans="1:32" ht="14.25" customHeight="1" thickTop="1" x14ac:dyDescent="0.2">
      <c r="A290" s="293" t="s">
        <v>10</v>
      </c>
      <c r="B290" s="291" t="s">
        <v>81</v>
      </c>
      <c r="C290" s="291" t="s">
        <v>106</v>
      </c>
      <c r="D290" s="291" t="s">
        <v>112</v>
      </c>
      <c r="E290" s="291" t="s">
        <v>123</v>
      </c>
      <c r="F290" s="291" t="s">
        <v>130</v>
      </c>
      <c r="G290" s="291" t="s">
        <v>141</v>
      </c>
      <c r="H290" s="291" t="s">
        <v>159</v>
      </c>
      <c r="I290" s="291" t="s">
        <v>166</v>
      </c>
      <c r="J290" s="291" t="s">
        <v>170</v>
      </c>
      <c r="K290" s="291" t="s">
        <v>178</v>
      </c>
      <c r="L290" s="291" t="s">
        <v>193</v>
      </c>
      <c r="M290" s="291" t="s">
        <v>200</v>
      </c>
      <c r="N290" s="1"/>
      <c r="O290" s="291" t="s">
        <v>230</v>
      </c>
      <c r="P290" s="291" t="s">
        <v>248</v>
      </c>
      <c r="Q290" s="291" t="s">
        <v>254</v>
      </c>
      <c r="R290" s="291" t="s">
        <v>261</v>
      </c>
      <c r="S290" s="291" t="s">
        <v>266</v>
      </c>
      <c r="T290" s="291" t="s">
        <v>270</v>
      </c>
      <c r="U290" s="291" t="s">
        <v>273</v>
      </c>
      <c r="V290" s="291" t="s">
        <v>278</v>
      </c>
      <c r="W290" s="291" t="s">
        <v>285</v>
      </c>
      <c r="X290" s="291" t="s">
        <v>289</v>
      </c>
      <c r="Y290" s="291" t="s">
        <v>303</v>
      </c>
      <c r="Z290" s="291" t="s">
        <v>316</v>
      </c>
      <c r="AA290" s="291" t="s">
        <v>323</v>
      </c>
      <c r="AB290" s="291" t="s">
        <v>327</v>
      </c>
      <c r="AC290" s="291" t="s">
        <v>332</v>
      </c>
      <c r="AD290" s="291" t="s">
        <v>337</v>
      </c>
      <c r="AE290" s="291" t="s">
        <v>344</v>
      </c>
      <c r="AF290" s="291" t="s">
        <v>351</v>
      </c>
    </row>
    <row r="291" spans="1:32" ht="13.5" thickBot="1" x14ac:dyDescent="0.25">
      <c r="A291" s="294"/>
      <c r="B291" s="291"/>
      <c r="C291" s="291"/>
      <c r="D291" s="291"/>
      <c r="E291" s="291"/>
      <c r="F291" s="291"/>
      <c r="G291" s="291"/>
      <c r="H291" s="291"/>
      <c r="I291" s="291"/>
      <c r="J291" s="291"/>
      <c r="K291" s="291"/>
      <c r="L291" s="291"/>
      <c r="M291" s="291"/>
      <c r="N291" s="1"/>
      <c r="O291" s="291"/>
      <c r="P291" s="291"/>
      <c r="Q291" s="291"/>
      <c r="R291" s="291"/>
      <c r="S291" s="291"/>
      <c r="T291" s="291"/>
      <c r="U291" s="291"/>
      <c r="V291" s="291"/>
      <c r="W291" s="291"/>
      <c r="X291" s="291"/>
      <c r="Y291" s="291"/>
      <c r="Z291" s="291"/>
      <c r="AA291" s="291"/>
      <c r="AB291" s="291"/>
      <c r="AC291" s="291"/>
      <c r="AD291" s="291"/>
      <c r="AE291" s="291"/>
      <c r="AF291" s="291"/>
    </row>
    <row r="292" spans="1:32" ht="18" thickTop="1" thickBot="1" x14ac:dyDescent="0.25">
      <c r="A292" s="46" t="s">
        <v>13</v>
      </c>
      <c r="B292" s="52">
        <f>IFERROR(X22*H22,"0")+IFERROR(X23*H23,"0")+IFERROR(X24*H24,"0")+IFERROR(X25*H25,"0")+IFERROR(X26*H26,"0")+IFERROR(X27*H27,"0")+IFERROR(X28*H28,"0")+IFERROR(X29*H29,"0")</f>
        <v>0</v>
      </c>
      <c r="C292" s="52">
        <f>IFERROR(X34*H34,"0")+IFERROR(X35*H35,"0")</f>
        <v>412.8</v>
      </c>
      <c r="D292" s="52">
        <f>IFERROR(X41*H41,"0")+IFERROR(X42*H42,"0")</f>
        <v>378</v>
      </c>
      <c r="E292" s="52">
        <f>IFERROR(X47*H47,"0")+IFERROR(X48*H48,"0")</f>
        <v>873.59999999999991</v>
      </c>
      <c r="F292" s="52">
        <f>IFERROR(X53*H53,"0")+IFERROR(X54*H54,"0")+IFERROR(X55*H55,"0")+IFERROR(X56*H56,"0")</f>
        <v>840</v>
      </c>
      <c r="G292" s="52">
        <f>IFERROR(X61*H61,"0")+IFERROR(X65*H65,"0")+IFERROR(X66*H66,"0")+IFERROR(X70*H70,"0")+IFERROR(X71*H71,"0")+IFERROR(X72*H72,"0")</f>
        <v>0</v>
      </c>
      <c r="H292" s="52">
        <f>IFERROR(X77*H77,"0")+IFERROR(X78*H78,"0")</f>
        <v>0</v>
      </c>
      <c r="I292" s="52">
        <f>IFERROR(X83*H83,"0")</f>
        <v>201.6</v>
      </c>
      <c r="J292" s="52">
        <f>IFERROR(X88*H88,"0")+IFERROR(X89*H89,"0")</f>
        <v>655.20000000000005</v>
      </c>
      <c r="K292" s="52">
        <f>IFERROR(X94*H94,"0")+IFERROR(X95*H95,"0")+IFERROR(X96*H96,"0")+IFERROR(X97*H97,"0")+IFERROR(X98*H98,"0")+IFERROR(X99*H99,"0")</f>
        <v>997.92000000000007</v>
      </c>
      <c r="L292" s="52">
        <f>IFERROR(X104*H104,"0")+IFERROR(X105*H105,"0")</f>
        <v>181.44</v>
      </c>
      <c r="M292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2769.6</v>
      </c>
      <c r="N292" s="1"/>
      <c r="O292" s="52">
        <f>IFERROR(X131*H131,"0")+IFERROR(X132*H132,"0")+IFERROR(X133*H133,"0")+IFERROR(X134*H134,"0")+IFERROR(X138*H138,"0")+IFERROR(X139*H139,"0")+IFERROR(X140*H140,"0")</f>
        <v>0</v>
      </c>
      <c r="P292" s="52">
        <f>IFERROR(X145*H145,"0")+IFERROR(X146*H146,"0")</f>
        <v>924</v>
      </c>
      <c r="Q292" s="52">
        <f>IFERROR(X151*H151,"0")+IFERROR(X152*H152,"0")</f>
        <v>378</v>
      </c>
      <c r="R292" s="52">
        <f>IFERROR(X157*H157,"0")+IFERROR(X158*H158,"0")</f>
        <v>201.6</v>
      </c>
      <c r="S292" s="52">
        <f>IFERROR(X163*H163,"0")</f>
        <v>252</v>
      </c>
      <c r="T292" s="52">
        <f>IFERROR(X168*H168,"0")</f>
        <v>0</v>
      </c>
      <c r="U292" s="52">
        <f>IFERROR(X173*H173,"0")</f>
        <v>0</v>
      </c>
      <c r="V292" s="52">
        <f>IFERROR(X179*H179,"0")+IFERROR(X180*H180,"0")</f>
        <v>0</v>
      </c>
      <c r="W292" s="52">
        <f>IFERROR(X185*H185,"0")</f>
        <v>0</v>
      </c>
      <c r="X292" s="52">
        <f>IFERROR(X191*H191,"0")+IFERROR(X192*H192,"0")+IFERROR(X193*H193,"0")+IFERROR(X194*H194,"0")</f>
        <v>714</v>
      </c>
      <c r="Y292" s="52">
        <f>IFERROR(X200*H200,"0")+IFERROR(X204*H204,"0")+IFERROR(X205*H205,"0")+IFERROR(X206*H206,"0")</f>
        <v>0</v>
      </c>
      <c r="Z292" s="52">
        <f>IFERROR(X211*H211,"0")+IFERROR(X212*H212,"0")</f>
        <v>0</v>
      </c>
      <c r="AA292" s="52">
        <f>IFERROR(X217*H217,"0")</f>
        <v>960</v>
      </c>
      <c r="AB292" s="52">
        <f>IFERROR(X222*H222,"0")</f>
        <v>0</v>
      </c>
      <c r="AC292" s="52">
        <f>IFERROR(X228*H228,"0")</f>
        <v>0</v>
      </c>
      <c r="AD292" s="52">
        <f>IFERROR(X234*H234,"0")+IFERROR(X238*H238,"0")</f>
        <v>0</v>
      </c>
      <c r="AE292" s="52">
        <f>IFERROR(X244*H244,"0")+IFERROR(X248*H248,"0")</f>
        <v>0</v>
      </c>
      <c r="AF292" s="52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0</v>
      </c>
    </row>
    <row r="293" spans="1:32" ht="13.5" thickTop="1" x14ac:dyDescent="0.2">
      <c r="C293" s="1"/>
    </row>
    <row r="294" spans="1:32" ht="19.5" customHeight="1" x14ac:dyDescent="0.2">
      <c r="A294" s="70" t="s">
        <v>62</v>
      </c>
      <c r="B294" s="70" t="s">
        <v>63</v>
      </c>
      <c r="C294" s="70" t="s">
        <v>65</v>
      </c>
    </row>
    <row r="295" spans="1:32" x14ac:dyDescent="0.2">
      <c r="A295" s="71">
        <f>SUMPRODUCT(--(BB:BB="ЗПФ"),--(W:W="кор"),H:H,Y:Y)+SUMPRODUCT(--(BB:BB="ЗПФ"),--(W:W="кг"),Y:Y)</f>
        <v>5856</v>
      </c>
      <c r="B295" s="72">
        <f>SUMPRODUCT(--(BB:BB="ПГП"),--(W:W="кор"),H:H,Y:Y)+SUMPRODUCT(--(BB:BB="ПГП"),--(W:W="кг"),Y:Y)</f>
        <v>4883.76</v>
      </c>
      <c r="C295" s="72">
        <f>SUMPRODUCT(--(BB:BB="КИЗ"),--(W:W="кор"),H:H,Y:Y)+SUMPRODUCT(--(BB:BB="КИЗ"),--(W:W="кг"),Y:Y)</f>
        <v>0</v>
      </c>
    </row>
  </sheetData>
  <sheetProtection algorithmName="SHA-512" hashValue="wgFtw+ljNK1FcDKvWYRv4RWNK55Ay6HHlx24hLvzRP+oh4yh5EDtHYRLfmgdN4Lag/BP8Za8t2PT7wSOIpV5AA==" saltValue="stlDtmJm1dO0eX0NM+D7dg==" spinCount="100000" sheet="1" objects="1" scenarios="1" sort="0" autoFilter="0" pivotTables="0"/>
  <autoFilter ref="A18:AF28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 739,76"/>
        <filter val="11 973,98"/>
        <filter val="112,00"/>
        <filter val="12 823,98"/>
        <filter val="120,00"/>
        <filter val="126,00"/>
        <filter val="144,00"/>
        <filter val="154,00"/>
        <filter val="156,00"/>
        <filter val="181,44"/>
        <filter val="182,00"/>
        <filter val="192,00"/>
        <filter val="2 658,00"/>
        <filter val="2 769,60"/>
        <filter val="201,60"/>
        <filter val="238,00"/>
        <filter val="252,00"/>
        <filter val="308,00"/>
        <filter val="34"/>
        <filter val="378,00"/>
        <filter val="408,00"/>
        <filter val="412,80"/>
        <filter val="56,00"/>
        <filter val="60,00"/>
        <filter val="655,20"/>
        <filter val="714,00"/>
        <filter val="72,00"/>
        <filter val="84,00"/>
        <filter val="840,00"/>
        <filter val="873,60"/>
        <filter val="924,00"/>
        <filter val="960,00"/>
        <filter val="98,00"/>
        <filter val="997,92"/>
      </filters>
    </filterColumn>
    <filterColumn colId="29" showButton="0"/>
    <filterColumn colId="30" showButton="0"/>
  </autoFilter>
  <dataConsolidate/>
  <mergeCells count="5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:X279 X270 X254:X256 X248 X244 X238 X234 X228 X222 X211:X212 X206 X204 X194 X185 X179 X173 X163 X151:X152 X138:X140 X131:X134 X126 X122 X115:X116 X111:X112 X105 X98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6 X264:X266 X260 X217 X205 X200 X191:X193 X180 X168 X157:X158 X145:X146 X117:X118 X113:X114 X110 X104 X99 X97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391</v>
      </c>
      <c r="H1" s="9"/>
    </row>
    <row r="3" spans="2:8" x14ac:dyDescent="0.2">
      <c r="B3" s="53" t="s">
        <v>392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394</v>
      </c>
      <c r="D6" s="53" t="s">
        <v>395</v>
      </c>
      <c r="E6" s="53" t="s">
        <v>46</v>
      </c>
    </row>
    <row r="8" spans="2:8" x14ac:dyDescent="0.2">
      <c r="B8" s="53" t="s">
        <v>80</v>
      </c>
      <c r="C8" s="53" t="s">
        <v>394</v>
      </c>
      <c r="D8" s="53" t="s">
        <v>46</v>
      </c>
      <c r="E8" s="53" t="s">
        <v>46</v>
      </c>
    </row>
    <row r="10" spans="2:8" x14ac:dyDescent="0.2">
      <c r="B10" s="53" t="s">
        <v>396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397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398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406</v>
      </c>
      <c r="C20" s="53" t="s">
        <v>46</v>
      </c>
      <c r="D20" s="53" t="s">
        <v>46</v>
      </c>
      <c r="E20" s="53" t="s">
        <v>46</v>
      </c>
    </row>
  </sheetData>
  <sheetProtection algorithmName="SHA-512" hashValue="p8LABmjIiueAxw8IuytR8007NRJVLLL57prCZ4v9PrABGNlPgj/XFgSFxuj4axFk2taXQt1h5H2Kto1MAzQIYA==" saltValue="cH8o9yyJVS7FMfzZNWDw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2026-09-04T09:58:23Z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