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9,09 Пушкарный(ВВ) КИ ЛП ближ\"/>
    </mc:Choice>
  </mc:AlternateContent>
  <xr:revisionPtr revIDLastSave="0" documentId="13_ncr:1_{88699F46-0DD5-4684-925C-DD852697191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Z497" i="2"/>
  <c r="Z498" i="2" s="1"/>
  <c r="Y497" i="2"/>
  <c r="Y499" i="2" s="1"/>
  <c r="P497" i="2"/>
  <c r="X494" i="2"/>
  <c r="Y493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P466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P455" i="2"/>
  <c r="BO455" i="2"/>
  <c r="BM455" i="2"/>
  <c r="Y455" i="2"/>
  <c r="P455" i="2"/>
  <c r="BO454" i="2"/>
  <c r="BM454" i="2"/>
  <c r="Z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BP440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P410" i="2"/>
  <c r="BO410" i="2"/>
  <c r="BM410" i="2"/>
  <c r="Y410" i="2"/>
  <c r="BN410" i="2" s="1"/>
  <c r="P410" i="2"/>
  <c r="BO409" i="2"/>
  <c r="BM409" i="2"/>
  <c r="Z409" i="2"/>
  <c r="Y409" i="2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P297" i="2"/>
  <c r="BO297" i="2"/>
  <c r="BN297" i="2"/>
  <c r="BM297" i="2"/>
  <c r="Z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P267" i="2"/>
  <c r="BO267" i="2"/>
  <c r="BN267" i="2"/>
  <c r="BM267" i="2"/>
  <c r="Z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P255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N250" i="2"/>
  <c r="BM250" i="2"/>
  <c r="Z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Z230" i="2"/>
  <c r="Y230" i="2"/>
  <c r="BN230" i="2" s="1"/>
  <c r="P230" i="2"/>
  <c r="X228" i="2"/>
  <c r="Y227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Z205" i="2"/>
  <c r="Z206" i="2" s="1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N195" i="2"/>
  <c r="BM195" i="2"/>
  <c r="Z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P185" i="2"/>
  <c r="BO185" i="2"/>
  <c r="BN185" i="2"/>
  <c r="BM185" i="2"/>
  <c r="Z185" i="2"/>
  <c r="Y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P161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Y137" i="2" s="1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P105" i="2"/>
  <c r="BO105" i="2"/>
  <c r="BM105" i="2"/>
  <c r="Y105" i="2"/>
  <c r="P105" i="2"/>
  <c r="BO104" i="2"/>
  <c r="BM104" i="2"/>
  <c r="Z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Z96" i="2"/>
  <c r="Y96" i="2"/>
  <c r="BO95" i="2"/>
  <c r="BM95" i="2"/>
  <c r="Y95" i="2"/>
  <c r="P95" i="2"/>
  <c r="BO94" i="2"/>
  <c r="BM94" i="2"/>
  <c r="Y94" i="2"/>
  <c r="Z94" i="2" s="1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P77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Z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Y61" i="2" s="1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P40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Z27" i="2"/>
  <c r="Y27" i="2"/>
  <c r="BN27" i="2" s="1"/>
  <c r="P27" i="2"/>
  <c r="X25" i="2"/>
  <c r="Y24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41" i="2" l="1"/>
  <c r="BN41" i="2"/>
  <c r="Z41" i="2"/>
  <c r="BN60" i="2"/>
  <c r="Z60" i="2"/>
  <c r="BP78" i="2"/>
  <c r="BN78" i="2"/>
  <c r="Z78" i="2"/>
  <c r="BP85" i="2"/>
  <c r="Z85" i="2"/>
  <c r="BP95" i="2"/>
  <c r="BN95" i="2"/>
  <c r="Z9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N326" i="2"/>
  <c r="BN352" i="2"/>
  <c r="BP363" i="2"/>
  <c r="Y367" i="2"/>
  <c r="BP373" i="2"/>
  <c r="Z373" i="2"/>
  <c r="BP383" i="2"/>
  <c r="BN383" i="2"/>
  <c r="Z383" i="2"/>
  <c r="BN396" i="2"/>
  <c r="Y400" i="2"/>
  <c r="Z396" i="2"/>
  <c r="BP405" i="2"/>
  <c r="BN405" i="2"/>
  <c r="Z405" i="2"/>
  <c r="BP411" i="2"/>
  <c r="Z411" i="2"/>
  <c r="BN415" i="2"/>
  <c r="BP441" i="2"/>
  <c r="BN441" i="2"/>
  <c r="Z441" i="2"/>
  <c r="BN449" i="2"/>
  <c r="Z449" i="2"/>
  <c r="Y468" i="2"/>
  <c r="Z465" i="2"/>
  <c r="BN503" i="2"/>
  <c r="BN517" i="2"/>
  <c r="B574" i="2"/>
  <c r="BN23" i="2"/>
  <c r="Z29" i="2"/>
  <c r="BN29" i="2"/>
  <c r="BP30" i="2"/>
  <c r="BN30" i="2"/>
  <c r="BN39" i="2"/>
  <c r="Z39" i="2"/>
  <c r="BN77" i="2"/>
  <c r="Z77" i="2"/>
  <c r="BN99" i="2"/>
  <c r="BN105" i="2"/>
  <c r="Z105" i="2"/>
  <c r="BP106" i="2"/>
  <c r="BN107" i="2"/>
  <c r="BN115" i="2"/>
  <c r="BN127" i="2"/>
  <c r="Z127" i="2"/>
  <c r="BN160" i="2"/>
  <c r="BN231" i="2"/>
  <c r="BN234" i="2"/>
  <c r="BN287" i="2"/>
  <c r="BN314" i="2"/>
  <c r="BN343" i="2"/>
  <c r="BP396" i="2"/>
  <c r="BN397" i="2"/>
  <c r="Z397" i="2"/>
  <c r="BP429" i="2"/>
  <c r="BN429" i="2"/>
  <c r="Z429" i="2"/>
  <c r="BN439" i="2"/>
  <c r="Z439" i="2"/>
  <c r="BN455" i="2"/>
  <c r="Z455" i="2"/>
  <c r="BP465" i="2"/>
  <c r="BP466" i="2"/>
  <c r="BN466" i="2"/>
  <c r="Z466" i="2"/>
  <c r="BN511" i="2"/>
  <c r="BN539" i="2"/>
  <c r="BP539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BN372" i="2"/>
  <c r="BN379" i="2"/>
  <c r="Y413" i="2"/>
  <c r="BP409" i="2"/>
  <c r="Y412" i="2"/>
  <c r="BN422" i="2"/>
  <c r="BN430" i="2"/>
  <c r="BN442" i="2"/>
  <c r="BN492" i="2"/>
  <c r="BN510" i="2"/>
  <c r="BN515" i="2"/>
  <c r="BN530" i="2"/>
  <c r="BN556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<sst xmlns="http://schemas.openxmlformats.org/spreadsheetml/2006/main" count="4373" uniqueCount="914">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</sst>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389" sqref="AA3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2496</v>
      </c>
      <c r="Y389" s="55">
        <f>IFERROR(IF(X389="",0,CEILING((X389/$H389),1)*$H389),"")</f>
        <v>2496</v>
      </c>
      <c r="Z389" s="41">
        <f>IFERROR(IF(Y389=0,"",ROUNDUP(Y389/H389,0)*0.01898),"")</f>
        <v>6.0735999999999999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2652.1600000000003</v>
      </c>
      <c r="BN389" s="78">
        <f>IFERROR(Y389*I389/H389,"0")</f>
        <v>2652.1600000000003</v>
      </c>
      <c r="BO389" s="78">
        <f>IFERROR(1/J389*(X389/H389),"0")</f>
        <v>5</v>
      </c>
      <c r="BP389" s="78">
        <f>IFERROR(1/J389*(Y389/H389),"0")</f>
        <v>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320</v>
      </c>
      <c r="Y393" s="43">
        <f>IFERROR(Y389/H389,"0")+IFERROR(Y390/H390,"0")+IFERROR(Y391/H391,"0")+IFERROR(Y392/H392,"0")</f>
        <v>320</v>
      </c>
      <c r="Z393" s="43">
        <f>IFERROR(IF(Z389="",0,Z389),"0")+IFERROR(IF(Z390="",0,Z390),"0")+IFERROR(IF(Z391="",0,Z391),"0")+IFERROR(IF(Z392="",0,Z392),"0")</f>
        <v>6.0735999999999999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2496</v>
      </c>
      <c r="Y394" s="43">
        <f>IFERROR(SUM(Y389:Y392),"0")</f>
        <v>2496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2496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2496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2652.1600000000003</v>
      </c>
      <c r="Y565" s="43">
        <f>IFERROR(SUM(BN22:BN561),"0")</f>
        <v>2652.1600000000003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2777.1600000000003</v>
      </c>
      <c r="Y567" s="43">
        <f>GrossWeightTotalR+PalletQtyTotalR*25</f>
        <v>2777.1600000000003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320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320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6.0735999999999999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2496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