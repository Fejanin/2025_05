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машина ОПТы Химича\08,10 Кочевой КИ ЛП ближ\"/>
    </mc:Choice>
  </mc:AlternateContent>
  <xr:revisionPtr revIDLastSave="0" documentId="13_ncr:1_{E4C3C52D-E33B-42D2-A6BE-39353689249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заказа'!$A$18:$AF$551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2" l="1"/>
  <c r="X544" i="2"/>
  <c r="BO543" i="2"/>
  <c r="BM543" i="2"/>
  <c r="Y543" i="2"/>
  <c r="AC556" i="2" s="1"/>
  <c r="P543" i="2"/>
  <c r="X540" i="2"/>
  <c r="X539" i="2"/>
  <c r="BO538" i="2"/>
  <c r="BM538" i="2"/>
  <c r="Y538" i="2"/>
  <c r="BP538" i="2" s="1"/>
  <c r="P538" i="2"/>
  <c r="BO537" i="2"/>
  <c r="BM537" i="2"/>
  <c r="Y537" i="2"/>
  <c r="BP537" i="2" s="1"/>
  <c r="P537" i="2"/>
  <c r="X535" i="2"/>
  <c r="X534" i="2"/>
  <c r="BO533" i="2"/>
  <c r="BM533" i="2"/>
  <c r="Y533" i="2"/>
  <c r="Y534" i="2" s="1"/>
  <c r="P533" i="2"/>
  <c r="X531" i="2"/>
  <c r="X530" i="2"/>
  <c r="BO529" i="2"/>
  <c r="BM529" i="2"/>
  <c r="Y529" i="2"/>
  <c r="Z529" i="2" s="1"/>
  <c r="Z530" i="2" s="1"/>
  <c r="P529" i="2"/>
  <c r="X527" i="2"/>
  <c r="X526" i="2"/>
  <c r="BO525" i="2"/>
  <c r="BM525" i="2"/>
  <c r="Y525" i="2"/>
  <c r="Y527" i="2" s="1"/>
  <c r="P525" i="2"/>
  <c r="X523" i="2"/>
  <c r="X522" i="2"/>
  <c r="BO521" i="2"/>
  <c r="BM521" i="2"/>
  <c r="Y521" i="2"/>
  <c r="Y522" i="2" s="1"/>
  <c r="P521" i="2"/>
  <c r="X517" i="2"/>
  <c r="X516" i="2"/>
  <c r="BO515" i="2"/>
  <c r="BM515" i="2"/>
  <c r="Y515" i="2"/>
  <c r="Z515" i="2" s="1"/>
  <c r="P515" i="2"/>
  <c r="BO514" i="2"/>
  <c r="BM514" i="2"/>
  <c r="Y514" i="2"/>
  <c r="BP514" i="2" s="1"/>
  <c r="P514" i="2"/>
  <c r="BO513" i="2"/>
  <c r="BM513" i="2"/>
  <c r="Y513" i="2"/>
  <c r="BN513" i="2" s="1"/>
  <c r="P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X507" i="2"/>
  <c r="X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Y507" i="2" s="1"/>
  <c r="P503" i="2"/>
  <c r="X501" i="2"/>
  <c r="X500" i="2"/>
  <c r="BO499" i="2"/>
  <c r="BM499" i="2"/>
  <c r="Y499" i="2"/>
  <c r="BP499" i="2" s="1"/>
  <c r="P499" i="2"/>
  <c r="BO498" i="2"/>
  <c r="BM498" i="2"/>
  <c r="Y498" i="2"/>
  <c r="P498" i="2"/>
  <c r="BO497" i="2"/>
  <c r="BM497" i="2"/>
  <c r="Y497" i="2"/>
  <c r="BP497" i="2" s="1"/>
  <c r="P497" i="2"/>
  <c r="BO496" i="2"/>
  <c r="BM496" i="2"/>
  <c r="Y496" i="2"/>
  <c r="BP496" i="2" s="1"/>
  <c r="P496" i="2"/>
  <c r="BO495" i="2"/>
  <c r="BM495" i="2"/>
  <c r="Y495" i="2"/>
  <c r="Z495" i="2" s="1"/>
  <c r="P495" i="2"/>
  <c r="BO494" i="2"/>
  <c r="BM494" i="2"/>
  <c r="Y494" i="2"/>
  <c r="BP494" i="2" s="1"/>
  <c r="P494" i="2"/>
  <c r="BO493" i="2"/>
  <c r="BM493" i="2"/>
  <c r="Y493" i="2"/>
  <c r="BP493" i="2" s="1"/>
  <c r="P493" i="2"/>
  <c r="BO492" i="2"/>
  <c r="BM492" i="2"/>
  <c r="Y492" i="2"/>
  <c r="BN492" i="2" s="1"/>
  <c r="P492" i="2"/>
  <c r="X488" i="2"/>
  <c r="X487" i="2"/>
  <c r="BO486" i="2"/>
  <c r="BM486" i="2"/>
  <c r="Y486" i="2"/>
  <c r="BP486" i="2" s="1"/>
  <c r="P486" i="2"/>
  <c r="BO485" i="2"/>
  <c r="BM485" i="2"/>
  <c r="Y485" i="2"/>
  <c r="BP485" i="2" s="1"/>
  <c r="P485" i="2"/>
  <c r="BO484" i="2"/>
  <c r="BM484" i="2"/>
  <c r="Y484" i="2"/>
  <c r="P484" i="2"/>
  <c r="X482" i="2"/>
  <c r="X481" i="2"/>
  <c r="BO480" i="2"/>
  <c r="BM480" i="2"/>
  <c r="Y480" i="2"/>
  <c r="BP480" i="2" s="1"/>
  <c r="P480" i="2"/>
  <c r="X477" i="2"/>
  <c r="X476" i="2"/>
  <c r="BO475" i="2"/>
  <c r="BM475" i="2"/>
  <c r="Y475" i="2"/>
  <c r="BN475" i="2" s="1"/>
  <c r="P475" i="2"/>
  <c r="X473" i="2"/>
  <c r="X472" i="2"/>
  <c r="BO471" i="2"/>
  <c r="BM471" i="2"/>
  <c r="Y471" i="2"/>
  <c r="BP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BO468" i="2"/>
  <c r="BM468" i="2"/>
  <c r="Y468" i="2"/>
  <c r="BP468" i="2" s="1"/>
  <c r="P468" i="2"/>
  <c r="BO467" i="2"/>
  <c r="BM467" i="2"/>
  <c r="Y467" i="2"/>
  <c r="BN467" i="2" s="1"/>
  <c r="P467" i="2"/>
  <c r="BO466" i="2"/>
  <c r="BM466" i="2"/>
  <c r="Y466" i="2"/>
  <c r="BP466" i="2" s="1"/>
  <c r="P466" i="2"/>
  <c r="X462" i="2"/>
  <c r="X461" i="2"/>
  <c r="BO460" i="2"/>
  <c r="BM460" i="2"/>
  <c r="Y460" i="2"/>
  <c r="BP460" i="2" s="1"/>
  <c r="P460" i="2"/>
  <c r="BO459" i="2"/>
  <c r="BM459" i="2"/>
  <c r="Y459" i="2"/>
  <c r="P459" i="2"/>
  <c r="BO458" i="2"/>
  <c r="BM458" i="2"/>
  <c r="Y458" i="2"/>
  <c r="Z458" i="2" s="1"/>
  <c r="P458" i="2"/>
  <c r="X456" i="2"/>
  <c r="X455" i="2"/>
  <c r="BO454" i="2"/>
  <c r="BM454" i="2"/>
  <c r="Y454" i="2"/>
  <c r="Y456" i="2" s="1"/>
  <c r="P454" i="2"/>
  <c r="X452" i="2"/>
  <c r="X451" i="2"/>
  <c r="BO450" i="2"/>
  <c r="BM450" i="2"/>
  <c r="Y450" i="2"/>
  <c r="P450" i="2"/>
  <c r="BO449" i="2"/>
  <c r="BM449" i="2"/>
  <c r="Y449" i="2"/>
  <c r="BN449" i="2" s="1"/>
  <c r="P449" i="2"/>
  <c r="X446" i="2"/>
  <c r="X445" i="2"/>
  <c r="BO444" i="2"/>
  <c r="BM444" i="2"/>
  <c r="Y444" i="2"/>
  <c r="P444" i="2"/>
  <c r="BO443" i="2"/>
  <c r="BM443" i="2"/>
  <c r="Y443" i="2"/>
  <c r="BN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BP433" i="2" s="1"/>
  <c r="P433" i="2"/>
  <c r="BO432" i="2"/>
  <c r="BM432" i="2"/>
  <c r="Y432" i="2"/>
  <c r="BP432" i="2" s="1"/>
  <c r="P432" i="2"/>
  <c r="BO431" i="2"/>
  <c r="BM431" i="2"/>
  <c r="Y431" i="2"/>
  <c r="Y435" i="2" s="1"/>
  <c r="P431" i="2"/>
  <c r="X429" i="2"/>
  <c r="X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P425" i="2"/>
  <c r="BO424" i="2"/>
  <c r="BM424" i="2"/>
  <c r="Y424" i="2"/>
  <c r="BP424" i="2" s="1"/>
  <c r="P424" i="2"/>
  <c r="BO423" i="2"/>
  <c r="BM423" i="2"/>
  <c r="Y423" i="2"/>
  <c r="P423" i="2"/>
  <c r="BO422" i="2"/>
  <c r="BM422" i="2"/>
  <c r="Y422" i="2"/>
  <c r="BP422" i="2" s="1"/>
  <c r="P422" i="2"/>
  <c r="BO421" i="2"/>
  <c r="BM421" i="2"/>
  <c r="Y421" i="2"/>
  <c r="BP421" i="2" s="1"/>
  <c r="P421" i="2"/>
  <c r="BO420" i="2"/>
  <c r="BM420" i="2"/>
  <c r="Y420" i="2"/>
  <c r="BN420" i="2" s="1"/>
  <c r="P420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P412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Z399" i="2" s="1"/>
  <c r="P399" i="2"/>
  <c r="X397" i="2"/>
  <c r="X396" i="2"/>
  <c r="BO395" i="2"/>
  <c r="BM395" i="2"/>
  <c r="Y395" i="2"/>
  <c r="BP395" i="2" s="1"/>
  <c r="P395" i="2"/>
  <c r="BO394" i="2"/>
  <c r="BM394" i="2"/>
  <c r="Y394" i="2"/>
  <c r="BP394" i="2" s="1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BN388" i="2" s="1"/>
  <c r="P388" i="2"/>
  <c r="BO387" i="2"/>
  <c r="BM387" i="2"/>
  <c r="Y387" i="2"/>
  <c r="BP387" i="2" s="1"/>
  <c r="P387" i="2"/>
  <c r="BO386" i="2"/>
  <c r="BM386" i="2"/>
  <c r="Y386" i="2"/>
  <c r="BP386" i="2" s="1"/>
  <c r="P386" i="2"/>
  <c r="X384" i="2"/>
  <c r="X383" i="2"/>
  <c r="BO382" i="2"/>
  <c r="BM382" i="2"/>
  <c r="Y382" i="2"/>
  <c r="BP382" i="2" s="1"/>
  <c r="P382" i="2"/>
  <c r="BO381" i="2"/>
  <c r="BM381" i="2"/>
  <c r="Y381" i="2"/>
  <c r="BP381" i="2" s="1"/>
  <c r="P381" i="2"/>
  <c r="BO380" i="2"/>
  <c r="BM380" i="2"/>
  <c r="Y380" i="2"/>
  <c r="Y383" i="2" s="1"/>
  <c r="P380" i="2"/>
  <c r="X378" i="2"/>
  <c r="X377" i="2"/>
  <c r="BO376" i="2"/>
  <c r="BM376" i="2"/>
  <c r="Y376" i="2"/>
  <c r="BP376" i="2" s="1"/>
  <c r="P376" i="2"/>
  <c r="BO375" i="2"/>
  <c r="BM375" i="2"/>
  <c r="Y375" i="2"/>
  <c r="BN375" i="2" s="1"/>
  <c r="P375" i="2"/>
  <c r="BO374" i="2"/>
  <c r="BM374" i="2"/>
  <c r="Y374" i="2"/>
  <c r="BN374" i="2" s="1"/>
  <c r="P374" i="2"/>
  <c r="BO373" i="2"/>
  <c r="BM373" i="2"/>
  <c r="Y373" i="2"/>
  <c r="Y377" i="2" s="1"/>
  <c r="P373" i="2"/>
  <c r="X371" i="2"/>
  <c r="X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BN363" i="2" s="1"/>
  <c r="P363" i="2"/>
  <c r="X361" i="2"/>
  <c r="X360" i="2"/>
  <c r="BO359" i="2"/>
  <c r="BM359" i="2"/>
  <c r="Y359" i="2"/>
  <c r="BP359" i="2" s="1"/>
  <c r="P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BP356" i="2" s="1"/>
  <c r="P356" i="2"/>
  <c r="BO355" i="2"/>
  <c r="BM355" i="2"/>
  <c r="Y355" i="2"/>
  <c r="BN355" i="2" s="1"/>
  <c r="P355" i="2"/>
  <c r="BO354" i="2"/>
  <c r="BM354" i="2"/>
  <c r="Y354" i="2"/>
  <c r="BN354" i="2" s="1"/>
  <c r="P354" i="2"/>
  <c r="BO353" i="2"/>
  <c r="BM353" i="2"/>
  <c r="Y353" i="2"/>
  <c r="BN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X343" i="2"/>
  <c r="X342" i="2"/>
  <c r="BO341" i="2"/>
  <c r="BM341" i="2"/>
  <c r="Y341" i="2"/>
  <c r="BP341" i="2" s="1"/>
  <c r="P341" i="2"/>
  <c r="BO340" i="2"/>
  <c r="BM340" i="2"/>
  <c r="Y340" i="2"/>
  <c r="P340" i="2"/>
  <c r="BO339" i="2"/>
  <c r="BM339" i="2"/>
  <c r="Y339" i="2"/>
  <c r="Y343" i="2" s="1"/>
  <c r="P339" i="2"/>
  <c r="X337" i="2"/>
  <c r="X336" i="2"/>
  <c r="BO335" i="2"/>
  <c r="BM335" i="2"/>
  <c r="Y335" i="2"/>
  <c r="BN335" i="2" s="1"/>
  <c r="P335" i="2"/>
  <c r="BO334" i="2"/>
  <c r="BM334" i="2"/>
  <c r="Y334" i="2"/>
  <c r="P334" i="2"/>
  <c r="BO333" i="2"/>
  <c r="BM333" i="2"/>
  <c r="Y333" i="2"/>
  <c r="BP333" i="2" s="1"/>
  <c r="P333" i="2"/>
  <c r="BO332" i="2"/>
  <c r="BM332" i="2"/>
  <c r="Y332" i="2"/>
  <c r="BP332" i="2" s="1"/>
  <c r="P332" i="2"/>
  <c r="X329" i="2"/>
  <c r="X328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Y325" i="2"/>
  <c r="P325" i="2"/>
  <c r="X322" i="2"/>
  <c r="X321" i="2"/>
  <c r="BO320" i="2"/>
  <c r="BM320" i="2"/>
  <c r="Y320" i="2"/>
  <c r="BP320" i="2" s="1"/>
  <c r="P320" i="2"/>
  <c r="BO319" i="2"/>
  <c r="BM319" i="2"/>
  <c r="Y319" i="2"/>
  <c r="P319" i="2"/>
  <c r="BO318" i="2"/>
  <c r="BM318" i="2"/>
  <c r="Y318" i="2"/>
  <c r="BN318" i="2" s="1"/>
  <c r="P318" i="2"/>
  <c r="BO317" i="2"/>
  <c r="BM317" i="2"/>
  <c r="Y317" i="2"/>
  <c r="BN317" i="2" s="1"/>
  <c r="P317" i="2"/>
  <c r="BO316" i="2"/>
  <c r="BM316" i="2"/>
  <c r="Y316" i="2"/>
  <c r="BN316" i="2" s="1"/>
  <c r="P316" i="2"/>
  <c r="BO315" i="2"/>
  <c r="BM315" i="2"/>
  <c r="Y315" i="2"/>
  <c r="Z315" i="2" s="1"/>
  <c r="P315" i="2"/>
  <c r="X312" i="2"/>
  <c r="X311" i="2"/>
  <c r="BO310" i="2"/>
  <c r="BM310" i="2"/>
  <c r="Y310" i="2"/>
  <c r="Z310" i="2" s="1"/>
  <c r="P310" i="2"/>
  <c r="BO309" i="2"/>
  <c r="BM309" i="2"/>
  <c r="Y309" i="2"/>
  <c r="BP309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P297" i="2"/>
  <c r="BO296" i="2"/>
  <c r="BM296" i="2"/>
  <c r="Y296" i="2"/>
  <c r="BP296" i="2" s="1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P292" i="2"/>
  <c r="BO291" i="2"/>
  <c r="BM291" i="2"/>
  <c r="Y291" i="2"/>
  <c r="BN291" i="2" s="1"/>
  <c r="P291" i="2"/>
  <c r="X288" i="2"/>
  <c r="X287" i="2"/>
  <c r="BO286" i="2"/>
  <c r="BM286" i="2"/>
  <c r="Y286" i="2"/>
  <c r="P286" i="2"/>
  <c r="BO285" i="2"/>
  <c r="BM285" i="2"/>
  <c r="Y285" i="2"/>
  <c r="BN285" i="2" s="1"/>
  <c r="P285" i="2"/>
  <c r="X283" i="2"/>
  <c r="X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Z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BN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P271" i="2"/>
  <c r="BO270" i="2"/>
  <c r="BM270" i="2"/>
  <c r="Y270" i="2"/>
  <c r="BN270" i="2" s="1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BN264" i="2" s="1"/>
  <c r="P264" i="2"/>
  <c r="BO263" i="2"/>
  <c r="BM263" i="2"/>
  <c r="Y263" i="2"/>
  <c r="P263" i="2"/>
  <c r="BO262" i="2"/>
  <c r="BM262" i="2"/>
  <c r="Y262" i="2"/>
  <c r="BN262" i="2" s="1"/>
  <c r="P262" i="2"/>
  <c r="BO261" i="2"/>
  <c r="BM261" i="2"/>
  <c r="Y261" i="2"/>
  <c r="P261" i="2"/>
  <c r="BO260" i="2"/>
  <c r="BM260" i="2"/>
  <c r="Y260" i="2"/>
  <c r="BN260" i="2" s="1"/>
  <c r="P260" i="2"/>
  <c r="BO259" i="2"/>
  <c r="BM259" i="2"/>
  <c r="Y259" i="2"/>
  <c r="BP259" i="2" s="1"/>
  <c r="P259" i="2"/>
  <c r="X257" i="2"/>
  <c r="X256" i="2"/>
  <c r="BO255" i="2"/>
  <c r="BM255" i="2"/>
  <c r="Y255" i="2"/>
  <c r="P255" i="2"/>
  <c r="BO254" i="2"/>
  <c r="BM254" i="2"/>
  <c r="Y254" i="2"/>
  <c r="BN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P244" i="2"/>
  <c r="X242" i="2"/>
  <c r="X241" i="2"/>
  <c r="BO240" i="2"/>
  <c r="BM240" i="2"/>
  <c r="Y240" i="2"/>
  <c r="P240" i="2"/>
  <c r="BO239" i="2"/>
  <c r="BM239" i="2"/>
  <c r="Y239" i="2"/>
  <c r="BN239" i="2" s="1"/>
  <c r="P239" i="2"/>
  <c r="BO238" i="2"/>
  <c r="BM238" i="2"/>
  <c r="Y238" i="2"/>
  <c r="Z238" i="2" s="1"/>
  <c r="P238" i="2"/>
  <c r="X236" i="2"/>
  <c r="X235" i="2"/>
  <c r="BO234" i="2"/>
  <c r="BM234" i="2"/>
  <c r="Y234" i="2"/>
  <c r="Z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P230" i="2"/>
  <c r="X228" i="2"/>
  <c r="X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Z224" i="2" s="1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P215" i="2" s="1"/>
  <c r="P215" i="2"/>
  <c r="BO214" i="2"/>
  <c r="BM214" i="2"/>
  <c r="Y214" i="2"/>
  <c r="BP214" i="2" s="1"/>
  <c r="P214" i="2"/>
  <c r="X212" i="2"/>
  <c r="X211" i="2"/>
  <c r="BO210" i="2"/>
  <c r="BM210" i="2"/>
  <c r="Y210" i="2"/>
  <c r="Y212" i="2" s="1"/>
  <c r="P210" i="2"/>
  <c r="X207" i="2"/>
  <c r="X206" i="2"/>
  <c r="BO205" i="2"/>
  <c r="BM205" i="2"/>
  <c r="Y205" i="2"/>
  <c r="BP205" i="2" s="1"/>
  <c r="P205" i="2"/>
  <c r="BO204" i="2"/>
  <c r="BM204" i="2"/>
  <c r="Y204" i="2"/>
  <c r="P204" i="2"/>
  <c r="BO203" i="2"/>
  <c r="BM203" i="2"/>
  <c r="Y203" i="2"/>
  <c r="Z203" i="2" s="1"/>
  <c r="P203" i="2"/>
  <c r="BO202" i="2"/>
  <c r="BM202" i="2"/>
  <c r="Y202" i="2"/>
  <c r="BP202" i="2" s="1"/>
  <c r="P202" i="2"/>
  <c r="BO201" i="2"/>
  <c r="BM201" i="2"/>
  <c r="Y201" i="2"/>
  <c r="P201" i="2"/>
  <c r="BO200" i="2"/>
  <c r="BM200" i="2"/>
  <c r="Y200" i="2"/>
  <c r="BN200" i="2" s="1"/>
  <c r="P200" i="2"/>
  <c r="BO199" i="2"/>
  <c r="BM199" i="2"/>
  <c r="Y199" i="2"/>
  <c r="BN199" i="2" s="1"/>
  <c r="P199" i="2"/>
  <c r="X195" i="2"/>
  <c r="X194" i="2"/>
  <c r="BO193" i="2"/>
  <c r="BM193" i="2"/>
  <c r="Y193" i="2"/>
  <c r="BP193" i="2" s="1"/>
  <c r="P193" i="2"/>
  <c r="X191" i="2"/>
  <c r="X190" i="2"/>
  <c r="BO189" i="2"/>
  <c r="BM189" i="2"/>
  <c r="Y189" i="2"/>
  <c r="P189" i="2"/>
  <c r="X187" i="2"/>
  <c r="X186" i="2"/>
  <c r="BO185" i="2"/>
  <c r="BM185" i="2"/>
  <c r="Y185" i="2"/>
  <c r="P185" i="2"/>
  <c r="BO184" i="2"/>
  <c r="BM184" i="2"/>
  <c r="Y184" i="2"/>
  <c r="BN184" i="2" s="1"/>
  <c r="P184" i="2"/>
  <c r="X182" i="2"/>
  <c r="X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N177" i="2" s="1"/>
  <c r="P177" i="2"/>
  <c r="BO176" i="2"/>
  <c r="BM176" i="2"/>
  <c r="Y176" i="2"/>
  <c r="BN176" i="2" s="1"/>
  <c r="P176" i="2"/>
  <c r="BO175" i="2"/>
  <c r="BM175" i="2"/>
  <c r="Y175" i="2"/>
  <c r="P175" i="2"/>
  <c r="BO174" i="2"/>
  <c r="BM174" i="2"/>
  <c r="Y174" i="2"/>
  <c r="BN174" i="2" s="1"/>
  <c r="P174" i="2"/>
  <c r="BO173" i="2"/>
  <c r="BM173" i="2"/>
  <c r="Y173" i="2"/>
  <c r="BN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X169" i="2"/>
  <c r="X168" i="2"/>
  <c r="BO167" i="2"/>
  <c r="BM167" i="2"/>
  <c r="Y167" i="2"/>
  <c r="BP167" i="2" s="1"/>
  <c r="P167" i="2"/>
  <c r="BO166" i="2"/>
  <c r="BM166" i="2"/>
  <c r="Y166" i="2"/>
  <c r="BN166" i="2" s="1"/>
  <c r="P166" i="2"/>
  <c r="X164" i="2"/>
  <c r="X163" i="2"/>
  <c r="BO162" i="2"/>
  <c r="BM162" i="2"/>
  <c r="Y162" i="2"/>
  <c r="BP162" i="2" s="1"/>
  <c r="P162" i="2"/>
  <c r="BO161" i="2"/>
  <c r="BM161" i="2"/>
  <c r="Y161" i="2"/>
  <c r="BP161" i="2" s="1"/>
  <c r="P161" i="2"/>
  <c r="BO160" i="2"/>
  <c r="BM160" i="2"/>
  <c r="Y160" i="2"/>
  <c r="BN160" i="2" s="1"/>
  <c r="P160" i="2"/>
  <c r="BO159" i="2"/>
  <c r="BM159" i="2"/>
  <c r="Y159" i="2"/>
  <c r="BN159" i="2" s="1"/>
  <c r="P159" i="2"/>
  <c r="X156" i="2"/>
  <c r="X155" i="2"/>
  <c r="BO154" i="2"/>
  <c r="BM154" i="2"/>
  <c r="Y154" i="2"/>
  <c r="Y156" i="2" s="1"/>
  <c r="P154" i="2"/>
  <c r="X152" i="2"/>
  <c r="X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P148" i="2" s="1"/>
  <c r="P148" i="2"/>
  <c r="BO147" i="2"/>
  <c r="BM147" i="2"/>
  <c r="Y147" i="2"/>
  <c r="P147" i="2"/>
  <c r="X144" i="2"/>
  <c r="X143" i="2"/>
  <c r="BO142" i="2"/>
  <c r="BM142" i="2"/>
  <c r="Y142" i="2"/>
  <c r="BN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BP136" i="2" s="1"/>
  <c r="P136" i="2"/>
  <c r="X134" i="2"/>
  <c r="X133" i="2"/>
  <c r="BO132" i="2"/>
  <c r="BM132" i="2"/>
  <c r="Y132" i="2"/>
  <c r="BP132" i="2" s="1"/>
  <c r="P132" i="2"/>
  <c r="BO131" i="2"/>
  <c r="BM131" i="2"/>
  <c r="Y131" i="2"/>
  <c r="P131" i="2"/>
  <c r="X128" i="2"/>
  <c r="X127" i="2"/>
  <c r="BO126" i="2"/>
  <c r="BM126" i="2"/>
  <c r="Y126" i="2"/>
  <c r="P126" i="2"/>
  <c r="X124" i="2"/>
  <c r="X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BP120" i="2" s="1"/>
  <c r="P120" i="2"/>
  <c r="BO119" i="2"/>
  <c r="BM119" i="2"/>
  <c r="Y119" i="2"/>
  <c r="BN119" i="2" s="1"/>
  <c r="P119" i="2"/>
  <c r="X117" i="2"/>
  <c r="X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BO111" i="2"/>
  <c r="BM111" i="2"/>
  <c r="Y111" i="2"/>
  <c r="P111" i="2"/>
  <c r="X109" i="2"/>
  <c r="X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P101" i="2"/>
  <c r="X98" i="2"/>
  <c r="X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P94" i="2" s="1"/>
  <c r="P94" i="2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BP85" i="2" s="1"/>
  <c r="P85" i="2"/>
  <c r="BO84" i="2"/>
  <c r="BM84" i="2"/>
  <c r="Y84" i="2"/>
  <c r="BN84" i="2" s="1"/>
  <c r="P84" i="2"/>
  <c r="X81" i="2"/>
  <c r="X80" i="2"/>
  <c r="BO79" i="2"/>
  <c r="BM79" i="2"/>
  <c r="Y79" i="2"/>
  <c r="BP79" i="2" s="1"/>
  <c r="P79" i="2"/>
  <c r="BO78" i="2"/>
  <c r="BM78" i="2"/>
  <c r="Y78" i="2"/>
  <c r="BP78" i="2" s="1"/>
  <c r="P78" i="2"/>
  <c r="BO77" i="2"/>
  <c r="BM77" i="2"/>
  <c r="Y77" i="2"/>
  <c r="Y81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X70" i="2"/>
  <c r="X69" i="2"/>
  <c r="BO68" i="2"/>
  <c r="BM68" i="2"/>
  <c r="Y68" i="2"/>
  <c r="Z68" i="2" s="1"/>
  <c r="P68" i="2"/>
  <c r="BO67" i="2"/>
  <c r="BM67" i="2"/>
  <c r="Y67" i="2"/>
  <c r="BP67" i="2" s="1"/>
  <c r="P67" i="2"/>
  <c r="BO66" i="2"/>
  <c r="BM66" i="2"/>
  <c r="Y66" i="2"/>
  <c r="BP66" i="2" s="1"/>
  <c r="P66" i="2"/>
  <c r="BO65" i="2"/>
  <c r="BM65" i="2"/>
  <c r="Y65" i="2"/>
  <c r="BN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Z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BN55" i="2" s="1"/>
  <c r="P55" i="2"/>
  <c r="BO54" i="2"/>
  <c r="BM54" i="2"/>
  <c r="Y54" i="2"/>
  <c r="P54" i="2"/>
  <c r="X51" i="2"/>
  <c r="X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Z47" i="2" s="1"/>
  <c r="P47" i="2"/>
  <c r="BO46" i="2"/>
  <c r="BM46" i="2"/>
  <c r="Y46" i="2"/>
  <c r="BP46" i="2" s="1"/>
  <c r="P46" i="2"/>
  <c r="X42" i="2"/>
  <c r="X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BO36" i="2"/>
  <c r="BM36" i="2"/>
  <c r="Y36" i="2"/>
  <c r="C556" i="2" s="1"/>
  <c r="P36" i="2"/>
  <c r="X32" i="2"/>
  <c r="X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P27" i="2" s="1"/>
  <c r="P27" i="2"/>
  <c r="BO26" i="2"/>
  <c r="BM26" i="2"/>
  <c r="Y26" i="2"/>
  <c r="BP26" i="2" s="1"/>
  <c r="P26" i="2"/>
  <c r="X24" i="2"/>
  <c r="X23" i="2"/>
  <c r="BO22" i="2"/>
  <c r="BM22" i="2"/>
  <c r="Y22" i="2"/>
  <c r="Y24" i="2" s="1"/>
  <c r="P22" i="2"/>
  <c r="H10" i="2"/>
  <c r="A9" i="2"/>
  <c r="J9" i="2" s="1"/>
  <c r="D7" i="2"/>
  <c r="Q6" i="2"/>
  <c r="P2" i="2"/>
  <c r="Z335" i="2" l="1"/>
  <c r="Z120" i="2"/>
  <c r="BN120" i="2"/>
  <c r="Z48" i="2"/>
  <c r="Z177" i="2"/>
  <c r="Z262" i="2"/>
  <c r="Z376" i="2"/>
  <c r="BN376" i="2"/>
  <c r="Z394" i="2"/>
  <c r="Z28" i="2"/>
  <c r="Z66" i="2"/>
  <c r="BN66" i="2"/>
  <c r="Z149" i="2"/>
  <c r="BN149" i="2"/>
  <c r="Z202" i="2"/>
  <c r="Z239" i="2"/>
  <c r="Z320" i="2"/>
  <c r="Z356" i="2"/>
  <c r="BN356" i="2"/>
  <c r="Z365" i="2"/>
  <c r="Z46" i="2"/>
  <c r="BP55" i="2"/>
  <c r="Z72" i="2"/>
  <c r="G556" i="2"/>
  <c r="Z136" i="2"/>
  <c r="BN136" i="2"/>
  <c r="Z173" i="2"/>
  <c r="Z184" i="2"/>
  <c r="Z214" i="2"/>
  <c r="Z225" i="2"/>
  <c r="Y236" i="2"/>
  <c r="Z259" i="2"/>
  <c r="BN259" i="2"/>
  <c r="Z278" i="2"/>
  <c r="Z332" i="2"/>
  <c r="Z355" i="2"/>
  <c r="Z366" i="2"/>
  <c r="BN366" i="2"/>
  <c r="Z375" i="2"/>
  <c r="Z475" i="2"/>
  <c r="Z476" i="2" s="1"/>
  <c r="Y476" i="2"/>
  <c r="BP510" i="2"/>
  <c r="BP22" i="2"/>
  <c r="BN27" i="2"/>
  <c r="BP36" i="2"/>
  <c r="BN38" i="2"/>
  <c r="BN47" i="2"/>
  <c r="BP56" i="2"/>
  <c r="BN68" i="2"/>
  <c r="BN102" i="2"/>
  <c r="Y127" i="2"/>
  <c r="Z126" i="2"/>
  <c r="Z127" i="2" s="1"/>
  <c r="BN175" i="2"/>
  <c r="BP175" i="2"/>
  <c r="BP204" i="2"/>
  <c r="BN204" i="2"/>
  <c r="Z204" i="2"/>
  <c r="BP216" i="2"/>
  <c r="BN216" i="2"/>
  <c r="Z216" i="2"/>
  <c r="BP223" i="2"/>
  <c r="Z223" i="2"/>
  <c r="BN240" i="2"/>
  <c r="BP240" i="2"/>
  <c r="BN272" i="2"/>
  <c r="Z272" i="2"/>
  <c r="BN277" i="2"/>
  <c r="BN309" i="2"/>
  <c r="Z22" i="2"/>
  <c r="Z23" i="2" s="1"/>
  <c r="Z36" i="2"/>
  <c r="BN39" i="2"/>
  <c r="Z40" i="2"/>
  <c r="BP48" i="2"/>
  <c r="E556" i="2"/>
  <c r="Z56" i="2"/>
  <c r="Z57" i="2"/>
  <c r="BN57" i="2"/>
  <c r="Z59" i="2"/>
  <c r="BN59" i="2"/>
  <c r="Z86" i="2"/>
  <c r="BN86" i="2"/>
  <c r="Z89" i="2"/>
  <c r="BN94" i="2"/>
  <c r="BP107" i="2"/>
  <c r="BN107" i="2"/>
  <c r="Z107" i="2"/>
  <c r="BP111" i="2"/>
  <c r="BN111" i="2"/>
  <c r="Z111" i="2"/>
  <c r="BP113" i="2"/>
  <c r="BN113" i="2"/>
  <c r="Z113" i="2"/>
  <c r="BP147" i="2"/>
  <c r="BN147" i="2"/>
  <c r="Z147" i="2"/>
  <c r="BP178" i="2"/>
  <c r="BN178" i="2"/>
  <c r="Z178" i="2"/>
  <c r="BN180" i="2"/>
  <c r="Y187" i="2"/>
  <c r="BP185" i="2"/>
  <c r="BN215" i="2"/>
  <c r="Z215" i="2"/>
  <c r="BN234" i="2"/>
  <c r="BN265" i="2"/>
  <c r="BN293" i="2"/>
  <c r="Z293" i="2"/>
  <c r="Y303" i="2"/>
  <c r="Y302" i="2"/>
  <c r="BN301" i="2"/>
  <c r="H556" i="2"/>
  <c r="BN217" i="2"/>
  <c r="BP225" i="2"/>
  <c r="BN232" i="2"/>
  <c r="Y268" i="2"/>
  <c r="BN275" i="2"/>
  <c r="BP278" i="2"/>
  <c r="BN280" i="2"/>
  <c r="BN296" i="2"/>
  <c r="BN310" i="2"/>
  <c r="Z326" i="2"/>
  <c r="Z333" i="2"/>
  <c r="BP335" i="2"/>
  <c r="BN347" i="2"/>
  <c r="BP353" i="2"/>
  <c r="BP355" i="2"/>
  <c r="BN358" i="2"/>
  <c r="BP363" i="2"/>
  <c r="BP365" i="2"/>
  <c r="BN368" i="2"/>
  <c r="BP373" i="2"/>
  <c r="BP375" i="2"/>
  <c r="Z380" i="2"/>
  <c r="Z381" i="2"/>
  <c r="BN381" i="2"/>
  <c r="Z388" i="2"/>
  <c r="U556" i="2"/>
  <c r="Z413" i="2"/>
  <c r="Z422" i="2"/>
  <c r="BN424" i="2"/>
  <c r="Z426" i="2"/>
  <c r="BN426" i="2"/>
  <c r="BN427" i="2"/>
  <c r="Z433" i="2"/>
  <c r="BN438" i="2"/>
  <c r="Y473" i="2"/>
  <c r="BN469" i="2"/>
  <c r="BN471" i="2"/>
  <c r="BN486" i="2"/>
  <c r="BN494" i="2"/>
  <c r="BN496" i="2"/>
  <c r="Z503" i="2"/>
  <c r="BN503" i="2"/>
  <c r="BP503" i="2"/>
  <c r="BN504" i="2"/>
  <c r="Z513" i="2"/>
  <c r="Y517" i="2"/>
  <c r="BN521" i="2"/>
  <c r="Y531" i="2"/>
  <c r="BN533" i="2"/>
  <c r="Y378" i="2"/>
  <c r="BP380" i="2"/>
  <c r="BP388" i="2"/>
  <c r="BN389" i="2"/>
  <c r="BN399" i="2"/>
  <c r="BP413" i="2"/>
  <c r="BN414" i="2"/>
  <c r="BN458" i="2"/>
  <c r="BN468" i="2"/>
  <c r="BN470" i="2"/>
  <c r="Y472" i="2"/>
  <c r="BN493" i="2"/>
  <c r="BN495" i="2"/>
  <c r="BP513" i="2"/>
  <c r="F10" i="2"/>
  <c r="X547" i="2"/>
  <c r="X550" i="2"/>
  <c r="BN28" i="2"/>
  <c r="BN36" i="2"/>
  <c r="BP47" i="2"/>
  <c r="BN58" i="2"/>
  <c r="Z67" i="2"/>
  <c r="Y70" i="2"/>
  <c r="Z73" i="2"/>
  <c r="Z78" i="2"/>
  <c r="BN79" i="2"/>
  <c r="BN95" i="2"/>
  <c r="Z96" i="2"/>
  <c r="Z101" i="2"/>
  <c r="Z103" i="2"/>
  <c r="BP103" i="2"/>
  <c r="BN105" i="2"/>
  <c r="BN112" i="2"/>
  <c r="BN121" i="2"/>
  <c r="Z132" i="2"/>
  <c r="BN148" i="2"/>
  <c r="Z150" i="2"/>
  <c r="Z160" i="2"/>
  <c r="BP160" i="2"/>
  <c r="BN162" i="2"/>
  <c r="BN167" i="2"/>
  <c r="Z171" i="2"/>
  <c r="BP177" i="2"/>
  <c r="Z179" i="2"/>
  <c r="BN179" i="2"/>
  <c r="Y190" i="2"/>
  <c r="Y191" i="2"/>
  <c r="Z189" i="2"/>
  <c r="Z190" i="2" s="1"/>
  <c r="BN201" i="2"/>
  <c r="BP201" i="2"/>
  <c r="Z201" i="2"/>
  <c r="BN230" i="2"/>
  <c r="BP230" i="2"/>
  <c r="BP276" i="2"/>
  <c r="BN276" i="2"/>
  <c r="Z276" i="2"/>
  <c r="BP297" i="2"/>
  <c r="BN297" i="2"/>
  <c r="Z297" i="2"/>
  <c r="Y322" i="2"/>
  <c r="Y329" i="2"/>
  <c r="Y328" i="2"/>
  <c r="BN325" i="2"/>
  <c r="BP325" i="2"/>
  <c r="Z325" i="2"/>
  <c r="Y445" i="2"/>
  <c r="BN444" i="2"/>
  <c r="Z444" i="2"/>
  <c r="BN459" i="2"/>
  <c r="BP459" i="2"/>
  <c r="Z459" i="2"/>
  <c r="BN484" i="2"/>
  <c r="BP484" i="2"/>
  <c r="Z484" i="2"/>
  <c r="F9" i="2"/>
  <c r="H9" i="2"/>
  <c r="BN22" i="2"/>
  <c r="X546" i="2"/>
  <c r="BN26" i="2"/>
  <c r="BN40" i="2"/>
  <c r="BN46" i="2"/>
  <c r="BN61" i="2"/>
  <c r="Y63" i="2"/>
  <c r="BP68" i="2"/>
  <c r="BN85" i="2"/>
  <c r="BP102" i="2"/>
  <c r="BN106" i="2"/>
  <c r="BN115" i="2"/>
  <c r="BN122" i="2"/>
  <c r="J556" i="2"/>
  <c r="BP159" i="2"/>
  <c r="Y169" i="2"/>
  <c r="Y182" i="2"/>
  <c r="BP174" i="2"/>
  <c r="Y181" i="2"/>
  <c r="BP233" i="2"/>
  <c r="BN233" i="2"/>
  <c r="Z233" i="2"/>
  <c r="BP261" i="2"/>
  <c r="BN261" i="2"/>
  <c r="Z261" i="2"/>
  <c r="BN319" i="2"/>
  <c r="BP319" i="2"/>
  <c r="Z319" i="2"/>
  <c r="BN334" i="2"/>
  <c r="BP334" i="2"/>
  <c r="Z334" i="2"/>
  <c r="BP340" i="2"/>
  <c r="BN340" i="2"/>
  <c r="Z340" i="2"/>
  <c r="Z505" i="2"/>
  <c r="BN505" i="2"/>
  <c r="A10" i="2"/>
  <c r="X548" i="2"/>
  <c r="BP54" i="2"/>
  <c r="BP58" i="2"/>
  <c r="BP65" i="2"/>
  <c r="BN67" i="2"/>
  <c r="BN78" i="2"/>
  <c r="Z79" i="2"/>
  <c r="F556" i="2"/>
  <c r="BN96" i="2"/>
  <c r="BN101" i="2"/>
  <c r="BP112" i="2"/>
  <c r="Z121" i="2"/>
  <c r="Y124" i="2"/>
  <c r="BP141" i="2"/>
  <c r="Y151" i="2"/>
  <c r="Z148" i="2"/>
  <c r="Y155" i="2"/>
  <c r="Z167" i="2"/>
  <c r="BN171" i="2"/>
  <c r="Z172" i="2"/>
  <c r="BP172" i="2"/>
  <c r="Z174" i="2"/>
  <c r="Y245" i="2"/>
  <c r="Y246" i="2"/>
  <c r="Z244" i="2"/>
  <c r="Z245" i="2" s="1"/>
  <c r="BN255" i="2"/>
  <c r="BP255" i="2"/>
  <c r="Z255" i="2"/>
  <c r="BN263" i="2"/>
  <c r="BP263" i="2"/>
  <c r="BP271" i="2"/>
  <c r="BN271" i="2"/>
  <c r="Z271" i="2"/>
  <c r="Y288" i="2"/>
  <c r="BP292" i="2"/>
  <c r="BN292" i="2"/>
  <c r="Z292" i="2"/>
  <c r="Y307" i="2"/>
  <c r="BN305" i="2"/>
  <c r="Y306" i="2"/>
  <c r="Z305" i="2"/>
  <c r="Z306" i="2" s="1"/>
  <c r="BN382" i="2"/>
  <c r="Z382" i="2"/>
  <c r="BN400" i="2"/>
  <c r="BP400" i="2"/>
  <c r="Z400" i="2"/>
  <c r="BP423" i="2"/>
  <c r="Z423" i="2"/>
  <c r="BP73" i="2"/>
  <c r="BP122" i="2"/>
  <c r="BP218" i="2"/>
  <c r="Z218" i="2"/>
  <c r="BN222" i="2"/>
  <c r="BP222" i="2"/>
  <c r="Z222" i="2"/>
  <c r="Y257" i="2"/>
  <c r="BP266" i="2"/>
  <c r="BN266" i="2"/>
  <c r="Z266" i="2"/>
  <c r="BN273" i="2"/>
  <c r="BP273" i="2"/>
  <c r="Y287" i="2"/>
  <c r="BN286" i="2"/>
  <c r="Z286" i="2"/>
  <c r="BN294" i="2"/>
  <c r="BP294" i="2"/>
  <c r="Z346" i="2"/>
  <c r="BN346" i="2"/>
  <c r="Z357" i="2"/>
  <c r="BN357" i="2"/>
  <c r="Z367" i="2"/>
  <c r="BN367" i="2"/>
  <c r="V556" i="2"/>
  <c r="Y416" i="2"/>
  <c r="BN412" i="2"/>
  <c r="Y415" i="2"/>
  <c r="BP412" i="2"/>
  <c r="Z412" i="2"/>
  <c r="BN425" i="2"/>
  <c r="BP425" i="2"/>
  <c r="Z425" i="2"/>
  <c r="Y446" i="2"/>
  <c r="BP450" i="2"/>
  <c r="BN450" i="2"/>
  <c r="Z450" i="2"/>
  <c r="BP498" i="2"/>
  <c r="BN498" i="2"/>
  <c r="BP219" i="2"/>
  <c r="BP224" i="2"/>
  <c r="Y267" i="2"/>
  <c r="Y282" i="2"/>
  <c r="Y298" i="2"/>
  <c r="Y312" i="2"/>
  <c r="BP316" i="2"/>
  <c r="BP327" i="2"/>
  <c r="Y428" i="2"/>
  <c r="Y451" i="2"/>
  <c r="Z180" i="2"/>
  <c r="BP199" i="2"/>
  <c r="BN202" i="2"/>
  <c r="BP210" i="2"/>
  <c r="Z217" i="2"/>
  <c r="Z219" i="2"/>
  <c r="BP220" i="2"/>
  <c r="BN223" i="2"/>
  <c r="Z232" i="2"/>
  <c r="Y242" i="2"/>
  <c r="Z260" i="2"/>
  <c r="BP260" i="2"/>
  <c r="BP262" i="2"/>
  <c r="Z265" i="2"/>
  <c r="Z270" i="2"/>
  <c r="BP270" i="2"/>
  <c r="BP272" i="2"/>
  <c r="Z275" i="2"/>
  <c r="Z285" i="2"/>
  <c r="BP285" i="2"/>
  <c r="Z291" i="2"/>
  <c r="BP291" i="2"/>
  <c r="BP293" i="2"/>
  <c r="Z296" i="2"/>
  <c r="Z301" i="2"/>
  <c r="Z302" i="2" s="1"/>
  <c r="BP301" i="2"/>
  <c r="Z309" i="2"/>
  <c r="Z311" i="2" s="1"/>
  <c r="BN315" i="2"/>
  <c r="Z316" i="2"/>
  <c r="BP317" i="2"/>
  <c r="BN320" i="2"/>
  <c r="BN326" i="2"/>
  <c r="Z327" i="2"/>
  <c r="Z347" i="2"/>
  <c r="Z358" i="2"/>
  <c r="Z368" i="2"/>
  <c r="BN380" i="2"/>
  <c r="Z386" i="2"/>
  <c r="BN394" i="2"/>
  <c r="Z420" i="2"/>
  <c r="Z424" i="2"/>
  <c r="Z443" i="2"/>
  <c r="BP443" i="2"/>
  <c r="Z449" i="2"/>
  <c r="Z451" i="2" s="1"/>
  <c r="BP449" i="2"/>
  <c r="BP458" i="2"/>
  <c r="Z469" i="2"/>
  <c r="Z471" i="2"/>
  <c r="Z480" i="2"/>
  <c r="Z481" i="2" s="1"/>
  <c r="Z494" i="2"/>
  <c r="Z496" i="2"/>
  <c r="BP184" i="2"/>
  <c r="BN203" i="2"/>
  <c r="BN224" i="2"/>
  <c r="BP239" i="2"/>
  <c r="BN250" i="2"/>
  <c r="Y299" i="2"/>
  <c r="Y321" i="2"/>
  <c r="Y384" i="2"/>
  <c r="Z387" i="2"/>
  <c r="Z389" i="2"/>
  <c r="Y397" i="2"/>
  <c r="Z414" i="2"/>
  <c r="Z427" i="2"/>
  <c r="Z432" i="2"/>
  <c r="Z468" i="2"/>
  <c r="BP470" i="2"/>
  <c r="BP475" i="2"/>
  <c r="Y477" i="2"/>
  <c r="Z493" i="2"/>
  <c r="BP495" i="2"/>
  <c r="Z504" i="2"/>
  <c r="BN509" i="2"/>
  <c r="Z514" i="2"/>
  <c r="Y31" i="2"/>
  <c r="BP119" i="2"/>
  <c r="Y133" i="2"/>
  <c r="BP142" i="2"/>
  <c r="BP166" i="2"/>
  <c r="BP176" i="2"/>
  <c r="BP200" i="2"/>
  <c r="BP221" i="2"/>
  <c r="BP231" i="2"/>
  <c r="BP254" i="2"/>
  <c r="BP264" i="2"/>
  <c r="BP274" i="2"/>
  <c r="Y283" i="2"/>
  <c r="BP295" i="2"/>
  <c r="BP318" i="2"/>
  <c r="BP354" i="2"/>
  <c r="BP364" i="2"/>
  <c r="BP374" i="2"/>
  <c r="BP407" i="2"/>
  <c r="Y441" i="2"/>
  <c r="BP467" i="2"/>
  <c r="Y481" i="2"/>
  <c r="BP492" i="2"/>
  <c r="Y501" i="2"/>
  <c r="Z510" i="2"/>
  <c r="BP512" i="2"/>
  <c r="Y539" i="2"/>
  <c r="K556" i="2"/>
  <c r="Z77" i="2"/>
  <c r="Z88" i="2"/>
  <c r="Y50" i="2"/>
  <c r="Y138" i="2"/>
  <c r="Y206" i="2"/>
  <c r="Y227" i="2"/>
  <c r="Y360" i="2"/>
  <c r="BN515" i="2"/>
  <c r="BN529" i="2"/>
  <c r="L556" i="2"/>
  <c r="Y194" i="2"/>
  <c r="Y349" i="2"/>
  <c r="Y370" i="2"/>
  <c r="Y402" i="2"/>
  <c r="Y461" i="2"/>
  <c r="Z26" i="2"/>
  <c r="Z38" i="2"/>
  <c r="Z61" i="2"/>
  <c r="Z84" i="2"/>
  <c r="Z94" i="2"/>
  <c r="Z105" i="2"/>
  <c r="Z115" i="2"/>
  <c r="Y128" i="2"/>
  <c r="Y143" i="2"/>
  <c r="Y152" i="2"/>
  <c r="Z162" i="2"/>
  <c r="Z250" i="2"/>
  <c r="Z280" i="2"/>
  <c r="BP305" i="2"/>
  <c r="Y408" i="2"/>
  <c r="BP420" i="2"/>
  <c r="Y429" i="2"/>
  <c r="Z438" i="2"/>
  <c r="Y452" i="2"/>
  <c r="Z486" i="2"/>
  <c r="Z498" i="2"/>
  <c r="Y523" i="2"/>
  <c r="Y535" i="2"/>
  <c r="M556" i="2"/>
  <c r="Y32" i="2"/>
  <c r="BN89" i="2"/>
  <c r="Y134" i="2"/>
  <c r="BP179" i="2"/>
  <c r="BN189" i="2"/>
  <c r="BP203" i="2"/>
  <c r="BN214" i="2"/>
  <c r="BP234" i="2"/>
  <c r="BN244" i="2"/>
  <c r="BP277" i="2"/>
  <c r="BP310" i="2"/>
  <c r="BN333" i="2"/>
  <c r="Y336" i="2"/>
  <c r="BP346" i="2"/>
  <c r="BP357" i="2"/>
  <c r="BP367" i="2"/>
  <c r="BN387" i="2"/>
  <c r="Y390" i="2"/>
  <c r="BP399" i="2"/>
  <c r="BN423" i="2"/>
  <c r="BN433" i="2"/>
  <c r="Y482" i="2"/>
  <c r="BP515" i="2"/>
  <c r="BP529" i="2"/>
  <c r="Y540" i="2"/>
  <c r="O556" i="2"/>
  <c r="Z30" i="2"/>
  <c r="Y97" i="2"/>
  <c r="Y108" i="2"/>
  <c r="Y207" i="2"/>
  <c r="Y350" i="2"/>
  <c r="Y361" i="2"/>
  <c r="Y371" i="2"/>
  <c r="Y403" i="2"/>
  <c r="Y462" i="2"/>
  <c r="P556" i="2"/>
  <c r="Y41" i="2"/>
  <c r="Y51" i="2"/>
  <c r="Y139" i="2"/>
  <c r="Y228" i="2"/>
  <c r="Z29" i="2"/>
  <c r="Y69" i="2"/>
  <c r="Z87" i="2"/>
  <c r="Y123" i="2"/>
  <c r="Z131" i="2"/>
  <c r="Y144" i="2"/>
  <c r="Z154" i="2"/>
  <c r="Z155" i="2" s="1"/>
  <c r="BP189" i="2"/>
  <c r="Y235" i="2"/>
  <c r="BP244" i="2"/>
  <c r="Y311" i="2"/>
  <c r="Z341" i="2"/>
  <c r="Z395" i="2"/>
  <c r="Y409" i="2"/>
  <c r="Z421" i="2"/>
  <c r="Z431" i="2"/>
  <c r="Z454" i="2"/>
  <c r="Z455" i="2" s="1"/>
  <c r="Y506" i="2"/>
  <c r="Y516" i="2"/>
  <c r="Z525" i="2"/>
  <c r="Z526" i="2" s="1"/>
  <c r="Y530" i="2"/>
  <c r="Z537" i="2"/>
  <c r="Q556" i="2"/>
  <c r="Y337" i="2"/>
  <c r="Y391" i="2"/>
  <c r="Z543" i="2"/>
  <c r="Z544" i="2" s="1"/>
  <c r="R556" i="2"/>
  <c r="Y195" i="2"/>
  <c r="Y74" i="2"/>
  <c r="BP84" i="2"/>
  <c r="BN29" i="2"/>
  <c r="Y42" i="2"/>
  <c r="Z54" i="2"/>
  <c r="BN87" i="2"/>
  <c r="Y90" i="2"/>
  <c r="Y98" i="2"/>
  <c r="Y109" i="2"/>
  <c r="BN131" i="2"/>
  <c r="Z141" i="2"/>
  <c r="BN154" i="2"/>
  <c r="Z175" i="2"/>
  <c r="Z185" i="2"/>
  <c r="Z199" i="2"/>
  <c r="Z210" i="2"/>
  <c r="Z211" i="2" s="1"/>
  <c r="Z220" i="2"/>
  <c r="Z230" i="2"/>
  <c r="Z240" i="2"/>
  <c r="Z241" i="2" s="1"/>
  <c r="Z263" i="2"/>
  <c r="Z273" i="2"/>
  <c r="Z294" i="2"/>
  <c r="Z317" i="2"/>
  <c r="BN341" i="2"/>
  <c r="Z353" i="2"/>
  <c r="Z363" i="2"/>
  <c r="Z373" i="2"/>
  <c r="BN395" i="2"/>
  <c r="Z406" i="2"/>
  <c r="BN421" i="2"/>
  <c r="BN431" i="2"/>
  <c r="Y434" i="2"/>
  <c r="BN454" i="2"/>
  <c r="Z466" i="2"/>
  <c r="Z511" i="2"/>
  <c r="BN525" i="2"/>
  <c r="BN537" i="2"/>
  <c r="S556" i="2"/>
  <c r="Y116" i="2"/>
  <c r="Y487" i="2"/>
  <c r="BN543" i="2"/>
  <c r="T556" i="2"/>
  <c r="Y62" i="2"/>
  <c r="Y163" i="2"/>
  <c r="Y251" i="2"/>
  <c r="Z27" i="2"/>
  <c r="Z39" i="2"/>
  <c r="BN54" i="2"/>
  <c r="Y75" i="2"/>
  <c r="Z85" i="2"/>
  <c r="Z95" i="2"/>
  <c r="Z106" i="2"/>
  <c r="BP131" i="2"/>
  <c r="BP154" i="2"/>
  <c r="Y168" i="2"/>
  <c r="BN185" i="2"/>
  <c r="BN210" i="2"/>
  <c r="Y256" i="2"/>
  <c r="Z281" i="2"/>
  <c r="Z339" i="2"/>
  <c r="BN373" i="2"/>
  <c r="Z393" i="2"/>
  <c r="BN406" i="2"/>
  <c r="BP431" i="2"/>
  <c r="Z439" i="2"/>
  <c r="BP454" i="2"/>
  <c r="BN466" i="2"/>
  <c r="Z499" i="2"/>
  <c r="BN511" i="2"/>
  <c r="BP525" i="2"/>
  <c r="B556" i="2"/>
  <c r="Y91" i="2"/>
  <c r="BP543" i="2"/>
  <c r="Y117" i="2"/>
  <c r="Y164" i="2"/>
  <c r="Y252" i="2"/>
  <c r="BN281" i="2"/>
  <c r="BN339" i="2"/>
  <c r="Y342" i="2"/>
  <c r="BN393" i="2"/>
  <c r="Y396" i="2"/>
  <c r="BN439" i="2"/>
  <c r="Y455" i="2"/>
  <c r="Y488" i="2"/>
  <c r="BN499" i="2"/>
  <c r="Z509" i="2"/>
  <c r="Z521" i="2"/>
  <c r="Z522" i="2" s="1"/>
  <c r="Y526" i="2"/>
  <c r="Z533" i="2"/>
  <c r="Z534" i="2" s="1"/>
  <c r="D556" i="2"/>
  <c r="W556" i="2"/>
  <c r="BN514" i="2"/>
  <c r="Z538" i="2"/>
  <c r="Y544" i="2"/>
  <c r="X556" i="2"/>
  <c r="Z49" i="2"/>
  <c r="Z93" i="2"/>
  <c r="Z104" i="2"/>
  <c r="Z114" i="2"/>
  <c r="BP339" i="2"/>
  <c r="Z348" i="2"/>
  <c r="Z359" i="2"/>
  <c r="Z369" i="2"/>
  <c r="BP393" i="2"/>
  <c r="Z401" i="2"/>
  <c r="Z437" i="2"/>
  <c r="Z460" i="2"/>
  <c r="Z485" i="2"/>
  <c r="Z497" i="2"/>
  <c r="Y556" i="2"/>
  <c r="BN72" i="2"/>
  <c r="Z161" i="2"/>
  <c r="Y211" i="2"/>
  <c r="Y241" i="2"/>
  <c r="Z249" i="2"/>
  <c r="Z279" i="2"/>
  <c r="Y23" i="2"/>
  <c r="BN30" i="2"/>
  <c r="Z55" i="2"/>
  <c r="Z65" i="2"/>
  <c r="BN77" i="2"/>
  <c r="Y80" i="2"/>
  <c r="BN88" i="2"/>
  <c r="BP101" i="2"/>
  <c r="Z119" i="2"/>
  <c r="BN132" i="2"/>
  <c r="Z142" i="2"/>
  <c r="Z166" i="2"/>
  <c r="Z176" i="2"/>
  <c r="Z200" i="2"/>
  <c r="Z221" i="2"/>
  <c r="Z231" i="2"/>
  <c r="Z254" i="2"/>
  <c r="Z264" i="2"/>
  <c r="Z274" i="2"/>
  <c r="BP286" i="2"/>
  <c r="Z295" i="2"/>
  <c r="Z318" i="2"/>
  <c r="BN332" i="2"/>
  <c r="Z354" i="2"/>
  <c r="Z364" i="2"/>
  <c r="Z374" i="2"/>
  <c r="BN386" i="2"/>
  <c r="Z407" i="2"/>
  <c r="BN422" i="2"/>
  <c r="BN432" i="2"/>
  <c r="BP444" i="2"/>
  <c r="Z467" i="2"/>
  <c r="BN480" i="2"/>
  <c r="Z492" i="2"/>
  <c r="Z512" i="2"/>
  <c r="BN538" i="2"/>
  <c r="Z556" i="2"/>
  <c r="Z60" i="2"/>
  <c r="BN126" i="2"/>
  <c r="Z137" i="2"/>
  <c r="BN150" i="2"/>
  <c r="Y186" i="2"/>
  <c r="Z193" i="2"/>
  <c r="Z194" i="2" s="1"/>
  <c r="Z205" i="2"/>
  <c r="BN218" i="2"/>
  <c r="Z226" i="2"/>
  <c r="BN238" i="2"/>
  <c r="BN37" i="2"/>
  <c r="BN49" i="2"/>
  <c r="BN60" i="2"/>
  <c r="BN93" i="2"/>
  <c r="BN104" i="2"/>
  <c r="BN114" i="2"/>
  <c r="BP126" i="2"/>
  <c r="BN137" i="2"/>
  <c r="BN161" i="2"/>
  <c r="BP173" i="2"/>
  <c r="BN193" i="2"/>
  <c r="BN205" i="2"/>
  <c r="BN226" i="2"/>
  <c r="BP238" i="2"/>
  <c r="BN249" i="2"/>
  <c r="BN279" i="2"/>
  <c r="BP315" i="2"/>
  <c r="BN348" i="2"/>
  <c r="BN359" i="2"/>
  <c r="BN369" i="2"/>
  <c r="BN401" i="2"/>
  <c r="BN437" i="2"/>
  <c r="Y440" i="2"/>
  <c r="BN460" i="2"/>
  <c r="BN485" i="2"/>
  <c r="BN497" i="2"/>
  <c r="Y500" i="2"/>
  <c r="BP521" i="2"/>
  <c r="BP533" i="2"/>
  <c r="Y545" i="2"/>
  <c r="AA556" i="2"/>
  <c r="BP77" i="2"/>
  <c r="I556" i="2"/>
  <c r="AB556" i="2"/>
  <c r="Z37" i="2"/>
  <c r="Z159" i="2"/>
  <c r="Z383" i="2" l="1"/>
  <c r="Z74" i="2"/>
  <c r="Z151" i="2"/>
  <c r="Z336" i="2"/>
  <c r="Z138" i="2"/>
  <c r="Z168" i="2"/>
  <c r="Z50" i="2"/>
  <c r="Z256" i="2"/>
  <c r="Z123" i="2"/>
  <c r="Z461" i="2"/>
  <c r="Z402" i="2"/>
  <c r="Z133" i="2"/>
  <c r="Z287" i="2"/>
  <c r="X549" i="2"/>
  <c r="Z41" i="2"/>
  <c r="Z69" i="2"/>
  <c r="Z487" i="2"/>
  <c r="Z440" i="2"/>
  <c r="Z186" i="2"/>
  <c r="Z434" i="2"/>
  <c r="Z80" i="2"/>
  <c r="Y548" i="2"/>
  <c r="Z251" i="2"/>
  <c r="Z349" i="2"/>
  <c r="Z116" i="2"/>
  <c r="Z428" i="2"/>
  <c r="Z445" i="2"/>
  <c r="Z267" i="2"/>
  <c r="Z415" i="2"/>
  <c r="Z321" i="2"/>
  <c r="Y547" i="2"/>
  <c r="Z328" i="2"/>
  <c r="Z108" i="2"/>
  <c r="Z298" i="2"/>
  <c r="Z235" i="2"/>
  <c r="Z282" i="2"/>
  <c r="Z227" i="2"/>
  <c r="Z181" i="2"/>
  <c r="Z62" i="2"/>
  <c r="Y546" i="2"/>
  <c r="Z31" i="2"/>
  <c r="Z390" i="2"/>
  <c r="Z506" i="2"/>
  <c r="Z90" i="2"/>
  <c r="Z206" i="2"/>
  <c r="Z516" i="2"/>
  <c r="Z163" i="2"/>
  <c r="Z539" i="2"/>
  <c r="Z408" i="2"/>
  <c r="Z143" i="2"/>
  <c r="Y550" i="2"/>
  <c r="Z377" i="2"/>
  <c r="Z396" i="2"/>
  <c r="Z370" i="2"/>
  <c r="Z472" i="2"/>
  <c r="Z97" i="2"/>
  <c r="Z360" i="2"/>
  <c r="Z500" i="2"/>
  <c r="Z342" i="2"/>
  <c r="Y549" i="2" l="1"/>
  <c r="Z551" i="2"/>
</calcChain>
</file>

<file path=xl/sharedStrings.xml><?xml version="1.0" encoding="utf-8"?>
<sst xmlns="http://schemas.openxmlformats.org/spreadsheetml/2006/main" count="4125" uniqueCount="875">
  <si>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</si>
  <si>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</si>
  <si>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</si>
  <si>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</si>
  <si>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</si>
  <si>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</si>
  <si>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</si>
  <si>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</si>
  <si>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</si>
  <si>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</si>
  <si>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</si>
  <si>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</si>
  <si>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</si>
  <si>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</si>
  <si>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</si>
  <si>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</si>
  <si>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</si>
  <si>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</si>
  <si>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</si>
  <si>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</si>
  <si>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</si>
  <si>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</si>
  <si>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</si>
  <si>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</si>
  <si>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</si>
  <si>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</si>
  <si>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</si>
  <si>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</si>
  <si>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</si>
  <si>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</si>
  <si>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</si>
  <si>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</si>
  <si>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</si>
  <si>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</si>
  <si>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</si>
  <si>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</si>
  <si>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</si>
  <si>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</si>
  <si>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</si>
  <si>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</si>
  <si>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</si>
  <si>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</si>
  <si>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</si>
  <si>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</si>
  <si>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</si>
  <si>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</si>
  <si>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</si>
  <si>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</si>
  <si>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</si>
  <si>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</si>
  <si>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</si>
  <si>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</si>
  <si>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</si>
  <si>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</si>
  <si>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</si>
  <si>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</si>
  <si>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</si>
  <si>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</si>
  <si>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</si>
  <si>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</si>
  <si>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</si>
  <si>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</si>
  <si>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</si>
  <si>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</si>
  <si>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</si>
  <si>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</si>
  <si>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</si>
  <si>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</si>
  <si>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12.10.2026</t>
  </si>
  <si>
    <t>06.10.2026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</si>
  <si>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</si>
  <si>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</si>
  <si>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</si>
  <si>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</si>
  <si>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</si>
  <si>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</si>
  <si>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</si>
  <si>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</si>
  <si>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</si>
  <si>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</si>
  <si>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</si>
  <si>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</si>
  <si>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</si>
  <si>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</si>
  <si>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</si>
  <si>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</si>
  <si>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</si>
  <si>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</si>
  <si>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</si>
  <si>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</si>
  <si>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</si>
  <si>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</si>
  <si>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</si>
  <si>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</si>
  <si>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</si>
  <si>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</si>
  <si>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</si>
  <si>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</si>
  <si>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</si>
  <si>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</si>
  <si>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</si>
  <si>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</si>
  <si>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</si>
  <si>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</si>
  <si>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</si>
  <si>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</si>
  <si>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</si>
  <si>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</si>
  <si>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</si>
  <si>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</si>
  <si>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</si>
  <si>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</si>
  <si>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</si>
  <si>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</si>
  <si>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</si>
  <si>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</si>
  <si>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</si>
  <si>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</si>
  <si>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</si>
  <si>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</si>
  <si>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</si>
  <si>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</si>
  <si>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</si>
  <si>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</si>
  <si>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</si>
  <si>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</si>
  <si>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</si>
  <si>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</si>
  <si>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</si>
  <si>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</si>
  <si>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</si>
  <si>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</si>
  <si>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</si>
  <si>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</si>
  <si>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</si>
  <si>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</si>
  <si>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</si>
  <si>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</si>
  <si>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</si>
  <si>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</si>
  <si>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</si>
  <si>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</si>
  <si>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</si>
  <si>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</si>
  <si>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</si>
  <si>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</si>
  <si>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</si>
  <si>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</si>
  <si>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</si>
  <si>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</si>
  <si>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</si>
  <si>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</si>
  <si>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</si>
  <si>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</si>
  <si>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</si>
  <si>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</si>
  <si>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</si>
  <si>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</si>
  <si>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</si>
  <si>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</si>
  <si>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</si>
  <si>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</si>
  <si>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</si>
  <si>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</si>
  <si>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</si>
  <si>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</si>
  <si>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</si>
  <si>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</si>
  <si>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</si>
  <si>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</si>
  <si>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</si>
  <si>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</si>
  <si>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</si>
  <si>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</si>
  <si>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</si>
  <si>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</si>
  <si>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</si>
  <si>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</si>
  <si>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</si>
  <si>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</si>
  <si>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</si>
  <si>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</si>
  <si>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</si>
  <si>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</si>
  <si>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</si>
  <si>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</si>
  <si>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</si>
  <si>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</si>
  <si>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</si>
  <si>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</si>
  <si>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</si>
  <si>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</si>
  <si>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</si>
  <si>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</si>
  <si>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</si>
  <si>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</si>
  <si>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</si>
  <si>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</si>
  <si>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</si>
  <si>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</si>
  <si>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</si>
  <si>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</si>
  <si>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</si>
  <si>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</si>
  <si>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</si>
  <si>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</si>
  <si>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</si>
  <si>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</si>
  <si>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</si>
  <si>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</si>
  <si>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</si>
  <si>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</si>
  <si>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</si>
  <si>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</si>
  <si>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</si>
  <si>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</si>
  <si>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</si>
  <si>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</si>
  <si>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</si>
  <si>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</si>
  <si>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</si>
  <si>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</si>
  <si>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</si>
  <si>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</si>
  <si>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</si>
  <si>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16.10.2026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</si>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</sst>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65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6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0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topLeftCell="A283" zoomScaleNormal="100" zoomScaleSheetLayoutView="100" workbookViewId="0">
      <selection activeCell="X421" sqref="X42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72" t="s">
        <v>26</v>
      </c>
      <c r="E1" s="972"/>
      <c r="F1" s="972"/>
      <c r="G1" s="14" t="s">
        <v>67</v>
      </c>
      <c r="H1" s="972" t="s">
        <v>47</v>
      </c>
      <c r="I1" s="972"/>
      <c r="J1" s="972"/>
      <c r="K1" s="972"/>
      <c r="L1" s="972"/>
      <c r="M1" s="972"/>
      <c r="N1" s="972"/>
      <c r="O1" s="972"/>
      <c r="P1" s="972"/>
      <c r="Q1" s="972"/>
      <c r="R1" s="973" t="s">
        <v>68</v>
      </c>
      <c r="S1" s="974"/>
      <c r="T1" s="97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7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5"/>
      <c r="R2" s="975"/>
      <c r="S2" s="975"/>
      <c r="T2" s="975"/>
      <c r="U2" s="975"/>
      <c r="V2" s="975"/>
      <c r="W2" s="97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75"/>
      <c r="Q3" s="975"/>
      <c r="R3" s="975"/>
      <c r="S3" s="975"/>
      <c r="T3" s="975"/>
      <c r="U3" s="975"/>
      <c r="V3" s="975"/>
      <c r="W3" s="97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54" t="s">
        <v>8</v>
      </c>
      <c r="B5" s="954"/>
      <c r="C5" s="954"/>
      <c r="D5" s="976"/>
      <c r="E5" s="976"/>
      <c r="F5" s="977" t="s">
        <v>14</v>
      </c>
      <c r="G5" s="977"/>
      <c r="H5" s="976"/>
      <c r="I5" s="976"/>
      <c r="J5" s="976"/>
      <c r="K5" s="976"/>
      <c r="L5" s="976"/>
      <c r="M5" s="976"/>
      <c r="N5" s="72"/>
      <c r="P5" s="27" t="s">
        <v>4</v>
      </c>
      <c r="Q5" s="978">
        <v>46310</v>
      </c>
      <c r="R5" s="978"/>
      <c r="T5" s="979" t="s">
        <v>3</v>
      </c>
      <c r="U5" s="980"/>
      <c r="V5" s="981" t="s">
        <v>851</v>
      </c>
      <c r="W5" s="982"/>
      <c r="AB5" s="59"/>
      <c r="AC5" s="59"/>
      <c r="AD5" s="59"/>
      <c r="AE5" s="59"/>
    </row>
    <row r="6" spans="1:32" s="17" customFormat="1" ht="24" customHeight="1" x14ac:dyDescent="0.2">
      <c r="A6" s="954" t="s">
        <v>1</v>
      </c>
      <c r="B6" s="954"/>
      <c r="C6" s="954"/>
      <c r="D6" s="955" t="s">
        <v>858</v>
      </c>
      <c r="E6" s="955"/>
      <c r="F6" s="955"/>
      <c r="G6" s="955"/>
      <c r="H6" s="955"/>
      <c r="I6" s="955"/>
      <c r="J6" s="955"/>
      <c r="K6" s="955"/>
      <c r="L6" s="955"/>
      <c r="M6" s="955"/>
      <c r="N6" s="73"/>
      <c r="P6" s="27" t="s">
        <v>27</v>
      </c>
      <c r="Q6" s="956" t="str">
        <f>IF(Q5=0," ",CHOOSE(WEEKDAY(Q5,2),"Понедельник","Вторник","Среда","Четверг","Пятница","Суббота","Воскресенье"))</f>
        <v>Четверг</v>
      </c>
      <c r="R6" s="956"/>
      <c r="T6" s="957" t="s">
        <v>5</v>
      </c>
      <c r="U6" s="958"/>
      <c r="V6" s="959" t="s">
        <v>70</v>
      </c>
      <c r="W6" s="96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65" t="str">
        <f>IFERROR(VLOOKUP(DeliveryAddress,Table,3,0),1)</f>
        <v>3</v>
      </c>
      <c r="E7" s="966"/>
      <c r="F7" s="966"/>
      <c r="G7" s="966"/>
      <c r="H7" s="966"/>
      <c r="I7" s="966"/>
      <c r="J7" s="966"/>
      <c r="K7" s="966"/>
      <c r="L7" s="966"/>
      <c r="M7" s="967"/>
      <c r="N7" s="74"/>
      <c r="P7" s="29"/>
      <c r="Q7" s="48"/>
      <c r="R7" s="48"/>
      <c r="T7" s="957"/>
      <c r="U7" s="958"/>
      <c r="V7" s="961"/>
      <c r="W7" s="962"/>
      <c r="AB7" s="59"/>
      <c r="AC7" s="59"/>
      <c r="AD7" s="59"/>
      <c r="AE7" s="59"/>
    </row>
    <row r="8" spans="1:32" s="17" customFormat="1" ht="25.5" customHeight="1" x14ac:dyDescent="0.2">
      <c r="A8" s="968" t="s">
        <v>58</v>
      </c>
      <c r="B8" s="968"/>
      <c r="C8" s="968"/>
      <c r="D8" s="969"/>
      <c r="E8" s="969"/>
      <c r="F8" s="969"/>
      <c r="G8" s="969"/>
      <c r="H8" s="969"/>
      <c r="I8" s="969"/>
      <c r="J8" s="969"/>
      <c r="K8" s="969"/>
      <c r="L8" s="969"/>
      <c r="M8" s="969"/>
      <c r="N8" s="75"/>
      <c r="P8" s="27" t="s">
        <v>11</v>
      </c>
      <c r="Q8" s="952">
        <v>0.41666666666666669</v>
      </c>
      <c r="R8" s="952"/>
      <c r="T8" s="957"/>
      <c r="U8" s="958"/>
      <c r="V8" s="961"/>
      <c r="W8" s="962"/>
      <c r="AB8" s="59"/>
      <c r="AC8" s="59"/>
      <c r="AD8" s="59"/>
      <c r="AE8" s="59"/>
    </row>
    <row r="9" spans="1:32" s="17" customFormat="1" ht="39.950000000000003" customHeight="1" x14ac:dyDescent="0.2">
      <c r="A9" s="94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44"/>
      <c r="C9" s="944"/>
      <c r="D9" s="945" t="s">
        <v>46</v>
      </c>
      <c r="E9" s="946"/>
      <c r="F9" s="94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44"/>
      <c r="H9" s="970" t="str">
        <f>IF(AND($A$9="Тип доверенности/получателя при получении в адресе перегруза:",$D$9="Разовая доверенность"),"Введите ФИО","")</f>
        <v/>
      </c>
      <c r="I9" s="970"/>
      <c r="J9" s="9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70"/>
      <c r="L9" s="970"/>
      <c r="M9" s="970"/>
      <c r="N9" s="70"/>
      <c r="P9" s="31" t="s">
        <v>15</v>
      </c>
      <c r="Q9" s="971"/>
      <c r="R9" s="971"/>
      <c r="T9" s="957"/>
      <c r="U9" s="958"/>
      <c r="V9" s="963"/>
      <c r="W9" s="96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4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44"/>
      <c r="C10" s="944"/>
      <c r="D10" s="945"/>
      <c r="E10" s="946"/>
      <c r="F10" s="94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44"/>
      <c r="H10" s="947" t="str">
        <f>IFERROR(VLOOKUP($D$10,Proxy,2,FALSE),"")</f>
        <v/>
      </c>
      <c r="I10" s="947"/>
      <c r="J10" s="947"/>
      <c r="K10" s="947"/>
      <c r="L10" s="947"/>
      <c r="M10" s="947"/>
      <c r="N10" s="71"/>
      <c r="P10" s="31" t="s">
        <v>32</v>
      </c>
      <c r="Q10" s="948"/>
      <c r="R10" s="948"/>
      <c r="U10" s="29" t="s">
        <v>12</v>
      </c>
      <c r="V10" s="949" t="s">
        <v>71</v>
      </c>
      <c r="W10" s="95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51"/>
      <c r="R11" s="951"/>
      <c r="U11" s="29" t="s">
        <v>28</v>
      </c>
      <c r="V11" s="930" t="s">
        <v>55</v>
      </c>
      <c r="W11" s="93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29" t="s">
        <v>72</v>
      </c>
      <c r="B12" s="929"/>
      <c r="C12" s="929"/>
      <c r="D12" s="929"/>
      <c r="E12" s="929"/>
      <c r="F12" s="929"/>
      <c r="G12" s="929"/>
      <c r="H12" s="929"/>
      <c r="I12" s="929"/>
      <c r="J12" s="929"/>
      <c r="K12" s="929"/>
      <c r="L12" s="929"/>
      <c r="M12" s="929"/>
      <c r="N12" s="76"/>
      <c r="P12" s="27" t="s">
        <v>30</v>
      </c>
      <c r="Q12" s="952"/>
      <c r="R12" s="952"/>
      <c r="S12" s="28"/>
      <c r="T12"/>
      <c r="U12" s="29" t="s">
        <v>46</v>
      </c>
      <c r="V12" s="953"/>
      <c r="W12" s="953"/>
      <c r="X12"/>
      <c r="AB12" s="59"/>
      <c r="AC12" s="59"/>
      <c r="AD12" s="59"/>
      <c r="AE12" s="59"/>
    </row>
    <row r="13" spans="1:32" s="17" customFormat="1" ht="23.25" customHeight="1" x14ac:dyDescent="0.2">
      <c r="A13" s="929" t="s">
        <v>73</v>
      </c>
      <c r="B13" s="929"/>
      <c r="C13" s="929"/>
      <c r="D13" s="929"/>
      <c r="E13" s="929"/>
      <c r="F13" s="929"/>
      <c r="G13" s="929"/>
      <c r="H13" s="929"/>
      <c r="I13" s="929"/>
      <c r="J13" s="929"/>
      <c r="K13" s="929"/>
      <c r="L13" s="929"/>
      <c r="M13" s="929"/>
      <c r="N13" s="76"/>
      <c r="O13" s="31"/>
      <c r="P13" s="31" t="s">
        <v>31</v>
      </c>
      <c r="Q13" s="930"/>
      <c r="R13" s="93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29" t="s">
        <v>74</v>
      </c>
      <c r="B14" s="929"/>
      <c r="C14" s="929"/>
      <c r="D14" s="929"/>
      <c r="E14" s="929"/>
      <c r="F14" s="929"/>
      <c r="G14" s="929"/>
      <c r="H14" s="929"/>
      <c r="I14" s="929"/>
      <c r="J14" s="929"/>
      <c r="K14" s="929"/>
      <c r="L14" s="929"/>
      <c r="M14" s="92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31" t="s">
        <v>75</v>
      </c>
      <c r="B15" s="931"/>
      <c r="C15" s="931"/>
      <c r="D15" s="931"/>
      <c r="E15" s="931"/>
      <c r="F15" s="931"/>
      <c r="G15" s="931"/>
      <c r="H15" s="931"/>
      <c r="I15" s="931"/>
      <c r="J15" s="931"/>
      <c r="K15" s="931"/>
      <c r="L15" s="931"/>
      <c r="M15" s="931"/>
      <c r="N15" s="77"/>
      <c r="O15"/>
      <c r="P15" s="932" t="s">
        <v>61</v>
      </c>
      <c r="Q15" s="932"/>
      <c r="R15" s="932"/>
      <c r="S15" s="932"/>
      <c r="T15" s="93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33"/>
      <c r="Q16" s="933"/>
      <c r="R16" s="933"/>
      <c r="S16" s="933"/>
      <c r="T16" s="93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15" t="s">
        <v>59</v>
      </c>
      <c r="B17" s="915" t="s">
        <v>49</v>
      </c>
      <c r="C17" s="936" t="s">
        <v>48</v>
      </c>
      <c r="D17" s="938" t="s">
        <v>50</v>
      </c>
      <c r="E17" s="939"/>
      <c r="F17" s="915" t="s">
        <v>21</v>
      </c>
      <c r="G17" s="915" t="s">
        <v>24</v>
      </c>
      <c r="H17" s="915" t="s">
        <v>22</v>
      </c>
      <c r="I17" s="915" t="s">
        <v>23</v>
      </c>
      <c r="J17" s="915" t="s">
        <v>16</v>
      </c>
      <c r="K17" s="915" t="s">
        <v>66</v>
      </c>
      <c r="L17" s="915" t="s">
        <v>64</v>
      </c>
      <c r="M17" s="915" t="s">
        <v>2</v>
      </c>
      <c r="N17" s="915" t="s">
        <v>63</v>
      </c>
      <c r="O17" s="915" t="s">
        <v>25</v>
      </c>
      <c r="P17" s="938" t="s">
        <v>17</v>
      </c>
      <c r="Q17" s="942"/>
      <c r="R17" s="942"/>
      <c r="S17" s="942"/>
      <c r="T17" s="939"/>
      <c r="U17" s="934" t="s">
        <v>56</v>
      </c>
      <c r="V17" s="935"/>
      <c r="W17" s="915" t="s">
        <v>6</v>
      </c>
      <c r="X17" s="915" t="s">
        <v>41</v>
      </c>
      <c r="Y17" s="917" t="s">
        <v>54</v>
      </c>
      <c r="Z17" s="919" t="s">
        <v>18</v>
      </c>
      <c r="AA17" s="921" t="s">
        <v>60</v>
      </c>
      <c r="AB17" s="921" t="s">
        <v>19</v>
      </c>
      <c r="AC17" s="921" t="s">
        <v>65</v>
      </c>
      <c r="AD17" s="923" t="s">
        <v>57</v>
      </c>
      <c r="AE17" s="924"/>
      <c r="AF17" s="925"/>
      <c r="AG17" s="82"/>
      <c r="BD17" s="81" t="s">
        <v>62</v>
      </c>
    </row>
    <row r="18" spans="1:68" ht="14.25" customHeight="1" x14ac:dyDescent="0.2">
      <c r="A18" s="916"/>
      <c r="B18" s="916"/>
      <c r="C18" s="937"/>
      <c r="D18" s="940"/>
      <c r="E18" s="941"/>
      <c r="F18" s="916"/>
      <c r="G18" s="916"/>
      <c r="H18" s="916"/>
      <c r="I18" s="916"/>
      <c r="J18" s="916"/>
      <c r="K18" s="916"/>
      <c r="L18" s="916"/>
      <c r="M18" s="916"/>
      <c r="N18" s="916"/>
      <c r="O18" s="916"/>
      <c r="P18" s="940"/>
      <c r="Q18" s="943"/>
      <c r="R18" s="943"/>
      <c r="S18" s="943"/>
      <c r="T18" s="941"/>
      <c r="U18" s="83" t="s">
        <v>44</v>
      </c>
      <c r="V18" s="83" t="s">
        <v>43</v>
      </c>
      <c r="W18" s="916"/>
      <c r="X18" s="916"/>
      <c r="Y18" s="918"/>
      <c r="Z18" s="920"/>
      <c r="AA18" s="922"/>
      <c r="AB18" s="922"/>
      <c r="AC18" s="922"/>
      <c r="AD18" s="926"/>
      <c r="AE18" s="927"/>
      <c r="AF18" s="928"/>
      <c r="AG18" s="82"/>
      <c r="BD18" s="81"/>
    </row>
    <row r="19" spans="1:68" ht="27.75" hidden="1" customHeight="1" x14ac:dyDescent="0.2">
      <c r="A19" s="650" t="s">
        <v>76</v>
      </c>
      <c r="B19" s="650"/>
      <c r="C19" s="650"/>
      <c r="D19" s="650"/>
      <c r="E19" s="650"/>
      <c r="F19" s="650"/>
      <c r="G19" s="650"/>
      <c r="H19" s="650"/>
      <c r="I19" s="650"/>
      <c r="J19" s="650"/>
      <c r="K19" s="650"/>
      <c r="L19" s="650"/>
      <c r="M19" s="650"/>
      <c r="N19" s="650"/>
      <c r="O19" s="650"/>
      <c r="P19" s="650"/>
      <c r="Q19" s="650"/>
      <c r="R19" s="650"/>
      <c r="S19" s="650"/>
      <c r="T19" s="650"/>
      <c r="U19" s="650"/>
      <c r="V19" s="650"/>
      <c r="W19" s="650"/>
      <c r="X19" s="650"/>
      <c r="Y19" s="650"/>
      <c r="Z19" s="650"/>
      <c r="AA19" s="54"/>
      <c r="AB19" s="54"/>
      <c r="AC19" s="54"/>
    </row>
    <row r="20" spans="1:68" ht="16.5" hidden="1" customHeight="1" x14ac:dyDescent="0.25">
      <c r="A20" s="643" t="s">
        <v>76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5"/>
      <c r="AB20" s="65"/>
      <c r="AC20" s="79"/>
    </row>
    <row r="21" spans="1:68" ht="14.25" hidden="1" customHeight="1" x14ac:dyDescent="0.25">
      <c r="A21" s="644" t="s">
        <v>77</v>
      </c>
      <c r="B21" s="644"/>
      <c r="C21" s="644"/>
      <c r="D21" s="644"/>
      <c r="E21" s="644"/>
      <c r="F21" s="644"/>
      <c r="G21" s="644"/>
      <c r="H21" s="644"/>
      <c r="I21" s="644"/>
      <c r="J21" s="644"/>
      <c r="K21" s="644"/>
      <c r="L21" s="644"/>
      <c r="M21" s="644"/>
      <c r="N21" s="644"/>
      <c r="O21" s="644"/>
      <c r="P21" s="644"/>
      <c r="Q21" s="644"/>
      <c r="R21" s="644"/>
      <c r="S21" s="644"/>
      <c r="T21" s="644"/>
      <c r="U21" s="644"/>
      <c r="V21" s="644"/>
      <c r="W21" s="644"/>
      <c r="X21" s="644"/>
      <c r="Y21" s="644"/>
      <c r="Z21" s="64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39">
        <v>4680115889071</v>
      </c>
      <c r="E22" s="639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1"/>
      <c r="R22" s="641"/>
      <c r="S22" s="641"/>
      <c r="T22" s="64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633"/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3"/>
      <c r="N23" s="633"/>
      <c r="O23" s="634"/>
      <c r="P23" s="630" t="s">
        <v>40</v>
      </c>
      <c r="Q23" s="631"/>
      <c r="R23" s="631"/>
      <c r="S23" s="631"/>
      <c r="T23" s="631"/>
      <c r="U23" s="631"/>
      <c r="V23" s="632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0" t="s">
        <v>40</v>
      </c>
      <c r="Q24" s="631"/>
      <c r="R24" s="631"/>
      <c r="S24" s="631"/>
      <c r="T24" s="631"/>
      <c r="U24" s="631"/>
      <c r="V24" s="632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44" t="s">
        <v>83</v>
      </c>
      <c r="B25" s="644"/>
      <c r="C25" s="644"/>
      <c r="D25" s="644"/>
      <c r="E25" s="644"/>
      <c r="F25" s="644"/>
      <c r="G25" s="644"/>
      <c r="H25" s="644"/>
      <c r="I25" s="644"/>
      <c r="J25" s="644"/>
      <c r="K25" s="644"/>
      <c r="L25" s="644"/>
      <c r="M25" s="644"/>
      <c r="N25" s="644"/>
      <c r="O25" s="644"/>
      <c r="P25" s="644"/>
      <c r="Q25" s="644"/>
      <c r="R25" s="644"/>
      <c r="S25" s="644"/>
      <c r="T25" s="644"/>
      <c r="U25" s="644"/>
      <c r="V25" s="644"/>
      <c r="W25" s="644"/>
      <c r="X25" s="644"/>
      <c r="Y25" s="644"/>
      <c r="Z25" s="644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39">
        <v>4680115885912</v>
      </c>
      <c r="E26" s="639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1"/>
      <c r="R26" s="641"/>
      <c r="S26" s="641"/>
      <c r="T26" s="642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39">
        <v>4607091388237</v>
      </c>
      <c r="E27" s="639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0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1"/>
      <c r="R27" s="641"/>
      <c r="S27" s="641"/>
      <c r="T27" s="64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39">
        <v>4680115887350</v>
      </c>
      <c r="E28" s="639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1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1"/>
      <c r="R28" s="641"/>
      <c r="S28" s="641"/>
      <c r="T28" s="64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39">
        <v>4680115885905</v>
      </c>
      <c r="E29" s="63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1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1"/>
      <c r="R29" s="641"/>
      <c r="S29" s="641"/>
      <c r="T29" s="64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39">
        <v>4680115887619</v>
      </c>
      <c r="E30" s="639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1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1"/>
      <c r="R30" s="641"/>
      <c r="S30" s="641"/>
      <c r="T30" s="64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633"/>
      <c r="B31" s="633"/>
      <c r="C31" s="633"/>
      <c r="D31" s="633"/>
      <c r="E31" s="633"/>
      <c r="F31" s="633"/>
      <c r="G31" s="633"/>
      <c r="H31" s="633"/>
      <c r="I31" s="633"/>
      <c r="J31" s="633"/>
      <c r="K31" s="633"/>
      <c r="L31" s="633"/>
      <c r="M31" s="633"/>
      <c r="N31" s="633"/>
      <c r="O31" s="634"/>
      <c r="P31" s="630" t="s">
        <v>40</v>
      </c>
      <c r="Q31" s="631"/>
      <c r="R31" s="631"/>
      <c r="S31" s="631"/>
      <c r="T31" s="631"/>
      <c r="U31" s="631"/>
      <c r="V31" s="632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0" t="s">
        <v>40</v>
      </c>
      <c r="Q32" s="631"/>
      <c r="R32" s="631"/>
      <c r="S32" s="631"/>
      <c r="T32" s="631"/>
      <c r="U32" s="631"/>
      <c r="V32" s="632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27.75" hidden="1" customHeight="1" x14ac:dyDescent="0.2">
      <c r="A33" s="650" t="s">
        <v>45</v>
      </c>
      <c r="B33" s="650"/>
      <c r="C33" s="650"/>
      <c r="D33" s="650"/>
      <c r="E33" s="650"/>
      <c r="F33" s="650"/>
      <c r="G33" s="650"/>
      <c r="H33" s="650"/>
      <c r="I33" s="650"/>
      <c r="J33" s="650"/>
      <c r="K33" s="650"/>
      <c r="L33" s="650"/>
      <c r="M33" s="650"/>
      <c r="N33" s="650"/>
      <c r="O33" s="650"/>
      <c r="P33" s="650"/>
      <c r="Q33" s="650"/>
      <c r="R33" s="650"/>
      <c r="S33" s="650"/>
      <c r="T33" s="650"/>
      <c r="U33" s="650"/>
      <c r="V33" s="650"/>
      <c r="W33" s="650"/>
      <c r="X33" s="650"/>
      <c r="Y33" s="650"/>
      <c r="Z33" s="650"/>
      <c r="AA33" s="54"/>
      <c r="AB33" s="54"/>
      <c r="AC33" s="54"/>
    </row>
    <row r="34" spans="1:68" ht="16.5" hidden="1" customHeight="1" x14ac:dyDescent="0.25">
      <c r="A34" s="643" t="s">
        <v>101</v>
      </c>
      <c r="B34" s="643"/>
      <c r="C34" s="643"/>
      <c r="D34" s="643"/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3"/>
      <c r="V34" s="643"/>
      <c r="W34" s="643"/>
      <c r="X34" s="643"/>
      <c r="Y34" s="643"/>
      <c r="Z34" s="643"/>
      <c r="AA34" s="65"/>
      <c r="AB34" s="65"/>
      <c r="AC34" s="79"/>
    </row>
    <row r="35" spans="1:68" ht="14.25" hidden="1" customHeight="1" x14ac:dyDescent="0.25">
      <c r="A35" s="644" t="s">
        <v>83</v>
      </c>
      <c r="B35" s="644"/>
      <c r="C35" s="644"/>
      <c r="D35" s="644"/>
      <c r="E35" s="644"/>
      <c r="F35" s="644"/>
      <c r="G35" s="644"/>
      <c r="H35" s="644"/>
      <c r="I35" s="644"/>
      <c r="J35" s="644"/>
      <c r="K35" s="644"/>
      <c r="L35" s="644"/>
      <c r="M35" s="644"/>
      <c r="N35" s="644"/>
      <c r="O35" s="644"/>
      <c r="P35" s="644"/>
      <c r="Q35" s="644"/>
      <c r="R35" s="644"/>
      <c r="S35" s="644"/>
      <c r="T35" s="644"/>
      <c r="U35" s="644"/>
      <c r="V35" s="644"/>
      <c r="W35" s="644"/>
      <c r="X35" s="644"/>
      <c r="Y35" s="644"/>
      <c r="Z35" s="644"/>
      <c r="AA35" s="66"/>
      <c r="AB35" s="66"/>
      <c r="AC35" s="80"/>
    </row>
    <row r="36" spans="1:68" ht="27" hidden="1" customHeight="1" x14ac:dyDescent="0.25">
      <c r="A36" s="63" t="s">
        <v>102</v>
      </c>
      <c r="B36" s="63" t="s">
        <v>103</v>
      </c>
      <c r="C36" s="36">
        <v>4301052187</v>
      </c>
      <c r="D36" s="639">
        <v>4680115889354</v>
      </c>
      <c r="E36" s="639"/>
      <c r="F36" s="62">
        <v>0.32</v>
      </c>
      <c r="G36" s="37">
        <v>6</v>
      </c>
      <c r="H36" s="62">
        <v>1.92</v>
      </c>
      <c r="I36" s="62">
        <v>2.1</v>
      </c>
      <c r="J36" s="37">
        <v>182</v>
      </c>
      <c r="K36" s="37" t="s">
        <v>88</v>
      </c>
      <c r="L36" s="37" t="s">
        <v>46</v>
      </c>
      <c r="M36" s="38" t="s">
        <v>94</v>
      </c>
      <c r="N36" s="38"/>
      <c r="O36" s="37">
        <v>40</v>
      </c>
      <c r="P36" s="90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41"/>
      <c r="R36" s="641"/>
      <c r="S36" s="641"/>
      <c r="T36" s="642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98" t="s">
        <v>104</v>
      </c>
      <c r="AG36" s="78"/>
      <c r="AJ36" s="84" t="s">
        <v>46</v>
      </c>
      <c r="AK36" s="84">
        <v>0</v>
      </c>
      <c r="BB36" s="99" t="s">
        <v>67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t="27" hidden="1" customHeight="1" x14ac:dyDescent="0.25">
      <c r="A37" s="63" t="s">
        <v>105</v>
      </c>
      <c r="B37" s="63" t="s">
        <v>106</v>
      </c>
      <c r="C37" s="36">
        <v>4301052198</v>
      </c>
      <c r="D37" s="639">
        <v>4680115888463</v>
      </c>
      <c r="E37" s="63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88</v>
      </c>
      <c r="L37" s="37" t="s">
        <v>46</v>
      </c>
      <c r="M37" s="38" t="s">
        <v>87</v>
      </c>
      <c r="N37" s="38"/>
      <c r="O37" s="37">
        <v>40</v>
      </c>
      <c r="P37" s="90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41"/>
      <c r="R37" s="641"/>
      <c r="S37" s="641"/>
      <c r="T37" s="64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4301052259</v>
      </c>
      <c r="D38" s="639">
        <v>4680115889590</v>
      </c>
      <c r="E38" s="639"/>
      <c r="F38" s="62">
        <v>0.3</v>
      </c>
      <c r="G38" s="37">
        <v>4</v>
      </c>
      <c r="H38" s="62">
        <v>1.2</v>
      </c>
      <c r="I38" s="62">
        <v>6.18</v>
      </c>
      <c r="J38" s="37">
        <v>182</v>
      </c>
      <c r="K38" s="37" t="s">
        <v>88</v>
      </c>
      <c r="L38" s="37" t="s">
        <v>46</v>
      </c>
      <c r="M38" s="38" t="s">
        <v>87</v>
      </c>
      <c r="N38" s="38"/>
      <c r="O38" s="37">
        <v>40</v>
      </c>
      <c r="P38" s="90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41"/>
      <c r="R38" s="641"/>
      <c r="S38" s="641"/>
      <c r="T38" s="64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4301052184</v>
      </c>
      <c r="D39" s="639">
        <v>4680115888272</v>
      </c>
      <c r="E39" s="639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88</v>
      </c>
      <c r="L39" s="37" t="s">
        <v>46</v>
      </c>
      <c r="M39" s="38" t="s">
        <v>87</v>
      </c>
      <c r="N39" s="38"/>
      <c r="O39" s="37">
        <v>40</v>
      </c>
      <c r="P39" s="90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41"/>
      <c r="R39" s="641"/>
      <c r="S39" s="641"/>
      <c r="T39" s="64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4301052188</v>
      </c>
      <c r="D40" s="639">
        <v>4680115888364</v>
      </c>
      <c r="E40" s="63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88</v>
      </c>
      <c r="L40" s="37" t="s">
        <v>46</v>
      </c>
      <c r="M40" s="38" t="s">
        <v>87</v>
      </c>
      <c r="N40" s="38"/>
      <c r="O40" s="37">
        <v>40</v>
      </c>
      <c r="P40" s="90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41"/>
      <c r="R40" s="641"/>
      <c r="S40" s="641"/>
      <c r="T40" s="64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idden="1" x14ac:dyDescent="0.2">
      <c r="A41" s="633"/>
      <c r="B41" s="633"/>
      <c r="C41" s="633"/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634"/>
      <c r="P41" s="630" t="s">
        <v>40</v>
      </c>
      <c r="Q41" s="631"/>
      <c r="R41" s="631"/>
      <c r="S41" s="631"/>
      <c r="T41" s="631"/>
      <c r="U41" s="631"/>
      <c r="V41" s="632"/>
      <c r="W41" s="42" t="s">
        <v>39</v>
      </c>
      <c r="X41" s="43">
        <f>IFERROR(X36/H36,"0")+IFERROR(X37/H37,"0")+IFERROR(X38/H38,"0")+IFERROR(X39/H39,"0")+IFERROR(X40/H40,"0")</f>
        <v>0</v>
      </c>
      <c r="Y41" s="43">
        <f>IFERROR(Y36/H36,"0")+IFERROR(Y37/H37,"0")+IFERROR(Y38/H38,"0")+IFERROR(Y39/H39,"0")+IFERROR(Y40/H40,"0")</f>
        <v>0</v>
      </c>
      <c r="Z41" s="43">
        <f>IFERROR(IF(Z36="",0,Z36),"0")+IFERROR(IF(Z37="",0,Z37),"0")+IFERROR(IF(Z38="",0,Z38),"0")+IFERROR(IF(Z39="",0,Z39),"0")+IFERROR(IF(Z40="",0,Z40),"0")</f>
        <v>0</v>
      </c>
      <c r="AA41" s="67"/>
      <c r="AB41" s="67"/>
      <c r="AC41" s="67"/>
    </row>
    <row r="42" spans="1:68" hidden="1" x14ac:dyDescent="0.2">
      <c r="A42" s="633"/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634"/>
      <c r="P42" s="630" t="s">
        <v>40</v>
      </c>
      <c r="Q42" s="631"/>
      <c r="R42" s="631"/>
      <c r="S42" s="631"/>
      <c r="T42" s="631"/>
      <c r="U42" s="631"/>
      <c r="V42" s="632"/>
      <c r="W42" s="42" t="s">
        <v>0</v>
      </c>
      <c r="X42" s="43">
        <f>IFERROR(SUM(X36:X40),"0")</f>
        <v>0</v>
      </c>
      <c r="Y42" s="43">
        <f>IFERROR(SUM(Y36:Y40),"0")</f>
        <v>0</v>
      </c>
      <c r="Z42" s="42"/>
      <c r="AA42" s="67"/>
      <c r="AB42" s="67"/>
      <c r="AC42" s="67"/>
    </row>
    <row r="43" spans="1:68" ht="27.75" hidden="1" customHeight="1" x14ac:dyDescent="0.2">
      <c r="A43" s="650" t="s">
        <v>117</v>
      </c>
      <c r="B43" s="650"/>
      <c r="C43" s="650"/>
      <c r="D43" s="650"/>
      <c r="E43" s="650"/>
      <c r="F43" s="650"/>
      <c r="G43" s="650"/>
      <c r="H43" s="650"/>
      <c r="I43" s="650"/>
      <c r="J43" s="650"/>
      <c r="K43" s="650"/>
      <c r="L43" s="650"/>
      <c r="M43" s="650"/>
      <c r="N43" s="650"/>
      <c r="O43" s="650"/>
      <c r="P43" s="650"/>
      <c r="Q43" s="650"/>
      <c r="R43" s="650"/>
      <c r="S43" s="650"/>
      <c r="T43" s="650"/>
      <c r="U43" s="650"/>
      <c r="V43" s="650"/>
      <c r="W43" s="650"/>
      <c r="X43" s="650"/>
      <c r="Y43" s="650"/>
      <c r="Z43" s="650"/>
      <c r="AA43" s="54"/>
      <c r="AB43" s="54"/>
      <c r="AC43" s="54"/>
    </row>
    <row r="44" spans="1:68" ht="16.5" hidden="1" customHeight="1" x14ac:dyDescent="0.25">
      <c r="A44" s="643" t="s">
        <v>118</v>
      </c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3"/>
      <c r="P44" s="643"/>
      <c r="Q44" s="643"/>
      <c r="R44" s="643"/>
      <c r="S44" s="643"/>
      <c r="T44" s="643"/>
      <c r="U44" s="643"/>
      <c r="V44" s="643"/>
      <c r="W44" s="643"/>
      <c r="X44" s="643"/>
      <c r="Y44" s="643"/>
      <c r="Z44" s="643"/>
      <c r="AA44" s="65"/>
      <c r="AB44" s="65"/>
      <c r="AC44" s="79"/>
    </row>
    <row r="45" spans="1:68" ht="14.25" hidden="1" customHeight="1" x14ac:dyDescent="0.25">
      <c r="A45" s="644" t="s">
        <v>119</v>
      </c>
      <c r="B45" s="644"/>
      <c r="C45" s="644"/>
      <c r="D45" s="644"/>
      <c r="E45" s="644"/>
      <c r="F45" s="644"/>
      <c r="G45" s="644"/>
      <c r="H45" s="644"/>
      <c r="I45" s="644"/>
      <c r="J45" s="644"/>
      <c r="K45" s="644"/>
      <c r="L45" s="644"/>
      <c r="M45" s="644"/>
      <c r="N45" s="644"/>
      <c r="O45" s="644"/>
      <c r="P45" s="644"/>
      <c r="Q45" s="644"/>
      <c r="R45" s="644"/>
      <c r="S45" s="644"/>
      <c r="T45" s="644"/>
      <c r="U45" s="644"/>
      <c r="V45" s="644"/>
      <c r="W45" s="644"/>
      <c r="X45" s="644"/>
      <c r="Y45" s="644"/>
      <c r="Z45" s="644"/>
      <c r="AA45" s="66"/>
      <c r="AB45" s="66"/>
      <c r="AC45" s="80"/>
    </row>
    <row r="46" spans="1:68" ht="16.5" customHeight="1" x14ac:dyDescent="0.25">
      <c r="A46" s="63" t="s">
        <v>120</v>
      </c>
      <c r="B46" s="63" t="s">
        <v>121</v>
      </c>
      <c r="C46" s="36">
        <v>4301011380</v>
      </c>
      <c r="D46" s="639">
        <v>4607091385670</v>
      </c>
      <c r="E46" s="639"/>
      <c r="F46" s="62">
        <v>1.35</v>
      </c>
      <c r="G46" s="37">
        <v>8</v>
      </c>
      <c r="H46" s="62">
        <v>10.8</v>
      </c>
      <c r="I46" s="62">
        <v>11.21</v>
      </c>
      <c r="J46" s="37">
        <v>64</v>
      </c>
      <c r="K46" s="37" t="s">
        <v>124</v>
      </c>
      <c r="L46" s="37" t="s">
        <v>46</v>
      </c>
      <c r="M46" s="38" t="s">
        <v>123</v>
      </c>
      <c r="N46" s="38"/>
      <c r="O46" s="37">
        <v>50</v>
      </c>
      <c r="P46" s="90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41"/>
      <c r="R46" s="641"/>
      <c r="S46" s="641"/>
      <c r="T46" s="642"/>
      <c r="U46" s="39" t="s">
        <v>46</v>
      </c>
      <c r="V46" s="39" t="s">
        <v>46</v>
      </c>
      <c r="W46" s="40" t="s">
        <v>0</v>
      </c>
      <c r="X46" s="58">
        <v>400</v>
      </c>
      <c r="Y46" s="55">
        <f>IFERROR(IF(X46="",0,CEILING((X46/$H46),1)*$H46),"")</f>
        <v>410.40000000000003</v>
      </c>
      <c r="Z46" s="41">
        <f>IFERROR(IF(Y46=0,"",ROUNDUP(Y46/H46,0)*0.01898),"")</f>
        <v>0.72123999999999999</v>
      </c>
      <c r="AA46" s="68" t="s">
        <v>46</v>
      </c>
      <c r="AB46" s="69" t="s">
        <v>46</v>
      </c>
      <c r="AC46" s="108" t="s">
        <v>122</v>
      </c>
      <c r="AG46" s="78"/>
      <c r="AJ46" s="84" t="s">
        <v>46</v>
      </c>
      <c r="AK46" s="84">
        <v>0</v>
      </c>
      <c r="BB46" s="109" t="s">
        <v>67</v>
      </c>
      <c r="BM46" s="78">
        <f>IFERROR(X46*I46/H46,"0")</f>
        <v>415.18518518518516</v>
      </c>
      <c r="BN46" s="78">
        <f>IFERROR(Y46*I46/H46,"0")</f>
        <v>425.98</v>
      </c>
      <c r="BO46" s="78">
        <f>IFERROR(1/J46*(X46/H46),"0")</f>
        <v>0.57870370370370372</v>
      </c>
      <c r="BP46" s="78">
        <f>IFERROR(1/J46*(Y46/H46),"0")</f>
        <v>0.59375</v>
      </c>
    </row>
    <row r="47" spans="1:68" ht="27" hidden="1" customHeight="1" x14ac:dyDescent="0.25">
      <c r="A47" s="63" t="s">
        <v>125</v>
      </c>
      <c r="B47" s="63" t="s">
        <v>126</v>
      </c>
      <c r="C47" s="36">
        <v>4301012053</v>
      </c>
      <c r="D47" s="639">
        <v>4680115887725</v>
      </c>
      <c r="E47" s="639"/>
      <c r="F47" s="62">
        <v>0.11</v>
      </c>
      <c r="G47" s="37">
        <v>10</v>
      </c>
      <c r="H47" s="62">
        <v>1.1000000000000001</v>
      </c>
      <c r="I47" s="62">
        <v>1.31</v>
      </c>
      <c r="J47" s="37">
        <v>192</v>
      </c>
      <c r="K47" s="37" t="s">
        <v>128</v>
      </c>
      <c r="L47" s="37" t="s">
        <v>46</v>
      </c>
      <c r="M47" s="38" t="s">
        <v>81</v>
      </c>
      <c r="N47" s="38"/>
      <c r="O47" s="37">
        <v>30</v>
      </c>
      <c r="P47" s="90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41"/>
      <c r="R47" s="641"/>
      <c r="S47" s="641"/>
      <c r="T47" s="642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IFERROR(IF(Y47=0,"",ROUNDUP(Y47/H47,0)*0.00726),"")</f>
        <v/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129</v>
      </c>
      <c r="B48" s="63" t="s">
        <v>130</v>
      </c>
      <c r="C48" s="36">
        <v>4301011382</v>
      </c>
      <c r="D48" s="639">
        <v>4607091385687</v>
      </c>
      <c r="E48" s="639"/>
      <c r="F48" s="62">
        <v>0.4</v>
      </c>
      <c r="G48" s="37">
        <v>10</v>
      </c>
      <c r="H48" s="62">
        <v>4</v>
      </c>
      <c r="I48" s="62">
        <v>4.1900000000000004</v>
      </c>
      <c r="J48" s="37">
        <v>132</v>
      </c>
      <c r="K48" s="37" t="s">
        <v>131</v>
      </c>
      <c r="L48" s="37" t="s">
        <v>46</v>
      </c>
      <c r="M48" s="38" t="s">
        <v>87</v>
      </c>
      <c r="N48" s="38"/>
      <c r="O48" s="37">
        <v>50</v>
      </c>
      <c r="P48" s="9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41"/>
      <c r="R48" s="641"/>
      <c r="S48" s="641"/>
      <c r="T48" s="64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IFERROR(IF(Y48=0,"",ROUNDUP(Y48/H48,0)*0.00902),"")</f>
        <v/>
      </c>
      <c r="AA48" s="68" t="s">
        <v>46</v>
      </c>
      <c r="AB48" s="69" t="s">
        <v>46</v>
      </c>
      <c r="AC48" s="112" t="s">
        <v>122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4301011565</v>
      </c>
      <c r="D49" s="639">
        <v>4680115882539</v>
      </c>
      <c r="E49" s="639"/>
      <c r="F49" s="62">
        <v>0.37</v>
      </c>
      <c r="G49" s="37">
        <v>10</v>
      </c>
      <c r="H49" s="62">
        <v>3.7</v>
      </c>
      <c r="I49" s="62">
        <v>3.89</v>
      </c>
      <c r="J49" s="37">
        <v>132</v>
      </c>
      <c r="K49" s="37" t="s">
        <v>131</v>
      </c>
      <c r="L49" s="37" t="s">
        <v>46</v>
      </c>
      <c r="M49" s="38" t="s">
        <v>87</v>
      </c>
      <c r="N49" s="38"/>
      <c r="O49" s="37">
        <v>50</v>
      </c>
      <c r="P49" s="90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41"/>
      <c r="R49" s="641"/>
      <c r="S49" s="641"/>
      <c r="T49" s="642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122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x14ac:dyDescent="0.2">
      <c r="A50" s="633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0" t="s">
        <v>40</v>
      </c>
      <c r="Q50" s="631"/>
      <c r="R50" s="631"/>
      <c r="S50" s="631"/>
      <c r="T50" s="631"/>
      <c r="U50" s="631"/>
      <c r="V50" s="632"/>
      <c r="W50" s="42" t="s">
        <v>39</v>
      </c>
      <c r="X50" s="43">
        <f>IFERROR(X46/H46,"0")+IFERROR(X47/H47,"0")+IFERROR(X48/H48,"0")+IFERROR(X49/H49,"0")</f>
        <v>37.037037037037038</v>
      </c>
      <c r="Y50" s="43">
        <f>IFERROR(Y46/H46,"0")+IFERROR(Y47/H47,"0")+IFERROR(Y48/H48,"0")+IFERROR(Y49/H49,"0")</f>
        <v>38</v>
      </c>
      <c r="Z50" s="43">
        <f>IFERROR(IF(Z46="",0,Z46),"0")+IFERROR(IF(Z47="",0,Z47),"0")+IFERROR(IF(Z48="",0,Z48),"0")+IFERROR(IF(Z49="",0,Z49),"0")</f>
        <v>0.72123999999999999</v>
      </c>
      <c r="AA50" s="67"/>
      <c r="AB50" s="67"/>
      <c r="AC50" s="67"/>
    </row>
    <row r="51" spans="1:68" x14ac:dyDescent="0.2">
      <c r="A51" s="633"/>
      <c r="B51" s="633"/>
      <c r="C51" s="633"/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4"/>
      <c r="P51" s="630" t="s">
        <v>40</v>
      </c>
      <c r="Q51" s="631"/>
      <c r="R51" s="631"/>
      <c r="S51" s="631"/>
      <c r="T51" s="631"/>
      <c r="U51" s="631"/>
      <c r="V51" s="632"/>
      <c r="W51" s="42" t="s">
        <v>0</v>
      </c>
      <c r="X51" s="43">
        <f>IFERROR(SUM(X46:X49),"0")</f>
        <v>400</v>
      </c>
      <c r="Y51" s="43">
        <f>IFERROR(SUM(Y46:Y49),"0")</f>
        <v>410.40000000000003</v>
      </c>
      <c r="Z51" s="42"/>
      <c r="AA51" s="67"/>
      <c r="AB51" s="67"/>
      <c r="AC51" s="67"/>
    </row>
    <row r="52" spans="1:68" ht="16.5" hidden="1" customHeight="1" x14ac:dyDescent="0.25">
      <c r="A52" s="643" t="s">
        <v>134</v>
      </c>
      <c r="B52" s="643"/>
      <c r="C52" s="643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3"/>
      <c r="P52" s="643"/>
      <c r="Q52" s="643"/>
      <c r="R52" s="643"/>
      <c r="S52" s="643"/>
      <c r="T52" s="643"/>
      <c r="U52" s="643"/>
      <c r="V52" s="643"/>
      <c r="W52" s="643"/>
      <c r="X52" s="643"/>
      <c r="Y52" s="643"/>
      <c r="Z52" s="643"/>
      <c r="AA52" s="65"/>
      <c r="AB52" s="65"/>
      <c r="AC52" s="79"/>
    </row>
    <row r="53" spans="1:68" ht="14.25" hidden="1" customHeight="1" x14ac:dyDescent="0.25">
      <c r="A53" s="644" t="s">
        <v>119</v>
      </c>
      <c r="B53" s="644"/>
      <c r="C53" s="644"/>
      <c r="D53" s="644"/>
      <c r="E53" s="644"/>
      <c r="F53" s="644"/>
      <c r="G53" s="644"/>
      <c r="H53" s="644"/>
      <c r="I53" s="644"/>
      <c r="J53" s="644"/>
      <c r="K53" s="644"/>
      <c r="L53" s="644"/>
      <c r="M53" s="644"/>
      <c r="N53" s="644"/>
      <c r="O53" s="644"/>
      <c r="P53" s="644"/>
      <c r="Q53" s="644"/>
      <c r="R53" s="644"/>
      <c r="S53" s="644"/>
      <c r="T53" s="644"/>
      <c r="U53" s="644"/>
      <c r="V53" s="644"/>
      <c r="W53" s="644"/>
      <c r="X53" s="644"/>
      <c r="Y53" s="644"/>
      <c r="Z53" s="644"/>
      <c r="AA53" s="66"/>
      <c r="AB53" s="66"/>
      <c r="AC53" s="80"/>
    </row>
    <row r="54" spans="1:68" ht="27" hidden="1" customHeight="1" x14ac:dyDescent="0.25">
      <c r="A54" s="63" t="s">
        <v>135</v>
      </c>
      <c r="B54" s="63" t="s">
        <v>136</v>
      </c>
      <c r="C54" s="36">
        <v>4301012161</v>
      </c>
      <c r="D54" s="639">
        <v>4680115885882</v>
      </c>
      <c r="E54" s="639"/>
      <c r="F54" s="62">
        <v>1.4</v>
      </c>
      <c r="G54" s="37">
        <v>8</v>
      </c>
      <c r="H54" s="62">
        <v>11.2</v>
      </c>
      <c r="I54" s="62">
        <v>11.61</v>
      </c>
      <c r="J54" s="37">
        <v>64</v>
      </c>
      <c r="K54" s="37" t="s">
        <v>124</v>
      </c>
      <c r="L54" s="37" t="s">
        <v>46</v>
      </c>
      <c r="M54" s="38" t="s">
        <v>123</v>
      </c>
      <c r="N54" s="38"/>
      <c r="O54" s="37">
        <v>50</v>
      </c>
      <c r="P54" s="89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41"/>
      <c r="R54" s="641"/>
      <c r="S54" s="641"/>
      <c r="T54" s="642"/>
      <c r="U54" s="39" t="s">
        <v>46</v>
      </c>
      <c r="V54" s="39" t="s">
        <v>46</v>
      </c>
      <c r="W54" s="40" t="s">
        <v>0</v>
      </c>
      <c r="X54" s="58">
        <v>0</v>
      </c>
      <c r="Y54" s="55">
        <f t="shared" ref="Y54:Y61" si="0">IFERROR(IF(X54="",0,CEILING((X54/$H54),1)*$H54),"")</f>
        <v>0</v>
      </c>
      <c r="Z54" s="41" t="str">
        <f>IFERROR(IF(Y54=0,"",ROUNDUP(Y54/H54,0)*0.01898),"")</f>
        <v/>
      </c>
      <c r="AA54" s="68" t="s">
        <v>46</v>
      </c>
      <c r="AB54" s="69" t="s">
        <v>46</v>
      </c>
      <c r="AC54" s="116" t="s">
        <v>137</v>
      </c>
      <c r="AG54" s="78"/>
      <c r="AJ54" s="84" t="s">
        <v>46</v>
      </c>
      <c r="AK54" s="84">
        <v>0</v>
      </c>
      <c r="BB54" s="117" t="s">
        <v>67</v>
      </c>
      <c r="BM54" s="78">
        <f t="shared" ref="BM54:BM61" si="1">IFERROR(X54*I54/H54,"0")</f>
        <v>0</v>
      </c>
      <c r="BN54" s="78">
        <f t="shared" ref="BN54:BN61" si="2">IFERROR(Y54*I54/H54,"0")</f>
        <v>0</v>
      </c>
      <c r="BO54" s="78">
        <f t="shared" ref="BO54:BO61" si="3">IFERROR(1/J54*(X54/H54),"0")</f>
        <v>0</v>
      </c>
      <c r="BP54" s="78">
        <f t="shared" ref="BP54:BP61" si="4">IFERROR(1/J54*(Y54/H54),"0")</f>
        <v>0</v>
      </c>
    </row>
    <row r="55" spans="1:68" ht="27" customHeight="1" x14ac:dyDescent="0.25">
      <c r="A55" s="63" t="s">
        <v>138</v>
      </c>
      <c r="B55" s="63" t="s">
        <v>139</v>
      </c>
      <c r="C55" s="36">
        <v>4301011816</v>
      </c>
      <c r="D55" s="639">
        <v>4680115881426</v>
      </c>
      <c r="E55" s="639"/>
      <c r="F55" s="62">
        <v>1.35</v>
      </c>
      <c r="G55" s="37">
        <v>8</v>
      </c>
      <c r="H55" s="62">
        <v>10.8</v>
      </c>
      <c r="I55" s="62">
        <v>11.21</v>
      </c>
      <c r="J55" s="37">
        <v>64</v>
      </c>
      <c r="K55" s="37" t="s">
        <v>124</v>
      </c>
      <c r="L55" s="37" t="s">
        <v>46</v>
      </c>
      <c r="M55" s="38" t="s">
        <v>123</v>
      </c>
      <c r="N55" s="38"/>
      <c r="O55" s="37">
        <v>50</v>
      </c>
      <c r="P55" s="89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41"/>
      <c r="R55" s="641"/>
      <c r="S55" s="641"/>
      <c r="T55" s="642"/>
      <c r="U55" s="39" t="s">
        <v>46</v>
      </c>
      <c r="V55" s="39" t="s">
        <v>46</v>
      </c>
      <c r="W55" s="40" t="s">
        <v>0</v>
      </c>
      <c r="X55" s="58">
        <v>350</v>
      </c>
      <c r="Y55" s="55">
        <f t="shared" si="0"/>
        <v>356.40000000000003</v>
      </c>
      <c r="Z55" s="41">
        <f>IFERROR(IF(Y55=0,"",ROUNDUP(Y55/H55,0)*0.01898),"")</f>
        <v>0.62634000000000001</v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si="1"/>
        <v>363.28703703703707</v>
      </c>
      <c r="BN55" s="78">
        <f t="shared" si="2"/>
        <v>369.93</v>
      </c>
      <c r="BO55" s="78">
        <f t="shared" si="3"/>
        <v>0.5063657407407407</v>
      </c>
      <c r="BP55" s="78">
        <f t="shared" si="4"/>
        <v>0.515625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4301012162</v>
      </c>
      <c r="D56" s="639">
        <v>4680115881426</v>
      </c>
      <c r="E56" s="63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124</v>
      </c>
      <c r="L56" s="37" t="s">
        <v>46</v>
      </c>
      <c r="M56" s="38" t="s">
        <v>123</v>
      </c>
      <c r="N56" s="38"/>
      <c r="O56" s="37">
        <v>50</v>
      </c>
      <c r="P56" s="893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41"/>
      <c r="R56" s="641"/>
      <c r="S56" s="641"/>
      <c r="T56" s="642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39">
        <v>4680115880283</v>
      </c>
      <c r="E57" s="639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131</v>
      </c>
      <c r="L57" s="37" t="s">
        <v>46</v>
      </c>
      <c r="M57" s="38" t="s">
        <v>123</v>
      </c>
      <c r="N57" s="38"/>
      <c r="O57" s="37">
        <v>45</v>
      </c>
      <c r="P57" s="89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1"/>
      <c r="R57" s="641"/>
      <c r="S57" s="641"/>
      <c r="T57" s="64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639">
        <v>4680115881525</v>
      </c>
      <c r="E58" s="639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131</v>
      </c>
      <c r="L58" s="37" t="s">
        <v>46</v>
      </c>
      <c r="M58" s="38" t="s">
        <v>123</v>
      </c>
      <c r="N58" s="38"/>
      <c r="O58" s="37">
        <v>50</v>
      </c>
      <c r="P58" s="89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1"/>
      <c r="R58" s="641"/>
      <c r="S58" s="641"/>
      <c r="T58" s="64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4301012159</v>
      </c>
      <c r="D59" s="639">
        <v>4680115881525</v>
      </c>
      <c r="E59" s="63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131</v>
      </c>
      <c r="L59" s="37" t="s">
        <v>46</v>
      </c>
      <c r="M59" s="38" t="s">
        <v>123</v>
      </c>
      <c r="N59" s="38"/>
      <c r="O59" s="37">
        <v>50</v>
      </c>
      <c r="P59" s="89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1"/>
      <c r="R59" s="641"/>
      <c r="S59" s="641"/>
      <c r="T59" s="64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142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4301012165</v>
      </c>
      <c r="D60" s="639">
        <v>4680115885899</v>
      </c>
      <c r="E60" s="639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88</v>
      </c>
      <c r="L60" s="37" t="s">
        <v>46</v>
      </c>
      <c r="M60" s="38" t="s">
        <v>123</v>
      </c>
      <c r="N60" s="38"/>
      <c r="O60" s="37">
        <v>50</v>
      </c>
      <c r="P60" s="89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1"/>
      <c r="R60" s="641"/>
      <c r="S60" s="641"/>
      <c r="T60" s="64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137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152</v>
      </c>
      <c r="B61" s="63" t="s">
        <v>153</v>
      </c>
      <c r="C61" s="36">
        <v>4301012158</v>
      </c>
      <c r="D61" s="639">
        <v>4680115881419</v>
      </c>
      <c r="E61" s="639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131</v>
      </c>
      <c r="L61" s="37" t="s">
        <v>46</v>
      </c>
      <c r="M61" s="38" t="s">
        <v>123</v>
      </c>
      <c r="N61" s="38"/>
      <c r="O61" s="37">
        <v>50</v>
      </c>
      <c r="P61" s="89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41"/>
      <c r="R61" s="641"/>
      <c r="S61" s="641"/>
      <c r="T61" s="64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x14ac:dyDescent="0.2">
      <c r="A62" s="633"/>
      <c r="B62" s="633"/>
      <c r="C62" s="633"/>
      <c r="D62" s="633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4"/>
      <c r="P62" s="630" t="s">
        <v>40</v>
      </c>
      <c r="Q62" s="631"/>
      <c r="R62" s="631"/>
      <c r="S62" s="631"/>
      <c r="T62" s="631"/>
      <c r="U62" s="631"/>
      <c r="V62" s="632"/>
      <c r="W62" s="42" t="s">
        <v>39</v>
      </c>
      <c r="X62" s="43">
        <f>IFERROR(X54/H54,"0")+IFERROR(X55/H55,"0")+IFERROR(X56/H56,"0")+IFERROR(X57/H57,"0")+IFERROR(X58/H58,"0")+IFERROR(X59/H59,"0")+IFERROR(X60/H60,"0")+IFERROR(X61/H61,"0")</f>
        <v>32.407407407407405</v>
      </c>
      <c r="Y62" s="43">
        <f>IFERROR(Y54/H54,"0")+IFERROR(Y55/H55,"0")+IFERROR(Y56/H56,"0")+IFERROR(Y57/H57,"0")+IFERROR(Y58/H58,"0")+IFERROR(Y59/H59,"0")+IFERROR(Y60/H60,"0")+IFERROR(Y61/H61,"0")</f>
        <v>33</v>
      </c>
      <c r="Z62" s="43">
        <f>IFERROR(IF(Z54="",0,Z54),"0")+IFERROR(IF(Z55="",0,Z55),"0")+IFERROR(IF(Z56="",0,Z56),"0")+IFERROR(IF(Z57="",0,Z57),"0")+IFERROR(IF(Z58="",0,Z58),"0")+IFERROR(IF(Z59="",0,Z59),"0")+IFERROR(IF(Z60="",0,Z60),"0")+IFERROR(IF(Z61="",0,Z61),"0")</f>
        <v>0.62634000000000001</v>
      </c>
      <c r="AA62" s="67"/>
      <c r="AB62" s="67"/>
      <c r="AC62" s="67"/>
    </row>
    <row r="63" spans="1:68" x14ac:dyDescent="0.2">
      <c r="A63" s="633"/>
      <c r="B63" s="633"/>
      <c r="C63" s="633"/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4"/>
      <c r="P63" s="630" t="s">
        <v>40</v>
      </c>
      <c r="Q63" s="631"/>
      <c r="R63" s="631"/>
      <c r="S63" s="631"/>
      <c r="T63" s="631"/>
      <c r="U63" s="631"/>
      <c r="V63" s="632"/>
      <c r="W63" s="42" t="s">
        <v>0</v>
      </c>
      <c r="X63" s="43">
        <f>IFERROR(SUM(X54:X61),"0")</f>
        <v>350</v>
      </c>
      <c r="Y63" s="43">
        <f>IFERROR(SUM(Y54:Y61),"0")</f>
        <v>356.40000000000003</v>
      </c>
      <c r="Z63" s="42"/>
      <c r="AA63" s="67"/>
      <c r="AB63" s="67"/>
      <c r="AC63" s="67"/>
    </row>
    <row r="64" spans="1:68" ht="14.25" hidden="1" customHeight="1" x14ac:dyDescent="0.25">
      <c r="A64" s="644" t="s">
        <v>154</v>
      </c>
      <c r="B64" s="644"/>
      <c r="C64" s="644"/>
      <c r="D64" s="644"/>
      <c r="E64" s="644"/>
      <c r="F64" s="644"/>
      <c r="G64" s="644"/>
      <c r="H64" s="644"/>
      <c r="I64" s="644"/>
      <c r="J64" s="644"/>
      <c r="K64" s="644"/>
      <c r="L64" s="644"/>
      <c r="M64" s="644"/>
      <c r="N64" s="644"/>
      <c r="O64" s="644"/>
      <c r="P64" s="644"/>
      <c r="Q64" s="644"/>
      <c r="R64" s="644"/>
      <c r="S64" s="644"/>
      <c r="T64" s="644"/>
      <c r="U64" s="644"/>
      <c r="V64" s="644"/>
      <c r="W64" s="644"/>
      <c r="X64" s="644"/>
      <c r="Y64" s="644"/>
      <c r="Z64" s="644"/>
      <c r="AA64" s="66"/>
      <c r="AB64" s="66"/>
      <c r="AC64" s="80"/>
    </row>
    <row r="65" spans="1:68" ht="27" hidden="1" customHeight="1" x14ac:dyDescent="0.25">
      <c r="A65" s="63" t="s">
        <v>155</v>
      </c>
      <c r="B65" s="63" t="s">
        <v>156</v>
      </c>
      <c r="C65" s="36">
        <v>4301020390</v>
      </c>
      <c r="D65" s="639">
        <v>4680115881440</v>
      </c>
      <c r="E65" s="639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124</v>
      </c>
      <c r="L65" s="37" t="s">
        <v>46</v>
      </c>
      <c r="M65" s="38" t="s">
        <v>123</v>
      </c>
      <c r="N65" s="38"/>
      <c r="O65" s="37">
        <v>50</v>
      </c>
      <c r="P65" s="89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41"/>
      <c r="R65" s="641"/>
      <c r="S65" s="641"/>
      <c r="T65" s="642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158</v>
      </c>
      <c r="B66" s="63" t="s">
        <v>159</v>
      </c>
      <c r="C66" s="36">
        <v>4301020358</v>
      </c>
      <c r="D66" s="639">
        <v>4680115885950</v>
      </c>
      <c r="E66" s="639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88</v>
      </c>
      <c r="L66" s="37" t="s">
        <v>46</v>
      </c>
      <c r="M66" s="38" t="s">
        <v>87</v>
      </c>
      <c r="N66" s="38"/>
      <c r="O66" s="37">
        <v>50</v>
      </c>
      <c r="P66" s="8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1"/>
      <c r="R66" s="641"/>
      <c r="S66" s="641"/>
      <c r="T66" s="642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161</v>
      </c>
      <c r="B67" s="63" t="s">
        <v>162</v>
      </c>
      <c r="C67" s="36">
        <v>4301020371</v>
      </c>
      <c r="D67" s="639">
        <v>4680115887688</v>
      </c>
      <c r="E67" s="639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128</v>
      </c>
      <c r="L67" s="37" t="s">
        <v>46</v>
      </c>
      <c r="M67" s="38" t="s">
        <v>81</v>
      </c>
      <c r="N67" s="38"/>
      <c r="O67" s="37">
        <v>30</v>
      </c>
      <c r="P67" s="88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1"/>
      <c r="R67" s="641"/>
      <c r="S67" s="641"/>
      <c r="T67" s="64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163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164</v>
      </c>
      <c r="B68" s="63" t="s">
        <v>165</v>
      </c>
      <c r="C68" s="36">
        <v>4301020389</v>
      </c>
      <c r="D68" s="639">
        <v>4680115881433</v>
      </c>
      <c r="E68" s="639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88</v>
      </c>
      <c r="L68" s="37" t="s">
        <v>46</v>
      </c>
      <c r="M68" s="38" t="s">
        <v>123</v>
      </c>
      <c r="N68" s="38"/>
      <c r="O68" s="37">
        <v>50</v>
      </c>
      <c r="P68" s="888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41"/>
      <c r="R68" s="641"/>
      <c r="S68" s="641"/>
      <c r="T68" s="642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157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633"/>
      <c r="B69" s="633"/>
      <c r="C69" s="633"/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4"/>
      <c r="P69" s="630" t="s">
        <v>40</v>
      </c>
      <c r="Q69" s="631"/>
      <c r="R69" s="631"/>
      <c r="S69" s="631"/>
      <c r="T69" s="631"/>
      <c r="U69" s="631"/>
      <c r="V69" s="632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0" t="s">
        <v>40</v>
      </c>
      <c r="Q70" s="631"/>
      <c r="R70" s="631"/>
      <c r="S70" s="631"/>
      <c r="T70" s="631"/>
      <c r="U70" s="631"/>
      <c r="V70" s="632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644" t="s">
        <v>83</v>
      </c>
      <c r="B71" s="644"/>
      <c r="C71" s="644"/>
      <c r="D71" s="644"/>
      <c r="E71" s="644"/>
      <c r="F71" s="644"/>
      <c r="G71" s="644"/>
      <c r="H71" s="644"/>
      <c r="I71" s="644"/>
      <c r="J71" s="644"/>
      <c r="K71" s="644"/>
      <c r="L71" s="644"/>
      <c r="M71" s="644"/>
      <c r="N71" s="644"/>
      <c r="O71" s="644"/>
      <c r="P71" s="644"/>
      <c r="Q71" s="644"/>
      <c r="R71" s="644"/>
      <c r="S71" s="644"/>
      <c r="T71" s="644"/>
      <c r="U71" s="644"/>
      <c r="V71" s="644"/>
      <c r="W71" s="644"/>
      <c r="X71" s="644"/>
      <c r="Y71" s="644"/>
      <c r="Z71" s="644"/>
      <c r="AA71" s="66"/>
      <c r="AB71" s="66"/>
      <c r="AC71" s="80"/>
    </row>
    <row r="72" spans="1:68" ht="16.5" hidden="1" customHeight="1" x14ac:dyDescent="0.25">
      <c r="A72" s="63" t="s">
        <v>166</v>
      </c>
      <c r="B72" s="63" t="s">
        <v>167</v>
      </c>
      <c r="C72" s="36">
        <v>4301051837</v>
      </c>
      <c r="D72" s="639">
        <v>4680115884311</v>
      </c>
      <c r="E72" s="639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88</v>
      </c>
      <c r="L72" s="37" t="s">
        <v>46</v>
      </c>
      <c r="M72" s="38" t="s">
        <v>87</v>
      </c>
      <c r="N72" s="38"/>
      <c r="O72" s="37">
        <v>40</v>
      </c>
      <c r="P72" s="8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1"/>
      <c r="R72" s="641"/>
      <c r="S72" s="641"/>
      <c r="T72" s="64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168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170</v>
      </c>
      <c r="C73" s="36">
        <v>4301052083</v>
      </c>
      <c r="D73" s="639">
        <v>4680115884403</v>
      </c>
      <c r="E73" s="639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88</v>
      </c>
      <c r="L73" s="37" t="s">
        <v>46</v>
      </c>
      <c r="M73" s="38" t="s">
        <v>87</v>
      </c>
      <c r="N73" s="38"/>
      <c r="O73" s="37">
        <v>40</v>
      </c>
      <c r="P73" s="884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41"/>
      <c r="R73" s="641"/>
      <c r="S73" s="641"/>
      <c r="T73" s="64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33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4"/>
      <c r="P74" s="630" t="s">
        <v>40</v>
      </c>
      <c r="Q74" s="631"/>
      <c r="R74" s="631"/>
      <c r="S74" s="631"/>
      <c r="T74" s="631"/>
      <c r="U74" s="631"/>
      <c r="V74" s="632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633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4"/>
      <c r="P75" s="630" t="s">
        <v>40</v>
      </c>
      <c r="Q75" s="631"/>
      <c r="R75" s="631"/>
      <c r="S75" s="631"/>
      <c r="T75" s="631"/>
      <c r="U75" s="631"/>
      <c r="V75" s="632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644" t="s">
        <v>172</v>
      </c>
      <c r="B76" s="644"/>
      <c r="C76" s="644"/>
      <c r="D76" s="644"/>
      <c r="E76" s="644"/>
      <c r="F76" s="644"/>
      <c r="G76" s="644"/>
      <c r="H76" s="644"/>
      <c r="I76" s="644"/>
      <c r="J76" s="644"/>
      <c r="K76" s="644"/>
      <c r="L76" s="644"/>
      <c r="M76" s="644"/>
      <c r="N76" s="644"/>
      <c r="O76" s="644"/>
      <c r="P76" s="644"/>
      <c r="Q76" s="644"/>
      <c r="R76" s="644"/>
      <c r="S76" s="644"/>
      <c r="T76" s="644"/>
      <c r="U76" s="644"/>
      <c r="V76" s="644"/>
      <c r="W76" s="644"/>
      <c r="X76" s="644"/>
      <c r="Y76" s="644"/>
      <c r="Z76" s="64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639">
        <v>4680115881532</v>
      </c>
      <c r="E77" s="639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124</v>
      </c>
      <c r="L77" s="37" t="s">
        <v>46</v>
      </c>
      <c r="M77" s="38" t="s">
        <v>94</v>
      </c>
      <c r="N77" s="38"/>
      <c r="O77" s="37">
        <v>30</v>
      </c>
      <c r="P77" s="88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41"/>
      <c r="R77" s="641"/>
      <c r="S77" s="641"/>
      <c r="T77" s="64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39">
        <v>4680115881532</v>
      </c>
      <c r="E78" s="63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124</v>
      </c>
      <c r="L78" s="37" t="s">
        <v>46</v>
      </c>
      <c r="M78" s="38" t="s">
        <v>94</v>
      </c>
      <c r="N78" s="38"/>
      <c r="O78" s="37">
        <v>30</v>
      </c>
      <c r="P78" s="886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41"/>
      <c r="R78" s="641"/>
      <c r="S78" s="641"/>
      <c r="T78" s="64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4301060527</v>
      </c>
      <c r="D79" s="639">
        <v>4680115881464</v>
      </c>
      <c r="E79" s="639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131</v>
      </c>
      <c r="L79" s="37" t="s">
        <v>46</v>
      </c>
      <c r="M79" s="38" t="s">
        <v>87</v>
      </c>
      <c r="N79" s="38"/>
      <c r="O79" s="37">
        <v>30</v>
      </c>
      <c r="P79" s="882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41"/>
      <c r="R79" s="641"/>
      <c r="S79" s="641"/>
      <c r="T79" s="64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33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4"/>
      <c r="P80" s="630" t="s">
        <v>40</v>
      </c>
      <c r="Q80" s="631"/>
      <c r="R80" s="631"/>
      <c r="S80" s="631"/>
      <c r="T80" s="631"/>
      <c r="U80" s="631"/>
      <c r="V80" s="632"/>
      <c r="W80" s="42" t="s">
        <v>39</v>
      </c>
      <c r="X80" s="43">
        <f>IFERROR(X77/H77,"0")+IFERROR(X78/H78,"0")+IFERROR(X79/H79,"0")</f>
        <v>0</v>
      </c>
      <c r="Y80" s="43">
        <f>IFERROR(Y77/H77,"0")+IFERROR(Y78/H78,"0")+IFERROR(Y79/H79,"0")</f>
        <v>0</v>
      </c>
      <c r="Z80" s="43">
        <f>IFERROR(IF(Z77="",0,Z77),"0")+IFERROR(IF(Z78="",0,Z78),"0")+IFERROR(IF(Z79="",0,Z79),"0")</f>
        <v>0</v>
      </c>
      <c r="AA80" s="67"/>
      <c r="AB80" s="67"/>
      <c r="AC80" s="67"/>
    </row>
    <row r="81" spans="1:68" hidden="1" x14ac:dyDescent="0.2">
      <c r="A81" s="633"/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4"/>
      <c r="P81" s="630" t="s">
        <v>40</v>
      </c>
      <c r="Q81" s="631"/>
      <c r="R81" s="631"/>
      <c r="S81" s="631"/>
      <c r="T81" s="631"/>
      <c r="U81" s="631"/>
      <c r="V81" s="632"/>
      <c r="W81" s="42" t="s">
        <v>0</v>
      </c>
      <c r="X81" s="43">
        <f>IFERROR(SUM(X77:X79),"0")</f>
        <v>0</v>
      </c>
      <c r="Y81" s="43">
        <f>IFERROR(SUM(Y77:Y79),"0")</f>
        <v>0</v>
      </c>
      <c r="Z81" s="42"/>
      <c r="AA81" s="67"/>
      <c r="AB81" s="67"/>
      <c r="AC81" s="67"/>
    </row>
    <row r="82" spans="1:68" ht="16.5" hidden="1" customHeight="1" x14ac:dyDescent="0.25">
      <c r="A82" s="643" t="s">
        <v>180</v>
      </c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  <c r="Z82" s="643"/>
      <c r="AA82" s="65"/>
      <c r="AB82" s="65"/>
      <c r="AC82" s="79"/>
    </row>
    <row r="83" spans="1:68" ht="14.25" hidden="1" customHeight="1" x14ac:dyDescent="0.25">
      <c r="A83" s="644" t="s">
        <v>119</v>
      </c>
      <c r="B83" s="644"/>
      <c r="C83" s="644"/>
      <c r="D83" s="644"/>
      <c r="E83" s="644"/>
      <c r="F83" s="644"/>
      <c r="G83" s="644"/>
      <c r="H83" s="644"/>
      <c r="I83" s="644"/>
      <c r="J83" s="644"/>
      <c r="K83" s="644"/>
      <c r="L83" s="644"/>
      <c r="M83" s="644"/>
      <c r="N83" s="644"/>
      <c r="O83" s="644"/>
      <c r="P83" s="644"/>
      <c r="Q83" s="644"/>
      <c r="R83" s="644"/>
      <c r="S83" s="644"/>
      <c r="T83" s="644"/>
      <c r="U83" s="644"/>
      <c r="V83" s="644"/>
      <c r="W83" s="644"/>
      <c r="X83" s="644"/>
      <c r="Y83" s="644"/>
      <c r="Z83" s="644"/>
      <c r="AA83" s="66"/>
      <c r="AB83" s="66"/>
      <c r="AC83" s="80"/>
    </row>
    <row r="84" spans="1:68" ht="27" hidden="1" customHeight="1" x14ac:dyDescent="0.25">
      <c r="A84" s="63" t="s">
        <v>181</v>
      </c>
      <c r="B84" s="63" t="s">
        <v>182</v>
      </c>
      <c r="C84" s="36">
        <v>4301011468</v>
      </c>
      <c r="D84" s="639">
        <v>4680115881327</v>
      </c>
      <c r="E84" s="639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124</v>
      </c>
      <c r="L84" s="37" t="s">
        <v>46</v>
      </c>
      <c r="M84" s="38" t="s">
        <v>94</v>
      </c>
      <c r="N84" s="38"/>
      <c r="O84" s="37">
        <v>50</v>
      </c>
      <c r="P84" s="88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1"/>
      <c r="R84" s="641"/>
      <c r="S84" s="641"/>
      <c r="T84" s="642"/>
      <c r="U84" s="39" t="s">
        <v>46</v>
      </c>
      <c r="V84" s="39" t="s">
        <v>46</v>
      </c>
      <c r="W84" s="40" t="s">
        <v>0</v>
      </c>
      <c r="X84" s="58">
        <v>0</v>
      </c>
      <c r="Y84" s="55">
        <f t="shared" ref="Y84:Y89" si="5"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183</v>
      </c>
      <c r="AG84" s="78"/>
      <c r="AJ84" s="84" t="s">
        <v>46</v>
      </c>
      <c r="AK84" s="84">
        <v>0</v>
      </c>
      <c r="BB84" s="151" t="s">
        <v>67</v>
      </c>
      <c r="BM84" s="78">
        <f t="shared" ref="BM84:BM89" si="6">IFERROR(X84*I84/H84,"0")</f>
        <v>0</v>
      </c>
      <c r="BN84" s="78">
        <f t="shared" ref="BN84:BN89" si="7">IFERROR(Y84*I84/H84,"0")</f>
        <v>0</v>
      </c>
      <c r="BO84" s="78">
        <f t="shared" ref="BO84:BO89" si="8">IFERROR(1/J84*(X84/H84),"0")</f>
        <v>0</v>
      </c>
      <c r="BP84" s="78">
        <f t="shared" ref="BP84:BP89" si="9">IFERROR(1/J84*(Y84/H84),"0")</f>
        <v>0</v>
      </c>
    </row>
    <row r="85" spans="1:68" ht="27" hidden="1" customHeight="1" x14ac:dyDescent="0.25">
      <c r="A85" s="63" t="s">
        <v>181</v>
      </c>
      <c r="B85" s="63" t="s">
        <v>184</v>
      </c>
      <c r="C85" s="36">
        <v>4301012251</v>
      </c>
      <c r="D85" s="639">
        <v>4680115881327</v>
      </c>
      <c r="E85" s="63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124</v>
      </c>
      <c r="L85" s="37" t="s">
        <v>46</v>
      </c>
      <c r="M85" s="38" t="s">
        <v>123</v>
      </c>
      <c r="N85" s="38"/>
      <c r="O85" s="37">
        <v>50</v>
      </c>
      <c r="P85" s="87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41"/>
      <c r="R85" s="641"/>
      <c r="S85" s="641"/>
      <c r="T85" s="642"/>
      <c r="U85" s="39" t="s">
        <v>46</v>
      </c>
      <c r="V85" s="39" t="s">
        <v>46</v>
      </c>
      <c r="W85" s="40" t="s">
        <v>0</v>
      </c>
      <c r="X85" s="58">
        <v>0</v>
      </c>
      <c r="Y85" s="55">
        <f t="shared" si="5"/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 t="shared" si="6"/>
        <v>0</v>
      </c>
      <c r="BN85" s="78">
        <f t="shared" si="7"/>
        <v>0</v>
      </c>
      <c r="BO85" s="78">
        <f t="shared" si="8"/>
        <v>0</v>
      </c>
      <c r="BP85" s="78">
        <f t="shared" si="9"/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4301012392</v>
      </c>
      <c r="D86" s="639">
        <v>4680115887732</v>
      </c>
      <c r="E86" s="639"/>
      <c r="F86" s="62">
        <v>0.17</v>
      </c>
      <c r="G86" s="37">
        <v>8</v>
      </c>
      <c r="H86" s="62">
        <v>1.36</v>
      </c>
      <c r="I86" s="62">
        <v>1.54</v>
      </c>
      <c r="J86" s="37">
        <v>192</v>
      </c>
      <c r="K86" s="37" t="s">
        <v>128</v>
      </c>
      <c r="L86" s="37" t="s">
        <v>46</v>
      </c>
      <c r="M86" s="38" t="s">
        <v>81</v>
      </c>
      <c r="N86" s="38"/>
      <c r="O86" s="37">
        <v>30</v>
      </c>
      <c r="P86" s="87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1"/>
      <c r="R86" s="641"/>
      <c r="S86" s="641"/>
      <c r="T86" s="642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188</v>
      </c>
      <c r="B87" s="63" t="s">
        <v>189</v>
      </c>
      <c r="C87" s="36">
        <v>4301011476</v>
      </c>
      <c r="D87" s="639">
        <v>4680115881518</v>
      </c>
      <c r="E87" s="639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131</v>
      </c>
      <c r="L87" s="37" t="s">
        <v>46</v>
      </c>
      <c r="M87" s="38" t="s">
        <v>87</v>
      </c>
      <c r="N87" s="38"/>
      <c r="O87" s="37">
        <v>50</v>
      </c>
      <c r="P87" s="87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41"/>
      <c r="R87" s="641"/>
      <c r="S87" s="641"/>
      <c r="T87" s="642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183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188</v>
      </c>
      <c r="B88" s="63" t="s">
        <v>190</v>
      </c>
      <c r="C88" s="36">
        <v>4301012252</v>
      </c>
      <c r="D88" s="639">
        <v>4680115881518</v>
      </c>
      <c r="E88" s="63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131</v>
      </c>
      <c r="L88" s="37" t="s">
        <v>46</v>
      </c>
      <c r="M88" s="38" t="s">
        <v>123</v>
      </c>
      <c r="N88" s="38"/>
      <c r="O88" s="37">
        <v>50</v>
      </c>
      <c r="P88" s="88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41"/>
      <c r="R88" s="641"/>
      <c r="S88" s="641"/>
      <c r="T88" s="642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183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4301012250</v>
      </c>
      <c r="D89" s="639">
        <v>4680115881303</v>
      </c>
      <c r="E89" s="639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131</v>
      </c>
      <c r="L89" s="37" t="s">
        <v>46</v>
      </c>
      <c r="M89" s="38" t="s">
        <v>123</v>
      </c>
      <c r="N89" s="38"/>
      <c r="O89" s="37">
        <v>50</v>
      </c>
      <c r="P89" s="88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41"/>
      <c r="R89" s="641"/>
      <c r="S89" s="641"/>
      <c r="T89" s="642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idden="1" x14ac:dyDescent="0.2">
      <c r="A90" s="633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0" t="s">
        <v>40</v>
      </c>
      <c r="Q90" s="631"/>
      <c r="R90" s="631"/>
      <c r="S90" s="631"/>
      <c r="T90" s="631"/>
      <c r="U90" s="631"/>
      <c r="V90" s="632"/>
      <c r="W90" s="42" t="s">
        <v>39</v>
      </c>
      <c r="X90" s="43">
        <f>IFERROR(X84/H84,"0")+IFERROR(X85/H85,"0")+IFERROR(X86/H86,"0")+IFERROR(X87/H87,"0")+IFERROR(X88/H88,"0")+IFERROR(X89/H89,"0")</f>
        <v>0</v>
      </c>
      <c r="Y90" s="43">
        <f>IFERROR(Y84/H84,"0")+IFERROR(Y85/H85,"0")+IFERROR(Y86/H86,"0")+IFERROR(Y87/H87,"0")+IFERROR(Y88/H88,"0")+IFERROR(Y89/H89,"0")</f>
        <v>0</v>
      </c>
      <c r="Z90" s="43">
        <f>IFERROR(IF(Z84="",0,Z84),"0")+IFERROR(IF(Z85="",0,Z85),"0")+IFERROR(IF(Z86="",0,Z86),"0")+IFERROR(IF(Z87="",0,Z87),"0")+IFERROR(IF(Z88="",0,Z88),"0")+IFERROR(IF(Z89="",0,Z89),"0")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0" t="s">
        <v>40</v>
      </c>
      <c r="Q91" s="631"/>
      <c r="R91" s="631"/>
      <c r="S91" s="631"/>
      <c r="T91" s="631"/>
      <c r="U91" s="631"/>
      <c r="V91" s="632"/>
      <c r="W91" s="42" t="s">
        <v>0</v>
      </c>
      <c r="X91" s="43">
        <f>IFERROR(SUM(X84:X89),"0")</f>
        <v>0</v>
      </c>
      <c r="Y91" s="43">
        <f>IFERROR(SUM(Y84:Y89),"0")</f>
        <v>0</v>
      </c>
      <c r="Z91" s="42"/>
      <c r="AA91" s="67"/>
      <c r="AB91" s="67"/>
      <c r="AC91" s="67"/>
    </row>
    <row r="92" spans="1:68" ht="14.25" hidden="1" customHeight="1" x14ac:dyDescent="0.25">
      <c r="A92" s="644" t="s">
        <v>83</v>
      </c>
      <c r="B92" s="644"/>
      <c r="C92" s="644"/>
      <c r="D92" s="644"/>
      <c r="E92" s="644"/>
      <c r="F92" s="644"/>
      <c r="G92" s="644"/>
      <c r="H92" s="644"/>
      <c r="I92" s="644"/>
      <c r="J92" s="644"/>
      <c r="K92" s="644"/>
      <c r="L92" s="644"/>
      <c r="M92" s="644"/>
      <c r="N92" s="644"/>
      <c r="O92" s="644"/>
      <c r="P92" s="644"/>
      <c r="Q92" s="644"/>
      <c r="R92" s="644"/>
      <c r="S92" s="644"/>
      <c r="T92" s="644"/>
      <c r="U92" s="644"/>
      <c r="V92" s="644"/>
      <c r="W92" s="644"/>
      <c r="X92" s="644"/>
      <c r="Y92" s="644"/>
      <c r="Z92" s="644"/>
      <c r="AA92" s="66"/>
      <c r="AB92" s="66"/>
      <c r="AC92" s="80"/>
    </row>
    <row r="93" spans="1:68" ht="27" hidden="1" customHeight="1" x14ac:dyDescent="0.25">
      <c r="A93" s="63" t="s">
        <v>193</v>
      </c>
      <c r="B93" s="63" t="s">
        <v>194</v>
      </c>
      <c r="C93" s="36">
        <v>4301052101</v>
      </c>
      <c r="D93" s="639">
        <v>4607091386967</v>
      </c>
      <c r="E93" s="639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124</v>
      </c>
      <c r="L93" s="37" t="s">
        <v>46</v>
      </c>
      <c r="M93" s="38" t="s">
        <v>94</v>
      </c>
      <c r="N93" s="38"/>
      <c r="O93" s="37">
        <v>45</v>
      </c>
      <c r="P93" s="87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41"/>
      <c r="R93" s="641"/>
      <c r="S93" s="641"/>
      <c r="T93" s="642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196</v>
      </c>
      <c r="B94" s="63" t="s">
        <v>197</v>
      </c>
      <c r="C94" s="36">
        <v>4301052090</v>
      </c>
      <c r="D94" s="639">
        <v>4680115884953</v>
      </c>
      <c r="E94" s="639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88</v>
      </c>
      <c r="L94" s="37" t="s">
        <v>46</v>
      </c>
      <c r="M94" s="38" t="s">
        <v>87</v>
      </c>
      <c r="N94" s="38"/>
      <c r="O94" s="37">
        <v>45</v>
      </c>
      <c r="P94" s="87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41"/>
      <c r="R94" s="641"/>
      <c r="S94" s="641"/>
      <c r="T94" s="64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4301052094</v>
      </c>
      <c r="D95" s="639">
        <v>4607091385731</v>
      </c>
      <c r="E95" s="639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88</v>
      </c>
      <c r="L95" s="37" t="s">
        <v>46</v>
      </c>
      <c r="M95" s="38" t="s">
        <v>94</v>
      </c>
      <c r="N95" s="38"/>
      <c r="O95" s="37">
        <v>45</v>
      </c>
      <c r="P95" s="876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41"/>
      <c r="R95" s="641"/>
      <c r="S95" s="641"/>
      <c r="T95" s="64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201</v>
      </c>
      <c r="B96" s="63" t="s">
        <v>202</v>
      </c>
      <c r="C96" s="36">
        <v>4301052092</v>
      </c>
      <c r="D96" s="639">
        <v>4680115880894</v>
      </c>
      <c r="E96" s="639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88</v>
      </c>
      <c r="L96" s="37" t="s">
        <v>46</v>
      </c>
      <c r="M96" s="38" t="s">
        <v>87</v>
      </c>
      <c r="N96" s="38"/>
      <c r="O96" s="37">
        <v>45</v>
      </c>
      <c r="P96" s="87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41"/>
      <c r="R96" s="641"/>
      <c r="S96" s="641"/>
      <c r="T96" s="64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633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0" t="s">
        <v>40</v>
      </c>
      <c r="Q97" s="631"/>
      <c r="R97" s="631"/>
      <c r="S97" s="631"/>
      <c r="T97" s="631"/>
      <c r="U97" s="631"/>
      <c r="V97" s="632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0" t="s">
        <v>40</v>
      </c>
      <c r="Q98" s="631"/>
      <c r="R98" s="631"/>
      <c r="S98" s="631"/>
      <c r="T98" s="631"/>
      <c r="U98" s="631"/>
      <c r="V98" s="632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643" t="s">
        <v>204</v>
      </c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43"/>
      <c r="P99" s="643"/>
      <c r="Q99" s="643"/>
      <c r="R99" s="643"/>
      <c r="S99" s="643"/>
      <c r="T99" s="643"/>
      <c r="U99" s="643"/>
      <c r="V99" s="643"/>
      <c r="W99" s="643"/>
      <c r="X99" s="643"/>
      <c r="Y99" s="643"/>
      <c r="Z99" s="643"/>
      <c r="AA99" s="65"/>
      <c r="AB99" s="65"/>
      <c r="AC99" s="79"/>
    </row>
    <row r="100" spans="1:68" ht="14.25" hidden="1" customHeight="1" x14ac:dyDescent="0.25">
      <c r="A100" s="644" t="s">
        <v>119</v>
      </c>
      <c r="B100" s="644"/>
      <c r="C100" s="644"/>
      <c r="D100" s="644"/>
      <c r="E100" s="644"/>
      <c r="F100" s="644"/>
      <c r="G100" s="644"/>
      <c r="H100" s="644"/>
      <c r="I100" s="644"/>
      <c r="J100" s="644"/>
      <c r="K100" s="644"/>
      <c r="L100" s="644"/>
      <c r="M100" s="644"/>
      <c r="N100" s="644"/>
      <c r="O100" s="644"/>
      <c r="P100" s="644"/>
      <c r="Q100" s="644"/>
      <c r="R100" s="644"/>
      <c r="S100" s="644"/>
      <c r="T100" s="644"/>
      <c r="U100" s="644"/>
      <c r="V100" s="644"/>
      <c r="W100" s="644"/>
      <c r="X100" s="644"/>
      <c r="Y100" s="644"/>
      <c r="Z100" s="644"/>
      <c r="AA100" s="66"/>
      <c r="AB100" s="66"/>
      <c r="AC100" s="80"/>
    </row>
    <row r="101" spans="1:68" ht="37.5" customHeight="1" x14ac:dyDescent="0.25">
      <c r="A101" s="63" t="s">
        <v>205</v>
      </c>
      <c r="B101" s="63" t="s">
        <v>206</v>
      </c>
      <c r="C101" s="36">
        <v>4301011514</v>
      </c>
      <c r="D101" s="639">
        <v>4680115882133</v>
      </c>
      <c r="E101" s="639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124</v>
      </c>
      <c r="L101" s="37" t="s">
        <v>46</v>
      </c>
      <c r="M101" s="38" t="s">
        <v>123</v>
      </c>
      <c r="N101" s="38"/>
      <c r="O101" s="37">
        <v>50</v>
      </c>
      <c r="P101" s="87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41"/>
      <c r="R101" s="641"/>
      <c r="S101" s="641"/>
      <c r="T101" s="642"/>
      <c r="U101" s="39" t="s">
        <v>46</v>
      </c>
      <c r="V101" s="39" t="s">
        <v>46</v>
      </c>
      <c r="W101" s="40" t="s">
        <v>0</v>
      </c>
      <c r="X101" s="58">
        <v>250</v>
      </c>
      <c r="Y101" s="55">
        <f t="shared" ref="Y101:Y107" si="10">IFERROR(IF(X101="",0,CEILING((X101/$H101),1)*$H101),"")</f>
        <v>259.20000000000005</v>
      </c>
      <c r="Z101" s="41">
        <f>IFERROR(IF(Y101=0,"",ROUNDUP(Y101/H101,0)*0.01898),"")</f>
        <v>0.45552000000000004</v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7" si="11">IFERROR(X101*I101/H101,"0")</f>
        <v>259.4907407407407</v>
      </c>
      <c r="BN101" s="78">
        <f t="shared" ref="BN101:BN107" si="12">IFERROR(Y101*I101/H101,"0")</f>
        <v>269.04000000000002</v>
      </c>
      <c r="BO101" s="78">
        <f t="shared" ref="BO101:BO107" si="13">IFERROR(1/J101*(X101/H101),"0")</f>
        <v>0.36168981481481477</v>
      </c>
      <c r="BP101" s="78">
        <f t="shared" ref="BP101:BP107" si="14">IFERROR(1/J101*(Y101/H101),"0")</f>
        <v>0.37500000000000006</v>
      </c>
    </row>
    <row r="102" spans="1:68" ht="27" hidden="1" customHeight="1" x14ac:dyDescent="0.25">
      <c r="A102" s="63" t="s">
        <v>205</v>
      </c>
      <c r="B102" s="63" t="s">
        <v>208</v>
      </c>
      <c r="C102" s="36">
        <v>4301012256</v>
      </c>
      <c r="D102" s="639">
        <v>4680115882133</v>
      </c>
      <c r="E102" s="63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124</v>
      </c>
      <c r="L102" s="37" t="s">
        <v>46</v>
      </c>
      <c r="M102" s="38" t="s">
        <v>123</v>
      </c>
      <c r="N102" s="38"/>
      <c r="O102" s="37">
        <v>50</v>
      </c>
      <c r="P102" s="86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41"/>
      <c r="R102" s="641"/>
      <c r="S102" s="641"/>
      <c r="T102" s="642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0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11"/>
        <v>0</v>
      </c>
      <c r="BN102" s="78">
        <f t="shared" si="12"/>
        <v>0</v>
      </c>
      <c r="BO102" s="78">
        <f t="shared" si="13"/>
        <v>0</v>
      </c>
      <c r="BP102" s="78">
        <f t="shared" si="14"/>
        <v>0</v>
      </c>
    </row>
    <row r="103" spans="1:68" ht="27" hidden="1" customHeight="1" x14ac:dyDescent="0.25">
      <c r="A103" s="63" t="s">
        <v>210</v>
      </c>
      <c r="B103" s="63" t="s">
        <v>211</v>
      </c>
      <c r="C103" s="36">
        <v>4301012379</v>
      </c>
      <c r="D103" s="639">
        <v>4680115887718</v>
      </c>
      <c r="E103" s="639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128</v>
      </c>
      <c r="L103" s="37" t="s">
        <v>46</v>
      </c>
      <c r="M103" s="38" t="s">
        <v>81</v>
      </c>
      <c r="N103" s="38"/>
      <c r="O103" s="37">
        <v>30</v>
      </c>
      <c r="P103" s="86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1"/>
      <c r="R103" s="641"/>
      <c r="S103" s="641"/>
      <c r="T103" s="64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4301012253</v>
      </c>
      <c r="D104" s="639">
        <v>4680115880269</v>
      </c>
      <c r="E104" s="639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131</v>
      </c>
      <c r="L104" s="37" t="s">
        <v>46</v>
      </c>
      <c r="M104" s="38" t="s">
        <v>123</v>
      </c>
      <c r="N104" s="38"/>
      <c r="O104" s="37">
        <v>50</v>
      </c>
      <c r="P104" s="86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41"/>
      <c r="R104" s="641"/>
      <c r="S104" s="641"/>
      <c r="T104" s="64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215</v>
      </c>
      <c r="B105" s="63" t="s">
        <v>216</v>
      </c>
      <c r="C105" s="36">
        <v>4301012254</v>
      </c>
      <c r="D105" s="639">
        <v>4680115880429</v>
      </c>
      <c r="E105" s="639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131</v>
      </c>
      <c r="L105" s="37" t="s">
        <v>46</v>
      </c>
      <c r="M105" s="38" t="s">
        <v>123</v>
      </c>
      <c r="N105" s="38"/>
      <c r="O105" s="37">
        <v>50</v>
      </c>
      <c r="P105" s="87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1"/>
      <c r="R105" s="641"/>
      <c r="S105" s="641"/>
      <c r="T105" s="64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209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217</v>
      </c>
      <c r="B106" s="63" t="s">
        <v>218</v>
      </c>
      <c r="C106" s="36">
        <v>4301012255</v>
      </c>
      <c r="D106" s="639">
        <v>4680115881457</v>
      </c>
      <c r="E106" s="639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131</v>
      </c>
      <c r="L106" s="37" t="s">
        <v>46</v>
      </c>
      <c r="M106" s="38" t="s">
        <v>123</v>
      </c>
      <c r="N106" s="38"/>
      <c r="O106" s="37">
        <v>50</v>
      </c>
      <c r="P106" s="87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41"/>
      <c r="R106" s="641"/>
      <c r="S106" s="641"/>
      <c r="T106" s="64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220</v>
      </c>
      <c r="C107" s="36">
        <v>4301012366</v>
      </c>
      <c r="D107" s="639">
        <v>4680115889477</v>
      </c>
      <c r="E107" s="639"/>
      <c r="F107" s="62">
        <v>0.4</v>
      </c>
      <c r="G107" s="37">
        <v>6</v>
      </c>
      <c r="H107" s="62">
        <v>2.4</v>
      </c>
      <c r="I107" s="62">
        <v>2.58</v>
      </c>
      <c r="J107" s="37">
        <v>182</v>
      </c>
      <c r="K107" s="37" t="s">
        <v>88</v>
      </c>
      <c r="L107" s="37" t="s">
        <v>46</v>
      </c>
      <c r="M107" s="38" t="s">
        <v>123</v>
      </c>
      <c r="N107" s="38"/>
      <c r="O107" s="37">
        <v>55</v>
      </c>
      <c r="P107" s="864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41"/>
      <c r="R107" s="641"/>
      <c r="S107" s="641"/>
      <c r="T107" s="64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IFERROR(IF(Y107=0,"",ROUNDUP(Y107/H107,0)*0.00651),"")</f>
        <v/>
      </c>
      <c r="AA107" s="68" t="s">
        <v>46</v>
      </c>
      <c r="AB107" s="69" t="s">
        <v>46</v>
      </c>
      <c r="AC107" s="182" t="s">
        <v>221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x14ac:dyDescent="0.2">
      <c r="A108" s="633"/>
      <c r="B108" s="633"/>
      <c r="C108" s="633"/>
      <c r="D108" s="633"/>
      <c r="E108" s="633"/>
      <c r="F108" s="633"/>
      <c r="G108" s="633"/>
      <c r="H108" s="633"/>
      <c r="I108" s="633"/>
      <c r="J108" s="633"/>
      <c r="K108" s="633"/>
      <c r="L108" s="633"/>
      <c r="M108" s="633"/>
      <c r="N108" s="633"/>
      <c r="O108" s="634"/>
      <c r="P108" s="630" t="s">
        <v>40</v>
      </c>
      <c r="Q108" s="631"/>
      <c r="R108" s="631"/>
      <c r="S108" s="631"/>
      <c r="T108" s="631"/>
      <c r="U108" s="631"/>
      <c r="V108" s="632"/>
      <c r="W108" s="42" t="s">
        <v>39</v>
      </c>
      <c r="X108" s="43">
        <f>IFERROR(X101/H101,"0")+IFERROR(X102/H102,"0")+IFERROR(X103/H103,"0")+IFERROR(X104/H104,"0")+IFERROR(X105/H105,"0")+IFERROR(X106/H106,"0")+IFERROR(X107/H107,"0")</f>
        <v>23.148148148148145</v>
      </c>
      <c r="Y108" s="43">
        <f>IFERROR(Y101/H101,"0")+IFERROR(Y102/H102,"0")+IFERROR(Y103/H103,"0")+IFERROR(Y104/H104,"0")+IFERROR(Y105/H105,"0")+IFERROR(Y106/H106,"0")+IFERROR(Y107/H107,"0")</f>
        <v>24.000000000000004</v>
      </c>
      <c r="Z108" s="43">
        <f>IFERROR(IF(Z101="",0,Z101),"0")+IFERROR(IF(Z102="",0,Z102),"0")+IFERROR(IF(Z103="",0,Z103),"0")+IFERROR(IF(Z104="",0,Z104),"0")+IFERROR(IF(Z105="",0,Z105),"0")+IFERROR(IF(Z106="",0,Z106),"0")+IFERROR(IF(Z107="",0,Z107),"0")</f>
        <v>0.45552000000000004</v>
      </c>
      <c r="AA108" s="67"/>
      <c r="AB108" s="67"/>
      <c r="AC108" s="67"/>
    </row>
    <row r="109" spans="1:68" x14ac:dyDescent="0.2">
      <c r="A109" s="633"/>
      <c r="B109" s="633"/>
      <c r="C109" s="633"/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4"/>
      <c r="P109" s="630" t="s">
        <v>40</v>
      </c>
      <c r="Q109" s="631"/>
      <c r="R109" s="631"/>
      <c r="S109" s="631"/>
      <c r="T109" s="631"/>
      <c r="U109" s="631"/>
      <c r="V109" s="632"/>
      <c r="W109" s="42" t="s">
        <v>0</v>
      </c>
      <c r="X109" s="43">
        <f>IFERROR(SUM(X101:X107),"0")</f>
        <v>250</v>
      </c>
      <c r="Y109" s="43">
        <f>IFERROR(SUM(Y101:Y107),"0")</f>
        <v>259.20000000000005</v>
      </c>
      <c r="Z109" s="42"/>
      <c r="AA109" s="67"/>
      <c r="AB109" s="67"/>
      <c r="AC109" s="67"/>
    </row>
    <row r="110" spans="1:68" ht="14.25" hidden="1" customHeight="1" x14ac:dyDescent="0.25">
      <c r="A110" s="644" t="s">
        <v>154</v>
      </c>
      <c r="B110" s="644"/>
      <c r="C110" s="644"/>
      <c r="D110" s="644"/>
      <c r="E110" s="644"/>
      <c r="F110" s="644"/>
      <c r="G110" s="644"/>
      <c r="H110" s="644"/>
      <c r="I110" s="644"/>
      <c r="J110" s="644"/>
      <c r="K110" s="644"/>
      <c r="L110" s="644"/>
      <c r="M110" s="644"/>
      <c r="N110" s="644"/>
      <c r="O110" s="644"/>
      <c r="P110" s="644"/>
      <c r="Q110" s="644"/>
      <c r="R110" s="644"/>
      <c r="S110" s="644"/>
      <c r="T110" s="644"/>
      <c r="U110" s="644"/>
      <c r="V110" s="644"/>
      <c r="W110" s="644"/>
      <c r="X110" s="644"/>
      <c r="Y110" s="644"/>
      <c r="Z110" s="644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639">
        <v>4680115881488</v>
      </c>
      <c r="E111" s="639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124</v>
      </c>
      <c r="L111" s="37" t="s">
        <v>46</v>
      </c>
      <c r="M111" s="38" t="s">
        <v>123</v>
      </c>
      <c r="N111" s="38"/>
      <c r="O111" s="37">
        <v>55</v>
      </c>
      <c r="P111" s="86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41"/>
      <c r="R111" s="641"/>
      <c r="S111" s="641"/>
      <c r="T111" s="642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4301020186</v>
      </c>
      <c r="D112" s="639">
        <v>4680115887664</v>
      </c>
      <c r="E112" s="639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229</v>
      </c>
      <c r="L112" s="37" t="s">
        <v>46</v>
      </c>
      <c r="M112" s="38" t="s">
        <v>81</v>
      </c>
      <c r="N112" s="38"/>
      <c r="O112" s="37">
        <v>30</v>
      </c>
      <c r="P112" s="86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1"/>
      <c r="R112" s="641"/>
      <c r="S112" s="641"/>
      <c r="T112" s="642"/>
      <c r="U112" s="39" t="s">
        <v>225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230</v>
      </c>
      <c r="C113" s="36">
        <v>4301020430</v>
      </c>
      <c r="D113" s="639">
        <v>4680115887664</v>
      </c>
      <c r="E113" s="639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6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1"/>
      <c r="R113" s="641"/>
      <c r="S113" s="641"/>
      <c r="T113" s="642"/>
      <c r="U113" s="39" t="s">
        <v>225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228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231</v>
      </c>
      <c r="B114" s="63" t="s">
        <v>232</v>
      </c>
      <c r="C114" s="36">
        <v>4301020393</v>
      </c>
      <c r="D114" s="639">
        <v>4680115882775</v>
      </c>
      <c r="E114" s="639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123</v>
      </c>
      <c r="N114" s="38"/>
      <c r="O114" s="37">
        <v>55</v>
      </c>
      <c r="P114" s="86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41"/>
      <c r="R114" s="641"/>
      <c r="S114" s="641"/>
      <c r="T114" s="64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4301020392</v>
      </c>
      <c r="D115" s="639">
        <v>4680115880658</v>
      </c>
      <c r="E115" s="639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88</v>
      </c>
      <c r="L115" s="37" t="s">
        <v>46</v>
      </c>
      <c r="M115" s="38" t="s">
        <v>123</v>
      </c>
      <c r="N115" s="38"/>
      <c r="O115" s="37">
        <v>55</v>
      </c>
      <c r="P115" s="86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41"/>
      <c r="R115" s="641"/>
      <c r="S115" s="641"/>
      <c r="T115" s="64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idden="1" x14ac:dyDescent="0.2">
      <c r="A116" s="633"/>
      <c r="B116" s="633"/>
      <c r="C116" s="633"/>
      <c r="D116" s="633"/>
      <c r="E116" s="633"/>
      <c r="F116" s="633"/>
      <c r="G116" s="633"/>
      <c r="H116" s="633"/>
      <c r="I116" s="633"/>
      <c r="J116" s="633"/>
      <c r="K116" s="633"/>
      <c r="L116" s="633"/>
      <c r="M116" s="633"/>
      <c r="N116" s="633"/>
      <c r="O116" s="634"/>
      <c r="P116" s="630" t="s">
        <v>40</v>
      </c>
      <c r="Q116" s="631"/>
      <c r="R116" s="631"/>
      <c r="S116" s="631"/>
      <c r="T116" s="631"/>
      <c r="U116" s="631"/>
      <c r="V116" s="632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hidden="1" x14ac:dyDescent="0.2">
      <c r="A117" s="633"/>
      <c r="B117" s="633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4"/>
      <c r="P117" s="630" t="s">
        <v>40</v>
      </c>
      <c r="Q117" s="631"/>
      <c r="R117" s="631"/>
      <c r="S117" s="631"/>
      <c r="T117" s="631"/>
      <c r="U117" s="631"/>
      <c r="V117" s="632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hidden="1" customHeight="1" x14ac:dyDescent="0.25">
      <c r="A118" s="644" t="s">
        <v>83</v>
      </c>
      <c r="B118" s="644"/>
      <c r="C118" s="644"/>
      <c r="D118" s="644"/>
      <c r="E118" s="644"/>
      <c r="F118" s="644"/>
      <c r="G118" s="644"/>
      <c r="H118" s="644"/>
      <c r="I118" s="644"/>
      <c r="J118" s="644"/>
      <c r="K118" s="644"/>
      <c r="L118" s="644"/>
      <c r="M118" s="644"/>
      <c r="N118" s="644"/>
      <c r="O118" s="644"/>
      <c r="P118" s="644"/>
      <c r="Q118" s="644"/>
      <c r="R118" s="644"/>
      <c r="S118" s="644"/>
      <c r="T118" s="644"/>
      <c r="U118" s="644"/>
      <c r="V118" s="644"/>
      <c r="W118" s="644"/>
      <c r="X118" s="644"/>
      <c r="Y118" s="644"/>
      <c r="Z118" s="644"/>
      <c r="AA118" s="66"/>
      <c r="AB118" s="66"/>
      <c r="AC118" s="80"/>
    </row>
    <row r="119" spans="1:68" ht="27" hidden="1" customHeight="1" x14ac:dyDescent="0.25">
      <c r="A119" s="63" t="s">
        <v>235</v>
      </c>
      <c r="B119" s="63" t="s">
        <v>236</v>
      </c>
      <c r="C119" s="36">
        <v>4301052088</v>
      </c>
      <c r="D119" s="639">
        <v>4607091385168</v>
      </c>
      <c r="E119" s="639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124</v>
      </c>
      <c r="L119" s="37" t="s">
        <v>46</v>
      </c>
      <c r="M119" s="38" t="s">
        <v>87</v>
      </c>
      <c r="N119" s="38"/>
      <c r="O119" s="37">
        <v>45</v>
      </c>
      <c r="P119" s="85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41"/>
      <c r="R119" s="641"/>
      <c r="S119" s="641"/>
      <c r="T119" s="642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IFERROR(IF(Y119=0,"",ROUNDUP(Y119/H119,0)*0.01898),"")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238</v>
      </c>
      <c r="B120" s="63" t="s">
        <v>239</v>
      </c>
      <c r="C120" s="36">
        <v>4301052087</v>
      </c>
      <c r="D120" s="639">
        <v>4607091383256</v>
      </c>
      <c r="E120" s="639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88</v>
      </c>
      <c r="L120" s="37" t="s">
        <v>46</v>
      </c>
      <c r="M120" s="38" t="s">
        <v>87</v>
      </c>
      <c r="N120" s="38"/>
      <c r="O120" s="37">
        <v>45</v>
      </c>
      <c r="P120" s="85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41"/>
      <c r="R120" s="641"/>
      <c r="S120" s="641"/>
      <c r="T120" s="64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237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4301052086</v>
      </c>
      <c r="D121" s="639">
        <v>4607091385748</v>
      </c>
      <c r="E121" s="639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88</v>
      </c>
      <c r="L121" s="37" t="s">
        <v>46</v>
      </c>
      <c r="M121" s="38" t="s">
        <v>87</v>
      </c>
      <c r="N121" s="38"/>
      <c r="O121" s="37">
        <v>45</v>
      </c>
      <c r="P121" s="85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41"/>
      <c r="R121" s="641"/>
      <c r="S121" s="641"/>
      <c r="T121" s="64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237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hidden="1" customHeight="1" x14ac:dyDescent="0.25">
      <c r="A122" s="63" t="s">
        <v>242</v>
      </c>
      <c r="B122" s="63" t="s">
        <v>243</v>
      </c>
      <c r="C122" s="36">
        <v>4301052085</v>
      </c>
      <c r="D122" s="639">
        <v>4680115884533</v>
      </c>
      <c r="E122" s="639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88</v>
      </c>
      <c r="L122" s="37" t="s">
        <v>46</v>
      </c>
      <c r="M122" s="38" t="s">
        <v>87</v>
      </c>
      <c r="N122" s="38"/>
      <c r="O122" s="37">
        <v>45</v>
      </c>
      <c r="P122" s="86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41"/>
      <c r="R122" s="641"/>
      <c r="S122" s="641"/>
      <c r="T122" s="64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244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idden="1" x14ac:dyDescent="0.2">
      <c r="A123" s="633"/>
      <c r="B123" s="633"/>
      <c r="C123" s="633"/>
      <c r="D123" s="633"/>
      <c r="E123" s="633"/>
      <c r="F123" s="633"/>
      <c r="G123" s="633"/>
      <c r="H123" s="633"/>
      <c r="I123" s="633"/>
      <c r="J123" s="633"/>
      <c r="K123" s="633"/>
      <c r="L123" s="633"/>
      <c r="M123" s="633"/>
      <c r="N123" s="633"/>
      <c r="O123" s="634"/>
      <c r="P123" s="630" t="s">
        <v>40</v>
      </c>
      <c r="Q123" s="631"/>
      <c r="R123" s="631"/>
      <c r="S123" s="631"/>
      <c r="T123" s="631"/>
      <c r="U123" s="631"/>
      <c r="V123" s="632"/>
      <c r="W123" s="42" t="s">
        <v>39</v>
      </c>
      <c r="X123" s="43">
        <f>IFERROR(X119/H119,"0")+IFERROR(X120/H120,"0")+IFERROR(X121/H121,"0")+IFERROR(X122/H122,"0")</f>
        <v>0</v>
      </c>
      <c r="Y123" s="43">
        <f>IFERROR(Y119/H119,"0")+IFERROR(Y120/H120,"0")+IFERROR(Y121/H121,"0")+IFERROR(Y122/H122,"0")</f>
        <v>0</v>
      </c>
      <c r="Z123" s="43">
        <f>IFERROR(IF(Z119="",0,Z119),"0")+IFERROR(IF(Z120="",0,Z120),"0")+IFERROR(IF(Z121="",0,Z121),"0")+IFERROR(IF(Z122="",0,Z122),"0")</f>
        <v>0</v>
      </c>
      <c r="AA123" s="67"/>
      <c r="AB123" s="67"/>
      <c r="AC123" s="67"/>
    </row>
    <row r="124" spans="1:68" hidden="1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0" t="s">
        <v>40</v>
      </c>
      <c r="Q124" s="631"/>
      <c r="R124" s="631"/>
      <c r="S124" s="631"/>
      <c r="T124" s="631"/>
      <c r="U124" s="631"/>
      <c r="V124" s="632"/>
      <c r="W124" s="42" t="s">
        <v>0</v>
      </c>
      <c r="X124" s="43">
        <f>IFERROR(SUM(X119:X122),"0")</f>
        <v>0</v>
      </c>
      <c r="Y124" s="43">
        <f>IFERROR(SUM(Y119:Y122),"0")</f>
        <v>0</v>
      </c>
      <c r="Z124" s="42"/>
      <c r="AA124" s="67"/>
      <c r="AB124" s="67"/>
      <c r="AC124" s="67"/>
    </row>
    <row r="125" spans="1:68" ht="14.25" hidden="1" customHeight="1" x14ac:dyDescent="0.25">
      <c r="A125" s="644" t="s">
        <v>172</v>
      </c>
      <c r="B125" s="644"/>
      <c r="C125" s="644"/>
      <c r="D125" s="644"/>
      <c r="E125" s="644"/>
      <c r="F125" s="644"/>
      <c r="G125" s="644"/>
      <c r="H125" s="644"/>
      <c r="I125" s="644"/>
      <c r="J125" s="644"/>
      <c r="K125" s="644"/>
      <c r="L125" s="644"/>
      <c r="M125" s="644"/>
      <c r="N125" s="644"/>
      <c r="O125" s="644"/>
      <c r="P125" s="644"/>
      <c r="Q125" s="644"/>
      <c r="R125" s="644"/>
      <c r="S125" s="644"/>
      <c r="T125" s="644"/>
      <c r="U125" s="644"/>
      <c r="V125" s="644"/>
      <c r="W125" s="644"/>
      <c r="X125" s="644"/>
      <c r="Y125" s="644"/>
      <c r="Z125" s="644"/>
      <c r="AA125" s="66"/>
      <c r="AB125" s="66"/>
      <c r="AC125" s="80"/>
    </row>
    <row r="126" spans="1:68" ht="16.5" hidden="1" customHeight="1" x14ac:dyDescent="0.25">
      <c r="A126" s="63" t="s">
        <v>245</v>
      </c>
      <c r="B126" s="63" t="s">
        <v>246</v>
      </c>
      <c r="C126" s="36">
        <v>4301060525</v>
      </c>
      <c r="D126" s="639">
        <v>4680115880238</v>
      </c>
      <c r="E126" s="639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40</v>
      </c>
      <c r="P126" s="85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41"/>
      <c r="R126" s="641"/>
      <c r="S126" s="641"/>
      <c r="T126" s="642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247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633"/>
      <c r="B127" s="633"/>
      <c r="C127" s="633"/>
      <c r="D127" s="633"/>
      <c r="E127" s="633"/>
      <c r="F127" s="633"/>
      <c r="G127" s="633"/>
      <c r="H127" s="633"/>
      <c r="I127" s="633"/>
      <c r="J127" s="633"/>
      <c r="K127" s="633"/>
      <c r="L127" s="633"/>
      <c r="M127" s="633"/>
      <c r="N127" s="633"/>
      <c r="O127" s="634"/>
      <c r="P127" s="630" t="s">
        <v>40</v>
      </c>
      <c r="Q127" s="631"/>
      <c r="R127" s="631"/>
      <c r="S127" s="631"/>
      <c r="T127" s="631"/>
      <c r="U127" s="631"/>
      <c r="V127" s="632"/>
      <c r="W127" s="42" t="s">
        <v>39</v>
      </c>
      <c r="X127" s="43">
        <f>IFERROR(X126/H126,"0")</f>
        <v>0</v>
      </c>
      <c r="Y127" s="43">
        <f>IFERROR(Y126/H126,"0")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633"/>
      <c r="B128" s="633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4"/>
      <c r="P128" s="630" t="s">
        <v>40</v>
      </c>
      <c r="Q128" s="631"/>
      <c r="R128" s="631"/>
      <c r="S128" s="631"/>
      <c r="T128" s="631"/>
      <c r="U128" s="631"/>
      <c r="V128" s="632"/>
      <c r="W128" s="42" t="s">
        <v>0</v>
      </c>
      <c r="X128" s="43">
        <f>IFERROR(SUM(X126:X126),"0")</f>
        <v>0</v>
      </c>
      <c r="Y128" s="43">
        <f>IFERROR(SUM(Y126:Y126),"0")</f>
        <v>0</v>
      </c>
      <c r="Z128" s="42"/>
      <c r="AA128" s="67"/>
      <c r="AB128" s="67"/>
      <c r="AC128" s="67"/>
    </row>
    <row r="129" spans="1:68" ht="16.5" hidden="1" customHeight="1" x14ac:dyDescent="0.25">
      <c r="A129" s="643" t="s">
        <v>248</v>
      </c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43"/>
      <c r="P129" s="643"/>
      <c r="Q129" s="643"/>
      <c r="R129" s="643"/>
      <c r="S129" s="643"/>
      <c r="T129" s="643"/>
      <c r="U129" s="643"/>
      <c r="V129" s="643"/>
      <c r="W129" s="643"/>
      <c r="X129" s="643"/>
      <c r="Y129" s="643"/>
      <c r="Z129" s="643"/>
      <c r="AA129" s="65"/>
      <c r="AB129" s="65"/>
      <c r="AC129" s="79"/>
    </row>
    <row r="130" spans="1:68" ht="14.25" hidden="1" customHeight="1" x14ac:dyDescent="0.25">
      <c r="A130" s="644" t="s">
        <v>119</v>
      </c>
      <c r="B130" s="644"/>
      <c r="C130" s="644"/>
      <c r="D130" s="644"/>
      <c r="E130" s="644"/>
      <c r="F130" s="644"/>
      <c r="G130" s="644"/>
      <c r="H130" s="644"/>
      <c r="I130" s="644"/>
      <c r="J130" s="644"/>
      <c r="K130" s="644"/>
      <c r="L130" s="644"/>
      <c r="M130" s="644"/>
      <c r="N130" s="644"/>
      <c r="O130" s="644"/>
      <c r="P130" s="644"/>
      <c r="Q130" s="644"/>
      <c r="R130" s="644"/>
      <c r="S130" s="644"/>
      <c r="T130" s="644"/>
      <c r="U130" s="644"/>
      <c r="V130" s="644"/>
      <c r="W130" s="644"/>
      <c r="X130" s="644"/>
      <c r="Y130" s="644"/>
      <c r="Z130" s="644"/>
      <c r="AA130" s="66"/>
      <c r="AB130" s="66"/>
      <c r="AC130" s="80"/>
    </row>
    <row r="131" spans="1:68" ht="27" hidden="1" customHeight="1" x14ac:dyDescent="0.25">
      <c r="A131" s="63" t="s">
        <v>249</v>
      </c>
      <c r="B131" s="63" t="s">
        <v>250</v>
      </c>
      <c r="C131" s="36">
        <v>4301011562</v>
      </c>
      <c r="D131" s="639">
        <v>4680115882577</v>
      </c>
      <c r="E131" s="639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88</v>
      </c>
      <c r="L131" s="37" t="s">
        <v>46</v>
      </c>
      <c r="M131" s="38" t="s">
        <v>252</v>
      </c>
      <c r="N131" s="38"/>
      <c r="O131" s="37">
        <v>90</v>
      </c>
      <c r="P131" s="85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1"/>
      <c r="R131" s="641"/>
      <c r="S131" s="641"/>
      <c r="T131" s="642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251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hidden="1" customHeight="1" x14ac:dyDescent="0.25">
      <c r="A132" s="63" t="s">
        <v>249</v>
      </c>
      <c r="B132" s="63" t="s">
        <v>253</v>
      </c>
      <c r="C132" s="36">
        <v>4301011564</v>
      </c>
      <c r="D132" s="639">
        <v>4680115882577</v>
      </c>
      <c r="E132" s="639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88</v>
      </c>
      <c r="L132" s="37" t="s">
        <v>46</v>
      </c>
      <c r="M132" s="38" t="s">
        <v>252</v>
      </c>
      <c r="N132" s="38"/>
      <c r="O132" s="37">
        <v>90</v>
      </c>
      <c r="P132" s="85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41"/>
      <c r="R132" s="641"/>
      <c r="S132" s="641"/>
      <c r="T132" s="64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251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idden="1" x14ac:dyDescent="0.2">
      <c r="A133" s="633"/>
      <c r="B133" s="633"/>
      <c r="C133" s="633"/>
      <c r="D133" s="633"/>
      <c r="E133" s="633"/>
      <c r="F133" s="633"/>
      <c r="G133" s="633"/>
      <c r="H133" s="633"/>
      <c r="I133" s="633"/>
      <c r="J133" s="633"/>
      <c r="K133" s="633"/>
      <c r="L133" s="633"/>
      <c r="M133" s="633"/>
      <c r="N133" s="633"/>
      <c r="O133" s="634"/>
      <c r="P133" s="630" t="s">
        <v>40</v>
      </c>
      <c r="Q133" s="631"/>
      <c r="R133" s="631"/>
      <c r="S133" s="631"/>
      <c r="T133" s="631"/>
      <c r="U133" s="631"/>
      <c r="V133" s="632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hidden="1" x14ac:dyDescent="0.2">
      <c r="A134" s="633"/>
      <c r="B134" s="633"/>
      <c r="C134" s="633"/>
      <c r="D134" s="633"/>
      <c r="E134" s="633"/>
      <c r="F134" s="633"/>
      <c r="G134" s="633"/>
      <c r="H134" s="633"/>
      <c r="I134" s="633"/>
      <c r="J134" s="633"/>
      <c r="K134" s="633"/>
      <c r="L134" s="633"/>
      <c r="M134" s="633"/>
      <c r="N134" s="633"/>
      <c r="O134" s="634"/>
      <c r="P134" s="630" t="s">
        <v>40</v>
      </c>
      <c r="Q134" s="631"/>
      <c r="R134" s="631"/>
      <c r="S134" s="631"/>
      <c r="T134" s="631"/>
      <c r="U134" s="631"/>
      <c r="V134" s="632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hidden="1" customHeight="1" x14ac:dyDescent="0.25">
      <c r="A135" s="644" t="s">
        <v>77</v>
      </c>
      <c r="B135" s="644"/>
      <c r="C135" s="644"/>
      <c r="D135" s="644"/>
      <c r="E135" s="644"/>
      <c r="F135" s="644"/>
      <c r="G135" s="644"/>
      <c r="H135" s="644"/>
      <c r="I135" s="644"/>
      <c r="J135" s="644"/>
      <c r="K135" s="644"/>
      <c r="L135" s="644"/>
      <c r="M135" s="644"/>
      <c r="N135" s="644"/>
      <c r="O135" s="644"/>
      <c r="P135" s="644"/>
      <c r="Q135" s="644"/>
      <c r="R135" s="644"/>
      <c r="S135" s="644"/>
      <c r="T135" s="644"/>
      <c r="U135" s="644"/>
      <c r="V135" s="644"/>
      <c r="W135" s="644"/>
      <c r="X135" s="644"/>
      <c r="Y135" s="644"/>
      <c r="Z135" s="644"/>
      <c r="AA135" s="66"/>
      <c r="AB135" s="66"/>
      <c r="AC135" s="80"/>
    </row>
    <row r="136" spans="1:68" ht="27" hidden="1" customHeight="1" x14ac:dyDescent="0.25">
      <c r="A136" s="63" t="s">
        <v>254</v>
      </c>
      <c r="B136" s="63" t="s">
        <v>255</v>
      </c>
      <c r="C136" s="36">
        <v>4301031234</v>
      </c>
      <c r="D136" s="639">
        <v>4680115883444</v>
      </c>
      <c r="E136" s="639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88</v>
      </c>
      <c r="L136" s="37" t="s">
        <v>46</v>
      </c>
      <c r="M136" s="38" t="s">
        <v>252</v>
      </c>
      <c r="N136" s="38"/>
      <c r="O136" s="37">
        <v>90</v>
      </c>
      <c r="P136" s="85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1"/>
      <c r="R136" s="641"/>
      <c r="S136" s="641"/>
      <c r="T136" s="642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254</v>
      </c>
      <c r="B137" s="63" t="s">
        <v>257</v>
      </c>
      <c r="C137" s="36">
        <v>4301031235</v>
      </c>
      <c r="D137" s="639">
        <v>4680115883444</v>
      </c>
      <c r="E137" s="639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88</v>
      </c>
      <c r="L137" s="37" t="s">
        <v>46</v>
      </c>
      <c r="M137" s="38" t="s">
        <v>252</v>
      </c>
      <c r="N137" s="38"/>
      <c r="O137" s="37">
        <v>90</v>
      </c>
      <c r="P137" s="85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1"/>
      <c r="R137" s="641"/>
      <c r="S137" s="641"/>
      <c r="T137" s="642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256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33"/>
      <c r="B138" s="633"/>
      <c r="C138" s="633"/>
      <c r="D138" s="633"/>
      <c r="E138" s="633"/>
      <c r="F138" s="633"/>
      <c r="G138" s="633"/>
      <c r="H138" s="633"/>
      <c r="I138" s="633"/>
      <c r="J138" s="633"/>
      <c r="K138" s="633"/>
      <c r="L138" s="633"/>
      <c r="M138" s="633"/>
      <c r="N138" s="633"/>
      <c r="O138" s="634"/>
      <c r="P138" s="630" t="s">
        <v>40</v>
      </c>
      <c r="Q138" s="631"/>
      <c r="R138" s="631"/>
      <c r="S138" s="631"/>
      <c r="T138" s="631"/>
      <c r="U138" s="631"/>
      <c r="V138" s="632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633"/>
      <c r="B139" s="633"/>
      <c r="C139" s="633"/>
      <c r="D139" s="633"/>
      <c r="E139" s="633"/>
      <c r="F139" s="633"/>
      <c r="G139" s="633"/>
      <c r="H139" s="633"/>
      <c r="I139" s="633"/>
      <c r="J139" s="633"/>
      <c r="K139" s="633"/>
      <c r="L139" s="633"/>
      <c r="M139" s="633"/>
      <c r="N139" s="633"/>
      <c r="O139" s="634"/>
      <c r="P139" s="630" t="s">
        <v>40</v>
      </c>
      <c r="Q139" s="631"/>
      <c r="R139" s="631"/>
      <c r="S139" s="631"/>
      <c r="T139" s="631"/>
      <c r="U139" s="631"/>
      <c r="V139" s="632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44" t="s">
        <v>83</v>
      </c>
      <c r="B140" s="644"/>
      <c r="C140" s="644"/>
      <c r="D140" s="644"/>
      <c r="E140" s="644"/>
      <c r="F140" s="644"/>
      <c r="G140" s="644"/>
      <c r="H140" s="644"/>
      <c r="I140" s="644"/>
      <c r="J140" s="644"/>
      <c r="K140" s="644"/>
      <c r="L140" s="644"/>
      <c r="M140" s="644"/>
      <c r="N140" s="644"/>
      <c r="O140" s="644"/>
      <c r="P140" s="644"/>
      <c r="Q140" s="644"/>
      <c r="R140" s="644"/>
      <c r="S140" s="644"/>
      <c r="T140" s="644"/>
      <c r="U140" s="644"/>
      <c r="V140" s="644"/>
      <c r="W140" s="644"/>
      <c r="X140" s="644"/>
      <c r="Y140" s="644"/>
      <c r="Z140" s="644"/>
      <c r="AA140" s="66"/>
      <c r="AB140" s="66"/>
      <c r="AC140" s="80"/>
    </row>
    <row r="141" spans="1:68" ht="16.5" hidden="1" customHeight="1" x14ac:dyDescent="0.25">
      <c r="A141" s="63" t="s">
        <v>258</v>
      </c>
      <c r="B141" s="63" t="s">
        <v>259</v>
      </c>
      <c r="C141" s="36">
        <v>4301051476</v>
      </c>
      <c r="D141" s="639">
        <v>4680115882584</v>
      </c>
      <c r="E141" s="639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88</v>
      </c>
      <c r="L141" s="37" t="s">
        <v>46</v>
      </c>
      <c r="M141" s="38" t="s">
        <v>252</v>
      </c>
      <c r="N141" s="38"/>
      <c r="O141" s="37">
        <v>60</v>
      </c>
      <c r="P141" s="85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1"/>
      <c r="R141" s="641"/>
      <c r="S141" s="641"/>
      <c r="T141" s="64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251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258</v>
      </c>
      <c r="B142" s="63" t="s">
        <v>260</v>
      </c>
      <c r="C142" s="36">
        <v>4301051477</v>
      </c>
      <c r="D142" s="639">
        <v>4680115882584</v>
      </c>
      <c r="E142" s="639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88</v>
      </c>
      <c r="L142" s="37" t="s">
        <v>46</v>
      </c>
      <c r="M142" s="38" t="s">
        <v>252</v>
      </c>
      <c r="N142" s="38"/>
      <c r="O142" s="37">
        <v>60</v>
      </c>
      <c r="P142" s="85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41"/>
      <c r="R142" s="641"/>
      <c r="S142" s="641"/>
      <c r="T142" s="64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251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33"/>
      <c r="B143" s="633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  <c r="N143" s="633"/>
      <c r="O143" s="634"/>
      <c r="P143" s="630" t="s">
        <v>40</v>
      </c>
      <c r="Q143" s="631"/>
      <c r="R143" s="631"/>
      <c r="S143" s="631"/>
      <c r="T143" s="631"/>
      <c r="U143" s="631"/>
      <c r="V143" s="632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633"/>
      <c r="B144" s="633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4"/>
      <c r="P144" s="630" t="s">
        <v>40</v>
      </c>
      <c r="Q144" s="631"/>
      <c r="R144" s="631"/>
      <c r="S144" s="631"/>
      <c r="T144" s="631"/>
      <c r="U144" s="631"/>
      <c r="V144" s="632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6.5" hidden="1" customHeight="1" x14ac:dyDescent="0.25">
      <c r="A145" s="643" t="s">
        <v>261</v>
      </c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3"/>
      <c r="P145" s="643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  <c r="AA145" s="65"/>
      <c r="AB145" s="65"/>
      <c r="AC145" s="79"/>
    </row>
    <row r="146" spans="1:68" ht="14.25" hidden="1" customHeight="1" x14ac:dyDescent="0.25">
      <c r="A146" s="644" t="s">
        <v>83</v>
      </c>
      <c r="B146" s="644"/>
      <c r="C146" s="644"/>
      <c r="D146" s="644"/>
      <c r="E146" s="644"/>
      <c r="F146" s="644"/>
      <c r="G146" s="644"/>
      <c r="H146" s="644"/>
      <c r="I146" s="644"/>
      <c r="J146" s="644"/>
      <c r="K146" s="644"/>
      <c r="L146" s="644"/>
      <c r="M146" s="644"/>
      <c r="N146" s="644"/>
      <c r="O146" s="644"/>
      <c r="P146" s="644"/>
      <c r="Q146" s="644"/>
      <c r="R146" s="644"/>
      <c r="S146" s="644"/>
      <c r="T146" s="644"/>
      <c r="U146" s="644"/>
      <c r="V146" s="644"/>
      <c r="W146" s="644"/>
      <c r="X146" s="644"/>
      <c r="Y146" s="644"/>
      <c r="Z146" s="644"/>
      <c r="AA146" s="66"/>
      <c r="AB146" s="66"/>
      <c r="AC146" s="80"/>
    </row>
    <row r="147" spans="1:68" ht="27" hidden="1" customHeight="1" x14ac:dyDescent="0.25">
      <c r="A147" s="63" t="s">
        <v>262</v>
      </c>
      <c r="B147" s="63" t="s">
        <v>263</v>
      </c>
      <c r="C147" s="36">
        <v>4301052254</v>
      </c>
      <c r="D147" s="639">
        <v>4680115888203</v>
      </c>
      <c r="E147" s="639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88</v>
      </c>
      <c r="L147" s="37" t="s">
        <v>46</v>
      </c>
      <c r="M147" s="38" t="s">
        <v>94</v>
      </c>
      <c r="N147" s="38"/>
      <c r="O147" s="37">
        <v>40</v>
      </c>
      <c r="P147" s="84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41"/>
      <c r="R147" s="641"/>
      <c r="S147" s="641"/>
      <c r="T147" s="64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264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hidden="1" customHeight="1" x14ac:dyDescent="0.25">
      <c r="A148" s="63" t="s">
        <v>265</v>
      </c>
      <c r="B148" s="63" t="s">
        <v>266</v>
      </c>
      <c r="C148" s="36">
        <v>4301052252</v>
      </c>
      <c r="D148" s="639">
        <v>4680115888180</v>
      </c>
      <c r="E148" s="63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88</v>
      </c>
      <c r="L148" s="37" t="s">
        <v>46</v>
      </c>
      <c r="M148" s="38" t="s">
        <v>94</v>
      </c>
      <c r="N148" s="38"/>
      <c r="O148" s="37">
        <v>40</v>
      </c>
      <c r="P148" s="84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41"/>
      <c r="R148" s="641"/>
      <c r="S148" s="641"/>
      <c r="T148" s="64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267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268</v>
      </c>
      <c r="B149" s="63" t="s">
        <v>269</v>
      </c>
      <c r="C149" s="36">
        <v>4301052253</v>
      </c>
      <c r="D149" s="639">
        <v>4680115888197</v>
      </c>
      <c r="E149" s="639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88</v>
      </c>
      <c r="L149" s="37" t="s">
        <v>46</v>
      </c>
      <c r="M149" s="38" t="s">
        <v>94</v>
      </c>
      <c r="N149" s="38"/>
      <c r="O149" s="37">
        <v>40</v>
      </c>
      <c r="P149" s="84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41"/>
      <c r="R149" s="641"/>
      <c r="S149" s="641"/>
      <c r="T149" s="64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4301052255</v>
      </c>
      <c r="D150" s="639">
        <v>4680115888210</v>
      </c>
      <c r="E150" s="639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88</v>
      </c>
      <c r="L150" s="37" t="s">
        <v>46</v>
      </c>
      <c r="M150" s="38" t="s">
        <v>94</v>
      </c>
      <c r="N150" s="38"/>
      <c r="O150" s="37">
        <v>40</v>
      </c>
      <c r="P150" s="84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41"/>
      <c r="R150" s="641"/>
      <c r="S150" s="641"/>
      <c r="T150" s="642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idden="1" x14ac:dyDescent="0.2">
      <c r="A151" s="633"/>
      <c r="B151" s="633"/>
      <c r="C151" s="633"/>
      <c r="D151" s="633"/>
      <c r="E151" s="633"/>
      <c r="F151" s="633"/>
      <c r="G151" s="633"/>
      <c r="H151" s="633"/>
      <c r="I151" s="633"/>
      <c r="J151" s="633"/>
      <c r="K151" s="633"/>
      <c r="L151" s="633"/>
      <c r="M151" s="633"/>
      <c r="N151" s="633"/>
      <c r="O151" s="634"/>
      <c r="P151" s="630" t="s">
        <v>40</v>
      </c>
      <c r="Q151" s="631"/>
      <c r="R151" s="631"/>
      <c r="S151" s="631"/>
      <c r="T151" s="631"/>
      <c r="U151" s="631"/>
      <c r="V151" s="632"/>
      <c r="W151" s="42" t="s">
        <v>39</v>
      </c>
      <c r="X151" s="43">
        <f>IFERROR(X147/H147,"0")+IFERROR(X148/H148,"0")+IFERROR(X149/H149,"0")+IFERROR(X150/H150,"0")</f>
        <v>0</v>
      </c>
      <c r="Y151" s="43">
        <f>IFERROR(Y147/H147,"0")+IFERROR(Y148/H148,"0")+IFERROR(Y149/H149,"0")+IFERROR(Y150/H150,"0")</f>
        <v>0</v>
      </c>
      <c r="Z151" s="43">
        <f>IFERROR(IF(Z147="",0,Z147),"0")+IFERROR(IF(Z148="",0,Z148),"0")+IFERROR(IF(Z149="",0,Z149),"0")+IFERROR(IF(Z150="",0,Z150),"0")</f>
        <v>0</v>
      </c>
      <c r="AA151" s="67"/>
      <c r="AB151" s="67"/>
      <c r="AC151" s="67"/>
    </row>
    <row r="152" spans="1:68" hidden="1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0" t="s">
        <v>40</v>
      </c>
      <c r="Q152" s="631"/>
      <c r="R152" s="631"/>
      <c r="S152" s="631"/>
      <c r="T152" s="631"/>
      <c r="U152" s="631"/>
      <c r="V152" s="632"/>
      <c r="W152" s="42" t="s">
        <v>0</v>
      </c>
      <c r="X152" s="43">
        <f>IFERROR(SUM(X147:X150),"0")</f>
        <v>0</v>
      </c>
      <c r="Y152" s="43">
        <f>IFERROR(SUM(Y147:Y150),"0")</f>
        <v>0</v>
      </c>
      <c r="Z152" s="42"/>
      <c r="AA152" s="67"/>
      <c r="AB152" s="67"/>
      <c r="AC152" s="67"/>
    </row>
    <row r="153" spans="1:68" ht="14.25" hidden="1" customHeight="1" x14ac:dyDescent="0.25">
      <c r="A153" s="644" t="s">
        <v>274</v>
      </c>
      <c r="B153" s="644"/>
      <c r="C153" s="644"/>
      <c r="D153" s="644"/>
      <c r="E153" s="644"/>
      <c r="F153" s="644"/>
      <c r="G153" s="644"/>
      <c r="H153" s="644"/>
      <c r="I153" s="644"/>
      <c r="J153" s="644"/>
      <c r="K153" s="644"/>
      <c r="L153" s="644"/>
      <c r="M153" s="644"/>
      <c r="N153" s="644"/>
      <c r="O153" s="644"/>
      <c r="P153" s="644"/>
      <c r="Q153" s="644"/>
      <c r="R153" s="644"/>
      <c r="S153" s="644"/>
      <c r="T153" s="644"/>
      <c r="U153" s="644"/>
      <c r="V153" s="644"/>
      <c r="W153" s="644"/>
      <c r="X153" s="644"/>
      <c r="Y153" s="644"/>
      <c r="Z153" s="644"/>
      <c r="AA153" s="66"/>
      <c r="AB153" s="66"/>
      <c r="AC153" s="80"/>
    </row>
    <row r="154" spans="1:68" ht="27" hidden="1" customHeight="1" x14ac:dyDescent="0.25">
      <c r="A154" s="63" t="s">
        <v>275</v>
      </c>
      <c r="B154" s="63" t="s">
        <v>276</v>
      </c>
      <c r="C154" s="36">
        <v>4301032067</v>
      </c>
      <c r="D154" s="639">
        <v>4680115889132</v>
      </c>
      <c r="E154" s="639"/>
      <c r="F154" s="62">
        <v>0.04</v>
      </c>
      <c r="G154" s="37">
        <v>8</v>
      </c>
      <c r="H154" s="62">
        <v>0.32</v>
      </c>
      <c r="I154" s="62">
        <v>0.5</v>
      </c>
      <c r="J154" s="37">
        <v>330</v>
      </c>
      <c r="K154" s="37" t="s">
        <v>280</v>
      </c>
      <c r="L154" s="37" t="s">
        <v>46</v>
      </c>
      <c r="M154" s="38" t="s">
        <v>279</v>
      </c>
      <c r="N154" s="38"/>
      <c r="O154" s="37">
        <v>120</v>
      </c>
      <c r="P154" s="84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41"/>
      <c r="R154" s="641"/>
      <c r="S154" s="641"/>
      <c r="T154" s="64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IFERROR(IF(Y154=0,"",ROUNDUP(Y154/H154,0)*0.00337),"")</f>
        <v/>
      </c>
      <c r="AA154" s="68" t="s">
        <v>46</v>
      </c>
      <c r="AB154" s="69" t="s">
        <v>46</v>
      </c>
      <c r="AC154" s="224" t="s">
        <v>277</v>
      </c>
      <c r="AG154" s="78"/>
      <c r="AJ154" s="84" t="s">
        <v>46</v>
      </c>
      <c r="AK154" s="84">
        <v>0</v>
      </c>
      <c r="BB154" s="225" t="s">
        <v>278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633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0" t="s">
        <v>40</v>
      </c>
      <c r="Q155" s="631"/>
      <c r="R155" s="631"/>
      <c r="S155" s="631"/>
      <c r="T155" s="631"/>
      <c r="U155" s="631"/>
      <c r="V155" s="632"/>
      <c r="W155" s="42" t="s">
        <v>39</v>
      </c>
      <c r="X155" s="43">
        <f>IFERROR(X154/H154,"0")</f>
        <v>0</v>
      </c>
      <c r="Y155" s="43">
        <f>IFERROR(Y154/H154,"0")</f>
        <v>0</v>
      </c>
      <c r="Z155" s="43">
        <f>IFERROR(IF(Z154="",0,Z154),"0")</f>
        <v>0</v>
      </c>
      <c r="AA155" s="67"/>
      <c r="AB155" s="67"/>
      <c r="AC155" s="67"/>
    </row>
    <row r="156" spans="1:68" hidden="1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0" t="s">
        <v>40</v>
      </c>
      <c r="Q156" s="631"/>
      <c r="R156" s="631"/>
      <c r="S156" s="631"/>
      <c r="T156" s="631"/>
      <c r="U156" s="631"/>
      <c r="V156" s="632"/>
      <c r="W156" s="42" t="s">
        <v>0</v>
      </c>
      <c r="X156" s="43">
        <f>IFERROR(SUM(X154:X154),"0")</f>
        <v>0</v>
      </c>
      <c r="Y156" s="43">
        <f>IFERROR(SUM(Y154:Y154),"0")</f>
        <v>0</v>
      </c>
      <c r="Z156" s="42"/>
      <c r="AA156" s="67"/>
      <c r="AB156" s="67"/>
      <c r="AC156" s="67"/>
    </row>
    <row r="157" spans="1:68" ht="16.5" hidden="1" customHeight="1" x14ac:dyDescent="0.25">
      <c r="A157" s="643" t="s">
        <v>117</v>
      </c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5"/>
      <c r="AB157" s="65"/>
      <c r="AC157" s="79"/>
    </row>
    <row r="158" spans="1:68" ht="14.25" hidden="1" customHeight="1" x14ac:dyDescent="0.25">
      <c r="A158" s="644" t="s">
        <v>119</v>
      </c>
      <c r="B158" s="644"/>
      <c r="C158" s="644"/>
      <c r="D158" s="644"/>
      <c r="E158" s="644"/>
      <c r="F158" s="644"/>
      <c r="G158" s="644"/>
      <c r="H158" s="644"/>
      <c r="I158" s="644"/>
      <c r="J158" s="644"/>
      <c r="K158" s="644"/>
      <c r="L158" s="644"/>
      <c r="M158" s="644"/>
      <c r="N158" s="644"/>
      <c r="O158" s="644"/>
      <c r="P158" s="644"/>
      <c r="Q158" s="644"/>
      <c r="R158" s="644"/>
      <c r="S158" s="644"/>
      <c r="T158" s="644"/>
      <c r="U158" s="644"/>
      <c r="V158" s="644"/>
      <c r="W158" s="644"/>
      <c r="X158" s="644"/>
      <c r="Y158" s="644"/>
      <c r="Z158" s="644"/>
      <c r="AA158" s="66"/>
      <c r="AB158" s="66"/>
      <c r="AC158" s="80"/>
    </row>
    <row r="159" spans="1:68" ht="27" hidden="1" customHeight="1" x14ac:dyDescent="0.25">
      <c r="A159" s="63" t="s">
        <v>281</v>
      </c>
      <c r="B159" s="63" t="s">
        <v>282</v>
      </c>
      <c r="C159" s="36">
        <v>4301012338</v>
      </c>
      <c r="D159" s="639">
        <v>4680115887374</v>
      </c>
      <c r="E159" s="639"/>
      <c r="F159" s="62">
        <v>1</v>
      </c>
      <c r="G159" s="37">
        <v>6</v>
      </c>
      <c r="H159" s="62">
        <v>6</v>
      </c>
      <c r="I159" s="62">
        <v>6.35</v>
      </c>
      <c r="J159" s="37">
        <v>104</v>
      </c>
      <c r="K159" s="37" t="s">
        <v>124</v>
      </c>
      <c r="L159" s="37" t="s">
        <v>46</v>
      </c>
      <c r="M159" s="38" t="s">
        <v>123</v>
      </c>
      <c r="N159" s="38"/>
      <c r="O159" s="37">
        <v>55</v>
      </c>
      <c r="P159" s="84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41"/>
      <c r="R159" s="641"/>
      <c r="S159" s="641"/>
      <c r="T159" s="642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IFERROR(IF(Y159=0,"",ROUNDUP(Y159/H159,0)*0.01196),"")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284</v>
      </c>
      <c r="B160" s="63" t="s">
        <v>285</v>
      </c>
      <c r="C160" s="36">
        <v>4301011705</v>
      </c>
      <c r="D160" s="639">
        <v>4607091384604</v>
      </c>
      <c r="E160" s="639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131</v>
      </c>
      <c r="L160" s="37" t="s">
        <v>46</v>
      </c>
      <c r="M160" s="38" t="s">
        <v>123</v>
      </c>
      <c r="N160" s="38"/>
      <c r="O160" s="37">
        <v>50</v>
      </c>
      <c r="P160" s="84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41"/>
      <c r="R160" s="641"/>
      <c r="S160" s="641"/>
      <c r="T160" s="642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27" hidden="1" customHeight="1" x14ac:dyDescent="0.25">
      <c r="A161" s="63" t="s">
        <v>284</v>
      </c>
      <c r="B161" s="63" t="s">
        <v>287</v>
      </c>
      <c r="C161" s="36">
        <v>4301012258</v>
      </c>
      <c r="D161" s="639">
        <v>4607091384604</v>
      </c>
      <c r="E161" s="639"/>
      <c r="F161" s="62">
        <v>0.4</v>
      </c>
      <c r="G161" s="37">
        <v>10</v>
      </c>
      <c r="H161" s="62">
        <v>4</v>
      </c>
      <c r="I161" s="62">
        <v>4.1900000000000004</v>
      </c>
      <c r="J161" s="37">
        <v>132</v>
      </c>
      <c r="K161" s="37" t="s">
        <v>131</v>
      </c>
      <c r="L161" s="37" t="s">
        <v>46</v>
      </c>
      <c r="M161" s="38" t="s">
        <v>123</v>
      </c>
      <c r="N161" s="38"/>
      <c r="O161" s="37">
        <v>50</v>
      </c>
      <c r="P161" s="84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41"/>
      <c r="R161" s="641"/>
      <c r="S161" s="641"/>
      <c r="T161" s="64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IFERROR(IF(Y161=0,"",ROUNDUP(Y161/H161,0)*0.00902),"")</f>
        <v/>
      </c>
      <c r="AA161" s="68" t="s">
        <v>46</v>
      </c>
      <c r="AB161" s="69" t="s">
        <v>46</v>
      </c>
      <c r="AC161" s="230" t="s">
        <v>286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16.5" hidden="1" customHeight="1" x14ac:dyDescent="0.25">
      <c r="A162" s="63" t="s">
        <v>288</v>
      </c>
      <c r="B162" s="63" t="s">
        <v>289</v>
      </c>
      <c r="C162" s="36">
        <v>4301012344</v>
      </c>
      <c r="D162" s="639">
        <v>4680115888876</v>
      </c>
      <c r="E162" s="639"/>
      <c r="F162" s="62">
        <v>0.43</v>
      </c>
      <c r="G162" s="37">
        <v>6</v>
      </c>
      <c r="H162" s="62">
        <v>2.58</v>
      </c>
      <c r="I162" s="62">
        <v>2.76</v>
      </c>
      <c r="J162" s="37">
        <v>182</v>
      </c>
      <c r="K162" s="37" t="s">
        <v>88</v>
      </c>
      <c r="L162" s="37" t="s">
        <v>46</v>
      </c>
      <c r="M162" s="38" t="s">
        <v>87</v>
      </c>
      <c r="N162" s="38"/>
      <c r="O162" s="37">
        <v>55</v>
      </c>
      <c r="P162" s="84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41"/>
      <c r="R162" s="641"/>
      <c r="S162" s="641"/>
      <c r="T162" s="642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IFERROR(IF(Y162=0,"",ROUNDUP(Y162/H162,0)*0.00651),"")</f>
        <v/>
      </c>
      <c r="AA162" s="68" t="s">
        <v>46</v>
      </c>
      <c r="AB162" s="69" t="s">
        <v>46</v>
      </c>
      <c r="AC162" s="232" t="s">
        <v>290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633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0" t="s">
        <v>40</v>
      </c>
      <c r="Q163" s="631"/>
      <c r="R163" s="631"/>
      <c r="S163" s="631"/>
      <c r="T163" s="631"/>
      <c r="U163" s="631"/>
      <c r="V163" s="632"/>
      <c r="W163" s="42" t="s">
        <v>39</v>
      </c>
      <c r="X163" s="43">
        <f>IFERROR(X159/H159,"0")+IFERROR(X160/H160,"0")+IFERROR(X161/H161,"0")+IFERROR(X162/H162,"0")</f>
        <v>0</v>
      </c>
      <c r="Y163" s="43">
        <f>IFERROR(Y159/H159,"0")+IFERROR(Y160/H160,"0")+IFERROR(Y161/H161,"0")+IFERROR(Y162/H162,"0")</f>
        <v>0</v>
      </c>
      <c r="Z163" s="43">
        <f>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0" t="s">
        <v>40</v>
      </c>
      <c r="Q164" s="631"/>
      <c r="R164" s="631"/>
      <c r="S164" s="631"/>
      <c r="T164" s="631"/>
      <c r="U164" s="631"/>
      <c r="V164" s="632"/>
      <c r="W164" s="42" t="s">
        <v>0</v>
      </c>
      <c r="X164" s="43">
        <f>IFERROR(SUM(X159:X162),"0")</f>
        <v>0</v>
      </c>
      <c r="Y164" s="43">
        <f>IFERROR(SUM(Y159:Y162),"0")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44" t="s">
        <v>154</v>
      </c>
      <c r="B165" s="644"/>
      <c r="C165" s="644"/>
      <c r="D165" s="644"/>
      <c r="E165" s="644"/>
      <c r="F165" s="644"/>
      <c r="G165" s="644"/>
      <c r="H165" s="644"/>
      <c r="I165" s="644"/>
      <c r="J165" s="644"/>
      <c r="K165" s="644"/>
      <c r="L165" s="644"/>
      <c r="M165" s="644"/>
      <c r="N165" s="644"/>
      <c r="O165" s="644"/>
      <c r="P165" s="644"/>
      <c r="Q165" s="644"/>
      <c r="R165" s="644"/>
      <c r="S165" s="644"/>
      <c r="T165" s="644"/>
      <c r="U165" s="644"/>
      <c r="V165" s="644"/>
      <c r="W165" s="644"/>
      <c r="X165" s="644"/>
      <c r="Y165" s="644"/>
      <c r="Z165" s="644"/>
      <c r="AA165" s="66"/>
      <c r="AB165" s="66"/>
      <c r="AC165" s="80"/>
    </row>
    <row r="166" spans="1:68" ht="16.5" hidden="1" customHeight="1" x14ac:dyDescent="0.25">
      <c r="A166" s="63" t="s">
        <v>291</v>
      </c>
      <c r="B166" s="63" t="s">
        <v>292</v>
      </c>
      <c r="C166" s="36">
        <v>4301020410</v>
      </c>
      <c r="D166" s="639">
        <v>4680115887695</v>
      </c>
      <c r="E166" s="639"/>
      <c r="F166" s="62">
        <v>0.12</v>
      </c>
      <c r="G166" s="37">
        <v>6</v>
      </c>
      <c r="H166" s="62">
        <v>0.72</v>
      </c>
      <c r="I166" s="62">
        <v>0.85</v>
      </c>
      <c r="J166" s="37">
        <v>252</v>
      </c>
      <c r="K166" s="37" t="s">
        <v>82</v>
      </c>
      <c r="L166" s="37" t="s">
        <v>46</v>
      </c>
      <c r="M166" s="38" t="s">
        <v>81</v>
      </c>
      <c r="N166" s="38"/>
      <c r="O166" s="37">
        <v>30</v>
      </c>
      <c r="P166" s="83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41"/>
      <c r="R166" s="641"/>
      <c r="S166" s="641"/>
      <c r="T166" s="64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IFERROR(IF(Y166=0,"",ROUNDUP(Y166/H166,0)*0.00556),"")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294</v>
      </c>
      <c r="B167" s="63" t="s">
        <v>295</v>
      </c>
      <c r="C167" s="36">
        <v>4301020439</v>
      </c>
      <c r="D167" s="639">
        <v>4680115889491</v>
      </c>
      <c r="E167" s="639"/>
      <c r="F167" s="62">
        <v>0.3</v>
      </c>
      <c r="G167" s="37">
        <v>8</v>
      </c>
      <c r="H167" s="62">
        <v>2.4</v>
      </c>
      <c r="I167" s="62">
        <v>2.5</v>
      </c>
      <c r="J167" s="37">
        <v>234</v>
      </c>
      <c r="K167" s="37" t="s">
        <v>82</v>
      </c>
      <c r="L167" s="37" t="s">
        <v>46</v>
      </c>
      <c r="M167" s="38" t="s">
        <v>123</v>
      </c>
      <c r="N167" s="38"/>
      <c r="O167" s="37">
        <v>55</v>
      </c>
      <c r="P167" s="84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41"/>
      <c r="R167" s="641"/>
      <c r="S167" s="641"/>
      <c r="T167" s="64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IFERROR(IF(Y167=0,"",ROUNDUP(Y167/H167,0)*0.00502),"")</f>
        <v/>
      </c>
      <c r="AA167" s="68" t="s">
        <v>46</v>
      </c>
      <c r="AB167" s="69" t="s">
        <v>46</v>
      </c>
      <c r="AC167" s="236" t="s">
        <v>296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33"/>
      <c r="B168" s="633"/>
      <c r="C168" s="633"/>
      <c r="D168" s="633"/>
      <c r="E168" s="633"/>
      <c r="F168" s="633"/>
      <c r="G168" s="633"/>
      <c r="H168" s="633"/>
      <c r="I168" s="633"/>
      <c r="J168" s="633"/>
      <c r="K168" s="633"/>
      <c r="L168" s="633"/>
      <c r="M168" s="633"/>
      <c r="N168" s="633"/>
      <c r="O168" s="634"/>
      <c r="P168" s="630" t="s">
        <v>40</v>
      </c>
      <c r="Q168" s="631"/>
      <c r="R168" s="631"/>
      <c r="S168" s="631"/>
      <c r="T168" s="631"/>
      <c r="U168" s="631"/>
      <c r="V168" s="632"/>
      <c r="W168" s="42" t="s">
        <v>39</v>
      </c>
      <c r="X168" s="43">
        <f>IFERROR(X166/H166,"0")+IFERROR(X167/H167,"0")</f>
        <v>0</v>
      </c>
      <c r="Y168" s="43">
        <f>IFERROR(Y166/H166,"0")+IFERROR(Y167/H167,"0")</f>
        <v>0</v>
      </c>
      <c r="Z168" s="43">
        <f>IFERROR(IF(Z166="",0,Z166),"0")+IFERROR(IF(Z167="",0,Z167),"0")</f>
        <v>0</v>
      </c>
      <c r="AA168" s="67"/>
      <c r="AB168" s="67"/>
      <c r="AC168" s="67"/>
    </row>
    <row r="169" spans="1:68" hidden="1" x14ac:dyDescent="0.2">
      <c r="A169" s="633"/>
      <c r="B169" s="633"/>
      <c r="C169" s="633"/>
      <c r="D169" s="633"/>
      <c r="E169" s="633"/>
      <c r="F169" s="633"/>
      <c r="G169" s="633"/>
      <c r="H169" s="633"/>
      <c r="I169" s="633"/>
      <c r="J169" s="633"/>
      <c r="K169" s="633"/>
      <c r="L169" s="633"/>
      <c r="M169" s="633"/>
      <c r="N169" s="633"/>
      <c r="O169" s="634"/>
      <c r="P169" s="630" t="s">
        <v>40</v>
      </c>
      <c r="Q169" s="631"/>
      <c r="R169" s="631"/>
      <c r="S169" s="631"/>
      <c r="T169" s="631"/>
      <c r="U169" s="631"/>
      <c r="V169" s="632"/>
      <c r="W169" s="42" t="s">
        <v>0</v>
      </c>
      <c r="X169" s="43">
        <f>IFERROR(SUM(X166:X167),"0")</f>
        <v>0</v>
      </c>
      <c r="Y169" s="43">
        <f>IFERROR(SUM(Y166:Y167),"0")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44" t="s">
        <v>77</v>
      </c>
      <c r="B170" s="644"/>
      <c r="C170" s="644"/>
      <c r="D170" s="644"/>
      <c r="E170" s="644"/>
      <c r="F170" s="644"/>
      <c r="G170" s="644"/>
      <c r="H170" s="644"/>
      <c r="I170" s="644"/>
      <c r="J170" s="644"/>
      <c r="K170" s="644"/>
      <c r="L170" s="644"/>
      <c r="M170" s="644"/>
      <c r="N170" s="644"/>
      <c r="O170" s="644"/>
      <c r="P170" s="644"/>
      <c r="Q170" s="644"/>
      <c r="R170" s="644"/>
      <c r="S170" s="644"/>
      <c r="T170" s="644"/>
      <c r="U170" s="644"/>
      <c r="V170" s="644"/>
      <c r="W170" s="644"/>
      <c r="X170" s="644"/>
      <c r="Y170" s="644"/>
      <c r="Z170" s="644"/>
      <c r="AA170" s="66"/>
      <c r="AB170" s="66"/>
      <c r="AC170" s="80"/>
    </row>
    <row r="171" spans="1:68" ht="27" hidden="1" customHeight="1" x14ac:dyDescent="0.25">
      <c r="A171" s="63" t="s">
        <v>297</v>
      </c>
      <c r="B171" s="63" t="s">
        <v>298</v>
      </c>
      <c r="C171" s="36">
        <v>4301031496</v>
      </c>
      <c r="D171" s="639">
        <v>4680115887428</v>
      </c>
      <c r="E171" s="639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131</v>
      </c>
      <c r="L171" s="37" t="s">
        <v>46</v>
      </c>
      <c r="M171" s="38" t="s">
        <v>81</v>
      </c>
      <c r="N171" s="38"/>
      <c r="O171" s="37">
        <v>40</v>
      </c>
      <c r="P171" s="83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41"/>
      <c r="R171" s="641"/>
      <c r="S171" s="641"/>
      <c r="T171" s="642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ref="Y171:Y180" si="15">IFERROR(IF(X171="",0,CEILING((X171/$H171),1)*$H171),"")</f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299</v>
      </c>
      <c r="AG171" s="78"/>
      <c r="AJ171" s="84" t="s">
        <v>46</v>
      </c>
      <c r="AK171" s="84">
        <v>0</v>
      </c>
      <c r="BB171" s="239" t="s">
        <v>67</v>
      </c>
      <c r="BM171" s="78">
        <f t="shared" ref="BM171:BM180" si="16">IFERROR(X171*I171/H171,"0")</f>
        <v>0</v>
      </c>
      <c r="BN171" s="78">
        <f t="shared" ref="BN171:BN180" si="17">IFERROR(Y171*I171/H171,"0")</f>
        <v>0</v>
      </c>
      <c r="BO171" s="78">
        <f t="shared" ref="BO171:BO180" si="18">IFERROR(1/J171*(X171/H171),"0")</f>
        <v>0</v>
      </c>
      <c r="BP171" s="78">
        <f t="shared" ref="BP171:BP180" si="19">IFERROR(1/J171*(Y171/H171),"0")</f>
        <v>0</v>
      </c>
    </row>
    <row r="172" spans="1:68" ht="27" hidden="1" customHeight="1" x14ac:dyDescent="0.25">
      <c r="A172" s="63" t="s">
        <v>300</v>
      </c>
      <c r="B172" s="63" t="s">
        <v>301</v>
      </c>
      <c r="C172" s="36">
        <v>4301031509</v>
      </c>
      <c r="D172" s="639">
        <v>4680115889170</v>
      </c>
      <c r="E172" s="639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131</v>
      </c>
      <c r="L172" s="37" t="s">
        <v>46</v>
      </c>
      <c r="M172" s="38" t="s">
        <v>81</v>
      </c>
      <c r="N172" s="38"/>
      <c r="O172" s="37">
        <v>45</v>
      </c>
      <c r="P172" s="83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41"/>
      <c r="R172" s="641"/>
      <c r="S172" s="641"/>
      <c r="T172" s="642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302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hidden="1" customHeight="1" x14ac:dyDescent="0.25">
      <c r="A173" s="63" t="s">
        <v>303</v>
      </c>
      <c r="B173" s="63" t="s">
        <v>304</v>
      </c>
      <c r="C173" s="36">
        <v>4301031522</v>
      </c>
      <c r="D173" s="639">
        <v>4680115887398</v>
      </c>
      <c r="E173" s="63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131</v>
      </c>
      <c r="L173" s="37" t="s">
        <v>46</v>
      </c>
      <c r="M173" s="38" t="s">
        <v>81</v>
      </c>
      <c r="N173" s="38"/>
      <c r="O173" s="37">
        <v>45</v>
      </c>
      <c r="P173" s="83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41"/>
      <c r="R173" s="641"/>
      <c r="S173" s="641"/>
      <c r="T173" s="64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305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306</v>
      </c>
      <c r="B174" s="63" t="s">
        <v>307</v>
      </c>
      <c r="C174" s="36">
        <v>4301031520</v>
      </c>
      <c r="D174" s="639">
        <v>4680115887336</v>
      </c>
      <c r="E174" s="639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131</v>
      </c>
      <c r="L174" s="37" t="s">
        <v>46</v>
      </c>
      <c r="M174" s="38" t="s">
        <v>81</v>
      </c>
      <c r="N174" s="38"/>
      <c r="O174" s="37">
        <v>45</v>
      </c>
      <c r="P174" s="83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41"/>
      <c r="R174" s="641"/>
      <c r="S174" s="641"/>
      <c r="T174" s="64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16.5" hidden="1" customHeight="1" x14ac:dyDescent="0.25">
      <c r="A175" s="63" t="s">
        <v>309</v>
      </c>
      <c r="B175" s="63" t="s">
        <v>310</v>
      </c>
      <c r="C175" s="36">
        <v>4301031528</v>
      </c>
      <c r="D175" s="639">
        <v>4680115887787</v>
      </c>
      <c r="E175" s="639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128</v>
      </c>
      <c r="L175" s="37" t="s">
        <v>46</v>
      </c>
      <c r="M175" s="38" t="s">
        <v>81</v>
      </c>
      <c r="N175" s="38"/>
      <c r="O175" s="37">
        <v>45</v>
      </c>
      <c r="P175" s="83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41"/>
      <c r="R175" s="641"/>
      <c r="S175" s="641"/>
      <c r="T175" s="64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IFERROR(IF(Y175=0,"",ROUNDUP(Y175/H175,0)*0.00726),"")</f>
        <v/>
      </c>
      <c r="AA175" s="68" t="s">
        <v>46</v>
      </c>
      <c r="AB175" s="69" t="s">
        <v>46</v>
      </c>
      <c r="AC175" s="246" t="s">
        <v>311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hidden="1" customHeight="1" x14ac:dyDescent="0.25">
      <c r="A176" s="63" t="s">
        <v>312</v>
      </c>
      <c r="B176" s="63" t="s">
        <v>313</v>
      </c>
      <c r="C176" s="36">
        <v>4301031448</v>
      </c>
      <c r="D176" s="639">
        <v>4680115887503</v>
      </c>
      <c r="E176" s="639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82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41"/>
      <c r="R176" s="641"/>
      <c r="S176" s="641"/>
      <c r="T176" s="64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299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314</v>
      </c>
      <c r="B177" s="63" t="s">
        <v>315</v>
      </c>
      <c r="C177" s="36">
        <v>4301031389</v>
      </c>
      <c r="D177" s="639">
        <v>4680115887763</v>
      </c>
      <c r="E177" s="639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128</v>
      </c>
      <c r="L177" s="37" t="s">
        <v>46</v>
      </c>
      <c r="M177" s="38" t="s">
        <v>81</v>
      </c>
      <c r="N177" s="38"/>
      <c r="O177" s="37">
        <v>45</v>
      </c>
      <c r="P177" s="83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41"/>
      <c r="R177" s="641"/>
      <c r="S177" s="641"/>
      <c r="T177" s="64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316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317</v>
      </c>
      <c r="B178" s="63" t="s">
        <v>318</v>
      </c>
      <c r="C178" s="36">
        <v>4301031521</v>
      </c>
      <c r="D178" s="639">
        <v>4680115887480</v>
      </c>
      <c r="E178" s="639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45</v>
      </c>
      <c r="P178" s="83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41"/>
      <c r="R178" s="641"/>
      <c r="S178" s="641"/>
      <c r="T178" s="64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305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319</v>
      </c>
      <c r="B179" s="63" t="s">
        <v>320</v>
      </c>
      <c r="C179" s="36">
        <v>4301031434</v>
      </c>
      <c r="D179" s="639">
        <v>4680115888067</v>
      </c>
      <c r="E179" s="639"/>
      <c r="F179" s="62">
        <v>0.09</v>
      </c>
      <c r="G179" s="37">
        <v>10</v>
      </c>
      <c r="H179" s="62">
        <v>0.9</v>
      </c>
      <c r="I179" s="62">
        <v>1</v>
      </c>
      <c r="J179" s="37">
        <v>336</v>
      </c>
      <c r="K179" s="37" t="s">
        <v>128</v>
      </c>
      <c r="L179" s="37" t="s">
        <v>46</v>
      </c>
      <c r="M179" s="38" t="s">
        <v>81</v>
      </c>
      <c r="N179" s="38"/>
      <c r="O179" s="37">
        <v>45</v>
      </c>
      <c r="P179" s="83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41"/>
      <c r="R179" s="641"/>
      <c r="S179" s="641"/>
      <c r="T179" s="64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321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322</v>
      </c>
      <c r="B180" s="63" t="s">
        <v>323</v>
      </c>
      <c r="C180" s="36">
        <v>4301031519</v>
      </c>
      <c r="D180" s="639">
        <v>4680115887435</v>
      </c>
      <c r="E180" s="63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45</v>
      </c>
      <c r="P180" s="83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41"/>
      <c r="R180" s="641"/>
      <c r="S180" s="641"/>
      <c r="T180" s="64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308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idden="1" x14ac:dyDescent="0.2">
      <c r="A181" s="633"/>
      <c r="B181" s="633"/>
      <c r="C181" s="633"/>
      <c r="D181" s="633"/>
      <c r="E181" s="633"/>
      <c r="F181" s="633"/>
      <c r="G181" s="633"/>
      <c r="H181" s="633"/>
      <c r="I181" s="633"/>
      <c r="J181" s="633"/>
      <c r="K181" s="633"/>
      <c r="L181" s="633"/>
      <c r="M181" s="633"/>
      <c r="N181" s="633"/>
      <c r="O181" s="634"/>
      <c r="P181" s="630" t="s">
        <v>40</v>
      </c>
      <c r="Q181" s="631"/>
      <c r="R181" s="631"/>
      <c r="S181" s="631"/>
      <c r="T181" s="631"/>
      <c r="U181" s="631"/>
      <c r="V181" s="632"/>
      <c r="W181" s="42" t="s">
        <v>39</v>
      </c>
      <c r="X181" s="43">
        <f>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3">
        <f>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3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7"/>
      <c r="AB181" s="67"/>
      <c r="AC181" s="67"/>
    </row>
    <row r="182" spans="1:68" hidden="1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0" t="s">
        <v>40</v>
      </c>
      <c r="Q182" s="631"/>
      <c r="R182" s="631"/>
      <c r="S182" s="631"/>
      <c r="T182" s="631"/>
      <c r="U182" s="631"/>
      <c r="V182" s="632"/>
      <c r="W182" s="42" t="s">
        <v>0</v>
      </c>
      <c r="X182" s="43">
        <f>IFERROR(SUM(X171:X180),"0")</f>
        <v>0</v>
      </c>
      <c r="Y182" s="43">
        <f>IFERROR(SUM(Y171:Y180),"0")</f>
        <v>0</v>
      </c>
      <c r="Z182" s="42"/>
      <c r="AA182" s="67"/>
      <c r="AB182" s="67"/>
      <c r="AC182" s="67"/>
    </row>
    <row r="183" spans="1:68" ht="14.25" hidden="1" customHeight="1" x14ac:dyDescent="0.25">
      <c r="A183" s="644" t="s">
        <v>83</v>
      </c>
      <c r="B183" s="644"/>
      <c r="C183" s="644"/>
      <c r="D183" s="644"/>
      <c r="E183" s="644"/>
      <c r="F183" s="644"/>
      <c r="G183" s="644"/>
      <c r="H183" s="644"/>
      <c r="I183" s="644"/>
      <c r="J183" s="644"/>
      <c r="K183" s="644"/>
      <c r="L183" s="644"/>
      <c r="M183" s="644"/>
      <c r="N183" s="644"/>
      <c r="O183" s="644"/>
      <c r="P183" s="644"/>
      <c r="Q183" s="644"/>
      <c r="R183" s="644"/>
      <c r="S183" s="644"/>
      <c r="T183" s="644"/>
      <c r="U183" s="644"/>
      <c r="V183" s="644"/>
      <c r="W183" s="644"/>
      <c r="X183" s="644"/>
      <c r="Y183" s="644"/>
      <c r="Z183" s="644"/>
      <c r="AA183" s="66"/>
      <c r="AB183" s="66"/>
      <c r="AC183" s="80"/>
    </row>
    <row r="184" spans="1:68" ht="16.5" hidden="1" customHeight="1" x14ac:dyDescent="0.25">
      <c r="A184" s="63" t="s">
        <v>324</v>
      </c>
      <c r="B184" s="63" t="s">
        <v>325</v>
      </c>
      <c r="C184" s="36">
        <v>4301052193</v>
      </c>
      <c r="D184" s="639">
        <v>4680115888395</v>
      </c>
      <c r="E184" s="639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88</v>
      </c>
      <c r="L184" s="37" t="s">
        <v>46</v>
      </c>
      <c r="M184" s="38" t="s">
        <v>94</v>
      </c>
      <c r="N184" s="38"/>
      <c r="O184" s="37">
        <v>40</v>
      </c>
      <c r="P184" s="82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41"/>
      <c r="R184" s="641"/>
      <c r="S184" s="641"/>
      <c r="T184" s="642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hidden="1" customHeight="1" x14ac:dyDescent="0.25">
      <c r="A185" s="63" t="s">
        <v>327</v>
      </c>
      <c r="B185" s="63" t="s">
        <v>328</v>
      </c>
      <c r="C185" s="36">
        <v>4301052191</v>
      </c>
      <c r="D185" s="639">
        <v>4680115888371</v>
      </c>
      <c r="E185" s="639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88</v>
      </c>
      <c r="L185" s="37" t="s">
        <v>46</v>
      </c>
      <c r="M185" s="38" t="s">
        <v>94</v>
      </c>
      <c r="N185" s="38"/>
      <c r="O185" s="37">
        <v>40</v>
      </c>
      <c r="P185" s="82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41"/>
      <c r="R185" s="641"/>
      <c r="S185" s="641"/>
      <c r="T185" s="642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329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idden="1" x14ac:dyDescent="0.2">
      <c r="A186" s="633"/>
      <c r="B186" s="633"/>
      <c r="C186" s="633"/>
      <c r="D186" s="633"/>
      <c r="E186" s="633"/>
      <c r="F186" s="633"/>
      <c r="G186" s="633"/>
      <c r="H186" s="633"/>
      <c r="I186" s="633"/>
      <c r="J186" s="633"/>
      <c r="K186" s="633"/>
      <c r="L186" s="633"/>
      <c r="M186" s="633"/>
      <c r="N186" s="633"/>
      <c r="O186" s="634"/>
      <c r="P186" s="630" t="s">
        <v>40</v>
      </c>
      <c r="Q186" s="631"/>
      <c r="R186" s="631"/>
      <c r="S186" s="631"/>
      <c r="T186" s="631"/>
      <c r="U186" s="631"/>
      <c r="V186" s="632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hidden="1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0" t="s">
        <v>40</v>
      </c>
      <c r="Q187" s="631"/>
      <c r="R187" s="631"/>
      <c r="S187" s="631"/>
      <c r="T187" s="631"/>
      <c r="U187" s="631"/>
      <c r="V187" s="632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44" t="s">
        <v>274</v>
      </c>
      <c r="B188" s="644"/>
      <c r="C188" s="644"/>
      <c r="D188" s="644"/>
      <c r="E188" s="644"/>
      <c r="F188" s="644"/>
      <c r="G188" s="644"/>
      <c r="H188" s="644"/>
      <c r="I188" s="644"/>
      <c r="J188" s="644"/>
      <c r="K188" s="644"/>
      <c r="L188" s="644"/>
      <c r="M188" s="644"/>
      <c r="N188" s="644"/>
      <c r="O188" s="644"/>
      <c r="P188" s="644"/>
      <c r="Q188" s="644"/>
      <c r="R188" s="644"/>
      <c r="S188" s="644"/>
      <c r="T188" s="644"/>
      <c r="U188" s="644"/>
      <c r="V188" s="644"/>
      <c r="W188" s="644"/>
      <c r="X188" s="644"/>
      <c r="Y188" s="644"/>
      <c r="Z188" s="644"/>
      <c r="AA188" s="66"/>
      <c r="AB188" s="66"/>
      <c r="AC188" s="80"/>
    </row>
    <row r="189" spans="1:68" ht="16.5" hidden="1" customHeight="1" x14ac:dyDescent="0.25">
      <c r="A189" s="63" t="s">
        <v>330</v>
      </c>
      <c r="B189" s="63" t="s">
        <v>331</v>
      </c>
      <c r="C189" s="36">
        <v>4301032058</v>
      </c>
      <c r="D189" s="639">
        <v>4680115889026</v>
      </c>
      <c r="E189" s="639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333</v>
      </c>
      <c r="L189" s="37" t="s">
        <v>46</v>
      </c>
      <c r="M189" s="38" t="s">
        <v>279</v>
      </c>
      <c r="N189" s="38"/>
      <c r="O189" s="37">
        <v>60</v>
      </c>
      <c r="P189" s="82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41"/>
      <c r="R189" s="641"/>
      <c r="S189" s="641"/>
      <c r="T189" s="64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332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33"/>
      <c r="B190" s="633"/>
      <c r="C190" s="633"/>
      <c r="D190" s="633"/>
      <c r="E190" s="633"/>
      <c r="F190" s="633"/>
      <c r="G190" s="633"/>
      <c r="H190" s="633"/>
      <c r="I190" s="633"/>
      <c r="J190" s="633"/>
      <c r="K190" s="633"/>
      <c r="L190" s="633"/>
      <c r="M190" s="633"/>
      <c r="N190" s="633"/>
      <c r="O190" s="634"/>
      <c r="P190" s="630" t="s">
        <v>40</v>
      </c>
      <c r="Q190" s="631"/>
      <c r="R190" s="631"/>
      <c r="S190" s="631"/>
      <c r="T190" s="631"/>
      <c r="U190" s="631"/>
      <c r="V190" s="632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633"/>
      <c r="B191" s="633"/>
      <c r="C191" s="633"/>
      <c r="D191" s="633"/>
      <c r="E191" s="633"/>
      <c r="F191" s="633"/>
      <c r="G191" s="633"/>
      <c r="H191" s="633"/>
      <c r="I191" s="633"/>
      <c r="J191" s="633"/>
      <c r="K191" s="633"/>
      <c r="L191" s="633"/>
      <c r="M191" s="633"/>
      <c r="N191" s="633"/>
      <c r="O191" s="634"/>
      <c r="P191" s="630" t="s">
        <v>40</v>
      </c>
      <c r="Q191" s="631"/>
      <c r="R191" s="631"/>
      <c r="S191" s="631"/>
      <c r="T191" s="631"/>
      <c r="U191" s="631"/>
      <c r="V191" s="632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44" t="s">
        <v>334</v>
      </c>
      <c r="B192" s="644"/>
      <c r="C192" s="644"/>
      <c r="D192" s="644"/>
      <c r="E192" s="644"/>
      <c r="F192" s="644"/>
      <c r="G192" s="644"/>
      <c r="H192" s="644"/>
      <c r="I192" s="644"/>
      <c r="J192" s="644"/>
      <c r="K192" s="644"/>
      <c r="L192" s="644"/>
      <c r="M192" s="644"/>
      <c r="N192" s="644"/>
      <c r="O192" s="644"/>
      <c r="P192" s="644"/>
      <c r="Q192" s="644"/>
      <c r="R192" s="644"/>
      <c r="S192" s="644"/>
      <c r="T192" s="644"/>
      <c r="U192" s="644"/>
      <c r="V192" s="644"/>
      <c r="W192" s="644"/>
      <c r="X192" s="644"/>
      <c r="Y192" s="644"/>
      <c r="Z192" s="644"/>
      <c r="AA192" s="66"/>
      <c r="AB192" s="66"/>
      <c r="AC192" s="80"/>
    </row>
    <row r="193" spans="1:68" ht="27" hidden="1" customHeight="1" x14ac:dyDescent="0.25">
      <c r="A193" s="63" t="s">
        <v>335</v>
      </c>
      <c r="B193" s="63" t="s">
        <v>336</v>
      </c>
      <c r="C193" s="36">
        <v>4301041009</v>
      </c>
      <c r="D193" s="639">
        <v>4680115889033</v>
      </c>
      <c r="E193" s="639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333</v>
      </c>
      <c r="L193" s="37" t="s">
        <v>46</v>
      </c>
      <c r="M193" s="38" t="s">
        <v>279</v>
      </c>
      <c r="N193" s="38"/>
      <c r="O193" s="37">
        <v>60</v>
      </c>
      <c r="P193" s="82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41"/>
      <c r="R193" s="641"/>
      <c r="S193" s="641"/>
      <c r="T193" s="64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33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0" t="s">
        <v>40</v>
      </c>
      <c r="Q194" s="631"/>
      <c r="R194" s="631"/>
      <c r="S194" s="631"/>
      <c r="T194" s="631"/>
      <c r="U194" s="631"/>
      <c r="V194" s="632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33"/>
      <c r="B195" s="633"/>
      <c r="C195" s="633"/>
      <c r="D195" s="633"/>
      <c r="E195" s="633"/>
      <c r="F195" s="633"/>
      <c r="G195" s="633"/>
      <c r="H195" s="633"/>
      <c r="I195" s="633"/>
      <c r="J195" s="633"/>
      <c r="K195" s="633"/>
      <c r="L195" s="633"/>
      <c r="M195" s="633"/>
      <c r="N195" s="633"/>
      <c r="O195" s="634"/>
      <c r="P195" s="630" t="s">
        <v>40</v>
      </c>
      <c r="Q195" s="631"/>
      <c r="R195" s="631"/>
      <c r="S195" s="631"/>
      <c r="T195" s="631"/>
      <c r="U195" s="631"/>
      <c r="V195" s="632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50" t="s">
        <v>338</v>
      </c>
      <c r="B196" s="650"/>
      <c r="C196" s="650"/>
      <c r="D196" s="650"/>
      <c r="E196" s="650"/>
      <c r="F196" s="650"/>
      <c r="G196" s="650"/>
      <c r="H196" s="650"/>
      <c r="I196" s="650"/>
      <c r="J196" s="650"/>
      <c r="K196" s="650"/>
      <c r="L196" s="650"/>
      <c r="M196" s="650"/>
      <c r="N196" s="650"/>
      <c r="O196" s="650"/>
      <c r="P196" s="650"/>
      <c r="Q196" s="650"/>
      <c r="R196" s="650"/>
      <c r="S196" s="650"/>
      <c r="T196" s="650"/>
      <c r="U196" s="650"/>
      <c r="V196" s="650"/>
      <c r="W196" s="650"/>
      <c r="X196" s="650"/>
      <c r="Y196" s="650"/>
      <c r="Z196" s="650"/>
      <c r="AA196" s="54"/>
      <c r="AB196" s="54"/>
      <c r="AC196" s="54"/>
    </row>
    <row r="197" spans="1:68" ht="16.5" hidden="1" customHeight="1" x14ac:dyDescent="0.25">
      <c r="A197" s="643" t="s">
        <v>339</v>
      </c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3"/>
      <c r="P197" s="643"/>
      <c r="Q197" s="643"/>
      <c r="R197" s="643"/>
      <c r="S197" s="643"/>
      <c r="T197" s="643"/>
      <c r="U197" s="643"/>
      <c r="V197" s="643"/>
      <c r="W197" s="643"/>
      <c r="X197" s="643"/>
      <c r="Y197" s="643"/>
      <c r="Z197" s="643"/>
      <c r="AA197" s="65"/>
      <c r="AB197" s="65"/>
      <c r="AC197" s="79"/>
    </row>
    <row r="198" spans="1:68" ht="14.25" hidden="1" customHeight="1" x14ac:dyDescent="0.25">
      <c r="A198" s="644" t="s">
        <v>119</v>
      </c>
      <c r="B198" s="644"/>
      <c r="C198" s="644"/>
      <c r="D198" s="644"/>
      <c r="E198" s="644"/>
      <c r="F198" s="644"/>
      <c r="G198" s="644"/>
      <c r="H198" s="644"/>
      <c r="I198" s="644"/>
      <c r="J198" s="644"/>
      <c r="K198" s="644"/>
      <c r="L198" s="644"/>
      <c r="M198" s="644"/>
      <c r="N198" s="644"/>
      <c r="O198" s="644"/>
      <c r="P198" s="644"/>
      <c r="Q198" s="644"/>
      <c r="R198" s="644"/>
      <c r="S198" s="644"/>
      <c r="T198" s="644"/>
      <c r="U198" s="644"/>
      <c r="V198" s="644"/>
      <c r="W198" s="644"/>
      <c r="X198" s="644"/>
      <c r="Y198" s="644"/>
      <c r="Z198" s="644"/>
      <c r="AA198" s="66"/>
      <c r="AB198" s="66"/>
      <c r="AC198" s="80"/>
    </row>
    <row r="199" spans="1:68" ht="27" hidden="1" customHeight="1" x14ac:dyDescent="0.25">
      <c r="A199" s="63" t="s">
        <v>340</v>
      </c>
      <c r="B199" s="63" t="s">
        <v>341</v>
      </c>
      <c r="C199" s="36">
        <v>4301011223</v>
      </c>
      <c r="D199" s="639">
        <v>4607091383423</v>
      </c>
      <c r="E199" s="639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124</v>
      </c>
      <c r="L199" s="37" t="s">
        <v>46</v>
      </c>
      <c r="M199" s="38" t="s">
        <v>87</v>
      </c>
      <c r="N199" s="38"/>
      <c r="O199" s="37">
        <v>35</v>
      </c>
      <c r="P199" s="82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41"/>
      <c r="R199" s="641"/>
      <c r="S199" s="641"/>
      <c r="T199" s="642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122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hidden="1" customHeight="1" x14ac:dyDescent="0.25">
      <c r="A200" s="63" t="s">
        <v>342</v>
      </c>
      <c r="B200" s="63" t="s">
        <v>343</v>
      </c>
      <c r="C200" s="36">
        <v>4301012340</v>
      </c>
      <c r="D200" s="639">
        <v>4680115888760</v>
      </c>
      <c r="E200" s="639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124</v>
      </c>
      <c r="L200" s="37" t="s">
        <v>46</v>
      </c>
      <c r="M200" s="38" t="s">
        <v>87</v>
      </c>
      <c r="N200" s="38"/>
      <c r="O200" s="37">
        <v>35</v>
      </c>
      <c r="P200" s="82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41"/>
      <c r="R200" s="641"/>
      <c r="S200" s="641"/>
      <c r="T200" s="64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344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345</v>
      </c>
      <c r="B201" s="63" t="s">
        <v>346</v>
      </c>
      <c r="C201" s="36">
        <v>4301012341</v>
      </c>
      <c r="D201" s="639">
        <v>4680115888807</v>
      </c>
      <c r="E201" s="63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124</v>
      </c>
      <c r="L201" s="37" t="s">
        <v>46</v>
      </c>
      <c r="M201" s="38" t="s">
        <v>87</v>
      </c>
      <c r="N201" s="38"/>
      <c r="O201" s="37">
        <v>35</v>
      </c>
      <c r="P201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41"/>
      <c r="R201" s="641"/>
      <c r="S201" s="641"/>
      <c r="T201" s="64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347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hidden="1" customHeight="1" x14ac:dyDescent="0.25">
      <c r="A202" s="63" t="s">
        <v>348</v>
      </c>
      <c r="B202" s="63" t="s">
        <v>349</v>
      </c>
      <c r="C202" s="36">
        <v>4301012342</v>
      </c>
      <c r="D202" s="639">
        <v>4680115888852</v>
      </c>
      <c r="E202" s="639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124</v>
      </c>
      <c r="L202" s="37" t="s">
        <v>46</v>
      </c>
      <c r="M202" s="38" t="s">
        <v>87</v>
      </c>
      <c r="N202" s="38"/>
      <c r="O202" s="37">
        <v>35</v>
      </c>
      <c r="P202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41"/>
      <c r="R202" s="641"/>
      <c r="S202" s="641"/>
      <c r="T202" s="64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350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hidden="1" customHeight="1" x14ac:dyDescent="0.25">
      <c r="A203" s="63" t="s">
        <v>351</v>
      </c>
      <c r="B203" s="63" t="s">
        <v>352</v>
      </c>
      <c r="C203" s="36">
        <v>4301012370</v>
      </c>
      <c r="D203" s="639">
        <v>4680115886957</v>
      </c>
      <c r="E203" s="639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124</v>
      </c>
      <c r="L203" s="37" t="s">
        <v>46</v>
      </c>
      <c r="M203" s="38" t="s">
        <v>87</v>
      </c>
      <c r="N203" s="38"/>
      <c r="O203" s="37">
        <v>35</v>
      </c>
      <c r="P203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41"/>
      <c r="R203" s="641"/>
      <c r="S203" s="641"/>
      <c r="T203" s="64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353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354</v>
      </c>
      <c r="B204" s="63" t="s">
        <v>355</v>
      </c>
      <c r="C204" s="36">
        <v>4301012098</v>
      </c>
      <c r="D204" s="639">
        <v>4680115885660</v>
      </c>
      <c r="E204" s="639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124</v>
      </c>
      <c r="L204" s="37" t="s">
        <v>46</v>
      </c>
      <c r="M204" s="38" t="s">
        <v>87</v>
      </c>
      <c r="N204" s="38"/>
      <c r="O204" s="37">
        <v>35</v>
      </c>
      <c r="P204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41"/>
      <c r="R204" s="641"/>
      <c r="S204" s="641"/>
      <c r="T204" s="64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356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357</v>
      </c>
      <c r="B205" s="63" t="s">
        <v>358</v>
      </c>
      <c r="C205" s="36">
        <v>4301012369</v>
      </c>
      <c r="D205" s="639">
        <v>4680115886773</v>
      </c>
      <c r="E205" s="639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124</v>
      </c>
      <c r="L205" s="37" t="s">
        <v>46</v>
      </c>
      <c r="M205" s="38" t="s">
        <v>87</v>
      </c>
      <c r="N205" s="38"/>
      <c r="O205" s="37">
        <v>35</v>
      </c>
      <c r="P205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41"/>
      <c r="R205" s="641"/>
      <c r="S205" s="641"/>
      <c r="T205" s="64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359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idden="1" x14ac:dyDescent="0.2">
      <c r="A206" s="633"/>
      <c r="B206" s="633"/>
      <c r="C206" s="633"/>
      <c r="D206" s="633"/>
      <c r="E206" s="633"/>
      <c r="F206" s="633"/>
      <c r="G206" s="633"/>
      <c r="H206" s="633"/>
      <c r="I206" s="633"/>
      <c r="J206" s="633"/>
      <c r="K206" s="633"/>
      <c r="L206" s="633"/>
      <c r="M206" s="633"/>
      <c r="N206" s="633"/>
      <c r="O206" s="634"/>
      <c r="P206" s="630" t="s">
        <v>40</v>
      </c>
      <c r="Q206" s="631"/>
      <c r="R206" s="631"/>
      <c r="S206" s="631"/>
      <c r="T206" s="631"/>
      <c r="U206" s="631"/>
      <c r="V206" s="632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633"/>
      <c r="B207" s="633"/>
      <c r="C207" s="633"/>
      <c r="D207" s="633"/>
      <c r="E207" s="633"/>
      <c r="F207" s="633"/>
      <c r="G207" s="633"/>
      <c r="H207" s="633"/>
      <c r="I207" s="633"/>
      <c r="J207" s="633"/>
      <c r="K207" s="633"/>
      <c r="L207" s="633"/>
      <c r="M207" s="633"/>
      <c r="N207" s="633"/>
      <c r="O207" s="634"/>
      <c r="P207" s="630" t="s">
        <v>40</v>
      </c>
      <c r="Q207" s="631"/>
      <c r="R207" s="631"/>
      <c r="S207" s="631"/>
      <c r="T207" s="631"/>
      <c r="U207" s="631"/>
      <c r="V207" s="632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643" t="s">
        <v>360</v>
      </c>
      <c r="B208" s="643"/>
      <c r="C208" s="643"/>
      <c r="D208" s="643"/>
      <c r="E208" s="643"/>
      <c r="F208" s="643"/>
      <c r="G208" s="643"/>
      <c r="H208" s="643"/>
      <c r="I208" s="643"/>
      <c r="J208" s="643"/>
      <c r="K208" s="643"/>
      <c r="L208" s="643"/>
      <c r="M208" s="643"/>
      <c r="N208" s="643"/>
      <c r="O208" s="643"/>
      <c r="P208" s="643"/>
      <c r="Q208" s="643"/>
      <c r="R208" s="643"/>
      <c r="S208" s="643"/>
      <c r="T208" s="643"/>
      <c r="U208" s="643"/>
      <c r="V208" s="643"/>
      <c r="W208" s="643"/>
      <c r="X208" s="643"/>
      <c r="Y208" s="643"/>
      <c r="Z208" s="643"/>
      <c r="AA208" s="65"/>
      <c r="AB208" s="65"/>
      <c r="AC208" s="79"/>
    </row>
    <row r="209" spans="1:68" ht="14.25" hidden="1" customHeight="1" x14ac:dyDescent="0.25">
      <c r="A209" s="644" t="s">
        <v>154</v>
      </c>
      <c r="B209" s="644"/>
      <c r="C209" s="644"/>
      <c r="D209" s="644"/>
      <c r="E209" s="644"/>
      <c r="F209" s="644"/>
      <c r="G209" s="644"/>
      <c r="H209" s="644"/>
      <c r="I209" s="644"/>
      <c r="J209" s="644"/>
      <c r="K209" s="644"/>
      <c r="L209" s="644"/>
      <c r="M209" s="644"/>
      <c r="N209" s="644"/>
      <c r="O209" s="644"/>
      <c r="P209" s="644"/>
      <c r="Q209" s="644"/>
      <c r="R209" s="644"/>
      <c r="S209" s="644"/>
      <c r="T209" s="644"/>
      <c r="U209" s="644"/>
      <c r="V209" s="644"/>
      <c r="W209" s="644"/>
      <c r="X209" s="644"/>
      <c r="Y209" s="644"/>
      <c r="Z209" s="644"/>
      <c r="AA209" s="66"/>
      <c r="AB209" s="66"/>
      <c r="AC209" s="80"/>
    </row>
    <row r="210" spans="1:68" ht="27" hidden="1" customHeight="1" x14ac:dyDescent="0.25">
      <c r="A210" s="63" t="s">
        <v>361</v>
      </c>
      <c r="B210" s="63" t="s">
        <v>362</v>
      </c>
      <c r="C210" s="36">
        <v>4301020323</v>
      </c>
      <c r="D210" s="639">
        <v>4680115886223</v>
      </c>
      <c r="E210" s="639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81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41"/>
      <c r="R210" s="641"/>
      <c r="S210" s="641"/>
      <c r="T210" s="642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363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633"/>
      <c r="B211" s="633"/>
      <c r="C211" s="633"/>
      <c r="D211" s="633"/>
      <c r="E211" s="633"/>
      <c r="F211" s="633"/>
      <c r="G211" s="633"/>
      <c r="H211" s="633"/>
      <c r="I211" s="633"/>
      <c r="J211" s="633"/>
      <c r="K211" s="633"/>
      <c r="L211" s="633"/>
      <c r="M211" s="633"/>
      <c r="N211" s="633"/>
      <c r="O211" s="634"/>
      <c r="P211" s="630" t="s">
        <v>40</v>
      </c>
      <c r="Q211" s="631"/>
      <c r="R211" s="631"/>
      <c r="S211" s="631"/>
      <c r="T211" s="631"/>
      <c r="U211" s="631"/>
      <c r="V211" s="632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633"/>
      <c r="B212" s="633"/>
      <c r="C212" s="633"/>
      <c r="D212" s="633"/>
      <c r="E212" s="633"/>
      <c r="F212" s="633"/>
      <c r="G212" s="633"/>
      <c r="H212" s="633"/>
      <c r="I212" s="633"/>
      <c r="J212" s="633"/>
      <c r="K212" s="633"/>
      <c r="L212" s="633"/>
      <c r="M212" s="633"/>
      <c r="N212" s="633"/>
      <c r="O212" s="634"/>
      <c r="P212" s="630" t="s">
        <v>40</v>
      </c>
      <c r="Q212" s="631"/>
      <c r="R212" s="631"/>
      <c r="S212" s="631"/>
      <c r="T212" s="631"/>
      <c r="U212" s="631"/>
      <c r="V212" s="632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44" t="s">
        <v>77</v>
      </c>
      <c r="B213" s="644"/>
      <c r="C213" s="644"/>
      <c r="D213" s="644"/>
      <c r="E213" s="644"/>
      <c r="F213" s="644"/>
      <c r="G213" s="644"/>
      <c r="H213" s="644"/>
      <c r="I213" s="644"/>
      <c r="J213" s="644"/>
      <c r="K213" s="644"/>
      <c r="L213" s="644"/>
      <c r="M213" s="644"/>
      <c r="N213" s="644"/>
      <c r="O213" s="644"/>
      <c r="P213" s="644"/>
      <c r="Q213" s="644"/>
      <c r="R213" s="644"/>
      <c r="S213" s="644"/>
      <c r="T213" s="644"/>
      <c r="U213" s="644"/>
      <c r="V213" s="644"/>
      <c r="W213" s="644"/>
      <c r="X213" s="644"/>
      <c r="Y213" s="644"/>
      <c r="Z213" s="644"/>
      <c r="AA213" s="66"/>
      <c r="AB213" s="66"/>
      <c r="AC213" s="80"/>
    </row>
    <row r="214" spans="1:68" ht="27" hidden="1" customHeight="1" x14ac:dyDescent="0.25">
      <c r="A214" s="63" t="s">
        <v>364</v>
      </c>
      <c r="B214" s="63" t="s">
        <v>365</v>
      </c>
      <c r="C214" s="36">
        <v>4301031191</v>
      </c>
      <c r="D214" s="639">
        <v>4680115880993</v>
      </c>
      <c r="E214" s="639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131</v>
      </c>
      <c r="L214" s="37" t="s">
        <v>46</v>
      </c>
      <c r="M214" s="38" t="s">
        <v>81</v>
      </c>
      <c r="N214" s="38"/>
      <c r="O214" s="37">
        <v>40</v>
      </c>
      <c r="P214" s="81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41"/>
      <c r="R214" s="641"/>
      <c r="S214" s="641"/>
      <c r="T214" s="64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6" si="26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366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0</v>
      </c>
      <c r="BN214" s="78">
        <f t="shared" ref="BN214:BN226" si="28">IFERROR(Y214*I214/H214,"0")</f>
        <v>0</v>
      </c>
      <c r="BO214" s="78">
        <f t="shared" ref="BO214:BO226" si="29">IFERROR(1/J214*(X214/H214),"0")</f>
        <v>0</v>
      </c>
      <c r="BP214" s="78">
        <f t="shared" ref="BP214:BP226" si="30">IFERROR(1/J214*(Y214/H214),"0")</f>
        <v>0</v>
      </c>
    </row>
    <row r="215" spans="1:68" ht="27" hidden="1" customHeight="1" x14ac:dyDescent="0.25">
      <c r="A215" s="63" t="s">
        <v>367</v>
      </c>
      <c r="B215" s="63" t="s">
        <v>368</v>
      </c>
      <c r="C215" s="36">
        <v>4301031204</v>
      </c>
      <c r="D215" s="639">
        <v>4680115881761</v>
      </c>
      <c r="E215" s="63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131</v>
      </c>
      <c r="L215" s="37" t="s">
        <v>46</v>
      </c>
      <c r="M215" s="38" t="s">
        <v>81</v>
      </c>
      <c r="N215" s="38"/>
      <c r="O215" s="37">
        <v>40</v>
      </c>
      <c r="P215" s="81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41"/>
      <c r="R215" s="641"/>
      <c r="S215" s="641"/>
      <c r="T215" s="64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369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hidden="1" customHeight="1" x14ac:dyDescent="0.25">
      <c r="A216" s="63" t="s">
        <v>370</v>
      </c>
      <c r="B216" s="63" t="s">
        <v>371</v>
      </c>
      <c r="C216" s="36">
        <v>4301031201</v>
      </c>
      <c r="D216" s="639">
        <v>4680115881563</v>
      </c>
      <c r="E216" s="639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131</v>
      </c>
      <c r="L216" s="37" t="s">
        <v>46</v>
      </c>
      <c r="M216" s="38" t="s">
        <v>81</v>
      </c>
      <c r="N216" s="38"/>
      <c r="O216" s="37">
        <v>40</v>
      </c>
      <c r="P216" s="81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41"/>
      <c r="R216" s="641"/>
      <c r="S216" s="641"/>
      <c r="T216" s="64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372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37.5" hidden="1" customHeight="1" x14ac:dyDescent="0.25">
      <c r="A217" s="63" t="s">
        <v>373</v>
      </c>
      <c r="B217" s="63" t="s">
        <v>374</v>
      </c>
      <c r="C217" s="36">
        <v>4301031447</v>
      </c>
      <c r="D217" s="639">
        <v>4680115887565</v>
      </c>
      <c r="E217" s="639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81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41"/>
      <c r="R217" s="641"/>
      <c r="S217" s="641"/>
      <c r="T217" s="64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375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hidden="1" customHeight="1" x14ac:dyDescent="0.25">
      <c r="A218" s="63" t="s">
        <v>376</v>
      </c>
      <c r="B218" s="63" t="s">
        <v>377</v>
      </c>
      <c r="C218" s="36">
        <v>4301031199</v>
      </c>
      <c r="D218" s="639">
        <v>4680115880986</v>
      </c>
      <c r="E218" s="639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80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41"/>
      <c r="R218" s="641"/>
      <c r="S218" s="641"/>
      <c r="T218" s="64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0" t="s">
        <v>366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378</v>
      </c>
      <c r="B219" s="63" t="s">
        <v>379</v>
      </c>
      <c r="C219" s="36">
        <v>4301031443</v>
      </c>
      <c r="D219" s="639">
        <v>4680115887213</v>
      </c>
      <c r="E219" s="639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80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41"/>
      <c r="R219" s="641"/>
      <c r="S219" s="641"/>
      <c r="T219" s="64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380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381</v>
      </c>
      <c r="B220" s="63" t="s">
        <v>382</v>
      </c>
      <c r="C220" s="36">
        <v>4301031205</v>
      </c>
      <c r="D220" s="639">
        <v>4680115881785</v>
      </c>
      <c r="E220" s="639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81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41"/>
      <c r="R220" s="641"/>
      <c r="S220" s="641"/>
      <c r="T220" s="64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94" t="s">
        <v>369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383</v>
      </c>
      <c r="B221" s="63" t="s">
        <v>384</v>
      </c>
      <c r="C221" s="36">
        <v>4301031499</v>
      </c>
      <c r="D221" s="639">
        <v>4680115888432</v>
      </c>
      <c r="E221" s="639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41"/>
      <c r="R221" s="641"/>
      <c r="S221" s="641"/>
      <c r="T221" s="64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385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386</v>
      </c>
      <c r="B222" s="63" t="s">
        <v>387</v>
      </c>
      <c r="C222" s="36">
        <v>4301031503</v>
      </c>
      <c r="D222" s="639">
        <v>4680115886537</v>
      </c>
      <c r="E222" s="63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1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41"/>
      <c r="R222" s="641"/>
      <c r="S222" s="641"/>
      <c r="T222" s="64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388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389</v>
      </c>
      <c r="B223" s="63" t="s">
        <v>390</v>
      </c>
      <c r="C223" s="36">
        <v>4301031279</v>
      </c>
      <c r="D223" s="639">
        <v>4680115887596</v>
      </c>
      <c r="E223" s="639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128</v>
      </c>
      <c r="L223" s="37" t="s">
        <v>46</v>
      </c>
      <c r="M223" s="38" t="s">
        <v>81</v>
      </c>
      <c r="N223" s="38"/>
      <c r="O223" s="37">
        <v>45</v>
      </c>
      <c r="P223" s="80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41"/>
      <c r="R223" s="641"/>
      <c r="S223" s="641"/>
      <c r="T223" s="64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391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hidden="1" customHeight="1" x14ac:dyDescent="0.25">
      <c r="A224" s="63" t="s">
        <v>392</v>
      </c>
      <c r="B224" s="63" t="s">
        <v>393</v>
      </c>
      <c r="C224" s="36">
        <v>4301031530</v>
      </c>
      <c r="D224" s="639">
        <v>4680115881679</v>
      </c>
      <c r="E224" s="639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0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41"/>
      <c r="R224" s="641"/>
      <c r="S224" s="641"/>
      <c r="T224" s="64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394</v>
      </c>
      <c r="B225" s="63" t="s">
        <v>395</v>
      </c>
      <c r="C225" s="36">
        <v>4301031531</v>
      </c>
      <c r="D225" s="639">
        <v>4680115880191</v>
      </c>
      <c r="E225" s="639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88</v>
      </c>
      <c r="L225" s="37" t="s">
        <v>46</v>
      </c>
      <c r="M225" s="38" t="s">
        <v>81</v>
      </c>
      <c r="N225" s="38"/>
      <c r="O225" s="37">
        <v>45</v>
      </c>
      <c r="P225" s="80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41"/>
      <c r="R225" s="641"/>
      <c r="S225" s="641"/>
      <c r="T225" s="64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396</v>
      </c>
      <c r="B226" s="63" t="s">
        <v>397</v>
      </c>
      <c r="C226" s="36">
        <v>4301031245</v>
      </c>
      <c r="D226" s="639">
        <v>4680115883963</v>
      </c>
      <c r="E226" s="639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41"/>
      <c r="R226" s="641"/>
      <c r="S226" s="641"/>
      <c r="T226" s="64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398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idden="1" x14ac:dyDescent="0.2">
      <c r="A227" s="633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0" t="s">
        <v>40</v>
      </c>
      <c r="Q227" s="631"/>
      <c r="R227" s="631"/>
      <c r="S227" s="631"/>
      <c r="T227" s="631"/>
      <c r="U227" s="631"/>
      <c r="V227" s="632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hidden="1" x14ac:dyDescent="0.2">
      <c r="A228" s="633"/>
      <c r="B228" s="633"/>
      <c r="C228" s="633"/>
      <c r="D228" s="633"/>
      <c r="E228" s="633"/>
      <c r="F228" s="633"/>
      <c r="G228" s="633"/>
      <c r="H228" s="633"/>
      <c r="I228" s="633"/>
      <c r="J228" s="633"/>
      <c r="K228" s="633"/>
      <c r="L228" s="633"/>
      <c r="M228" s="633"/>
      <c r="N228" s="633"/>
      <c r="O228" s="634"/>
      <c r="P228" s="630" t="s">
        <v>40</v>
      </c>
      <c r="Q228" s="631"/>
      <c r="R228" s="631"/>
      <c r="S228" s="631"/>
      <c r="T228" s="631"/>
      <c r="U228" s="631"/>
      <c r="V228" s="632"/>
      <c r="W228" s="42" t="s">
        <v>0</v>
      </c>
      <c r="X228" s="43">
        <f>IFERROR(SUM(X214:X226),"0")</f>
        <v>0</v>
      </c>
      <c r="Y228" s="43">
        <f>IFERROR(SUM(Y214:Y226),"0")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44" t="s">
        <v>83</v>
      </c>
      <c r="B229" s="644"/>
      <c r="C229" s="644"/>
      <c r="D229" s="644"/>
      <c r="E229" s="644"/>
      <c r="F229" s="644"/>
      <c r="G229" s="644"/>
      <c r="H229" s="644"/>
      <c r="I229" s="644"/>
      <c r="J229" s="644"/>
      <c r="K229" s="644"/>
      <c r="L229" s="644"/>
      <c r="M229" s="644"/>
      <c r="N229" s="644"/>
      <c r="O229" s="644"/>
      <c r="P229" s="644"/>
      <c r="Q229" s="644"/>
      <c r="R229" s="644"/>
      <c r="S229" s="644"/>
      <c r="T229" s="644"/>
      <c r="U229" s="644"/>
      <c r="V229" s="644"/>
      <c r="W229" s="644"/>
      <c r="X229" s="644"/>
      <c r="Y229" s="644"/>
      <c r="Z229" s="644"/>
      <c r="AA229" s="66"/>
      <c r="AB229" s="66"/>
      <c r="AC229" s="80"/>
    </row>
    <row r="230" spans="1:68" ht="16.5" hidden="1" customHeight="1" x14ac:dyDescent="0.25">
      <c r="A230" s="63" t="s">
        <v>399</v>
      </c>
      <c r="B230" s="63" t="s">
        <v>400</v>
      </c>
      <c r="C230" s="36">
        <v>4301052279</v>
      </c>
      <c r="D230" s="639">
        <v>4680115888692</v>
      </c>
      <c r="E230" s="639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124</v>
      </c>
      <c r="L230" s="37" t="s">
        <v>46</v>
      </c>
      <c r="M230" s="38" t="s">
        <v>94</v>
      </c>
      <c r="N230" s="38"/>
      <c r="O230" s="37">
        <v>40</v>
      </c>
      <c r="P230" s="800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41"/>
      <c r="R230" s="641"/>
      <c r="S230" s="641"/>
      <c r="T230" s="642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401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4301052280</v>
      </c>
      <c r="D231" s="639">
        <v>4680115888722</v>
      </c>
      <c r="E231" s="639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124</v>
      </c>
      <c r="L231" s="37" t="s">
        <v>46</v>
      </c>
      <c r="M231" s="38" t="s">
        <v>94</v>
      </c>
      <c r="N231" s="38"/>
      <c r="O231" s="37">
        <v>40</v>
      </c>
      <c r="P231" s="801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41"/>
      <c r="R231" s="641"/>
      <c r="S231" s="641"/>
      <c r="T231" s="642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405</v>
      </c>
      <c r="B232" s="63" t="s">
        <v>406</v>
      </c>
      <c r="C232" s="36">
        <v>4301052276</v>
      </c>
      <c r="D232" s="639">
        <v>4680115888951</v>
      </c>
      <c r="E232" s="639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131</v>
      </c>
      <c r="L232" s="37" t="s">
        <v>46</v>
      </c>
      <c r="M232" s="38" t="s">
        <v>94</v>
      </c>
      <c r="N232" s="38"/>
      <c r="O232" s="37">
        <v>40</v>
      </c>
      <c r="P232" s="80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41"/>
      <c r="R232" s="641"/>
      <c r="S232" s="641"/>
      <c r="T232" s="642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2" t="s">
        <v>401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407</v>
      </c>
      <c r="B233" s="63" t="s">
        <v>408</v>
      </c>
      <c r="C233" s="36">
        <v>4301052278</v>
      </c>
      <c r="D233" s="639">
        <v>4680115888975</v>
      </c>
      <c r="E233" s="639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131</v>
      </c>
      <c r="L233" s="37" t="s">
        <v>46</v>
      </c>
      <c r="M233" s="38" t="s">
        <v>94</v>
      </c>
      <c r="N233" s="38"/>
      <c r="O233" s="37">
        <v>40</v>
      </c>
      <c r="P233" s="803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41"/>
      <c r="R233" s="641"/>
      <c r="S233" s="641"/>
      <c r="T233" s="642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409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410</v>
      </c>
      <c r="B234" s="63" t="s">
        <v>411</v>
      </c>
      <c r="C234" s="36">
        <v>4301052277</v>
      </c>
      <c r="D234" s="639">
        <v>4680115888982</v>
      </c>
      <c r="E234" s="639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131</v>
      </c>
      <c r="L234" s="37" t="s">
        <v>46</v>
      </c>
      <c r="M234" s="38" t="s">
        <v>94</v>
      </c>
      <c r="N234" s="38"/>
      <c r="O234" s="37">
        <v>40</v>
      </c>
      <c r="P234" s="79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41"/>
      <c r="R234" s="641"/>
      <c r="S234" s="641"/>
      <c r="T234" s="642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404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33"/>
      <c r="B235" s="633"/>
      <c r="C235" s="633"/>
      <c r="D235" s="633"/>
      <c r="E235" s="633"/>
      <c r="F235" s="633"/>
      <c r="G235" s="633"/>
      <c r="H235" s="633"/>
      <c r="I235" s="633"/>
      <c r="J235" s="633"/>
      <c r="K235" s="633"/>
      <c r="L235" s="633"/>
      <c r="M235" s="633"/>
      <c r="N235" s="633"/>
      <c r="O235" s="634"/>
      <c r="P235" s="630" t="s">
        <v>40</v>
      </c>
      <c r="Q235" s="631"/>
      <c r="R235" s="631"/>
      <c r="S235" s="631"/>
      <c r="T235" s="631"/>
      <c r="U235" s="631"/>
      <c r="V235" s="632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33"/>
      <c r="B236" s="633"/>
      <c r="C236" s="633"/>
      <c r="D236" s="633"/>
      <c r="E236" s="633"/>
      <c r="F236" s="633"/>
      <c r="G236" s="633"/>
      <c r="H236" s="633"/>
      <c r="I236" s="633"/>
      <c r="J236" s="633"/>
      <c r="K236" s="633"/>
      <c r="L236" s="633"/>
      <c r="M236" s="633"/>
      <c r="N236" s="633"/>
      <c r="O236" s="634"/>
      <c r="P236" s="630" t="s">
        <v>40</v>
      </c>
      <c r="Q236" s="631"/>
      <c r="R236" s="631"/>
      <c r="S236" s="631"/>
      <c r="T236" s="631"/>
      <c r="U236" s="631"/>
      <c r="V236" s="632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44" t="s">
        <v>274</v>
      </c>
      <c r="B237" s="644"/>
      <c r="C237" s="644"/>
      <c r="D237" s="644"/>
      <c r="E237" s="644"/>
      <c r="F237" s="644"/>
      <c r="G237" s="644"/>
      <c r="H237" s="644"/>
      <c r="I237" s="644"/>
      <c r="J237" s="644"/>
      <c r="K237" s="644"/>
      <c r="L237" s="644"/>
      <c r="M237" s="644"/>
      <c r="N237" s="644"/>
      <c r="O237" s="644"/>
      <c r="P237" s="644"/>
      <c r="Q237" s="644"/>
      <c r="R237" s="644"/>
      <c r="S237" s="644"/>
      <c r="T237" s="644"/>
      <c r="U237" s="644"/>
      <c r="V237" s="644"/>
      <c r="W237" s="644"/>
      <c r="X237" s="644"/>
      <c r="Y237" s="644"/>
      <c r="Z237" s="644"/>
      <c r="AA237" s="66"/>
      <c r="AB237" s="66"/>
      <c r="AC237" s="80"/>
    </row>
    <row r="238" spans="1:68" ht="27" hidden="1" customHeight="1" x14ac:dyDescent="0.25">
      <c r="A238" s="63" t="s">
        <v>412</v>
      </c>
      <c r="B238" s="63" t="s">
        <v>413</v>
      </c>
      <c r="C238" s="36">
        <v>4301032053</v>
      </c>
      <c r="D238" s="639">
        <v>4680115886780</v>
      </c>
      <c r="E238" s="639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333</v>
      </c>
      <c r="L238" s="37" t="s">
        <v>46</v>
      </c>
      <c r="M238" s="38" t="s">
        <v>279</v>
      </c>
      <c r="N238" s="38"/>
      <c r="O238" s="37">
        <v>60</v>
      </c>
      <c r="P238" s="79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41"/>
      <c r="R238" s="641"/>
      <c r="S238" s="641"/>
      <c r="T238" s="642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414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415</v>
      </c>
      <c r="B239" s="63" t="s">
        <v>416</v>
      </c>
      <c r="C239" s="36">
        <v>4301032051</v>
      </c>
      <c r="D239" s="639">
        <v>4680115886742</v>
      </c>
      <c r="E239" s="639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333</v>
      </c>
      <c r="L239" s="37" t="s">
        <v>46</v>
      </c>
      <c r="M239" s="38" t="s">
        <v>279</v>
      </c>
      <c r="N239" s="38"/>
      <c r="O239" s="37">
        <v>90</v>
      </c>
      <c r="P239" s="79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41"/>
      <c r="R239" s="641"/>
      <c r="S239" s="641"/>
      <c r="T239" s="642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417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418</v>
      </c>
      <c r="B240" s="63" t="s">
        <v>419</v>
      </c>
      <c r="C240" s="36">
        <v>4301032052</v>
      </c>
      <c r="D240" s="639">
        <v>4680115886766</v>
      </c>
      <c r="E240" s="639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333</v>
      </c>
      <c r="L240" s="37" t="s">
        <v>46</v>
      </c>
      <c r="M240" s="38" t="s">
        <v>279</v>
      </c>
      <c r="N240" s="38"/>
      <c r="O240" s="37">
        <v>90</v>
      </c>
      <c r="P240" s="79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41"/>
      <c r="R240" s="641"/>
      <c r="S240" s="641"/>
      <c r="T240" s="64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417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33"/>
      <c r="B241" s="633"/>
      <c r="C241" s="633"/>
      <c r="D241" s="633"/>
      <c r="E241" s="633"/>
      <c r="F241" s="633"/>
      <c r="G241" s="633"/>
      <c r="H241" s="633"/>
      <c r="I241" s="633"/>
      <c r="J241" s="633"/>
      <c r="K241" s="633"/>
      <c r="L241" s="633"/>
      <c r="M241" s="633"/>
      <c r="N241" s="633"/>
      <c r="O241" s="634"/>
      <c r="P241" s="630" t="s">
        <v>40</v>
      </c>
      <c r="Q241" s="631"/>
      <c r="R241" s="631"/>
      <c r="S241" s="631"/>
      <c r="T241" s="631"/>
      <c r="U241" s="631"/>
      <c r="V241" s="632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0" t="s">
        <v>40</v>
      </c>
      <c r="Q242" s="631"/>
      <c r="R242" s="631"/>
      <c r="S242" s="631"/>
      <c r="T242" s="631"/>
      <c r="U242" s="631"/>
      <c r="V242" s="632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44" t="s">
        <v>420</v>
      </c>
      <c r="B243" s="644"/>
      <c r="C243" s="644"/>
      <c r="D243" s="644"/>
      <c r="E243" s="644"/>
      <c r="F243" s="644"/>
      <c r="G243" s="644"/>
      <c r="H243" s="644"/>
      <c r="I243" s="644"/>
      <c r="J243" s="644"/>
      <c r="K243" s="644"/>
      <c r="L243" s="644"/>
      <c r="M243" s="644"/>
      <c r="N243" s="644"/>
      <c r="O243" s="644"/>
      <c r="P243" s="644"/>
      <c r="Q243" s="644"/>
      <c r="R243" s="644"/>
      <c r="S243" s="644"/>
      <c r="T243" s="644"/>
      <c r="U243" s="644"/>
      <c r="V243" s="644"/>
      <c r="W243" s="644"/>
      <c r="X243" s="644"/>
      <c r="Y243" s="644"/>
      <c r="Z243" s="644"/>
      <c r="AA243" s="66"/>
      <c r="AB243" s="66"/>
      <c r="AC243" s="80"/>
    </row>
    <row r="244" spans="1:68" ht="27" hidden="1" customHeight="1" x14ac:dyDescent="0.25">
      <c r="A244" s="63" t="s">
        <v>421</v>
      </c>
      <c r="B244" s="63" t="s">
        <v>422</v>
      </c>
      <c r="C244" s="36">
        <v>4301170013</v>
      </c>
      <c r="D244" s="639">
        <v>4680115886797</v>
      </c>
      <c r="E244" s="639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333</v>
      </c>
      <c r="L244" s="37" t="s">
        <v>46</v>
      </c>
      <c r="M244" s="38" t="s">
        <v>279</v>
      </c>
      <c r="N244" s="38"/>
      <c r="O244" s="37">
        <v>90</v>
      </c>
      <c r="P244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41"/>
      <c r="R244" s="641"/>
      <c r="S244" s="641"/>
      <c r="T244" s="64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417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33"/>
      <c r="B245" s="633"/>
      <c r="C245" s="633"/>
      <c r="D245" s="633"/>
      <c r="E245" s="633"/>
      <c r="F245" s="633"/>
      <c r="G245" s="633"/>
      <c r="H245" s="633"/>
      <c r="I245" s="633"/>
      <c r="J245" s="633"/>
      <c r="K245" s="633"/>
      <c r="L245" s="633"/>
      <c r="M245" s="633"/>
      <c r="N245" s="633"/>
      <c r="O245" s="634"/>
      <c r="P245" s="630" t="s">
        <v>40</v>
      </c>
      <c r="Q245" s="631"/>
      <c r="R245" s="631"/>
      <c r="S245" s="631"/>
      <c r="T245" s="631"/>
      <c r="U245" s="631"/>
      <c r="V245" s="632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0" t="s">
        <v>40</v>
      </c>
      <c r="Q246" s="631"/>
      <c r="R246" s="631"/>
      <c r="S246" s="631"/>
      <c r="T246" s="631"/>
      <c r="U246" s="631"/>
      <c r="V246" s="632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43" t="s">
        <v>423</v>
      </c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3"/>
      <c r="P247" s="643"/>
      <c r="Q247" s="643"/>
      <c r="R247" s="643"/>
      <c r="S247" s="643"/>
      <c r="T247" s="643"/>
      <c r="U247" s="643"/>
      <c r="V247" s="643"/>
      <c r="W247" s="643"/>
      <c r="X247" s="643"/>
      <c r="Y247" s="643"/>
      <c r="Z247" s="643"/>
      <c r="AA247" s="65"/>
      <c r="AB247" s="65"/>
      <c r="AC247" s="79"/>
    </row>
    <row r="248" spans="1:68" ht="14.25" hidden="1" customHeight="1" x14ac:dyDescent="0.25">
      <c r="A248" s="644" t="s">
        <v>119</v>
      </c>
      <c r="B248" s="644"/>
      <c r="C248" s="644"/>
      <c r="D248" s="644"/>
      <c r="E248" s="644"/>
      <c r="F248" s="644"/>
      <c r="G248" s="644"/>
      <c r="H248" s="644"/>
      <c r="I248" s="644"/>
      <c r="J248" s="644"/>
      <c r="K248" s="644"/>
      <c r="L248" s="644"/>
      <c r="M248" s="644"/>
      <c r="N248" s="644"/>
      <c r="O248" s="644"/>
      <c r="P248" s="644"/>
      <c r="Q248" s="644"/>
      <c r="R248" s="644"/>
      <c r="S248" s="644"/>
      <c r="T248" s="644"/>
      <c r="U248" s="644"/>
      <c r="V248" s="644"/>
      <c r="W248" s="644"/>
      <c r="X248" s="644"/>
      <c r="Y248" s="644"/>
      <c r="Z248" s="644"/>
      <c r="AA248" s="66"/>
      <c r="AB248" s="66"/>
      <c r="AC248" s="80"/>
    </row>
    <row r="249" spans="1:68" ht="27" hidden="1" customHeight="1" x14ac:dyDescent="0.25">
      <c r="A249" s="63" t="s">
        <v>424</v>
      </c>
      <c r="B249" s="63" t="s">
        <v>425</v>
      </c>
      <c r="C249" s="36">
        <v>4301011450</v>
      </c>
      <c r="D249" s="639">
        <v>4680115881402</v>
      </c>
      <c r="E249" s="639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124</v>
      </c>
      <c r="L249" s="37" t="s">
        <v>46</v>
      </c>
      <c r="M249" s="38" t="s">
        <v>123</v>
      </c>
      <c r="N249" s="38"/>
      <c r="O249" s="37">
        <v>55</v>
      </c>
      <c r="P249" s="7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41"/>
      <c r="R249" s="641"/>
      <c r="S249" s="641"/>
      <c r="T249" s="64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426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427</v>
      </c>
      <c r="B250" s="63" t="s">
        <v>428</v>
      </c>
      <c r="C250" s="36">
        <v>4301011768</v>
      </c>
      <c r="D250" s="639">
        <v>4680115881396</v>
      </c>
      <c r="E250" s="639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88</v>
      </c>
      <c r="L250" s="37" t="s">
        <v>46</v>
      </c>
      <c r="M250" s="38" t="s">
        <v>123</v>
      </c>
      <c r="N250" s="38"/>
      <c r="O250" s="37">
        <v>55</v>
      </c>
      <c r="P250" s="7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41"/>
      <c r="R250" s="641"/>
      <c r="S250" s="641"/>
      <c r="T250" s="64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426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33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0" t="s">
        <v>40</v>
      </c>
      <c r="Q251" s="631"/>
      <c r="R251" s="631"/>
      <c r="S251" s="631"/>
      <c r="T251" s="631"/>
      <c r="U251" s="631"/>
      <c r="V251" s="632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33"/>
      <c r="B252" s="633"/>
      <c r="C252" s="633"/>
      <c r="D252" s="633"/>
      <c r="E252" s="633"/>
      <c r="F252" s="633"/>
      <c r="G252" s="633"/>
      <c r="H252" s="633"/>
      <c r="I252" s="633"/>
      <c r="J252" s="633"/>
      <c r="K252" s="633"/>
      <c r="L252" s="633"/>
      <c r="M252" s="633"/>
      <c r="N252" s="633"/>
      <c r="O252" s="634"/>
      <c r="P252" s="630" t="s">
        <v>40</v>
      </c>
      <c r="Q252" s="631"/>
      <c r="R252" s="631"/>
      <c r="S252" s="631"/>
      <c r="T252" s="631"/>
      <c r="U252" s="631"/>
      <c r="V252" s="632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44" t="s">
        <v>154</v>
      </c>
      <c r="B253" s="644"/>
      <c r="C253" s="644"/>
      <c r="D253" s="644"/>
      <c r="E253" s="644"/>
      <c r="F253" s="644"/>
      <c r="G253" s="644"/>
      <c r="H253" s="644"/>
      <c r="I253" s="644"/>
      <c r="J253" s="644"/>
      <c r="K253" s="644"/>
      <c r="L253" s="644"/>
      <c r="M253" s="644"/>
      <c r="N253" s="644"/>
      <c r="O253" s="644"/>
      <c r="P253" s="644"/>
      <c r="Q253" s="644"/>
      <c r="R253" s="644"/>
      <c r="S253" s="644"/>
      <c r="T253" s="644"/>
      <c r="U253" s="644"/>
      <c r="V253" s="644"/>
      <c r="W253" s="644"/>
      <c r="X253" s="644"/>
      <c r="Y253" s="644"/>
      <c r="Z253" s="644"/>
      <c r="AA253" s="66"/>
      <c r="AB253" s="66"/>
      <c r="AC253" s="80"/>
    </row>
    <row r="254" spans="1:68" ht="16.5" hidden="1" customHeight="1" x14ac:dyDescent="0.25">
      <c r="A254" s="63" t="s">
        <v>429</v>
      </c>
      <c r="B254" s="63" t="s">
        <v>430</v>
      </c>
      <c r="C254" s="36">
        <v>4301020261</v>
      </c>
      <c r="D254" s="639">
        <v>4680115882935</v>
      </c>
      <c r="E254" s="639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124</v>
      </c>
      <c r="L254" s="37" t="s">
        <v>46</v>
      </c>
      <c r="M254" s="38" t="s">
        <v>123</v>
      </c>
      <c r="N254" s="38"/>
      <c r="O254" s="37">
        <v>50</v>
      </c>
      <c r="P254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41"/>
      <c r="R254" s="641"/>
      <c r="S254" s="641"/>
      <c r="T254" s="64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431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432</v>
      </c>
      <c r="B255" s="63" t="s">
        <v>433</v>
      </c>
      <c r="C255" s="36">
        <v>4301020220</v>
      </c>
      <c r="D255" s="639">
        <v>4680115880764</v>
      </c>
      <c r="E255" s="639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88</v>
      </c>
      <c r="L255" s="37" t="s">
        <v>46</v>
      </c>
      <c r="M255" s="38" t="s">
        <v>123</v>
      </c>
      <c r="N255" s="38"/>
      <c r="O255" s="37">
        <v>50</v>
      </c>
      <c r="P255" s="7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41"/>
      <c r="R255" s="641"/>
      <c r="S255" s="641"/>
      <c r="T255" s="642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431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33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0" t="s">
        <v>40</v>
      </c>
      <c r="Q256" s="631"/>
      <c r="R256" s="631"/>
      <c r="S256" s="631"/>
      <c r="T256" s="631"/>
      <c r="U256" s="631"/>
      <c r="V256" s="632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33"/>
      <c r="B257" s="633"/>
      <c r="C257" s="633"/>
      <c r="D257" s="633"/>
      <c r="E257" s="633"/>
      <c r="F257" s="633"/>
      <c r="G257" s="633"/>
      <c r="H257" s="633"/>
      <c r="I257" s="633"/>
      <c r="J257" s="633"/>
      <c r="K257" s="633"/>
      <c r="L257" s="633"/>
      <c r="M257" s="633"/>
      <c r="N257" s="633"/>
      <c r="O257" s="634"/>
      <c r="P257" s="630" t="s">
        <v>40</v>
      </c>
      <c r="Q257" s="631"/>
      <c r="R257" s="631"/>
      <c r="S257" s="631"/>
      <c r="T257" s="631"/>
      <c r="U257" s="631"/>
      <c r="V257" s="632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44" t="s">
        <v>77</v>
      </c>
      <c r="B258" s="644"/>
      <c r="C258" s="644"/>
      <c r="D258" s="644"/>
      <c r="E258" s="644"/>
      <c r="F258" s="644"/>
      <c r="G258" s="644"/>
      <c r="H258" s="644"/>
      <c r="I258" s="644"/>
      <c r="J258" s="644"/>
      <c r="K258" s="644"/>
      <c r="L258" s="644"/>
      <c r="M258" s="644"/>
      <c r="N258" s="644"/>
      <c r="O258" s="644"/>
      <c r="P258" s="644"/>
      <c r="Q258" s="644"/>
      <c r="R258" s="644"/>
      <c r="S258" s="644"/>
      <c r="T258" s="644"/>
      <c r="U258" s="644"/>
      <c r="V258" s="644"/>
      <c r="W258" s="644"/>
      <c r="X258" s="644"/>
      <c r="Y258" s="644"/>
      <c r="Z258" s="644"/>
      <c r="AA258" s="66"/>
      <c r="AB258" s="66"/>
      <c r="AC258" s="80"/>
    </row>
    <row r="259" spans="1:68" ht="27" customHeight="1" x14ac:dyDescent="0.25">
      <c r="A259" s="63" t="s">
        <v>434</v>
      </c>
      <c r="B259" s="63" t="s">
        <v>435</v>
      </c>
      <c r="C259" s="36">
        <v>4301031224</v>
      </c>
      <c r="D259" s="639">
        <v>4680115882683</v>
      </c>
      <c r="E259" s="639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131</v>
      </c>
      <c r="L259" s="37" t="s">
        <v>46</v>
      </c>
      <c r="M259" s="38" t="s">
        <v>81</v>
      </c>
      <c r="N259" s="38"/>
      <c r="O259" s="37">
        <v>40</v>
      </c>
      <c r="P259" s="78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41"/>
      <c r="R259" s="641"/>
      <c r="S259" s="641"/>
      <c r="T259" s="642"/>
      <c r="U259" s="39" t="s">
        <v>46</v>
      </c>
      <c r="V259" s="39" t="s">
        <v>46</v>
      </c>
      <c r="W259" s="40" t="s">
        <v>0</v>
      </c>
      <c r="X259" s="58">
        <v>50</v>
      </c>
      <c r="Y259" s="55">
        <f t="shared" ref="Y259:Y266" si="31">IFERROR(IF(X259="",0,CEILING((X259/$H259),1)*$H259),"")</f>
        <v>54</v>
      </c>
      <c r="Z259" s="41">
        <f>IFERROR(IF(Y259=0,"",ROUNDUP(Y259/H259,0)*0.00902),"")</f>
        <v>9.0200000000000002E-2</v>
      </c>
      <c r="AA259" s="68" t="s">
        <v>46</v>
      </c>
      <c r="AB259" s="69" t="s">
        <v>46</v>
      </c>
      <c r="AC259" s="334" t="s">
        <v>436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2">IFERROR(X259*I259/H259,"0")</f>
        <v>51.759259259259252</v>
      </c>
      <c r="BN259" s="78">
        <f t="shared" ref="BN259:BN266" si="33">IFERROR(Y259*I259/H259,"0")</f>
        <v>55.9</v>
      </c>
      <c r="BO259" s="78">
        <f t="shared" ref="BO259:BO266" si="34">IFERROR(1/J259*(X259/H259),"0")</f>
        <v>7.0145903479236812E-2</v>
      </c>
      <c r="BP259" s="78">
        <f t="shared" ref="BP259:BP266" si="35">IFERROR(1/J259*(Y259/H259),"0")</f>
        <v>7.575757575757576E-2</v>
      </c>
    </row>
    <row r="260" spans="1:68" ht="27" hidden="1" customHeight="1" x14ac:dyDescent="0.25">
      <c r="A260" s="63" t="s">
        <v>437</v>
      </c>
      <c r="B260" s="63" t="s">
        <v>438</v>
      </c>
      <c r="C260" s="36">
        <v>4301031230</v>
      </c>
      <c r="D260" s="639">
        <v>4680115882690</v>
      </c>
      <c r="E260" s="639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131</v>
      </c>
      <c r="L260" s="37" t="s">
        <v>46</v>
      </c>
      <c r="M260" s="38" t="s">
        <v>81</v>
      </c>
      <c r="N260" s="38"/>
      <c r="O260" s="37">
        <v>40</v>
      </c>
      <c r="P260" s="7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41"/>
      <c r="R260" s="641"/>
      <c r="S260" s="641"/>
      <c r="T260" s="642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1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439</v>
      </c>
      <c r="AG260" s="78"/>
      <c r="AJ260" s="84" t="s">
        <v>46</v>
      </c>
      <c r="AK260" s="84">
        <v>0</v>
      </c>
      <c r="BB260" s="337" t="s">
        <v>67</v>
      </c>
      <c r="BM260" s="78">
        <f t="shared" si="32"/>
        <v>0</v>
      </c>
      <c r="BN260" s="78">
        <f t="shared" si="33"/>
        <v>0</v>
      </c>
      <c r="BO260" s="78">
        <f t="shared" si="34"/>
        <v>0</v>
      </c>
      <c r="BP260" s="78">
        <f t="shared" si="35"/>
        <v>0</v>
      </c>
    </row>
    <row r="261" spans="1:68" ht="27" customHeight="1" x14ac:dyDescent="0.25">
      <c r="A261" s="63" t="s">
        <v>440</v>
      </c>
      <c r="B261" s="63" t="s">
        <v>441</v>
      </c>
      <c r="C261" s="36">
        <v>4301031220</v>
      </c>
      <c r="D261" s="639">
        <v>4680115882669</v>
      </c>
      <c r="E261" s="639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131</v>
      </c>
      <c r="L261" s="37" t="s">
        <v>46</v>
      </c>
      <c r="M261" s="38" t="s">
        <v>81</v>
      </c>
      <c r="N261" s="38"/>
      <c r="O261" s="37">
        <v>40</v>
      </c>
      <c r="P261" s="78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41"/>
      <c r="R261" s="641"/>
      <c r="S261" s="641"/>
      <c r="T261" s="642"/>
      <c r="U261" s="39" t="s">
        <v>46</v>
      </c>
      <c r="V261" s="39" t="s">
        <v>46</v>
      </c>
      <c r="W261" s="40" t="s">
        <v>0</v>
      </c>
      <c r="X261" s="58">
        <v>50</v>
      </c>
      <c r="Y261" s="55">
        <f t="shared" si="31"/>
        <v>54</v>
      </c>
      <c r="Z261" s="41">
        <f>IFERROR(IF(Y261=0,"",ROUNDUP(Y261/H261,0)*0.00902),"")</f>
        <v>9.0200000000000002E-2</v>
      </c>
      <c r="AA261" s="68" t="s">
        <v>46</v>
      </c>
      <c r="AB261" s="69" t="s">
        <v>46</v>
      </c>
      <c r="AC261" s="338" t="s">
        <v>442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51.759259259259252</v>
      </c>
      <c r="BN261" s="78">
        <f t="shared" si="33"/>
        <v>55.9</v>
      </c>
      <c r="BO261" s="78">
        <f t="shared" si="34"/>
        <v>7.0145903479236812E-2</v>
      </c>
      <c r="BP261" s="78">
        <f t="shared" si="35"/>
        <v>7.575757575757576E-2</v>
      </c>
    </row>
    <row r="262" spans="1:68" ht="27" customHeight="1" x14ac:dyDescent="0.25">
      <c r="A262" s="63" t="s">
        <v>443</v>
      </c>
      <c r="B262" s="63" t="s">
        <v>444</v>
      </c>
      <c r="C262" s="36">
        <v>4301031221</v>
      </c>
      <c r="D262" s="639">
        <v>4680115882676</v>
      </c>
      <c r="E262" s="639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131</v>
      </c>
      <c r="L262" s="37" t="s">
        <v>46</v>
      </c>
      <c r="M262" s="38" t="s">
        <v>81</v>
      </c>
      <c r="N262" s="38"/>
      <c r="O262" s="37">
        <v>40</v>
      </c>
      <c r="P262" s="7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41"/>
      <c r="R262" s="641"/>
      <c r="S262" s="641"/>
      <c r="T262" s="642"/>
      <c r="U262" s="39" t="s">
        <v>46</v>
      </c>
      <c r="V262" s="39" t="s">
        <v>46</v>
      </c>
      <c r="W262" s="40" t="s">
        <v>0</v>
      </c>
      <c r="X262" s="58">
        <v>50</v>
      </c>
      <c r="Y262" s="55">
        <f t="shared" si="31"/>
        <v>54</v>
      </c>
      <c r="Z262" s="41">
        <f>IFERROR(IF(Y262=0,"",ROUNDUP(Y262/H262,0)*0.00902),"")</f>
        <v>9.0200000000000002E-2</v>
      </c>
      <c r="AA262" s="68" t="s">
        <v>46</v>
      </c>
      <c r="AB262" s="69" t="s">
        <v>46</v>
      </c>
      <c r="AC262" s="340" t="s">
        <v>445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51.759259259259252</v>
      </c>
      <c r="BN262" s="78">
        <f t="shared" si="33"/>
        <v>55.9</v>
      </c>
      <c r="BO262" s="78">
        <f t="shared" si="34"/>
        <v>7.0145903479236812E-2</v>
      </c>
      <c r="BP262" s="78">
        <f t="shared" si="35"/>
        <v>7.575757575757576E-2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4301031223</v>
      </c>
      <c r="D263" s="639">
        <v>4680115884014</v>
      </c>
      <c r="E263" s="639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41"/>
      <c r="R263" s="641"/>
      <c r="S263" s="641"/>
      <c r="T263" s="642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1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436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0</v>
      </c>
      <c r="BN263" s="78">
        <f t="shared" si="33"/>
        <v>0</v>
      </c>
      <c r="BO263" s="78">
        <f t="shared" si="34"/>
        <v>0</v>
      </c>
      <c r="BP263" s="78">
        <f t="shared" si="35"/>
        <v>0</v>
      </c>
    </row>
    <row r="264" spans="1:68" ht="27" hidden="1" customHeight="1" x14ac:dyDescent="0.25">
      <c r="A264" s="63" t="s">
        <v>448</v>
      </c>
      <c r="B264" s="63" t="s">
        <v>449</v>
      </c>
      <c r="C264" s="36">
        <v>4301031222</v>
      </c>
      <c r="D264" s="639">
        <v>4680115884007</v>
      </c>
      <c r="E264" s="639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41"/>
      <c r="R264" s="641"/>
      <c r="S264" s="641"/>
      <c r="T264" s="642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1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439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0</v>
      </c>
      <c r="BN264" s="78">
        <f t="shared" si="33"/>
        <v>0</v>
      </c>
      <c r="BO264" s="78">
        <f t="shared" si="34"/>
        <v>0</v>
      </c>
      <c r="BP264" s="78">
        <f t="shared" si="35"/>
        <v>0</v>
      </c>
    </row>
    <row r="265" spans="1:68" ht="27" hidden="1" customHeight="1" x14ac:dyDescent="0.25">
      <c r="A265" s="63" t="s">
        <v>450</v>
      </c>
      <c r="B265" s="63" t="s">
        <v>451</v>
      </c>
      <c r="C265" s="36">
        <v>4301031229</v>
      </c>
      <c r="D265" s="639">
        <v>4680115884038</v>
      </c>
      <c r="E265" s="639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8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41"/>
      <c r="R265" s="641"/>
      <c r="S265" s="641"/>
      <c r="T265" s="642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442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hidden="1" customHeight="1" x14ac:dyDescent="0.25">
      <c r="A266" s="63" t="s">
        <v>452</v>
      </c>
      <c r="B266" s="63" t="s">
        <v>453</v>
      </c>
      <c r="C266" s="36">
        <v>4301031225</v>
      </c>
      <c r="D266" s="639">
        <v>4680115884021</v>
      </c>
      <c r="E266" s="639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41"/>
      <c r="R266" s="641"/>
      <c r="S266" s="641"/>
      <c r="T266" s="64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445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x14ac:dyDescent="0.2">
      <c r="A267" s="633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0" t="s">
        <v>40</v>
      </c>
      <c r="Q267" s="631"/>
      <c r="R267" s="631"/>
      <c r="S267" s="631"/>
      <c r="T267" s="631"/>
      <c r="U267" s="631"/>
      <c r="V267" s="632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27.777777777777779</v>
      </c>
      <c r="Y267" s="43">
        <f>IFERROR(Y259/H259,"0")+IFERROR(Y260/H260,"0")+IFERROR(Y261/H261,"0")+IFERROR(Y262/H262,"0")+IFERROR(Y263/H263,"0")+IFERROR(Y264/H264,"0")+IFERROR(Y265/H265,"0")+IFERROR(Y266/H266,"0")</f>
        <v>30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0.27060000000000001</v>
      </c>
      <c r="AA267" s="67"/>
      <c r="AB267" s="67"/>
      <c r="AC267" s="67"/>
    </row>
    <row r="268" spans="1:68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0" t="s">
        <v>40</v>
      </c>
      <c r="Q268" s="631"/>
      <c r="R268" s="631"/>
      <c r="S268" s="631"/>
      <c r="T268" s="631"/>
      <c r="U268" s="631"/>
      <c r="V268" s="632"/>
      <c r="W268" s="42" t="s">
        <v>0</v>
      </c>
      <c r="X268" s="43">
        <f>IFERROR(SUM(X259:X266),"0")</f>
        <v>150</v>
      </c>
      <c r="Y268" s="43">
        <f>IFERROR(SUM(Y259:Y266),"0")</f>
        <v>162</v>
      </c>
      <c r="Z268" s="42"/>
      <c r="AA268" s="67"/>
      <c r="AB268" s="67"/>
      <c r="AC268" s="67"/>
    </row>
    <row r="269" spans="1:68" ht="14.25" hidden="1" customHeight="1" x14ac:dyDescent="0.25">
      <c r="A269" s="644" t="s">
        <v>83</v>
      </c>
      <c r="B269" s="644"/>
      <c r="C269" s="644"/>
      <c r="D269" s="644"/>
      <c r="E269" s="644"/>
      <c r="F269" s="644"/>
      <c r="G269" s="644"/>
      <c r="H269" s="644"/>
      <c r="I269" s="644"/>
      <c r="J269" s="644"/>
      <c r="K269" s="644"/>
      <c r="L269" s="644"/>
      <c r="M269" s="644"/>
      <c r="N269" s="644"/>
      <c r="O269" s="644"/>
      <c r="P269" s="644"/>
      <c r="Q269" s="644"/>
      <c r="R269" s="644"/>
      <c r="S269" s="644"/>
      <c r="T269" s="644"/>
      <c r="U269" s="644"/>
      <c r="V269" s="644"/>
      <c r="W269" s="644"/>
      <c r="X269" s="644"/>
      <c r="Y269" s="644"/>
      <c r="Z269" s="644"/>
      <c r="AA269" s="66"/>
      <c r="AB269" s="66"/>
      <c r="AC269" s="80"/>
    </row>
    <row r="270" spans="1:68" ht="27" hidden="1" customHeight="1" x14ac:dyDescent="0.25">
      <c r="A270" s="63" t="s">
        <v>454</v>
      </c>
      <c r="B270" s="63" t="s">
        <v>455</v>
      </c>
      <c r="C270" s="36">
        <v>4301051408</v>
      </c>
      <c r="D270" s="639">
        <v>4680115881594</v>
      </c>
      <c r="E270" s="639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124</v>
      </c>
      <c r="L270" s="37" t="s">
        <v>46</v>
      </c>
      <c r="M270" s="38" t="s">
        <v>87</v>
      </c>
      <c r="N270" s="38"/>
      <c r="O270" s="37">
        <v>40</v>
      </c>
      <c r="P270" s="77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41"/>
      <c r="R270" s="641"/>
      <c r="S270" s="641"/>
      <c r="T270" s="64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6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456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7">IFERROR(X270*I270/H270,"0")</f>
        <v>0</v>
      </c>
      <c r="BN270" s="78">
        <f t="shared" ref="BN270:BN281" si="38">IFERROR(Y270*I270/H270,"0")</f>
        <v>0</v>
      </c>
      <c r="BO270" s="78">
        <f t="shared" ref="BO270:BO281" si="39">IFERROR(1/J270*(X270/H270),"0")</f>
        <v>0</v>
      </c>
      <c r="BP270" s="78">
        <f t="shared" ref="BP270:BP281" si="40">IFERROR(1/J270*(Y270/H270),"0")</f>
        <v>0</v>
      </c>
    </row>
    <row r="271" spans="1:68" ht="27" hidden="1" customHeight="1" x14ac:dyDescent="0.25">
      <c r="A271" s="63" t="s">
        <v>457</v>
      </c>
      <c r="B271" s="63" t="s">
        <v>458</v>
      </c>
      <c r="C271" s="36">
        <v>4301051411</v>
      </c>
      <c r="D271" s="639">
        <v>4680115881617</v>
      </c>
      <c r="E271" s="639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124</v>
      </c>
      <c r="L271" s="37" t="s">
        <v>46</v>
      </c>
      <c r="M271" s="38" t="s">
        <v>87</v>
      </c>
      <c r="N271" s="38"/>
      <c r="O271" s="37">
        <v>40</v>
      </c>
      <c r="P271" s="7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41"/>
      <c r="R271" s="641"/>
      <c r="S271" s="641"/>
      <c r="T271" s="64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6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459</v>
      </c>
      <c r="AG271" s="78"/>
      <c r="AJ271" s="84" t="s">
        <v>46</v>
      </c>
      <c r="AK271" s="84">
        <v>0</v>
      </c>
      <c r="BB271" s="353" t="s">
        <v>67</v>
      </c>
      <c r="BM271" s="78">
        <f t="shared" si="37"/>
        <v>0</v>
      </c>
      <c r="BN271" s="78">
        <f t="shared" si="38"/>
        <v>0</v>
      </c>
      <c r="BO271" s="78">
        <f t="shared" si="39"/>
        <v>0</v>
      </c>
      <c r="BP271" s="78">
        <f t="shared" si="40"/>
        <v>0</v>
      </c>
    </row>
    <row r="272" spans="1:68" ht="27" hidden="1" customHeight="1" x14ac:dyDescent="0.25">
      <c r="A272" s="63" t="s">
        <v>460</v>
      </c>
      <c r="B272" s="63" t="s">
        <v>461</v>
      </c>
      <c r="C272" s="36">
        <v>4301051656</v>
      </c>
      <c r="D272" s="639">
        <v>4680115880573</v>
      </c>
      <c r="E272" s="639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124</v>
      </c>
      <c r="L272" s="37" t="s">
        <v>46</v>
      </c>
      <c r="M272" s="38" t="s">
        <v>87</v>
      </c>
      <c r="N272" s="38"/>
      <c r="O272" s="37">
        <v>45</v>
      </c>
      <c r="P272" s="7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41"/>
      <c r="R272" s="641"/>
      <c r="S272" s="641"/>
      <c r="T272" s="64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6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462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0</v>
      </c>
      <c r="BN272" s="78">
        <f t="shared" si="38"/>
        <v>0</v>
      </c>
      <c r="BO272" s="78">
        <f t="shared" si="39"/>
        <v>0</v>
      </c>
      <c r="BP272" s="78">
        <f t="shared" si="40"/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4301051407</v>
      </c>
      <c r="D273" s="639">
        <v>4680115882195</v>
      </c>
      <c r="E273" s="639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88</v>
      </c>
      <c r="L273" s="37" t="s">
        <v>46</v>
      </c>
      <c r="M273" s="38" t="s">
        <v>87</v>
      </c>
      <c r="N273" s="38"/>
      <c r="O273" s="37">
        <v>40</v>
      </c>
      <c r="P273" s="78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41"/>
      <c r="R273" s="641"/>
      <c r="S273" s="641"/>
      <c r="T273" s="64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6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456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0</v>
      </c>
      <c r="BN273" s="78">
        <f t="shared" si="38"/>
        <v>0</v>
      </c>
      <c r="BO273" s="78">
        <f t="shared" si="39"/>
        <v>0</v>
      </c>
      <c r="BP273" s="78">
        <f t="shared" si="40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4301051752</v>
      </c>
      <c r="D274" s="639">
        <v>4680115882607</v>
      </c>
      <c r="E274" s="639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88</v>
      </c>
      <c r="L274" s="37" t="s">
        <v>46</v>
      </c>
      <c r="M274" s="38" t="s">
        <v>94</v>
      </c>
      <c r="N274" s="38"/>
      <c r="O274" s="37">
        <v>45</v>
      </c>
      <c r="P274" s="7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41"/>
      <c r="R274" s="641"/>
      <c r="S274" s="641"/>
      <c r="T274" s="64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6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0</v>
      </c>
      <c r="BN274" s="78">
        <f t="shared" si="38"/>
        <v>0</v>
      </c>
      <c r="BO274" s="78">
        <f t="shared" si="39"/>
        <v>0</v>
      </c>
      <c r="BP274" s="78">
        <f t="shared" si="40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4301052143</v>
      </c>
      <c r="D275" s="639">
        <v>4680115882607</v>
      </c>
      <c r="E275" s="639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131</v>
      </c>
      <c r="L275" s="37" t="s">
        <v>46</v>
      </c>
      <c r="M275" s="38" t="s">
        <v>87</v>
      </c>
      <c r="N275" s="38"/>
      <c r="O275" s="37">
        <v>45</v>
      </c>
      <c r="P275" s="77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41"/>
      <c r="R275" s="641"/>
      <c r="S275" s="641"/>
      <c r="T275" s="64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6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469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0</v>
      </c>
      <c r="BN275" s="78">
        <f t="shared" si="38"/>
        <v>0</v>
      </c>
      <c r="BO275" s="78">
        <f t="shared" si="39"/>
        <v>0</v>
      </c>
      <c r="BP275" s="78">
        <f t="shared" si="40"/>
        <v>0</v>
      </c>
    </row>
    <row r="276" spans="1:68" ht="27" customHeight="1" x14ac:dyDescent="0.25">
      <c r="A276" s="63" t="s">
        <v>470</v>
      </c>
      <c r="B276" s="63" t="s">
        <v>471</v>
      </c>
      <c r="C276" s="36">
        <v>4301051666</v>
      </c>
      <c r="D276" s="639">
        <v>4680115880092</v>
      </c>
      <c r="E276" s="639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88</v>
      </c>
      <c r="L276" s="37" t="s">
        <v>46</v>
      </c>
      <c r="M276" s="38" t="s">
        <v>87</v>
      </c>
      <c r="N276" s="38"/>
      <c r="O276" s="37">
        <v>45</v>
      </c>
      <c r="P276" s="77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41"/>
      <c r="R276" s="641"/>
      <c r="S276" s="641"/>
      <c r="T276" s="642"/>
      <c r="U276" s="39" t="s">
        <v>46</v>
      </c>
      <c r="V276" s="39" t="s">
        <v>46</v>
      </c>
      <c r="W276" s="40" t="s">
        <v>0</v>
      </c>
      <c r="X276" s="58">
        <v>168</v>
      </c>
      <c r="Y276" s="55">
        <f t="shared" si="36"/>
        <v>168</v>
      </c>
      <c r="Z276" s="41">
        <f>IFERROR(IF(Y276=0,"",ROUNDUP(Y276/H276,0)*0.00651),"")</f>
        <v>0.45569999999999999</v>
      </c>
      <c r="AA276" s="68" t="s">
        <v>46</v>
      </c>
      <c r="AB276" s="69" t="s">
        <v>46</v>
      </c>
      <c r="AC276" s="362" t="s">
        <v>462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185.64000000000001</v>
      </c>
      <c r="BN276" s="78">
        <f t="shared" si="38"/>
        <v>185.64000000000001</v>
      </c>
      <c r="BO276" s="78">
        <f t="shared" si="39"/>
        <v>0.38461538461538464</v>
      </c>
      <c r="BP276" s="78">
        <f t="shared" si="40"/>
        <v>0.38461538461538464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4301052214</v>
      </c>
      <c r="D277" s="639">
        <v>4680115889064</v>
      </c>
      <c r="E277" s="639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124</v>
      </c>
      <c r="L277" s="37" t="s">
        <v>46</v>
      </c>
      <c r="M277" s="38" t="s">
        <v>87</v>
      </c>
      <c r="N277" s="38"/>
      <c r="O277" s="37">
        <v>45</v>
      </c>
      <c r="P277" s="77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41"/>
      <c r="R277" s="641"/>
      <c r="S277" s="641"/>
      <c r="T277" s="64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469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customHeight="1" x14ac:dyDescent="0.25">
      <c r="A278" s="63" t="s">
        <v>474</v>
      </c>
      <c r="B278" s="63" t="s">
        <v>475</v>
      </c>
      <c r="C278" s="36">
        <v>4301051668</v>
      </c>
      <c r="D278" s="639">
        <v>4680115880221</v>
      </c>
      <c r="E278" s="639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45</v>
      </c>
      <c r="P278" s="77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41"/>
      <c r="R278" s="641"/>
      <c r="S278" s="641"/>
      <c r="T278" s="642"/>
      <c r="U278" s="39" t="s">
        <v>46</v>
      </c>
      <c r="V278" s="39" t="s">
        <v>46</v>
      </c>
      <c r="W278" s="40" t="s">
        <v>0</v>
      </c>
      <c r="X278" s="58">
        <v>168</v>
      </c>
      <c r="Y278" s="55">
        <f t="shared" si="36"/>
        <v>168</v>
      </c>
      <c r="Z278" s="41">
        <f>IFERROR(IF(Y278=0,"",ROUNDUP(Y278/H278,0)*0.00651),"")</f>
        <v>0.45569999999999999</v>
      </c>
      <c r="AA278" s="68" t="s">
        <v>46</v>
      </c>
      <c r="AB278" s="69" t="s">
        <v>46</v>
      </c>
      <c r="AC278" s="366" t="s">
        <v>462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185.64000000000001</v>
      </c>
      <c r="BN278" s="78">
        <f t="shared" si="38"/>
        <v>185.64000000000001</v>
      </c>
      <c r="BO278" s="78">
        <f t="shared" si="39"/>
        <v>0.38461538461538464</v>
      </c>
      <c r="BP278" s="78">
        <f t="shared" si="40"/>
        <v>0.38461538461538464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4301051945</v>
      </c>
      <c r="D279" s="639">
        <v>4680115880504</v>
      </c>
      <c r="E279" s="639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40</v>
      </c>
      <c r="P279" s="7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41"/>
      <c r="R279" s="641"/>
      <c r="S279" s="641"/>
      <c r="T279" s="64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4301051410</v>
      </c>
      <c r="D280" s="639">
        <v>4680115882164</v>
      </c>
      <c r="E280" s="639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77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41"/>
      <c r="R280" s="641"/>
      <c r="S280" s="641"/>
      <c r="T280" s="64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4301052180</v>
      </c>
      <c r="D281" s="639">
        <v>4680115888340</v>
      </c>
      <c r="E281" s="639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88</v>
      </c>
      <c r="L281" s="37" t="s">
        <v>46</v>
      </c>
      <c r="M281" s="38" t="s">
        <v>87</v>
      </c>
      <c r="N281" s="38"/>
      <c r="O281" s="37">
        <v>45</v>
      </c>
      <c r="P281" s="7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41"/>
      <c r="R281" s="641"/>
      <c r="S281" s="641"/>
      <c r="T281" s="64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x14ac:dyDescent="0.2">
      <c r="A282" s="633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0" t="s">
        <v>40</v>
      </c>
      <c r="Q282" s="631"/>
      <c r="R282" s="631"/>
      <c r="S282" s="631"/>
      <c r="T282" s="631"/>
      <c r="U282" s="631"/>
      <c r="V282" s="632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140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140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0.91139999999999999</v>
      </c>
      <c r="AA282" s="67"/>
      <c r="AB282" s="67"/>
      <c r="AC282" s="67"/>
    </row>
    <row r="283" spans="1:68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0" t="s">
        <v>40</v>
      </c>
      <c r="Q283" s="631"/>
      <c r="R283" s="631"/>
      <c r="S283" s="631"/>
      <c r="T283" s="631"/>
      <c r="U283" s="631"/>
      <c r="V283" s="632"/>
      <c r="W283" s="42" t="s">
        <v>0</v>
      </c>
      <c r="X283" s="43">
        <f>IFERROR(SUM(X270:X281),"0")</f>
        <v>336</v>
      </c>
      <c r="Y283" s="43">
        <f>IFERROR(SUM(Y270:Y281),"0")</f>
        <v>336</v>
      </c>
      <c r="Z283" s="42"/>
      <c r="AA283" s="67"/>
      <c r="AB283" s="67"/>
      <c r="AC283" s="67"/>
    </row>
    <row r="284" spans="1:68" ht="14.25" hidden="1" customHeight="1" x14ac:dyDescent="0.25">
      <c r="A284" s="644" t="s">
        <v>172</v>
      </c>
      <c r="B284" s="644"/>
      <c r="C284" s="644"/>
      <c r="D284" s="644"/>
      <c r="E284" s="644"/>
      <c r="F284" s="644"/>
      <c r="G284" s="644"/>
      <c r="H284" s="644"/>
      <c r="I284" s="644"/>
      <c r="J284" s="644"/>
      <c r="K284" s="644"/>
      <c r="L284" s="644"/>
      <c r="M284" s="644"/>
      <c r="N284" s="644"/>
      <c r="O284" s="644"/>
      <c r="P284" s="644"/>
      <c r="Q284" s="644"/>
      <c r="R284" s="644"/>
      <c r="S284" s="644"/>
      <c r="T284" s="644"/>
      <c r="U284" s="644"/>
      <c r="V284" s="644"/>
      <c r="W284" s="644"/>
      <c r="X284" s="644"/>
      <c r="Y284" s="644"/>
      <c r="Z284" s="644"/>
      <c r="AA284" s="66"/>
      <c r="AB284" s="66"/>
      <c r="AC284" s="80"/>
    </row>
    <row r="285" spans="1:68" ht="27" hidden="1" customHeight="1" x14ac:dyDescent="0.25">
      <c r="A285" s="63" t="s">
        <v>485</v>
      </c>
      <c r="B285" s="63" t="s">
        <v>486</v>
      </c>
      <c r="C285" s="36">
        <v>4301060463</v>
      </c>
      <c r="D285" s="639">
        <v>4680115880818</v>
      </c>
      <c r="E285" s="639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7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41"/>
      <c r="R285" s="641"/>
      <c r="S285" s="641"/>
      <c r="T285" s="642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487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4301060389</v>
      </c>
      <c r="D286" s="639">
        <v>4680115880801</v>
      </c>
      <c r="E286" s="63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7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41"/>
      <c r="R286" s="641"/>
      <c r="S286" s="641"/>
      <c r="T286" s="642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490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633"/>
      <c r="B287" s="633"/>
      <c r="C287" s="633"/>
      <c r="D287" s="633"/>
      <c r="E287" s="633"/>
      <c r="F287" s="633"/>
      <c r="G287" s="633"/>
      <c r="H287" s="633"/>
      <c r="I287" s="633"/>
      <c r="J287" s="633"/>
      <c r="K287" s="633"/>
      <c r="L287" s="633"/>
      <c r="M287" s="633"/>
      <c r="N287" s="633"/>
      <c r="O287" s="634"/>
      <c r="P287" s="630" t="s">
        <v>40</v>
      </c>
      <c r="Q287" s="631"/>
      <c r="R287" s="631"/>
      <c r="S287" s="631"/>
      <c r="T287" s="631"/>
      <c r="U287" s="631"/>
      <c r="V287" s="632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0" t="s">
        <v>40</v>
      </c>
      <c r="Q288" s="631"/>
      <c r="R288" s="631"/>
      <c r="S288" s="631"/>
      <c r="T288" s="631"/>
      <c r="U288" s="631"/>
      <c r="V288" s="632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43" t="s">
        <v>491</v>
      </c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3"/>
      <c r="P289" s="643"/>
      <c r="Q289" s="643"/>
      <c r="R289" s="643"/>
      <c r="S289" s="643"/>
      <c r="T289" s="643"/>
      <c r="U289" s="643"/>
      <c r="V289" s="643"/>
      <c r="W289" s="643"/>
      <c r="X289" s="643"/>
      <c r="Y289" s="643"/>
      <c r="Z289" s="643"/>
      <c r="AA289" s="65"/>
      <c r="AB289" s="65"/>
      <c r="AC289" s="79"/>
    </row>
    <row r="290" spans="1:68" ht="14.25" hidden="1" customHeight="1" x14ac:dyDescent="0.25">
      <c r="A290" s="644" t="s">
        <v>119</v>
      </c>
      <c r="B290" s="644"/>
      <c r="C290" s="644"/>
      <c r="D290" s="644"/>
      <c r="E290" s="644"/>
      <c r="F290" s="644"/>
      <c r="G290" s="644"/>
      <c r="H290" s="644"/>
      <c r="I290" s="644"/>
      <c r="J290" s="644"/>
      <c r="K290" s="644"/>
      <c r="L290" s="644"/>
      <c r="M290" s="644"/>
      <c r="N290" s="644"/>
      <c r="O290" s="644"/>
      <c r="P290" s="644"/>
      <c r="Q290" s="644"/>
      <c r="R290" s="644"/>
      <c r="S290" s="644"/>
      <c r="T290" s="644"/>
      <c r="U290" s="644"/>
      <c r="V290" s="644"/>
      <c r="W290" s="644"/>
      <c r="X290" s="644"/>
      <c r="Y290" s="644"/>
      <c r="Z290" s="644"/>
      <c r="AA290" s="66"/>
      <c r="AB290" s="66"/>
      <c r="AC290" s="80"/>
    </row>
    <row r="291" spans="1:68" ht="27" hidden="1" customHeight="1" x14ac:dyDescent="0.25">
      <c r="A291" s="63" t="s">
        <v>492</v>
      </c>
      <c r="B291" s="63" t="s">
        <v>493</v>
      </c>
      <c r="C291" s="36">
        <v>4301011826</v>
      </c>
      <c r="D291" s="639">
        <v>4680115884137</v>
      </c>
      <c r="E291" s="639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124</v>
      </c>
      <c r="L291" s="37" t="s">
        <v>46</v>
      </c>
      <c r="M291" s="38" t="s">
        <v>123</v>
      </c>
      <c r="N291" s="38"/>
      <c r="O291" s="37">
        <v>55</v>
      </c>
      <c r="P291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41"/>
      <c r="R291" s="641"/>
      <c r="S291" s="641"/>
      <c r="T291" s="64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1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494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2">IFERROR(X291*I291/H291,"0")</f>
        <v>0</v>
      </c>
      <c r="BN291" s="78">
        <f t="shared" ref="BN291:BN297" si="43">IFERROR(Y291*I291/H291,"0")</f>
        <v>0</v>
      </c>
      <c r="BO291" s="78">
        <f t="shared" ref="BO291:BO297" si="44">IFERROR(1/J291*(X291/H291),"0")</f>
        <v>0</v>
      </c>
      <c r="BP291" s="78">
        <f t="shared" ref="BP291:BP297" si="45">IFERROR(1/J291*(Y291/H291),"0")</f>
        <v>0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4301011724</v>
      </c>
      <c r="D292" s="639">
        <v>4680115884236</v>
      </c>
      <c r="E292" s="639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124</v>
      </c>
      <c r="L292" s="37" t="s">
        <v>46</v>
      </c>
      <c r="M292" s="38" t="s">
        <v>123</v>
      </c>
      <c r="N292" s="38"/>
      <c r="O292" s="37">
        <v>55</v>
      </c>
      <c r="P292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41"/>
      <c r="R292" s="641"/>
      <c r="S292" s="641"/>
      <c r="T292" s="642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1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497</v>
      </c>
      <c r="AG292" s="78"/>
      <c r="AJ292" s="84" t="s">
        <v>46</v>
      </c>
      <c r="AK292" s="84">
        <v>0</v>
      </c>
      <c r="BB292" s="381" t="s">
        <v>67</v>
      </c>
      <c r="BM292" s="78">
        <f t="shared" si="42"/>
        <v>0</v>
      </c>
      <c r="BN292" s="78">
        <f t="shared" si="43"/>
        <v>0</v>
      </c>
      <c r="BO292" s="78">
        <f t="shared" si="44"/>
        <v>0</v>
      </c>
      <c r="BP292" s="78">
        <f t="shared" si="45"/>
        <v>0</v>
      </c>
    </row>
    <row r="293" spans="1:68" ht="27" hidden="1" customHeight="1" x14ac:dyDescent="0.25">
      <c r="A293" s="63" t="s">
        <v>498</v>
      </c>
      <c r="B293" s="63" t="s">
        <v>499</v>
      </c>
      <c r="C293" s="36">
        <v>4301011721</v>
      </c>
      <c r="D293" s="639">
        <v>4680115884175</v>
      </c>
      <c r="E293" s="639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124</v>
      </c>
      <c r="L293" s="37" t="s">
        <v>46</v>
      </c>
      <c r="M293" s="38" t="s">
        <v>123</v>
      </c>
      <c r="N293" s="38"/>
      <c r="O293" s="37">
        <v>55</v>
      </c>
      <c r="P293" s="7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41"/>
      <c r="R293" s="641"/>
      <c r="S293" s="641"/>
      <c r="T293" s="642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1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0</v>
      </c>
      <c r="BN293" s="78">
        <f t="shared" si="43"/>
        <v>0</v>
      </c>
      <c r="BO293" s="78">
        <f t="shared" si="44"/>
        <v>0</v>
      </c>
      <c r="BP293" s="78">
        <f t="shared" si="45"/>
        <v>0</v>
      </c>
    </row>
    <row r="294" spans="1:68" ht="27" hidden="1" customHeight="1" x14ac:dyDescent="0.25">
      <c r="A294" s="63" t="s">
        <v>500</v>
      </c>
      <c r="B294" s="63" t="s">
        <v>501</v>
      </c>
      <c r="C294" s="36">
        <v>4301011824</v>
      </c>
      <c r="D294" s="639">
        <v>4680115884144</v>
      </c>
      <c r="E294" s="639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131</v>
      </c>
      <c r="L294" s="37" t="s">
        <v>46</v>
      </c>
      <c r="M294" s="38" t="s">
        <v>123</v>
      </c>
      <c r="N294" s="38"/>
      <c r="O294" s="37">
        <v>55</v>
      </c>
      <c r="P294" s="7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41"/>
      <c r="R294" s="641"/>
      <c r="S294" s="641"/>
      <c r="T294" s="642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1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494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0</v>
      </c>
      <c r="BN294" s="78">
        <f t="shared" si="43"/>
        <v>0</v>
      </c>
      <c r="BO294" s="78">
        <f t="shared" si="44"/>
        <v>0</v>
      </c>
      <c r="BP294" s="78">
        <f t="shared" si="45"/>
        <v>0</v>
      </c>
    </row>
    <row r="295" spans="1:68" ht="27" hidden="1" customHeight="1" x14ac:dyDescent="0.25">
      <c r="A295" s="63" t="s">
        <v>502</v>
      </c>
      <c r="B295" s="63" t="s">
        <v>503</v>
      </c>
      <c r="C295" s="36">
        <v>4301012149</v>
      </c>
      <c r="D295" s="639">
        <v>4680115886551</v>
      </c>
      <c r="E295" s="639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131</v>
      </c>
      <c r="L295" s="37" t="s">
        <v>46</v>
      </c>
      <c r="M295" s="38" t="s">
        <v>123</v>
      </c>
      <c r="N295" s="38"/>
      <c r="O295" s="37">
        <v>55</v>
      </c>
      <c r="P295" s="76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41"/>
      <c r="R295" s="641"/>
      <c r="S295" s="641"/>
      <c r="T295" s="642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504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4301012228</v>
      </c>
      <c r="D296" s="639">
        <v>4680115887282</v>
      </c>
      <c r="E296" s="639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88</v>
      </c>
      <c r="L296" s="37" t="s">
        <v>46</v>
      </c>
      <c r="M296" s="38" t="s">
        <v>123</v>
      </c>
      <c r="N296" s="38"/>
      <c r="O296" s="37">
        <v>55</v>
      </c>
      <c r="P296" s="76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41"/>
      <c r="R296" s="641"/>
      <c r="S296" s="641"/>
      <c r="T296" s="642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507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508</v>
      </c>
      <c r="B297" s="63" t="s">
        <v>509</v>
      </c>
      <c r="C297" s="36">
        <v>4301011722</v>
      </c>
      <c r="D297" s="639">
        <v>4680115884205</v>
      </c>
      <c r="E297" s="639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131</v>
      </c>
      <c r="L297" s="37" t="s">
        <v>46</v>
      </c>
      <c r="M297" s="38" t="s">
        <v>123</v>
      </c>
      <c r="N297" s="38"/>
      <c r="O297" s="37">
        <v>55</v>
      </c>
      <c r="P297" s="76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41"/>
      <c r="R297" s="641"/>
      <c r="S297" s="641"/>
      <c r="T297" s="642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idden="1" x14ac:dyDescent="0.2">
      <c r="A298" s="633"/>
      <c r="B298" s="633"/>
      <c r="C298" s="633"/>
      <c r="D298" s="633"/>
      <c r="E298" s="633"/>
      <c r="F298" s="633"/>
      <c r="G298" s="633"/>
      <c r="H298" s="633"/>
      <c r="I298" s="633"/>
      <c r="J298" s="633"/>
      <c r="K298" s="633"/>
      <c r="L298" s="633"/>
      <c r="M298" s="633"/>
      <c r="N298" s="633"/>
      <c r="O298" s="634"/>
      <c r="P298" s="630" t="s">
        <v>40</v>
      </c>
      <c r="Q298" s="631"/>
      <c r="R298" s="631"/>
      <c r="S298" s="631"/>
      <c r="T298" s="631"/>
      <c r="U298" s="631"/>
      <c r="V298" s="632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0" t="s">
        <v>40</v>
      </c>
      <c r="Q299" s="631"/>
      <c r="R299" s="631"/>
      <c r="S299" s="631"/>
      <c r="T299" s="631"/>
      <c r="U299" s="631"/>
      <c r="V299" s="632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44" t="s">
        <v>154</v>
      </c>
      <c r="B300" s="644"/>
      <c r="C300" s="644"/>
      <c r="D300" s="644"/>
      <c r="E300" s="644"/>
      <c r="F300" s="644"/>
      <c r="G300" s="644"/>
      <c r="H300" s="644"/>
      <c r="I300" s="644"/>
      <c r="J300" s="644"/>
      <c r="K300" s="644"/>
      <c r="L300" s="644"/>
      <c r="M300" s="644"/>
      <c r="N300" s="644"/>
      <c r="O300" s="644"/>
      <c r="P300" s="644"/>
      <c r="Q300" s="644"/>
      <c r="R300" s="644"/>
      <c r="S300" s="644"/>
      <c r="T300" s="644"/>
      <c r="U300" s="644"/>
      <c r="V300" s="644"/>
      <c r="W300" s="644"/>
      <c r="X300" s="644"/>
      <c r="Y300" s="644"/>
      <c r="Z300" s="644"/>
      <c r="AA300" s="66"/>
      <c r="AB300" s="66"/>
      <c r="AC300" s="80"/>
    </row>
    <row r="301" spans="1:68" ht="27" hidden="1" customHeight="1" x14ac:dyDescent="0.25">
      <c r="A301" s="63" t="s">
        <v>510</v>
      </c>
      <c r="B301" s="63" t="s">
        <v>511</v>
      </c>
      <c r="C301" s="36">
        <v>4301020377</v>
      </c>
      <c r="D301" s="639">
        <v>4680115885981</v>
      </c>
      <c r="E301" s="639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87</v>
      </c>
      <c r="N301" s="38"/>
      <c r="O301" s="37">
        <v>50</v>
      </c>
      <c r="P301" s="76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41"/>
      <c r="R301" s="641"/>
      <c r="S301" s="641"/>
      <c r="T301" s="642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512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33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0" t="s">
        <v>40</v>
      </c>
      <c r="Q302" s="631"/>
      <c r="R302" s="631"/>
      <c r="S302" s="631"/>
      <c r="T302" s="631"/>
      <c r="U302" s="631"/>
      <c r="V302" s="632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0" t="s">
        <v>40</v>
      </c>
      <c r="Q303" s="631"/>
      <c r="R303" s="631"/>
      <c r="S303" s="631"/>
      <c r="T303" s="631"/>
      <c r="U303" s="631"/>
      <c r="V303" s="632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44" t="s">
        <v>513</v>
      </c>
      <c r="B304" s="644"/>
      <c r="C304" s="644"/>
      <c r="D304" s="644"/>
      <c r="E304" s="644"/>
      <c r="F304" s="644"/>
      <c r="G304" s="644"/>
      <c r="H304" s="644"/>
      <c r="I304" s="644"/>
      <c r="J304" s="644"/>
      <c r="K304" s="644"/>
      <c r="L304" s="644"/>
      <c r="M304" s="644"/>
      <c r="N304" s="644"/>
      <c r="O304" s="644"/>
      <c r="P304" s="644"/>
      <c r="Q304" s="644"/>
      <c r="R304" s="644"/>
      <c r="S304" s="644"/>
      <c r="T304" s="644"/>
      <c r="U304" s="644"/>
      <c r="V304" s="644"/>
      <c r="W304" s="644"/>
      <c r="X304" s="644"/>
      <c r="Y304" s="644"/>
      <c r="Z304" s="644"/>
      <c r="AA304" s="66"/>
      <c r="AB304" s="66"/>
      <c r="AC304" s="80"/>
    </row>
    <row r="305" spans="1:68" ht="27" hidden="1" customHeight="1" x14ac:dyDescent="0.25">
      <c r="A305" s="63" t="s">
        <v>514</v>
      </c>
      <c r="B305" s="63" t="s">
        <v>515</v>
      </c>
      <c r="C305" s="36">
        <v>4301040362</v>
      </c>
      <c r="D305" s="639">
        <v>4680115886803</v>
      </c>
      <c r="E305" s="639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333</v>
      </c>
      <c r="L305" s="37" t="s">
        <v>46</v>
      </c>
      <c r="M305" s="38" t="s">
        <v>279</v>
      </c>
      <c r="N305" s="38"/>
      <c r="O305" s="37">
        <v>45</v>
      </c>
      <c r="P305" s="76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41"/>
      <c r="R305" s="641"/>
      <c r="S305" s="641"/>
      <c r="T305" s="642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33"/>
      <c r="B306" s="633"/>
      <c r="C306" s="633"/>
      <c r="D306" s="633"/>
      <c r="E306" s="633"/>
      <c r="F306" s="633"/>
      <c r="G306" s="633"/>
      <c r="H306" s="633"/>
      <c r="I306" s="633"/>
      <c r="J306" s="633"/>
      <c r="K306" s="633"/>
      <c r="L306" s="633"/>
      <c r="M306" s="633"/>
      <c r="N306" s="633"/>
      <c r="O306" s="634"/>
      <c r="P306" s="630" t="s">
        <v>40</v>
      </c>
      <c r="Q306" s="631"/>
      <c r="R306" s="631"/>
      <c r="S306" s="631"/>
      <c r="T306" s="631"/>
      <c r="U306" s="631"/>
      <c r="V306" s="632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33"/>
      <c r="B307" s="633"/>
      <c r="C307" s="633"/>
      <c r="D307" s="633"/>
      <c r="E307" s="633"/>
      <c r="F307" s="633"/>
      <c r="G307" s="633"/>
      <c r="H307" s="633"/>
      <c r="I307" s="633"/>
      <c r="J307" s="633"/>
      <c r="K307" s="633"/>
      <c r="L307" s="633"/>
      <c r="M307" s="633"/>
      <c r="N307" s="633"/>
      <c r="O307" s="634"/>
      <c r="P307" s="630" t="s">
        <v>40</v>
      </c>
      <c r="Q307" s="631"/>
      <c r="R307" s="631"/>
      <c r="S307" s="631"/>
      <c r="T307" s="631"/>
      <c r="U307" s="631"/>
      <c r="V307" s="632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44" t="s">
        <v>334</v>
      </c>
      <c r="B308" s="644"/>
      <c r="C308" s="644"/>
      <c r="D308" s="644"/>
      <c r="E308" s="644"/>
      <c r="F308" s="644"/>
      <c r="G308" s="644"/>
      <c r="H308" s="644"/>
      <c r="I308" s="644"/>
      <c r="J308" s="644"/>
      <c r="K308" s="644"/>
      <c r="L308" s="644"/>
      <c r="M308" s="644"/>
      <c r="N308" s="644"/>
      <c r="O308" s="644"/>
      <c r="P308" s="644"/>
      <c r="Q308" s="644"/>
      <c r="R308" s="644"/>
      <c r="S308" s="644"/>
      <c r="T308" s="644"/>
      <c r="U308" s="644"/>
      <c r="V308" s="644"/>
      <c r="W308" s="644"/>
      <c r="X308" s="644"/>
      <c r="Y308" s="644"/>
      <c r="Z308" s="644"/>
      <c r="AA308" s="66"/>
      <c r="AB308" s="66"/>
      <c r="AC308" s="80"/>
    </row>
    <row r="309" spans="1:68" ht="27" hidden="1" customHeight="1" x14ac:dyDescent="0.25">
      <c r="A309" s="63" t="s">
        <v>517</v>
      </c>
      <c r="B309" s="63" t="s">
        <v>518</v>
      </c>
      <c r="C309" s="36">
        <v>4301041008</v>
      </c>
      <c r="D309" s="639">
        <v>4680115886681</v>
      </c>
      <c r="E309" s="639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333</v>
      </c>
      <c r="L309" s="37" t="s">
        <v>46</v>
      </c>
      <c r="M309" s="38" t="s">
        <v>279</v>
      </c>
      <c r="N309" s="38"/>
      <c r="O309" s="37">
        <v>90</v>
      </c>
      <c r="P309" s="75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41"/>
      <c r="R309" s="641"/>
      <c r="S309" s="641"/>
      <c r="T309" s="642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519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520</v>
      </c>
      <c r="B310" s="63" t="s">
        <v>521</v>
      </c>
      <c r="C310" s="36">
        <v>4301041007</v>
      </c>
      <c r="D310" s="639">
        <v>4680115886735</v>
      </c>
      <c r="E310" s="639"/>
      <c r="F310" s="62">
        <v>0.05</v>
      </c>
      <c r="G310" s="37">
        <v>18</v>
      </c>
      <c r="H310" s="62">
        <v>0.9</v>
      </c>
      <c r="I310" s="62">
        <v>1.0900000000000001</v>
      </c>
      <c r="J310" s="37">
        <v>216</v>
      </c>
      <c r="K310" s="37" t="s">
        <v>333</v>
      </c>
      <c r="L310" s="37" t="s">
        <v>46</v>
      </c>
      <c r="M310" s="38" t="s">
        <v>279</v>
      </c>
      <c r="N310" s="38"/>
      <c r="O310" s="37">
        <v>90</v>
      </c>
      <c r="P310" s="75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41"/>
      <c r="R310" s="641"/>
      <c r="S310" s="641"/>
      <c r="T310" s="642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519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idden="1" x14ac:dyDescent="0.2">
      <c r="A311" s="633"/>
      <c r="B311" s="633"/>
      <c r="C311" s="633"/>
      <c r="D311" s="633"/>
      <c r="E311" s="633"/>
      <c r="F311" s="633"/>
      <c r="G311" s="633"/>
      <c r="H311" s="633"/>
      <c r="I311" s="633"/>
      <c r="J311" s="633"/>
      <c r="K311" s="633"/>
      <c r="L311" s="633"/>
      <c r="M311" s="633"/>
      <c r="N311" s="633"/>
      <c r="O311" s="634"/>
      <c r="P311" s="630" t="s">
        <v>40</v>
      </c>
      <c r="Q311" s="631"/>
      <c r="R311" s="631"/>
      <c r="S311" s="631"/>
      <c r="T311" s="631"/>
      <c r="U311" s="631"/>
      <c r="V311" s="632"/>
      <c r="W311" s="42" t="s">
        <v>39</v>
      </c>
      <c r="X311" s="43">
        <f>IFERROR(X309/H309,"0")+IFERROR(X310/H310,"0")</f>
        <v>0</v>
      </c>
      <c r="Y311" s="43">
        <f>IFERROR(Y309/H309,"0")+IFERROR(Y310/H310,"0")</f>
        <v>0</v>
      </c>
      <c r="Z311" s="43">
        <f>IFERROR(IF(Z309="",0,Z309),"0")+IFERROR(IF(Z310="",0,Z310),"0")</f>
        <v>0</v>
      </c>
      <c r="AA311" s="67"/>
      <c r="AB311" s="67"/>
      <c r="AC311" s="67"/>
    </row>
    <row r="312" spans="1:68" hidden="1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0" t="s">
        <v>40</v>
      </c>
      <c r="Q312" s="631"/>
      <c r="R312" s="631"/>
      <c r="S312" s="631"/>
      <c r="T312" s="631"/>
      <c r="U312" s="631"/>
      <c r="V312" s="632"/>
      <c r="W312" s="42" t="s">
        <v>0</v>
      </c>
      <c r="X312" s="43">
        <f>IFERROR(SUM(X309:X310),"0")</f>
        <v>0</v>
      </c>
      <c r="Y312" s="43">
        <f>IFERROR(SUM(Y309:Y310),"0")</f>
        <v>0</v>
      </c>
      <c r="Z312" s="42"/>
      <c r="AA312" s="67"/>
      <c r="AB312" s="67"/>
      <c r="AC312" s="67"/>
    </row>
    <row r="313" spans="1:68" ht="16.5" hidden="1" customHeight="1" x14ac:dyDescent="0.25">
      <c r="A313" s="643" t="s">
        <v>522</v>
      </c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3"/>
      <c r="P313" s="643"/>
      <c r="Q313" s="643"/>
      <c r="R313" s="643"/>
      <c r="S313" s="643"/>
      <c r="T313" s="643"/>
      <c r="U313" s="643"/>
      <c r="V313" s="643"/>
      <c r="W313" s="643"/>
      <c r="X313" s="643"/>
      <c r="Y313" s="643"/>
      <c r="Z313" s="643"/>
      <c r="AA313" s="65"/>
      <c r="AB313" s="65"/>
      <c r="AC313" s="79"/>
    </row>
    <row r="314" spans="1:68" ht="14.25" hidden="1" customHeight="1" x14ac:dyDescent="0.25">
      <c r="A314" s="644" t="s">
        <v>119</v>
      </c>
      <c r="B314" s="644"/>
      <c r="C314" s="644"/>
      <c r="D314" s="644"/>
      <c r="E314" s="644"/>
      <c r="F314" s="644"/>
      <c r="G314" s="644"/>
      <c r="H314" s="644"/>
      <c r="I314" s="644"/>
      <c r="J314" s="644"/>
      <c r="K314" s="644"/>
      <c r="L314" s="644"/>
      <c r="M314" s="644"/>
      <c r="N314" s="644"/>
      <c r="O314" s="644"/>
      <c r="P314" s="644"/>
      <c r="Q314" s="644"/>
      <c r="R314" s="644"/>
      <c r="S314" s="644"/>
      <c r="T314" s="644"/>
      <c r="U314" s="644"/>
      <c r="V314" s="644"/>
      <c r="W314" s="644"/>
      <c r="X314" s="644"/>
      <c r="Y314" s="644"/>
      <c r="Z314" s="644"/>
      <c r="AA314" s="66"/>
      <c r="AB314" s="66"/>
      <c r="AC314" s="80"/>
    </row>
    <row r="315" spans="1:68" ht="27" hidden="1" customHeight="1" x14ac:dyDescent="0.25">
      <c r="A315" s="63" t="s">
        <v>523</v>
      </c>
      <c r="B315" s="63" t="s">
        <v>524</v>
      </c>
      <c r="C315" s="36">
        <v>4301011855</v>
      </c>
      <c r="D315" s="639">
        <v>4680115885837</v>
      </c>
      <c r="E315" s="639"/>
      <c r="F315" s="62">
        <v>1.35</v>
      </c>
      <c r="G315" s="37">
        <v>8</v>
      </c>
      <c r="H315" s="62">
        <v>10.8</v>
      </c>
      <c r="I315" s="62">
        <v>11.21</v>
      </c>
      <c r="J315" s="37">
        <v>64</v>
      </c>
      <c r="K315" s="37" t="s">
        <v>124</v>
      </c>
      <c r="L315" s="37" t="s">
        <v>46</v>
      </c>
      <c r="M315" s="38" t="s">
        <v>123</v>
      </c>
      <c r="N315" s="38"/>
      <c r="O315" s="37">
        <v>55</v>
      </c>
      <c r="P315" s="75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41"/>
      <c r="R315" s="641"/>
      <c r="S315" s="641"/>
      <c r="T315" s="642"/>
      <c r="U315" s="39" t="s">
        <v>46</v>
      </c>
      <c r="V315" s="39" t="s">
        <v>46</v>
      </c>
      <c r="W315" s="40" t="s">
        <v>0</v>
      </c>
      <c r="X315" s="58">
        <v>0</v>
      </c>
      <c r="Y315" s="55">
        <f t="shared" ref="Y315:Y320" si="46">IFERROR(IF(X315="",0,CEILING((X315/$H315),1)*$H315),"")</f>
        <v>0</v>
      </c>
      <c r="Z315" s="41" t="str">
        <f>IFERROR(IF(Y315=0,"",ROUNDUP(Y315/H315,0)*0.01898),"")</f>
        <v/>
      </c>
      <c r="AA315" s="68" t="s">
        <v>46</v>
      </c>
      <c r="AB315" s="69" t="s">
        <v>46</v>
      </c>
      <c r="AC315" s="400" t="s">
        <v>525</v>
      </c>
      <c r="AG315" s="78"/>
      <c r="AJ315" s="84" t="s">
        <v>46</v>
      </c>
      <c r="AK315" s="84">
        <v>0</v>
      </c>
      <c r="BB315" s="401" t="s">
        <v>67</v>
      </c>
      <c r="BM315" s="78">
        <f t="shared" ref="BM315:BM320" si="47">IFERROR(X315*I315/H315,"0")</f>
        <v>0</v>
      </c>
      <c r="BN315" s="78">
        <f t="shared" ref="BN315:BN320" si="48">IFERROR(Y315*I315/H315,"0")</f>
        <v>0</v>
      </c>
      <c r="BO315" s="78">
        <f t="shared" ref="BO315:BO320" si="49">IFERROR(1/J315*(X315/H315),"0")</f>
        <v>0</v>
      </c>
      <c r="BP315" s="78">
        <f t="shared" ref="BP315:BP320" si="50">IFERROR(1/J315*(Y315/H315),"0")</f>
        <v>0</v>
      </c>
    </row>
    <row r="316" spans="1:68" ht="27" hidden="1" customHeight="1" x14ac:dyDescent="0.25">
      <c r="A316" s="63" t="s">
        <v>526</v>
      </c>
      <c r="B316" s="63" t="s">
        <v>527</v>
      </c>
      <c r="C316" s="36">
        <v>4301012390</v>
      </c>
      <c r="D316" s="639">
        <v>4680115889637</v>
      </c>
      <c r="E316" s="639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124</v>
      </c>
      <c r="L316" s="37" t="s">
        <v>46</v>
      </c>
      <c r="M316" s="38" t="s">
        <v>123</v>
      </c>
      <c r="N316" s="38"/>
      <c r="O316" s="37">
        <v>55</v>
      </c>
      <c r="P316" s="75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41"/>
      <c r="R316" s="641"/>
      <c r="S316" s="641"/>
      <c r="T316" s="642"/>
      <c r="U316" s="39" t="s">
        <v>46</v>
      </c>
      <c r="V316" s="39" t="s">
        <v>46</v>
      </c>
      <c r="W316" s="40" t="s">
        <v>0</v>
      </c>
      <c r="X316" s="58">
        <v>0</v>
      </c>
      <c r="Y316" s="55">
        <f t="shared" si="46"/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528</v>
      </c>
      <c r="AG316" s="78"/>
      <c r="AJ316" s="84" t="s">
        <v>46</v>
      </c>
      <c r="AK316" s="84">
        <v>0</v>
      </c>
      <c r="BB316" s="403" t="s">
        <v>67</v>
      </c>
      <c r="BM316" s="78">
        <f t="shared" si="47"/>
        <v>0</v>
      </c>
      <c r="BN316" s="78">
        <f t="shared" si="48"/>
        <v>0</v>
      </c>
      <c r="BO316" s="78">
        <f t="shared" si="49"/>
        <v>0</v>
      </c>
      <c r="BP316" s="78">
        <f t="shared" si="50"/>
        <v>0</v>
      </c>
    </row>
    <row r="317" spans="1:68" ht="37.5" hidden="1" customHeight="1" x14ac:dyDescent="0.25">
      <c r="A317" s="63" t="s">
        <v>529</v>
      </c>
      <c r="B317" s="63" t="s">
        <v>530</v>
      </c>
      <c r="C317" s="36">
        <v>4301012234</v>
      </c>
      <c r="D317" s="639">
        <v>4680115887237</v>
      </c>
      <c r="E317" s="639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124</v>
      </c>
      <c r="L317" s="37" t="s">
        <v>46</v>
      </c>
      <c r="M317" s="38" t="s">
        <v>123</v>
      </c>
      <c r="N317" s="38"/>
      <c r="O317" s="37">
        <v>55</v>
      </c>
      <c r="P317" s="75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41"/>
      <c r="R317" s="641"/>
      <c r="S317" s="641"/>
      <c r="T317" s="642"/>
      <c r="U317" s="39" t="s">
        <v>46</v>
      </c>
      <c r="V317" s="39" t="s">
        <v>46</v>
      </c>
      <c r="W317" s="40" t="s">
        <v>0</v>
      </c>
      <c r="X317" s="58">
        <v>0</v>
      </c>
      <c r="Y317" s="55">
        <f t="shared" si="46"/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531</v>
      </c>
      <c r="AG317" s="78"/>
      <c r="AJ317" s="84" t="s">
        <v>46</v>
      </c>
      <c r="AK317" s="84">
        <v>0</v>
      </c>
      <c r="BB317" s="405" t="s">
        <v>67</v>
      </c>
      <c r="BM317" s="78">
        <f t="shared" si="47"/>
        <v>0</v>
      </c>
      <c r="BN317" s="78">
        <f t="shared" si="48"/>
        <v>0</v>
      </c>
      <c r="BO317" s="78">
        <f t="shared" si="49"/>
        <v>0</v>
      </c>
      <c r="BP317" s="78">
        <f t="shared" si="50"/>
        <v>0</v>
      </c>
    </row>
    <row r="318" spans="1:68" ht="27" hidden="1" customHeight="1" x14ac:dyDescent="0.25">
      <c r="A318" s="63" t="s">
        <v>532</v>
      </c>
      <c r="B318" s="63" t="s">
        <v>533</v>
      </c>
      <c r="C318" s="36">
        <v>4301011850</v>
      </c>
      <c r="D318" s="639">
        <v>4680115885806</v>
      </c>
      <c r="E318" s="639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124</v>
      </c>
      <c r="L318" s="37" t="s">
        <v>46</v>
      </c>
      <c r="M318" s="38" t="s">
        <v>123</v>
      </c>
      <c r="N318" s="38"/>
      <c r="O318" s="37">
        <v>55</v>
      </c>
      <c r="P318" s="7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41"/>
      <c r="R318" s="641"/>
      <c r="S318" s="641"/>
      <c r="T318" s="642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si="46"/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si="47"/>
        <v>0</v>
      </c>
      <c r="BN318" s="78">
        <f t="shared" si="48"/>
        <v>0</v>
      </c>
      <c r="BO318" s="78">
        <f t="shared" si="49"/>
        <v>0</v>
      </c>
      <c r="BP318" s="78">
        <f t="shared" si="50"/>
        <v>0</v>
      </c>
    </row>
    <row r="319" spans="1:68" ht="27" hidden="1" customHeight="1" x14ac:dyDescent="0.25">
      <c r="A319" s="63" t="s">
        <v>535</v>
      </c>
      <c r="B319" s="63" t="s">
        <v>536</v>
      </c>
      <c r="C319" s="36">
        <v>4301011852</v>
      </c>
      <c r="D319" s="639">
        <v>4680115885844</v>
      </c>
      <c r="E319" s="639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131</v>
      </c>
      <c r="L319" s="37" t="s">
        <v>46</v>
      </c>
      <c r="M319" s="38" t="s">
        <v>123</v>
      </c>
      <c r="N319" s="38"/>
      <c r="O319" s="37">
        <v>55</v>
      </c>
      <c r="P319" s="7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41"/>
      <c r="R319" s="641"/>
      <c r="S319" s="641"/>
      <c r="T319" s="642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7"/>
        <v>0</v>
      </c>
      <c r="BN319" s="78">
        <f t="shared" si="48"/>
        <v>0</v>
      </c>
      <c r="BO319" s="78">
        <f t="shared" si="49"/>
        <v>0</v>
      </c>
      <c r="BP319" s="78">
        <f t="shared" si="50"/>
        <v>0</v>
      </c>
    </row>
    <row r="320" spans="1:68" ht="37.5" hidden="1" customHeight="1" x14ac:dyDescent="0.25">
      <c r="A320" s="63" t="s">
        <v>538</v>
      </c>
      <c r="B320" s="63" t="s">
        <v>539</v>
      </c>
      <c r="C320" s="36">
        <v>4301011851</v>
      </c>
      <c r="D320" s="639">
        <v>4680115885820</v>
      </c>
      <c r="E320" s="639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131</v>
      </c>
      <c r="L320" s="37" t="s">
        <v>46</v>
      </c>
      <c r="M320" s="38" t="s">
        <v>123</v>
      </c>
      <c r="N320" s="38"/>
      <c r="O320" s="37">
        <v>55</v>
      </c>
      <c r="P320" s="75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41"/>
      <c r="R320" s="641"/>
      <c r="S320" s="641"/>
      <c r="T320" s="642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7"/>
        <v>0</v>
      </c>
      <c r="BN320" s="78">
        <f t="shared" si="48"/>
        <v>0</v>
      </c>
      <c r="BO320" s="78">
        <f t="shared" si="49"/>
        <v>0</v>
      </c>
      <c r="BP320" s="78">
        <f t="shared" si="50"/>
        <v>0</v>
      </c>
    </row>
    <row r="321" spans="1:68" hidden="1" x14ac:dyDescent="0.2">
      <c r="A321" s="633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0" t="s">
        <v>40</v>
      </c>
      <c r="Q321" s="631"/>
      <c r="R321" s="631"/>
      <c r="S321" s="631"/>
      <c r="T321" s="631"/>
      <c r="U321" s="631"/>
      <c r="V321" s="632"/>
      <c r="W321" s="42" t="s">
        <v>39</v>
      </c>
      <c r="X321" s="43">
        <f>IFERROR(X315/H315,"0")+IFERROR(X316/H316,"0")+IFERROR(X317/H317,"0")+IFERROR(X318/H318,"0")+IFERROR(X319/H319,"0")+IFERROR(X320/H320,"0")</f>
        <v>0</v>
      </c>
      <c r="Y321" s="43">
        <f>IFERROR(Y315/H315,"0")+IFERROR(Y316/H316,"0")+IFERROR(Y317/H317,"0")+IFERROR(Y318/H318,"0")+IFERROR(Y319/H319,"0")+IFERROR(Y320/H320,"0")</f>
        <v>0</v>
      </c>
      <c r="Z321" s="43">
        <f>IFERROR(IF(Z315="",0,Z315),"0")+IFERROR(IF(Z316="",0,Z316),"0")+IFERROR(IF(Z317="",0,Z317),"0")+IFERROR(IF(Z318="",0,Z318),"0")+IFERROR(IF(Z319="",0,Z319),"0")+IFERROR(IF(Z320="",0,Z320),"0")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0" t="s">
        <v>40</v>
      </c>
      <c r="Q322" s="631"/>
      <c r="R322" s="631"/>
      <c r="S322" s="631"/>
      <c r="T322" s="631"/>
      <c r="U322" s="631"/>
      <c r="V322" s="632"/>
      <c r="W322" s="42" t="s">
        <v>0</v>
      </c>
      <c r="X322" s="43">
        <f>IFERROR(SUM(X315:X320),"0")</f>
        <v>0</v>
      </c>
      <c r="Y322" s="43">
        <f>IFERROR(SUM(Y315:Y320),"0")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43" t="s">
        <v>541</v>
      </c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43"/>
      <c r="P323" s="643"/>
      <c r="Q323" s="643"/>
      <c r="R323" s="643"/>
      <c r="S323" s="643"/>
      <c r="T323" s="643"/>
      <c r="U323" s="643"/>
      <c r="V323" s="643"/>
      <c r="W323" s="643"/>
      <c r="X323" s="643"/>
      <c r="Y323" s="643"/>
      <c r="Z323" s="643"/>
      <c r="AA323" s="65"/>
      <c r="AB323" s="65"/>
      <c r="AC323" s="79"/>
    </row>
    <row r="324" spans="1:68" ht="14.25" hidden="1" customHeight="1" x14ac:dyDescent="0.25">
      <c r="A324" s="644" t="s">
        <v>83</v>
      </c>
      <c r="B324" s="644"/>
      <c r="C324" s="644"/>
      <c r="D324" s="644"/>
      <c r="E324" s="644"/>
      <c r="F324" s="644"/>
      <c r="G324" s="644"/>
      <c r="H324" s="644"/>
      <c r="I324" s="644"/>
      <c r="J324" s="644"/>
      <c r="K324" s="644"/>
      <c r="L324" s="644"/>
      <c r="M324" s="644"/>
      <c r="N324" s="644"/>
      <c r="O324" s="644"/>
      <c r="P324" s="644"/>
      <c r="Q324" s="644"/>
      <c r="R324" s="644"/>
      <c r="S324" s="644"/>
      <c r="T324" s="644"/>
      <c r="U324" s="644"/>
      <c r="V324" s="644"/>
      <c r="W324" s="644"/>
      <c r="X324" s="644"/>
      <c r="Y324" s="644"/>
      <c r="Z324" s="644"/>
      <c r="AA324" s="66"/>
      <c r="AB324" s="66"/>
      <c r="AC324" s="80"/>
    </row>
    <row r="325" spans="1:68" ht="27" hidden="1" customHeight="1" x14ac:dyDescent="0.25">
      <c r="A325" s="63" t="s">
        <v>542</v>
      </c>
      <c r="B325" s="63" t="s">
        <v>543</v>
      </c>
      <c r="C325" s="36">
        <v>4301051893</v>
      </c>
      <c r="D325" s="639">
        <v>4680115886186</v>
      </c>
      <c r="E325" s="639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88</v>
      </c>
      <c r="L325" s="37" t="s">
        <v>46</v>
      </c>
      <c r="M325" s="38" t="s">
        <v>87</v>
      </c>
      <c r="N325" s="38"/>
      <c r="O325" s="37">
        <v>45</v>
      </c>
      <c r="P325" s="74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41"/>
      <c r="R325" s="641"/>
      <c r="S325" s="641"/>
      <c r="T325" s="642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544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545</v>
      </c>
      <c r="B326" s="63" t="s">
        <v>546</v>
      </c>
      <c r="C326" s="36">
        <v>4301051795</v>
      </c>
      <c r="D326" s="639">
        <v>4680115881228</v>
      </c>
      <c r="E326" s="639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88</v>
      </c>
      <c r="L326" s="37" t="s">
        <v>46</v>
      </c>
      <c r="M326" s="38" t="s">
        <v>94</v>
      </c>
      <c r="N326" s="38"/>
      <c r="O326" s="37">
        <v>40</v>
      </c>
      <c r="P326" s="7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41"/>
      <c r="R326" s="641"/>
      <c r="S326" s="641"/>
      <c r="T326" s="64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547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548</v>
      </c>
      <c r="B327" s="63" t="s">
        <v>549</v>
      </c>
      <c r="C327" s="36">
        <v>4301051388</v>
      </c>
      <c r="D327" s="639">
        <v>4680115881211</v>
      </c>
      <c r="E327" s="639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88</v>
      </c>
      <c r="L327" s="37" t="s">
        <v>46</v>
      </c>
      <c r="M327" s="38" t="s">
        <v>87</v>
      </c>
      <c r="N327" s="38"/>
      <c r="O327" s="37">
        <v>45</v>
      </c>
      <c r="P327" s="75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41"/>
      <c r="R327" s="641"/>
      <c r="S327" s="641"/>
      <c r="T327" s="64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544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idden="1" x14ac:dyDescent="0.2">
      <c r="A328" s="633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0" t="s">
        <v>40</v>
      </c>
      <c r="Q328" s="631"/>
      <c r="R328" s="631"/>
      <c r="S328" s="631"/>
      <c r="T328" s="631"/>
      <c r="U328" s="631"/>
      <c r="V328" s="632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0" t="s">
        <v>40</v>
      </c>
      <c r="Q329" s="631"/>
      <c r="R329" s="631"/>
      <c r="S329" s="631"/>
      <c r="T329" s="631"/>
      <c r="U329" s="631"/>
      <c r="V329" s="632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43" t="s">
        <v>550</v>
      </c>
      <c r="B330" s="643"/>
      <c r="C330" s="643"/>
      <c r="D330" s="643"/>
      <c r="E330" s="643"/>
      <c r="F330" s="643"/>
      <c r="G330" s="643"/>
      <c r="H330" s="643"/>
      <c r="I330" s="643"/>
      <c r="J330" s="643"/>
      <c r="K330" s="643"/>
      <c r="L330" s="643"/>
      <c r="M330" s="643"/>
      <c r="N330" s="643"/>
      <c r="O330" s="643"/>
      <c r="P330" s="643"/>
      <c r="Q330" s="643"/>
      <c r="R330" s="643"/>
      <c r="S330" s="643"/>
      <c r="T330" s="643"/>
      <c r="U330" s="643"/>
      <c r="V330" s="643"/>
      <c r="W330" s="643"/>
      <c r="X330" s="643"/>
      <c r="Y330" s="643"/>
      <c r="Z330" s="643"/>
      <c r="AA330" s="65"/>
      <c r="AB330" s="65"/>
      <c r="AC330" s="79"/>
    </row>
    <row r="331" spans="1:68" ht="14.25" hidden="1" customHeight="1" x14ac:dyDescent="0.25">
      <c r="A331" s="644" t="s">
        <v>77</v>
      </c>
      <c r="B331" s="644"/>
      <c r="C331" s="644"/>
      <c r="D331" s="644"/>
      <c r="E331" s="644"/>
      <c r="F331" s="644"/>
      <c r="G331" s="644"/>
      <c r="H331" s="644"/>
      <c r="I331" s="644"/>
      <c r="J331" s="644"/>
      <c r="K331" s="644"/>
      <c r="L331" s="644"/>
      <c r="M331" s="644"/>
      <c r="N331" s="644"/>
      <c r="O331" s="644"/>
      <c r="P331" s="644"/>
      <c r="Q331" s="644"/>
      <c r="R331" s="644"/>
      <c r="S331" s="644"/>
      <c r="T331" s="644"/>
      <c r="U331" s="644"/>
      <c r="V331" s="644"/>
      <c r="W331" s="644"/>
      <c r="X331" s="644"/>
      <c r="Y331" s="644"/>
      <c r="Z331" s="644"/>
      <c r="AA331" s="66"/>
      <c r="AB331" s="66"/>
      <c r="AC331" s="80"/>
    </row>
    <row r="332" spans="1:68" ht="27" hidden="1" customHeight="1" x14ac:dyDescent="0.25">
      <c r="A332" s="63" t="s">
        <v>551</v>
      </c>
      <c r="B332" s="63" t="s">
        <v>552</v>
      </c>
      <c r="C332" s="36">
        <v>4301031445</v>
      </c>
      <c r="D332" s="639">
        <v>4680115888319</v>
      </c>
      <c r="E332" s="639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4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41"/>
      <c r="R332" s="641"/>
      <c r="S332" s="641"/>
      <c r="T332" s="64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553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39">
        <v>4680115884700</v>
      </c>
      <c r="E333" s="639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4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41"/>
      <c r="R333" s="641"/>
      <c r="S333" s="641"/>
      <c r="T333" s="642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39">
        <v>4680115880344</v>
      </c>
      <c r="E334" s="639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4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41"/>
      <c r="R334" s="641"/>
      <c r="S334" s="641"/>
      <c r="T334" s="642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39">
        <v>4680115886919</v>
      </c>
      <c r="E335" s="639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88</v>
      </c>
      <c r="L335" s="37" t="s">
        <v>46</v>
      </c>
      <c r="M335" s="38" t="s">
        <v>81</v>
      </c>
      <c r="N335" s="38"/>
      <c r="O335" s="37">
        <v>40</v>
      </c>
      <c r="P335" s="74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41"/>
      <c r="R335" s="641"/>
      <c r="S335" s="641"/>
      <c r="T335" s="64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33"/>
      <c r="B336" s="633"/>
      <c r="C336" s="633"/>
      <c r="D336" s="633"/>
      <c r="E336" s="633"/>
      <c r="F336" s="633"/>
      <c r="G336" s="633"/>
      <c r="H336" s="633"/>
      <c r="I336" s="633"/>
      <c r="J336" s="633"/>
      <c r="K336" s="633"/>
      <c r="L336" s="633"/>
      <c r="M336" s="633"/>
      <c r="N336" s="633"/>
      <c r="O336" s="634"/>
      <c r="P336" s="630" t="s">
        <v>40</v>
      </c>
      <c r="Q336" s="631"/>
      <c r="R336" s="631"/>
      <c r="S336" s="631"/>
      <c r="T336" s="631"/>
      <c r="U336" s="631"/>
      <c r="V336" s="632"/>
      <c r="W336" s="42" t="s">
        <v>39</v>
      </c>
      <c r="X336" s="43">
        <f>IFERROR(X332/H332,"0")+IFERROR(X333/H333,"0")+IFERROR(X334/H334,"0")+IFERROR(X335/H335,"0")</f>
        <v>0</v>
      </c>
      <c r="Y336" s="43">
        <f>IFERROR(Y332/H332,"0")+IFERROR(Y333/H333,"0")+IFERROR(Y334/H334,"0")+IFERROR(Y335/H335,"0")</f>
        <v>0</v>
      </c>
      <c r="Z336" s="43">
        <f>IFERROR(IF(Z332="",0,Z332),"0")+IFERROR(IF(Z333="",0,Z333),"0")+IFERROR(IF(Z334="",0,Z334),"0")+IFERROR(IF(Z335="",0,Z335),"0")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33"/>
      <c r="B337" s="633"/>
      <c r="C337" s="633"/>
      <c r="D337" s="633"/>
      <c r="E337" s="633"/>
      <c r="F337" s="633"/>
      <c r="G337" s="633"/>
      <c r="H337" s="633"/>
      <c r="I337" s="633"/>
      <c r="J337" s="633"/>
      <c r="K337" s="633"/>
      <c r="L337" s="633"/>
      <c r="M337" s="633"/>
      <c r="N337" s="633"/>
      <c r="O337" s="634"/>
      <c r="P337" s="630" t="s">
        <v>40</v>
      </c>
      <c r="Q337" s="631"/>
      <c r="R337" s="631"/>
      <c r="S337" s="631"/>
      <c r="T337" s="631"/>
      <c r="U337" s="631"/>
      <c r="V337" s="632"/>
      <c r="W337" s="42" t="s">
        <v>0</v>
      </c>
      <c r="X337" s="43">
        <f>IFERROR(SUM(X332:X335),"0")</f>
        <v>0</v>
      </c>
      <c r="Y337" s="43">
        <f>IFERROR(SUM(Y332:Y335),"0")</f>
        <v>0</v>
      </c>
      <c r="Z337" s="42"/>
      <c r="AA337" s="67"/>
      <c r="AB337" s="67"/>
      <c r="AC337" s="67"/>
    </row>
    <row r="338" spans="1:68" ht="14.25" hidden="1" customHeight="1" x14ac:dyDescent="0.25">
      <c r="A338" s="644" t="s">
        <v>83</v>
      </c>
      <c r="B338" s="644"/>
      <c r="C338" s="644"/>
      <c r="D338" s="644"/>
      <c r="E338" s="644"/>
      <c r="F338" s="644"/>
      <c r="G338" s="644"/>
      <c r="H338" s="644"/>
      <c r="I338" s="644"/>
      <c r="J338" s="644"/>
      <c r="K338" s="644"/>
      <c r="L338" s="644"/>
      <c r="M338" s="644"/>
      <c r="N338" s="644"/>
      <c r="O338" s="644"/>
      <c r="P338" s="644"/>
      <c r="Q338" s="644"/>
      <c r="R338" s="644"/>
      <c r="S338" s="644"/>
      <c r="T338" s="644"/>
      <c r="U338" s="644"/>
      <c r="V338" s="644"/>
      <c r="W338" s="644"/>
      <c r="X338" s="644"/>
      <c r="Y338" s="644"/>
      <c r="Z338" s="644"/>
      <c r="AA338" s="66"/>
      <c r="AB338" s="66"/>
      <c r="AC338" s="80"/>
    </row>
    <row r="339" spans="1:68" ht="27" hidden="1" customHeight="1" x14ac:dyDescent="0.25">
      <c r="A339" s="63" t="s">
        <v>563</v>
      </c>
      <c r="B339" s="63" t="s">
        <v>564</v>
      </c>
      <c r="C339" s="36">
        <v>4301051782</v>
      </c>
      <c r="D339" s="639">
        <v>4680115884618</v>
      </c>
      <c r="E339" s="639"/>
      <c r="F339" s="62">
        <v>0.6</v>
      </c>
      <c r="G339" s="37">
        <v>6</v>
      </c>
      <c r="H339" s="62">
        <v>3.6</v>
      </c>
      <c r="I339" s="62">
        <v>3.79</v>
      </c>
      <c r="J339" s="37">
        <v>132</v>
      </c>
      <c r="K339" s="37" t="s">
        <v>131</v>
      </c>
      <c r="L339" s="37" t="s">
        <v>46</v>
      </c>
      <c r="M339" s="38" t="s">
        <v>87</v>
      </c>
      <c r="N339" s="38"/>
      <c r="O339" s="37">
        <v>45</v>
      </c>
      <c r="P339" s="74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41"/>
      <c r="R339" s="641"/>
      <c r="S339" s="641"/>
      <c r="T339" s="64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IFERROR(IF(Y339=0,"",ROUNDUP(Y339/H339,0)*0.00902),"")</f>
        <v/>
      </c>
      <c r="AA339" s="68" t="s">
        <v>46</v>
      </c>
      <c r="AB339" s="69" t="s">
        <v>46</v>
      </c>
      <c r="AC339" s="426" t="s">
        <v>565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566</v>
      </c>
      <c r="B340" s="63" t="s">
        <v>567</v>
      </c>
      <c r="C340" s="36">
        <v>4301052057</v>
      </c>
      <c r="D340" s="639">
        <v>4680115887114</v>
      </c>
      <c r="E340" s="639"/>
      <c r="F340" s="62">
        <v>0.55000000000000004</v>
      </c>
      <c r="G340" s="37">
        <v>6</v>
      </c>
      <c r="H340" s="62">
        <v>3.3</v>
      </c>
      <c r="I340" s="62">
        <v>3.49</v>
      </c>
      <c r="J340" s="37">
        <v>132</v>
      </c>
      <c r="K340" s="37" t="s">
        <v>131</v>
      </c>
      <c r="L340" s="37" t="s">
        <v>46</v>
      </c>
      <c r="M340" s="38" t="s">
        <v>87</v>
      </c>
      <c r="N340" s="38"/>
      <c r="O340" s="37">
        <v>45</v>
      </c>
      <c r="P340" s="74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41"/>
      <c r="R340" s="641"/>
      <c r="S340" s="641"/>
      <c r="T340" s="64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4301052066</v>
      </c>
      <c r="D341" s="639">
        <v>4680115887466</v>
      </c>
      <c r="E341" s="639"/>
      <c r="F341" s="62">
        <v>0.7</v>
      </c>
      <c r="G341" s="37">
        <v>6</v>
      </c>
      <c r="H341" s="62">
        <v>4.2</v>
      </c>
      <c r="I341" s="62">
        <v>4.6159999999999997</v>
      </c>
      <c r="J341" s="37">
        <v>104</v>
      </c>
      <c r="K341" s="37" t="s">
        <v>124</v>
      </c>
      <c r="L341" s="37" t="s">
        <v>46</v>
      </c>
      <c r="M341" s="38" t="s">
        <v>87</v>
      </c>
      <c r="N341" s="38"/>
      <c r="O341" s="37">
        <v>45</v>
      </c>
      <c r="P341" s="744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41"/>
      <c r="R341" s="641"/>
      <c r="S341" s="641"/>
      <c r="T341" s="642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IFERROR(IF(Y341=0,"",ROUNDUP(Y341/H341,0)*0.01196),"")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33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0" t="s">
        <v>40</v>
      </c>
      <c r="Q342" s="631"/>
      <c r="R342" s="631"/>
      <c r="S342" s="631"/>
      <c r="T342" s="631"/>
      <c r="U342" s="631"/>
      <c r="V342" s="632"/>
      <c r="W342" s="42" t="s">
        <v>39</v>
      </c>
      <c r="X342" s="43">
        <f>IFERROR(X339/H339,"0")+IFERROR(X340/H340,"0")+IFERROR(X341/H341,"0")</f>
        <v>0</v>
      </c>
      <c r="Y342" s="43">
        <f>IFERROR(Y339/H339,"0")+IFERROR(Y340/H340,"0")+IFERROR(Y341/H341,"0")</f>
        <v>0</v>
      </c>
      <c r="Z342" s="43">
        <f>IFERROR(IF(Z339="",0,Z339),"0")+IFERROR(IF(Z340="",0,Z340),"0")+IFERROR(IF(Z341="",0,Z341),"0")</f>
        <v>0</v>
      </c>
      <c r="AA342" s="67"/>
      <c r="AB342" s="67"/>
      <c r="AC342" s="67"/>
    </row>
    <row r="343" spans="1:68" hidden="1" x14ac:dyDescent="0.2">
      <c r="A343" s="633"/>
      <c r="B343" s="633"/>
      <c r="C343" s="633"/>
      <c r="D343" s="633"/>
      <c r="E343" s="633"/>
      <c r="F343" s="633"/>
      <c r="G343" s="633"/>
      <c r="H343" s="633"/>
      <c r="I343" s="633"/>
      <c r="J343" s="633"/>
      <c r="K343" s="633"/>
      <c r="L343" s="633"/>
      <c r="M343" s="633"/>
      <c r="N343" s="633"/>
      <c r="O343" s="634"/>
      <c r="P343" s="630" t="s">
        <v>40</v>
      </c>
      <c r="Q343" s="631"/>
      <c r="R343" s="631"/>
      <c r="S343" s="631"/>
      <c r="T343" s="631"/>
      <c r="U343" s="631"/>
      <c r="V343" s="632"/>
      <c r="W343" s="42" t="s">
        <v>0</v>
      </c>
      <c r="X343" s="43">
        <f>IFERROR(SUM(X339:X341),"0")</f>
        <v>0</v>
      </c>
      <c r="Y343" s="43">
        <f>IFERROR(SUM(Y339:Y341),"0")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43" t="s">
        <v>572</v>
      </c>
      <c r="B344" s="643"/>
      <c r="C344" s="643"/>
      <c r="D344" s="643"/>
      <c r="E344" s="643"/>
      <c r="F344" s="643"/>
      <c r="G344" s="643"/>
      <c r="H344" s="643"/>
      <c r="I344" s="643"/>
      <c r="J344" s="643"/>
      <c r="K344" s="643"/>
      <c r="L344" s="643"/>
      <c r="M344" s="643"/>
      <c r="N344" s="643"/>
      <c r="O344" s="643"/>
      <c r="P344" s="643"/>
      <c r="Q344" s="643"/>
      <c r="R344" s="643"/>
      <c r="S344" s="643"/>
      <c r="T344" s="643"/>
      <c r="U344" s="643"/>
      <c r="V344" s="643"/>
      <c r="W344" s="643"/>
      <c r="X344" s="643"/>
      <c r="Y344" s="643"/>
      <c r="Z344" s="643"/>
      <c r="AA344" s="65"/>
      <c r="AB344" s="65"/>
      <c r="AC344" s="79"/>
    </row>
    <row r="345" spans="1:68" ht="14.25" hidden="1" customHeight="1" x14ac:dyDescent="0.25">
      <c r="A345" s="644" t="s">
        <v>119</v>
      </c>
      <c r="B345" s="644"/>
      <c r="C345" s="644"/>
      <c r="D345" s="644"/>
      <c r="E345" s="644"/>
      <c r="F345" s="644"/>
      <c r="G345" s="644"/>
      <c r="H345" s="644"/>
      <c r="I345" s="644"/>
      <c r="J345" s="644"/>
      <c r="K345" s="644"/>
      <c r="L345" s="644"/>
      <c r="M345" s="644"/>
      <c r="N345" s="644"/>
      <c r="O345" s="644"/>
      <c r="P345" s="644"/>
      <c r="Q345" s="644"/>
      <c r="R345" s="644"/>
      <c r="S345" s="644"/>
      <c r="T345" s="644"/>
      <c r="U345" s="644"/>
      <c r="V345" s="644"/>
      <c r="W345" s="644"/>
      <c r="X345" s="644"/>
      <c r="Y345" s="644"/>
      <c r="Z345" s="644"/>
      <c r="AA345" s="66"/>
      <c r="AB345" s="66"/>
      <c r="AC345" s="80"/>
    </row>
    <row r="346" spans="1:68" ht="27" hidden="1" customHeight="1" x14ac:dyDescent="0.25">
      <c r="A346" s="63" t="s">
        <v>573</v>
      </c>
      <c r="B346" s="63" t="s">
        <v>574</v>
      </c>
      <c r="C346" s="36">
        <v>4301012324</v>
      </c>
      <c r="D346" s="639">
        <v>4680115887947</v>
      </c>
      <c r="E346" s="639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124</v>
      </c>
      <c r="L346" s="37" t="s">
        <v>46</v>
      </c>
      <c r="M346" s="38" t="s">
        <v>87</v>
      </c>
      <c r="N346" s="38"/>
      <c r="O346" s="37">
        <v>60</v>
      </c>
      <c r="P346" s="74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41"/>
      <c r="R346" s="641"/>
      <c r="S346" s="641"/>
      <c r="T346" s="64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575</v>
      </c>
      <c r="B347" s="63" t="s">
        <v>576</v>
      </c>
      <c r="C347" s="36">
        <v>4301012325</v>
      </c>
      <c r="D347" s="639">
        <v>4680115887978</v>
      </c>
      <c r="E347" s="639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124</v>
      </c>
      <c r="L347" s="37" t="s">
        <v>46</v>
      </c>
      <c r="M347" s="38" t="s">
        <v>87</v>
      </c>
      <c r="N347" s="38"/>
      <c r="O347" s="37">
        <v>60</v>
      </c>
      <c r="P347" s="74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41"/>
      <c r="R347" s="641"/>
      <c r="S347" s="641"/>
      <c r="T347" s="642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578</v>
      </c>
      <c r="B348" s="63" t="s">
        <v>579</v>
      </c>
      <c r="C348" s="36">
        <v>4301012327</v>
      </c>
      <c r="D348" s="639">
        <v>4680115887992</v>
      </c>
      <c r="E348" s="639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124</v>
      </c>
      <c r="L348" s="37" t="s">
        <v>46</v>
      </c>
      <c r="M348" s="38" t="s">
        <v>87</v>
      </c>
      <c r="N348" s="38"/>
      <c r="O348" s="37">
        <v>60</v>
      </c>
      <c r="P348" s="73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41"/>
      <c r="R348" s="641"/>
      <c r="S348" s="641"/>
      <c r="T348" s="642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33"/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4"/>
      <c r="P349" s="630" t="s">
        <v>40</v>
      </c>
      <c r="Q349" s="631"/>
      <c r="R349" s="631"/>
      <c r="S349" s="631"/>
      <c r="T349" s="631"/>
      <c r="U349" s="631"/>
      <c r="V349" s="632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33"/>
      <c r="B350" s="633"/>
      <c r="C350" s="633"/>
      <c r="D350" s="633"/>
      <c r="E350" s="633"/>
      <c r="F350" s="633"/>
      <c r="G350" s="633"/>
      <c r="H350" s="633"/>
      <c r="I350" s="633"/>
      <c r="J350" s="633"/>
      <c r="K350" s="633"/>
      <c r="L350" s="633"/>
      <c r="M350" s="633"/>
      <c r="N350" s="633"/>
      <c r="O350" s="634"/>
      <c r="P350" s="630" t="s">
        <v>40</v>
      </c>
      <c r="Q350" s="631"/>
      <c r="R350" s="631"/>
      <c r="S350" s="631"/>
      <c r="T350" s="631"/>
      <c r="U350" s="631"/>
      <c r="V350" s="632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43" t="s">
        <v>581</v>
      </c>
      <c r="B351" s="643"/>
      <c r="C351" s="643"/>
      <c r="D351" s="643"/>
      <c r="E351" s="643"/>
      <c r="F351" s="643"/>
      <c r="G351" s="643"/>
      <c r="H351" s="643"/>
      <c r="I351" s="643"/>
      <c r="J351" s="643"/>
      <c r="K351" s="643"/>
      <c r="L351" s="643"/>
      <c r="M351" s="643"/>
      <c r="N351" s="643"/>
      <c r="O351" s="643"/>
      <c r="P351" s="643"/>
      <c r="Q351" s="643"/>
      <c r="R351" s="643"/>
      <c r="S351" s="643"/>
      <c r="T351" s="643"/>
      <c r="U351" s="643"/>
      <c r="V351" s="643"/>
      <c r="W351" s="643"/>
      <c r="X351" s="643"/>
      <c r="Y351" s="643"/>
      <c r="Z351" s="643"/>
      <c r="AA351" s="65"/>
      <c r="AB351" s="65"/>
      <c r="AC351" s="79"/>
    </row>
    <row r="352" spans="1:68" ht="14.25" hidden="1" customHeight="1" x14ac:dyDescent="0.25">
      <c r="A352" s="644" t="s">
        <v>119</v>
      </c>
      <c r="B352" s="644"/>
      <c r="C352" s="644"/>
      <c r="D352" s="644"/>
      <c r="E352" s="644"/>
      <c r="F352" s="644"/>
      <c r="G352" s="644"/>
      <c r="H352" s="644"/>
      <c r="I352" s="644"/>
      <c r="J352" s="644"/>
      <c r="K352" s="644"/>
      <c r="L352" s="644"/>
      <c r="M352" s="644"/>
      <c r="N352" s="644"/>
      <c r="O352" s="644"/>
      <c r="P352" s="644"/>
      <c r="Q352" s="644"/>
      <c r="R352" s="644"/>
      <c r="S352" s="644"/>
      <c r="T352" s="644"/>
      <c r="U352" s="644"/>
      <c r="V352" s="644"/>
      <c r="W352" s="644"/>
      <c r="X352" s="644"/>
      <c r="Y352" s="644"/>
      <c r="Z352" s="644"/>
      <c r="AA352" s="66"/>
      <c r="AB352" s="66"/>
      <c r="AC352" s="80"/>
    </row>
    <row r="353" spans="1:68" ht="27" hidden="1" customHeight="1" x14ac:dyDescent="0.25">
      <c r="A353" s="63" t="s">
        <v>582</v>
      </c>
      <c r="B353" s="63" t="s">
        <v>583</v>
      </c>
      <c r="C353" s="36">
        <v>4301012360</v>
      </c>
      <c r="D353" s="639">
        <v>4680115889293</v>
      </c>
      <c r="E353" s="639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124</v>
      </c>
      <c r="L353" s="37" t="s">
        <v>46</v>
      </c>
      <c r="M353" s="38" t="s">
        <v>123</v>
      </c>
      <c r="N353" s="38"/>
      <c r="O353" s="37">
        <v>55</v>
      </c>
      <c r="P353" s="739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41"/>
      <c r="R353" s="641"/>
      <c r="S353" s="641"/>
      <c r="T353" s="642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9" si="51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9" si="52">IFERROR(X353*I353/H353,"0")</f>
        <v>0</v>
      </c>
      <c r="BN353" s="78">
        <f t="shared" ref="BN353:BN359" si="53">IFERROR(Y353*I353/H353,"0")</f>
        <v>0</v>
      </c>
      <c r="BO353" s="78">
        <f t="shared" ref="BO353:BO359" si="54">IFERROR(1/J353*(X353/H353),"0")</f>
        <v>0</v>
      </c>
      <c r="BP353" s="78">
        <f t="shared" ref="BP353:BP359" si="55">IFERROR(1/J353*(Y353/H353),"0")</f>
        <v>0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39">
        <v>4680115887190</v>
      </c>
      <c r="E354" s="639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124</v>
      </c>
      <c r="L354" s="37" t="s">
        <v>46</v>
      </c>
      <c r="M354" s="38" t="s">
        <v>123</v>
      </c>
      <c r="N354" s="38"/>
      <c r="O354" s="37">
        <v>55</v>
      </c>
      <c r="P354" s="73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41"/>
      <c r="R354" s="641"/>
      <c r="S354" s="641"/>
      <c r="T354" s="642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1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2"/>
        <v>0</v>
      </c>
      <c r="BN354" s="78">
        <f t="shared" si="53"/>
        <v>0</v>
      </c>
      <c r="BO354" s="78">
        <f t="shared" si="54"/>
        <v>0</v>
      </c>
      <c r="BP354" s="78">
        <f t="shared" si="55"/>
        <v>0</v>
      </c>
    </row>
    <row r="355" spans="1:68" ht="27" hidden="1" customHeight="1" x14ac:dyDescent="0.25">
      <c r="A355" s="63" t="s">
        <v>588</v>
      </c>
      <c r="B355" s="63" t="s">
        <v>589</v>
      </c>
      <c r="C355" s="36">
        <v>4301012400</v>
      </c>
      <c r="D355" s="639">
        <v>4680115889880</v>
      </c>
      <c r="E355" s="639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124</v>
      </c>
      <c r="L355" s="37" t="s">
        <v>46</v>
      </c>
      <c r="M355" s="38" t="s">
        <v>123</v>
      </c>
      <c r="N355" s="38"/>
      <c r="O355" s="37">
        <v>55</v>
      </c>
      <c r="P355" s="73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41"/>
      <c r="R355" s="641"/>
      <c r="S355" s="641"/>
      <c r="T355" s="642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1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504</v>
      </c>
      <c r="AG355" s="78"/>
      <c r="AJ355" s="84" t="s">
        <v>46</v>
      </c>
      <c r="AK355" s="84">
        <v>0</v>
      </c>
      <c r="BB355" s="443" t="s">
        <v>67</v>
      </c>
      <c r="BM355" s="78">
        <f t="shared" si="52"/>
        <v>0</v>
      </c>
      <c r="BN355" s="78">
        <f t="shared" si="53"/>
        <v>0</v>
      </c>
      <c r="BO355" s="78">
        <f t="shared" si="54"/>
        <v>0</v>
      </c>
      <c r="BP355" s="78">
        <f t="shared" si="55"/>
        <v>0</v>
      </c>
    </row>
    <row r="356" spans="1:68" ht="37.5" hidden="1" customHeight="1" x14ac:dyDescent="0.25">
      <c r="A356" s="63" t="s">
        <v>590</v>
      </c>
      <c r="B356" s="63" t="s">
        <v>591</v>
      </c>
      <c r="C356" s="36">
        <v>4301012233</v>
      </c>
      <c r="D356" s="639">
        <v>4680115887138</v>
      </c>
      <c r="E356" s="639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124</v>
      </c>
      <c r="L356" s="37" t="s">
        <v>46</v>
      </c>
      <c r="M356" s="38" t="s">
        <v>123</v>
      </c>
      <c r="N356" s="38"/>
      <c r="O356" s="37">
        <v>55</v>
      </c>
      <c r="P356" s="73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41"/>
      <c r="R356" s="641"/>
      <c r="S356" s="641"/>
      <c r="T356" s="642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1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592</v>
      </c>
      <c r="AG356" s="78"/>
      <c r="AJ356" s="84" t="s">
        <v>46</v>
      </c>
      <c r="AK356" s="84">
        <v>0</v>
      </c>
      <c r="BB356" s="445" t="s">
        <v>67</v>
      </c>
      <c r="BM356" s="78">
        <f t="shared" si="52"/>
        <v>0</v>
      </c>
      <c r="BN356" s="78">
        <f t="shared" si="53"/>
        <v>0</v>
      </c>
      <c r="BO356" s="78">
        <f t="shared" si="54"/>
        <v>0</v>
      </c>
      <c r="BP356" s="78">
        <f t="shared" si="55"/>
        <v>0</v>
      </c>
    </row>
    <row r="357" spans="1:68" ht="27" hidden="1" customHeight="1" x14ac:dyDescent="0.25">
      <c r="A357" s="63" t="s">
        <v>593</v>
      </c>
      <c r="B357" s="63" t="s">
        <v>594</v>
      </c>
      <c r="C357" s="36">
        <v>4301012016</v>
      </c>
      <c r="D357" s="639">
        <v>4680115885554</v>
      </c>
      <c r="E357" s="639"/>
      <c r="F357" s="62">
        <v>1.35</v>
      </c>
      <c r="G357" s="37">
        <v>8</v>
      </c>
      <c r="H357" s="62">
        <v>10.8</v>
      </c>
      <c r="I357" s="62">
        <v>11.21</v>
      </c>
      <c r="J357" s="37">
        <v>64</v>
      </c>
      <c r="K357" s="37" t="s">
        <v>124</v>
      </c>
      <c r="L357" s="37" t="s">
        <v>46</v>
      </c>
      <c r="M357" s="38" t="s">
        <v>87</v>
      </c>
      <c r="N357" s="38"/>
      <c r="O357" s="37">
        <v>55</v>
      </c>
      <c r="P357" s="73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41"/>
      <c r="R357" s="641"/>
      <c r="S357" s="641"/>
      <c r="T357" s="642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1"/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6" t="s">
        <v>595</v>
      </c>
      <c r="AG357" s="78"/>
      <c r="AJ357" s="84" t="s">
        <v>46</v>
      </c>
      <c r="AK357" s="84">
        <v>0</v>
      </c>
      <c r="BB357" s="447" t="s">
        <v>67</v>
      </c>
      <c r="BM357" s="78">
        <f t="shared" si="52"/>
        <v>0</v>
      </c>
      <c r="BN357" s="78">
        <f t="shared" si="53"/>
        <v>0</v>
      </c>
      <c r="BO357" s="78">
        <f t="shared" si="54"/>
        <v>0</v>
      </c>
      <c r="BP357" s="78">
        <f t="shared" si="55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4301012236</v>
      </c>
      <c r="D358" s="639">
        <v>4680115887220</v>
      </c>
      <c r="E358" s="639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131</v>
      </c>
      <c r="L358" s="37" t="s">
        <v>46</v>
      </c>
      <c r="M358" s="38" t="s">
        <v>123</v>
      </c>
      <c r="N358" s="38"/>
      <c r="O358" s="37">
        <v>55</v>
      </c>
      <c r="P358" s="73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41"/>
      <c r="R358" s="641"/>
      <c r="S358" s="641"/>
      <c r="T358" s="642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1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587</v>
      </c>
      <c r="AG358" s="78"/>
      <c r="AJ358" s="84" t="s">
        <v>46</v>
      </c>
      <c r="AK358" s="84">
        <v>0</v>
      </c>
      <c r="BB358" s="449" t="s">
        <v>67</v>
      </c>
      <c r="BM358" s="78">
        <f t="shared" si="52"/>
        <v>0</v>
      </c>
      <c r="BN358" s="78">
        <f t="shared" si="53"/>
        <v>0</v>
      </c>
      <c r="BO358" s="78">
        <f t="shared" si="54"/>
        <v>0</v>
      </c>
      <c r="BP358" s="78">
        <f t="shared" si="55"/>
        <v>0</v>
      </c>
    </row>
    <row r="359" spans="1:68" ht="27" hidden="1" customHeight="1" x14ac:dyDescent="0.25">
      <c r="A359" s="63" t="s">
        <v>598</v>
      </c>
      <c r="B359" s="63" t="s">
        <v>599</v>
      </c>
      <c r="C359" s="36">
        <v>4301011859</v>
      </c>
      <c r="D359" s="639">
        <v>4680115885608</v>
      </c>
      <c r="E359" s="639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131</v>
      </c>
      <c r="L359" s="37" t="s">
        <v>46</v>
      </c>
      <c r="M359" s="38" t="s">
        <v>123</v>
      </c>
      <c r="N359" s="38"/>
      <c r="O359" s="37">
        <v>55</v>
      </c>
      <c r="P359" s="73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41"/>
      <c r="R359" s="641"/>
      <c r="S359" s="641"/>
      <c r="T359" s="642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si="51"/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50" t="s">
        <v>600</v>
      </c>
      <c r="AG359" s="78"/>
      <c r="AJ359" s="84" t="s">
        <v>46</v>
      </c>
      <c r="AK359" s="84">
        <v>0</v>
      </c>
      <c r="BB359" s="451" t="s">
        <v>67</v>
      </c>
      <c r="BM359" s="78">
        <f t="shared" si="52"/>
        <v>0</v>
      </c>
      <c r="BN359" s="78">
        <f t="shared" si="53"/>
        <v>0</v>
      </c>
      <c r="BO359" s="78">
        <f t="shared" si="54"/>
        <v>0</v>
      </c>
      <c r="BP359" s="78">
        <f t="shared" si="55"/>
        <v>0</v>
      </c>
    </row>
    <row r="360" spans="1:68" hidden="1" x14ac:dyDescent="0.2">
      <c r="A360" s="633"/>
      <c r="B360" s="633"/>
      <c r="C360" s="633"/>
      <c r="D360" s="633"/>
      <c r="E360" s="633"/>
      <c r="F360" s="633"/>
      <c r="G360" s="633"/>
      <c r="H360" s="633"/>
      <c r="I360" s="633"/>
      <c r="J360" s="633"/>
      <c r="K360" s="633"/>
      <c r="L360" s="633"/>
      <c r="M360" s="633"/>
      <c r="N360" s="633"/>
      <c r="O360" s="634"/>
      <c r="P360" s="630" t="s">
        <v>40</v>
      </c>
      <c r="Q360" s="631"/>
      <c r="R360" s="631"/>
      <c r="S360" s="631"/>
      <c r="T360" s="631"/>
      <c r="U360" s="631"/>
      <c r="V360" s="632"/>
      <c r="W360" s="42" t="s">
        <v>39</v>
      </c>
      <c r="X360" s="43">
        <f>IFERROR(X353/H353,"0")+IFERROR(X354/H354,"0")+IFERROR(X355/H355,"0")+IFERROR(X356/H356,"0")+IFERROR(X357/H357,"0")+IFERROR(X358/H358,"0")+IFERROR(X359/H359,"0")</f>
        <v>0</v>
      </c>
      <c r="Y360" s="43">
        <f>IFERROR(Y353/H353,"0")+IFERROR(Y354/H354,"0")+IFERROR(Y355/H355,"0")+IFERROR(Y356/H356,"0")+IFERROR(Y357/H357,"0")+IFERROR(Y358/H358,"0")+IFERROR(Y359/H359,"0")</f>
        <v>0</v>
      </c>
      <c r="Z360" s="43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7"/>
      <c r="AB360" s="67"/>
      <c r="AC360" s="67"/>
    </row>
    <row r="361" spans="1:68" hidden="1" x14ac:dyDescent="0.2">
      <c r="A361" s="633"/>
      <c r="B361" s="633"/>
      <c r="C361" s="633"/>
      <c r="D361" s="633"/>
      <c r="E361" s="633"/>
      <c r="F361" s="633"/>
      <c r="G361" s="633"/>
      <c r="H361" s="633"/>
      <c r="I361" s="633"/>
      <c r="J361" s="633"/>
      <c r="K361" s="633"/>
      <c r="L361" s="633"/>
      <c r="M361" s="633"/>
      <c r="N361" s="633"/>
      <c r="O361" s="634"/>
      <c r="P361" s="630" t="s">
        <v>40</v>
      </c>
      <c r="Q361" s="631"/>
      <c r="R361" s="631"/>
      <c r="S361" s="631"/>
      <c r="T361" s="631"/>
      <c r="U361" s="631"/>
      <c r="V361" s="632"/>
      <c r="W361" s="42" t="s">
        <v>0</v>
      </c>
      <c r="X361" s="43">
        <f>IFERROR(SUM(X353:X359),"0")</f>
        <v>0</v>
      </c>
      <c r="Y361" s="43">
        <f>IFERROR(SUM(Y353:Y359),"0")</f>
        <v>0</v>
      </c>
      <c r="Z361" s="42"/>
      <c r="AA361" s="67"/>
      <c r="AB361" s="67"/>
      <c r="AC361" s="67"/>
    </row>
    <row r="362" spans="1:68" ht="14.25" hidden="1" customHeight="1" x14ac:dyDescent="0.25">
      <c r="A362" s="644" t="s">
        <v>77</v>
      </c>
      <c r="B362" s="644"/>
      <c r="C362" s="644"/>
      <c r="D362" s="644"/>
      <c r="E362" s="644"/>
      <c r="F362" s="644"/>
      <c r="G362" s="644"/>
      <c r="H362" s="644"/>
      <c r="I362" s="644"/>
      <c r="J362" s="644"/>
      <c r="K362" s="644"/>
      <c r="L362" s="644"/>
      <c r="M362" s="644"/>
      <c r="N362" s="644"/>
      <c r="O362" s="644"/>
      <c r="P362" s="644"/>
      <c r="Q362" s="644"/>
      <c r="R362" s="644"/>
      <c r="S362" s="644"/>
      <c r="T362" s="644"/>
      <c r="U362" s="644"/>
      <c r="V362" s="644"/>
      <c r="W362" s="644"/>
      <c r="X362" s="644"/>
      <c r="Y362" s="644"/>
      <c r="Z362" s="644"/>
      <c r="AA362" s="66"/>
      <c r="AB362" s="66"/>
      <c r="AC362" s="80"/>
    </row>
    <row r="363" spans="1:68" ht="27" hidden="1" customHeight="1" x14ac:dyDescent="0.25">
      <c r="A363" s="63" t="s">
        <v>601</v>
      </c>
      <c r="B363" s="63" t="s">
        <v>602</v>
      </c>
      <c r="C363" s="36">
        <v>4301030878</v>
      </c>
      <c r="D363" s="639">
        <v>4607091387193</v>
      </c>
      <c r="E363" s="639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131</v>
      </c>
      <c r="L363" s="37" t="s">
        <v>46</v>
      </c>
      <c r="M363" s="38" t="s">
        <v>81</v>
      </c>
      <c r="N363" s="38"/>
      <c r="O363" s="37">
        <v>35</v>
      </c>
      <c r="P363" s="73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41"/>
      <c r="R363" s="641"/>
      <c r="S363" s="641"/>
      <c r="T363" s="64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9" si="56">IFERROR(IF(X363="",0,CEILING((X363/$H363),1)*$H363),"")</f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603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9" si="57">IFERROR(X363*I363/H363,"0")</f>
        <v>0</v>
      </c>
      <c r="BN363" s="78">
        <f t="shared" ref="BN363:BN369" si="58">IFERROR(Y363*I363/H363,"0")</f>
        <v>0</v>
      </c>
      <c r="BO363" s="78">
        <f t="shared" ref="BO363:BO369" si="59">IFERROR(1/J363*(X363/H363),"0")</f>
        <v>0</v>
      </c>
      <c r="BP363" s="78">
        <f t="shared" ref="BP363:BP369" si="60">IFERROR(1/J363*(Y363/H363),"0")</f>
        <v>0</v>
      </c>
    </row>
    <row r="364" spans="1:68" ht="27" hidden="1" customHeight="1" x14ac:dyDescent="0.25">
      <c r="A364" s="63" t="s">
        <v>604</v>
      </c>
      <c r="B364" s="63" t="s">
        <v>605</v>
      </c>
      <c r="C364" s="36">
        <v>4301031153</v>
      </c>
      <c r="D364" s="639">
        <v>4607091387230</v>
      </c>
      <c r="E364" s="639"/>
      <c r="F364" s="62">
        <v>0.7</v>
      </c>
      <c r="G364" s="37">
        <v>6</v>
      </c>
      <c r="H364" s="62">
        <v>4.2</v>
      </c>
      <c r="I364" s="62">
        <v>4.45</v>
      </c>
      <c r="J364" s="37">
        <v>132</v>
      </c>
      <c r="K364" s="37" t="s">
        <v>131</v>
      </c>
      <c r="L364" s="37" t="s">
        <v>46</v>
      </c>
      <c r="M364" s="38" t="s">
        <v>81</v>
      </c>
      <c r="N364" s="38"/>
      <c r="O364" s="37">
        <v>40</v>
      </c>
      <c r="P364" s="73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41"/>
      <c r="R364" s="641"/>
      <c r="S364" s="641"/>
      <c r="T364" s="64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6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606</v>
      </c>
      <c r="AG364" s="78"/>
      <c r="AJ364" s="84" t="s">
        <v>46</v>
      </c>
      <c r="AK364" s="84">
        <v>0</v>
      </c>
      <c r="BB364" s="455" t="s">
        <v>67</v>
      </c>
      <c r="BM364" s="78">
        <f t="shared" si="57"/>
        <v>0</v>
      </c>
      <c r="BN364" s="78">
        <f t="shared" si="58"/>
        <v>0</v>
      </c>
      <c r="BO364" s="78">
        <f t="shared" si="59"/>
        <v>0</v>
      </c>
      <c r="BP364" s="78">
        <f t="shared" si="60"/>
        <v>0</v>
      </c>
    </row>
    <row r="365" spans="1:68" ht="27" hidden="1" customHeight="1" x14ac:dyDescent="0.25">
      <c r="A365" s="63" t="s">
        <v>607</v>
      </c>
      <c r="B365" s="63" t="s">
        <v>608</v>
      </c>
      <c r="C365" s="36">
        <v>4301031154</v>
      </c>
      <c r="D365" s="639">
        <v>4607091387292</v>
      </c>
      <c r="E365" s="639"/>
      <c r="F365" s="62">
        <v>0.73</v>
      </c>
      <c r="G365" s="37">
        <v>6</v>
      </c>
      <c r="H365" s="62">
        <v>4.38</v>
      </c>
      <c r="I365" s="62">
        <v>4.63</v>
      </c>
      <c r="J365" s="37">
        <v>132</v>
      </c>
      <c r="K365" s="37" t="s">
        <v>131</v>
      </c>
      <c r="L365" s="37" t="s">
        <v>46</v>
      </c>
      <c r="M365" s="38" t="s">
        <v>81</v>
      </c>
      <c r="N365" s="38"/>
      <c r="O365" s="37">
        <v>45</v>
      </c>
      <c r="P365" s="72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41"/>
      <c r="R365" s="641"/>
      <c r="S365" s="641"/>
      <c r="T365" s="64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6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56" t="s">
        <v>609</v>
      </c>
      <c r="AG365" s="78"/>
      <c r="AJ365" s="84" t="s">
        <v>46</v>
      </c>
      <c r="AK365" s="84">
        <v>0</v>
      </c>
      <c r="BB365" s="457" t="s">
        <v>67</v>
      </c>
      <c r="BM365" s="78">
        <f t="shared" si="57"/>
        <v>0</v>
      </c>
      <c r="BN365" s="78">
        <f t="shared" si="58"/>
        <v>0</v>
      </c>
      <c r="BO365" s="78">
        <f t="shared" si="59"/>
        <v>0</v>
      </c>
      <c r="BP365" s="78">
        <f t="shared" si="60"/>
        <v>0</v>
      </c>
    </row>
    <row r="366" spans="1:68" ht="27" hidden="1" customHeight="1" x14ac:dyDescent="0.25">
      <c r="A366" s="63" t="s">
        <v>610</v>
      </c>
      <c r="B366" s="63" t="s">
        <v>611</v>
      </c>
      <c r="C366" s="36">
        <v>4301031152</v>
      </c>
      <c r="D366" s="639">
        <v>4607091387285</v>
      </c>
      <c r="E366" s="639"/>
      <c r="F366" s="62">
        <v>0.35</v>
      </c>
      <c r="G366" s="37">
        <v>6</v>
      </c>
      <c r="H366" s="62">
        <v>2.1</v>
      </c>
      <c r="I366" s="62">
        <v>2.23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2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41"/>
      <c r="R366" s="641"/>
      <c r="S366" s="641"/>
      <c r="T366" s="64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6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606</v>
      </c>
      <c r="AG366" s="78"/>
      <c r="AJ366" s="84" t="s">
        <v>46</v>
      </c>
      <c r="AK366" s="84">
        <v>0</v>
      </c>
      <c r="BB366" s="459" t="s">
        <v>67</v>
      </c>
      <c r="BM366" s="78">
        <f t="shared" si="57"/>
        <v>0</v>
      </c>
      <c r="BN366" s="78">
        <f t="shared" si="58"/>
        <v>0</v>
      </c>
      <c r="BO366" s="78">
        <f t="shared" si="59"/>
        <v>0</v>
      </c>
      <c r="BP366" s="78">
        <f t="shared" si="60"/>
        <v>0</v>
      </c>
    </row>
    <row r="367" spans="1:68" ht="27" hidden="1" customHeight="1" x14ac:dyDescent="0.25">
      <c r="A367" s="63" t="s">
        <v>612</v>
      </c>
      <c r="B367" s="63" t="s">
        <v>613</v>
      </c>
      <c r="C367" s="36">
        <v>4301031305</v>
      </c>
      <c r="D367" s="639">
        <v>4607091389845</v>
      </c>
      <c r="E367" s="639"/>
      <c r="F367" s="62">
        <v>0.35</v>
      </c>
      <c r="G367" s="37">
        <v>6</v>
      </c>
      <c r="H367" s="62">
        <v>2.1</v>
      </c>
      <c r="I367" s="62">
        <v>2.2000000000000002</v>
      </c>
      <c r="J367" s="37">
        <v>234</v>
      </c>
      <c r="K367" s="37" t="s">
        <v>82</v>
      </c>
      <c r="L367" s="37" t="s">
        <v>46</v>
      </c>
      <c r="M367" s="38" t="s">
        <v>81</v>
      </c>
      <c r="N367" s="38"/>
      <c r="O367" s="37">
        <v>40</v>
      </c>
      <c r="P367" s="72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41"/>
      <c r="R367" s="641"/>
      <c r="S367" s="641"/>
      <c r="T367" s="64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6"/>
        <v>0</v>
      </c>
      <c r="Z367" s="41" t="str">
        <f>IFERROR(IF(Y367=0,"",ROUNDUP(Y367/H367,0)*0.00502),"")</f>
        <v/>
      </c>
      <c r="AA367" s="68" t="s">
        <v>46</v>
      </c>
      <c r="AB367" s="69" t="s">
        <v>46</v>
      </c>
      <c r="AC367" s="460" t="s">
        <v>614</v>
      </c>
      <c r="AG367" s="78"/>
      <c r="AJ367" s="84" t="s">
        <v>46</v>
      </c>
      <c r="AK367" s="84">
        <v>0</v>
      </c>
      <c r="BB367" s="461" t="s">
        <v>67</v>
      </c>
      <c r="BM367" s="78">
        <f t="shared" si="57"/>
        <v>0</v>
      </c>
      <c r="BN367" s="78">
        <f t="shared" si="58"/>
        <v>0</v>
      </c>
      <c r="BO367" s="78">
        <f t="shared" si="59"/>
        <v>0</v>
      </c>
      <c r="BP367" s="78">
        <f t="shared" si="60"/>
        <v>0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4301031460</v>
      </c>
      <c r="D368" s="639">
        <v>4680115887442</v>
      </c>
      <c r="E368" s="639"/>
      <c r="F368" s="62">
        <v>0.73</v>
      </c>
      <c r="G368" s="37">
        <v>6</v>
      </c>
      <c r="H368" s="62">
        <v>4.38</v>
      </c>
      <c r="I368" s="62">
        <v>4.63</v>
      </c>
      <c r="J368" s="37">
        <v>132</v>
      </c>
      <c r="K368" s="37" t="s">
        <v>131</v>
      </c>
      <c r="L368" s="37" t="s">
        <v>46</v>
      </c>
      <c r="M368" s="38" t="s">
        <v>81</v>
      </c>
      <c r="N368" s="38"/>
      <c r="O368" s="37">
        <v>45</v>
      </c>
      <c r="P368" s="72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41"/>
      <c r="R368" s="641"/>
      <c r="S368" s="641"/>
      <c r="T368" s="64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6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609</v>
      </c>
      <c r="AG368" s="78"/>
      <c r="AJ368" s="84" t="s">
        <v>46</v>
      </c>
      <c r="AK368" s="84">
        <v>0</v>
      </c>
      <c r="BB368" s="463" t="s">
        <v>67</v>
      </c>
      <c r="BM368" s="78">
        <f t="shared" si="57"/>
        <v>0</v>
      </c>
      <c r="BN368" s="78">
        <f t="shared" si="58"/>
        <v>0</v>
      </c>
      <c r="BO368" s="78">
        <f t="shared" si="59"/>
        <v>0</v>
      </c>
      <c r="BP368" s="78">
        <f t="shared" si="60"/>
        <v>0</v>
      </c>
    </row>
    <row r="369" spans="1:68" ht="27" hidden="1" customHeight="1" x14ac:dyDescent="0.25">
      <c r="A369" s="63" t="s">
        <v>617</v>
      </c>
      <c r="B369" s="63" t="s">
        <v>618</v>
      </c>
      <c r="C369" s="36">
        <v>4301031066</v>
      </c>
      <c r="D369" s="639">
        <v>4607091383836</v>
      </c>
      <c r="E369" s="639"/>
      <c r="F369" s="62">
        <v>0.3</v>
      </c>
      <c r="G369" s="37">
        <v>6</v>
      </c>
      <c r="H369" s="62">
        <v>1.8</v>
      </c>
      <c r="I369" s="62">
        <v>2.028</v>
      </c>
      <c r="J369" s="37">
        <v>182</v>
      </c>
      <c r="K369" s="37" t="s">
        <v>88</v>
      </c>
      <c r="L369" s="37" t="s">
        <v>46</v>
      </c>
      <c r="M369" s="38" t="s">
        <v>81</v>
      </c>
      <c r="N369" s="38"/>
      <c r="O369" s="37">
        <v>40</v>
      </c>
      <c r="P369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41"/>
      <c r="R369" s="641"/>
      <c r="S369" s="641"/>
      <c r="T369" s="642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6"/>
        <v>0</v>
      </c>
      <c r="Z369" s="41" t="str">
        <f>IFERROR(IF(Y369=0,"",ROUNDUP(Y369/H369,0)*0.00651),"")</f>
        <v/>
      </c>
      <c r="AA369" s="68" t="s">
        <v>46</v>
      </c>
      <c r="AB369" s="69" t="s">
        <v>46</v>
      </c>
      <c r="AC369" s="464" t="s">
        <v>619</v>
      </c>
      <c r="AG369" s="78"/>
      <c r="AJ369" s="84" t="s">
        <v>46</v>
      </c>
      <c r="AK369" s="84">
        <v>0</v>
      </c>
      <c r="BB369" s="465" t="s">
        <v>67</v>
      </c>
      <c r="BM369" s="78">
        <f t="shared" si="57"/>
        <v>0</v>
      </c>
      <c r="BN369" s="78">
        <f t="shared" si="58"/>
        <v>0</v>
      </c>
      <c r="BO369" s="78">
        <f t="shared" si="59"/>
        <v>0</v>
      </c>
      <c r="BP369" s="78">
        <f t="shared" si="60"/>
        <v>0</v>
      </c>
    </row>
    <row r="370" spans="1:68" hidden="1" x14ac:dyDescent="0.2">
      <c r="A370" s="633"/>
      <c r="B370" s="633"/>
      <c r="C370" s="633"/>
      <c r="D370" s="633"/>
      <c r="E370" s="633"/>
      <c r="F370" s="633"/>
      <c r="G370" s="633"/>
      <c r="H370" s="633"/>
      <c r="I370" s="633"/>
      <c r="J370" s="633"/>
      <c r="K370" s="633"/>
      <c r="L370" s="633"/>
      <c r="M370" s="633"/>
      <c r="N370" s="633"/>
      <c r="O370" s="634"/>
      <c r="P370" s="630" t="s">
        <v>40</v>
      </c>
      <c r="Q370" s="631"/>
      <c r="R370" s="631"/>
      <c r="S370" s="631"/>
      <c r="T370" s="631"/>
      <c r="U370" s="631"/>
      <c r="V370" s="632"/>
      <c r="W370" s="42" t="s">
        <v>39</v>
      </c>
      <c r="X370" s="43">
        <f>IFERROR(X363/H363,"0")+IFERROR(X364/H364,"0")+IFERROR(X365/H365,"0")+IFERROR(X366/H366,"0")+IFERROR(X367/H367,"0")+IFERROR(X368/H368,"0")+IFERROR(X369/H369,"0")</f>
        <v>0</v>
      </c>
      <c r="Y370" s="43">
        <f>IFERROR(Y363/H363,"0")+IFERROR(Y364/H364,"0")+IFERROR(Y365/H365,"0")+IFERROR(Y366/H366,"0")+IFERROR(Y367/H367,"0")+IFERROR(Y368/H368,"0")+IFERROR(Y369/H369,"0")</f>
        <v>0</v>
      </c>
      <c r="Z370" s="43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7"/>
      <c r="AB370" s="67"/>
      <c r="AC370" s="67"/>
    </row>
    <row r="371" spans="1:68" hidden="1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0" t="s">
        <v>40</v>
      </c>
      <c r="Q371" s="631"/>
      <c r="R371" s="631"/>
      <c r="S371" s="631"/>
      <c r="T371" s="631"/>
      <c r="U371" s="631"/>
      <c r="V371" s="632"/>
      <c r="W371" s="42" t="s">
        <v>0</v>
      </c>
      <c r="X371" s="43">
        <f>IFERROR(SUM(X363:X369),"0")</f>
        <v>0</v>
      </c>
      <c r="Y371" s="43">
        <f>IFERROR(SUM(Y363:Y369),"0")</f>
        <v>0</v>
      </c>
      <c r="Z371" s="42"/>
      <c r="AA371" s="67"/>
      <c r="AB371" s="67"/>
      <c r="AC371" s="67"/>
    </row>
    <row r="372" spans="1:68" ht="14.25" hidden="1" customHeight="1" x14ac:dyDescent="0.25">
      <c r="A372" s="644" t="s">
        <v>83</v>
      </c>
      <c r="B372" s="644"/>
      <c r="C372" s="644"/>
      <c r="D372" s="644"/>
      <c r="E372" s="644"/>
      <c r="F372" s="644"/>
      <c r="G372" s="644"/>
      <c r="H372" s="644"/>
      <c r="I372" s="644"/>
      <c r="J372" s="644"/>
      <c r="K372" s="644"/>
      <c r="L372" s="644"/>
      <c r="M372" s="644"/>
      <c r="N372" s="644"/>
      <c r="O372" s="644"/>
      <c r="P372" s="644"/>
      <c r="Q372" s="644"/>
      <c r="R372" s="644"/>
      <c r="S372" s="644"/>
      <c r="T372" s="644"/>
      <c r="U372" s="644"/>
      <c r="V372" s="644"/>
      <c r="W372" s="644"/>
      <c r="X372" s="644"/>
      <c r="Y372" s="644"/>
      <c r="Z372" s="644"/>
      <c r="AA372" s="66"/>
      <c r="AB372" s="66"/>
      <c r="AC372" s="80"/>
    </row>
    <row r="373" spans="1:68" ht="27" hidden="1" customHeight="1" x14ac:dyDescent="0.25">
      <c r="A373" s="63" t="s">
        <v>620</v>
      </c>
      <c r="B373" s="63" t="s">
        <v>621</v>
      </c>
      <c r="C373" s="36">
        <v>4301051100</v>
      </c>
      <c r="D373" s="639">
        <v>4607091387766</v>
      </c>
      <c r="E373" s="639"/>
      <c r="F373" s="62">
        <v>1.3</v>
      </c>
      <c r="G373" s="37">
        <v>6</v>
      </c>
      <c r="H373" s="62">
        <v>7.8</v>
      </c>
      <c r="I373" s="62">
        <v>8.2880000000000003</v>
      </c>
      <c r="J373" s="37">
        <v>64</v>
      </c>
      <c r="K373" s="37" t="s">
        <v>124</v>
      </c>
      <c r="L373" s="37" t="s">
        <v>46</v>
      </c>
      <c r="M373" s="38" t="s">
        <v>87</v>
      </c>
      <c r="N373" s="38"/>
      <c r="O373" s="37">
        <v>40</v>
      </c>
      <c r="P373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41"/>
      <c r="R373" s="641"/>
      <c r="S373" s="641"/>
      <c r="T373" s="642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622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623</v>
      </c>
      <c r="B374" s="63" t="s">
        <v>624</v>
      </c>
      <c r="C374" s="36">
        <v>4301051818</v>
      </c>
      <c r="D374" s="639">
        <v>4607091387957</v>
      </c>
      <c r="E374" s="639"/>
      <c r="F374" s="62">
        <v>1.3</v>
      </c>
      <c r="G374" s="37">
        <v>6</v>
      </c>
      <c r="H374" s="62">
        <v>7.8</v>
      </c>
      <c r="I374" s="62">
        <v>8.2940000000000005</v>
      </c>
      <c r="J374" s="37">
        <v>64</v>
      </c>
      <c r="K374" s="37" t="s">
        <v>124</v>
      </c>
      <c r="L374" s="37" t="s">
        <v>46</v>
      </c>
      <c r="M374" s="38" t="s">
        <v>87</v>
      </c>
      <c r="N374" s="38"/>
      <c r="O374" s="37">
        <v>40</v>
      </c>
      <c r="P374" s="72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41"/>
      <c r="R374" s="641"/>
      <c r="S374" s="641"/>
      <c r="T374" s="642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625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626</v>
      </c>
      <c r="B375" s="63" t="s">
        <v>627</v>
      </c>
      <c r="C375" s="36">
        <v>4301051819</v>
      </c>
      <c r="D375" s="639">
        <v>4607091387964</v>
      </c>
      <c r="E375" s="639"/>
      <c r="F375" s="62">
        <v>1.35</v>
      </c>
      <c r="G375" s="37">
        <v>6</v>
      </c>
      <c r="H375" s="62">
        <v>8.1</v>
      </c>
      <c r="I375" s="62">
        <v>8.5760000000000005</v>
      </c>
      <c r="J375" s="37">
        <v>64</v>
      </c>
      <c r="K375" s="37" t="s">
        <v>124</v>
      </c>
      <c r="L375" s="37" t="s">
        <v>46</v>
      </c>
      <c r="M375" s="38" t="s">
        <v>87</v>
      </c>
      <c r="N375" s="38"/>
      <c r="O375" s="37">
        <v>40</v>
      </c>
      <c r="P375" s="72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41"/>
      <c r="R375" s="641"/>
      <c r="S375" s="641"/>
      <c r="T375" s="642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70" t="s">
        <v>628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27" hidden="1" customHeight="1" x14ac:dyDescent="0.25">
      <c r="A376" s="63" t="s">
        <v>629</v>
      </c>
      <c r="B376" s="63" t="s">
        <v>630</v>
      </c>
      <c r="C376" s="36">
        <v>4301051734</v>
      </c>
      <c r="D376" s="639">
        <v>4680115884588</v>
      </c>
      <c r="E376" s="639"/>
      <c r="F376" s="62">
        <v>0.5</v>
      </c>
      <c r="G376" s="37">
        <v>6</v>
      </c>
      <c r="H376" s="62">
        <v>3</v>
      </c>
      <c r="I376" s="62">
        <v>3.246</v>
      </c>
      <c r="J376" s="37">
        <v>182</v>
      </c>
      <c r="K376" s="37" t="s">
        <v>88</v>
      </c>
      <c r="L376" s="37" t="s">
        <v>46</v>
      </c>
      <c r="M376" s="38" t="s">
        <v>87</v>
      </c>
      <c r="N376" s="38"/>
      <c r="O376" s="37">
        <v>40</v>
      </c>
      <c r="P376" s="71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41"/>
      <c r="R376" s="641"/>
      <c r="S376" s="641"/>
      <c r="T376" s="642"/>
      <c r="U376" s="39" t="s">
        <v>46</v>
      </c>
      <c r="V376" s="39" t="s">
        <v>46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2" t="s">
        <v>622</v>
      </c>
      <c r="AG376" s="78"/>
      <c r="AJ376" s="84" t="s">
        <v>46</v>
      </c>
      <c r="AK376" s="84">
        <v>0</v>
      </c>
      <c r="BB376" s="473" t="s">
        <v>67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idden="1" x14ac:dyDescent="0.2">
      <c r="A377" s="633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0" t="s">
        <v>40</v>
      </c>
      <c r="Q377" s="631"/>
      <c r="R377" s="631"/>
      <c r="S377" s="631"/>
      <c r="T377" s="631"/>
      <c r="U377" s="631"/>
      <c r="V377" s="632"/>
      <c r="W377" s="42" t="s">
        <v>39</v>
      </c>
      <c r="X377" s="43">
        <f>IFERROR(X373/H373,"0")+IFERROR(X374/H374,"0")+IFERROR(X375/H375,"0")+IFERROR(X376/H376,"0")</f>
        <v>0</v>
      </c>
      <c r="Y377" s="43">
        <f>IFERROR(Y373/H373,"0")+IFERROR(Y374/H374,"0")+IFERROR(Y375/H375,"0")+IFERROR(Y376/H376,"0")</f>
        <v>0</v>
      </c>
      <c r="Z377" s="43">
        <f>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0" t="s">
        <v>40</v>
      </c>
      <c r="Q378" s="631"/>
      <c r="R378" s="631"/>
      <c r="S378" s="631"/>
      <c r="T378" s="631"/>
      <c r="U378" s="631"/>
      <c r="V378" s="632"/>
      <c r="W378" s="42" t="s">
        <v>0</v>
      </c>
      <c r="X378" s="43">
        <f>IFERROR(SUM(X373:X376),"0")</f>
        <v>0</v>
      </c>
      <c r="Y378" s="43">
        <f>IFERROR(SUM(Y373:Y376),"0")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644" t="s">
        <v>172</v>
      </c>
      <c r="B379" s="644"/>
      <c r="C379" s="644"/>
      <c r="D379" s="644"/>
      <c r="E379" s="644"/>
      <c r="F379" s="644"/>
      <c r="G379" s="644"/>
      <c r="H379" s="644"/>
      <c r="I379" s="644"/>
      <c r="J379" s="644"/>
      <c r="K379" s="644"/>
      <c r="L379" s="644"/>
      <c r="M379" s="644"/>
      <c r="N379" s="644"/>
      <c r="O379" s="644"/>
      <c r="P379" s="644"/>
      <c r="Q379" s="644"/>
      <c r="R379" s="644"/>
      <c r="S379" s="644"/>
      <c r="T379" s="644"/>
      <c r="U379" s="644"/>
      <c r="V379" s="644"/>
      <c r="W379" s="644"/>
      <c r="X379" s="644"/>
      <c r="Y379" s="644"/>
      <c r="Z379" s="644"/>
      <c r="AA379" s="66"/>
      <c r="AB379" s="66"/>
      <c r="AC379" s="80"/>
    </row>
    <row r="380" spans="1:68" ht="27" hidden="1" customHeight="1" x14ac:dyDescent="0.25">
      <c r="A380" s="63" t="s">
        <v>631</v>
      </c>
      <c r="B380" s="63" t="s">
        <v>632</v>
      </c>
      <c r="C380" s="36">
        <v>4301060387</v>
      </c>
      <c r="D380" s="639">
        <v>4607091380880</v>
      </c>
      <c r="E380" s="639"/>
      <c r="F380" s="62">
        <v>1.4</v>
      </c>
      <c r="G380" s="37">
        <v>6</v>
      </c>
      <c r="H380" s="62">
        <v>8.4</v>
      </c>
      <c r="I380" s="62">
        <v>8.8940000000000001</v>
      </c>
      <c r="J380" s="37">
        <v>64</v>
      </c>
      <c r="K380" s="37" t="s">
        <v>124</v>
      </c>
      <c r="L380" s="37" t="s">
        <v>46</v>
      </c>
      <c r="M380" s="38" t="s">
        <v>87</v>
      </c>
      <c r="N380" s="38"/>
      <c r="O380" s="37">
        <v>30</v>
      </c>
      <c r="P380" s="72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41"/>
      <c r="R380" s="641"/>
      <c r="S380" s="641"/>
      <c r="T380" s="642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633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634</v>
      </c>
      <c r="B381" s="63" t="s">
        <v>635</v>
      </c>
      <c r="C381" s="36">
        <v>4301060406</v>
      </c>
      <c r="D381" s="639">
        <v>4607091384482</v>
      </c>
      <c r="E381" s="639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124</v>
      </c>
      <c r="L381" s="37" t="s">
        <v>46</v>
      </c>
      <c r="M381" s="38" t="s">
        <v>87</v>
      </c>
      <c r="N381" s="38"/>
      <c r="O381" s="37">
        <v>30</v>
      </c>
      <c r="P381" s="72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41"/>
      <c r="R381" s="641"/>
      <c r="S381" s="641"/>
      <c r="T381" s="64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636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4301060484</v>
      </c>
      <c r="D382" s="639">
        <v>4607091380897</v>
      </c>
      <c r="E382" s="639"/>
      <c r="F382" s="62">
        <v>1.4</v>
      </c>
      <c r="G382" s="37">
        <v>6</v>
      </c>
      <c r="H382" s="62">
        <v>8.4</v>
      </c>
      <c r="I382" s="62">
        <v>8.8940000000000001</v>
      </c>
      <c r="J382" s="37">
        <v>64</v>
      </c>
      <c r="K382" s="37" t="s">
        <v>124</v>
      </c>
      <c r="L382" s="37" t="s">
        <v>46</v>
      </c>
      <c r="M382" s="38" t="s">
        <v>94</v>
      </c>
      <c r="N382" s="38"/>
      <c r="O382" s="37">
        <v>30</v>
      </c>
      <c r="P382" s="71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41"/>
      <c r="R382" s="641"/>
      <c r="S382" s="641"/>
      <c r="T382" s="64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639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633"/>
      <c r="B383" s="633"/>
      <c r="C383" s="633"/>
      <c r="D383" s="633"/>
      <c r="E383" s="633"/>
      <c r="F383" s="633"/>
      <c r="G383" s="633"/>
      <c r="H383" s="633"/>
      <c r="I383" s="633"/>
      <c r="J383" s="633"/>
      <c r="K383" s="633"/>
      <c r="L383" s="633"/>
      <c r="M383" s="633"/>
      <c r="N383" s="633"/>
      <c r="O383" s="634"/>
      <c r="P383" s="630" t="s">
        <v>40</v>
      </c>
      <c r="Q383" s="631"/>
      <c r="R383" s="631"/>
      <c r="S383" s="631"/>
      <c r="T383" s="631"/>
      <c r="U383" s="631"/>
      <c r="V383" s="632"/>
      <c r="W383" s="42" t="s">
        <v>39</v>
      </c>
      <c r="X383" s="43">
        <f>IFERROR(X380/H380,"0")+IFERROR(X381/H381,"0")+IFERROR(X382/H382,"0")</f>
        <v>0</v>
      </c>
      <c r="Y383" s="43">
        <f>IFERROR(Y380/H380,"0")+IFERROR(Y381/H381,"0")+IFERROR(Y382/H382,"0")</f>
        <v>0</v>
      </c>
      <c r="Z383" s="43">
        <f>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0" t="s">
        <v>40</v>
      </c>
      <c r="Q384" s="631"/>
      <c r="R384" s="631"/>
      <c r="S384" s="631"/>
      <c r="T384" s="631"/>
      <c r="U384" s="631"/>
      <c r="V384" s="632"/>
      <c r="W384" s="42" t="s">
        <v>0</v>
      </c>
      <c r="X384" s="43">
        <f>IFERROR(SUM(X380:X382),"0")</f>
        <v>0</v>
      </c>
      <c r="Y384" s="43">
        <f>IFERROR(SUM(Y380:Y382),"0")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44" t="s">
        <v>274</v>
      </c>
      <c r="B385" s="644"/>
      <c r="C385" s="644"/>
      <c r="D385" s="644"/>
      <c r="E385" s="644"/>
      <c r="F385" s="644"/>
      <c r="G385" s="644"/>
      <c r="H385" s="644"/>
      <c r="I385" s="644"/>
      <c r="J385" s="644"/>
      <c r="K385" s="644"/>
      <c r="L385" s="644"/>
      <c r="M385" s="644"/>
      <c r="N385" s="644"/>
      <c r="O385" s="644"/>
      <c r="P385" s="644"/>
      <c r="Q385" s="644"/>
      <c r="R385" s="644"/>
      <c r="S385" s="644"/>
      <c r="T385" s="644"/>
      <c r="U385" s="644"/>
      <c r="V385" s="644"/>
      <c r="W385" s="644"/>
      <c r="X385" s="644"/>
      <c r="Y385" s="644"/>
      <c r="Z385" s="644"/>
      <c r="AA385" s="66"/>
      <c r="AB385" s="66"/>
      <c r="AC385" s="80"/>
    </row>
    <row r="386" spans="1:68" ht="27" hidden="1" customHeight="1" x14ac:dyDescent="0.25">
      <c r="A386" s="63" t="s">
        <v>640</v>
      </c>
      <c r="B386" s="63" t="s">
        <v>641</v>
      </c>
      <c r="C386" s="36">
        <v>4301030235</v>
      </c>
      <c r="D386" s="639">
        <v>4607091388381</v>
      </c>
      <c r="E386" s="639"/>
      <c r="F386" s="62">
        <v>0.38</v>
      </c>
      <c r="G386" s="37">
        <v>8</v>
      </c>
      <c r="H386" s="62">
        <v>3.04</v>
      </c>
      <c r="I386" s="62">
        <v>3.31</v>
      </c>
      <c r="J386" s="37">
        <v>132</v>
      </c>
      <c r="K386" s="37" t="s">
        <v>131</v>
      </c>
      <c r="L386" s="37" t="s">
        <v>46</v>
      </c>
      <c r="M386" s="38" t="s">
        <v>252</v>
      </c>
      <c r="N386" s="38"/>
      <c r="O386" s="37">
        <v>180</v>
      </c>
      <c r="P386" s="71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41"/>
      <c r="R386" s="641"/>
      <c r="S386" s="641"/>
      <c r="T386" s="642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4301030232</v>
      </c>
      <c r="D387" s="639">
        <v>4607091388374</v>
      </c>
      <c r="E387" s="639"/>
      <c r="F387" s="62">
        <v>0.38</v>
      </c>
      <c r="G387" s="37">
        <v>8</v>
      </c>
      <c r="H387" s="62">
        <v>3.04</v>
      </c>
      <c r="I387" s="62">
        <v>3.27</v>
      </c>
      <c r="J387" s="37">
        <v>132</v>
      </c>
      <c r="K387" s="37" t="s">
        <v>131</v>
      </c>
      <c r="L387" s="37" t="s">
        <v>46</v>
      </c>
      <c r="M387" s="38" t="s">
        <v>252</v>
      </c>
      <c r="N387" s="38"/>
      <c r="O387" s="37">
        <v>180</v>
      </c>
      <c r="P387" s="71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41"/>
      <c r="R387" s="641"/>
      <c r="S387" s="641"/>
      <c r="T387" s="642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IFERROR(IF(Y387=0,"",ROUNDUP(Y387/H387,0)*0.00902),"")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4301032015</v>
      </c>
      <c r="D388" s="639">
        <v>4607091383102</v>
      </c>
      <c r="E388" s="639"/>
      <c r="F388" s="62">
        <v>0.17</v>
      </c>
      <c r="G388" s="37">
        <v>15</v>
      </c>
      <c r="H388" s="62">
        <v>2.5499999999999998</v>
      </c>
      <c r="I388" s="62">
        <v>2.9550000000000001</v>
      </c>
      <c r="J388" s="37">
        <v>182</v>
      </c>
      <c r="K388" s="37" t="s">
        <v>88</v>
      </c>
      <c r="L388" s="37" t="s">
        <v>46</v>
      </c>
      <c r="M388" s="38" t="s">
        <v>252</v>
      </c>
      <c r="N388" s="38"/>
      <c r="O388" s="37">
        <v>180</v>
      </c>
      <c r="P388" s="7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41"/>
      <c r="R388" s="641"/>
      <c r="S388" s="641"/>
      <c r="T388" s="64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647</v>
      </c>
      <c r="B389" s="63" t="s">
        <v>648</v>
      </c>
      <c r="C389" s="36">
        <v>4301030233</v>
      </c>
      <c r="D389" s="639">
        <v>4607091388404</v>
      </c>
      <c r="E389" s="639"/>
      <c r="F389" s="62">
        <v>0.17</v>
      </c>
      <c r="G389" s="37">
        <v>15</v>
      </c>
      <c r="H389" s="62">
        <v>2.5499999999999998</v>
      </c>
      <c r="I389" s="62">
        <v>2.88</v>
      </c>
      <c r="J389" s="37">
        <v>182</v>
      </c>
      <c r="K389" s="37" t="s">
        <v>88</v>
      </c>
      <c r="L389" s="37" t="s">
        <v>46</v>
      </c>
      <c r="M389" s="38" t="s">
        <v>252</v>
      </c>
      <c r="N389" s="38"/>
      <c r="O389" s="37">
        <v>180</v>
      </c>
      <c r="P389" s="71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41"/>
      <c r="R389" s="641"/>
      <c r="S389" s="641"/>
      <c r="T389" s="642"/>
      <c r="U389" s="39" t="s">
        <v>46</v>
      </c>
      <c r="V389" s="39" t="s">
        <v>46</v>
      </c>
      <c r="W389" s="40" t="s">
        <v>0</v>
      </c>
      <c r="X389" s="58">
        <v>102</v>
      </c>
      <c r="Y389" s="55">
        <f>IFERROR(IF(X389="",0,CEILING((X389/$H389),1)*$H389),"")</f>
        <v>102</v>
      </c>
      <c r="Z389" s="41">
        <f>IFERROR(IF(Y389=0,"",ROUNDUP(Y389/H389,0)*0.00651),"")</f>
        <v>0.26040000000000002</v>
      </c>
      <c r="AA389" s="68" t="s">
        <v>46</v>
      </c>
      <c r="AB389" s="69" t="s">
        <v>46</v>
      </c>
      <c r="AC389" s="486" t="s">
        <v>642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115.2</v>
      </c>
      <c r="BN389" s="78">
        <f>IFERROR(Y389*I389/H389,"0")</f>
        <v>115.2</v>
      </c>
      <c r="BO389" s="78">
        <f>IFERROR(1/J389*(X389/H389),"0")</f>
        <v>0.2197802197802198</v>
      </c>
      <c r="BP389" s="78">
        <f>IFERROR(1/J389*(Y389/H389),"0")</f>
        <v>0.2197802197802198</v>
      </c>
    </row>
    <row r="390" spans="1:68" x14ac:dyDescent="0.2">
      <c r="A390" s="633"/>
      <c r="B390" s="633"/>
      <c r="C390" s="633"/>
      <c r="D390" s="633"/>
      <c r="E390" s="633"/>
      <c r="F390" s="633"/>
      <c r="G390" s="633"/>
      <c r="H390" s="633"/>
      <c r="I390" s="633"/>
      <c r="J390" s="633"/>
      <c r="K390" s="633"/>
      <c r="L390" s="633"/>
      <c r="M390" s="633"/>
      <c r="N390" s="633"/>
      <c r="O390" s="634"/>
      <c r="P390" s="630" t="s">
        <v>40</v>
      </c>
      <c r="Q390" s="631"/>
      <c r="R390" s="631"/>
      <c r="S390" s="631"/>
      <c r="T390" s="631"/>
      <c r="U390" s="631"/>
      <c r="V390" s="632"/>
      <c r="W390" s="42" t="s">
        <v>39</v>
      </c>
      <c r="X390" s="43">
        <f>IFERROR(X386/H386,"0")+IFERROR(X387/H387,"0")+IFERROR(X388/H388,"0")+IFERROR(X389/H389,"0")</f>
        <v>40</v>
      </c>
      <c r="Y390" s="43">
        <f>IFERROR(Y386/H386,"0")+IFERROR(Y387/H387,"0")+IFERROR(Y388/H388,"0")+IFERROR(Y389/H389,"0")</f>
        <v>40</v>
      </c>
      <c r="Z390" s="43">
        <f>IFERROR(IF(Z386="",0,Z386),"0")+IFERROR(IF(Z387="",0,Z387),"0")+IFERROR(IF(Z388="",0,Z388),"0")+IFERROR(IF(Z389="",0,Z389),"0")</f>
        <v>0.26040000000000002</v>
      </c>
      <c r="AA390" s="67"/>
      <c r="AB390" s="67"/>
      <c r="AC390" s="67"/>
    </row>
    <row r="391" spans="1:68" x14ac:dyDescent="0.2">
      <c r="A391" s="633"/>
      <c r="B391" s="633"/>
      <c r="C391" s="633"/>
      <c r="D391" s="633"/>
      <c r="E391" s="633"/>
      <c r="F391" s="633"/>
      <c r="G391" s="633"/>
      <c r="H391" s="633"/>
      <c r="I391" s="633"/>
      <c r="J391" s="633"/>
      <c r="K391" s="633"/>
      <c r="L391" s="633"/>
      <c r="M391" s="633"/>
      <c r="N391" s="633"/>
      <c r="O391" s="634"/>
      <c r="P391" s="630" t="s">
        <v>40</v>
      </c>
      <c r="Q391" s="631"/>
      <c r="R391" s="631"/>
      <c r="S391" s="631"/>
      <c r="T391" s="631"/>
      <c r="U391" s="631"/>
      <c r="V391" s="632"/>
      <c r="W391" s="42" t="s">
        <v>0</v>
      </c>
      <c r="X391" s="43">
        <f>IFERROR(SUM(X386:X389),"0")</f>
        <v>102</v>
      </c>
      <c r="Y391" s="43">
        <f>IFERROR(SUM(Y386:Y389),"0")</f>
        <v>102</v>
      </c>
      <c r="Z391" s="42"/>
      <c r="AA391" s="67"/>
      <c r="AB391" s="67"/>
      <c r="AC391" s="67"/>
    </row>
    <row r="392" spans="1:68" ht="14.25" hidden="1" customHeight="1" x14ac:dyDescent="0.25">
      <c r="A392" s="644" t="s">
        <v>649</v>
      </c>
      <c r="B392" s="644"/>
      <c r="C392" s="644"/>
      <c r="D392" s="644"/>
      <c r="E392" s="644"/>
      <c r="F392" s="644"/>
      <c r="G392" s="644"/>
      <c r="H392" s="644"/>
      <c r="I392" s="644"/>
      <c r="J392" s="644"/>
      <c r="K392" s="644"/>
      <c r="L392" s="644"/>
      <c r="M392" s="644"/>
      <c r="N392" s="644"/>
      <c r="O392" s="644"/>
      <c r="P392" s="644"/>
      <c r="Q392" s="644"/>
      <c r="R392" s="644"/>
      <c r="S392" s="644"/>
      <c r="T392" s="644"/>
      <c r="U392" s="644"/>
      <c r="V392" s="644"/>
      <c r="W392" s="644"/>
      <c r="X392" s="644"/>
      <c r="Y392" s="644"/>
      <c r="Z392" s="644"/>
      <c r="AA392" s="66"/>
      <c r="AB392" s="66"/>
      <c r="AC392" s="80"/>
    </row>
    <row r="393" spans="1:68" ht="16.5" hidden="1" customHeight="1" x14ac:dyDescent="0.25">
      <c r="A393" s="63" t="s">
        <v>650</v>
      </c>
      <c r="B393" s="63" t="s">
        <v>651</v>
      </c>
      <c r="C393" s="36">
        <v>4301180007</v>
      </c>
      <c r="D393" s="639">
        <v>4680115881808</v>
      </c>
      <c r="E393" s="639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88</v>
      </c>
      <c r="L393" s="37" t="s">
        <v>46</v>
      </c>
      <c r="M393" s="38" t="s">
        <v>653</v>
      </c>
      <c r="N393" s="38"/>
      <c r="O393" s="37">
        <v>731</v>
      </c>
      <c r="P393" s="71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41"/>
      <c r="R393" s="641"/>
      <c r="S393" s="641"/>
      <c r="T393" s="642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4301180006</v>
      </c>
      <c r="D394" s="639">
        <v>4680115881822</v>
      </c>
      <c r="E394" s="639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88</v>
      </c>
      <c r="L394" s="37" t="s">
        <v>46</v>
      </c>
      <c r="M394" s="38" t="s">
        <v>653</v>
      </c>
      <c r="N394" s="38"/>
      <c r="O394" s="37">
        <v>731</v>
      </c>
      <c r="P394" s="71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41"/>
      <c r="R394" s="641"/>
      <c r="S394" s="641"/>
      <c r="T394" s="64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656</v>
      </c>
      <c r="B395" s="63" t="s">
        <v>657</v>
      </c>
      <c r="C395" s="36">
        <v>4301180001</v>
      </c>
      <c r="D395" s="639">
        <v>4680115880016</v>
      </c>
      <c r="E395" s="639"/>
      <c r="F395" s="62">
        <v>0.1</v>
      </c>
      <c r="G395" s="37">
        <v>20</v>
      </c>
      <c r="H395" s="62">
        <v>2</v>
      </c>
      <c r="I395" s="62">
        <v>2.2400000000000002</v>
      </c>
      <c r="J395" s="37">
        <v>238</v>
      </c>
      <c r="K395" s="37" t="s">
        <v>88</v>
      </c>
      <c r="L395" s="37" t="s">
        <v>46</v>
      </c>
      <c r="M395" s="38" t="s">
        <v>653</v>
      </c>
      <c r="N395" s="38"/>
      <c r="O395" s="37">
        <v>731</v>
      </c>
      <c r="P395" s="71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41"/>
      <c r="R395" s="641"/>
      <c r="S395" s="641"/>
      <c r="T395" s="64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IFERROR(IF(Y395=0,"",ROUNDUP(Y395/H395,0)*0.00474),"")</f>
        <v/>
      </c>
      <c r="AA395" s="68" t="s">
        <v>46</v>
      </c>
      <c r="AB395" s="69" t="s">
        <v>46</v>
      </c>
      <c r="AC395" s="492" t="s">
        <v>652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33"/>
      <c r="B396" s="633"/>
      <c r="C396" s="633"/>
      <c r="D396" s="633"/>
      <c r="E396" s="633"/>
      <c r="F396" s="633"/>
      <c r="G396" s="633"/>
      <c r="H396" s="633"/>
      <c r="I396" s="633"/>
      <c r="J396" s="633"/>
      <c r="K396" s="633"/>
      <c r="L396" s="633"/>
      <c r="M396" s="633"/>
      <c r="N396" s="633"/>
      <c r="O396" s="634"/>
      <c r="P396" s="630" t="s">
        <v>40</v>
      </c>
      <c r="Q396" s="631"/>
      <c r="R396" s="631"/>
      <c r="S396" s="631"/>
      <c r="T396" s="631"/>
      <c r="U396" s="631"/>
      <c r="V396" s="632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33"/>
      <c r="B397" s="633"/>
      <c r="C397" s="633"/>
      <c r="D397" s="633"/>
      <c r="E397" s="633"/>
      <c r="F397" s="633"/>
      <c r="G397" s="633"/>
      <c r="H397" s="633"/>
      <c r="I397" s="633"/>
      <c r="J397" s="633"/>
      <c r="K397" s="633"/>
      <c r="L397" s="633"/>
      <c r="M397" s="633"/>
      <c r="N397" s="633"/>
      <c r="O397" s="634"/>
      <c r="P397" s="630" t="s">
        <v>40</v>
      </c>
      <c r="Q397" s="631"/>
      <c r="R397" s="631"/>
      <c r="S397" s="631"/>
      <c r="T397" s="631"/>
      <c r="U397" s="631"/>
      <c r="V397" s="632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44" t="s">
        <v>658</v>
      </c>
      <c r="B398" s="644"/>
      <c r="C398" s="644"/>
      <c r="D398" s="644"/>
      <c r="E398" s="644"/>
      <c r="F398" s="644"/>
      <c r="G398" s="644"/>
      <c r="H398" s="644"/>
      <c r="I398" s="644"/>
      <c r="J398" s="644"/>
      <c r="K398" s="644"/>
      <c r="L398" s="644"/>
      <c r="M398" s="644"/>
      <c r="N398" s="644"/>
      <c r="O398" s="644"/>
      <c r="P398" s="644"/>
      <c r="Q398" s="644"/>
      <c r="R398" s="644"/>
      <c r="S398" s="644"/>
      <c r="T398" s="644"/>
      <c r="U398" s="644"/>
      <c r="V398" s="644"/>
      <c r="W398" s="644"/>
      <c r="X398" s="644"/>
      <c r="Y398" s="644"/>
      <c r="Z398" s="644"/>
      <c r="AA398" s="66"/>
      <c r="AB398" s="66"/>
      <c r="AC398" s="80"/>
    </row>
    <row r="399" spans="1:68" ht="27" hidden="1" customHeight="1" x14ac:dyDescent="0.25">
      <c r="A399" s="63" t="s">
        <v>659</v>
      </c>
      <c r="B399" s="63" t="s">
        <v>660</v>
      </c>
      <c r="C399" s="36">
        <v>4301220003</v>
      </c>
      <c r="D399" s="639">
        <v>4680115888678</v>
      </c>
      <c r="E399" s="639"/>
      <c r="F399" s="62">
        <v>0.25</v>
      </c>
      <c r="G399" s="37">
        <v>12</v>
      </c>
      <c r="H399" s="62">
        <v>3</v>
      </c>
      <c r="I399" s="62">
        <v>3.22</v>
      </c>
      <c r="J399" s="37">
        <v>224</v>
      </c>
      <c r="K399" s="37" t="s">
        <v>88</v>
      </c>
      <c r="L399" s="37" t="s">
        <v>46</v>
      </c>
      <c r="M399" s="38" t="s">
        <v>653</v>
      </c>
      <c r="N399" s="38"/>
      <c r="O399" s="37">
        <v>1096</v>
      </c>
      <c r="P399" s="71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41"/>
      <c r="R399" s="641"/>
      <c r="S399" s="641"/>
      <c r="T399" s="642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IFERROR(IF(Y399=0,"",ROUNDUP(Y399/H399,0)*0.0045),"")</f>
        <v/>
      </c>
      <c r="AA399" s="68" t="s">
        <v>46</v>
      </c>
      <c r="AB399" s="69" t="s">
        <v>46</v>
      </c>
      <c r="AC399" s="494" t="s">
        <v>661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4301220001</v>
      </c>
      <c r="D400" s="639">
        <v>4680115888654</v>
      </c>
      <c r="E400" s="639"/>
      <c r="F400" s="62">
        <v>0.32500000000000001</v>
      </c>
      <c r="G400" s="37">
        <v>12</v>
      </c>
      <c r="H400" s="62">
        <v>3.9</v>
      </c>
      <c r="I400" s="62">
        <v>4.17</v>
      </c>
      <c r="J400" s="37">
        <v>144</v>
      </c>
      <c r="K400" s="37" t="s">
        <v>131</v>
      </c>
      <c r="L400" s="37" t="s">
        <v>46</v>
      </c>
      <c r="M400" s="38" t="s">
        <v>653</v>
      </c>
      <c r="N400" s="38"/>
      <c r="O400" s="37">
        <v>1096</v>
      </c>
      <c r="P400" s="70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41"/>
      <c r="R400" s="641"/>
      <c r="S400" s="641"/>
      <c r="T400" s="64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IFERROR(IF(Y400=0,"",ROUNDUP(Y400/H400,0)*0.006),"")</f>
        <v/>
      </c>
      <c r="AA400" s="68" t="s">
        <v>46</v>
      </c>
      <c r="AB400" s="69" t="s">
        <v>46</v>
      </c>
      <c r="AC400" s="496" t="s">
        <v>664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4301220002</v>
      </c>
      <c r="D401" s="639">
        <v>4680115888753</v>
      </c>
      <c r="E401" s="639"/>
      <c r="F401" s="62">
        <v>0.25</v>
      </c>
      <c r="G401" s="37">
        <v>12</v>
      </c>
      <c r="H401" s="62">
        <v>3</v>
      </c>
      <c r="I401" s="62">
        <v>3.22</v>
      </c>
      <c r="J401" s="37">
        <v>224</v>
      </c>
      <c r="K401" s="37" t="s">
        <v>88</v>
      </c>
      <c r="L401" s="37" t="s">
        <v>46</v>
      </c>
      <c r="M401" s="38" t="s">
        <v>653</v>
      </c>
      <c r="N401" s="38"/>
      <c r="O401" s="37">
        <v>1096</v>
      </c>
      <c r="P401" s="70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41"/>
      <c r="R401" s="641"/>
      <c r="S401" s="641"/>
      <c r="T401" s="64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IFERROR(IF(Y401=0,"",ROUNDUP(Y401/H401,0)*0.0045),"")</f>
        <v/>
      </c>
      <c r="AA401" s="68" t="s">
        <v>46</v>
      </c>
      <c r="AB401" s="69" t="s">
        <v>46</v>
      </c>
      <c r="AC401" s="498" t="s">
        <v>661</v>
      </c>
      <c r="AG401" s="78"/>
      <c r="AJ401" s="84" t="s">
        <v>46</v>
      </c>
      <c r="AK401" s="84">
        <v>0</v>
      </c>
      <c r="BB401" s="499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33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0" t="s">
        <v>40</v>
      </c>
      <c r="Q402" s="631"/>
      <c r="R402" s="631"/>
      <c r="S402" s="631"/>
      <c r="T402" s="631"/>
      <c r="U402" s="631"/>
      <c r="V402" s="632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0" t="s">
        <v>40</v>
      </c>
      <c r="Q403" s="631"/>
      <c r="R403" s="631"/>
      <c r="S403" s="631"/>
      <c r="T403" s="631"/>
      <c r="U403" s="631"/>
      <c r="V403" s="632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6.5" hidden="1" customHeight="1" x14ac:dyDescent="0.25">
      <c r="A404" s="643" t="s">
        <v>667</v>
      </c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43"/>
      <c r="P404" s="643"/>
      <c r="Q404" s="643"/>
      <c r="R404" s="643"/>
      <c r="S404" s="643"/>
      <c r="T404" s="643"/>
      <c r="U404" s="643"/>
      <c r="V404" s="643"/>
      <c r="W404" s="643"/>
      <c r="X404" s="643"/>
      <c r="Y404" s="643"/>
      <c r="Z404" s="643"/>
      <c r="AA404" s="65"/>
      <c r="AB404" s="65"/>
      <c r="AC404" s="79"/>
    </row>
    <row r="405" spans="1:68" ht="14.25" hidden="1" customHeight="1" x14ac:dyDescent="0.25">
      <c r="A405" s="644" t="s">
        <v>83</v>
      </c>
      <c r="B405" s="644"/>
      <c r="C405" s="644"/>
      <c r="D405" s="644"/>
      <c r="E405" s="644"/>
      <c r="F405" s="644"/>
      <c r="G405" s="644"/>
      <c r="H405" s="644"/>
      <c r="I405" s="644"/>
      <c r="J405" s="644"/>
      <c r="K405" s="644"/>
      <c r="L405" s="644"/>
      <c r="M405" s="644"/>
      <c r="N405" s="644"/>
      <c r="O405" s="644"/>
      <c r="P405" s="644"/>
      <c r="Q405" s="644"/>
      <c r="R405" s="644"/>
      <c r="S405" s="644"/>
      <c r="T405" s="644"/>
      <c r="U405" s="644"/>
      <c r="V405" s="644"/>
      <c r="W405" s="644"/>
      <c r="X405" s="644"/>
      <c r="Y405" s="644"/>
      <c r="Z405" s="644"/>
      <c r="AA405" s="66"/>
      <c r="AB405" s="66"/>
      <c r="AC405" s="80"/>
    </row>
    <row r="406" spans="1:68" ht="16.5" hidden="1" customHeight="1" x14ac:dyDescent="0.25">
      <c r="A406" s="63" t="s">
        <v>668</v>
      </c>
      <c r="B406" s="63" t="s">
        <v>669</v>
      </c>
      <c r="C406" s="36">
        <v>4301052235</v>
      </c>
      <c r="D406" s="639">
        <v>4680115889415</v>
      </c>
      <c r="E406" s="639"/>
      <c r="F406" s="62">
        <v>1.3</v>
      </c>
      <c r="G406" s="37">
        <v>6</v>
      </c>
      <c r="H406" s="62">
        <v>7.8</v>
      </c>
      <c r="I406" s="62">
        <v>8.2100000000000009</v>
      </c>
      <c r="J406" s="37">
        <v>64</v>
      </c>
      <c r="K406" s="37" t="s">
        <v>124</v>
      </c>
      <c r="L406" s="37" t="s">
        <v>46</v>
      </c>
      <c r="M406" s="38" t="s">
        <v>87</v>
      </c>
      <c r="N406" s="38"/>
      <c r="O406" s="37">
        <v>40</v>
      </c>
      <c r="P406" s="70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41"/>
      <c r="R406" s="641"/>
      <c r="S406" s="641"/>
      <c r="T406" s="642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IFERROR(IF(Y406=0,"",ROUNDUP(Y406/H406,0)*0.01898),"")</f>
        <v/>
      </c>
      <c r="AA406" s="68" t="s">
        <v>46</v>
      </c>
      <c r="AB406" s="69" t="s">
        <v>46</v>
      </c>
      <c r="AC406" s="500" t="s">
        <v>670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16.5" hidden="1" customHeight="1" x14ac:dyDescent="0.25">
      <c r="A407" s="63" t="s">
        <v>671</v>
      </c>
      <c r="B407" s="63" t="s">
        <v>672</v>
      </c>
      <c r="C407" s="36">
        <v>4301052236</v>
      </c>
      <c r="D407" s="639">
        <v>4680115889422</v>
      </c>
      <c r="E407" s="639"/>
      <c r="F407" s="62">
        <v>1.3</v>
      </c>
      <c r="G407" s="37">
        <v>6</v>
      </c>
      <c r="H407" s="62">
        <v>7.8</v>
      </c>
      <c r="I407" s="62">
        <v>8.2100000000000009</v>
      </c>
      <c r="J407" s="37">
        <v>64</v>
      </c>
      <c r="K407" s="37" t="s">
        <v>124</v>
      </c>
      <c r="L407" s="37" t="s">
        <v>46</v>
      </c>
      <c r="M407" s="38" t="s">
        <v>87</v>
      </c>
      <c r="N407" s="38"/>
      <c r="O407" s="37">
        <v>40</v>
      </c>
      <c r="P407" s="70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41"/>
      <c r="R407" s="641"/>
      <c r="S407" s="641"/>
      <c r="T407" s="64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IFERROR(IF(Y407=0,"",ROUNDUP(Y407/H407,0)*0.01898),"")</f>
        <v/>
      </c>
      <c r="AA407" s="68" t="s">
        <v>46</v>
      </c>
      <c r="AB407" s="69" t="s">
        <v>46</v>
      </c>
      <c r="AC407" s="502" t="s">
        <v>673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33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0" t="s">
        <v>40</v>
      </c>
      <c r="Q408" s="631"/>
      <c r="R408" s="631"/>
      <c r="S408" s="631"/>
      <c r="T408" s="631"/>
      <c r="U408" s="631"/>
      <c r="V408" s="632"/>
      <c r="W408" s="42" t="s">
        <v>39</v>
      </c>
      <c r="X408" s="43">
        <f>IFERROR(X406/H406,"0")+IFERROR(X407/H407,"0")</f>
        <v>0</v>
      </c>
      <c r="Y408" s="43">
        <f>IFERROR(Y406/H406,"0")+IFERROR(Y407/H407,"0")</f>
        <v>0</v>
      </c>
      <c r="Z408" s="43">
        <f>IFERROR(IF(Z406="",0,Z406),"0")+IFERROR(IF(Z407="",0,Z407),"0")</f>
        <v>0</v>
      </c>
      <c r="AA408" s="67"/>
      <c r="AB408" s="67"/>
      <c r="AC408" s="67"/>
    </row>
    <row r="409" spans="1:68" hidden="1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0" t="s">
        <v>40</v>
      </c>
      <c r="Q409" s="631"/>
      <c r="R409" s="631"/>
      <c r="S409" s="631"/>
      <c r="T409" s="631"/>
      <c r="U409" s="631"/>
      <c r="V409" s="632"/>
      <c r="W409" s="42" t="s">
        <v>0</v>
      </c>
      <c r="X409" s="43">
        <f>IFERROR(SUM(X406:X407),"0")</f>
        <v>0</v>
      </c>
      <c r="Y409" s="43">
        <f>IFERROR(SUM(Y406:Y407),"0")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43" t="s">
        <v>674</v>
      </c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43"/>
      <c r="P410" s="643"/>
      <c r="Q410" s="643"/>
      <c r="R410" s="643"/>
      <c r="S410" s="643"/>
      <c r="T410" s="643"/>
      <c r="U410" s="643"/>
      <c r="V410" s="643"/>
      <c r="W410" s="643"/>
      <c r="X410" s="643"/>
      <c r="Y410" s="643"/>
      <c r="Z410" s="643"/>
      <c r="AA410" s="65"/>
      <c r="AB410" s="65"/>
      <c r="AC410" s="79"/>
    </row>
    <row r="411" spans="1:68" ht="14.25" hidden="1" customHeight="1" x14ac:dyDescent="0.25">
      <c r="A411" s="644" t="s">
        <v>83</v>
      </c>
      <c r="B411" s="644"/>
      <c r="C411" s="644"/>
      <c r="D411" s="644"/>
      <c r="E411" s="644"/>
      <c r="F411" s="644"/>
      <c r="G411" s="644"/>
      <c r="H411" s="644"/>
      <c r="I411" s="644"/>
      <c r="J411" s="644"/>
      <c r="K411" s="644"/>
      <c r="L411" s="644"/>
      <c r="M411" s="644"/>
      <c r="N411" s="644"/>
      <c r="O411" s="644"/>
      <c r="P411" s="644"/>
      <c r="Q411" s="644"/>
      <c r="R411" s="644"/>
      <c r="S411" s="644"/>
      <c r="T411" s="644"/>
      <c r="U411" s="644"/>
      <c r="V411" s="644"/>
      <c r="W411" s="644"/>
      <c r="X411" s="644"/>
      <c r="Y411" s="644"/>
      <c r="Z411" s="644"/>
      <c r="AA411" s="66"/>
      <c r="AB411" s="66"/>
      <c r="AC411" s="80"/>
    </row>
    <row r="412" spans="1:68" ht="27" hidden="1" customHeight="1" x14ac:dyDescent="0.25">
      <c r="A412" s="63" t="s">
        <v>675</v>
      </c>
      <c r="B412" s="63" t="s">
        <v>676</v>
      </c>
      <c r="C412" s="36">
        <v>4301051489</v>
      </c>
      <c r="D412" s="639">
        <v>4607091387919</v>
      </c>
      <c r="E412" s="639"/>
      <c r="F412" s="62">
        <v>1.35</v>
      </c>
      <c r="G412" s="37">
        <v>6</v>
      </c>
      <c r="H412" s="62">
        <v>8.1</v>
      </c>
      <c r="I412" s="62">
        <v>8.5939999999999994</v>
      </c>
      <c r="J412" s="37">
        <v>64</v>
      </c>
      <c r="K412" s="37" t="s">
        <v>124</v>
      </c>
      <c r="L412" s="37" t="s">
        <v>46</v>
      </c>
      <c r="M412" s="38" t="s">
        <v>94</v>
      </c>
      <c r="N412" s="38"/>
      <c r="O412" s="37">
        <v>45</v>
      </c>
      <c r="P412" s="70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41"/>
      <c r="R412" s="641"/>
      <c r="S412" s="641"/>
      <c r="T412" s="642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04" t="s">
        <v>677</v>
      </c>
      <c r="AG412" s="78"/>
      <c r="AJ412" s="84" t="s">
        <v>46</v>
      </c>
      <c r="AK412" s="84">
        <v>0</v>
      </c>
      <c r="BB412" s="505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678</v>
      </c>
      <c r="B413" s="63" t="s">
        <v>679</v>
      </c>
      <c r="C413" s="36">
        <v>4301051461</v>
      </c>
      <c r="D413" s="639">
        <v>4680115883604</v>
      </c>
      <c r="E413" s="639"/>
      <c r="F413" s="62">
        <v>0.35</v>
      </c>
      <c r="G413" s="37">
        <v>6</v>
      </c>
      <c r="H413" s="62">
        <v>2.1</v>
      </c>
      <c r="I413" s="62">
        <v>2.3519999999999999</v>
      </c>
      <c r="J413" s="37">
        <v>182</v>
      </c>
      <c r="K413" s="37" t="s">
        <v>88</v>
      </c>
      <c r="L413" s="37" t="s">
        <v>46</v>
      </c>
      <c r="M413" s="38" t="s">
        <v>87</v>
      </c>
      <c r="N413" s="38"/>
      <c r="O413" s="37">
        <v>45</v>
      </c>
      <c r="P413" s="7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41"/>
      <c r="R413" s="641"/>
      <c r="S413" s="641"/>
      <c r="T413" s="642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IFERROR(IF(Y413=0,"",ROUNDUP(Y413/H413,0)*0.00651),"")</f>
        <v/>
      </c>
      <c r="AA413" s="68" t="s">
        <v>46</v>
      </c>
      <c r="AB413" s="69" t="s">
        <v>46</v>
      </c>
      <c r="AC413" s="506" t="s">
        <v>680</v>
      </c>
      <c r="AG413" s="78"/>
      <c r="AJ413" s="84" t="s">
        <v>46</v>
      </c>
      <c r="AK413" s="84">
        <v>0</v>
      </c>
      <c r="BB413" s="507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681</v>
      </c>
      <c r="B414" s="63" t="s">
        <v>682</v>
      </c>
      <c r="C414" s="36">
        <v>4301051864</v>
      </c>
      <c r="D414" s="639">
        <v>4680115883567</v>
      </c>
      <c r="E414" s="639"/>
      <c r="F414" s="62">
        <v>0.35</v>
      </c>
      <c r="G414" s="37">
        <v>6</v>
      </c>
      <c r="H414" s="62">
        <v>2.1</v>
      </c>
      <c r="I414" s="62">
        <v>2.34</v>
      </c>
      <c r="J414" s="37">
        <v>182</v>
      </c>
      <c r="K414" s="37" t="s">
        <v>88</v>
      </c>
      <c r="L414" s="37" t="s">
        <v>46</v>
      </c>
      <c r="M414" s="38" t="s">
        <v>94</v>
      </c>
      <c r="N414" s="38"/>
      <c r="O414" s="37">
        <v>40</v>
      </c>
      <c r="P414" s="7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41"/>
      <c r="R414" s="641"/>
      <c r="S414" s="641"/>
      <c r="T414" s="642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IFERROR(IF(Y414=0,"",ROUNDUP(Y414/H414,0)*0.00651),"")</f>
        <v/>
      </c>
      <c r="AA414" s="68" t="s">
        <v>46</v>
      </c>
      <c r="AB414" s="69" t="s">
        <v>46</v>
      </c>
      <c r="AC414" s="508" t="s">
        <v>683</v>
      </c>
      <c r="AG414" s="78"/>
      <c r="AJ414" s="84" t="s">
        <v>46</v>
      </c>
      <c r="AK414" s="84">
        <v>0</v>
      </c>
      <c r="BB414" s="509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33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0" t="s">
        <v>40</v>
      </c>
      <c r="Q415" s="631"/>
      <c r="R415" s="631"/>
      <c r="S415" s="631"/>
      <c r="T415" s="631"/>
      <c r="U415" s="631"/>
      <c r="V415" s="632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0" t="s">
        <v>40</v>
      </c>
      <c r="Q416" s="631"/>
      <c r="R416" s="631"/>
      <c r="S416" s="631"/>
      <c r="T416" s="631"/>
      <c r="U416" s="631"/>
      <c r="V416" s="632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27.75" hidden="1" customHeight="1" x14ac:dyDescent="0.2">
      <c r="A417" s="650" t="s">
        <v>684</v>
      </c>
      <c r="B417" s="650"/>
      <c r="C417" s="650"/>
      <c r="D417" s="650"/>
      <c r="E417" s="650"/>
      <c r="F417" s="650"/>
      <c r="G417" s="650"/>
      <c r="H417" s="650"/>
      <c r="I417" s="650"/>
      <c r="J417" s="650"/>
      <c r="K417" s="650"/>
      <c r="L417" s="650"/>
      <c r="M417" s="650"/>
      <c r="N417" s="650"/>
      <c r="O417" s="650"/>
      <c r="P417" s="650"/>
      <c r="Q417" s="650"/>
      <c r="R417" s="650"/>
      <c r="S417" s="650"/>
      <c r="T417" s="650"/>
      <c r="U417" s="650"/>
      <c r="V417" s="650"/>
      <c r="W417" s="650"/>
      <c r="X417" s="650"/>
      <c r="Y417" s="650"/>
      <c r="Z417" s="650"/>
      <c r="AA417" s="54"/>
      <c r="AB417" s="54"/>
      <c r="AC417" s="54"/>
    </row>
    <row r="418" spans="1:68" ht="16.5" hidden="1" customHeight="1" x14ac:dyDescent="0.25">
      <c r="A418" s="643" t="s">
        <v>685</v>
      </c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43"/>
      <c r="P418" s="643"/>
      <c r="Q418" s="643"/>
      <c r="R418" s="643"/>
      <c r="S418" s="643"/>
      <c r="T418" s="643"/>
      <c r="U418" s="643"/>
      <c r="V418" s="643"/>
      <c r="W418" s="643"/>
      <c r="X418" s="643"/>
      <c r="Y418" s="643"/>
      <c r="Z418" s="643"/>
      <c r="AA418" s="65"/>
      <c r="AB418" s="65"/>
      <c r="AC418" s="79"/>
    </row>
    <row r="419" spans="1:68" ht="14.25" hidden="1" customHeight="1" x14ac:dyDescent="0.25">
      <c r="A419" s="644" t="s">
        <v>119</v>
      </c>
      <c r="B419" s="644"/>
      <c r="C419" s="644"/>
      <c r="D419" s="644"/>
      <c r="E419" s="644"/>
      <c r="F419" s="644"/>
      <c r="G419" s="644"/>
      <c r="H419" s="644"/>
      <c r="I419" s="644"/>
      <c r="J419" s="644"/>
      <c r="K419" s="644"/>
      <c r="L419" s="644"/>
      <c r="M419" s="644"/>
      <c r="N419" s="644"/>
      <c r="O419" s="644"/>
      <c r="P419" s="644"/>
      <c r="Q419" s="644"/>
      <c r="R419" s="644"/>
      <c r="S419" s="644"/>
      <c r="T419" s="644"/>
      <c r="U419" s="644"/>
      <c r="V419" s="644"/>
      <c r="W419" s="644"/>
      <c r="X419" s="644"/>
      <c r="Y419" s="644"/>
      <c r="Z419" s="644"/>
      <c r="AA419" s="66"/>
      <c r="AB419" s="66"/>
      <c r="AC419" s="80"/>
    </row>
    <row r="420" spans="1:68" ht="27" hidden="1" customHeight="1" x14ac:dyDescent="0.25">
      <c r="A420" s="63" t="s">
        <v>686</v>
      </c>
      <c r="B420" s="63" t="s">
        <v>687</v>
      </c>
      <c r="C420" s="36">
        <v>4301012332</v>
      </c>
      <c r="D420" s="639">
        <v>4680115888401</v>
      </c>
      <c r="E420" s="639"/>
      <c r="F420" s="62">
        <v>2.5</v>
      </c>
      <c r="G420" s="37">
        <v>6</v>
      </c>
      <c r="H420" s="62">
        <v>15</v>
      </c>
      <c r="I420" s="62">
        <v>15.47</v>
      </c>
      <c r="J420" s="37">
        <v>48</v>
      </c>
      <c r="K420" s="37" t="s">
        <v>124</v>
      </c>
      <c r="L420" s="37" t="s">
        <v>46</v>
      </c>
      <c r="M420" s="38" t="s">
        <v>94</v>
      </c>
      <c r="N420" s="38"/>
      <c r="O420" s="37">
        <v>60</v>
      </c>
      <c r="P420" s="70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41"/>
      <c r="R420" s="641"/>
      <c r="S420" s="641"/>
      <c r="T420" s="642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ref="Y420:Y427" si="61">IFERROR(IF(X420="",0,CEILING((X420/$H420),1)*$H420),"")</f>
        <v>0</v>
      </c>
      <c r="Z420" s="41" t="str">
        <f>IFERROR(IF(Y420=0,"",ROUNDUP(Y420/H420,0)*0.02175),"")</f>
        <v/>
      </c>
      <c r="AA420" s="68" t="s">
        <v>46</v>
      </c>
      <c r="AB420" s="69" t="s">
        <v>46</v>
      </c>
      <c r="AC420" s="510" t="s">
        <v>688</v>
      </c>
      <c r="AG420" s="78"/>
      <c r="AJ420" s="84" t="s">
        <v>46</v>
      </c>
      <c r="AK420" s="84">
        <v>0</v>
      </c>
      <c r="BB420" s="511" t="s">
        <v>67</v>
      </c>
      <c r="BM420" s="78">
        <f t="shared" ref="BM420:BM427" si="62">IFERROR(X420*I420/H420,"0")</f>
        <v>0</v>
      </c>
      <c r="BN420" s="78">
        <f t="shared" ref="BN420:BN427" si="63">IFERROR(Y420*I420/H420,"0")</f>
        <v>0</v>
      </c>
      <c r="BO420" s="78">
        <f t="shared" ref="BO420:BO427" si="64">IFERROR(1/J420*(X420/H420),"0")</f>
        <v>0</v>
      </c>
      <c r="BP420" s="78">
        <f t="shared" ref="BP420:BP427" si="65">IFERROR(1/J420*(Y420/H420),"0")</f>
        <v>0</v>
      </c>
    </row>
    <row r="421" spans="1:68" ht="37.5" customHeight="1" x14ac:dyDescent="0.25">
      <c r="A421" s="63" t="s">
        <v>689</v>
      </c>
      <c r="B421" s="63" t="s">
        <v>690</v>
      </c>
      <c r="C421" s="36">
        <v>4301011869</v>
      </c>
      <c r="D421" s="639">
        <v>4680115884847</v>
      </c>
      <c r="E421" s="639"/>
      <c r="F421" s="62">
        <v>2.5</v>
      </c>
      <c r="G421" s="37">
        <v>6</v>
      </c>
      <c r="H421" s="62">
        <v>15</v>
      </c>
      <c r="I421" s="62">
        <v>15.47</v>
      </c>
      <c r="J421" s="37">
        <v>48</v>
      </c>
      <c r="K421" s="37" t="s">
        <v>124</v>
      </c>
      <c r="L421" s="37" t="s">
        <v>46</v>
      </c>
      <c r="M421" s="38" t="s">
        <v>81</v>
      </c>
      <c r="N421" s="38"/>
      <c r="O421" s="37">
        <v>60</v>
      </c>
      <c r="P421" s="70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41"/>
      <c r="R421" s="641"/>
      <c r="S421" s="641"/>
      <c r="T421" s="642"/>
      <c r="U421" s="39" t="s">
        <v>46</v>
      </c>
      <c r="V421" s="39" t="s">
        <v>46</v>
      </c>
      <c r="W421" s="40" t="s">
        <v>0</v>
      </c>
      <c r="X421" s="58">
        <v>2000</v>
      </c>
      <c r="Y421" s="55">
        <f t="shared" si="61"/>
        <v>2010</v>
      </c>
      <c r="Z421" s="41">
        <f>IFERROR(IF(Y421=0,"",ROUNDUP(Y421/H421,0)*0.02175),"")</f>
        <v>2.9144999999999999</v>
      </c>
      <c r="AA421" s="68" t="s">
        <v>46</v>
      </c>
      <c r="AB421" s="69" t="s">
        <v>46</v>
      </c>
      <c r="AC421" s="512" t="s">
        <v>691</v>
      </c>
      <c r="AG421" s="78"/>
      <c r="AJ421" s="84" t="s">
        <v>46</v>
      </c>
      <c r="AK421" s="84">
        <v>0</v>
      </c>
      <c r="BB421" s="513" t="s">
        <v>67</v>
      </c>
      <c r="BM421" s="78">
        <f t="shared" si="62"/>
        <v>2062.6666666666665</v>
      </c>
      <c r="BN421" s="78">
        <f t="shared" si="63"/>
        <v>2072.98</v>
      </c>
      <c r="BO421" s="78">
        <f t="shared" si="64"/>
        <v>2.7777777777777777</v>
      </c>
      <c r="BP421" s="78">
        <f t="shared" si="65"/>
        <v>2.7916666666666665</v>
      </c>
    </row>
    <row r="422" spans="1:68" ht="27" customHeight="1" x14ac:dyDescent="0.25">
      <c r="A422" s="63" t="s">
        <v>692</v>
      </c>
      <c r="B422" s="63" t="s">
        <v>693</v>
      </c>
      <c r="C422" s="36">
        <v>4301012083</v>
      </c>
      <c r="D422" s="639">
        <v>4680115884854</v>
      </c>
      <c r="E422" s="639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124</v>
      </c>
      <c r="L422" s="37" t="s">
        <v>46</v>
      </c>
      <c r="M422" s="38" t="s">
        <v>123</v>
      </c>
      <c r="N422" s="38"/>
      <c r="O422" s="37">
        <v>60</v>
      </c>
      <c r="P422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41"/>
      <c r="R422" s="641"/>
      <c r="S422" s="641"/>
      <c r="T422" s="642"/>
      <c r="U422" s="39" t="s">
        <v>46</v>
      </c>
      <c r="V422" s="39" t="s">
        <v>46</v>
      </c>
      <c r="W422" s="40" t="s">
        <v>0</v>
      </c>
      <c r="X422" s="58">
        <v>1000</v>
      </c>
      <c r="Y422" s="55">
        <f t="shared" si="61"/>
        <v>1005</v>
      </c>
      <c r="Z422" s="41">
        <f>IFERROR(IF(Y422=0,"",ROUNDUP(Y422/H422,0)*0.02175),"")</f>
        <v>1.4572499999999999</v>
      </c>
      <c r="AA422" s="68" t="s">
        <v>46</v>
      </c>
      <c r="AB422" s="69" t="s">
        <v>46</v>
      </c>
      <c r="AC422" s="514" t="s">
        <v>694</v>
      </c>
      <c r="AG422" s="78"/>
      <c r="AJ422" s="84" t="s">
        <v>46</v>
      </c>
      <c r="AK422" s="84">
        <v>0</v>
      </c>
      <c r="BB422" s="515" t="s">
        <v>67</v>
      </c>
      <c r="BM422" s="78">
        <f t="shared" si="62"/>
        <v>1031.3333333333333</v>
      </c>
      <c r="BN422" s="78">
        <f t="shared" si="63"/>
        <v>1036.49</v>
      </c>
      <c r="BO422" s="78">
        <f t="shared" si="64"/>
        <v>1.3888888888888888</v>
      </c>
      <c r="BP422" s="78">
        <f t="shared" si="65"/>
        <v>1.3958333333333333</v>
      </c>
    </row>
    <row r="423" spans="1:68" ht="27" customHeight="1" x14ac:dyDescent="0.25">
      <c r="A423" s="63" t="s">
        <v>695</v>
      </c>
      <c r="B423" s="63" t="s">
        <v>696</v>
      </c>
      <c r="C423" s="36">
        <v>4301011867</v>
      </c>
      <c r="D423" s="639">
        <v>4680115884830</v>
      </c>
      <c r="E423" s="63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124</v>
      </c>
      <c r="L423" s="37" t="s">
        <v>46</v>
      </c>
      <c r="M423" s="38" t="s">
        <v>81</v>
      </c>
      <c r="N423" s="38"/>
      <c r="O423" s="37">
        <v>60</v>
      </c>
      <c r="P423" s="69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41"/>
      <c r="R423" s="641"/>
      <c r="S423" s="641"/>
      <c r="T423" s="642"/>
      <c r="U423" s="39" t="s">
        <v>46</v>
      </c>
      <c r="V423" s="39" t="s">
        <v>46</v>
      </c>
      <c r="W423" s="40" t="s">
        <v>0</v>
      </c>
      <c r="X423" s="58">
        <v>2000</v>
      </c>
      <c r="Y423" s="55">
        <f t="shared" si="61"/>
        <v>2010</v>
      </c>
      <c r="Z423" s="41">
        <f>IFERROR(IF(Y423=0,"",ROUNDUP(Y423/H423,0)*0.02175),"")</f>
        <v>2.9144999999999999</v>
      </c>
      <c r="AA423" s="68" t="s">
        <v>46</v>
      </c>
      <c r="AB423" s="69" t="s">
        <v>46</v>
      </c>
      <c r="AC423" s="516" t="s">
        <v>697</v>
      </c>
      <c r="AG423" s="78"/>
      <c r="AJ423" s="84" t="s">
        <v>46</v>
      </c>
      <c r="AK423" s="84">
        <v>0</v>
      </c>
      <c r="BB423" s="517" t="s">
        <v>67</v>
      </c>
      <c r="BM423" s="78">
        <f t="shared" si="62"/>
        <v>2062.6666666666665</v>
      </c>
      <c r="BN423" s="78">
        <f t="shared" si="63"/>
        <v>2072.98</v>
      </c>
      <c r="BO423" s="78">
        <f t="shared" si="64"/>
        <v>2.7777777777777777</v>
      </c>
      <c r="BP423" s="78">
        <f t="shared" si="65"/>
        <v>2.7916666666666665</v>
      </c>
    </row>
    <row r="424" spans="1:68" ht="27" hidden="1" customHeight="1" x14ac:dyDescent="0.25">
      <c r="A424" s="63" t="s">
        <v>698</v>
      </c>
      <c r="B424" s="63" t="s">
        <v>699</v>
      </c>
      <c r="C424" s="36">
        <v>4301012356</v>
      </c>
      <c r="D424" s="639">
        <v>4680115889231</v>
      </c>
      <c r="E424" s="63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124</v>
      </c>
      <c r="L424" s="37" t="s">
        <v>46</v>
      </c>
      <c r="M424" s="38" t="s">
        <v>94</v>
      </c>
      <c r="N424" s="38"/>
      <c r="O424" s="37">
        <v>60</v>
      </c>
      <c r="P424" s="69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41"/>
      <c r="R424" s="641"/>
      <c r="S424" s="641"/>
      <c r="T424" s="64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61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18" t="s">
        <v>700</v>
      </c>
      <c r="AG424" s="78"/>
      <c r="AJ424" s="84" t="s">
        <v>46</v>
      </c>
      <c r="AK424" s="84">
        <v>0</v>
      </c>
      <c r="BB424" s="519" t="s">
        <v>67</v>
      </c>
      <c r="BM424" s="78">
        <f t="shared" si="62"/>
        <v>0</v>
      </c>
      <c r="BN424" s="78">
        <f t="shared" si="63"/>
        <v>0</v>
      </c>
      <c r="BO424" s="78">
        <f t="shared" si="64"/>
        <v>0</v>
      </c>
      <c r="BP424" s="78">
        <f t="shared" si="65"/>
        <v>0</v>
      </c>
    </row>
    <row r="425" spans="1:68" ht="27" hidden="1" customHeight="1" x14ac:dyDescent="0.25">
      <c r="A425" s="63" t="s">
        <v>701</v>
      </c>
      <c r="B425" s="63" t="s">
        <v>702</v>
      </c>
      <c r="C425" s="36">
        <v>4301011433</v>
      </c>
      <c r="D425" s="639">
        <v>4680115882638</v>
      </c>
      <c r="E425" s="639"/>
      <c r="F425" s="62">
        <v>0.4</v>
      </c>
      <c r="G425" s="37">
        <v>10</v>
      </c>
      <c r="H425" s="62">
        <v>4</v>
      </c>
      <c r="I425" s="62">
        <v>4.1900000000000004</v>
      </c>
      <c r="J425" s="37">
        <v>132</v>
      </c>
      <c r="K425" s="37" t="s">
        <v>131</v>
      </c>
      <c r="L425" s="37" t="s">
        <v>46</v>
      </c>
      <c r="M425" s="38" t="s">
        <v>123</v>
      </c>
      <c r="N425" s="38"/>
      <c r="O425" s="37">
        <v>90</v>
      </c>
      <c r="P425" s="6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41"/>
      <c r="R425" s="641"/>
      <c r="S425" s="641"/>
      <c r="T425" s="64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61"/>
        <v>0</v>
      </c>
      <c r="Z425" s="41" t="str">
        <f>IFERROR(IF(Y425=0,"",ROUNDUP(Y425/H425,0)*0.00902),"")</f>
        <v/>
      </c>
      <c r="AA425" s="68" t="s">
        <v>46</v>
      </c>
      <c r="AB425" s="69" t="s">
        <v>46</v>
      </c>
      <c r="AC425" s="520" t="s">
        <v>703</v>
      </c>
      <c r="AG425" s="78"/>
      <c r="AJ425" s="84" t="s">
        <v>46</v>
      </c>
      <c r="AK425" s="84">
        <v>0</v>
      </c>
      <c r="BB425" s="521" t="s">
        <v>67</v>
      </c>
      <c r="BM425" s="78">
        <f t="shared" si="62"/>
        <v>0</v>
      </c>
      <c r="BN425" s="78">
        <f t="shared" si="63"/>
        <v>0</v>
      </c>
      <c r="BO425" s="78">
        <f t="shared" si="64"/>
        <v>0</v>
      </c>
      <c r="BP425" s="78">
        <f t="shared" si="65"/>
        <v>0</v>
      </c>
    </row>
    <row r="426" spans="1:68" ht="27" hidden="1" customHeight="1" x14ac:dyDescent="0.25">
      <c r="A426" s="63" t="s">
        <v>704</v>
      </c>
      <c r="B426" s="63" t="s">
        <v>705</v>
      </c>
      <c r="C426" s="36">
        <v>4301011952</v>
      </c>
      <c r="D426" s="639">
        <v>4680115884922</v>
      </c>
      <c r="E426" s="639"/>
      <c r="F426" s="62">
        <v>0.5</v>
      </c>
      <c r="G426" s="37">
        <v>10</v>
      </c>
      <c r="H426" s="62">
        <v>5</v>
      </c>
      <c r="I426" s="62">
        <v>5.19</v>
      </c>
      <c r="J426" s="37">
        <v>132</v>
      </c>
      <c r="K426" s="37" t="s">
        <v>131</v>
      </c>
      <c r="L426" s="37" t="s">
        <v>46</v>
      </c>
      <c r="M426" s="38" t="s">
        <v>81</v>
      </c>
      <c r="N426" s="38"/>
      <c r="O426" s="37">
        <v>60</v>
      </c>
      <c r="P426" s="6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41"/>
      <c r="R426" s="641"/>
      <c r="S426" s="641"/>
      <c r="T426" s="64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1"/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2" t="s">
        <v>706</v>
      </c>
      <c r="AG426" s="78"/>
      <c r="AJ426" s="84" t="s">
        <v>46</v>
      </c>
      <c r="AK426" s="84">
        <v>0</v>
      </c>
      <c r="BB426" s="523" t="s">
        <v>67</v>
      </c>
      <c r="BM426" s="78">
        <f t="shared" si="62"/>
        <v>0</v>
      </c>
      <c r="BN426" s="78">
        <f t="shared" si="63"/>
        <v>0</v>
      </c>
      <c r="BO426" s="78">
        <f t="shared" si="64"/>
        <v>0</v>
      </c>
      <c r="BP426" s="78">
        <f t="shared" si="65"/>
        <v>0</v>
      </c>
    </row>
    <row r="427" spans="1:68" ht="37.5" hidden="1" customHeight="1" x14ac:dyDescent="0.25">
      <c r="A427" s="63" t="s">
        <v>707</v>
      </c>
      <c r="B427" s="63" t="s">
        <v>708</v>
      </c>
      <c r="C427" s="36">
        <v>4301011868</v>
      </c>
      <c r="D427" s="639">
        <v>4680115884861</v>
      </c>
      <c r="E427" s="639"/>
      <c r="F427" s="62">
        <v>0.5</v>
      </c>
      <c r="G427" s="37">
        <v>10</v>
      </c>
      <c r="H427" s="62">
        <v>5</v>
      </c>
      <c r="I427" s="62">
        <v>5.19</v>
      </c>
      <c r="J427" s="37">
        <v>132</v>
      </c>
      <c r="K427" s="37" t="s">
        <v>131</v>
      </c>
      <c r="L427" s="37" t="s">
        <v>46</v>
      </c>
      <c r="M427" s="38" t="s">
        <v>81</v>
      </c>
      <c r="N427" s="38"/>
      <c r="O427" s="37">
        <v>60</v>
      </c>
      <c r="P427" s="69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41"/>
      <c r="R427" s="641"/>
      <c r="S427" s="641"/>
      <c r="T427" s="64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1"/>
        <v>0</v>
      </c>
      <c r="Z427" s="41" t="str">
        <f>IFERROR(IF(Y427=0,"",ROUNDUP(Y427/H427,0)*0.00902),"")</f>
        <v/>
      </c>
      <c r="AA427" s="68" t="s">
        <v>46</v>
      </c>
      <c r="AB427" s="69" t="s">
        <v>46</v>
      </c>
      <c r="AC427" s="524" t="s">
        <v>709</v>
      </c>
      <c r="AG427" s="78"/>
      <c r="AJ427" s="84" t="s">
        <v>46</v>
      </c>
      <c r="AK427" s="84">
        <v>0</v>
      </c>
      <c r="BB427" s="525" t="s">
        <v>67</v>
      </c>
      <c r="BM427" s="78">
        <f t="shared" si="62"/>
        <v>0</v>
      </c>
      <c r="BN427" s="78">
        <f t="shared" si="63"/>
        <v>0</v>
      </c>
      <c r="BO427" s="78">
        <f t="shared" si="64"/>
        <v>0</v>
      </c>
      <c r="BP427" s="78">
        <f t="shared" si="65"/>
        <v>0</v>
      </c>
    </row>
    <row r="428" spans="1:68" x14ac:dyDescent="0.2">
      <c r="A428" s="633"/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4"/>
      <c r="P428" s="630" t="s">
        <v>40</v>
      </c>
      <c r="Q428" s="631"/>
      <c r="R428" s="631"/>
      <c r="S428" s="631"/>
      <c r="T428" s="631"/>
      <c r="U428" s="631"/>
      <c r="V428" s="632"/>
      <c r="W428" s="42" t="s">
        <v>39</v>
      </c>
      <c r="X428" s="43">
        <f>IFERROR(X420/H420,"0")+IFERROR(X421/H421,"0")+IFERROR(X422/H422,"0")+IFERROR(X423/H423,"0")+IFERROR(X424/H424,"0")+IFERROR(X425/H425,"0")+IFERROR(X426/H426,"0")+IFERROR(X427/H427,"0")</f>
        <v>333.33333333333337</v>
      </c>
      <c r="Y428" s="43">
        <f>IFERROR(Y420/H420,"0")+IFERROR(Y421/H421,"0")+IFERROR(Y422/H422,"0")+IFERROR(Y423/H423,"0")+IFERROR(Y424/H424,"0")+IFERROR(Y425/H425,"0")+IFERROR(Y426/H426,"0")+IFERROR(Y427/H427,"0")</f>
        <v>335</v>
      </c>
      <c r="Z428" s="43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7.286249999999999</v>
      </c>
      <c r="AA428" s="67"/>
      <c r="AB428" s="67"/>
      <c r="AC428" s="67"/>
    </row>
    <row r="429" spans="1:68" x14ac:dyDescent="0.2">
      <c r="A429" s="633"/>
      <c r="B429" s="633"/>
      <c r="C429" s="633"/>
      <c r="D429" s="633"/>
      <c r="E429" s="633"/>
      <c r="F429" s="633"/>
      <c r="G429" s="633"/>
      <c r="H429" s="633"/>
      <c r="I429" s="633"/>
      <c r="J429" s="633"/>
      <c r="K429" s="633"/>
      <c r="L429" s="633"/>
      <c r="M429" s="633"/>
      <c r="N429" s="633"/>
      <c r="O429" s="634"/>
      <c r="P429" s="630" t="s">
        <v>40</v>
      </c>
      <c r="Q429" s="631"/>
      <c r="R429" s="631"/>
      <c r="S429" s="631"/>
      <c r="T429" s="631"/>
      <c r="U429" s="631"/>
      <c r="V429" s="632"/>
      <c r="W429" s="42" t="s">
        <v>0</v>
      </c>
      <c r="X429" s="43">
        <f>IFERROR(SUM(X420:X427),"0")</f>
        <v>5000</v>
      </c>
      <c r="Y429" s="43">
        <f>IFERROR(SUM(Y420:Y427),"0")</f>
        <v>5025</v>
      </c>
      <c r="Z429" s="42"/>
      <c r="AA429" s="67"/>
      <c r="AB429" s="67"/>
      <c r="AC429" s="67"/>
    </row>
    <row r="430" spans="1:68" ht="14.25" hidden="1" customHeight="1" x14ac:dyDescent="0.25">
      <c r="A430" s="644" t="s">
        <v>154</v>
      </c>
      <c r="B430" s="644"/>
      <c r="C430" s="644"/>
      <c r="D430" s="644"/>
      <c r="E430" s="644"/>
      <c r="F430" s="644"/>
      <c r="G430" s="644"/>
      <c r="H430" s="644"/>
      <c r="I430" s="644"/>
      <c r="J430" s="644"/>
      <c r="K430" s="644"/>
      <c r="L430" s="644"/>
      <c r="M430" s="644"/>
      <c r="N430" s="644"/>
      <c r="O430" s="644"/>
      <c r="P430" s="644"/>
      <c r="Q430" s="644"/>
      <c r="R430" s="644"/>
      <c r="S430" s="644"/>
      <c r="T430" s="644"/>
      <c r="U430" s="644"/>
      <c r="V430" s="644"/>
      <c r="W430" s="644"/>
      <c r="X430" s="644"/>
      <c r="Y430" s="644"/>
      <c r="Z430" s="644"/>
      <c r="AA430" s="66"/>
      <c r="AB430" s="66"/>
      <c r="AC430" s="80"/>
    </row>
    <row r="431" spans="1:68" ht="27" hidden="1" customHeight="1" x14ac:dyDescent="0.25">
      <c r="A431" s="63" t="s">
        <v>710</v>
      </c>
      <c r="B431" s="63" t="s">
        <v>711</v>
      </c>
      <c r="C431" s="36">
        <v>4301020178</v>
      </c>
      <c r="D431" s="639">
        <v>4607091383980</v>
      </c>
      <c r="E431" s="639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124</v>
      </c>
      <c r="L431" s="37" t="s">
        <v>46</v>
      </c>
      <c r="M431" s="38" t="s">
        <v>123</v>
      </c>
      <c r="N431" s="38"/>
      <c r="O431" s="37">
        <v>50</v>
      </c>
      <c r="P431" s="6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41"/>
      <c r="R431" s="641"/>
      <c r="S431" s="641"/>
      <c r="T431" s="642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26" t="s">
        <v>712</v>
      </c>
      <c r="AG431" s="78"/>
      <c r="AJ431" s="84" t="s">
        <v>46</v>
      </c>
      <c r="AK431" s="84">
        <v>0</v>
      </c>
      <c r="BB431" s="527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713</v>
      </c>
      <c r="B432" s="63" t="s">
        <v>714</v>
      </c>
      <c r="C432" s="36">
        <v>4301020355</v>
      </c>
      <c r="D432" s="639">
        <v>4680115888425</v>
      </c>
      <c r="E432" s="639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124</v>
      </c>
      <c r="L432" s="37" t="s">
        <v>46</v>
      </c>
      <c r="M432" s="38" t="s">
        <v>123</v>
      </c>
      <c r="N432" s="38"/>
      <c r="O432" s="37">
        <v>50</v>
      </c>
      <c r="P432" s="69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41"/>
      <c r="R432" s="641"/>
      <c r="S432" s="641"/>
      <c r="T432" s="642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28" t="s">
        <v>715</v>
      </c>
      <c r="AG432" s="78"/>
      <c r="AJ432" s="84" t="s">
        <v>46</v>
      </c>
      <c r="AK432" s="84">
        <v>0</v>
      </c>
      <c r="BB432" s="529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t="27" hidden="1" customHeight="1" x14ac:dyDescent="0.25">
      <c r="A433" s="63" t="s">
        <v>716</v>
      </c>
      <c r="B433" s="63" t="s">
        <v>717</v>
      </c>
      <c r="C433" s="36">
        <v>4301020179</v>
      </c>
      <c r="D433" s="639">
        <v>4607091384178</v>
      </c>
      <c r="E433" s="639"/>
      <c r="F433" s="62">
        <v>0.4</v>
      </c>
      <c r="G433" s="37">
        <v>10</v>
      </c>
      <c r="H433" s="62">
        <v>4</v>
      </c>
      <c r="I433" s="62">
        <v>4.1900000000000004</v>
      </c>
      <c r="J433" s="37">
        <v>132</v>
      </c>
      <c r="K433" s="37" t="s">
        <v>131</v>
      </c>
      <c r="L433" s="37" t="s">
        <v>46</v>
      </c>
      <c r="M433" s="38" t="s">
        <v>123</v>
      </c>
      <c r="N433" s="38"/>
      <c r="O433" s="37">
        <v>50</v>
      </c>
      <c r="P433" s="69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41"/>
      <c r="R433" s="641"/>
      <c r="S433" s="641"/>
      <c r="T433" s="642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0" t="s">
        <v>718</v>
      </c>
      <c r="AG433" s="78"/>
      <c r="AJ433" s="84" t="s">
        <v>46</v>
      </c>
      <c r="AK433" s="84">
        <v>0</v>
      </c>
      <c r="BB433" s="531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idden="1" x14ac:dyDescent="0.2">
      <c r="A434" s="633"/>
      <c r="B434" s="633"/>
      <c r="C434" s="633"/>
      <c r="D434" s="633"/>
      <c r="E434" s="633"/>
      <c r="F434" s="633"/>
      <c r="G434" s="633"/>
      <c r="H434" s="633"/>
      <c r="I434" s="633"/>
      <c r="J434" s="633"/>
      <c r="K434" s="633"/>
      <c r="L434" s="633"/>
      <c r="M434" s="633"/>
      <c r="N434" s="633"/>
      <c r="O434" s="634"/>
      <c r="P434" s="630" t="s">
        <v>40</v>
      </c>
      <c r="Q434" s="631"/>
      <c r="R434" s="631"/>
      <c r="S434" s="631"/>
      <c r="T434" s="631"/>
      <c r="U434" s="631"/>
      <c r="V434" s="632"/>
      <c r="W434" s="42" t="s">
        <v>39</v>
      </c>
      <c r="X434" s="43">
        <f>IFERROR(X431/H431,"0")+IFERROR(X432/H432,"0")+IFERROR(X433/H433,"0")</f>
        <v>0</v>
      </c>
      <c r="Y434" s="43">
        <f>IFERROR(Y431/H431,"0")+IFERROR(Y432/H432,"0")+IFERROR(Y433/H433,"0")</f>
        <v>0</v>
      </c>
      <c r="Z434" s="43">
        <f>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633"/>
      <c r="B435" s="633"/>
      <c r="C435" s="633"/>
      <c r="D435" s="633"/>
      <c r="E435" s="633"/>
      <c r="F435" s="633"/>
      <c r="G435" s="633"/>
      <c r="H435" s="633"/>
      <c r="I435" s="633"/>
      <c r="J435" s="633"/>
      <c r="K435" s="633"/>
      <c r="L435" s="633"/>
      <c r="M435" s="633"/>
      <c r="N435" s="633"/>
      <c r="O435" s="634"/>
      <c r="P435" s="630" t="s">
        <v>40</v>
      </c>
      <c r="Q435" s="631"/>
      <c r="R435" s="631"/>
      <c r="S435" s="631"/>
      <c r="T435" s="631"/>
      <c r="U435" s="631"/>
      <c r="V435" s="632"/>
      <c r="W435" s="42" t="s">
        <v>0</v>
      </c>
      <c r="X435" s="43">
        <f>IFERROR(SUM(X431:X433),"0")</f>
        <v>0</v>
      </c>
      <c r="Y435" s="43">
        <f>IFERROR(SUM(Y431:Y433),"0")</f>
        <v>0</v>
      </c>
      <c r="Z435" s="42"/>
      <c r="AA435" s="67"/>
      <c r="AB435" s="67"/>
      <c r="AC435" s="67"/>
    </row>
    <row r="436" spans="1:68" ht="14.25" hidden="1" customHeight="1" x14ac:dyDescent="0.25">
      <c r="A436" s="644" t="s">
        <v>83</v>
      </c>
      <c r="B436" s="644"/>
      <c r="C436" s="644"/>
      <c r="D436" s="644"/>
      <c r="E436" s="644"/>
      <c r="F436" s="644"/>
      <c r="G436" s="644"/>
      <c r="H436" s="644"/>
      <c r="I436" s="644"/>
      <c r="J436" s="644"/>
      <c r="K436" s="644"/>
      <c r="L436" s="644"/>
      <c r="M436" s="644"/>
      <c r="N436" s="644"/>
      <c r="O436" s="644"/>
      <c r="P436" s="644"/>
      <c r="Q436" s="644"/>
      <c r="R436" s="644"/>
      <c r="S436" s="644"/>
      <c r="T436" s="644"/>
      <c r="U436" s="644"/>
      <c r="V436" s="644"/>
      <c r="W436" s="644"/>
      <c r="X436" s="644"/>
      <c r="Y436" s="644"/>
      <c r="Z436" s="644"/>
      <c r="AA436" s="66"/>
      <c r="AB436" s="66"/>
      <c r="AC436" s="80"/>
    </row>
    <row r="437" spans="1:68" ht="27" hidden="1" customHeight="1" x14ac:dyDescent="0.25">
      <c r="A437" s="63" t="s">
        <v>719</v>
      </c>
      <c r="B437" s="63" t="s">
        <v>720</v>
      </c>
      <c r="C437" s="36">
        <v>4301051903</v>
      </c>
      <c r="D437" s="639">
        <v>4607091383928</v>
      </c>
      <c r="E437" s="639"/>
      <c r="F437" s="62">
        <v>1.5</v>
      </c>
      <c r="G437" s="37">
        <v>6</v>
      </c>
      <c r="H437" s="62">
        <v>9</v>
      </c>
      <c r="I437" s="62">
        <v>9.5</v>
      </c>
      <c r="J437" s="37">
        <v>64</v>
      </c>
      <c r="K437" s="37" t="s">
        <v>124</v>
      </c>
      <c r="L437" s="37" t="s">
        <v>46</v>
      </c>
      <c r="M437" s="38" t="s">
        <v>87</v>
      </c>
      <c r="N437" s="38"/>
      <c r="O437" s="37">
        <v>40</v>
      </c>
      <c r="P437" s="68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41"/>
      <c r="R437" s="641"/>
      <c r="S437" s="641"/>
      <c r="T437" s="642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2" t="s">
        <v>721</v>
      </c>
      <c r="AG437" s="78"/>
      <c r="AJ437" s="84" t="s">
        <v>46</v>
      </c>
      <c r="AK437" s="84">
        <v>0</v>
      </c>
      <c r="BB437" s="533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722</v>
      </c>
      <c r="B438" s="63" t="s">
        <v>723</v>
      </c>
      <c r="C438" s="36">
        <v>4301051897</v>
      </c>
      <c r="D438" s="639">
        <v>4607091384260</v>
      </c>
      <c r="E438" s="639"/>
      <c r="F438" s="62">
        <v>1.5</v>
      </c>
      <c r="G438" s="37">
        <v>6</v>
      </c>
      <c r="H438" s="62">
        <v>9</v>
      </c>
      <c r="I438" s="62">
        <v>9.4939999999999998</v>
      </c>
      <c r="J438" s="37">
        <v>64</v>
      </c>
      <c r="K438" s="37" t="s">
        <v>124</v>
      </c>
      <c r="L438" s="37" t="s">
        <v>46</v>
      </c>
      <c r="M438" s="38" t="s">
        <v>87</v>
      </c>
      <c r="N438" s="38"/>
      <c r="O438" s="37">
        <v>40</v>
      </c>
      <c r="P438" s="69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41"/>
      <c r="R438" s="641"/>
      <c r="S438" s="641"/>
      <c r="T438" s="642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IFERROR(IF(Y438=0,"",ROUNDUP(Y438/H438,0)*0.01898),"")</f>
        <v/>
      </c>
      <c r="AA438" s="68" t="s">
        <v>46</v>
      </c>
      <c r="AB438" s="69" t="s">
        <v>46</v>
      </c>
      <c r="AC438" s="534" t="s">
        <v>724</v>
      </c>
      <c r="AG438" s="78"/>
      <c r="AJ438" s="84" t="s">
        <v>46</v>
      </c>
      <c r="AK438" s="84">
        <v>0</v>
      </c>
      <c r="BB438" s="535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725</v>
      </c>
      <c r="B439" s="63" t="s">
        <v>726</v>
      </c>
      <c r="C439" s="36">
        <v>4301052220</v>
      </c>
      <c r="D439" s="639">
        <v>4680115889538</v>
      </c>
      <c r="E439" s="639"/>
      <c r="F439" s="62">
        <v>0.8</v>
      </c>
      <c r="G439" s="37">
        <v>6</v>
      </c>
      <c r="H439" s="62">
        <v>4.8</v>
      </c>
      <c r="I439" s="62">
        <v>5.2160000000000002</v>
      </c>
      <c r="J439" s="37">
        <v>104</v>
      </c>
      <c r="K439" s="37" t="s">
        <v>124</v>
      </c>
      <c r="L439" s="37" t="s">
        <v>46</v>
      </c>
      <c r="M439" s="38" t="s">
        <v>87</v>
      </c>
      <c r="N439" s="38"/>
      <c r="O439" s="37">
        <v>45</v>
      </c>
      <c r="P439" s="69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41"/>
      <c r="R439" s="641"/>
      <c r="S439" s="641"/>
      <c r="T439" s="642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IFERROR(IF(Y439=0,"",ROUNDUP(Y439/H439,0)*0.01196),"")</f>
        <v/>
      </c>
      <c r="AA439" s="68" t="s">
        <v>46</v>
      </c>
      <c r="AB439" s="69" t="s">
        <v>46</v>
      </c>
      <c r="AC439" s="536" t="s">
        <v>727</v>
      </c>
      <c r="AG439" s="78"/>
      <c r="AJ439" s="84" t="s">
        <v>46</v>
      </c>
      <c r="AK439" s="84">
        <v>0</v>
      </c>
      <c r="BB439" s="537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33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0" t="s">
        <v>40</v>
      </c>
      <c r="Q440" s="631"/>
      <c r="R440" s="631"/>
      <c r="S440" s="631"/>
      <c r="T440" s="631"/>
      <c r="U440" s="631"/>
      <c r="V440" s="632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633"/>
      <c r="B441" s="633"/>
      <c r="C441" s="633"/>
      <c r="D441" s="633"/>
      <c r="E441" s="633"/>
      <c r="F441" s="633"/>
      <c r="G441" s="633"/>
      <c r="H441" s="633"/>
      <c r="I441" s="633"/>
      <c r="J441" s="633"/>
      <c r="K441" s="633"/>
      <c r="L441" s="633"/>
      <c r="M441" s="633"/>
      <c r="N441" s="633"/>
      <c r="O441" s="634"/>
      <c r="P441" s="630" t="s">
        <v>40</v>
      </c>
      <c r="Q441" s="631"/>
      <c r="R441" s="631"/>
      <c r="S441" s="631"/>
      <c r="T441" s="631"/>
      <c r="U441" s="631"/>
      <c r="V441" s="632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44" t="s">
        <v>172</v>
      </c>
      <c r="B442" s="644"/>
      <c r="C442" s="644"/>
      <c r="D442" s="644"/>
      <c r="E442" s="644"/>
      <c r="F442" s="644"/>
      <c r="G442" s="644"/>
      <c r="H442" s="644"/>
      <c r="I442" s="644"/>
      <c r="J442" s="644"/>
      <c r="K442" s="644"/>
      <c r="L442" s="644"/>
      <c r="M442" s="644"/>
      <c r="N442" s="644"/>
      <c r="O442" s="644"/>
      <c r="P442" s="644"/>
      <c r="Q442" s="644"/>
      <c r="R442" s="644"/>
      <c r="S442" s="644"/>
      <c r="T442" s="644"/>
      <c r="U442" s="644"/>
      <c r="V442" s="644"/>
      <c r="W442" s="644"/>
      <c r="X442" s="644"/>
      <c r="Y442" s="644"/>
      <c r="Z442" s="644"/>
      <c r="AA442" s="66"/>
      <c r="AB442" s="66"/>
      <c r="AC442" s="80"/>
    </row>
    <row r="443" spans="1:68" ht="27" hidden="1" customHeight="1" x14ac:dyDescent="0.25">
      <c r="A443" s="63" t="s">
        <v>728</v>
      </c>
      <c r="B443" s="63" t="s">
        <v>729</v>
      </c>
      <c r="C443" s="36">
        <v>4301060537</v>
      </c>
      <c r="D443" s="639">
        <v>4680115889545</v>
      </c>
      <c r="E443" s="639"/>
      <c r="F443" s="62">
        <v>0.7</v>
      </c>
      <c r="G443" s="37">
        <v>6</v>
      </c>
      <c r="H443" s="62">
        <v>4.2</v>
      </c>
      <c r="I443" s="62">
        <v>4.6159999999999997</v>
      </c>
      <c r="J443" s="37">
        <v>104</v>
      </c>
      <c r="K443" s="37" t="s">
        <v>124</v>
      </c>
      <c r="L443" s="37" t="s">
        <v>46</v>
      </c>
      <c r="M443" s="38" t="s">
        <v>87</v>
      </c>
      <c r="N443" s="38"/>
      <c r="O443" s="37">
        <v>30</v>
      </c>
      <c r="P443" s="68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41"/>
      <c r="R443" s="641"/>
      <c r="S443" s="641"/>
      <c r="T443" s="642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hidden="1" customHeight="1" x14ac:dyDescent="0.25">
      <c r="A444" s="63" t="s">
        <v>731</v>
      </c>
      <c r="B444" s="63" t="s">
        <v>732</v>
      </c>
      <c r="C444" s="36">
        <v>4301060524</v>
      </c>
      <c r="D444" s="639">
        <v>4607091384673</v>
      </c>
      <c r="E444" s="639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124</v>
      </c>
      <c r="L444" s="37" t="s">
        <v>46</v>
      </c>
      <c r="M444" s="38" t="s">
        <v>87</v>
      </c>
      <c r="N444" s="38"/>
      <c r="O444" s="37">
        <v>40</v>
      </c>
      <c r="P444" s="68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41"/>
      <c r="R444" s="641"/>
      <c r="S444" s="641"/>
      <c r="T444" s="642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0" t="s">
        <v>733</v>
      </c>
      <c r="AG444" s="78"/>
      <c r="AJ444" s="84" t="s">
        <v>46</v>
      </c>
      <c r="AK444" s="84">
        <v>0</v>
      </c>
      <c r="BB444" s="541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633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0" t="s">
        <v>40</v>
      </c>
      <c r="Q445" s="631"/>
      <c r="R445" s="631"/>
      <c r="S445" s="631"/>
      <c r="T445" s="631"/>
      <c r="U445" s="631"/>
      <c r="V445" s="632"/>
      <c r="W445" s="42" t="s">
        <v>39</v>
      </c>
      <c r="X445" s="43">
        <f>IFERROR(X443/H443,"0")+IFERROR(X444/H444,"0")</f>
        <v>0</v>
      </c>
      <c r="Y445" s="43">
        <f>IFERROR(Y443/H443,"0")+IFERROR(Y444/H444,"0")</f>
        <v>0</v>
      </c>
      <c r="Z445" s="43">
        <f>IFERROR(IF(Z443="",0,Z443),"0")+IFERROR(IF(Z444="",0,Z444),"0")</f>
        <v>0</v>
      </c>
      <c r="AA445" s="67"/>
      <c r="AB445" s="67"/>
      <c r="AC445" s="67"/>
    </row>
    <row r="446" spans="1:68" hidden="1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0" t="s">
        <v>40</v>
      </c>
      <c r="Q446" s="631"/>
      <c r="R446" s="631"/>
      <c r="S446" s="631"/>
      <c r="T446" s="631"/>
      <c r="U446" s="631"/>
      <c r="V446" s="632"/>
      <c r="W446" s="42" t="s">
        <v>0</v>
      </c>
      <c r="X446" s="43">
        <f>IFERROR(SUM(X443:X444),"0")</f>
        <v>0</v>
      </c>
      <c r="Y446" s="43">
        <f>IFERROR(SUM(Y443:Y444),"0")</f>
        <v>0</v>
      </c>
      <c r="Z446" s="42"/>
      <c r="AA446" s="67"/>
      <c r="AB446" s="67"/>
      <c r="AC446" s="67"/>
    </row>
    <row r="447" spans="1:68" ht="16.5" hidden="1" customHeight="1" x14ac:dyDescent="0.25">
      <c r="A447" s="643" t="s">
        <v>734</v>
      </c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43"/>
      <c r="P447" s="643"/>
      <c r="Q447" s="643"/>
      <c r="R447" s="643"/>
      <c r="S447" s="643"/>
      <c r="T447" s="643"/>
      <c r="U447" s="643"/>
      <c r="V447" s="643"/>
      <c r="W447" s="643"/>
      <c r="X447" s="643"/>
      <c r="Y447" s="643"/>
      <c r="Z447" s="643"/>
      <c r="AA447" s="65"/>
      <c r="AB447" s="65"/>
      <c r="AC447" s="79"/>
    </row>
    <row r="448" spans="1:68" ht="14.25" hidden="1" customHeight="1" x14ac:dyDescent="0.25">
      <c r="A448" s="644" t="s">
        <v>119</v>
      </c>
      <c r="B448" s="644"/>
      <c r="C448" s="644"/>
      <c r="D448" s="644"/>
      <c r="E448" s="644"/>
      <c r="F448" s="644"/>
      <c r="G448" s="644"/>
      <c r="H448" s="644"/>
      <c r="I448" s="644"/>
      <c r="J448" s="644"/>
      <c r="K448" s="644"/>
      <c r="L448" s="644"/>
      <c r="M448" s="644"/>
      <c r="N448" s="644"/>
      <c r="O448" s="644"/>
      <c r="P448" s="644"/>
      <c r="Q448" s="644"/>
      <c r="R448" s="644"/>
      <c r="S448" s="644"/>
      <c r="T448" s="644"/>
      <c r="U448" s="644"/>
      <c r="V448" s="644"/>
      <c r="W448" s="644"/>
      <c r="X448" s="644"/>
      <c r="Y448" s="644"/>
      <c r="Z448" s="644"/>
      <c r="AA448" s="66"/>
      <c r="AB448" s="66"/>
      <c r="AC448" s="80"/>
    </row>
    <row r="449" spans="1:68" ht="27" hidden="1" customHeight="1" x14ac:dyDescent="0.25">
      <c r="A449" s="63" t="s">
        <v>735</v>
      </c>
      <c r="B449" s="63" t="s">
        <v>736</v>
      </c>
      <c r="C449" s="36">
        <v>4301011875</v>
      </c>
      <c r="D449" s="639">
        <v>4680115884885</v>
      </c>
      <c r="E449" s="639"/>
      <c r="F449" s="62">
        <v>0.8</v>
      </c>
      <c r="G449" s="37">
        <v>15</v>
      </c>
      <c r="H449" s="62">
        <v>12</v>
      </c>
      <c r="I449" s="62">
        <v>12.41</v>
      </c>
      <c r="J449" s="37">
        <v>64</v>
      </c>
      <c r="K449" s="37" t="s">
        <v>124</v>
      </c>
      <c r="L449" s="37" t="s">
        <v>46</v>
      </c>
      <c r="M449" s="38" t="s">
        <v>81</v>
      </c>
      <c r="N449" s="38"/>
      <c r="O449" s="37">
        <v>60</v>
      </c>
      <c r="P449" s="68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41"/>
      <c r="R449" s="641"/>
      <c r="S449" s="641"/>
      <c r="T449" s="64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42" t="s">
        <v>737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37.5" hidden="1" customHeight="1" x14ac:dyDescent="0.25">
      <c r="A450" s="63" t="s">
        <v>738</v>
      </c>
      <c r="B450" s="63" t="s">
        <v>739</v>
      </c>
      <c r="C450" s="36">
        <v>4301011871</v>
      </c>
      <c r="D450" s="639">
        <v>4680115884908</v>
      </c>
      <c r="E450" s="639"/>
      <c r="F450" s="62">
        <v>0.4</v>
      </c>
      <c r="G450" s="37">
        <v>10</v>
      </c>
      <c r="H450" s="62">
        <v>4</v>
      </c>
      <c r="I450" s="62">
        <v>4.1900000000000004</v>
      </c>
      <c r="J450" s="37">
        <v>132</v>
      </c>
      <c r="K450" s="37" t="s">
        <v>131</v>
      </c>
      <c r="L450" s="37" t="s">
        <v>46</v>
      </c>
      <c r="M450" s="38" t="s">
        <v>81</v>
      </c>
      <c r="N450" s="38"/>
      <c r="O450" s="37">
        <v>60</v>
      </c>
      <c r="P450" s="68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41"/>
      <c r="R450" s="641"/>
      <c r="S450" s="641"/>
      <c r="T450" s="642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IFERROR(IF(Y450=0,"",ROUNDUP(Y450/H450,0)*0.00902),"")</f>
        <v/>
      </c>
      <c r="AA450" s="68" t="s">
        <v>46</v>
      </c>
      <c r="AB450" s="69" t="s">
        <v>46</v>
      </c>
      <c r="AC450" s="544" t="s">
        <v>737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33"/>
      <c r="B451" s="633"/>
      <c r="C451" s="633"/>
      <c r="D451" s="633"/>
      <c r="E451" s="633"/>
      <c r="F451" s="633"/>
      <c r="G451" s="633"/>
      <c r="H451" s="633"/>
      <c r="I451" s="633"/>
      <c r="J451" s="633"/>
      <c r="K451" s="633"/>
      <c r="L451" s="633"/>
      <c r="M451" s="633"/>
      <c r="N451" s="633"/>
      <c r="O451" s="634"/>
      <c r="P451" s="630" t="s">
        <v>40</v>
      </c>
      <c r="Q451" s="631"/>
      <c r="R451" s="631"/>
      <c r="S451" s="631"/>
      <c r="T451" s="631"/>
      <c r="U451" s="631"/>
      <c r="V451" s="632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0" t="s">
        <v>40</v>
      </c>
      <c r="Q452" s="631"/>
      <c r="R452" s="631"/>
      <c r="S452" s="631"/>
      <c r="T452" s="631"/>
      <c r="U452" s="631"/>
      <c r="V452" s="632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4.25" hidden="1" customHeight="1" x14ac:dyDescent="0.25">
      <c r="A453" s="644" t="s">
        <v>77</v>
      </c>
      <c r="B453" s="644"/>
      <c r="C453" s="644"/>
      <c r="D453" s="644"/>
      <c r="E453" s="644"/>
      <c r="F453" s="644"/>
      <c r="G453" s="644"/>
      <c r="H453" s="644"/>
      <c r="I453" s="644"/>
      <c r="J453" s="644"/>
      <c r="K453" s="644"/>
      <c r="L453" s="644"/>
      <c r="M453" s="644"/>
      <c r="N453" s="644"/>
      <c r="O453" s="644"/>
      <c r="P453" s="644"/>
      <c r="Q453" s="644"/>
      <c r="R453" s="644"/>
      <c r="S453" s="644"/>
      <c r="T453" s="644"/>
      <c r="U453" s="644"/>
      <c r="V453" s="644"/>
      <c r="W453" s="644"/>
      <c r="X453" s="644"/>
      <c r="Y453" s="644"/>
      <c r="Z453" s="644"/>
      <c r="AA453" s="66"/>
      <c r="AB453" s="66"/>
      <c r="AC453" s="80"/>
    </row>
    <row r="454" spans="1:68" ht="27" hidden="1" customHeight="1" x14ac:dyDescent="0.25">
      <c r="A454" s="63" t="s">
        <v>740</v>
      </c>
      <c r="B454" s="63" t="s">
        <v>741</v>
      </c>
      <c r="C454" s="36">
        <v>4301031457</v>
      </c>
      <c r="D454" s="639">
        <v>4607091384802</v>
      </c>
      <c r="E454" s="639"/>
      <c r="F454" s="62">
        <v>0.7</v>
      </c>
      <c r="G454" s="37">
        <v>6</v>
      </c>
      <c r="H454" s="62">
        <v>4.2</v>
      </c>
      <c r="I454" s="62">
        <v>4.45</v>
      </c>
      <c r="J454" s="37">
        <v>132</v>
      </c>
      <c r="K454" s="37" t="s">
        <v>131</v>
      </c>
      <c r="L454" s="37" t="s">
        <v>46</v>
      </c>
      <c r="M454" s="38" t="s">
        <v>81</v>
      </c>
      <c r="N454" s="38"/>
      <c r="O454" s="37">
        <v>50</v>
      </c>
      <c r="P454" s="68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41"/>
      <c r="R454" s="641"/>
      <c r="S454" s="641"/>
      <c r="T454" s="642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IFERROR(IF(Y454=0,"",ROUNDUP(Y454/H454,0)*0.00902),"")</f>
        <v/>
      </c>
      <c r="AA454" s="68" t="s">
        <v>46</v>
      </c>
      <c r="AB454" s="69" t="s">
        <v>46</v>
      </c>
      <c r="AC454" s="546" t="s">
        <v>742</v>
      </c>
      <c r="AG454" s="78"/>
      <c r="AJ454" s="84" t="s">
        <v>46</v>
      </c>
      <c r="AK454" s="84">
        <v>0</v>
      </c>
      <c r="BB454" s="54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idden="1" x14ac:dyDescent="0.2">
      <c r="A455" s="633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0" t="s">
        <v>40</v>
      </c>
      <c r="Q455" s="631"/>
      <c r="R455" s="631"/>
      <c r="S455" s="631"/>
      <c r="T455" s="631"/>
      <c r="U455" s="631"/>
      <c r="V455" s="632"/>
      <c r="W455" s="42" t="s">
        <v>39</v>
      </c>
      <c r="X455" s="43">
        <f>IFERROR(X454/H454,"0")</f>
        <v>0</v>
      </c>
      <c r="Y455" s="43">
        <f>IFERROR(Y454/H454,"0")</f>
        <v>0</v>
      </c>
      <c r="Z455" s="43">
        <f>IFERROR(IF(Z454="",0,Z454),"0")</f>
        <v>0</v>
      </c>
      <c r="AA455" s="67"/>
      <c r="AB455" s="67"/>
      <c r="AC455" s="67"/>
    </row>
    <row r="456" spans="1:68" hidden="1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0" t="s">
        <v>40</v>
      </c>
      <c r="Q456" s="631"/>
      <c r="R456" s="631"/>
      <c r="S456" s="631"/>
      <c r="T456" s="631"/>
      <c r="U456" s="631"/>
      <c r="V456" s="632"/>
      <c r="W456" s="42" t="s">
        <v>0</v>
      </c>
      <c r="X456" s="43">
        <f>IFERROR(SUM(X454:X454),"0")</f>
        <v>0</v>
      </c>
      <c r="Y456" s="43">
        <f>IFERROR(SUM(Y454:Y454),"0")</f>
        <v>0</v>
      </c>
      <c r="Z456" s="42"/>
      <c r="AA456" s="67"/>
      <c r="AB456" s="67"/>
      <c r="AC456" s="67"/>
    </row>
    <row r="457" spans="1:68" ht="14.25" hidden="1" customHeight="1" x14ac:dyDescent="0.25">
      <c r="A457" s="644" t="s">
        <v>83</v>
      </c>
      <c r="B457" s="644"/>
      <c r="C457" s="644"/>
      <c r="D457" s="644"/>
      <c r="E457" s="644"/>
      <c r="F457" s="644"/>
      <c r="G457" s="644"/>
      <c r="H457" s="644"/>
      <c r="I457" s="644"/>
      <c r="J457" s="644"/>
      <c r="K457" s="644"/>
      <c r="L457" s="644"/>
      <c r="M457" s="644"/>
      <c r="N457" s="644"/>
      <c r="O457" s="644"/>
      <c r="P457" s="644"/>
      <c r="Q457" s="644"/>
      <c r="R457" s="644"/>
      <c r="S457" s="644"/>
      <c r="T457" s="644"/>
      <c r="U457" s="644"/>
      <c r="V457" s="644"/>
      <c r="W457" s="644"/>
      <c r="X457" s="644"/>
      <c r="Y457" s="644"/>
      <c r="Z457" s="644"/>
      <c r="AA457" s="66"/>
      <c r="AB457" s="66"/>
      <c r="AC457" s="80"/>
    </row>
    <row r="458" spans="1:68" ht="27" hidden="1" customHeight="1" x14ac:dyDescent="0.25">
      <c r="A458" s="63" t="s">
        <v>743</v>
      </c>
      <c r="B458" s="63" t="s">
        <v>744</v>
      </c>
      <c r="C458" s="36">
        <v>4301051899</v>
      </c>
      <c r="D458" s="639">
        <v>4607091384246</v>
      </c>
      <c r="E458" s="639"/>
      <c r="F458" s="62">
        <v>1.5</v>
      </c>
      <c r="G458" s="37">
        <v>6</v>
      </c>
      <c r="H458" s="62">
        <v>9</v>
      </c>
      <c r="I458" s="62">
        <v>9.4939999999999998</v>
      </c>
      <c r="J458" s="37">
        <v>64</v>
      </c>
      <c r="K458" s="37" t="s">
        <v>124</v>
      </c>
      <c r="L458" s="37" t="s">
        <v>46</v>
      </c>
      <c r="M458" s="38" t="s">
        <v>87</v>
      </c>
      <c r="N458" s="38"/>
      <c r="O458" s="37">
        <v>40</v>
      </c>
      <c r="P458" s="68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41"/>
      <c r="R458" s="641"/>
      <c r="S458" s="641"/>
      <c r="T458" s="642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48" t="s">
        <v>745</v>
      </c>
      <c r="AG458" s="78"/>
      <c r="AJ458" s="84" t="s">
        <v>46</v>
      </c>
      <c r="AK458" s="84">
        <v>0</v>
      </c>
      <c r="BB458" s="549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hidden="1" customHeight="1" x14ac:dyDescent="0.25">
      <c r="A459" s="63" t="s">
        <v>746</v>
      </c>
      <c r="B459" s="63" t="s">
        <v>747</v>
      </c>
      <c r="C459" s="36">
        <v>4301051660</v>
      </c>
      <c r="D459" s="639">
        <v>4607091384253</v>
      </c>
      <c r="E459" s="639"/>
      <c r="F459" s="62">
        <v>0.4</v>
      </c>
      <c r="G459" s="37">
        <v>6</v>
      </c>
      <c r="H459" s="62">
        <v>2.4</v>
      </c>
      <c r="I459" s="62">
        <v>2.6640000000000001</v>
      </c>
      <c r="J459" s="37">
        <v>182</v>
      </c>
      <c r="K459" s="37" t="s">
        <v>88</v>
      </c>
      <c r="L459" s="37" t="s">
        <v>46</v>
      </c>
      <c r="M459" s="38" t="s">
        <v>87</v>
      </c>
      <c r="N459" s="38"/>
      <c r="O459" s="37">
        <v>40</v>
      </c>
      <c r="P459" s="68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41"/>
      <c r="R459" s="641"/>
      <c r="S459" s="641"/>
      <c r="T459" s="642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46</v>
      </c>
      <c r="AB459" s="69" t="s">
        <v>46</v>
      </c>
      <c r="AC459" s="550" t="s">
        <v>745</v>
      </c>
      <c r="AG459" s="78"/>
      <c r="AJ459" s="84" t="s">
        <v>46</v>
      </c>
      <c r="AK459" s="84">
        <v>0</v>
      </c>
      <c r="BB459" s="55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hidden="1" customHeight="1" x14ac:dyDescent="0.25">
      <c r="A460" s="63" t="s">
        <v>746</v>
      </c>
      <c r="B460" s="63" t="s">
        <v>748</v>
      </c>
      <c r="C460" s="36">
        <v>4301052069</v>
      </c>
      <c r="D460" s="639">
        <v>4607091384253</v>
      </c>
      <c r="E460" s="639"/>
      <c r="F460" s="62">
        <v>0.4</v>
      </c>
      <c r="G460" s="37">
        <v>6</v>
      </c>
      <c r="H460" s="62">
        <v>2.4</v>
      </c>
      <c r="I460" s="62">
        <v>2.6640000000000001</v>
      </c>
      <c r="J460" s="37">
        <v>182</v>
      </c>
      <c r="K460" s="37" t="s">
        <v>88</v>
      </c>
      <c r="L460" s="37" t="s">
        <v>46</v>
      </c>
      <c r="M460" s="38" t="s">
        <v>87</v>
      </c>
      <c r="N460" s="38"/>
      <c r="O460" s="37">
        <v>40</v>
      </c>
      <c r="P460" s="68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41"/>
      <c r="R460" s="641"/>
      <c r="S460" s="641"/>
      <c r="T460" s="64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IFERROR(IF(Y460=0,"",ROUNDUP(Y460/H460,0)*0.00651),"")</f>
        <v/>
      </c>
      <c r="AA460" s="68" t="s">
        <v>46</v>
      </c>
      <c r="AB460" s="69" t="s">
        <v>46</v>
      </c>
      <c r="AC460" s="552" t="s">
        <v>749</v>
      </c>
      <c r="AG460" s="78"/>
      <c r="AJ460" s="84" t="s">
        <v>46</v>
      </c>
      <c r="AK460" s="84">
        <v>0</v>
      </c>
      <c r="BB460" s="55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33"/>
      <c r="B461" s="633"/>
      <c r="C461" s="633"/>
      <c r="D461" s="633"/>
      <c r="E461" s="633"/>
      <c r="F461" s="633"/>
      <c r="G461" s="633"/>
      <c r="H461" s="633"/>
      <c r="I461" s="633"/>
      <c r="J461" s="633"/>
      <c r="K461" s="633"/>
      <c r="L461" s="633"/>
      <c r="M461" s="633"/>
      <c r="N461" s="633"/>
      <c r="O461" s="634"/>
      <c r="P461" s="630" t="s">
        <v>40</v>
      </c>
      <c r="Q461" s="631"/>
      <c r="R461" s="631"/>
      <c r="S461" s="631"/>
      <c r="T461" s="631"/>
      <c r="U461" s="631"/>
      <c r="V461" s="632"/>
      <c r="W461" s="42" t="s">
        <v>39</v>
      </c>
      <c r="X461" s="43">
        <f>IFERROR(X458/H458,"0")+IFERROR(X459/H459,"0")+IFERROR(X460/H460,"0")</f>
        <v>0</v>
      </c>
      <c r="Y461" s="43">
        <f>IFERROR(Y458/H458,"0")+IFERROR(Y459/H459,"0")+IFERROR(Y460/H460,"0")</f>
        <v>0</v>
      </c>
      <c r="Z461" s="43">
        <f>IFERROR(IF(Z458="",0,Z458),"0")+IFERROR(IF(Z459="",0,Z459),"0")+IFERROR(IF(Z460="",0,Z460),"0")</f>
        <v>0</v>
      </c>
      <c r="AA461" s="67"/>
      <c r="AB461" s="67"/>
      <c r="AC461" s="67"/>
    </row>
    <row r="462" spans="1:68" hidden="1" x14ac:dyDescent="0.2">
      <c r="A462" s="633"/>
      <c r="B462" s="633"/>
      <c r="C462" s="633"/>
      <c r="D462" s="633"/>
      <c r="E462" s="633"/>
      <c r="F462" s="633"/>
      <c r="G462" s="633"/>
      <c r="H462" s="633"/>
      <c r="I462" s="633"/>
      <c r="J462" s="633"/>
      <c r="K462" s="633"/>
      <c r="L462" s="633"/>
      <c r="M462" s="633"/>
      <c r="N462" s="633"/>
      <c r="O462" s="634"/>
      <c r="P462" s="630" t="s">
        <v>40</v>
      </c>
      <c r="Q462" s="631"/>
      <c r="R462" s="631"/>
      <c r="S462" s="631"/>
      <c r="T462" s="631"/>
      <c r="U462" s="631"/>
      <c r="V462" s="632"/>
      <c r="W462" s="42" t="s">
        <v>0</v>
      </c>
      <c r="X462" s="43">
        <f>IFERROR(SUM(X458:X460),"0")</f>
        <v>0</v>
      </c>
      <c r="Y462" s="43">
        <f>IFERROR(SUM(Y458:Y460),"0")</f>
        <v>0</v>
      </c>
      <c r="Z462" s="42"/>
      <c r="AA462" s="67"/>
      <c r="AB462" s="67"/>
      <c r="AC462" s="67"/>
    </row>
    <row r="463" spans="1:68" ht="27.75" hidden="1" customHeight="1" x14ac:dyDescent="0.2">
      <c r="A463" s="650" t="s">
        <v>750</v>
      </c>
      <c r="B463" s="650"/>
      <c r="C463" s="650"/>
      <c r="D463" s="650"/>
      <c r="E463" s="650"/>
      <c r="F463" s="650"/>
      <c r="G463" s="650"/>
      <c r="H463" s="650"/>
      <c r="I463" s="650"/>
      <c r="J463" s="650"/>
      <c r="K463" s="650"/>
      <c r="L463" s="650"/>
      <c r="M463" s="650"/>
      <c r="N463" s="650"/>
      <c r="O463" s="650"/>
      <c r="P463" s="650"/>
      <c r="Q463" s="650"/>
      <c r="R463" s="650"/>
      <c r="S463" s="650"/>
      <c r="T463" s="650"/>
      <c r="U463" s="650"/>
      <c r="V463" s="650"/>
      <c r="W463" s="650"/>
      <c r="X463" s="650"/>
      <c r="Y463" s="650"/>
      <c r="Z463" s="650"/>
      <c r="AA463" s="54"/>
      <c r="AB463" s="54"/>
      <c r="AC463" s="54"/>
    </row>
    <row r="464" spans="1:68" ht="16.5" hidden="1" customHeight="1" x14ac:dyDescent="0.25">
      <c r="A464" s="643" t="s">
        <v>751</v>
      </c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43"/>
      <c r="P464" s="643"/>
      <c r="Q464" s="643"/>
      <c r="R464" s="643"/>
      <c r="S464" s="643"/>
      <c r="T464" s="643"/>
      <c r="U464" s="643"/>
      <c r="V464" s="643"/>
      <c r="W464" s="643"/>
      <c r="X464" s="643"/>
      <c r="Y464" s="643"/>
      <c r="Z464" s="643"/>
      <c r="AA464" s="65"/>
      <c r="AB464" s="65"/>
      <c r="AC464" s="79"/>
    </row>
    <row r="465" spans="1:68" ht="14.25" hidden="1" customHeight="1" x14ac:dyDescent="0.25">
      <c r="A465" s="644" t="s">
        <v>77</v>
      </c>
      <c r="B465" s="644"/>
      <c r="C465" s="644"/>
      <c r="D465" s="644"/>
      <c r="E465" s="644"/>
      <c r="F465" s="644"/>
      <c r="G465" s="644"/>
      <c r="H465" s="644"/>
      <c r="I465" s="644"/>
      <c r="J465" s="644"/>
      <c r="K465" s="644"/>
      <c r="L465" s="644"/>
      <c r="M465" s="644"/>
      <c r="N465" s="644"/>
      <c r="O465" s="644"/>
      <c r="P465" s="644"/>
      <c r="Q465" s="644"/>
      <c r="R465" s="644"/>
      <c r="S465" s="644"/>
      <c r="T465" s="644"/>
      <c r="U465" s="644"/>
      <c r="V465" s="644"/>
      <c r="W465" s="644"/>
      <c r="X465" s="644"/>
      <c r="Y465" s="644"/>
      <c r="Z465" s="644"/>
      <c r="AA465" s="66"/>
      <c r="AB465" s="66"/>
      <c r="AC465" s="80"/>
    </row>
    <row r="466" spans="1:68" ht="27" hidden="1" customHeight="1" x14ac:dyDescent="0.25">
      <c r="A466" s="63" t="s">
        <v>752</v>
      </c>
      <c r="B466" s="63" t="s">
        <v>753</v>
      </c>
      <c r="C466" s="36">
        <v>4301031405</v>
      </c>
      <c r="D466" s="639">
        <v>4680115886100</v>
      </c>
      <c r="E466" s="639"/>
      <c r="F466" s="62">
        <v>0.9</v>
      </c>
      <c r="G466" s="37">
        <v>6</v>
      </c>
      <c r="H466" s="62">
        <v>5.4</v>
      </c>
      <c r="I466" s="62">
        <v>5.59</v>
      </c>
      <c r="J466" s="37">
        <v>132</v>
      </c>
      <c r="K466" s="37" t="s">
        <v>131</v>
      </c>
      <c r="L466" s="37" t="s">
        <v>46</v>
      </c>
      <c r="M466" s="38" t="s">
        <v>81</v>
      </c>
      <c r="N466" s="38"/>
      <c r="O466" s="37">
        <v>50</v>
      </c>
      <c r="P466" s="6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41"/>
      <c r="R466" s="641"/>
      <c r="S466" s="641"/>
      <c r="T466" s="642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ref="Y466:Y471" si="66"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54" t="s">
        <v>754</v>
      </c>
      <c r="AG466" s="78"/>
      <c r="AJ466" s="84" t="s">
        <v>46</v>
      </c>
      <c r="AK466" s="84">
        <v>0</v>
      </c>
      <c r="BB466" s="555" t="s">
        <v>67</v>
      </c>
      <c r="BM466" s="78">
        <f t="shared" ref="BM466:BM471" si="67">IFERROR(X466*I466/H466,"0")</f>
        <v>0</v>
      </c>
      <c r="BN466" s="78">
        <f t="shared" ref="BN466:BN471" si="68">IFERROR(Y466*I466/H466,"0")</f>
        <v>0</v>
      </c>
      <c r="BO466" s="78">
        <f t="shared" ref="BO466:BO471" si="69">IFERROR(1/J466*(X466/H466),"0")</f>
        <v>0</v>
      </c>
      <c r="BP466" s="78">
        <f t="shared" ref="BP466:BP471" si="70">IFERROR(1/J466*(Y466/H466),"0")</f>
        <v>0</v>
      </c>
    </row>
    <row r="467" spans="1:68" ht="27" customHeight="1" x14ac:dyDescent="0.25">
      <c r="A467" s="63" t="s">
        <v>755</v>
      </c>
      <c r="B467" s="63" t="s">
        <v>756</v>
      </c>
      <c r="C467" s="36">
        <v>4301031402</v>
      </c>
      <c r="D467" s="639">
        <v>4680115886124</v>
      </c>
      <c r="E467" s="639"/>
      <c r="F467" s="62">
        <v>0.9</v>
      </c>
      <c r="G467" s="37">
        <v>6</v>
      </c>
      <c r="H467" s="62">
        <v>5.4</v>
      </c>
      <c r="I467" s="62">
        <v>5.59</v>
      </c>
      <c r="J467" s="37">
        <v>132</v>
      </c>
      <c r="K467" s="37" t="s">
        <v>131</v>
      </c>
      <c r="L467" s="37" t="s">
        <v>46</v>
      </c>
      <c r="M467" s="38" t="s">
        <v>81</v>
      </c>
      <c r="N467" s="38"/>
      <c r="O467" s="37">
        <v>50</v>
      </c>
      <c r="P467" s="67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41"/>
      <c r="R467" s="641"/>
      <c r="S467" s="641"/>
      <c r="T467" s="642"/>
      <c r="U467" s="39" t="s">
        <v>46</v>
      </c>
      <c r="V467" s="39" t="s">
        <v>46</v>
      </c>
      <c r="W467" s="40" t="s">
        <v>0</v>
      </c>
      <c r="X467" s="58">
        <v>40</v>
      </c>
      <c r="Y467" s="55">
        <f t="shared" si="66"/>
        <v>43.2</v>
      </c>
      <c r="Z467" s="41">
        <f>IFERROR(IF(Y467=0,"",ROUNDUP(Y467/H467,0)*0.00902),"")</f>
        <v>7.2160000000000002E-2</v>
      </c>
      <c r="AA467" s="68" t="s">
        <v>46</v>
      </c>
      <c r="AB467" s="69" t="s">
        <v>46</v>
      </c>
      <c r="AC467" s="556" t="s">
        <v>757</v>
      </c>
      <c r="AG467" s="78"/>
      <c r="AJ467" s="84" t="s">
        <v>46</v>
      </c>
      <c r="AK467" s="84">
        <v>0</v>
      </c>
      <c r="BB467" s="557" t="s">
        <v>67</v>
      </c>
      <c r="BM467" s="78">
        <f t="shared" si="67"/>
        <v>41.407407407407405</v>
      </c>
      <c r="BN467" s="78">
        <f t="shared" si="68"/>
        <v>44.72</v>
      </c>
      <c r="BO467" s="78">
        <f t="shared" si="69"/>
        <v>5.6116722783389444E-2</v>
      </c>
      <c r="BP467" s="78">
        <f t="shared" si="70"/>
        <v>6.0606060606060608E-2</v>
      </c>
    </row>
    <row r="468" spans="1:68" ht="27" hidden="1" customHeight="1" x14ac:dyDescent="0.25">
      <c r="A468" s="63" t="s">
        <v>758</v>
      </c>
      <c r="B468" s="63" t="s">
        <v>759</v>
      </c>
      <c r="C468" s="36">
        <v>4301031362</v>
      </c>
      <c r="D468" s="639">
        <v>4607091384338</v>
      </c>
      <c r="E468" s="639"/>
      <c r="F468" s="62">
        <v>0.35</v>
      </c>
      <c r="G468" s="37">
        <v>6</v>
      </c>
      <c r="H468" s="62">
        <v>2.1</v>
      </c>
      <c r="I468" s="62">
        <v>2.23</v>
      </c>
      <c r="J468" s="37">
        <v>234</v>
      </c>
      <c r="K468" s="37" t="s">
        <v>82</v>
      </c>
      <c r="L468" s="37" t="s">
        <v>46</v>
      </c>
      <c r="M468" s="38" t="s">
        <v>81</v>
      </c>
      <c r="N468" s="38"/>
      <c r="O468" s="37">
        <v>50</v>
      </c>
      <c r="P468" s="6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41"/>
      <c r="R468" s="641"/>
      <c r="S468" s="641"/>
      <c r="T468" s="642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si="66"/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8" t="s">
        <v>754</v>
      </c>
      <c r="AG468" s="78"/>
      <c r="AJ468" s="84" t="s">
        <v>46</v>
      </c>
      <c r="AK468" s="84">
        <v>0</v>
      </c>
      <c r="BB468" s="559" t="s">
        <v>67</v>
      </c>
      <c r="BM468" s="78">
        <f t="shared" si="67"/>
        <v>0</v>
      </c>
      <c r="BN468" s="78">
        <f t="shared" si="68"/>
        <v>0</v>
      </c>
      <c r="BO468" s="78">
        <f t="shared" si="69"/>
        <v>0</v>
      </c>
      <c r="BP468" s="78">
        <f t="shared" si="70"/>
        <v>0</v>
      </c>
    </row>
    <row r="469" spans="1:68" ht="27" hidden="1" customHeight="1" x14ac:dyDescent="0.25">
      <c r="A469" s="63" t="s">
        <v>760</v>
      </c>
      <c r="B469" s="63" t="s">
        <v>761</v>
      </c>
      <c r="C469" s="36">
        <v>4301031364</v>
      </c>
      <c r="D469" s="639">
        <v>4680115883161</v>
      </c>
      <c r="E469" s="639"/>
      <c r="F469" s="62">
        <v>0.28000000000000003</v>
      </c>
      <c r="G469" s="37">
        <v>6</v>
      </c>
      <c r="H469" s="62">
        <v>1.68</v>
      </c>
      <c r="I469" s="62">
        <v>1.81</v>
      </c>
      <c r="J469" s="37">
        <v>234</v>
      </c>
      <c r="K469" s="37" t="s">
        <v>82</v>
      </c>
      <c r="L469" s="37" t="s">
        <v>46</v>
      </c>
      <c r="M469" s="38" t="s">
        <v>81</v>
      </c>
      <c r="N469" s="38"/>
      <c r="O469" s="37">
        <v>50</v>
      </c>
      <c r="P469" s="68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41"/>
      <c r="R469" s="641"/>
      <c r="S469" s="641"/>
      <c r="T469" s="64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6"/>
        <v>0</v>
      </c>
      <c r="Z469" s="41" t="str">
        <f>IFERROR(IF(Y469=0,"",ROUNDUP(Y469/H469,0)*0.00502),"")</f>
        <v/>
      </c>
      <c r="AA469" s="68" t="s">
        <v>46</v>
      </c>
      <c r="AB469" s="69" t="s">
        <v>46</v>
      </c>
      <c r="AC469" s="560" t="s">
        <v>762</v>
      </c>
      <c r="AG469" s="78"/>
      <c r="AJ469" s="84" t="s">
        <v>46</v>
      </c>
      <c r="AK469" s="84">
        <v>0</v>
      </c>
      <c r="BB469" s="561" t="s">
        <v>67</v>
      </c>
      <c r="BM469" s="78">
        <f t="shared" si="67"/>
        <v>0</v>
      </c>
      <c r="BN469" s="78">
        <f t="shared" si="68"/>
        <v>0</v>
      </c>
      <c r="BO469" s="78">
        <f t="shared" si="69"/>
        <v>0</v>
      </c>
      <c r="BP469" s="78">
        <f t="shared" si="70"/>
        <v>0</v>
      </c>
    </row>
    <row r="470" spans="1:68" ht="27" hidden="1" customHeight="1" x14ac:dyDescent="0.25">
      <c r="A470" s="63" t="s">
        <v>763</v>
      </c>
      <c r="B470" s="63" t="s">
        <v>764</v>
      </c>
      <c r="C470" s="36">
        <v>4301031358</v>
      </c>
      <c r="D470" s="639">
        <v>4607091389531</v>
      </c>
      <c r="E470" s="639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82</v>
      </c>
      <c r="L470" s="37" t="s">
        <v>46</v>
      </c>
      <c r="M470" s="38" t="s">
        <v>81</v>
      </c>
      <c r="N470" s="38"/>
      <c r="O470" s="37">
        <v>50</v>
      </c>
      <c r="P470" s="6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41"/>
      <c r="R470" s="641"/>
      <c r="S470" s="641"/>
      <c r="T470" s="64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66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2" t="s">
        <v>765</v>
      </c>
      <c r="AG470" s="78"/>
      <c r="AJ470" s="84" t="s">
        <v>46</v>
      </c>
      <c r="AK470" s="84">
        <v>0</v>
      </c>
      <c r="BB470" s="563" t="s">
        <v>67</v>
      </c>
      <c r="BM470" s="78">
        <f t="shared" si="67"/>
        <v>0</v>
      </c>
      <c r="BN470" s="78">
        <f t="shared" si="68"/>
        <v>0</v>
      </c>
      <c r="BO470" s="78">
        <f t="shared" si="69"/>
        <v>0</v>
      </c>
      <c r="BP470" s="78">
        <f t="shared" si="70"/>
        <v>0</v>
      </c>
    </row>
    <row r="471" spans="1:68" ht="37.5" hidden="1" customHeight="1" x14ac:dyDescent="0.25">
      <c r="A471" s="63" t="s">
        <v>766</v>
      </c>
      <c r="B471" s="63" t="s">
        <v>767</v>
      </c>
      <c r="C471" s="36">
        <v>4301031360</v>
      </c>
      <c r="D471" s="639">
        <v>4607091384345</v>
      </c>
      <c r="E471" s="63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7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41"/>
      <c r="R471" s="641"/>
      <c r="S471" s="641"/>
      <c r="T471" s="64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66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4" t="s">
        <v>762</v>
      </c>
      <c r="AG471" s="78"/>
      <c r="AJ471" s="84" t="s">
        <v>46</v>
      </c>
      <c r="AK471" s="84">
        <v>0</v>
      </c>
      <c r="BB471" s="565" t="s">
        <v>67</v>
      </c>
      <c r="BM471" s="78">
        <f t="shared" si="67"/>
        <v>0</v>
      </c>
      <c r="BN471" s="78">
        <f t="shared" si="68"/>
        <v>0</v>
      </c>
      <c r="BO471" s="78">
        <f t="shared" si="69"/>
        <v>0</v>
      </c>
      <c r="BP471" s="78">
        <f t="shared" si="70"/>
        <v>0</v>
      </c>
    </row>
    <row r="472" spans="1:68" x14ac:dyDescent="0.2">
      <c r="A472" s="633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0" t="s">
        <v>40</v>
      </c>
      <c r="Q472" s="631"/>
      <c r="R472" s="631"/>
      <c r="S472" s="631"/>
      <c r="T472" s="631"/>
      <c r="U472" s="631"/>
      <c r="V472" s="632"/>
      <c r="W472" s="42" t="s">
        <v>39</v>
      </c>
      <c r="X472" s="43">
        <f>IFERROR(X466/H466,"0")+IFERROR(X467/H467,"0")+IFERROR(X468/H468,"0")+IFERROR(X469/H469,"0")+IFERROR(X470/H470,"0")+IFERROR(X471/H471,"0")</f>
        <v>7.4074074074074066</v>
      </c>
      <c r="Y472" s="43">
        <f>IFERROR(Y466/H466,"0")+IFERROR(Y467/H467,"0")+IFERROR(Y468/H468,"0")+IFERROR(Y469/H469,"0")+IFERROR(Y470/H470,"0")+IFERROR(Y471/H471,"0")</f>
        <v>8</v>
      </c>
      <c r="Z472" s="43">
        <f>IFERROR(IF(Z466="",0,Z466),"0")+IFERROR(IF(Z467="",0,Z467),"0")+IFERROR(IF(Z468="",0,Z468),"0")+IFERROR(IF(Z469="",0,Z469),"0")+IFERROR(IF(Z470="",0,Z470),"0")+IFERROR(IF(Z471="",0,Z471),"0")</f>
        <v>7.2160000000000002E-2</v>
      </c>
      <c r="AA472" s="67"/>
      <c r="AB472" s="67"/>
      <c r="AC472" s="67"/>
    </row>
    <row r="473" spans="1:68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0" t="s">
        <v>40</v>
      </c>
      <c r="Q473" s="631"/>
      <c r="R473" s="631"/>
      <c r="S473" s="631"/>
      <c r="T473" s="631"/>
      <c r="U473" s="631"/>
      <c r="V473" s="632"/>
      <c r="W473" s="42" t="s">
        <v>0</v>
      </c>
      <c r="X473" s="43">
        <f>IFERROR(SUM(X466:X471),"0")</f>
        <v>40</v>
      </c>
      <c r="Y473" s="43">
        <f>IFERROR(SUM(Y466:Y471),"0")</f>
        <v>43.2</v>
      </c>
      <c r="Z473" s="42"/>
      <c r="AA473" s="67"/>
      <c r="AB473" s="67"/>
      <c r="AC473" s="67"/>
    </row>
    <row r="474" spans="1:68" ht="14.25" hidden="1" customHeight="1" x14ac:dyDescent="0.25">
      <c r="A474" s="644" t="s">
        <v>83</v>
      </c>
      <c r="B474" s="644"/>
      <c r="C474" s="644"/>
      <c r="D474" s="644"/>
      <c r="E474" s="644"/>
      <c r="F474" s="644"/>
      <c r="G474" s="644"/>
      <c r="H474" s="644"/>
      <c r="I474" s="644"/>
      <c r="J474" s="644"/>
      <c r="K474" s="644"/>
      <c r="L474" s="644"/>
      <c r="M474" s="644"/>
      <c r="N474" s="644"/>
      <c r="O474" s="644"/>
      <c r="P474" s="644"/>
      <c r="Q474" s="644"/>
      <c r="R474" s="644"/>
      <c r="S474" s="644"/>
      <c r="T474" s="644"/>
      <c r="U474" s="644"/>
      <c r="V474" s="644"/>
      <c r="W474" s="644"/>
      <c r="X474" s="644"/>
      <c r="Y474" s="644"/>
      <c r="Z474" s="644"/>
      <c r="AA474" s="66"/>
      <c r="AB474" s="66"/>
      <c r="AC474" s="80"/>
    </row>
    <row r="475" spans="1:68" ht="27" hidden="1" customHeight="1" x14ac:dyDescent="0.25">
      <c r="A475" s="63" t="s">
        <v>768</v>
      </c>
      <c r="B475" s="63" t="s">
        <v>769</v>
      </c>
      <c r="C475" s="36">
        <v>4301051284</v>
      </c>
      <c r="D475" s="639">
        <v>4607091384352</v>
      </c>
      <c r="E475" s="639"/>
      <c r="F475" s="62">
        <v>0.6</v>
      </c>
      <c r="G475" s="37">
        <v>4</v>
      </c>
      <c r="H475" s="62">
        <v>2.4</v>
      </c>
      <c r="I475" s="62">
        <v>2.6259999999999999</v>
      </c>
      <c r="J475" s="37">
        <v>132</v>
      </c>
      <c r="K475" s="37" t="s">
        <v>131</v>
      </c>
      <c r="L475" s="37" t="s">
        <v>46</v>
      </c>
      <c r="M475" s="38" t="s">
        <v>87</v>
      </c>
      <c r="N475" s="38"/>
      <c r="O475" s="37">
        <v>45</v>
      </c>
      <c r="P475" s="6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41"/>
      <c r="R475" s="641"/>
      <c r="S475" s="641"/>
      <c r="T475" s="642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66" t="s">
        <v>770</v>
      </c>
      <c r="AG475" s="78"/>
      <c r="AJ475" s="84" t="s">
        <v>46</v>
      </c>
      <c r="AK475" s="84">
        <v>0</v>
      </c>
      <c r="BB475" s="567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633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0" t="s">
        <v>40</v>
      </c>
      <c r="Q476" s="631"/>
      <c r="R476" s="631"/>
      <c r="S476" s="631"/>
      <c r="T476" s="631"/>
      <c r="U476" s="631"/>
      <c r="V476" s="632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hidden="1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0" t="s">
        <v>40</v>
      </c>
      <c r="Q477" s="631"/>
      <c r="R477" s="631"/>
      <c r="S477" s="631"/>
      <c r="T477" s="631"/>
      <c r="U477" s="631"/>
      <c r="V477" s="632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6.5" hidden="1" customHeight="1" x14ac:dyDescent="0.25">
      <c r="A478" s="643" t="s">
        <v>771</v>
      </c>
      <c r="B478" s="643"/>
      <c r="C478" s="643"/>
      <c r="D478" s="643"/>
      <c r="E478" s="643"/>
      <c r="F478" s="643"/>
      <c r="G478" s="643"/>
      <c r="H478" s="643"/>
      <c r="I478" s="643"/>
      <c r="J478" s="643"/>
      <c r="K478" s="643"/>
      <c r="L478" s="643"/>
      <c r="M478" s="643"/>
      <c r="N478" s="643"/>
      <c r="O478" s="643"/>
      <c r="P478" s="643"/>
      <c r="Q478" s="643"/>
      <c r="R478" s="643"/>
      <c r="S478" s="643"/>
      <c r="T478" s="643"/>
      <c r="U478" s="643"/>
      <c r="V478" s="643"/>
      <c r="W478" s="643"/>
      <c r="X478" s="643"/>
      <c r="Y478" s="643"/>
      <c r="Z478" s="643"/>
      <c r="AA478" s="65"/>
      <c r="AB478" s="65"/>
      <c r="AC478" s="79"/>
    </row>
    <row r="479" spans="1:68" ht="14.25" hidden="1" customHeight="1" x14ac:dyDescent="0.25">
      <c r="A479" s="644" t="s">
        <v>154</v>
      </c>
      <c r="B479" s="644"/>
      <c r="C479" s="644"/>
      <c r="D479" s="644"/>
      <c r="E479" s="644"/>
      <c r="F479" s="644"/>
      <c r="G479" s="644"/>
      <c r="H479" s="644"/>
      <c r="I479" s="644"/>
      <c r="J479" s="644"/>
      <c r="K479" s="644"/>
      <c r="L479" s="644"/>
      <c r="M479" s="644"/>
      <c r="N479" s="644"/>
      <c r="O479" s="644"/>
      <c r="P479" s="644"/>
      <c r="Q479" s="644"/>
      <c r="R479" s="644"/>
      <c r="S479" s="644"/>
      <c r="T479" s="644"/>
      <c r="U479" s="644"/>
      <c r="V479" s="644"/>
      <c r="W479" s="644"/>
      <c r="X479" s="644"/>
      <c r="Y479" s="644"/>
      <c r="Z479" s="644"/>
      <c r="AA479" s="66"/>
      <c r="AB479" s="66"/>
      <c r="AC479" s="80"/>
    </row>
    <row r="480" spans="1:68" ht="27" hidden="1" customHeight="1" x14ac:dyDescent="0.25">
      <c r="A480" s="63" t="s">
        <v>772</v>
      </c>
      <c r="B480" s="63" t="s">
        <v>773</v>
      </c>
      <c r="C480" s="36">
        <v>4301020416</v>
      </c>
      <c r="D480" s="639">
        <v>4680115885240</v>
      </c>
      <c r="E480" s="639"/>
      <c r="F480" s="62">
        <v>0.35</v>
      </c>
      <c r="G480" s="37">
        <v>6</v>
      </c>
      <c r="H480" s="62">
        <v>2.1</v>
      </c>
      <c r="I480" s="62">
        <v>2.31</v>
      </c>
      <c r="J480" s="37">
        <v>182</v>
      </c>
      <c r="K480" s="37" t="s">
        <v>88</v>
      </c>
      <c r="L480" s="37" t="s">
        <v>46</v>
      </c>
      <c r="M480" s="38" t="s">
        <v>81</v>
      </c>
      <c r="N480" s="38"/>
      <c r="O480" s="37">
        <v>40</v>
      </c>
      <c r="P480" s="6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41"/>
      <c r="R480" s="641"/>
      <c r="S480" s="641"/>
      <c r="T480" s="642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68" t="s">
        <v>774</v>
      </c>
      <c r="AG480" s="78"/>
      <c r="AJ480" s="84" t="s">
        <v>46</v>
      </c>
      <c r="AK480" s="84">
        <v>0</v>
      </c>
      <c r="BB480" s="569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633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0" t="s">
        <v>40</v>
      </c>
      <c r="Q481" s="631"/>
      <c r="R481" s="631"/>
      <c r="S481" s="631"/>
      <c r="T481" s="631"/>
      <c r="U481" s="631"/>
      <c r="V481" s="632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hidden="1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0" t="s">
        <v>40</v>
      </c>
      <c r="Q482" s="631"/>
      <c r="R482" s="631"/>
      <c r="S482" s="631"/>
      <c r="T482" s="631"/>
      <c r="U482" s="631"/>
      <c r="V482" s="632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644" t="s">
        <v>77</v>
      </c>
      <c r="B483" s="644"/>
      <c r="C483" s="644"/>
      <c r="D483" s="644"/>
      <c r="E483" s="644"/>
      <c r="F483" s="644"/>
      <c r="G483" s="644"/>
      <c r="H483" s="644"/>
      <c r="I483" s="644"/>
      <c r="J483" s="644"/>
      <c r="K483" s="644"/>
      <c r="L483" s="644"/>
      <c r="M483" s="644"/>
      <c r="N483" s="644"/>
      <c r="O483" s="644"/>
      <c r="P483" s="644"/>
      <c r="Q483" s="644"/>
      <c r="R483" s="644"/>
      <c r="S483" s="644"/>
      <c r="T483" s="644"/>
      <c r="U483" s="644"/>
      <c r="V483" s="644"/>
      <c r="W483" s="644"/>
      <c r="X483" s="644"/>
      <c r="Y483" s="644"/>
      <c r="Z483" s="644"/>
      <c r="AA483" s="66"/>
      <c r="AB483" s="66"/>
      <c r="AC483" s="80"/>
    </row>
    <row r="484" spans="1:68" ht="27" customHeight="1" x14ac:dyDescent="0.25">
      <c r="A484" s="63" t="s">
        <v>775</v>
      </c>
      <c r="B484" s="63" t="s">
        <v>776</v>
      </c>
      <c r="C484" s="36">
        <v>4301031407</v>
      </c>
      <c r="D484" s="639">
        <v>4680115886094</v>
      </c>
      <c r="E484" s="639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131</v>
      </c>
      <c r="L484" s="37" t="s">
        <v>46</v>
      </c>
      <c r="M484" s="38" t="s">
        <v>81</v>
      </c>
      <c r="N484" s="38"/>
      <c r="O484" s="37">
        <v>50</v>
      </c>
      <c r="P484" s="67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41"/>
      <c r="R484" s="641"/>
      <c r="S484" s="641"/>
      <c r="T484" s="642"/>
      <c r="U484" s="39" t="s">
        <v>46</v>
      </c>
      <c r="V484" s="39" t="s">
        <v>46</v>
      </c>
      <c r="W484" s="40" t="s">
        <v>0</v>
      </c>
      <c r="X484" s="58">
        <v>40</v>
      </c>
      <c r="Y484" s="55">
        <f>IFERROR(IF(X484="",0,CEILING((X484/$H484),1)*$H484),"")</f>
        <v>43.2</v>
      </c>
      <c r="Z484" s="41">
        <f>IFERROR(IF(Y484=0,"",ROUNDUP(Y484/H484,0)*0.00902),"")</f>
        <v>7.2160000000000002E-2</v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>IFERROR(X484*I484/H484,"0")</f>
        <v>41.407407407407405</v>
      </c>
      <c r="BN484" s="78">
        <f>IFERROR(Y484*I484/H484,"0")</f>
        <v>44.72</v>
      </c>
      <c r="BO484" s="78">
        <f>IFERROR(1/J484*(X484/H484),"0")</f>
        <v>5.6116722783389444E-2</v>
      </c>
      <c r="BP484" s="78">
        <f>IFERROR(1/J484*(Y484/H484),"0")</f>
        <v>6.0606060606060608E-2</v>
      </c>
    </row>
    <row r="485" spans="1:68" ht="27" hidden="1" customHeight="1" x14ac:dyDescent="0.25">
      <c r="A485" s="63" t="s">
        <v>778</v>
      </c>
      <c r="B485" s="63" t="s">
        <v>779</v>
      </c>
      <c r="C485" s="36">
        <v>4301031373</v>
      </c>
      <c r="D485" s="639">
        <v>4680115880771</v>
      </c>
      <c r="E485" s="639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67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41"/>
      <c r="R485" s="641"/>
      <c r="S485" s="641"/>
      <c r="T485" s="642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4301031359</v>
      </c>
      <c r="D486" s="639">
        <v>4607091389500</v>
      </c>
      <c r="E486" s="639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6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41"/>
      <c r="R486" s="641"/>
      <c r="S486" s="641"/>
      <c r="T486" s="642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780</v>
      </c>
      <c r="AG486" s="78"/>
      <c r="AJ486" s="84" t="s">
        <v>46</v>
      </c>
      <c r="AK486" s="84">
        <v>0</v>
      </c>
      <c r="BB486" s="575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633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0" t="s">
        <v>40</v>
      </c>
      <c r="Q487" s="631"/>
      <c r="R487" s="631"/>
      <c r="S487" s="631"/>
      <c r="T487" s="631"/>
      <c r="U487" s="631"/>
      <c r="V487" s="632"/>
      <c r="W487" s="42" t="s">
        <v>39</v>
      </c>
      <c r="X487" s="43">
        <f>IFERROR(X484/H484,"0")+IFERROR(X485/H485,"0")+IFERROR(X486/H486,"0")</f>
        <v>7.4074074074074066</v>
      </c>
      <c r="Y487" s="43">
        <f>IFERROR(Y484/H484,"0")+IFERROR(Y485/H485,"0")+IFERROR(Y486/H486,"0")</f>
        <v>8</v>
      </c>
      <c r="Z487" s="43">
        <f>IFERROR(IF(Z484="",0,Z484),"0")+IFERROR(IF(Z485="",0,Z485),"0")+IFERROR(IF(Z486="",0,Z486),"0")</f>
        <v>7.2160000000000002E-2</v>
      </c>
      <c r="AA487" s="67"/>
      <c r="AB487" s="67"/>
      <c r="AC487" s="67"/>
    </row>
    <row r="488" spans="1:68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634"/>
      <c r="P488" s="630" t="s">
        <v>40</v>
      </c>
      <c r="Q488" s="631"/>
      <c r="R488" s="631"/>
      <c r="S488" s="631"/>
      <c r="T488" s="631"/>
      <c r="U488" s="631"/>
      <c r="V488" s="632"/>
      <c r="W488" s="42" t="s">
        <v>0</v>
      </c>
      <c r="X488" s="43">
        <f>IFERROR(SUM(X484:X486),"0")</f>
        <v>40</v>
      </c>
      <c r="Y488" s="43">
        <f>IFERROR(SUM(Y484:Y486),"0")</f>
        <v>43.2</v>
      </c>
      <c r="Z488" s="42"/>
      <c r="AA488" s="67"/>
      <c r="AB488" s="67"/>
      <c r="AC488" s="67"/>
    </row>
    <row r="489" spans="1:68" ht="27.75" hidden="1" customHeight="1" x14ac:dyDescent="0.2">
      <c r="A489" s="650" t="s">
        <v>783</v>
      </c>
      <c r="B489" s="650"/>
      <c r="C489" s="650"/>
      <c r="D489" s="650"/>
      <c r="E489" s="650"/>
      <c r="F489" s="650"/>
      <c r="G489" s="650"/>
      <c r="H489" s="650"/>
      <c r="I489" s="650"/>
      <c r="J489" s="650"/>
      <c r="K489" s="650"/>
      <c r="L489" s="650"/>
      <c r="M489" s="650"/>
      <c r="N489" s="650"/>
      <c r="O489" s="650"/>
      <c r="P489" s="650"/>
      <c r="Q489" s="650"/>
      <c r="R489" s="650"/>
      <c r="S489" s="650"/>
      <c r="T489" s="650"/>
      <c r="U489" s="650"/>
      <c r="V489" s="650"/>
      <c r="W489" s="650"/>
      <c r="X489" s="650"/>
      <c r="Y489" s="650"/>
      <c r="Z489" s="650"/>
      <c r="AA489" s="54"/>
      <c r="AB489" s="54"/>
      <c r="AC489" s="54"/>
    </row>
    <row r="490" spans="1:68" ht="16.5" hidden="1" customHeight="1" x14ac:dyDescent="0.25">
      <c r="A490" s="643" t="s">
        <v>783</v>
      </c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43"/>
      <c r="P490" s="643"/>
      <c r="Q490" s="643"/>
      <c r="R490" s="643"/>
      <c r="S490" s="643"/>
      <c r="T490" s="643"/>
      <c r="U490" s="643"/>
      <c r="V490" s="643"/>
      <c r="W490" s="643"/>
      <c r="X490" s="643"/>
      <c r="Y490" s="643"/>
      <c r="Z490" s="643"/>
      <c r="AA490" s="65"/>
      <c r="AB490" s="65"/>
      <c r="AC490" s="79"/>
    </row>
    <row r="491" spans="1:68" ht="14.25" hidden="1" customHeight="1" x14ac:dyDescent="0.25">
      <c r="A491" s="644" t="s">
        <v>119</v>
      </c>
      <c r="B491" s="644"/>
      <c r="C491" s="644"/>
      <c r="D491" s="644"/>
      <c r="E491" s="644"/>
      <c r="F491" s="644"/>
      <c r="G491" s="644"/>
      <c r="H491" s="644"/>
      <c r="I491" s="644"/>
      <c r="J491" s="644"/>
      <c r="K491" s="644"/>
      <c r="L491" s="644"/>
      <c r="M491" s="644"/>
      <c r="N491" s="644"/>
      <c r="O491" s="644"/>
      <c r="P491" s="644"/>
      <c r="Q491" s="644"/>
      <c r="R491" s="644"/>
      <c r="S491" s="644"/>
      <c r="T491" s="644"/>
      <c r="U491" s="644"/>
      <c r="V491" s="644"/>
      <c r="W491" s="644"/>
      <c r="X491" s="644"/>
      <c r="Y491" s="644"/>
      <c r="Z491" s="644"/>
      <c r="AA491" s="66"/>
      <c r="AB491" s="66"/>
      <c r="AC491" s="80"/>
    </row>
    <row r="492" spans="1:68" ht="27" hidden="1" customHeight="1" x14ac:dyDescent="0.25">
      <c r="A492" s="63" t="s">
        <v>784</v>
      </c>
      <c r="B492" s="63" t="s">
        <v>785</v>
      </c>
      <c r="C492" s="36">
        <v>4301011769</v>
      </c>
      <c r="D492" s="639">
        <v>4607091389067</v>
      </c>
      <c r="E492" s="639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124</v>
      </c>
      <c r="L492" s="37" t="s">
        <v>46</v>
      </c>
      <c r="M492" s="38" t="s">
        <v>87</v>
      </c>
      <c r="N492" s="38"/>
      <c r="O492" s="37">
        <v>60</v>
      </c>
      <c r="P492" s="6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41"/>
      <c r="R492" s="641"/>
      <c r="S492" s="641"/>
      <c r="T492" s="642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ref="Y492:Y499" si="71">IFERROR(IF(X492="",0,CEILING((X492/$H492),1)*$H492),"")</f>
        <v>0</v>
      </c>
      <c r="Z492" s="41" t="str">
        <f>IFERROR(IF(Y492=0,"",ROUNDUP(Y492/H492,0)*0.01196),"")</f>
        <v/>
      </c>
      <c r="AA492" s="68" t="s">
        <v>46</v>
      </c>
      <c r="AB492" s="69" t="s">
        <v>46</v>
      </c>
      <c r="AC492" s="576" t="s">
        <v>122</v>
      </c>
      <c r="AG492" s="78"/>
      <c r="AJ492" s="84" t="s">
        <v>46</v>
      </c>
      <c r="AK492" s="84">
        <v>0</v>
      </c>
      <c r="BB492" s="577" t="s">
        <v>67</v>
      </c>
      <c r="BM492" s="78">
        <f t="shared" ref="BM492:BM499" si="72">IFERROR(X492*I492/H492,"0")</f>
        <v>0</v>
      </c>
      <c r="BN492" s="78">
        <f t="shared" ref="BN492:BN499" si="73">IFERROR(Y492*I492/H492,"0")</f>
        <v>0</v>
      </c>
      <c r="BO492" s="78">
        <f t="shared" ref="BO492:BO499" si="74">IFERROR(1/J492*(X492/H492),"0")</f>
        <v>0</v>
      </c>
      <c r="BP492" s="78">
        <f t="shared" ref="BP492:BP499" si="75">IFERROR(1/J492*(Y492/H492),"0")</f>
        <v>0</v>
      </c>
    </row>
    <row r="493" spans="1:68" ht="16.5" hidden="1" customHeight="1" x14ac:dyDescent="0.25">
      <c r="A493" s="63" t="s">
        <v>786</v>
      </c>
      <c r="B493" s="63" t="s">
        <v>787</v>
      </c>
      <c r="C493" s="36">
        <v>4301012380</v>
      </c>
      <c r="D493" s="639">
        <v>4680115889576</v>
      </c>
      <c r="E493" s="639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124</v>
      </c>
      <c r="L493" s="37" t="s">
        <v>46</v>
      </c>
      <c r="M493" s="38" t="s">
        <v>123</v>
      </c>
      <c r="N493" s="38"/>
      <c r="O493" s="37">
        <v>60</v>
      </c>
      <c r="P493" s="6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41"/>
      <c r="R493" s="641"/>
      <c r="S493" s="641"/>
      <c r="T493" s="642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71"/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78" t="s">
        <v>788</v>
      </c>
      <c r="AG493" s="78"/>
      <c r="AJ493" s="84" t="s">
        <v>46</v>
      </c>
      <c r="AK493" s="84">
        <v>0</v>
      </c>
      <c r="BB493" s="579" t="s">
        <v>67</v>
      </c>
      <c r="BM493" s="78">
        <f t="shared" si="72"/>
        <v>0</v>
      </c>
      <c r="BN493" s="78">
        <f t="shared" si="73"/>
        <v>0</v>
      </c>
      <c r="BO493" s="78">
        <f t="shared" si="74"/>
        <v>0</v>
      </c>
      <c r="BP493" s="78">
        <f t="shared" si="75"/>
        <v>0</v>
      </c>
    </row>
    <row r="494" spans="1:68" ht="27" hidden="1" customHeight="1" x14ac:dyDescent="0.25">
      <c r="A494" s="63" t="s">
        <v>789</v>
      </c>
      <c r="B494" s="63" t="s">
        <v>790</v>
      </c>
      <c r="C494" s="36">
        <v>4301011961</v>
      </c>
      <c r="D494" s="639">
        <v>4680115885271</v>
      </c>
      <c r="E494" s="639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124</v>
      </c>
      <c r="L494" s="37" t="s">
        <v>46</v>
      </c>
      <c r="M494" s="38" t="s">
        <v>123</v>
      </c>
      <c r="N494" s="38"/>
      <c r="O494" s="37">
        <v>60</v>
      </c>
      <c r="P494" s="6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41"/>
      <c r="R494" s="641"/>
      <c r="S494" s="641"/>
      <c r="T494" s="642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71"/>
        <v>0</v>
      </c>
      <c r="Z494" s="41" t="str">
        <f>IFERROR(IF(Y494=0,"",ROUNDUP(Y494/H494,0)*0.01196),"")</f>
        <v/>
      </c>
      <c r="AA494" s="68" t="s">
        <v>46</v>
      </c>
      <c r="AB494" s="69" t="s">
        <v>46</v>
      </c>
      <c r="AC494" s="580" t="s">
        <v>791</v>
      </c>
      <c r="AG494" s="78"/>
      <c r="AJ494" s="84" t="s">
        <v>46</v>
      </c>
      <c r="AK494" s="84">
        <v>0</v>
      </c>
      <c r="BB494" s="581" t="s">
        <v>67</v>
      </c>
      <c r="BM494" s="78">
        <f t="shared" si="72"/>
        <v>0</v>
      </c>
      <c r="BN494" s="78">
        <f t="shared" si="73"/>
        <v>0</v>
      </c>
      <c r="BO494" s="78">
        <f t="shared" si="74"/>
        <v>0</v>
      </c>
      <c r="BP494" s="78">
        <f t="shared" si="75"/>
        <v>0</v>
      </c>
    </row>
    <row r="495" spans="1:68" ht="27" customHeight="1" x14ac:dyDescent="0.25">
      <c r="A495" s="63" t="s">
        <v>792</v>
      </c>
      <c r="B495" s="63" t="s">
        <v>793</v>
      </c>
      <c r="C495" s="36">
        <v>4301011369</v>
      </c>
      <c r="D495" s="639">
        <v>4680115885226</v>
      </c>
      <c r="E495" s="639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124</v>
      </c>
      <c r="L495" s="37" t="s">
        <v>46</v>
      </c>
      <c r="M495" s="38" t="s">
        <v>123</v>
      </c>
      <c r="N495" s="38"/>
      <c r="O495" s="37">
        <v>60</v>
      </c>
      <c r="P495" s="66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41"/>
      <c r="R495" s="641"/>
      <c r="S495" s="641"/>
      <c r="T495" s="642"/>
      <c r="U495" s="39" t="s">
        <v>46</v>
      </c>
      <c r="V495" s="39" t="s">
        <v>46</v>
      </c>
      <c r="W495" s="40" t="s">
        <v>0</v>
      </c>
      <c r="X495" s="58">
        <v>300</v>
      </c>
      <c r="Y495" s="55">
        <f t="shared" si="71"/>
        <v>300.96000000000004</v>
      </c>
      <c r="Z495" s="41">
        <f>IFERROR(IF(Y495=0,"",ROUNDUP(Y495/H495,0)*0.01196),"")</f>
        <v>0.68171999999999999</v>
      </c>
      <c r="AA495" s="68" t="s">
        <v>46</v>
      </c>
      <c r="AB495" s="69" t="s">
        <v>46</v>
      </c>
      <c r="AC495" s="582" t="s">
        <v>794</v>
      </c>
      <c r="AG495" s="78"/>
      <c r="AJ495" s="84" t="s">
        <v>46</v>
      </c>
      <c r="AK495" s="84">
        <v>0</v>
      </c>
      <c r="BB495" s="583" t="s">
        <v>67</v>
      </c>
      <c r="BM495" s="78">
        <f t="shared" si="72"/>
        <v>319.88636363636363</v>
      </c>
      <c r="BN495" s="78">
        <f t="shared" si="73"/>
        <v>320.91000000000003</v>
      </c>
      <c r="BO495" s="78">
        <f t="shared" si="74"/>
        <v>0.54632867132867136</v>
      </c>
      <c r="BP495" s="78">
        <f t="shared" si="75"/>
        <v>0.54807692307692313</v>
      </c>
    </row>
    <row r="496" spans="1:68" ht="27" hidden="1" customHeight="1" x14ac:dyDescent="0.25">
      <c r="A496" s="63" t="s">
        <v>795</v>
      </c>
      <c r="B496" s="63" t="s">
        <v>796</v>
      </c>
      <c r="C496" s="36">
        <v>4301011771</v>
      </c>
      <c r="D496" s="639">
        <v>4607091389104</v>
      </c>
      <c r="E496" s="63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124</v>
      </c>
      <c r="L496" s="37" t="s">
        <v>46</v>
      </c>
      <c r="M496" s="38" t="s">
        <v>123</v>
      </c>
      <c r="N496" s="38"/>
      <c r="O496" s="37">
        <v>60</v>
      </c>
      <c r="P496" s="66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41"/>
      <c r="R496" s="641"/>
      <c r="S496" s="641"/>
      <c r="T496" s="64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71"/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4" t="s">
        <v>797</v>
      </c>
      <c r="AG496" s="78"/>
      <c r="AJ496" s="84" t="s">
        <v>46</v>
      </c>
      <c r="AK496" s="84">
        <v>0</v>
      </c>
      <c r="BB496" s="585" t="s">
        <v>67</v>
      </c>
      <c r="BM496" s="78">
        <f t="shared" si="72"/>
        <v>0</v>
      </c>
      <c r="BN496" s="78">
        <f t="shared" si="73"/>
        <v>0</v>
      </c>
      <c r="BO496" s="78">
        <f t="shared" si="74"/>
        <v>0</v>
      </c>
      <c r="BP496" s="78">
        <f t="shared" si="75"/>
        <v>0</v>
      </c>
    </row>
    <row r="497" spans="1:68" ht="27" hidden="1" customHeight="1" x14ac:dyDescent="0.25">
      <c r="A497" s="63" t="s">
        <v>798</v>
      </c>
      <c r="B497" s="63" t="s">
        <v>799</v>
      </c>
      <c r="C497" s="36">
        <v>4301012125</v>
      </c>
      <c r="D497" s="639">
        <v>4680115886391</v>
      </c>
      <c r="E497" s="639"/>
      <c r="F497" s="62">
        <v>0.4</v>
      </c>
      <c r="G497" s="37">
        <v>6</v>
      </c>
      <c r="H497" s="62">
        <v>2.4</v>
      </c>
      <c r="I497" s="62">
        <v>2.58</v>
      </c>
      <c r="J497" s="37">
        <v>182</v>
      </c>
      <c r="K497" s="37" t="s">
        <v>88</v>
      </c>
      <c r="L497" s="37" t="s">
        <v>46</v>
      </c>
      <c r="M497" s="38" t="s">
        <v>87</v>
      </c>
      <c r="N497" s="38"/>
      <c r="O497" s="37">
        <v>60</v>
      </c>
      <c r="P497" s="66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41"/>
      <c r="R497" s="641"/>
      <c r="S497" s="641"/>
      <c r="T497" s="64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1"/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586" t="s">
        <v>122</v>
      </c>
      <c r="AG497" s="78"/>
      <c r="AJ497" s="84" t="s">
        <v>46</v>
      </c>
      <c r="AK497" s="84">
        <v>0</v>
      </c>
      <c r="BB497" s="587" t="s">
        <v>67</v>
      </c>
      <c r="BM497" s="78">
        <f t="shared" si="72"/>
        <v>0</v>
      </c>
      <c r="BN497" s="78">
        <f t="shared" si="73"/>
        <v>0</v>
      </c>
      <c r="BO497" s="78">
        <f t="shared" si="74"/>
        <v>0</v>
      </c>
      <c r="BP497" s="78">
        <f t="shared" si="75"/>
        <v>0</v>
      </c>
    </row>
    <row r="498" spans="1:68" ht="27" hidden="1" customHeight="1" x14ac:dyDescent="0.25">
      <c r="A498" s="63" t="s">
        <v>800</v>
      </c>
      <c r="B498" s="63" t="s">
        <v>801</v>
      </c>
      <c r="C498" s="36">
        <v>4301012048</v>
      </c>
      <c r="D498" s="639">
        <v>4680115880603</v>
      </c>
      <c r="E498" s="639"/>
      <c r="F498" s="62">
        <v>0.6</v>
      </c>
      <c r="G498" s="37">
        <v>8</v>
      </c>
      <c r="H498" s="62">
        <v>4.8</v>
      </c>
      <c r="I498" s="62">
        <v>6.91</v>
      </c>
      <c r="J498" s="37">
        <v>132</v>
      </c>
      <c r="K498" s="37" t="s">
        <v>131</v>
      </c>
      <c r="L498" s="37" t="s">
        <v>46</v>
      </c>
      <c r="M498" s="38" t="s">
        <v>87</v>
      </c>
      <c r="N498" s="38"/>
      <c r="O498" s="37">
        <v>60</v>
      </c>
      <c r="P498" s="66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41"/>
      <c r="R498" s="641"/>
      <c r="S498" s="641"/>
      <c r="T498" s="64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1"/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88" t="s">
        <v>122</v>
      </c>
      <c r="AG498" s="78"/>
      <c r="AJ498" s="84" t="s">
        <v>46</v>
      </c>
      <c r="AK498" s="84">
        <v>0</v>
      </c>
      <c r="BB498" s="589" t="s">
        <v>67</v>
      </c>
      <c r="BM498" s="78">
        <f t="shared" si="72"/>
        <v>0</v>
      </c>
      <c r="BN498" s="78">
        <f t="shared" si="73"/>
        <v>0</v>
      </c>
      <c r="BO498" s="78">
        <f t="shared" si="74"/>
        <v>0</v>
      </c>
      <c r="BP498" s="78">
        <f t="shared" si="75"/>
        <v>0</v>
      </c>
    </row>
    <row r="499" spans="1:68" ht="27" hidden="1" customHeight="1" x14ac:dyDescent="0.25">
      <c r="A499" s="63" t="s">
        <v>802</v>
      </c>
      <c r="B499" s="63" t="s">
        <v>803</v>
      </c>
      <c r="C499" s="36">
        <v>4301012034</v>
      </c>
      <c r="D499" s="639">
        <v>4607091389982</v>
      </c>
      <c r="E499" s="639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131</v>
      </c>
      <c r="L499" s="37" t="s">
        <v>46</v>
      </c>
      <c r="M499" s="38" t="s">
        <v>123</v>
      </c>
      <c r="N499" s="38"/>
      <c r="O499" s="37">
        <v>60</v>
      </c>
      <c r="P499" s="66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41"/>
      <c r="R499" s="641"/>
      <c r="S499" s="641"/>
      <c r="T499" s="64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1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0" t="s">
        <v>797</v>
      </c>
      <c r="AG499" s="78"/>
      <c r="AJ499" s="84" t="s">
        <v>46</v>
      </c>
      <c r="AK499" s="84">
        <v>0</v>
      </c>
      <c r="BB499" s="591" t="s">
        <v>67</v>
      </c>
      <c r="BM499" s="78">
        <f t="shared" si="72"/>
        <v>0</v>
      </c>
      <c r="BN499" s="78">
        <f t="shared" si="73"/>
        <v>0</v>
      </c>
      <c r="BO499" s="78">
        <f t="shared" si="74"/>
        <v>0</v>
      </c>
      <c r="BP499" s="78">
        <f t="shared" si="75"/>
        <v>0</v>
      </c>
    </row>
    <row r="500" spans="1:68" x14ac:dyDescent="0.2">
      <c r="A500" s="633"/>
      <c r="B500" s="633"/>
      <c r="C500" s="633"/>
      <c r="D500" s="633"/>
      <c r="E500" s="633"/>
      <c r="F500" s="633"/>
      <c r="G500" s="633"/>
      <c r="H500" s="633"/>
      <c r="I500" s="633"/>
      <c r="J500" s="633"/>
      <c r="K500" s="633"/>
      <c r="L500" s="633"/>
      <c r="M500" s="633"/>
      <c r="N500" s="633"/>
      <c r="O500" s="634"/>
      <c r="P500" s="630" t="s">
        <v>40</v>
      </c>
      <c r="Q500" s="631"/>
      <c r="R500" s="631"/>
      <c r="S500" s="631"/>
      <c r="T500" s="631"/>
      <c r="U500" s="631"/>
      <c r="V500" s="632"/>
      <c r="W500" s="42" t="s">
        <v>39</v>
      </c>
      <c r="X500" s="43">
        <f>IFERROR(X492/H492,"0")+IFERROR(X493/H493,"0")+IFERROR(X494/H494,"0")+IFERROR(X495/H495,"0")+IFERROR(X496/H496,"0")+IFERROR(X497/H497,"0")+IFERROR(X498/H498,"0")+IFERROR(X499/H499,"0")</f>
        <v>56.818181818181813</v>
      </c>
      <c r="Y500" s="43">
        <f>IFERROR(Y492/H492,"0")+IFERROR(Y493/H493,"0")+IFERROR(Y494/H494,"0")+IFERROR(Y495/H495,"0")+IFERROR(Y496/H496,"0")+IFERROR(Y497/H497,"0")+IFERROR(Y498/H498,"0")+IFERROR(Y499/H499,"0")</f>
        <v>57.000000000000007</v>
      </c>
      <c r="Z500" s="43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0.68171999999999999</v>
      </c>
      <c r="AA500" s="67"/>
      <c r="AB500" s="67"/>
      <c r="AC500" s="67"/>
    </row>
    <row r="501" spans="1:68" x14ac:dyDescent="0.2">
      <c r="A501" s="633"/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4"/>
      <c r="P501" s="630" t="s">
        <v>40</v>
      </c>
      <c r="Q501" s="631"/>
      <c r="R501" s="631"/>
      <c r="S501" s="631"/>
      <c r="T501" s="631"/>
      <c r="U501" s="631"/>
      <c r="V501" s="632"/>
      <c r="W501" s="42" t="s">
        <v>0</v>
      </c>
      <c r="X501" s="43">
        <f>IFERROR(SUM(X492:X499),"0")</f>
        <v>300</v>
      </c>
      <c r="Y501" s="43">
        <f>IFERROR(SUM(Y492:Y499),"0")</f>
        <v>300.96000000000004</v>
      </c>
      <c r="Z501" s="42"/>
      <c r="AA501" s="67"/>
      <c r="AB501" s="67"/>
      <c r="AC501" s="67"/>
    </row>
    <row r="502" spans="1:68" ht="14.25" hidden="1" customHeight="1" x14ac:dyDescent="0.25">
      <c r="A502" s="644" t="s">
        <v>154</v>
      </c>
      <c r="B502" s="644"/>
      <c r="C502" s="644"/>
      <c r="D502" s="644"/>
      <c r="E502" s="644"/>
      <c r="F502" s="644"/>
      <c r="G502" s="644"/>
      <c r="H502" s="644"/>
      <c r="I502" s="644"/>
      <c r="J502" s="644"/>
      <c r="K502" s="644"/>
      <c r="L502" s="644"/>
      <c r="M502" s="644"/>
      <c r="N502" s="644"/>
      <c r="O502" s="644"/>
      <c r="P502" s="644"/>
      <c r="Q502" s="644"/>
      <c r="R502" s="644"/>
      <c r="S502" s="644"/>
      <c r="T502" s="644"/>
      <c r="U502" s="644"/>
      <c r="V502" s="644"/>
      <c r="W502" s="644"/>
      <c r="X502" s="644"/>
      <c r="Y502" s="644"/>
      <c r="Z502" s="644"/>
      <c r="AA502" s="66"/>
      <c r="AB502" s="66"/>
      <c r="AC502" s="80"/>
    </row>
    <row r="503" spans="1:68" ht="16.5" hidden="1" customHeight="1" x14ac:dyDescent="0.25">
      <c r="A503" s="63" t="s">
        <v>804</v>
      </c>
      <c r="B503" s="63" t="s">
        <v>805</v>
      </c>
      <c r="C503" s="36">
        <v>4301020334</v>
      </c>
      <c r="D503" s="639">
        <v>4607091388930</v>
      </c>
      <c r="E503" s="639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124</v>
      </c>
      <c r="L503" s="37" t="s">
        <v>46</v>
      </c>
      <c r="M503" s="38" t="s">
        <v>87</v>
      </c>
      <c r="N503" s="38"/>
      <c r="O503" s="37">
        <v>70</v>
      </c>
      <c r="P503" s="65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41"/>
      <c r="R503" s="641"/>
      <c r="S503" s="641"/>
      <c r="T503" s="642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IFERROR(IF(Y503=0,"",ROUNDUP(Y503/H503,0)*0.01196),"")</f>
        <v/>
      </c>
      <c r="AA503" s="68" t="s">
        <v>46</v>
      </c>
      <c r="AB503" s="69" t="s">
        <v>46</v>
      </c>
      <c r="AC503" s="592" t="s">
        <v>806</v>
      </c>
      <c r="AG503" s="78"/>
      <c r="AJ503" s="84" t="s">
        <v>46</v>
      </c>
      <c r="AK503" s="84">
        <v>0</v>
      </c>
      <c r="BB503" s="593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16.5" hidden="1" customHeight="1" x14ac:dyDescent="0.25">
      <c r="A504" s="63" t="s">
        <v>807</v>
      </c>
      <c r="B504" s="63" t="s">
        <v>808</v>
      </c>
      <c r="C504" s="36">
        <v>4301020374</v>
      </c>
      <c r="D504" s="639">
        <v>4680115886407</v>
      </c>
      <c r="E504" s="639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88</v>
      </c>
      <c r="L504" s="37" t="s">
        <v>46</v>
      </c>
      <c r="M504" s="38" t="s">
        <v>123</v>
      </c>
      <c r="N504" s="38"/>
      <c r="O504" s="37">
        <v>70</v>
      </c>
      <c r="P504" s="66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41"/>
      <c r="R504" s="641"/>
      <c r="S504" s="641"/>
      <c r="T504" s="642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594" t="s">
        <v>806</v>
      </c>
      <c r="AG504" s="78"/>
      <c r="AJ504" s="84" t="s">
        <v>46</v>
      </c>
      <c r="AK504" s="84">
        <v>0</v>
      </c>
      <c r="BB504" s="595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16.5" hidden="1" customHeight="1" x14ac:dyDescent="0.25">
      <c r="A505" s="63" t="s">
        <v>809</v>
      </c>
      <c r="B505" s="63" t="s">
        <v>810</v>
      </c>
      <c r="C505" s="36">
        <v>4301020385</v>
      </c>
      <c r="D505" s="639">
        <v>4680115880054</v>
      </c>
      <c r="E505" s="639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131</v>
      </c>
      <c r="L505" s="37" t="s">
        <v>46</v>
      </c>
      <c r="M505" s="38" t="s">
        <v>123</v>
      </c>
      <c r="N505" s="38"/>
      <c r="O505" s="37">
        <v>70</v>
      </c>
      <c r="P505" s="6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41"/>
      <c r="R505" s="641"/>
      <c r="S505" s="641"/>
      <c r="T505" s="642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596" t="s">
        <v>806</v>
      </c>
      <c r="AG505" s="78"/>
      <c r="AJ505" s="84" t="s">
        <v>46</v>
      </c>
      <c r="AK505" s="84">
        <v>0</v>
      </c>
      <c r="BB505" s="597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hidden="1" x14ac:dyDescent="0.2">
      <c r="A506" s="633"/>
      <c r="B506" s="633"/>
      <c r="C506" s="633"/>
      <c r="D506" s="633"/>
      <c r="E506" s="633"/>
      <c r="F506" s="633"/>
      <c r="G506" s="633"/>
      <c r="H506" s="633"/>
      <c r="I506" s="633"/>
      <c r="J506" s="633"/>
      <c r="K506" s="633"/>
      <c r="L506" s="633"/>
      <c r="M506" s="633"/>
      <c r="N506" s="633"/>
      <c r="O506" s="634"/>
      <c r="P506" s="630" t="s">
        <v>40</v>
      </c>
      <c r="Q506" s="631"/>
      <c r="R506" s="631"/>
      <c r="S506" s="631"/>
      <c r="T506" s="631"/>
      <c r="U506" s="631"/>
      <c r="V506" s="632"/>
      <c r="W506" s="42" t="s">
        <v>39</v>
      </c>
      <c r="X506" s="43">
        <f>IFERROR(X503/H503,"0")+IFERROR(X504/H504,"0")+IFERROR(X505/H505,"0")</f>
        <v>0</v>
      </c>
      <c r="Y506" s="43">
        <f>IFERROR(Y503/H503,"0")+IFERROR(Y504/H504,"0")+IFERROR(Y505/H505,"0")</f>
        <v>0</v>
      </c>
      <c r="Z506" s="43">
        <f>IFERROR(IF(Z503="",0,Z503),"0")+IFERROR(IF(Z504="",0,Z504),"0")+IFERROR(IF(Z505="",0,Z505),"0")</f>
        <v>0</v>
      </c>
      <c r="AA506" s="67"/>
      <c r="AB506" s="67"/>
      <c r="AC506" s="67"/>
    </row>
    <row r="507" spans="1:68" hidden="1" x14ac:dyDescent="0.2">
      <c r="A507" s="633"/>
      <c r="B507" s="633"/>
      <c r="C507" s="633"/>
      <c r="D507" s="633"/>
      <c r="E507" s="633"/>
      <c r="F507" s="633"/>
      <c r="G507" s="633"/>
      <c r="H507" s="633"/>
      <c r="I507" s="633"/>
      <c r="J507" s="633"/>
      <c r="K507" s="633"/>
      <c r="L507" s="633"/>
      <c r="M507" s="633"/>
      <c r="N507" s="633"/>
      <c r="O507" s="634"/>
      <c r="P507" s="630" t="s">
        <v>40</v>
      </c>
      <c r="Q507" s="631"/>
      <c r="R507" s="631"/>
      <c r="S507" s="631"/>
      <c r="T507" s="631"/>
      <c r="U507" s="631"/>
      <c r="V507" s="632"/>
      <c r="W507" s="42" t="s">
        <v>0</v>
      </c>
      <c r="X507" s="43">
        <f>IFERROR(SUM(X503:X505),"0")</f>
        <v>0</v>
      </c>
      <c r="Y507" s="43">
        <f>IFERROR(SUM(Y503:Y505),"0")</f>
        <v>0</v>
      </c>
      <c r="Z507" s="42"/>
      <c r="AA507" s="67"/>
      <c r="AB507" s="67"/>
      <c r="AC507" s="67"/>
    </row>
    <row r="508" spans="1:68" ht="14.25" hidden="1" customHeight="1" x14ac:dyDescent="0.25">
      <c r="A508" s="644" t="s">
        <v>77</v>
      </c>
      <c r="B508" s="644"/>
      <c r="C508" s="644"/>
      <c r="D508" s="644"/>
      <c r="E508" s="644"/>
      <c r="F508" s="644"/>
      <c r="G508" s="644"/>
      <c r="H508" s="644"/>
      <c r="I508" s="644"/>
      <c r="J508" s="644"/>
      <c r="K508" s="644"/>
      <c r="L508" s="644"/>
      <c r="M508" s="644"/>
      <c r="N508" s="644"/>
      <c r="O508" s="644"/>
      <c r="P508" s="644"/>
      <c r="Q508" s="644"/>
      <c r="R508" s="644"/>
      <c r="S508" s="644"/>
      <c r="T508" s="644"/>
      <c r="U508" s="644"/>
      <c r="V508" s="644"/>
      <c r="W508" s="644"/>
      <c r="X508" s="644"/>
      <c r="Y508" s="644"/>
      <c r="Z508" s="644"/>
      <c r="AA508" s="66"/>
      <c r="AB508" s="66"/>
      <c r="AC508" s="80"/>
    </row>
    <row r="509" spans="1:68" ht="27" hidden="1" customHeight="1" x14ac:dyDescent="0.25">
      <c r="A509" s="63" t="s">
        <v>811</v>
      </c>
      <c r="B509" s="63" t="s">
        <v>812</v>
      </c>
      <c r="C509" s="36">
        <v>4301031349</v>
      </c>
      <c r="D509" s="639">
        <v>4680115883116</v>
      </c>
      <c r="E509" s="639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124</v>
      </c>
      <c r="L509" s="37" t="s">
        <v>46</v>
      </c>
      <c r="M509" s="38" t="s">
        <v>123</v>
      </c>
      <c r="N509" s="38"/>
      <c r="O509" s="37">
        <v>70</v>
      </c>
      <c r="P509" s="65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41"/>
      <c r="R509" s="641"/>
      <c r="S509" s="641"/>
      <c r="T509" s="642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5" si="76">IFERROR(IF(X509="",0,CEILING((X509/$H509),1)*$H509),"")</f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598" t="s">
        <v>813</v>
      </c>
      <c r="AG509" s="78"/>
      <c r="AJ509" s="84" t="s">
        <v>46</v>
      </c>
      <c r="AK509" s="84">
        <v>0</v>
      </c>
      <c r="BB509" s="599" t="s">
        <v>67</v>
      </c>
      <c r="BM509" s="78">
        <f t="shared" ref="BM509:BM515" si="77">IFERROR(X509*I509/H509,"0")</f>
        <v>0</v>
      </c>
      <c r="BN509" s="78">
        <f t="shared" ref="BN509:BN515" si="78">IFERROR(Y509*I509/H509,"0")</f>
        <v>0</v>
      </c>
      <c r="BO509" s="78">
        <f t="shared" ref="BO509:BO515" si="79">IFERROR(1/J509*(X509/H509),"0")</f>
        <v>0</v>
      </c>
      <c r="BP509" s="78">
        <f t="shared" ref="BP509:BP515" si="80">IFERROR(1/J509*(Y509/H509),"0")</f>
        <v>0</v>
      </c>
    </row>
    <row r="510" spans="1:68" ht="27" hidden="1" customHeight="1" x14ac:dyDescent="0.25">
      <c r="A510" s="63" t="s">
        <v>814</v>
      </c>
      <c r="B510" s="63" t="s">
        <v>815</v>
      </c>
      <c r="C510" s="36">
        <v>4301031350</v>
      </c>
      <c r="D510" s="639">
        <v>4680115883093</v>
      </c>
      <c r="E510" s="639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124</v>
      </c>
      <c r="L510" s="37" t="s">
        <v>46</v>
      </c>
      <c r="M510" s="38" t="s">
        <v>81</v>
      </c>
      <c r="N510" s="38"/>
      <c r="O510" s="37">
        <v>70</v>
      </c>
      <c r="P510" s="65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41"/>
      <c r="R510" s="641"/>
      <c r="S510" s="641"/>
      <c r="T510" s="642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6"/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600" t="s">
        <v>816</v>
      </c>
      <c r="AG510" s="78"/>
      <c r="AJ510" s="84" t="s">
        <v>46</v>
      </c>
      <c r="AK510" s="84">
        <v>0</v>
      </c>
      <c r="BB510" s="601" t="s">
        <v>67</v>
      </c>
      <c r="BM510" s="78">
        <f t="shared" si="77"/>
        <v>0</v>
      </c>
      <c r="BN510" s="78">
        <f t="shared" si="78"/>
        <v>0</v>
      </c>
      <c r="BO510" s="78">
        <f t="shared" si="79"/>
        <v>0</v>
      </c>
      <c r="BP510" s="78">
        <f t="shared" si="80"/>
        <v>0</v>
      </c>
    </row>
    <row r="511" spans="1:68" ht="27" customHeight="1" x14ac:dyDescent="0.25">
      <c r="A511" s="63" t="s">
        <v>817</v>
      </c>
      <c r="B511" s="63" t="s">
        <v>818</v>
      </c>
      <c r="C511" s="36">
        <v>4301031353</v>
      </c>
      <c r="D511" s="639">
        <v>4680115883109</v>
      </c>
      <c r="E511" s="63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124</v>
      </c>
      <c r="L511" s="37" t="s">
        <v>46</v>
      </c>
      <c r="M511" s="38" t="s">
        <v>81</v>
      </c>
      <c r="N511" s="38"/>
      <c r="O511" s="37">
        <v>70</v>
      </c>
      <c r="P511" s="65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41"/>
      <c r="R511" s="641"/>
      <c r="S511" s="641"/>
      <c r="T511" s="642"/>
      <c r="U511" s="39" t="s">
        <v>46</v>
      </c>
      <c r="V511" s="39" t="s">
        <v>46</v>
      </c>
      <c r="W511" s="40" t="s">
        <v>0</v>
      </c>
      <c r="X511" s="58">
        <v>600</v>
      </c>
      <c r="Y511" s="55">
        <f t="shared" si="76"/>
        <v>601.92000000000007</v>
      </c>
      <c r="Z511" s="41">
        <f>IFERROR(IF(Y511=0,"",ROUNDUP(Y511/H511,0)*0.01196),"")</f>
        <v>1.36344</v>
      </c>
      <c r="AA511" s="68" t="s">
        <v>46</v>
      </c>
      <c r="AB511" s="69" t="s">
        <v>46</v>
      </c>
      <c r="AC511" s="602" t="s">
        <v>819</v>
      </c>
      <c r="AG511" s="78"/>
      <c r="AJ511" s="84" t="s">
        <v>46</v>
      </c>
      <c r="AK511" s="84">
        <v>0</v>
      </c>
      <c r="BB511" s="603" t="s">
        <v>67</v>
      </c>
      <c r="BM511" s="78">
        <f t="shared" si="77"/>
        <v>639.77272727272725</v>
      </c>
      <c r="BN511" s="78">
        <f t="shared" si="78"/>
        <v>641.82000000000005</v>
      </c>
      <c r="BO511" s="78">
        <f t="shared" si="79"/>
        <v>1.0926573426573427</v>
      </c>
      <c r="BP511" s="78">
        <f t="shared" si="80"/>
        <v>1.0961538461538463</v>
      </c>
    </row>
    <row r="512" spans="1:68" ht="27" hidden="1" customHeight="1" x14ac:dyDescent="0.25">
      <c r="A512" s="63" t="s">
        <v>820</v>
      </c>
      <c r="B512" s="63" t="s">
        <v>821</v>
      </c>
      <c r="C512" s="36">
        <v>4301031419</v>
      </c>
      <c r="D512" s="639">
        <v>4680115882072</v>
      </c>
      <c r="E512" s="639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131</v>
      </c>
      <c r="L512" s="37" t="s">
        <v>46</v>
      </c>
      <c r="M512" s="38" t="s">
        <v>123</v>
      </c>
      <c r="N512" s="38"/>
      <c r="O512" s="37">
        <v>70</v>
      </c>
      <c r="P512" s="65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41"/>
      <c r="R512" s="641"/>
      <c r="S512" s="641"/>
      <c r="T512" s="642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6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04" t="s">
        <v>813</v>
      </c>
      <c r="AG512" s="78"/>
      <c r="AJ512" s="84" t="s">
        <v>46</v>
      </c>
      <c r="AK512" s="84">
        <v>0</v>
      </c>
      <c r="BB512" s="605" t="s">
        <v>67</v>
      </c>
      <c r="BM512" s="78">
        <f t="shared" si="77"/>
        <v>0</v>
      </c>
      <c r="BN512" s="78">
        <f t="shared" si="78"/>
        <v>0</v>
      </c>
      <c r="BO512" s="78">
        <f t="shared" si="79"/>
        <v>0</v>
      </c>
      <c r="BP512" s="78">
        <f t="shared" si="80"/>
        <v>0</v>
      </c>
    </row>
    <row r="513" spans="1:68" ht="27" hidden="1" customHeight="1" x14ac:dyDescent="0.25">
      <c r="A513" s="63" t="s">
        <v>822</v>
      </c>
      <c r="B513" s="63" t="s">
        <v>823</v>
      </c>
      <c r="C513" s="36">
        <v>4301031352</v>
      </c>
      <c r="D513" s="639">
        <v>4680115882102</v>
      </c>
      <c r="E513" s="639"/>
      <c r="F513" s="62">
        <v>0.6</v>
      </c>
      <c r="G513" s="37">
        <v>6</v>
      </c>
      <c r="H513" s="62">
        <v>3.6</v>
      </c>
      <c r="I513" s="62">
        <v>3.79</v>
      </c>
      <c r="J513" s="37">
        <v>132</v>
      </c>
      <c r="K513" s="37" t="s">
        <v>131</v>
      </c>
      <c r="L513" s="37" t="s">
        <v>46</v>
      </c>
      <c r="M513" s="38" t="s">
        <v>81</v>
      </c>
      <c r="N513" s="38"/>
      <c r="O513" s="37">
        <v>70</v>
      </c>
      <c r="P513" s="6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41"/>
      <c r="R513" s="641"/>
      <c r="S513" s="641"/>
      <c r="T513" s="642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6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06" t="s">
        <v>816</v>
      </c>
      <c r="AG513" s="78"/>
      <c r="AJ513" s="84" t="s">
        <v>46</v>
      </c>
      <c r="AK513" s="84">
        <v>0</v>
      </c>
      <c r="BB513" s="607" t="s">
        <v>67</v>
      </c>
      <c r="BM513" s="78">
        <f t="shared" si="77"/>
        <v>0</v>
      </c>
      <c r="BN513" s="78">
        <f t="shared" si="78"/>
        <v>0</v>
      </c>
      <c r="BO513" s="78">
        <f t="shared" si="79"/>
        <v>0</v>
      </c>
      <c r="BP513" s="78">
        <f t="shared" si="80"/>
        <v>0</v>
      </c>
    </row>
    <row r="514" spans="1:68" ht="27" hidden="1" customHeight="1" x14ac:dyDescent="0.25">
      <c r="A514" s="63" t="s">
        <v>822</v>
      </c>
      <c r="B514" s="63" t="s">
        <v>824</v>
      </c>
      <c r="C514" s="36">
        <v>4301031418</v>
      </c>
      <c r="D514" s="639">
        <v>4680115882102</v>
      </c>
      <c r="E514" s="639"/>
      <c r="F514" s="62">
        <v>0.6</v>
      </c>
      <c r="G514" s="37">
        <v>8</v>
      </c>
      <c r="H514" s="62">
        <v>4.8</v>
      </c>
      <c r="I514" s="62">
        <v>6.67</v>
      </c>
      <c r="J514" s="37">
        <v>132</v>
      </c>
      <c r="K514" s="37" t="s">
        <v>131</v>
      </c>
      <c r="L514" s="37" t="s">
        <v>46</v>
      </c>
      <c r="M514" s="38" t="s">
        <v>81</v>
      </c>
      <c r="N514" s="38"/>
      <c r="O514" s="37">
        <v>70</v>
      </c>
      <c r="P514" s="65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41"/>
      <c r="R514" s="641"/>
      <c r="S514" s="641"/>
      <c r="T514" s="64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6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08" t="s">
        <v>816</v>
      </c>
      <c r="AG514" s="78"/>
      <c r="AJ514" s="84" t="s">
        <v>46</v>
      </c>
      <c r="AK514" s="84">
        <v>0</v>
      </c>
      <c r="BB514" s="609" t="s">
        <v>67</v>
      </c>
      <c r="BM514" s="78">
        <f t="shared" si="77"/>
        <v>0</v>
      </c>
      <c r="BN514" s="78">
        <f t="shared" si="78"/>
        <v>0</v>
      </c>
      <c r="BO514" s="78">
        <f t="shared" si="79"/>
        <v>0</v>
      </c>
      <c r="BP514" s="78">
        <f t="shared" si="80"/>
        <v>0</v>
      </c>
    </row>
    <row r="515" spans="1:68" ht="27" hidden="1" customHeight="1" x14ac:dyDescent="0.25">
      <c r="A515" s="63" t="s">
        <v>825</v>
      </c>
      <c r="B515" s="63" t="s">
        <v>826</v>
      </c>
      <c r="C515" s="36">
        <v>4301031417</v>
      </c>
      <c r="D515" s="639">
        <v>4680115882096</v>
      </c>
      <c r="E515" s="639"/>
      <c r="F515" s="62">
        <v>0.6</v>
      </c>
      <c r="G515" s="37">
        <v>8</v>
      </c>
      <c r="H515" s="62">
        <v>4.8</v>
      </c>
      <c r="I515" s="62">
        <v>6.67</v>
      </c>
      <c r="J515" s="37">
        <v>132</v>
      </c>
      <c r="K515" s="37" t="s">
        <v>131</v>
      </c>
      <c r="L515" s="37" t="s">
        <v>46</v>
      </c>
      <c r="M515" s="38" t="s">
        <v>81</v>
      </c>
      <c r="N515" s="38"/>
      <c r="O515" s="37">
        <v>70</v>
      </c>
      <c r="P515" s="65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41"/>
      <c r="R515" s="641"/>
      <c r="S515" s="641"/>
      <c r="T515" s="64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6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10" t="s">
        <v>819</v>
      </c>
      <c r="AG515" s="78"/>
      <c r="AJ515" s="84" t="s">
        <v>46</v>
      </c>
      <c r="AK515" s="84">
        <v>0</v>
      </c>
      <c r="BB515" s="611" t="s">
        <v>67</v>
      </c>
      <c r="BM515" s="78">
        <f t="shared" si="77"/>
        <v>0</v>
      </c>
      <c r="BN515" s="78">
        <f t="shared" si="78"/>
        <v>0</v>
      </c>
      <c r="BO515" s="78">
        <f t="shared" si="79"/>
        <v>0</v>
      </c>
      <c r="BP515" s="78">
        <f t="shared" si="80"/>
        <v>0</v>
      </c>
    </row>
    <row r="516" spans="1:68" x14ac:dyDescent="0.2">
      <c r="A516" s="633"/>
      <c r="B516" s="633"/>
      <c r="C516" s="633"/>
      <c r="D516" s="633"/>
      <c r="E516" s="633"/>
      <c r="F516" s="633"/>
      <c r="G516" s="633"/>
      <c r="H516" s="633"/>
      <c r="I516" s="633"/>
      <c r="J516" s="633"/>
      <c r="K516" s="633"/>
      <c r="L516" s="633"/>
      <c r="M516" s="633"/>
      <c r="N516" s="633"/>
      <c r="O516" s="634"/>
      <c r="P516" s="630" t="s">
        <v>40</v>
      </c>
      <c r="Q516" s="631"/>
      <c r="R516" s="631"/>
      <c r="S516" s="631"/>
      <c r="T516" s="631"/>
      <c r="U516" s="631"/>
      <c r="V516" s="632"/>
      <c r="W516" s="42" t="s">
        <v>39</v>
      </c>
      <c r="X516" s="43">
        <f>IFERROR(X509/H509,"0")+IFERROR(X510/H510,"0")+IFERROR(X511/H511,"0")+IFERROR(X512/H512,"0")+IFERROR(X513/H513,"0")+IFERROR(X514/H514,"0")+IFERROR(X515/H515,"0")</f>
        <v>113.63636363636363</v>
      </c>
      <c r="Y516" s="43">
        <f>IFERROR(Y509/H509,"0")+IFERROR(Y510/H510,"0")+IFERROR(Y511/H511,"0")+IFERROR(Y512/H512,"0")+IFERROR(Y513/H513,"0")+IFERROR(Y514/H514,"0")+IFERROR(Y515/H515,"0")</f>
        <v>114.00000000000001</v>
      </c>
      <c r="Z516" s="43">
        <f>IFERROR(IF(Z509="",0,Z509),"0")+IFERROR(IF(Z510="",0,Z510),"0")+IFERROR(IF(Z511="",0,Z511),"0")+IFERROR(IF(Z512="",0,Z512),"0")+IFERROR(IF(Z513="",0,Z513),"0")+IFERROR(IF(Z514="",0,Z514),"0")+IFERROR(IF(Z515="",0,Z515),"0")</f>
        <v>1.36344</v>
      </c>
      <c r="AA516" s="67"/>
      <c r="AB516" s="67"/>
      <c r="AC516" s="67"/>
    </row>
    <row r="517" spans="1:68" x14ac:dyDescent="0.2">
      <c r="A517" s="633"/>
      <c r="B517" s="633"/>
      <c r="C517" s="633"/>
      <c r="D517" s="633"/>
      <c r="E517" s="633"/>
      <c r="F517" s="633"/>
      <c r="G517" s="633"/>
      <c r="H517" s="633"/>
      <c r="I517" s="633"/>
      <c r="J517" s="633"/>
      <c r="K517" s="633"/>
      <c r="L517" s="633"/>
      <c r="M517" s="633"/>
      <c r="N517" s="633"/>
      <c r="O517" s="634"/>
      <c r="P517" s="630" t="s">
        <v>40</v>
      </c>
      <c r="Q517" s="631"/>
      <c r="R517" s="631"/>
      <c r="S517" s="631"/>
      <c r="T517" s="631"/>
      <c r="U517" s="631"/>
      <c r="V517" s="632"/>
      <c r="W517" s="42" t="s">
        <v>0</v>
      </c>
      <c r="X517" s="43">
        <f>IFERROR(SUM(X509:X515),"0")</f>
        <v>600</v>
      </c>
      <c r="Y517" s="43">
        <f>IFERROR(SUM(Y509:Y515),"0")</f>
        <v>601.92000000000007</v>
      </c>
      <c r="Z517" s="42"/>
      <c r="AA517" s="67"/>
      <c r="AB517" s="67"/>
      <c r="AC517" s="67"/>
    </row>
    <row r="518" spans="1:68" ht="27.75" hidden="1" customHeight="1" x14ac:dyDescent="0.2">
      <c r="A518" s="650" t="s">
        <v>827</v>
      </c>
      <c r="B518" s="650"/>
      <c r="C518" s="650"/>
      <c r="D518" s="650"/>
      <c r="E518" s="650"/>
      <c r="F518" s="650"/>
      <c r="G518" s="650"/>
      <c r="H518" s="650"/>
      <c r="I518" s="650"/>
      <c r="J518" s="650"/>
      <c r="K518" s="650"/>
      <c r="L518" s="650"/>
      <c r="M518" s="650"/>
      <c r="N518" s="650"/>
      <c r="O518" s="650"/>
      <c r="P518" s="650"/>
      <c r="Q518" s="650"/>
      <c r="R518" s="650"/>
      <c r="S518" s="650"/>
      <c r="T518" s="650"/>
      <c r="U518" s="650"/>
      <c r="V518" s="650"/>
      <c r="W518" s="650"/>
      <c r="X518" s="650"/>
      <c r="Y518" s="650"/>
      <c r="Z518" s="650"/>
      <c r="AA518" s="54"/>
      <c r="AB518" s="54"/>
      <c r="AC518" s="54"/>
    </row>
    <row r="519" spans="1:68" ht="16.5" hidden="1" customHeight="1" x14ac:dyDescent="0.25">
      <c r="A519" s="643" t="s">
        <v>827</v>
      </c>
      <c r="B519" s="643"/>
      <c r="C519" s="643"/>
      <c r="D519" s="643"/>
      <c r="E519" s="643"/>
      <c r="F519" s="643"/>
      <c r="G519" s="643"/>
      <c r="H519" s="643"/>
      <c r="I519" s="643"/>
      <c r="J519" s="643"/>
      <c r="K519" s="643"/>
      <c r="L519" s="643"/>
      <c r="M519" s="643"/>
      <c r="N519" s="643"/>
      <c r="O519" s="643"/>
      <c r="P519" s="643"/>
      <c r="Q519" s="643"/>
      <c r="R519" s="643"/>
      <c r="S519" s="643"/>
      <c r="T519" s="643"/>
      <c r="U519" s="643"/>
      <c r="V519" s="643"/>
      <c r="W519" s="643"/>
      <c r="X519" s="643"/>
      <c r="Y519" s="643"/>
      <c r="Z519" s="643"/>
      <c r="AA519" s="65"/>
      <c r="AB519" s="65"/>
      <c r="AC519" s="79"/>
    </row>
    <row r="520" spans="1:68" ht="14.25" hidden="1" customHeight="1" x14ac:dyDescent="0.25">
      <c r="A520" s="644" t="s">
        <v>119</v>
      </c>
      <c r="B520" s="644"/>
      <c r="C520" s="644"/>
      <c r="D520" s="644"/>
      <c r="E520" s="644"/>
      <c r="F520" s="644"/>
      <c r="G520" s="644"/>
      <c r="H520" s="644"/>
      <c r="I520" s="644"/>
      <c r="J520" s="644"/>
      <c r="K520" s="644"/>
      <c r="L520" s="644"/>
      <c r="M520" s="644"/>
      <c r="N520" s="644"/>
      <c r="O520" s="644"/>
      <c r="P520" s="644"/>
      <c r="Q520" s="644"/>
      <c r="R520" s="644"/>
      <c r="S520" s="644"/>
      <c r="T520" s="644"/>
      <c r="U520" s="644"/>
      <c r="V520" s="644"/>
      <c r="W520" s="644"/>
      <c r="X520" s="644"/>
      <c r="Y520" s="644"/>
      <c r="Z520" s="644"/>
      <c r="AA520" s="66"/>
      <c r="AB520" s="66"/>
      <c r="AC520" s="80"/>
    </row>
    <row r="521" spans="1:68" ht="27" hidden="1" customHeight="1" x14ac:dyDescent="0.25">
      <c r="A521" s="63" t="s">
        <v>828</v>
      </c>
      <c r="B521" s="63" t="s">
        <v>829</v>
      </c>
      <c r="C521" s="36">
        <v>4301012386</v>
      </c>
      <c r="D521" s="639">
        <v>4680115889736</v>
      </c>
      <c r="E521" s="639"/>
      <c r="F521" s="62">
        <v>1.5</v>
      </c>
      <c r="G521" s="37">
        <v>8</v>
      </c>
      <c r="H521" s="62">
        <v>12</v>
      </c>
      <c r="I521" s="62">
        <v>12.41</v>
      </c>
      <c r="J521" s="37">
        <v>64</v>
      </c>
      <c r="K521" s="37" t="s">
        <v>124</v>
      </c>
      <c r="L521" s="37" t="s">
        <v>46</v>
      </c>
      <c r="M521" s="38" t="s">
        <v>123</v>
      </c>
      <c r="N521" s="38"/>
      <c r="O521" s="37">
        <v>50</v>
      </c>
      <c r="P521" s="651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41"/>
      <c r="R521" s="641"/>
      <c r="S521" s="641"/>
      <c r="T521" s="642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12" t="s">
        <v>830</v>
      </c>
      <c r="AG521" s="78"/>
      <c r="AJ521" s="84" t="s">
        <v>46</v>
      </c>
      <c r="AK521" s="84">
        <v>0</v>
      </c>
      <c r="BB521" s="613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idden="1" x14ac:dyDescent="0.2">
      <c r="A522" s="633"/>
      <c r="B522" s="633"/>
      <c r="C522" s="633"/>
      <c r="D522" s="633"/>
      <c r="E522" s="633"/>
      <c r="F522" s="633"/>
      <c r="G522" s="633"/>
      <c r="H522" s="633"/>
      <c r="I522" s="633"/>
      <c r="J522" s="633"/>
      <c r="K522" s="633"/>
      <c r="L522" s="633"/>
      <c r="M522" s="633"/>
      <c r="N522" s="633"/>
      <c r="O522" s="634"/>
      <c r="P522" s="630" t="s">
        <v>40</v>
      </c>
      <c r="Q522" s="631"/>
      <c r="R522" s="631"/>
      <c r="S522" s="631"/>
      <c r="T522" s="631"/>
      <c r="U522" s="631"/>
      <c r="V522" s="632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hidden="1" x14ac:dyDescent="0.2">
      <c r="A523" s="633"/>
      <c r="B523" s="633"/>
      <c r="C523" s="633"/>
      <c r="D523" s="633"/>
      <c r="E523" s="633"/>
      <c r="F523" s="633"/>
      <c r="G523" s="633"/>
      <c r="H523" s="633"/>
      <c r="I523" s="633"/>
      <c r="J523" s="633"/>
      <c r="K523" s="633"/>
      <c r="L523" s="633"/>
      <c r="M523" s="633"/>
      <c r="N523" s="633"/>
      <c r="O523" s="634"/>
      <c r="P523" s="630" t="s">
        <v>40</v>
      </c>
      <c r="Q523" s="631"/>
      <c r="R523" s="631"/>
      <c r="S523" s="631"/>
      <c r="T523" s="631"/>
      <c r="U523" s="631"/>
      <c r="V523" s="632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hidden="1" customHeight="1" x14ac:dyDescent="0.25">
      <c r="A524" s="644" t="s">
        <v>154</v>
      </c>
      <c r="B524" s="644"/>
      <c r="C524" s="644"/>
      <c r="D524" s="644"/>
      <c r="E524" s="644"/>
      <c r="F524" s="644"/>
      <c r="G524" s="644"/>
      <c r="H524" s="644"/>
      <c r="I524" s="644"/>
      <c r="J524" s="644"/>
      <c r="K524" s="644"/>
      <c r="L524" s="644"/>
      <c r="M524" s="644"/>
      <c r="N524" s="644"/>
      <c r="O524" s="644"/>
      <c r="P524" s="644"/>
      <c r="Q524" s="644"/>
      <c r="R524" s="644"/>
      <c r="S524" s="644"/>
      <c r="T524" s="644"/>
      <c r="U524" s="644"/>
      <c r="V524" s="644"/>
      <c r="W524" s="644"/>
      <c r="X524" s="644"/>
      <c r="Y524" s="644"/>
      <c r="Z524" s="644"/>
      <c r="AA524" s="66"/>
      <c r="AB524" s="66"/>
      <c r="AC524" s="80"/>
    </row>
    <row r="525" spans="1:68" ht="27" hidden="1" customHeight="1" x14ac:dyDescent="0.25">
      <c r="A525" s="63" t="s">
        <v>831</v>
      </c>
      <c r="B525" s="63" t="s">
        <v>832</v>
      </c>
      <c r="C525" s="36">
        <v>4301020444</v>
      </c>
      <c r="D525" s="639">
        <v>4680115889781</v>
      </c>
      <c r="E525" s="639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124</v>
      </c>
      <c r="L525" s="37" t="s">
        <v>46</v>
      </c>
      <c r="M525" s="38" t="s">
        <v>87</v>
      </c>
      <c r="N525" s="38"/>
      <c r="O525" s="37">
        <v>50</v>
      </c>
      <c r="P525" s="64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41"/>
      <c r="R525" s="641"/>
      <c r="S525" s="641"/>
      <c r="T525" s="642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4" t="s">
        <v>712</v>
      </c>
      <c r="AG525" s="78"/>
      <c r="AJ525" s="84" t="s">
        <v>46</v>
      </c>
      <c r="AK525" s="84">
        <v>0</v>
      </c>
      <c r="BB525" s="615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633"/>
      <c r="B526" s="633"/>
      <c r="C526" s="633"/>
      <c r="D526" s="633"/>
      <c r="E526" s="633"/>
      <c r="F526" s="633"/>
      <c r="G526" s="633"/>
      <c r="H526" s="633"/>
      <c r="I526" s="633"/>
      <c r="J526" s="633"/>
      <c r="K526" s="633"/>
      <c r="L526" s="633"/>
      <c r="M526" s="633"/>
      <c r="N526" s="633"/>
      <c r="O526" s="634"/>
      <c r="P526" s="630" t="s">
        <v>40</v>
      </c>
      <c r="Q526" s="631"/>
      <c r="R526" s="631"/>
      <c r="S526" s="631"/>
      <c r="T526" s="631"/>
      <c r="U526" s="631"/>
      <c r="V526" s="632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hidden="1" x14ac:dyDescent="0.2">
      <c r="A527" s="633"/>
      <c r="B527" s="633"/>
      <c r="C527" s="633"/>
      <c r="D527" s="633"/>
      <c r="E527" s="633"/>
      <c r="F527" s="633"/>
      <c r="G527" s="633"/>
      <c r="H527" s="633"/>
      <c r="I527" s="633"/>
      <c r="J527" s="633"/>
      <c r="K527" s="633"/>
      <c r="L527" s="633"/>
      <c r="M527" s="633"/>
      <c r="N527" s="633"/>
      <c r="O527" s="634"/>
      <c r="P527" s="630" t="s">
        <v>40</v>
      </c>
      <c r="Q527" s="631"/>
      <c r="R527" s="631"/>
      <c r="S527" s="631"/>
      <c r="T527" s="631"/>
      <c r="U527" s="631"/>
      <c r="V527" s="632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644" t="s">
        <v>77</v>
      </c>
      <c r="B528" s="644"/>
      <c r="C528" s="644"/>
      <c r="D528" s="644"/>
      <c r="E528" s="644"/>
      <c r="F528" s="644"/>
      <c r="G528" s="644"/>
      <c r="H528" s="644"/>
      <c r="I528" s="644"/>
      <c r="J528" s="644"/>
      <c r="K528" s="644"/>
      <c r="L528" s="644"/>
      <c r="M528" s="644"/>
      <c r="N528" s="644"/>
      <c r="O528" s="644"/>
      <c r="P528" s="644"/>
      <c r="Q528" s="644"/>
      <c r="R528" s="644"/>
      <c r="S528" s="644"/>
      <c r="T528" s="644"/>
      <c r="U528" s="644"/>
      <c r="V528" s="644"/>
      <c r="W528" s="644"/>
      <c r="X528" s="644"/>
      <c r="Y528" s="644"/>
      <c r="Z528" s="644"/>
      <c r="AA528" s="66"/>
      <c r="AB528" s="66"/>
      <c r="AC528" s="80"/>
    </row>
    <row r="529" spans="1:68" ht="27" hidden="1" customHeight="1" x14ac:dyDescent="0.25">
      <c r="A529" s="63" t="s">
        <v>833</v>
      </c>
      <c r="B529" s="63" t="s">
        <v>834</v>
      </c>
      <c r="C529" s="36">
        <v>4301031523</v>
      </c>
      <c r="D529" s="639">
        <v>4680115889774</v>
      </c>
      <c r="E529" s="639"/>
      <c r="F529" s="62">
        <v>0.7</v>
      </c>
      <c r="G529" s="37">
        <v>6</v>
      </c>
      <c r="H529" s="62">
        <v>4.2</v>
      </c>
      <c r="I529" s="62">
        <v>4.45</v>
      </c>
      <c r="J529" s="37">
        <v>132</v>
      </c>
      <c r="K529" s="37" t="s">
        <v>131</v>
      </c>
      <c r="L529" s="37" t="s">
        <v>46</v>
      </c>
      <c r="M529" s="38" t="s">
        <v>81</v>
      </c>
      <c r="N529" s="38"/>
      <c r="O529" s="37">
        <v>40</v>
      </c>
      <c r="P529" s="649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41"/>
      <c r="R529" s="641"/>
      <c r="S529" s="641"/>
      <c r="T529" s="642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16" t="s">
        <v>835</v>
      </c>
      <c r="AG529" s="78"/>
      <c r="AJ529" s="84" t="s">
        <v>46</v>
      </c>
      <c r="AK529" s="84">
        <v>0</v>
      </c>
      <c r="BB529" s="617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633"/>
      <c r="B530" s="633"/>
      <c r="C530" s="633"/>
      <c r="D530" s="633"/>
      <c r="E530" s="633"/>
      <c r="F530" s="633"/>
      <c r="G530" s="633"/>
      <c r="H530" s="633"/>
      <c r="I530" s="633"/>
      <c r="J530" s="633"/>
      <c r="K530" s="633"/>
      <c r="L530" s="633"/>
      <c r="M530" s="633"/>
      <c r="N530" s="633"/>
      <c r="O530" s="634"/>
      <c r="P530" s="630" t="s">
        <v>40</v>
      </c>
      <c r="Q530" s="631"/>
      <c r="R530" s="631"/>
      <c r="S530" s="631"/>
      <c r="T530" s="631"/>
      <c r="U530" s="631"/>
      <c r="V530" s="632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633"/>
      <c r="B531" s="633"/>
      <c r="C531" s="633"/>
      <c r="D531" s="633"/>
      <c r="E531" s="633"/>
      <c r="F531" s="633"/>
      <c r="G531" s="633"/>
      <c r="H531" s="633"/>
      <c r="I531" s="633"/>
      <c r="J531" s="633"/>
      <c r="K531" s="633"/>
      <c r="L531" s="633"/>
      <c r="M531" s="633"/>
      <c r="N531" s="633"/>
      <c r="O531" s="634"/>
      <c r="P531" s="630" t="s">
        <v>40</v>
      </c>
      <c r="Q531" s="631"/>
      <c r="R531" s="631"/>
      <c r="S531" s="631"/>
      <c r="T531" s="631"/>
      <c r="U531" s="631"/>
      <c r="V531" s="632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44" t="s">
        <v>83</v>
      </c>
      <c r="B532" s="644"/>
      <c r="C532" s="644"/>
      <c r="D532" s="644"/>
      <c r="E532" s="644"/>
      <c r="F532" s="644"/>
      <c r="G532" s="644"/>
      <c r="H532" s="644"/>
      <c r="I532" s="644"/>
      <c r="J532" s="644"/>
      <c r="K532" s="644"/>
      <c r="L532" s="644"/>
      <c r="M532" s="644"/>
      <c r="N532" s="644"/>
      <c r="O532" s="644"/>
      <c r="P532" s="644"/>
      <c r="Q532" s="644"/>
      <c r="R532" s="644"/>
      <c r="S532" s="644"/>
      <c r="T532" s="644"/>
      <c r="U532" s="644"/>
      <c r="V532" s="644"/>
      <c r="W532" s="644"/>
      <c r="X532" s="644"/>
      <c r="Y532" s="644"/>
      <c r="Z532" s="644"/>
      <c r="AA532" s="66"/>
      <c r="AB532" s="66"/>
      <c r="AC532" s="80"/>
    </row>
    <row r="533" spans="1:68" ht="27" hidden="1" customHeight="1" x14ac:dyDescent="0.25">
      <c r="A533" s="63" t="s">
        <v>836</v>
      </c>
      <c r="B533" s="63" t="s">
        <v>837</v>
      </c>
      <c r="C533" s="36">
        <v>4301052282</v>
      </c>
      <c r="D533" s="639">
        <v>4680115889811</v>
      </c>
      <c r="E533" s="639"/>
      <c r="F533" s="62">
        <v>1.5</v>
      </c>
      <c r="G533" s="37">
        <v>6</v>
      </c>
      <c r="H533" s="62">
        <v>9</v>
      </c>
      <c r="I533" s="62">
        <v>9.4939999999999998</v>
      </c>
      <c r="J533" s="37">
        <v>64</v>
      </c>
      <c r="K533" s="37" t="s">
        <v>124</v>
      </c>
      <c r="L533" s="37" t="s">
        <v>46</v>
      </c>
      <c r="M533" s="38" t="s">
        <v>87</v>
      </c>
      <c r="N533" s="38"/>
      <c r="O533" s="37">
        <v>45</v>
      </c>
      <c r="P533" s="64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41"/>
      <c r="R533" s="641"/>
      <c r="S533" s="641"/>
      <c r="T533" s="642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18" t="s">
        <v>838</v>
      </c>
      <c r="AG533" s="78"/>
      <c r="AJ533" s="84" t="s">
        <v>46</v>
      </c>
      <c r="AK533" s="84">
        <v>0</v>
      </c>
      <c r="BB533" s="619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33"/>
      <c r="B534" s="633"/>
      <c r="C534" s="633"/>
      <c r="D534" s="633"/>
      <c r="E534" s="633"/>
      <c r="F534" s="633"/>
      <c r="G534" s="633"/>
      <c r="H534" s="633"/>
      <c r="I534" s="633"/>
      <c r="J534" s="633"/>
      <c r="K534" s="633"/>
      <c r="L534" s="633"/>
      <c r="M534" s="633"/>
      <c r="N534" s="633"/>
      <c r="O534" s="634"/>
      <c r="P534" s="630" t="s">
        <v>40</v>
      </c>
      <c r="Q534" s="631"/>
      <c r="R534" s="631"/>
      <c r="S534" s="631"/>
      <c r="T534" s="631"/>
      <c r="U534" s="631"/>
      <c r="V534" s="632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33"/>
      <c r="B535" s="633"/>
      <c r="C535" s="633"/>
      <c r="D535" s="633"/>
      <c r="E535" s="633"/>
      <c r="F535" s="633"/>
      <c r="G535" s="633"/>
      <c r="H535" s="633"/>
      <c r="I535" s="633"/>
      <c r="J535" s="633"/>
      <c r="K535" s="633"/>
      <c r="L535" s="633"/>
      <c r="M535" s="633"/>
      <c r="N535" s="633"/>
      <c r="O535" s="634"/>
      <c r="P535" s="630" t="s">
        <v>40</v>
      </c>
      <c r="Q535" s="631"/>
      <c r="R535" s="631"/>
      <c r="S535" s="631"/>
      <c r="T535" s="631"/>
      <c r="U535" s="631"/>
      <c r="V535" s="632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44" t="s">
        <v>172</v>
      </c>
      <c r="B536" s="644"/>
      <c r="C536" s="644"/>
      <c r="D536" s="644"/>
      <c r="E536" s="644"/>
      <c r="F536" s="644"/>
      <c r="G536" s="644"/>
      <c r="H536" s="644"/>
      <c r="I536" s="644"/>
      <c r="J536" s="644"/>
      <c r="K536" s="644"/>
      <c r="L536" s="644"/>
      <c r="M536" s="644"/>
      <c r="N536" s="644"/>
      <c r="O536" s="644"/>
      <c r="P536" s="644"/>
      <c r="Q536" s="644"/>
      <c r="R536" s="644"/>
      <c r="S536" s="644"/>
      <c r="T536" s="644"/>
      <c r="U536" s="644"/>
      <c r="V536" s="644"/>
      <c r="W536" s="644"/>
      <c r="X536" s="644"/>
      <c r="Y536" s="644"/>
      <c r="Z536" s="644"/>
      <c r="AA536" s="66"/>
      <c r="AB536" s="66"/>
      <c r="AC536" s="80"/>
    </row>
    <row r="537" spans="1:68" ht="27" hidden="1" customHeight="1" x14ac:dyDescent="0.25">
      <c r="A537" s="63" t="s">
        <v>839</v>
      </c>
      <c r="B537" s="63" t="s">
        <v>840</v>
      </c>
      <c r="C537" s="36">
        <v>4301060543</v>
      </c>
      <c r="D537" s="639">
        <v>4680115889804</v>
      </c>
      <c r="E537" s="639"/>
      <c r="F537" s="62">
        <v>1.5</v>
      </c>
      <c r="G537" s="37">
        <v>6</v>
      </c>
      <c r="H537" s="62">
        <v>9</v>
      </c>
      <c r="I537" s="62">
        <v>9.41</v>
      </c>
      <c r="J537" s="37">
        <v>64</v>
      </c>
      <c r="K537" s="37" t="s">
        <v>124</v>
      </c>
      <c r="L537" s="37" t="s">
        <v>46</v>
      </c>
      <c r="M537" s="38" t="s">
        <v>87</v>
      </c>
      <c r="N537" s="38"/>
      <c r="O537" s="37">
        <v>40</v>
      </c>
      <c r="P537" s="64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41"/>
      <c r="R537" s="641"/>
      <c r="S537" s="641"/>
      <c r="T537" s="64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0" t="s">
        <v>841</v>
      </c>
      <c r="AG537" s="78"/>
      <c r="AJ537" s="84" t="s">
        <v>46</v>
      </c>
      <c r="AK537" s="84">
        <v>0</v>
      </c>
      <c r="BB537" s="621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t="27" hidden="1" customHeight="1" x14ac:dyDescent="0.25">
      <c r="A538" s="63" t="s">
        <v>842</v>
      </c>
      <c r="B538" s="63" t="s">
        <v>843</v>
      </c>
      <c r="C538" s="36">
        <v>4301060544</v>
      </c>
      <c r="D538" s="639">
        <v>4680115889828</v>
      </c>
      <c r="E538" s="639"/>
      <c r="F538" s="62">
        <v>1.5</v>
      </c>
      <c r="G538" s="37">
        <v>6</v>
      </c>
      <c r="H538" s="62">
        <v>9</v>
      </c>
      <c r="I538" s="62">
        <v>9.41</v>
      </c>
      <c r="J538" s="37">
        <v>64</v>
      </c>
      <c r="K538" s="37" t="s">
        <v>124</v>
      </c>
      <c r="L538" s="37" t="s">
        <v>46</v>
      </c>
      <c r="M538" s="38" t="s">
        <v>87</v>
      </c>
      <c r="N538" s="38"/>
      <c r="O538" s="37">
        <v>40</v>
      </c>
      <c r="P538" s="640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41"/>
      <c r="R538" s="641"/>
      <c r="S538" s="641"/>
      <c r="T538" s="64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22" t="s">
        <v>844</v>
      </c>
      <c r="AG538" s="78"/>
      <c r="AJ538" s="84" t="s">
        <v>46</v>
      </c>
      <c r="AK538" s="84">
        <v>0</v>
      </c>
      <c r="BB538" s="623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33"/>
      <c r="B539" s="633"/>
      <c r="C539" s="633"/>
      <c r="D539" s="633"/>
      <c r="E539" s="633"/>
      <c r="F539" s="633"/>
      <c r="G539" s="633"/>
      <c r="H539" s="633"/>
      <c r="I539" s="633"/>
      <c r="J539" s="633"/>
      <c r="K539" s="633"/>
      <c r="L539" s="633"/>
      <c r="M539" s="633"/>
      <c r="N539" s="633"/>
      <c r="O539" s="634"/>
      <c r="P539" s="630" t="s">
        <v>40</v>
      </c>
      <c r="Q539" s="631"/>
      <c r="R539" s="631"/>
      <c r="S539" s="631"/>
      <c r="T539" s="631"/>
      <c r="U539" s="631"/>
      <c r="V539" s="632"/>
      <c r="W539" s="42" t="s">
        <v>39</v>
      </c>
      <c r="X539" s="43">
        <f>IFERROR(X537/H537,"0")+IFERROR(X538/H538,"0")</f>
        <v>0</v>
      </c>
      <c r="Y539" s="43">
        <f>IFERROR(Y537/H537,"0")+IFERROR(Y538/H538,"0")</f>
        <v>0</v>
      </c>
      <c r="Z539" s="43">
        <f>IFERROR(IF(Z537="",0,Z537),"0")+IFERROR(IF(Z538="",0,Z538),"0")</f>
        <v>0</v>
      </c>
      <c r="AA539" s="67"/>
      <c r="AB539" s="67"/>
      <c r="AC539" s="67"/>
    </row>
    <row r="540" spans="1:68" hidden="1" x14ac:dyDescent="0.2">
      <c r="A540" s="633"/>
      <c r="B540" s="633"/>
      <c r="C540" s="633"/>
      <c r="D540" s="633"/>
      <c r="E540" s="633"/>
      <c r="F540" s="633"/>
      <c r="G540" s="633"/>
      <c r="H540" s="633"/>
      <c r="I540" s="633"/>
      <c r="J540" s="633"/>
      <c r="K540" s="633"/>
      <c r="L540" s="633"/>
      <c r="M540" s="633"/>
      <c r="N540" s="633"/>
      <c r="O540" s="634"/>
      <c r="P540" s="630" t="s">
        <v>40</v>
      </c>
      <c r="Q540" s="631"/>
      <c r="R540" s="631"/>
      <c r="S540" s="631"/>
      <c r="T540" s="631"/>
      <c r="U540" s="631"/>
      <c r="V540" s="632"/>
      <c r="W540" s="42" t="s">
        <v>0</v>
      </c>
      <c r="X540" s="43">
        <f>IFERROR(SUM(X537:X538),"0")</f>
        <v>0</v>
      </c>
      <c r="Y540" s="43">
        <f>IFERROR(SUM(Y537:Y538),"0")</f>
        <v>0</v>
      </c>
      <c r="Z540" s="42"/>
      <c r="AA540" s="67"/>
      <c r="AB540" s="67"/>
      <c r="AC540" s="67"/>
    </row>
    <row r="541" spans="1:68" ht="16.5" hidden="1" customHeight="1" x14ac:dyDescent="0.25">
      <c r="A541" s="643" t="s">
        <v>845</v>
      </c>
      <c r="B541" s="643"/>
      <c r="C541" s="643"/>
      <c r="D541" s="643"/>
      <c r="E541" s="643"/>
      <c r="F541" s="643"/>
      <c r="G541" s="643"/>
      <c r="H541" s="643"/>
      <c r="I541" s="643"/>
      <c r="J541" s="643"/>
      <c r="K541" s="643"/>
      <c r="L541" s="643"/>
      <c r="M541" s="643"/>
      <c r="N541" s="643"/>
      <c r="O541" s="643"/>
      <c r="P541" s="643"/>
      <c r="Q541" s="643"/>
      <c r="R541" s="643"/>
      <c r="S541" s="643"/>
      <c r="T541" s="643"/>
      <c r="U541" s="643"/>
      <c r="V541" s="643"/>
      <c r="W541" s="643"/>
      <c r="X541" s="643"/>
      <c r="Y541" s="643"/>
      <c r="Z541" s="643"/>
      <c r="AA541" s="65"/>
      <c r="AB541" s="65"/>
      <c r="AC541" s="79"/>
    </row>
    <row r="542" spans="1:68" ht="14.25" hidden="1" customHeight="1" x14ac:dyDescent="0.25">
      <c r="A542" s="644" t="s">
        <v>154</v>
      </c>
      <c r="B542" s="644"/>
      <c r="C542" s="644"/>
      <c r="D542" s="644"/>
      <c r="E542" s="644"/>
      <c r="F542" s="644"/>
      <c r="G542" s="644"/>
      <c r="H542" s="644"/>
      <c r="I542" s="644"/>
      <c r="J542" s="644"/>
      <c r="K542" s="644"/>
      <c r="L542" s="644"/>
      <c r="M542" s="644"/>
      <c r="N542" s="644"/>
      <c r="O542" s="644"/>
      <c r="P542" s="644"/>
      <c r="Q542" s="644"/>
      <c r="R542" s="644"/>
      <c r="S542" s="644"/>
      <c r="T542" s="644"/>
      <c r="U542" s="644"/>
      <c r="V542" s="644"/>
      <c r="W542" s="644"/>
      <c r="X542" s="644"/>
      <c r="Y542" s="644"/>
      <c r="Z542" s="644"/>
      <c r="AA542" s="66"/>
      <c r="AB542" s="66"/>
      <c r="AC542" s="80"/>
    </row>
    <row r="543" spans="1:68" ht="27" hidden="1" customHeight="1" x14ac:dyDescent="0.25">
      <c r="A543" s="63" t="s">
        <v>846</v>
      </c>
      <c r="B543" s="63" t="s">
        <v>847</v>
      </c>
      <c r="C543" s="36">
        <v>4301020441</v>
      </c>
      <c r="D543" s="639">
        <v>4680115889798</v>
      </c>
      <c r="E543" s="639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124</v>
      </c>
      <c r="L543" s="37" t="s">
        <v>46</v>
      </c>
      <c r="M543" s="38" t="s">
        <v>123</v>
      </c>
      <c r="N543" s="38"/>
      <c r="O543" s="37">
        <v>50</v>
      </c>
      <c r="P543" s="64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41"/>
      <c r="R543" s="641"/>
      <c r="S543" s="641"/>
      <c r="T543" s="64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24" t="s">
        <v>848</v>
      </c>
      <c r="AG543" s="78"/>
      <c r="AJ543" s="84" t="s">
        <v>46</v>
      </c>
      <c r="AK543" s="84">
        <v>0</v>
      </c>
      <c r="BB543" s="62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33"/>
      <c r="B544" s="633"/>
      <c r="C544" s="633"/>
      <c r="D544" s="633"/>
      <c r="E544" s="633"/>
      <c r="F544" s="633"/>
      <c r="G544" s="633"/>
      <c r="H544" s="633"/>
      <c r="I544" s="633"/>
      <c r="J544" s="633"/>
      <c r="K544" s="633"/>
      <c r="L544" s="633"/>
      <c r="M544" s="633"/>
      <c r="N544" s="633"/>
      <c r="O544" s="634"/>
      <c r="P544" s="630" t="s">
        <v>40</v>
      </c>
      <c r="Q544" s="631"/>
      <c r="R544" s="631"/>
      <c r="S544" s="631"/>
      <c r="T544" s="631"/>
      <c r="U544" s="631"/>
      <c r="V544" s="632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32" hidden="1" x14ac:dyDescent="0.2">
      <c r="A545" s="633"/>
      <c r="B545" s="633"/>
      <c r="C545" s="633"/>
      <c r="D545" s="633"/>
      <c r="E545" s="633"/>
      <c r="F545" s="633"/>
      <c r="G545" s="633"/>
      <c r="H545" s="633"/>
      <c r="I545" s="633"/>
      <c r="J545" s="633"/>
      <c r="K545" s="633"/>
      <c r="L545" s="633"/>
      <c r="M545" s="633"/>
      <c r="N545" s="633"/>
      <c r="O545" s="634"/>
      <c r="P545" s="630" t="s">
        <v>40</v>
      </c>
      <c r="Q545" s="631"/>
      <c r="R545" s="631"/>
      <c r="S545" s="631"/>
      <c r="T545" s="631"/>
      <c r="U545" s="631"/>
      <c r="V545" s="632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32" ht="15" customHeight="1" x14ac:dyDescent="0.2">
      <c r="A546" s="633"/>
      <c r="B546" s="633"/>
      <c r="C546" s="633"/>
      <c r="D546" s="633"/>
      <c r="E546" s="633"/>
      <c r="F546" s="633"/>
      <c r="G546" s="633"/>
      <c r="H546" s="633"/>
      <c r="I546" s="633"/>
      <c r="J546" s="633"/>
      <c r="K546" s="633"/>
      <c r="L546" s="633"/>
      <c r="M546" s="633"/>
      <c r="N546" s="633"/>
      <c r="O546" s="638"/>
      <c r="P546" s="635" t="s">
        <v>33</v>
      </c>
      <c r="Q546" s="636"/>
      <c r="R546" s="636"/>
      <c r="S546" s="636"/>
      <c r="T546" s="636"/>
      <c r="U546" s="636"/>
      <c r="V546" s="637"/>
      <c r="W546" s="42" t="s">
        <v>0</v>
      </c>
      <c r="X546" s="43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7568</v>
      </c>
      <c r="Y546" s="43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7640.28</v>
      </c>
      <c r="Z546" s="42"/>
      <c r="AA546" s="67"/>
      <c r="AB546" s="67"/>
      <c r="AC546" s="67"/>
    </row>
    <row r="547" spans="1:32" x14ac:dyDescent="0.2">
      <c r="A547" s="633"/>
      <c r="B547" s="633"/>
      <c r="C547" s="633"/>
      <c r="D547" s="633"/>
      <c r="E547" s="633"/>
      <c r="F547" s="633"/>
      <c r="G547" s="633"/>
      <c r="H547" s="633"/>
      <c r="I547" s="633"/>
      <c r="J547" s="633"/>
      <c r="K547" s="633"/>
      <c r="L547" s="633"/>
      <c r="M547" s="633"/>
      <c r="N547" s="633"/>
      <c r="O547" s="638"/>
      <c r="P547" s="635" t="s">
        <v>34</v>
      </c>
      <c r="Q547" s="636"/>
      <c r="R547" s="636"/>
      <c r="S547" s="636"/>
      <c r="T547" s="636"/>
      <c r="U547" s="636"/>
      <c r="V547" s="637"/>
      <c r="W547" s="42" t="s">
        <v>0</v>
      </c>
      <c r="X547" s="43">
        <f>IFERROR(SUM(BM22:BM543),"0")</f>
        <v>7878.8613131313132</v>
      </c>
      <c r="Y547" s="43">
        <f>IFERROR(SUM(BN22:BN543),"0")</f>
        <v>7953.75</v>
      </c>
      <c r="Z547" s="42"/>
      <c r="AA547" s="67"/>
      <c r="AB547" s="67"/>
      <c r="AC547" s="67"/>
    </row>
    <row r="548" spans="1:32" x14ac:dyDescent="0.2">
      <c r="A548" s="633"/>
      <c r="B548" s="633"/>
      <c r="C548" s="633"/>
      <c r="D548" s="633"/>
      <c r="E548" s="633"/>
      <c r="F548" s="633"/>
      <c r="G548" s="633"/>
      <c r="H548" s="633"/>
      <c r="I548" s="633"/>
      <c r="J548" s="633"/>
      <c r="K548" s="633"/>
      <c r="L548" s="633"/>
      <c r="M548" s="633"/>
      <c r="N548" s="633"/>
      <c r="O548" s="638"/>
      <c r="P548" s="635" t="s">
        <v>35</v>
      </c>
      <c r="Q548" s="636"/>
      <c r="R548" s="636"/>
      <c r="S548" s="636"/>
      <c r="T548" s="636"/>
      <c r="U548" s="636"/>
      <c r="V548" s="637"/>
      <c r="W548" s="42" t="s">
        <v>20</v>
      </c>
      <c r="X548" s="44">
        <f>ROUNDUP(SUM(BO22:BO543),0)</f>
        <v>12</v>
      </c>
      <c r="Y548" s="44">
        <f>ROUNDUP(SUM(BP22:BP543),0)</f>
        <v>12</v>
      </c>
      <c r="Z548" s="42"/>
      <c r="AA548" s="67"/>
      <c r="AB548" s="67"/>
      <c r="AC548" s="67"/>
    </row>
    <row r="549" spans="1:32" x14ac:dyDescent="0.2">
      <c r="A549" s="633"/>
      <c r="B549" s="633"/>
      <c r="C549" s="633"/>
      <c r="D549" s="633"/>
      <c r="E549" s="633"/>
      <c r="F549" s="633"/>
      <c r="G549" s="633"/>
      <c r="H549" s="633"/>
      <c r="I549" s="633"/>
      <c r="J549" s="633"/>
      <c r="K549" s="633"/>
      <c r="L549" s="633"/>
      <c r="M549" s="633"/>
      <c r="N549" s="633"/>
      <c r="O549" s="638"/>
      <c r="P549" s="635" t="s">
        <v>36</v>
      </c>
      <c r="Q549" s="636"/>
      <c r="R549" s="636"/>
      <c r="S549" s="636"/>
      <c r="T549" s="636"/>
      <c r="U549" s="636"/>
      <c r="V549" s="637"/>
      <c r="W549" s="42" t="s">
        <v>0</v>
      </c>
      <c r="X549" s="43">
        <f>GrossWeightTotal+PalletQtyTotal*25</f>
        <v>8178.8613131313132</v>
      </c>
      <c r="Y549" s="43">
        <f>GrossWeightTotalR+PalletQtyTotalR*25</f>
        <v>8253.75</v>
      </c>
      <c r="Z549" s="42"/>
      <c r="AA549" s="67"/>
      <c r="AB549" s="67"/>
      <c r="AC549" s="67"/>
    </row>
    <row r="550" spans="1:32" x14ac:dyDescent="0.2">
      <c r="A550" s="633"/>
      <c r="B550" s="633"/>
      <c r="C550" s="633"/>
      <c r="D550" s="633"/>
      <c r="E550" s="633"/>
      <c r="F550" s="633"/>
      <c r="G550" s="633"/>
      <c r="H550" s="633"/>
      <c r="I550" s="633"/>
      <c r="J550" s="633"/>
      <c r="K550" s="633"/>
      <c r="L550" s="633"/>
      <c r="M550" s="633"/>
      <c r="N550" s="633"/>
      <c r="O550" s="638"/>
      <c r="P550" s="635" t="s">
        <v>37</v>
      </c>
      <c r="Q550" s="636"/>
      <c r="R550" s="636"/>
      <c r="S550" s="636"/>
      <c r="T550" s="636"/>
      <c r="U550" s="636"/>
      <c r="V550" s="637"/>
      <c r="W550" s="42" t="s">
        <v>20</v>
      </c>
      <c r="X550" s="43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818.97306397306386</v>
      </c>
      <c r="Y550" s="43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827</v>
      </c>
      <c r="Z550" s="42"/>
      <c r="AA550" s="67"/>
      <c r="AB550" s="67"/>
      <c r="AC550" s="67"/>
    </row>
    <row r="551" spans="1:32" ht="14.25" hidden="1" x14ac:dyDescent="0.2">
      <c r="A551" s="633"/>
      <c r="B551" s="633"/>
      <c r="C551" s="633"/>
      <c r="D551" s="633"/>
      <c r="E551" s="633"/>
      <c r="F551" s="633"/>
      <c r="G551" s="633"/>
      <c r="H551" s="633"/>
      <c r="I551" s="633"/>
      <c r="J551" s="633"/>
      <c r="K551" s="633"/>
      <c r="L551" s="633"/>
      <c r="M551" s="633"/>
      <c r="N551" s="633"/>
      <c r="O551" s="638"/>
      <c r="P551" s="635" t="s">
        <v>38</v>
      </c>
      <c r="Q551" s="636"/>
      <c r="R551" s="636"/>
      <c r="S551" s="636"/>
      <c r="T551" s="636"/>
      <c r="U551" s="636"/>
      <c r="V551" s="637"/>
      <c r="W551" s="45" t="s">
        <v>52</v>
      </c>
      <c r="X551" s="42"/>
      <c r="Y551" s="42"/>
      <c r="Z551" s="42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12.72123</v>
      </c>
      <c r="AA551" s="67"/>
      <c r="AB551" s="67"/>
      <c r="AC551" s="67"/>
    </row>
    <row r="552" spans="1:32" ht="13.5" thickBot="1" x14ac:dyDescent="0.25"/>
    <row r="553" spans="1:32" ht="27" thickTop="1" thickBot="1" x14ac:dyDescent="0.25">
      <c r="A553" s="46" t="s">
        <v>9</v>
      </c>
      <c r="B553" s="85" t="s">
        <v>76</v>
      </c>
      <c r="C553" s="85" t="s">
        <v>45</v>
      </c>
      <c r="D553" s="626" t="s">
        <v>117</v>
      </c>
      <c r="E553" s="626" t="s">
        <v>117</v>
      </c>
      <c r="F553" s="626" t="s">
        <v>117</v>
      </c>
      <c r="G553" s="626" t="s">
        <v>117</v>
      </c>
      <c r="H553" s="626" t="s">
        <v>117</v>
      </c>
      <c r="I553" s="626" t="s">
        <v>117</v>
      </c>
      <c r="J553" s="626" t="s">
        <v>117</v>
      </c>
      <c r="K553" s="626" t="s">
        <v>338</v>
      </c>
      <c r="L553" s="626" t="s">
        <v>338</v>
      </c>
      <c r="M553" s="626" t="s">
        <v>338</v>
      </c>
      <c r="N553" s="627"/>
      <c r="O553" s="626" t="s">
        <v>338</v>
      </c>
      <c r="P553" s="626" t="s">
        <v>338</v>
      </c>
      <c r="Q553" s="626" t="s">
        <v>338</v>
      </c>
      <c r="R553" s="626" t="s">
        <v>338</v>
      </c>
      <c r="S553" s="626" t="s">
        <v>338</v>
      </c>
      <c r="T553" s="626" t="s">
        <v>338</v>
      </c>
      <c r="U553" s="626" t="s">
        <v>338</v>
      </c>
      <c r="V553" s="626" t="s">
        <v>338</v>
      </c>
      <c r="W553" s="626" t="s">
        <v>684</v>
      </c>
      <c r="X553" s="626" t="s">
        <v>684</v>
      </c>
      <c r="Y553" s="626" t="s">
        <v>750</v>
      </c>
      <c r="Z553" s="626" t="s">
        <v>750</v>
      </c>
      <c r="AA553" s="85" t="s">
        <v>783</v>
      </c>
      <c r="AB553" s="626" t="s">
        <v>827</v>
      </c>
      <c r="AC553" s="626" t="s">
        <v>827</v>
      </c>
      <c r="AF553" s="1"/>
    </row>
    <row r="554" spans="1:32" ht="14.25" customHeight="1" thickTop="1" x14ac:dyDescent="0.2">
      <c r="A554" s="628" t="s">
        <v>10</v>
      </c>
      <c r="B554" s="626" t="s">
        <v>76</v>
      </c>
      <c r="C554" s="626" t="s">
        <v>101</v>
      </c>
      <c r="D554" s="626" t="s">
        <v>118</v>
      </c>
      <c r="E554" s="626" t="s">
        <v>134</v>
      </c>
      <c r="F554" s="626" t="s">
        <v>180</v>
      </c>
      <c r="G554" s="626" t="s">
        <v>204</v>
      </c>
      <c r="H554" s="626" t="s">
        <v>248</v>
      </c>
      <c r="I554" s="626" t="s">
        <v>261</v>
      </c>
      <c r="J554" s="626" t="s">
        <v>117</v>
      </c>
      <c r="K554" s="626" t="s">
        <v>339</v>
      </c>
      <c r="L554" s="626" t="s">
        <v>360</v>
      </c>
      <c r="M554" s="626" t="s">
        <v>423</v>
      </c>
      <c r="N554" s="1"/>
      <c r="O554" s="626" t="s">
        <v>491</v>
      </c>
      <c r="P554" s="626" t="s">
        <v>522</v>
      </c>
      <c r="Q554" s="626" t="s">
        <v>541</v>
      </c>
      <c r="R554" s="626" t="s">
        <v>550</v>
      </c>
      <c r="S554" s="626" t="s">
        <v>572</v>
      </c>
      <c r="T554" s="626" t="s">
        <v>581</v>
      </c>
      <c r="U554" s="626" t="s">
        <v>667</v>
      </c>
      <c r="V554" s="626" t="s">
        <v>674</v>
      </c>
      <c r="W554" s="626" t="s">
        <v>685</v>
      </c>
      <c r="X554" s="626" t="s">
        <v>734</v>
      </c>
      <c r="Y554" s="626" t="s">
        <v>751</v>
      </c>
      <c r="Z554" s="626" t="s">
        <v>771</v>
      </c>
      <c r="AA554" s="626" t="s">
        <v>783</v>
      </c>
      <c r="AB554" s="626" t="s">
        <v>827</v>
      </c>
      <c r="AC554" s="626" t="s">
        <v>845</v>
      </c>
      <c r="AF554" s="1"/>
    </row>
    <row r="555" spans="1:32" ht="13.5" thickBot="1" x14ac:dyDescent="0.25">
      <c r="A555" s="629"/>
      <c r="B555" s="626"/>
      <c r="C555" s="626"/>
      <c r="D555" s="626"/>
      <c r="E555" s="626"/>
      <c r="F555" s="626"/>
      <c r="G555" s="626"/>
      <c r="H555" s="626"/>
      <c r="I555" s="626"/>
      <c r="J555" s="626"/>
      <c r="K555" s="626"/>
      <c r="L555" s="626"/>
      <c r="M555" s="626"/>
      <c r="N555" s="1"/>
      <c r="O555" s="626"/>
      <c r="P555" s="626"/>
      <c r="Q555" s="626"/>
      <c r="R555" s="626"/>
      <c r="S555" s="626"/>
      <c r="T555" s="626"/>
      <c r="U555" s="626"/>
      <c r="V555" s="626"/>
      <c r="W555" s="626"/>
      <c r="X555" s="626"/>
      <c r="Y555" s="626"/>
      <c r="Z555" s="626"/>
      <c r="AA555" s="626"/>
      <c r="AB555" s="626"/>
      <c r="AC555" s="626"/>
      <c r="AF555" s="1"/>
    </row>
    <row r="556" spans="1:32" ht="18" thickTop="1" thickBot="1" x14ac:dyDescent="0.25">
      <c r="A556" s="46" t="s">
        <v>13</v>
      </c>
      <c r="B556" s="52">
        <f>IFERROR(Y22*1,"0")+IFERROR(Y26*1,"0")+IFERROR(Y27*1,"0")+IFERROR(Y28*1,"0")+IFERROR(Y29*1,"0")+IFERROR(Y30*1,"0")</f>
        <v>0</v>
      </c>
      <c r="C556" s="52">
        <f>IFERROR(Y36*1,"0")+IFERROR(Y37*1,"0")+IFERROR(Y38*1,"0")+IFERROR(Y39*1,"0")+IFERROR(Y40*1,"0")</f>
        <v>0</v>
      </c>
      <c r="D556" s="52">
        <f>IFERROR(Y46*1,"0")+IFERROR(Y47*1,"0")+IFERROR(Y48*1,"0")+IFERROR(Y49*1,"0")</f>
        <v>410.40000000000003</v>
      </c>
      <c r="E556" s="52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356.40000000000003</v>
      </c>
      <c r="F556" s="52">
        <f>IFERROR(Y84*1,"0")+IFERROR(Y85*1,"0")+IFERROR(Y86*1,"0")+IFERROR(Y87*1,"0")+IFERROR(Y88*1,"0")+IFERROR(Y89*1,"0")+IFERROR(Y93*1,"0")+IFERROR(Y94*1,"0")+IFERROR(Y95*1,"0")+IFERROR(Y96*1,"0")</f>
        <v>0</v>
      </c>
      <c r="G556" s="52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259.20000000000005</v>
      </c>
      <c r="H556" s="52">
        <f>IFERROR(Y131*1,"0")+IFERROR(Y132*1,"0")+IFERROR(Y136*1,"0")+IFERROR(Y137*1,"0")+IFERROR(Y141*1,"0")+IFERROR(Y142*1,"0")</f>
        <v>0</v>
      </c>
      <c r="I556" s="52">
        <f>IFERROR(Y147*1,"0")+IFERROR(Y148*1,"0")+IFERROR(Y149*1,"0")+IFERROR(Y150*1,"0")+IFERROR(Y154*1,"0")</f>
        <v>0</v>
      </c>
      <c r="J556" s="52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0</v>
      </c>
      <c r="K556" s="52">
        <f>IFERROR(Y199*1,"0")+IFERROR(Y200*1,"0")+IFERROR(Y201*1,"0")+IFERROR(Y202*1,"0")+IFERROR(Y203*1,"0")+IFERROR(Y204*1,"0")+IFERROR(Y205*1,"0")</f>
        <v>0</v>
      </c>
      <c r="L556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6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498</v>
      </c>
      <c r="N556" s="1"/>
      <c r="O556" s="52">
        <f>IFERROR(Y291*1,"0")+IFERROR(Y292*1,"0")+IFERROR(Y293*1,"0")+IFERROR(Y294*1,"0")+IFERROR(Y295*1,"0")+IFERROR(Y296*1,"0")+IFERROR(Y297*1,"0")+IFERROR(Y301*1,"0")+IFERROR(Y305*1,"0")+IFERROR(Y309*1,"0")+IFERROR(Y310*1,"0")</f>
        <v>0</v>
      </c>
      <c r="P556" s="52">
        <f>IFERROR(Y315*1,"0")+IFERROR(Y316*1,"0")+IFERROR(Y317*1,"0")+IFERROR(Y318*1,"0")+IFERROR(Y319*1,"0")+IFERROR(Y320*1,"0")</f>
        <v>0</v>
      </c>
      <c r="Q556" s="52">
        <f>IFERROR(Y325*1,"0")+IFERROR(Y326*1,"0")+IFERROR(Y327*1,"0")</f>
        <v>0</v>
      </c>
      <c r="R556" s="52">
        <f>IFERROR(Y332*1,"0")+IFERROR(Y333*1,"0")+IFERROR(Y334*1,"0")+IFERROR(Y335*1,"0")+IFERROR(Y339*1,"0")+IFERROR(Y340*1,"0")+IFERROR(Y341*1,"0")</f>
        <v>0</v>
      </c>
      <c r="S556" s="52">
        <f>IFERROR(Y346*1,"0")+IFERROR(Y347*1,"0")+IFERROR(Y348*1,"0")</f>
        <v>0</v>
      </c>
      <c r="T556" s="52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102</v>
      </c>
      <c r="U556" s="52">
        <f>IFERROR(Y406*1,"0")+IFERROR(Y407*1,"0")</f>
        <v>0</v>
      </c>
      <c r="V556" s="52">
        <f>IFERROR(Y412*1,"0")+IFERROR(Y413*1,"0")+IFERROR(Y414*1,"0")</f>
        <v>0</v>
      </c>
      <c r="W556" s="52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5025</v>
      </c>
      <c r="X556" s="52">
        <f>IFERROR(Y449*1,"0")+IFERROR(Y450*1,"0")+IFERROR(Y454*1,"0")+IFERROR(Y458*1,"0")+IFERROR(Y459*1,"0")+IFERROR(Y460*1,"0")</f>
        <v>0</v>
      </c>
      <c r="Y556" s="52">
        <f>IFERROR(Y466*1,"0")+IFERROR(Y467*1,"0")+IFERROR(Y468*1,"0")+IFERROR(Y469*1,"0")+IFERROR(Y470*1,"0")+IFERROR(Y471*1,"0")+IFERROR(Y475*1,"0")</f>
        <v>43.2</v>
      </c>
      <c r="Z556" s="52">
        <f>IFERROR(Y480*1,"0")+IFERROR(Y484*1,"0")+IFERROR(Y485*1,"0")+IFERROR(Y486*1,"0")</f>
        <v>43.2</v>
      </c>
      <c r="AA556" s="52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902.88000000000011</v>
      </c>
      <c r="AB556" s="52">
        <f>IFERROR(Y521*1,"0")+IFERROR(Y525*1,"0")+IFERROR(Y529*1,"0")+IFERROR(Y533*1,"0")+IFERROR(Y537*1,"0")+IFERROR(Y538*1,"0")</f>
        <v>0</v>
      </c>
      <c r="AC556" s="52">
        <f>IFERROR(Y543*1,"0")</f>
        <v>0</v>
      </c>
      <c r="AF556" s="1"/>
    </row>
  </sheetData>
  <sheetProtection algorithmName="SHA-512" hashValue="n2QihYNGIvNNOC2YJApIFUsjUpjP87Q5jeXR0XRQMfYl4tGIsEIGAIw0OY9MYfgjZsare9o263/3em8MvtkSyw==" saltValue="TSlWrYK76FFDiU62sZnPRw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02,00"/>
        <filter val="113,64"/>
        <filter val="12"/>
        <filter val="140,00"/>
        <filter val="150,00"/>
        <filter val="168,00"/>
        <filter val="2 000,00"/>
        <filter val="23,15"/>
        <filter val="250,00"/>
        <filter val="27,78"/>
        <filter val="300,00"/>
        <filter val="32,41"/>
        <filter val="333,33"/>
        <filter val="336,00"/>
        <filter val="350,00"/>
        <filter val="37,04"/>
        <filter val="40,00"/>
        <filter val="400,00"/>
        <filter val="5 000,00"/>
        <filter val="50,00"/>
        <filter val="56,82"/>
        <filter val="600,00"/>
        <filter val="7 568,00"/>
        <filter val="7 878,86"/>
        <filter val="7,41"/>
        <filter val="8 178,86"/>
        <filter val="818,97"/>
      </filters>
    </filterColumn>
    <filterColumn colId="29" showButton="0"/>
    <filterColumn colId="30" showButton="0"/>
  </autoFilter>
  <dataConsolidate/>
  <mergeCells count="97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A34:Z34"/>
    <mergeCell ref="A35:Z35"/>
    <mergeCell ref="D36:E36"/>
    <mergeCell ref="P36:T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A465:Z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A519:Z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D538:E538"/>
    <mergeCell ref="P538:T538"/>
    <mergeCell ref="P539:V539"/>
    <mergeCell ref="A539:O540"/>
    <mergeCell ref="P540:V540"/>
    <mergeCell ref="A541:Z541"/>
    <mergeCell ref="A542:Z542"/>
    <mergeCell ref="D543:E543"/>
    <mergeCell ref="P543:T543"/>
    <mergeCell ref="P544:V544"/>
    <mergeCell ref="A544:O545"/>
    <mergeCell ref="P545:V545"/>
    <mergeCell ref="P546:V546"/>
    <mergeCell ref="A546:O551"/>
    <mergeCell ref="P547:V547"/>
    <mergeCell ref="P548:V548"/>
    <mergeCell ref="P549:V549"/>
    <mergeCell ref="P550:V550"/>
    <mergeCell ref="P551:V551"/>
    <mergeCell ref="D553:J553"/>
    <mergeCell ref="K553:V553"/>
    <mergeCell ref="W553:X553"/>
    <mergeCell ref="Y553:Z553"/>
    <mergeCell ref="AB553:AC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T554:T555"/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9"/>
    </row>
    <row r="3" spans="2:8" x14ac:dyDescent="0.2">
      <c r="B3" s="53" t="s">
        <v>850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852</v>
      </c>
      <c r="C6" s="53" t="s">
        <v>853</v>
      </c>
      <c r="D6" s="53" t="s">
        <v>854</v>
      </c>
      <c r="E6" s="53" t="s">
        <v>46</v>
      </c>
    </row>
    <row r="7" spans="2:8" x14ac:dyDescent="0.2">
      <c r="B7" s="53" t="s">
        <v>855</v>
      </c>
      <c r="C7" s="53" t="s">
        <v>856</v>
      </c>
      <c r="D7" s="53" t="s">
        <v>857</v>
      </c>
      <c r="E7" s="53" t="s">
        <v>46</v>
      </c>
    </row>
    <row r="8" spans="2:8" x14ac:dyDescent="0.2">
      <c r="B8" s="53" t="s">
        <v>858</v>
      </c>
      <c r="C8" s="53" t="s">
        <v>859</v>
      </c>
      <c r="D8" s="53" t="s">
        <v>860</v>
      </c>
      <c r="E8" s="53" t="s">
        <v>46</v>
      </c>
    </row>
    <row r="10" spans="2:8" x14ac:dyDescent="0.2">
      <c r="B10" s="53" t="s">
        <v>861</v>
      </c>
      <c r="C10" s="53" t="s">
        <v>853</v>
      </c>
      <c r="D10" s="53" t="s">
        <v>46</v>
      </c>
      <c r="E10" s="53" t="s">
        <v>46</v>
      </c>
    </row>
    <row r="12" spans="2:8" x14ac:dyDescent="0.2">
      <c r="B12" s="53" t="s">
        <v>862</v>
      </c>
      <c r="C12" s="53" t="s">
        <v>856</v>
      </c>
      <c r="D12" s="53" t="s">
        <v>46</v>
      </c>
      <c r="E12" s="53" t="s">
        <v>46</v>
      </c>
    </row>
    <row r="14" spans="2:8" x14ac:dyDescent="0.2">
      <c r="B14" s="53" t="s">
        <v>863</v>
      </c>
      <c r="C14" s="53" t="s">
        <v>859</v>
      </c>
      <c r="D14" s="53" t="s">
        <v>46</v>
      </c>
      <c r="E14" s="53" t="s">
        <v>46</v>
      </c>
    </row>
    <row r="16" spans="2:8" x14ac:dyDescent="0.2">
      <c r="B16" s="53" t="s">
        <v>864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868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869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870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871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872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873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874</v>
      </c>
      <c r="C26" s="53" t="s">
        <v>46</v>
      </c>
      <c r="D26" s="53" t="s">
        <v>46</v>
      </c>
      <c r="E26" s="53" t="s">
        <v>46</v>
      </c>
    </row>
  </sheetData>
  <sheetProtection algorithmName="SHA-512" hashValue="TxoPYZawMu7AAnbztbNTAng/hWT8IrGFjXQApTkDxOFqmSdltHIqjXhlf1MjS9gVhU7hdaQNHLl9IVeE4xSdhw==" saltValue="ibw35wy9TuowjcNfvEIFx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1125</vt:i4>
      </vt:variant>
    </vt:vector>
  </HeadingPairs>
  <TitlesOfParts>
    <vt:vector size="11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2026-10-08T10:56:37Z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