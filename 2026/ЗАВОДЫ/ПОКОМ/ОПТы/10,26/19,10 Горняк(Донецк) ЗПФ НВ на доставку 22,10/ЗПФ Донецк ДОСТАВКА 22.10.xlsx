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F1797D-DC54-4117-B95D-E01C25CDFCF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заказа'!$B$62:$B$62</definedName>
    <definedName name="ProductId21">'Бланк заказа'!$B$63:$B$63</definedName>
    <definedName name="ProductId22">'Бланк заказа'!$B$64:$B$64</definedName>
    <definedName name="ProductId23">'Бланк заказа'!$B$65:$B$65</definedName>
    <definedName name="ProductId24">'Бланк заказа'!$B$70:$B$70</definedName>
    <definedName name="ProductId25">'Бланк заказа'!$B$71:$B$71</definedName>
    <definedName name="ProductId26">'Бланк заказа'!$B$76:$B$76</definedName>
    <definedName name="ProductId27">'Бланк заказа'!$B$81:$B$81</definedName>
    <definedName name="ProductId28">'Бланк заказа'!$B$82:$B$82</definedName>
    <definedName name="ProductId29">'Бланк заказа'!$B$87:$B$87</definedName>
    <definedName name="ProductId3">'Бланк заказа'!$B$24:$B$24</definedName>
    <definedName name="ProductId30">'Бланк заказа'!$B$88:$B$88</definedName>
    <definedName name="ProductId31">'Бланк заказа'!$B$89:$B$89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заказа'!$B$25:$B$25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заказа'!$B$113:$B$113</definedName>
    <definedName name="ProductId45">'Бланк заказа'!$B$117:$B$117</definedName>
    <definedName name="ProductId46">'Бланк заказа'!$B$122:$B$122</definedName>
    <definedName name="ProductId47">'Бланк заказа'!$B$126:$B$126</definedName>
    <definedName name="ProductId48">'Бланк заказа'!$B$127:$B$127</definedName>
    <definedName name="ProductId49">'Бланк заказа'!$B$128:$B$128</definedName>
    <definedName name="ProductId5">'Бланк заказа'!$B$26:$B$26</definedName>
    <definedName name="ProductId50">'Бланк заказа'!$B$129:$B$129</definedName>
    <definedName name="ProductId51">'Бланк заказа'!$B$133:$B$133</definedName>
    <definedName name="ProductId52">'Бланк заказа'!$B$134:$B$134</definedName>
    <definedName name="ProductId53">'Бланк заказа'!$B$135:$B$135</definedName>
    <definedName name="ProductId54">'Бланк заказа'!$B$140:$B$140</definedName>
    <definedName name="ProductId55">'Бланк заказа'!$B$141:$B$141</definedName>
    <definedName name="ProductId56">'Бланк заказа'!$B$146:$B$146</definedName>
    <definedName name="ProductId57">'Бланк заказа'!$B$147:$B$147</definedName>
    <definedName name="ProductId58">'Бланк заказа'!$B$152:$B$152</definedName>
    <definedName name="ProductId59">'Бланк заказа'!$B$153:$B$153</definedName>
    <definedName name="ProductId6">'Бланк заказа'!$B$27:$B$27</definedName>
    <definedName name="ProductId60">'Бланк заказа'!$B$158:$B$158</definedName>
    <definedName name="ProductId61">'Бланк заказа'!$B$163:$B$163</definedName>
    <definedName name="ProductId62">'Бланк заказа'!$B$168:$B$168</definedName>
    <definedName name="ProductId63">'Бланк заказа'!$B$174:$B$174</definedName>
    <definedName name="ProductId64">'Бланк заказа'!$B$178:$B$178</definedName>
    <definedName name="ProductId65">'Бланк заказа'!$B$183:$B$183</definedName>
    <definedName name="ProductId66">'Бланк заказа'!$B$184:$B$184</definedName>
    <definedName name="ProductId67">'Бланк заказа'!$B$189:$B$189</definedName>
    <definedName name="ProductId68">'Бланк заказа'!$B$195:$B$195</definedName>
    <definedName name="ProductId69">'Бланк заказа'!$B$196:$B$196</definedName>
    <definedName name="ProductId7">'Бланк заказа'!$B$28:$B$28</definedName>
    <definedName name="ProductId70">'Бланк заказа'!$B$197:$B$197</definedName>
    <definedName name="ProductId71">'Бланк заказа'!$B$198:$B$198</definedName>
    <definedName name="ProductId72">'Бланк заказа'!$B$204:$B$204</definedName>
    <definedName name="ProductId73">'Бланк заказа'!$B$208:$B$208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заказа'!$X$62:$X$62</definedName>
    <definedName name="SalesQty21">'Бланк заказа'!$X$63:$X$63</definedName>
    <definedName name="SalesQty22">'Бланк заказа'!$X$64:$X$64</definedName>
    <definedName name="SalesQty23">'Бланк заказа'!$X$65:$X$65</definedName>
    <definedName name="SalesQty24">'Бланк заказа'!$X$70:$X$70</definedName>
    <definedName name="SalesQty25">'Бланк заказа'!$X$71:$X$71</definedName>
    <definedName name="SalesQty26">'Бланк заказа'!$X$76:$X$76</definedName>
    <definedName name="SalesQty27">'Бланк заказа'!$X$81:$X$81</definedName>
    <definedName name="SalesQty28">'Бланк заказа'!$X$82:$X$82</definedName>
    <definedName name="SalesQty29">'Бланк заказа'!$X$87:$X$87</definedName>
    <definedName name="SalesQty3">'Бланк заказа'!$X$24:$X$24</definedName>
    <definedName name="SalesQty30">'Бланк заказа'!$X$88:$X$88</definedName>
    <definedName name="SalesQty31">'Бланк заказа'!$X$89:$X$89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заказа'!$X$25:$X$25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заказа'!$X$113:$X$113</definedName>
    <definedName name="SalesQty45">'Бланк заказа'!$X$117:$X$117</definedName>
    <definedName name="SalesQty46">'Бланк заказа'!$X$122:$X$122</definedName>
    <definedName name="SalesQty47">'Бланк заказа'!$X$126:$X$126</definedName>
    <definedName name="SalesQty48">'Бланк заказа'!$X$127:$X$127</definedName>
    <definedName name="SalesQty49">'Бланк заказа'!$X$128:$X$128</definedName>
    <definedName name="SalesQty5">'Бланк заказа'!$X$26:$X$26</definedName>
    <definedName name="SalesQty50">'Бланк заказа'!$X$129:$X$129</definedName>
    <definedName name="SalesQty51">'Бланк заказа'!$X$133:$X$133</definedName>
    <definedName name="SalesQty52">'Бланк заказа'!$X$134:$X$134</definedName>
    <definedName name="SalesQty53">'Бланк заказа'!$X$135:$X$135</definedName>
    <definedName name="SalesQty54">'Бланк заказа'!$X$140:$X$140</definedName>
    <definedName name="SalesQty55">'Бланк заказа'!$X$141:$X$141</definedName>
    <definedName name="SalesQty56">'Бланк заказа'!$X$146:$X$146</definedName>
    <definedName name="SalesQty57">'Бланк заказа'!$X$147:$X$147</definedName>
    <definedName name="SalesQty58">'Бланк заказа'!$X$152:$X$152</definedName>
    <definedName name="SalesQty59">'Бланк заказа'!$X$153:$X$153</definedName>
    <definedName name="SalesQty6">'Бланк заказа'!$X$27:$X$27</definedName>
    <definedName name="SalesQty60">'Бланк заказа'!$X$158:$X$158</definedName>
    <definedName name="SalesQty61">'Бланк заказа'!$X$163:$X$163</definedName>
    <definedName name="SalesQty62">'Бланк заказа'!$X$168:$X$168</definedName>
    <definedName name="SalesQty63">'Бланк заказа'!$X$174:$X$174</definedName>
    <definedName name="SalesQty64">'Бланк заказа'!$X$178:$X$178</definedName>
    <definedName name="SalesQty65">'Бланк заказа'!$X$183:$X$183</definedName>
    <definedName name="SalesQty66">'Бланк заказа'!$X$184:$X$184</definedName>
    <definedName name="SalesQty67">'Бланк заказа'!$X$189:$X$189</definedName>
    <definedName name="SalesQty68">'Бланк заказа'!$X$195:$X$195</definedName>
    <definedName name="SalesQty69">'Бланк заказа'!$X$196:$X$196</definedName>
    <definedName name="SalesQty7">'Бланк заказа'!$X$28:$X$28</definedName>
    <definedName name="SalesQty70">'Бланк заказа'!$X$197:$X$197</definedName>
    <definedName name="SalesQty71">'Бланк заказа'!$X$198:$X$198</definedName>
    <definedName name="SalesQty72">'Бланк заказа'!$X$204:$X$204</definedName>
    <definedName name="SalesQty73">'Бланк заказа'!$X$208:$X$208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заказа'!$Y$62:$Y$62</definedName>
    <definedName name="SalesRoundBox21">'Бланк заказа'!$Y$63:$Y$63</definedName>
    <definedName name="SalesRoundBox22">'Бланк заказа'!$Y$64:$Y$64</definedName>
    <definedName name="SalesRoundBox23">'Бланк заказа'!$Y$65:$Y$65</definedName>
    <definedName name="SalesRoundBox24">'Бланк заказа'!$Y$70:$Y$70</definedName>
    <definedName name="SalesRoundBox25">'Бланк заказа'!$Y$71:$Y$71</definedName>
    <definedName name="SalesRoundBox26">'Бланк заказа'!$Y$76:$Y$76</definedName>
    <definedName name="SalesRoundBox27">'Бланк заказа'!$Y$81:$Y$81</definedName>
    <definedName name="SalesRoundBox28">'Бланк заказа'!$Y$82:$Y$82</definedName>
    <definedName name="SalesRoundBox29">'Бланк заказа'!$Y$87:$Y$87</definedName>
    <definedName name="SalesRoundBox3">'Бланк заказа'!$Y$24:$Y$24</definedName>
    <definedName name="SalesRoundBox30">'Бланк заказа'!$Y$88:$Y$88</definedName>
    <definedName name="SalesRoundBox31">'Бланк заказа'!$Y$89:$Y$89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заказа'!$Y$25:$Y$25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заказа'!$Y$113:$Y$113</definedName>
    <definedName name="SalesRoundBox45">'Бланк заказа'!$Y$117:$Y$117</definedName>
    <definedName name="SalesRoundBox46">'Бланк заказа'!$Y$122:$Y$122</definedName>
    <definedName name="SalesRoundBox47">'Бланк заказа'!$Y$126:$Y$126</definedName>
    <definedName name="SalesRoundBox48">'Бланк заказа'!$Y$127:$Y$127</definedName>
    <definedName name="SalesRoundBox49">'Бланк заказа'!$Y$128:$Y$128</definedName>
    <definedName name="SalesRoundBox5">'Бланк заказа'!$Y$26:$Y$26</definedName>
    <definedName name="SalesRoundBox50">'Бланк заказа'!$Y$129:$Y$129</definedName>
    <definedName name="SalesRoundBox51">'Бланк заказа'!$Y$133:$Y$133</definedName>
    <definedName name="SalesRoundBox52">'Бланк заказа'!$Y$134:$Y$134</definedName>
    <definedName name="SalesRoundBox53">'Бланк заказа'!$Y$135:$Y$135</definedName>
    <definedName name="SalesRoundBox54">'Бланк заказа'!$Y$140:$Y$140</definedName>
    <definedName name="SalesRoundBox55">'Бланк заказа'!$Y$141:$Y$141</definedName>
    <definedName name="SalesRoundBox56">'Бланк заказа'!$Y$146:$Y$146</definedName>
    <definedName name="SalesRoundBox57">'Бланк заказа'!$Y$147:$Y$147</definedName>
    <definedName name="SalesRoundBox58">'Бланк заказа'!$Y$152:$Y$152</definedName>
    <definedName name="SalesRoundBox59">'Бланк заказа'!$Y$153:$Y$153</definedName>
    <definedName name="SalesRoundBox6">'Бланк заказа'!$Y$27:$Y$27</definedName>
    <definedName name="SalesRoundBox60">'Бланк заказа'!$Y$158:$Y$158</definedName>
    <definedName name="SalesRoundBox61">'Бланк заказа'!$Y$163:$Y$163</definedName>
    <definedName name="SalesRoundBox62">'Бланк заказа'!$Y$168:$Y$168</definedName>
    <definedName name="SalesRoundBox63">'Бланк заказа'!$Y$174:$Y$174</definedName>
    <definedName name="SalesRoundBox64">'Бланк заказа'!$Y$178:$Y$178</definedName>
    <definedName name="SalesRoundBox65">'Бланк заказа'!$Y$183:$Y$183</definedName>
    <definedName name="SalesRoundBox66">'Бланк заказа'!$Y$184:$Y$184</definedName>
    <definedName name="SalesRoundBox67">'Бланк заказа'!$Y$189:$Y$189</definedName>
    <definedName name="SalesRoundBox68">'Бланк заказа'!$Y$195:$Y$195</definedName>
    <definedName name="SalesRoundBox69">'Бланк заказа'!$Y$196:$Y$196</definedName>
    <definedName name="SalesRoundBox7">'Бланк заказа'!$Y$28:$Y$28</definedName>
    <definedName name="SalesRoundBox70">'Бланк заказа'!$Y$197:$Y$197</definedName>
    <definedName name="SalesRoundBox71">'Бланк заказа'!$Y$198:$Y$198</definedName>
    <definedName name="SalesRoundBox72">'Бланк заказа'!$Y$204:$Y$204</definedName>
    <definedName name="SalesRoundBox73">'Бланк заказа'!$Y$208:$Y$208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заказа'!$W$62:$W$62</definedName>
    <definedName name="UnitOfMeasure21">'Бланк заказа'!$W$63:$W$63</definedName>
    <definedName name="UnitOfMeasure22">'Бланк заказа'!$W$64:$W$64</definedName>
    <definedName name="UnitOfMeasure23">'Бланк заказа'!$W$65:$W$65</definedName>
    <definedName name="UnitOfMeasure24">'Бланк заказа'!$W$70:$W$70</definedName>
    <definedName name="UnitOfMeasure25">'Бланк заказа'!$W$71:$W$71</definedName>
    <definedName name="UnitOfMeasure26">'Бланк заказа'!$W$76:$W$76</definedName>
    <definedName name="UnitOfMeasure27">'Бланк заказа'!$W$81:$W$81</definedName>
    <definedName name="UnitOfMeasure28">'Бланк заказа'!$W$82:$W$82</definedName>
    <definedName name="UnitOfMeasure29">'Бланк заказа'!$W$87:$W$87</definedName>
    <definedName name="UnitOfMeasure3">'Бланк заказа'!$W$24:$W$24</definedName>
    <definedName name="UnitOfMeasure30">'Бланк заказа'!$W$88:$W$88</definedName>
    <definedName name="UnitOfMeasure31">'Бланк заказа'!$W$89:$W$89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заказа'!$W$25:$W$25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заказа'!$W$113:$W$113</definedName>
    <definedName name="UnitOfMeasure45">'Бланк заказа'!$W$117:$W$117</definedName>
    <definedName name="UnitOfMeasure46">'Бланк заказа'!$W$122:$W$122</definedName>
    <definedName name="UnitOfMeasure47">'Бланк заказа'!$W$126:$W$126</definedName>
    <definedName name="UnitOfMeasure48">'Бланк заказа'!$W$127:$W$127</definedName>
    <definedName name="UnitOfMeasure49">'Бланк заказа'!$W$128:$W$128</definedName>
    <definedName name="UnitOfMeasure5">'Бланк заказа'!$W$26:$W$26</definedName>
    <definedName name="UnitOfMeasure50">'Бланк заказа'!$W$129:$W$129</definedName>
    <definedName name="UnitOfMeasure51">'Бланк заказа'!$W$133:$W$133</definedName>
    <definedName name="UnitOfMeasure52">'Бланк заказа'!$W$134:$W$134</definedName>
    <definedName name="UnitOfMeasure53">'Бланк заказа'!$W$135:$W$135</definedName>
    <definedName name="UnitOfMeasure54">'Бланк заказа'!$W$140:$W$140</definedName>
    <definedName name="UnitOfMeasure55">'Бланк заказа'!$W$141:$W$141</definedName>
    <definedName name="UnitOfMeasure56">'Бланк заказа'!$W$146:$W$146</definedName>
    <definedName name="UnitOfMeasure57">'Бланк заказа'!$W$147:$W$147</definedName>
    <definedName name="UnitOfMeasure58">'Бланк заказа'!$W$152:$W$152</definedName>
    <definedName name="UnitOfMeasure59">'Бланк заказа'!$W$153:$W$153</definedName>
    <definedName name="UnitOfMeasure6">'Бланк заказа'!$W$27:$W$27</definedName>
    <definedName name="UnitOfMeasure60">'Бланк заказа'!$W$158:$W$158</definedName>
    <definedName name="UnitOfMeasure61">'Бланк заказа'!$W$163:$W$163</definedName>
    <definedName name="UnitOfMeasure62">'Бланк заказа'!$W$168:$W$168</definedName>
    <definedName name="UnitOfMeasure63">'Бланк заказа'!$W$174:$W$174</definedName>
    <definedName name="UnitOfMeasure64">'Бланк заказа'!$W$178:$W$178</definedName>
    <definedName name="UnitOfMeasure65">'Бланк заказа'!$W$183:$W$183</definedName>
    <definedName name="UnitOfMeasure66">'Бланк заказа'!$W$184:$W$184</definedName>
    <definedName name="UnitOfMeasure67">'Бланк заказа'!$W$189:$W$189</definedName>
    <definedName name="UnitOfMeasure68">'Бланк заказа'!$W$195:$W$195</definedName>
    <definedName name="UnitOfMeasure69">'Бланк заказа'!$W$196:$W$196</definedName>
    <definedName name="UnitOfMeasure7">'Бланк заказа'!$W$28:$W$28</definedName>
    <definedName name="UnitOfMeasure70">'Бланк заказа'!$W$197:$W$197</definedName>
    <definedName name="UnitOfMeasure71">'Бланк заказа'!$W$198:$W$198</definedName>
    <definedName name="UnitOfMeasure72">'Бланк заказа'!$W$204:$W$204</definedName>
    <definedName name="UnitOfMeasure73">'Бланк заказа'!$W$208:$W$208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BO271" i="2"/>
  <c r="BM271" i="2"/>
  <c r="Z271" i="2"/>
  <c r="Y271" i="2"/>
  <c r="BP271" i="2" s="1"/>
  <c r="P271" i="2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BP267" i="2" s="1"/>
  <c r="BO266" i="2"/>
  <c r="BM266" i="2"/>
  <c r="Z266" i="2"/>
  <c r="Y266" i="2"/>
  <c r="BP266" i="2" s="1"/>
  <c r="BO265" i="2"/>
  <c r="BM265" i="2"/>
  <c r="Z265" i="2"/>
  <c r="Y265" i="2"/>
  <c r="BP265" i="2" s="1"/>
  <c r="BO264" i="2"/>
  <c r="BM264" i="2"/>
  <c r="Z264" i="2"/>
  <c r="Y264" i="2"/>
  <c r="X262" i="2"/>
  <c r="X261" i="2"/>
  <c r="BO260" i="2"/>
  <c r="BM260" i="2"/>
  <c r="Z260" i="2"/>
  <c r="Y260" i="2"/>
  <c r="BP260" i="2" s="1"/>
  <c r="BO259" i="2"/>
  <c r="BM259" i="2"/>
  <c r="Z259" i="2"/>
  <c r="Y259" i="2"/>
  <c r="BN259" i="2" s="1"/>
  <c r="BO258" i="2"/>
  <c r="BM258" i="2"/>
  <c r="Z258" i="2"/>
  <c r="Y258" i="2"/>
  <c r="Y262" i="2" s="1"/>
  <c r="X256" i="2"/>
  <c r="X255" i="2"/>
  <c r="BO254" i="2"/>
  <c r="BM254" i="2"/>
  <c r="Z254" i="2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BN237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P216" i="2"/>
  <c r="BO215" i="2"/>
  <c r="BM215" i="2"/>
  <c r="Z215" i="2"/>
  <c r="Z217" i="2" s="1"/>
  <c r="Y215" i="2"/>
  <c r="BP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BP209" i="2" s="1"/>
  <c r="P209" i="2"/>
  <c r="BO208" i="2"/>
  <c r="BM208" i="2"/>
  <c r="Z208" i="2"/>
  <c r="Y208" i="2"/>
  <c r="P208" i="2"/>
  <c r="X206" i="2"/>
  <c r="X205" i="2"/>
  <c r="BO204" i="2"/>
  <c r="BM204" i="2"/>
  <c r="Z204" i="2"/>
  <c r="Z205" i="2" s="1"/>
  <c r="Y204" i="2"/>
  <c r="Y205" i="2" s="1"/>
  <c r="P204" i="2"/>
  <c r="X200" i="2"/>
  <c r="X199" i="2"/>
  <c r="BO198" i="2"/>
  <c r="BM198" i="2"/>
  <c r="Z198" i="2"/>
  <c r="Y198" i="2"/>
  <c r="BN198" i="2" s="1"/>
  <c r="P198" i="2"/>
  <c r="BO197" i="2"/>
  <c r="BN197" i="2"/>
  <c r="BM197" i="2"/>
  <c r="Z197" i="2"/>
  <c r="Y197" i="2"/>
  <c r="BP197" i="2" s="1"/>
  <c r="P197" i="2"/>
  <c r="BO196" i="2"/>
  <c r="BM196" i="2"/>
  <c r="Z196" i="2"/>
  <c r="Y196" i="2"/>
  <c r="P196" i="2"/>
  <c r="BO195" i="2"/>
  <c r="BM195" i="2"/>
  <c r="Z195" i="2"/>
  <c r="Y195" i="2"/>
  <c r="BN195" i="2" s="1"/>
  <c r="P195" i="2"/>
  <c r="X191" i="2"/>
  <c r="X190" i="2"/>
  <c r="BO189" i="2"/>
  <c r="BM189" i="2"/>
  <c r="Z189" i="2"/>
  <c r="Z190" i="2" s="1"/>
  <c r="Y189" i="2"/>
  <c r="Y191" i="2" s="1"/>
  <c r="P189" i="2"/>
  <c r="X186" i="2"/>
  <c r="X185" i="2"/>
  <c r="BO184" i="2"/>
  <c r="BM184" i="2"/>
  <c r="Z184" i="2"/>
  <c r="Y184" i="2"/>
  <c r="BP184" i="2" s="1"/>
  <c r="P184" i="2"/>
  <c r="BO183" i="2"/>
  <c r="BM183" i="2"/>
  <c r="Z183" i="2"/>
  <c r="Y183" i="2"/>
  <c r="P183" i="2"/>
  <c r="X180" i="2"/>
  <c r="X179" i="2"/>
  <c r="BO178" i="2"/>
  <c r="BM178" i="2"/>
  <c r="Z178" i="2"/>
  <c r="Z179" i="2" s="1"/>
  <c r="Y178" i="2"/>
  <c r="Y179" i="2" s="1"/>
  <c r="P178" i="2"/>
  <c r="X176" i="2"/>
  <c r="X175" i="2"/>
  <c r="BO174" i="2"/>
  <c r="BM174" i="2"/>
  <c r="Z174" i="2"/>
  <c r="Z175" i="2" s="1"/>
  <c r="Y174" i="2"/>
  <c r="BP174" i="2" s="1"/>
  <c r="P174" i="2"/>
  <c r="X170" i="2"/>
  <c r="X169" i="2"/>
  <c r="BO168" i="2"/>
  <c r="BM168" i="2"/>
  <c r="Z168" i="2"/>
  <c r="Z169" i="2" s="1"/>
  <c r="Y168" i="2"/>
  <c r="BP168" i="2" s="1"/>
  <c r="P168" i="2"/>
  <c r="X165" i="2"/>
  <c r="X164" i="2"/>
  <c r="BO163" i="2"/>
  <c r="BM163" i="2"/>
  <c r="Z163" i="2"/>
  <c r="Z164" i="2" s="1"/>
  <c r="Y163" i="2"/>
  <c r="Y164" i="2" s="1"/>
  <c r="P163" i="2"/>
  <c r="X160" i="2"/>
  <c r="X159" i="2"/>
  <c r="BO158" i="2"/>
  <c r="BM158" i="2"/>
  <c r="Z158" i="2"/>
  <c r="Z159" i="2" s="1"/>
  <c r="Y158" i="2"/>
  <c r="BP158" i="2" s="1"/>
  <c r="P158" i="2"/>
  <c r="X155" i="2"/>
  <c r="X154" i="2"/>
  <c r="BO153" i="2"/>
  <c r="BM153" i="2"/>
  <c r="Z153" i="2"/>
  <c r="Y153" i="2"/>
  <c r="BP153" i="2" s="1"/>
  <c r="P153" i="2"/>
  <c r="BO152" i="2"/>
  <c r="BM152" i="2"/>
  <c r="Z152" i="2"/>
  <c r="Y152" i="2"/>
  <c r="BN152" i="2" s="1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Y146" i="2"/>
  <c r="BP146" i="2" s="1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X131" i="2"/>
  <c r="X130" i="2"/>
  <c r="BO129" i="2"/>
  <c r="BM129" i="2"/>
  <c r="Z129" i="2"/>
  <c r="Y129" i="2"/>
  <c r="BP129" i="2" s="1"/>
  <c r="P129" i="2"/>
  <c r="BO128" i="2"/>
  <c r="BM128" i="2"/>
  <c r="Z128" i="2"/>
  <c r="Y128" i="2"/>
  <c r="BP128" i="2" s="1"/>
  <c r="P128" i="2"/>
  <c r="BO127" i="2"/>
  <c r="BM127" i="2"/>
  <c r="Z127" i="2"/>
  <c r="Y127" i="2"/>
  <c r="BP127" i="2" s="1"/>
  <c r="P127" i="2"/>
  <c r="BO126" i="2"/>
  <c r="BM126" i="2"/>
  <c r="Z126" i="2"/>
  <c r="Y126" i="2"/>
  <c r="P126" i="2"/>
  <c r="X124" i="2"/>
  <c r="X123" i="2"/>
  <c r="BO122" i="2"/>
  <c r="BN122" i="2"/>
  <c r="BM122" i="2"/>
  <c r="Z122" i="2"/>
  <c r="Z123" i="2" s="1"/>
  <c r="Y122" i="2"/>
  <c r="Y123" i="2" s="1"/>
  <c r="P122" i="2"/>
  <c r="X119" i="2"/>
  <c r="X118" i="2"/>
  <c r="BO117" i="2"/>
  <c r="BM117" i="2"/>
  <c r="Z117" i="2"/>
  <c r="Z118" i="2" s="1"/>
  <c r="Y117" i="2"/>
  <c r="BP117" i="2" s="1"/>
  <c r="P117" i="2"/>
  <c r="X115" i="2"/>
  <c r="X114" i="2"/>
  <c r="BO113" i="2"/>
  <c r="BM113" i="2"/>
  <c r="Z113" i="2"/>
  <c r="Z114" i="2" s="1"/>
  <c r="Y113" i="2"/>
  <c r="Y115" i="2" s="1"/>
  <c r="P113" i="2"/>
  <c r="X111" i="2"/>
  <c r="X110" i="2"/>
  <c r="BO109" i="2"/>
  <c r="BN109" i="2"/>
  <c r="BM109" i="2"/>
  <c r="Z109" i="2"/>
  <c r="Y109" i="2"/>
  <c r="BP109" i="2" s="1"/>
  <c r="P109" i="2"/>
  <c r="BO108" i="2"/>
  <c r="BM108" i="2"/>
  <c r="Z108" i="2"/>
  <c r="Y108" i="2"/>
  <c r="BN108" i="2" s="1"/>
  <c r="P108" i="2"/>
  <c r="BO107" i="2"/>
  <c r="BM107" i="2"/>
  <c r="Z107" i="2"/>
  <c r="Y107" i="2"/>
  <c r="BN107" i="2" s="1"/>
  <c r="P107" i="2"/>
  <c r="BO106" i="2"/>
  <c r="BM106" i="2"/>
  <c r="Z106" i="2"/>
  <c r="Y106" i="2"/>
  <c r="BP106" i="2" s="1"/>
  <c r="P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BO103" i="2"/>
  <c r="BM103" i="2"/>
  <c r="Z103" i="2"/>
  <c r="Y103" i="2"/>
  <c r="P103" i="2"/>
  <c r="X100" i="2"/>
  <c r="X99" i="2"/>
  <c r="BP98" i="2"/>
  <c r="BO98" i="2"/>
  <c r="BN98" i="2"/>
  <c r="BM98" i="2"/>
  <c r="Z98" i="2"/>
  <c r="Z99" i="2" s="1"/>
  <c r="Y98" i="2"/>
  <c r="P98" i="2"/>
  <c r="BO97" i="2"/>
  <c r="BM97" i="2"/>
  <c r="Z97" i="2"/>
  <c r="Y97" i="2"/>
  <c r="Y99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BN91" i="2" s="1"/>
  <c r="P91" i="2"/>
  <c r="BO90" i="2"/>
  <c r="BM90" i="2"/>
  <c r="Z90" i="2"/>
  <c r="Y90" i="2"/>
  <c r="BN90" i="2" s="1"/>
  <c r="P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BO87" i="2"/>
  <c r="BM87" i="2"/>
  <c r="Z87" i="2"/>
  <c r="Y87" i="2"/>
  <c r="BP87" i="2" s="1"/>
  <c r="P87" i="2"/>
  <c r="X84" i="2"/>
  <c r="X83" i="2"/>
  <c r="BO82" i="2"/>
  <c r="BM82" i="2"/>
  <c r="Z82" i="2"/>
  <c r="Y82" i="2"/>
  <c r="BP82" i="2" s="1"/>
  <c r="P82" i="2"/>
  <c r="BO81" i="2"/>
  <c r="BM81" i="2"/>
  <c r="Z81" i="2"/>
  <c r="Z83" i="2" s="1"/>
  <c r="Y81" i="2"/>
  <c r="BP81" i="2" s="1"/>
  <c r="P81" i="2"/>
  <c r="X78" i="2"/>
  <c r="X77" i="2"/>
  <c r="BO76" i="2"/>
  <c r="BM76" i="2"/>
  <c r="Z76" i="2"/>
  <c r="Z77" i="2" s="1"/>
  <c r="Y76" i="2"/>
  <c r="Y78" i="2" s="1"/>
  <c r="P76" i="2"/>
  <c r="X73" i="2"/>
  <c r="X72" i="2"/>
  <c r="BO71" i="2"/>
  <c r="BM71" i="2"/>
  <c r="Z71" i="2"/>
  <c r="Y71" i="2"/>
  <c r="P71" i="2"/>
  <c r="BO70" i="2"/>
  <c r="BM70" i="2"/>
  <c r="Z70" i="2"/>
  <c r="Y70" i="2"/>
  <c r="BN70" i="2" s="1"/>
  <c r="P70" i="2"/>
  <c r="X67" i="2"/>
  <c r="X66" i="2"/>
  <c r="BO65" i="2"/>
  <c r="BM65" i="2"/>
  <c r="Z65" i="2"/>
  <c r="Y65" i="2"/>
  <c r="BN65" i="2" s="1"/>
  <c r="P65" i="2"/>
  <c r="BO64" i="2"/>
  <c r="BM64" i="2"/>
  <c r="Z64" i="2"/>
  <c r="Y64" i="2"/>
  <c r="BN64" i="2" s="1"/>
  <c r="P64" i="2"/>
  <c r="BO63" i="2"/>
  <c r="BM63" i="2"/>
  <c r="Z63" i="2"/>
  <c r="Y63" i="2"/>
  <c r="P63" i="2"/>
  <c r="BO62" i="2"/>
  <c r="BM62" i="2"/>
  <c r="Z62" i="2"/>
  <c r="Y62" i="2"/>
  <c r="BP62" i="2" s="1"/>
  <c r="P62" i="2"/>
  <c r="BO61" i="2"/>
  <c r="BM61" i="2"/>
  <c r="Z61" i="2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X50" i="2"/>
  <c r="X49" i="2"/>
  <c r="BO48" i="2"/>
  <c r="BM48" i="2"/>
  <c r="Z48" i="2"/>
  <c r="Z49" i="2" s="1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N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P24" i="2"/>
  <c r="BO24" i="2"/>
  <c r="BN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Y37" i="2" l="1"/>
  <c r="Y118" i="2"/>
  <c r="BN34" i="2"/>
  <c r="BN35" i="2"/>
  <c r="Y57" i="2"/>
  <c r="BN55" i="2"/>
  <c r="BN56" i="2"/>
  <c r="BN62" i="2"/>
  <c r="BN76" i="2"/>
  <c r="BN81" i="2"/>
  <c r="BN82" i="2"/>
  <c r="BN88" i="2"/>
  <c r="Y100" i="2"/>
  <c r="BN117" i="2"/>
  <c r="Y119" i="2"/>
  <c r="Y143" i="2"/>
  <c r="BN141" i="2"/>
  <c r="BN146" i="2"/>
  <c r="Z154" i="2"/>
  <c r="Z185" i="2"/>
  <c r="Z199" i="2"/>
  <c r="BN204" i="2"/>
  <c r="Z211" i="2"/>
  <c r="Y256" i="2"/>
  <c r="Y199" i="2"/>
  <c r="Z142" i="2"/>
  <c r="BN140" i="2"/>
  <c r="BP140" i="2"/>
  <c r="Y142" i="2"/>
  <c r="BN135" i="2"/>
  <c r="Z136" i="2"/>
  <c r="Z110" i="2"/>
  <c r="BN92" i="2"/>
  <c r="Z93" i="2"/>
  <c r="BN87" i="2"/>
  <c r="Y77" i="2"/>
  <c r="Z43" i="2"/>
  <c r="Z30" i="2"/>
  <c r="Z57" i="2"/>
  <c r="BP61" i="2"/>
  <c r="Y84" i="2"/>
  <c r="BP147" i="2"/>
  <c r="Y206" i="2"/>
  <c r="Y223" i="2"/>
  <c r="Y275" i="2"/>
  <c r="X277" i="2"/>
  <c r="Y222" i="2"/>
  <c r="Y239" i="2"/>
  <c r="BP253" i="2"/>
  <c r="BP258" i="2"/>
  <c r="Z274" i="2"/>
  <c r="BP272" i="2"/>
  <c r="BP70" i="2"/>
  <c r="Y94" i="2"/>
  <c r="BP221" i="2"/>
  <c r="BP29" i="2"/>
  <c r="Z66" i="2"/>
  <c r="Y131" i="2"/>
  <c r="BP198" i="2"/>
  <c r="Y218" i="2"/>
  <c r="BP237" i="2"/>
  <c r="X280" i="2"/>
  <c r="Z36" i="2"/>
  <c r="Y36" i="2"/>
  <c r="BP53" i="2"/>
  <c r="Y67" i="2"/>
  <c r="Y73" i="2"/>
  <c r="BP76" i="2"/>
  <c r="Y83" i="2"/>
  <c r="BP90" i="2"/>
  <c r="Y110" i="2"/>
  <c r="BP107" i="2"/>
  <c r="Z130" i="2"/>
  <c r="Y160" i="2"/>
  <c r="Y176" i="2"/>
  <c r="BP195" i="2"/>
  <c r="X278" i="2"/>
  <c r="BP26" i="2"/>
  <c r="X276" i="2"/>
  <c r="Y50" i="2"/>
  <c r="BP64" i="2"/>
  <c r="Z72" i="2"/>
  <c r="Y93" i="2"/>
  <c r="BP122" i="2"/>
  <c r="Y124" i="2"/>
  <c r="BN134" i="2"/>
  <c r="Z148" i="2"/>
  <c r="Y148" i="2"/>
  <c r="Y159" i="2"/>
  <c r="Y175" i="2"/>
  <c r="Y186" i="2"/>
  <c r="Y212" i="2"/>
  <c r="Y238" i="2"/>
  <c r="Z255" i="2"/>
  <c r="Z261" i="2"/>
  <c r="F10" i="2"/>
  <c r="BP113" i="2"/>
  <c r="BP126" i="2"/>
  <c r="Y149" i="2"/>
  <c r="BN163" i="2"/>
  <c r="BN178" i="2"/>
  <c r="BP208" i="2"/>
  <c r="Y255" i="2"/>
  <c r="BN265" i="2"/>
  <c r="BN268" i="2"/>
  <c r="Y274" i="2"/>
  <c r="BP189" i="2"/>
  <c r="BP216" i="2"/>
  <c r="BP233" i="2"/>
  <c r="BP247" i="2"/>
  <c r="BP259" i="2"/>
  <c r="BP27" i="2"/>
  <c r="Y43" i="2"/>
  <c r="BP54" i="2"/>
  <c r="BP65" i="2"/>
  <c r="BP91" i="2"/>
  <c r="BN103" i="2"/>
  <c r="BN113" i="2"/>
  <c r="BN126" i="2"/>
  <c r="Y137" i="2"/>
  <c r="Y154" i="2"/>
  <c r="Y169" i="2"/>
  <c r="BP196" i="2"/>
  <c r="BN208" i="2"/>
  <c r="Y211" i="2"/>
  <c r="BP254" i="2"/>
  <c r="BP273" i="2"/>
  <c r="BP22" i="2"/>
  <c r="Y31" i="2"/>
  <c r="Y49" i="2"/>
  <c r="Y58" i="2"/>
  <c r="BP71" i="2"/>
  <c r="BP97" i="2"/>
  <c r="BP108" i="2"/>
  <c r="Y190" i="2"/>
  <c r="Y200" i="2"/>
  <c r="Y217" i="2"/>
  <c r="Y234" i="2"/>
  <c r="Y248" i="2"/>
  <c r="BN25" i="2"/>
  <c r="BN63" i="2"/>
  <c r="Y66" i="2"/>
  <c r="BN89" i="2"/>
  <c r="BP103" i="2"/>
  <c r="Y44" i="2"/>
  <c r="Y72" i="2"/>
  <c r="BN106" i="2"/>
  <c r="BN129" i="2"/>
  <c r="Y155" i="2"/>
  <c r="Y170" i="2"/>
  <c r="BN184" i="2"/>
  <c r="BN227" i="2"/>
  <c r="BN243" i="2"/>
  <c r="BN260" i="2"/>
  <c r="BN271" i="2"/>
  <c r="Y111" i="2"/>
  <c r="BN42" i="2"/>
  <c r="BN105" i="2"/>
  <c r="BN128" i="2"/>
  <c r="BN153" i="2"/>
  <c r="BN168" i="2"/>
  <c r="BN183" i="2"/>
  <c r="BN210" i="2"/>
  <c r="BN264" i="2"/>
  <c r="BN267" i="2"/>
  <c r="BN270" i="2"/>
  <c r="BN48" i="2"/>
  <c r="BN133" i="2"/>
  <c r="Y136" i="2"/>
  <c r="BN189" i="2"/>
  <c r="BN216" i="2"/>
  <c r="BN233" i="2"/>
  <c r="BN247" i="2"/>
  <c r="Y30" i="2"/>
  <c r="BN54" i="2"/>
  <c r="BP183" i="2"/>
  <c r="BN196" i="2"/>
  <c r="BN254" i="2"/>
  <c r="BP264" i="2"/>
  <c r="BP48" i="2"/>
  <c r="BN71" i="2"/>
  <c r="BN97" i="2"/>
  <c r="BN158" i="2"/>
  <c r="BN174" i="2"/>
  <c r="BP204" i="2"/>
  <c r="BN215" i="2"/>
  <c r="BN266" i="2"/>
  <c r="BN269" i="2"/>
  <c r="BP227" i="2"/>
  <c r="BP243" i="2"/>
  <c r="BN104" i="2"/>
  <c r="BN127" i="2"/>
  <c r="Y130" i="2"/>
  <c r="BN209" i="2"/>
  <c r="Y228" i="2"/>
  <c r="Y244" i="2"/>
  <c r="J9" i="2"/>
  <c r="BP41" i="2"/>
  <c r="BP152" i="2"/>
  <c r="Y165" i="2"/>
  <c r="Y180" i="2"/>
  <c r="BN258" i="2"/>
  <c r="BP63" i="2"/>
  <c r="Y114" i="2"/>
  <c r="BP163" i="2"/>
  <c r="BP178" i="2"/>
  <c r="F9" i="2"/>
  <c r="Y185" i="2"/>
  <c r="Y261" i="2"/>
  <c r="H9" i="2"/>
  <c r="BN47" i="2"/>
  <c r="Z281" i="2" l="1"/>
  <c r="Y277" i="2"/>
  <c r="X279" i="2"/>
  <c r="Y278" i="2"/>
  <c r="Y279" i="2" s="1"/>
  <c r="Y280" i="2"/>
  <c r="Y276" i="2"/>
  <c r="A289" i="2" l="1"/>
  <c r="B289" i="2"/>
  <c r="C289" i="2"/>
</calcChain>
</file>

<file path=xl/sharedStrings.xml><?xml version="1.0" encoding="utf-8"?>
<sst xmlns="http://schemas.openxmlformats.org/spreadsheetml/2006/main" count="1766" uniqueCount="432">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</sst>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>
        <v>46314</v>
      </c>
      <c r="R5" s="465"/>
      <c r="T5" s="466" t="s">
        <v>3</v>
      </c>
      <c r="U5" s="467"/>
      <c r="V5" s="468" t="s">
        <v>396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Понедельник</v>
      </c>
      <c r="R6" s="443"/>
      <c r="T6" s="444" t="s">
        <v>5</v>
      </c>
      <c r="U6" s="445"/>
      <c r="V6" s="446" t="s">
        <v>72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73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74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75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76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77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8" t="s">
        <v>78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hidden="1" customHeight="1" x14ac:dyDescent="0.25">
      <c r="A20" s="319" t="s">
        <v>78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hidden="1" customHeight="1" x14ac:dyDescent="0.25">
      <c r="A21" s="312" t="s">
        <v>79</v>
      </c>
      <c r="B21" s="312"/>
      <c r="C21" s="312"/>
      <c r="D21" s="312"/>
      <c r="E21" s="312"/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66"/>
      <c r="AB21" s="66"/>
      <c r="AC21" s="83"/>
    </row>
    <row r="22" spans="1:68" ht="27" hidden="1" customHeight="1" x14ac:dyDescent="0.25">
      <c r="A22" s="63" t="s">
        <v>80</v>
      </c>
      <c r="B22" s="63" t="s">
        <v>81</v>
      </c>
      <c r="C22" s="36">
        <v>4301071113</v>
      </c>
      <c r="D22" s="294">
        <v>4620207491508</v>
      </c>
      <c r="E22" s="29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84</v>
      </c>
      <c r="L22" s="37" t="s">
        <v>85</v>
      </c>
      <c r="M22" s="38" t="s">
        <v>83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82</v>
      </c>
      <c r="AG22" s="81"/>
      <c r="AJ22" s="87" t="s">
        <v>86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87</v>
      </c>
      <c r="B23" s="63" t="s">
        <v>88</v>
      </c>
      <c r="C23" s="36">
        <v>4301071112</v>
      </c>
      <c r="D23" s="294">
        <v>4620207491256</v>
      </c>
      <c r="E23" s="29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84</v>
      </c>
      <c r="L23" s="37" t="s">
        <v>85</v>
      </c>
      <c r="M23" s="38" t="s">
        <v>83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82</v>
      </c>
      <c r="AG23" s="81"/>
      <c r="AJ23" s="87" t="s">
        <v>86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89</v>
      </c>
      <c r="B24" s="63" t="s">
        <v>90</v>
      </c>
      <c r="C24" s="36">
        <v>4301071135</v>
      </c>
      <c r="D24" s="294">
        <v>4620207491713</v>
      </c>
      <c r="E24" s="29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84</v>
      </c>
      <c r="L24" s="37" t="s">
        <v>85</v>
      </c>
      <c r="M24" s="38" t="s">
        <v>83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91</v>
      </c>
      <c r="AG24" s="81"/>
      <c r="AJ24" s="87" t="s">
        <v>86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92</v>
      </c>
      <c r="B25" s="63" t="s">
        <v>93</v>
      </c>
      <c r="C25" s="36">
        <v>4301071134</v>
      </c>
      <c r="D25" s="294">
        <v>4620207491720</v>
      </c>
      <c r="E25" s="29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84</v>
      </c>
      <c r="L25" s="37" t="s">
        <v>85</v>
      </c>
      <c r="M25" s="38" t="s">
        <v>83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91</v>
      </c>
      <c r="AG25" s="81"/>
      <c r="AJ25" s="87" t="s">
        <v>86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94</v>
      </c>
      <c r="B26" s="63" t="s">
        <v>95</v>
      </c>
      <c r="C26" s="36">
        <v>4301071108</v>
      </c>
      <c r="D26" s="294">
        <v>4607111035912</v>
      </c>
      <c r="E26" s="29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84</v>
      </c>
      <c r="L26" s="37" t="s">
        <v>85</v>
      </c>
      <c r="M26" s="38" t="s">
        <v>83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96</v>
      </c>
      <c r="AG26" s="81"/>
      <c r="AJ26" s="87" t="s">
        <v>86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97</v>
      </c>
      <c r="B27" s="63" t="s">
        <v>98</v>
      </c>
      <c r="C27" s="36">
        <v>4301071109</v>
      </c>
      <c r="D27" s="294">
        <v>4607111035929</v>
      </c>
      <c r="E27" s="29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84</v>
      </c>
      <c r="L27" s="37" t="s">
        <v>85</v>
      </c>
      <c r="M27" s="38" t="s">
        <v>83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96</v>
      </c>
      <c r="AG27" s="81"/>
      <c r="AJ27" s="87" t="s">
        <v>86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99</v>
      </c>
      <c r="B28" s="63" t="s">
        <v>100</v>
      </c>
      <c r="C28" s="36">
        <v>4301071106</v>
      </c>
      <c r="D28" s="294">
        <v>4607111035882</v>
      </c>
      <c r="E28" s="29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84</v>
      </c>
      <c r="L28" s="37" t="s">
        <v>85</v>
      </c>
      <c r="M28" s="38" t="s">
        <v>83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96</v>
      </c>
      <c r="AG28" s="81"/>
      <c r="AJ28" s="87" t="s">
        <v>86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101</v>
      </c>
      <c r="B29" s="63" t="s">
        <v>102</v>
      </c>
      <c r="C29" s="36">
        <v>4301071107</v>
      </c>
      <c r="D29" s="294">
        <v>4607111035905</v>
      </c>
      <c r="E29" s="29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84</v>
      </c>
      <c r="L29" s="37" t="s">
        <v>85</v>
      </c>
      <c r="M29" s="38" t="s">
        <v>83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96</v>
      </c>
      <c r="AG29" s="81"/>
      <c r="AJ29" s="87" t="s">
        <v>86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304"/>
      <c r="P30" s="301" t="s">
        <v>40</v>
      </c>
      <c r="Q30" s="302"/>
      <c r="R30" s="302"/>
      <c r="S30" s="302"/>
      <c r="T30" s="302"/>
      <c r="U30" s="302"/>
      <c r="V30" s="30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304"/>
      <c r="P31" s="301" t="s">
        <v>40</v>
      </c>
      <c r="Q31" s="302"/>
      <c r="R31" s="302"/>
      <c r="S31" s="302"/>
      <c r="T31" s="302"/>
      <c r="U31" s="302"/>
      <c r="V31" s="30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9" t="s">
        <v>103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hidden="1" customHeight="1" x14ac:dyDescent="0.25">
      <c r="A33" s="312" t="s">
        <v>79</v>
      </c>
      <c r="B33" s="312"/>
      <c r="C33" s="312"/>
      <c r="D33" s="312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66"/>
      <c r="AB33" s="66"/>
      <c r="AC33" s="83"/>
    </row>
    <row r="34" spans="1:68" ht="16.5" hidden="1" customHeight="1" x14ac:dyDescent="0.25">
      <c r="A34" s="63" t="s">
        <v>104</v>
      </c>
      <c r="B34" s="63" t="s">
        <v>105</v>
      </c>
      <c r="C34" s="36">
        <v>4301071099</v>
      </c>
      <c r="D34" s="294">
        <v>4607111039019</v>
      </c>
      <c r="E34" s="29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84</v>
      </c>
      <c r="L34" s="37" t="s">
        <v>85</v>
      </c>
      <c r="M34" s="38" t="s">
        <v>83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6"/>
      <c r="R34" s="296"/>
      <c r="S34" s="296"/>
      <c r="T34" s="29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106</v>
      </c>
      <c r="AG34" s="81"/>
      <c r="AJ34" s="87" t="s">
        <v>86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107</v>
      </c>
      <c r="B35" s="63" t="s">
        <v>108</v>
      </c>
      <c r="C35" s="36">
        <v>4301071100</v>
      </c>
      <c r="D35" s="294">
        <v>4607111038708</v>
      </c>
      <c r="E35" s="29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84</v>
      </c>
      <c r="L35" s="37" t="s">
        <v>85</v>
      </c>
      <c r="M35" s="38" t="s">
        <v>83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6"/>
      <c r="R35" s="296"/>
      <c r="S35" s="296"/>
      <c r="T35" s="29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106</v>
      </c>
      <c r="AG35" s="81"/>
      <c r="AJ35" s="87" t="s">
        <v>86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304"/>
      <c r="P36" s="301" t="s">
        <v>40</v>
      </c>
      <c r="Q36" s="302"/>
      <c r="R36" s="302"/>
      <c r="S36" s="302"/>
      <c r="T36" s="302"/>
      <c r="U36" s="302"/>
      <c r="V36" s="30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304"/>
      <c r="P37" s="301" t="s">
        <v>40</v>
      </c>
      <c r="Q37" s="302"/>
      <c r="R37" s="302"/>
      <c r="S37" s="302"/>
      <c r="T37" s="302"/>
      <c r="U37" s="302"/>
      <c r="V37" s="30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hidden="1" customHeight="1" x14ac:dyDescent="0.25">
      <c r="A39" s="319" t="s">
        <v>109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hidden="1" customHeight="1" x14ac:dyDescent="0.25">
      <c r="A40" s="312" t="s">
        <v>110</v>
      </c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4301132190</v>
      </c>
      <c r="D41" s="294">
        <v>4607111036537</v>
      </c>
      <c r="E41" s="29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115</v>
      </c>
      <c r="L41" s="37" t="s">
        <v>116</v>
      </c>
      <c r="M41" s="38" t="s">
        <v>83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6"/>
      <c r="R41" s="296"/>
      <c r="S41" s="296"/>
      <c r="T41" s="297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113</v>
      </c>
      <c r="AG41" s="81"/>
      <c r="AJ41" s="87" t="s">
        <v>117</v>
      </c>
      <c r="AK41" s="87">
        <v>14</v>
      </c>
      <c r="BB41" s="110" t="s">
        <v>114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118</v>
      </c>
      <c r="B42" s="63" t="s">
        <v>119</v>
      </c>
      <c r="C42" s="36">
        <v>4301132188</v>
      </c>
      <c r="D42" s="294">
        <v>4607111036605</v>
      </c>
      <c r="E42" s="29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115</v>
      </c>
      <c r="L42" s="37" t="s">
        <v>116</v>
      </c>
      <c r="M42" s="38" t="s">
        <v>83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6"/>
      <c r="R42" s="296"/>
      <c r="S42" s="296"/>
      <c r="T42" s="297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113</v>
      </c>
      <c r="AG42" s="81"/>
      <c r="AJ42" s="87" t="s">
        <v>117</v>
      </c>
      <c r="AK42" s="87">
        <v>14</v>
      </c>
      <c r="BB42" s="112" t="s">
        <v>114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304"/>
      <c r="P43" s="301" t="s">
        <v>40</v>
      </c>
      <c r="Q43" s="302"/>
      <c r="R43" s="302"/>
      <c r="S43" s="302"/>
      <c r="T43" s="302"/>
      <c r="U43" s="302"/>
      <c r="V43" s="303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1.71262</v>
      </c>
      <c r="AA43" s="67"/>
      <c r="AB43" s="67"/>
      <c r="AC43" s="67"/>
    </row>
    <row r="44" spans="1:68" x14ac:dyDescent="0.2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304"/>
      <c r="P44" s="301" t="s">
        <v>40</v>
      </c>
      <c r="Q44" s="302"/>
      <c r="R44" s="302"/>
      <c r="S44" s="302"/>
      <c r="T44" s="302"/>
      <c r="U44" s="302"/>
      <c r="V44" s="303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19" t="s">
        <v>120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hidden="1" customHeight="1" x14ac:dyDescent="0.25">
      <c r="A46" s="312" t="s">
        <v>79</v>
      </c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66"/>
      <c r="AB46" s="66"/>
      <c r="AC46" s="83"/>
    </row>
    <row r="47" spans="1:68" ht="27" customHeight="1" x14ac:dyDescent="0.25">
      <c r="A47" s="63" t="s">
        <v>121</v>
      </c>
      <c r="B47" s="63" t="s">
        <v>122</v>
      </c>
      <c r="C47" s="36">
        <v>4301071090</v>
      </c>
      <c r="D47" s="294">
        <v>4620207490075</v>
      </c>
      <c r="E47" s="29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84</v>
      </c>
      <c r="L47" s="37" t="s">
        <v>116</v>
      </c>
      <c r="M47" s="38" t="s">
        <v>83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6"/>
      <c r="R47" s="296"/>
      <c r="S47" s="296"/>
      <c r="T47" s="297"/>
      <c r="U47" s="39" t="s">
        <v>46</v>
      </c>
      <c r="V47" s="39" t="s">
        <v>46</v>
      </c>
      <c r="W47" s="40" t="s">
        <v>39</v>
      </c>
      <c r="X47" s="58">
        <v>12</v>
      </c>
      <c r="Y47" s="55">
        <f>IFERROR(IF(X47="","",X47),"")</f>
        <v>12</v>
      </c>
      <c r="Z47" s="41">
        <f>IFERROR(IF(X47="","",X47*0.0155),"")</f>
        <v>0.186</v>
      </c>
      <c r="AA47" s="68" t="s">
        <v>46</v>
      </c>
      <c r="AB47" s="69" t="s">
        <v>46</v>
      </c>
      <c r="AC47" s="113" t="s">
        <v>123</v>
      </c>
      <c r="AG47" s="81"/>
      <c r="AJ47" s="87" t="s">
        <v>117</v>
      </c>
      <c r="AK47" s="87">
        <v>12</v>
      </c>
      <c r="BB47" s="114" t="s">
        <v>70</v>
      </c>
      <c r="BM47" s="81">
        <f>IFERROR(X47*I47,"0")</f>
        <v>70.44</v>
      </c>
      <c r="BN47" s="81">
        <f>IFERROR(Y47*I47,"0")</f>
        <v>70.44</v>
      </c>
      <c r="BO47" s="81">
        <f>IFERROR(X47/J47,"0")</f>
        <v>0.14285714285714285</v>
      </c>
      <c r="BP47" s="81">
        <f>IFERROR(Y47/J47,"0")</f>
        <v>0.14285714285714285</v>
      </c>
    </row>
    <row r="48" spans="1:68" ht="27" customHeight="1" x14ac:dyDescent="0.25">
      <c r="A48" s="63" t="s">
        <v>124</v>
      </c>
      <c r="B48" s="63" t="s">
        <v>125</v>
      </c>
      <c r="C48" s="36">
        <v>4301071092</v>
      </c>
      <c r="D48" s="294">
        <v>4620207490174</v>
      </c>
      <c r="E48" s="29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84</v>
      </c>
      <c r="L48" s="37" t="s">
        <v>116</v>
      </c>
      <c r="M48" s="38" t="s">
        <v>83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6"/>
      <c r="R48" s="296"/>
      <c r="S48" s="296"/>
      <c r="T48" s="297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126</v>
      </c>
      <c r="AG48" s="81"/>
      <c r="AJ48" s="87" t="s">
        <v>117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304"/>
      <c r="P49" s="301" t="s">
        <v>40</v>
      </c>
      <c r="Q49" s="302"/>
      <c r="R49" s="302"/>
      <c r="S49" s="302"/>
      <c r="T49" s="302"/>
      <c r="U49" s="302"/>
      <c r="V49" s="303"/>
      <c r="W49" s="42" t="s">
        <v>39</v>
      </c>
      <c r="X49" s="43">
        <f>IFERROR(SUM(X47:X48),"0")</f>
        <v>36</v>
      </c>
      <c r="Y49" s="43">
        <f>IFERROR(SUM(Y47:Y48),"0")</f>
        <v>36</v>
      </c>
      <c r="Z49" s="43">
        <f>IFERROR(IF(Z47="",0,Z47),"0")+IFERROR(IF(Z48="",0,Z48),"0")</f>
        <v>0.55800000000000005</v>
      </c>
      <c r="AA49" s="67"/>
      <c r="AB49" s="67"/>
      <c r="AC49" s="67"/>
    </row>
    <row r="50" spans="1:68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304"/>
      <c r="P50" s="301" t="s">
        <v>40</v>
      </c>
      <c r="Q50" s="302"/>
      <c r="R50" s="302"/>
      <c r="S50" s="302"/>
      <c r="T50" s="302"/>
      <c r="U50" s="302"/>
      <c r="V50" s="303"/>
      <c r="W50" s="42" t="s">
        <v>0</v>
      </c>
      <c r="X50" s="43">
        <f>IFERROR(SUMPRODUCT(X47:X48*H47:H48),"0")</f>
        <v>201.59999999999997</v>
      </c>
      <c r="Y50" s="43">
        <f>IFERROR(SUMPRODUCT(Y47:Y48*H47:H48),"0")</f>
        <v>201.59999999999997</v>
      </c>
      <c r="Z50" s="42"/>
      <c r="AA50" s="67"/>
      <c r="AB50" s="67"/>
      <c r="AC50" s="67"/>
    </row>
    <row r="51" spans="1:68" ht="16.5" hidden="1" customHeight="1" x14ac:dyDescent="0.25">
      <c r="A51" s="319" t="s">
        <v>127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hidden="1" customHeight="1" x14ac:dyDescent="0.25">
      <c r="A52" s="312" t="s">
        <v>79</v>
      </c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  <c r="Z52" s="312"/>
      <c r="AA52" s="66"/>
      <c r="AB52" s="66"/>
      <c r="AC52" s="83"/>
    </row>
    <row r="53" spans="1:68" ht="27" hidden="1" customHeight="1" x14ac:dyDescent="0.25">
      <c r="A53" s="63" t="s">
        <v>128</v>
      </c>
      <c r="B53" s="63" t="s">
        <v>129</v>
      </c>
      <c r="C53" s="36">
        <v>4301071044</v>
      </c>
      <c r="D53" s="294">
        <v>4607111039385</v>
      </c>
      <c r="E53" s="294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84</v>
      </c>
      <c r="L53" s="37" t="s">
        <v>116</v>
      </c>
      <c r="M53" s="38" t="s">
        <v>83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6"/>
      <c r="R53" s="296"/>
      <c r="S53" s="296"/>
      <c r="T53" s="29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130</v>
      </c>
      <c r="AG53" s="81"/>
      <c r="AJ53" s="87" t="s">
        <v>117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131</v>
      </c>
      <c r="B54" s="63" t="s">
        <v>132</v>
      </c>
      <c r="C54" s="36">
        <v>4301071031</v>
      </c>
      <c r="D54" s="294">
        <v>4607111038982</v>
      </c>
      <c r="E54" s="294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84</v>
      </c>
      <c r="L54" s="37" t="s">
        <v>116</v>
      </c>
      <c r="M54" s="38" t="s">
        <v>83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6"/>
      <c r="R54" s="296"/>
      <c r="S54" s="296"/>
      <c r="T54" s="29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117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134</v>
      </c>
      <c r="B55" s="63" t="s">
        <v>135</v>
      </c>
      <c r="C55" s="36">
        <v>4301071046</v>
      </c>
      <c r="D55" s="294">
        <v>4607111039354</v>
      </c>
      <c r="E55" s="294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84</v>
      </c>
      <c r="L55" s="37" t="s">
        <v>116</v>
      </c>
      <c r="M55" s="38" t="s">
        <v>83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6"/>
      <c r="R55" s="296"/>
      <c r="S55" s="296"/>
      <c r="T55" s="297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133</v>
      </c>
      <c r="AG55" s="81"/>
      <c r="AJ55" s="87" t="s">
        <v>117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136</v>
      </c>
      <c r="B56" s="63" t="s">
        <v>137</v>
      </c>
      <c r="C56" s="36">
        <v>4301071047</v>
      </c>
      <c r="D56" s="294">
        <v>4607111039330</v>
      </c>
      <c r="E56" s="294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84</v>
      </c>
      <c r="L56" s="37" t="s">
        <v>116</v>
      </c>
      <c r="M56" s="38" t="s">
        <v>83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6"/>
      <c r="R56" s="296"/>
      <c r="S56" s="296"/>
      <c r="T56" s="297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133</v>
      </c>
      <c r="AG56" s="81"/>
      <c r="AJ56" s="87" t="s">
        <v>117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304"/>
      <c r="P57" s="301" t="s">
        <v>40</v>
      </c>
      <c r="Q57" s="302"/>
      <c r="R57" s="302"/>
      <c r="S57" s="302"/>
      <c r="T57" s="302"/>
      <c r="U57" s="302"/>
      <c r="V57" s="303"/>
      <c r="W57" s="42" t="s">
        <v>39</v>
      </c>
      <c r="X57" s="43">
        <f>IFERROR(SUM(X53:X56),"0")</f>
        <v>24</v>
      </c>
      <c r="Y57" s="43">
        <f>IFERROR(SUM(Y53:Y56),"0")</f>
        <v>24</v>
      </c>
      <c r="Z57" s="43">
        <f>IFERROR(IF(Z53="",0,Z53),"0")+IFERROR(IF(Z54="",0,Z54),"0")+IFERROR(IF(Z55="",0,Z55),"0")+IFERROR(IF(Z56="",0,Z56),"0")</f>
        <v>0.372</v>
      </c>
      <c r="AA57" s="67"/>
      <c r="AB57" s="67"/>
      <c r="AC57" s="67"/>
    </row>
    <row r="58" spans="1:68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304"/>
      <c r="P58" s="301" t="s">
        <v>40</v>
      </c>
      <c r="Q58" s="302"/>
      <c r="R58" s="302"/>
      <c r="S58" s="302"/>
      <c r="T58" s="302"/>
      <c r="U58" s="302"/>
      <c r="V58" s="303"/>
      <c r="W58" s="42" t="s">
        <v>0</v>
      </c>
      <c r="X58" s="43">
        <f>IFERROR(SUMPRODUCT(X53:X56*H53:H56),"0")</f>
        <v>160.80000000000001</v>
      </c>
      <c r="Y58" s="43">
        <f>IFERROR(SUMPRODUCT(Y53:Y56*H53:H56),"0")</f>
        <v>160.80000000000001</v>
      </c>
      <c r="Z58" s="42"/>
      <c r="AA58" s="67"/>
      <c r="AB58" s="67"/>
      <c r="AC58" s="67"/>
    </row>
    <row r="59" spans="1:68" ht="16.5" hidden="1" customHeight="1" x14ac:dyDescent="0.25">
      <c r="A59" s="319" t="s">
        <v>138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hidden="1" customHeight="1" x14ac:dyDescent="0.25">
      <c r="A60" s="312" t="s">
        <v>139</v>
      </c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312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294">
        <v>4607111039712</v>
      </c>
      <c r="E61" s="294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115</v>
      </c>
      <c r="L61" s="37" t="s">
        <v>85</v>
      </c>
      <c r="M61" s="38" t="s">
        <v>83</v>
      </c>
      <c r="N61" s="38"/>
      <c r="O61" s="37">
        <v>365</v>
      </c>
      <c r="P61" s="382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6"/>
      <c r="R61" s="296"/>
      <c r="S61" s="296"/>
      <c r="T61" s="297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86</v>
      </c>
      <c r="AK61" s="87">
        <v>1</v>
      </c>
      <c r="BB61" s="126" t="s">
        <v>114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t="27" hidden="1" customHeight="1" x14ac:dyDescent="0.25">
      <c r="A62" s="63" t="s">
        <v>143</v>
      </c>
      <c r="B62" s="63" t="s">
        <v>144</v>
      </c>
      <c r="C62" s="36">
        <v>4301135664</v>
      </c>
      <c r="D62" s="294">
        <v>4607111039705</v>
      </c>
      <c r="E62" s="294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115</v>
      </c>
      <c r="L62" s="37" t="s">
        <v>85</v>
      </c>
      <c r="M62" s="38" t="s">
        <v>83</v>
      </c>
      <c r="N62" s="38"/>
      <c r="O62" s="37">
        <v>365</v>
      </c>
      <c r="P62" s="38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96"/>
      <c r="R62" s="296"/>
      <c r="S62" s="296"/>
      <c r="T62" s="29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86</v>
      </c>
      <c r="AK62" s="87">
        <v>1</v>
      </c>
      <c r="BB62" s="128" t="s">
        <v>114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hidden="1" customHeight="1" x14ac:dyDescent="0.25">
      <c r="A63" s="63" t="s">
        <v>146</v>
      </c>
      <c r="B63" s="63" t="s">
        <v>147</v>
      </c>
      <c r="C63" s="36">
        <v>4301135665</v>
      </c>
      <c r="D63" s="294">
        <v>4607111039729</v>
      </c>
      <c r="E63" s="294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115</v>
      </c>
      <c r="L63" s="37" t="s">
        <v>85</v>
      </c>
      <c r="M63" s="38" t="s">
        <v>83</v>
      </c>
      <c r="N63" s="38"/>
      <c r="O63" s="37">
        <v>365</v>
      </c>
      <c r="P63" s="37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96"/>
      <c r="R63" s="296"/>
      <c r="S63" s="296"/>
      <c r="T63" s="297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29" t="s">
        <v>148</v>
      </c>
      <c r="AG63" s="81"/>
      <c r="AJ63" s="87" t="s">
        <v>86</v>
      </c>
      <c r="AK63" s="87">
        <v>1</v>
      </c>
      <c r="BB63" s="130" t="s">
        <v>114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hidden="1" customHeight="1" x14ac:dyDescent="0.25">
      <c r="A64" s="63" t="s">
        <v>149</v>
      </c>
      <c r="B64" s="63" t="s">
        <v>150</v>
      </c>
      <c r="C64" s="36">
        <v>4301135702</v>
      </c>
      <c r="D64" s="294">
        <v>4620207490228</v>
      </c>
      <c r="E64" s="294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115</v>
      </c>
      <c r="L64" s="37" t="s">
        <v>85</v>
      </c>
      <c r="M64" s="38" t="s">
        <v>83</v>
      </c>
      <c r="N64" s="38"/>
      <c r="O64" s="37">
        <v>365</v>
      </c>
      <c r="P64" s="380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96"/>
      <c r="R64" s="296"/>
      <c r="S64" s="296"/>
      <c r="T64" s="297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31" t="s">
        <v>148</v>
      </c>
      <c r="AG64" s="81"/>
      <c r="AJ64" s="87" t="s">
        <v>86</v>
      </c>
      <c r="AK64" s="87">
        <v>1</v>
      </c>
      <c r="BB64" s="132" t="s">
        <v>114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ht="16.5" hidden="1" customHeight="1" x14ac:dyDescent="0.25">
      <c r="A65" s="63" t="s">
        <v>151</v>
      </c>
      <c r="B65" s="63" t="s">
        <v>152</v>
      </c>
      <c r="C65" s="36">
        <v>4301136015</v>
      </c>
      <c r="D65" s="294">
        <v>4607111037398</v>
      </c>
      <c r="E65" s="294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115</v>
      </c>
      <c r="L65" s="37" t="s">
        <v>85</v>
      </c>
      <c r="M65" s="38" t="s">
        <v>83</v>
      </c>
      <c r="N65" s="38"/>
      <c r="O65" s="37">
        <v>365</v>
      </c>
      <c r="P65" s="381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6"/>
      <c r="R65" s="296"/>
      <c r="S65" s="296"/>
      <c r="T65" s="297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33" t="s">
        <v>145</v>
      </c>
      <c r="AG65" s="81"/>
      <c r="AJ65" s="87" t="s">
        <v>86</v>
      </c>
      <c r="AK65" s="87">
        <v>1</v>
      </c>
      <c r="BB65" s="134" t="s">
        <v>114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304"/>
      <c r="P66" s="301" t="s">
        <v>40</v>
      </c>
      <c r="Q66" s="302"/>
      <c r="R66" s="302"/>
      <c r="S66" s="302"/>
      <c r="T66" s="302"/>
      <c r="U66" s="302"/>
      <c r="V66" s="303"/>
      <c r="W66" s="42" t="s">
        <v>39</v>
      </c>
      <c r="X66" s="43">
        <f>IFERROR(SUM(X61:X65),"0")</f>
        <v>0</v>
      </c>
      <c r="Y66" s="43">
        <f>IFERROR(SUM(Y61:Y65),"0")</f>
        <v>0</v>
      </c>
      <c r="Z66" s="43">
        <f>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304"/>
      <c r="P67" s="301" t="s">
        <v>40</v>
      </c>
      <c r="Q67" s="302"/>
      <c r="R67" s="302"/>
      <c r="S67" s="302"/>
      <c r="T67" s="302"/>
      <c r="U67" s="302"/>
      <c r="V67" s="303"/>
      <c r="W67" s="42" t="s">
        <v>0</v>
      </c>
      <c r="X67" s="43">
        <f>IFERROR(SUMPRODUCT(X61:X65*H61:H65),"0")</f>
        <v>0</v>
      </c>
      <c r="Y67" s="43">
        <f>IFERROR(SUMPRODUCT(Y61:Y65*H61:H65),"0")</f>
        <v>0</v>
      </c>
      <c r="Z67" s="42"/>
      <c r="AA67" s="67"/>
      <c r="AB67" s="67"/>
      <c r="AC67" s="67"/>
    </row>
    <row r="68" spans="1:68" ht="16.5" hidden="1" customHeight="1" x14ac:dyDescent="0.25">
      <c r="A68" s="319" t="s">
        <v>153</v>
      </c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65"/>
      <c r="AB68" s="65"/>
      <c r="AC68" s="82"/>
    </row>
    <row r="69" spans="1:68" ht="14.25" hidden="1" customHeight="1" x14ac:dyDescent="0.25">
      <c r="A69" s="312" t="s">
        <v>79</v>
      </c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  <c r="AA69" s="66"/>
      <c r="AB69" s="66"/>
      <c r="AC69" s="83"/>
    </row>
    <row r="70" spans="1:68" ht="27" hidden="1" customHeight="1" x14ac:dyDescent="0.25">
      <c r="A70" s="63" t="s">
        <v>154</v>
      </c>
      <c r="B70" s="63" t="s">
        <v>155</v>
      </c>
      <c r="C70" s="36">
        <v>4301070977</v>
      </c>
      <c r="D70" s="294">
        <v>4607111037411</v>
      </c>
      <c r="E70" s="294"/>
      <c r="F70" s="62">
        <v>2.7</v>
      </c>
      <c r="G70" s="37">
        <v>1</v>
      </c>
      <c r="H70" s="62">
        <v>2.7</v>
      </c>
      <c r="I70" s="62">
        <v>2.8132000000000001</v>
      </c>
      <c r="J70" s="37">
        <v>234</v>
      </c>
      <c r="K70" s="37" t="s">
        <v>157</v>
      </c>
      <c r="L70" s="37" t="s">
        <v>85</v>
      </c>
      <c r="M70" s="38" t="s">
        <v>83</v>
      </c>
      <c r="N70" s="38"/>
      <c r="O70" s="37">
        <v>180</v>
      </c>
      <c r="P70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296"/>
      <c r="R70" s="296"/>
      <c r="S70" s="296"/>
      <c r="T70" s="29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IFERROR(IF(X70="","",X70*0.00502),"")</f>
        <v>0</v>
      </c>
      <c r="AA70" s="68" t="s">
        <v>46</v>
      </c>
      <c r="AB70" s="69" t="s">
        <v>46</v>
      </c>
      <c r="AC70" s="135" t="s">
        <v>156</v>
      </c>
      <c r="AG70" s="81"/>
      <c r="AJ70" s="87" t="s">
        <v>86</v>
      </c>
      <c r="AK70" s="87">
        <v>1</v>
      </c>
      <c r="BB70" s="13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158</v>
      </c>
      <c r="B71" s="63" t="s">
        <v>159</v>
      </c>
      <c r="C71" s="36">
        <v>4301070981</v>
      </c>
      <c r="D71" s="294">
        <v>4607111036728</v>
      </c>
      <c r="E71" s="294"/>
      <c r="F71" s="62">
        <v>5</v>
      </c>
      <c r="G71" s="37">
        <v>1</v>
      </c>
      <c r="H71" s="62">
        <v>5</v>
      </c>
      <c r="I71" s="62">
        <v>5.2131999999999996</v>
      </c>
      <c r="J71" s="37">
        <v>144</v>
      </c>
      <c r="K71" s="37" t="s">
        <v>84</v>
      </c>
      <c r="L71" s="37" t="s">
        <v>116</v>
      </c>
      <c r="M71" s="38" t="s">
        <v>83</v>
      </c>
      <c r="N71" s="38"/>
      <c r="O71" s="37">
        <v>180</v>
      </c>
      <c r="P71" s="37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296"/>
      <c r="R71" s="296"/>
      <c r="S71" s="296"/>
      <c r="T71" s="29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IFERROR(IF(X71="","",X71*0.00866),"")</f>
        <v>0</v>
      </c>
      <c r="AA71" s="68" t="s">
        <v>46</v>
      </c>
      <c r="AB71" s="69" t="s">
        <v>46</v>
      </c>
      <c r="AC71" s="137" t="s">
        <v>156</v>
      </c>
      <c r="AG71" s="81"/>
      <c r="AJ71" s="87" t="s">
        <v>117</v>
      </c>
      <c r="AK71" s="87">
        <v>12</v>
      </c>
      <c r="BB71" s="138" t="s">
        <v>70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304"/>
      <c r="P72" s="301" t="s">
        <v>40</v>
      </c>
      <c r="Q72" s="302"/>
      <c r="R72" s="302"/>
      <c r="S72" s="302"/>
      <c r="T72" s="302"/>
      <c r="U72" s="302"/>
      <c r="V72" s="30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304"/>
      <c r="P73" s="301" t="s">
        <v>40</v>
      </c>
      <c r="Q73" s="302"/>
      <c r="R73" s="302"/>
      <c r="S73" s="302"/>
      <c r="T73" s="302"/>
      <c r="U73" s="302"/>
      <c r="V73" s="30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6.5" hidden="1" customHeight="1" x14ac:dyDescent="0.25">
      <c r="A74" s="319" t="s">
        <v>160</v>
      </c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65"/>
      <c r="AB74" s="65"/>
      <c r="AC74" s="82"/>
    </row>
    <row r="75" spans="1:68" ht="14.25" hidden="1" customHeight="1" x14ac:dyDescent="0.25">
      <c r="A75" s="312" t="s">
        <v>161</v>
      </c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  <c r="Z75" s="312"/>
      <c r="AA75" s="66"/>
      <c r="AB75" s="66"/>
      <c r="AC75" s="83"/>
    </row>
    <row r="76" spans="1:68" ht="27" customHeight="1" x14ac:dyDescent="0.25">
      <c r="A76" s="63" t="s">
        <v>162</v>
      </c>
      <c r="B76" s="63" t="s">
        <v>163</v>
      </c>
      <c r="C76" s="36">
        <v>4301135910</v>
      </c>
      <c r="D76" s="294">
        <v>4620207491638</v>
      </c>
      <c r="E76" s="294"/>
      <c r="F76" s="62">
        <v>0.3</v>
      </c>
      <c r="G76" s="37">
        <v>12</v>
      </c>
      <c r="H76" s="62">
        <v>3.6</v>
      </c>
      <c r="I76" s="62">
        <v>4.3036000000000003</v>
      </c>
      <c r="J76" s="37">
        <v>70</v>
      </c>
      <c r="K76" s="37" t="s">
        <v>115</v>
      </c>
      <c r="L76" s="37" t="s">
        <v>85</v>
      </c>
      <c r="M76" s="38" t="s">
        <v>83</v>
      </c>
      <c r="N76" s="38"/>
      <c r="O76" s="37">
        <v>180</v>
      </c>
      <c r="P76" s="37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6" s="296"/>
      <c r="R76" s="296"/>
      <c r="S76" s="296"/>
      <c r="T76" s="297"/>
      <c r="U76" s="39" t="s">
        <v>46</v>
      </c>
      <c r="V76" s="39" t="s">
        <v>46</v>
      </c>
      <c r="W76" s="40" t="s">
        <v>39</v>
      </c>
      <c r="X76" s="58">
        <v>33</v>
      </c>
      <c r="Y76" s="55">
        <f>IFERROR(IF(X76="","",X76),"")</f>
        <v>33</v>
      </c>
      <c r="Z76" s="41">
        <f>IFERROR(IF(X76="","",X76*0.01788),"")</f>
        <v>0.59004000000000001</v>
      </c>
      <c r="AA76" s="68" t="s">
        <v>46</v>
      </c>
      <c r="AB76" s="69" t="s">
        <v>46</v>
      </c>
      <c r="AC76" s="139" t="s">
        <v>164</v>
      </c>
      <c r="AG76" s="81"/>
      <c r="AJ76" s="87" t="s">
        <v>86</v>
      </c>
      <c r="AK76" s="87">
        <v>1</v>
      </c>
      <c r="BB76" s="140" t="s">
        <v>114</v>
      </c>
      <c r="BM76" s="81">
        <f>IFERROR(X76*I76,"0")</f>
        <v>142.0188</v>
      </c>
      <c r="BN76" s="81">
        <f>IFERROR(Y76*I76,"0")</f>
        <v>142.0188</v>
      </c>
      <c r="BO76" s="81">
        <f>IFERROR(X76/J76,"0")</f>
        <v>0.47142857142857142</v>
      </c>
      <c r="BP76" s="81">
        <f>IFERROR(Y76/J76,"0")</f>
        <v>0.47142857142857142</v>
      </c>
    </row>
    <row r="77" spans="1:68" x14ac:dyDescent="0.2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304"/>
      <c r="P77" s="301" t="s">
        <v>40</v>
      </c>
      <c r="Q77" s="302"/>
      <c r="R77" s="302"/>
      <c r="S77" s="302"/>
      <c r="T77" s="302"/>
      <c r="U77" s="302"/>
      <c r="V77" s="303"/>
      <c r="W77" s="42" t="s">
        <v>39</v>
      </c>
      <c r="X77" s="43">
        <f>IFERROR(SUM(X76:X76),"0")</f>
        <v>33</v>
      </c>
      <c r="Y77" s="43">
        <f>IFERROR(SUM(Y76:Y76),"0")</f>
        <v>33</v>
      </c>
      <c r="Z77" s="43">
        <f>IFERROR(IF(Z76="",0,Z76),"0")</f>
        <v>0.59004000000000001</v>
      </c>
      <c r="AA77" s="67"/>
      <c r="AB77" s="67"/>
      <c r="AC77" s="67"/>
    </row>
    <row r="78" spans="1:68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304"/>
      <c r="P78" s="301" t="s">
        <v>40</v>
      </c>
      <c r="Q78" s="302"/>
      <c r="R78" s="302"/>
      <c r="S78" s="302"/>
      <c r="T78" s="302"/>
      <c r="U78" s="302"/>
      <c r="V78" s="303"/>
      <c r="W78" s="42" t="s">
        <v>0</v>
      </c>
      <c r="X78" s="43">
        <f>IFERROR(SUMPRODUCT(X76:X76*H76:H76),"0")</f>
        <v>118.8</v>
      </c>
      <c r="Y78" s="43">
        <f>IFERROR(SUMPRODUCT(Y76:Y76*H76:H76),"0")</f>
        <v>118.8</v>
      </c>
      <c r="Z78" s="42"/>
      <c r="AA78" s="67"/>
      <c r="AB78" s="67"/>
      <c r="AC78" s="67"/>
    </row>
    <row r="79" spans="1:68" ht="16.5" hidden="1" customHeight="1" x14ac:dyDescent="0.25">
      <c r="A79" s="319" t="s">
        <v>165</v>
      </c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65"/>
      <c r="AB79" s="65"/>
      <c r="AC79" s="82"/>
    </row>
    <row r="80" spans="1:68" ht="14.25" hidden="1" customHeight="1" x14ac:dyDescent="0.25">
      <c r="A80" s="312" t="s">
        <v>166</v>
      </c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66"/>
      <c r="AB80" s="66"/>
      <c r="AC80" s="83"/>
    </row>
    <row r="81" spans="1:68" ht="27" customHeight="1" x14ac:dyDescent="0.25">
      <c r="A81" s="63" t="s">
        <v>167</v>
      </c>
      <c r="B81" s="63" t="s">
        <v>168</v>
      </c>
      <c r="C81" s="36">
        <v>4301131047</v>
      </c>
      <c r="D81" s="294">
        <v>4607111034120</v>
      </c>
      <c r="E81" s="294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115</v>
      </c>
      <c r="L81" s="37" t="s">
        <v>116</v>
      </c>
      <c r="M81" s="38" t="s">
        <v>83</v>
      </c>
      <c r="N81" s="38"/>
      <c r="O81" s="37">
        <v>180</v>
      </c>
      <c r="P81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296"/>
      <c r="R81" s="296"/>
      <c r="S81" s="296"/>
      <c r="T81" s="297"/>
      <c r="U81" s="39" t="s">
        <v>46</v>
      </c>
      <c r="V81" s="39" t="s">
        <v>46</v>
      </c>
      <c r="W81" s="40" t="s">
        <v>39</v>
      </c>
      <c r="X81" s="58">
        <v>70</v>
      </c>
      <c r="Y81" s="55">
        <f>IFERROR(IF(X81="","",X81),"")</f>
        <v>70</v>
      </c>
      <c r="Z81" s="41">
        <f>IFERROR(IF(X81="","",X81*0.01788),"")</f>
        <v>1.2516</v>
      </c>
      <c r="AA81" s="68" t="s">
        <v>46</v>
      </c>
      <c r="AB81" s="69" t="s">
        <v>46</v>
      </c>
      <c r="AC81" s="141" t="s">
        <v>169</v>
      </c>
      <c r="AG81" s="81"/>
      <c r="AJ81" s="87" t="s">
        <v>117</v>
      </c>
      <c r="AK81" s="87">
        <v>14</v>
      </c>
      <c r="BB81" s="142" t="s">
        <v>114</v>
      </c>
      <c r="BM81" s="81">
        <f>IFERROR(X81*I81,"0")</f>
        <v>301.25200000000001</v>
      </c>
      <c r="BN81" s="81">
        <f>IFERROR(Y81*I81,"0")</f>
        <v>301.25200000000001</v>
      </c>
      <c r="BO81" s="81">
        <f>IFERROR(X81/J81,"0")</f>
        <v>1</v>
      </c>
      <c r="BP81" s="81">
        <f>IFERROR(Y81/J81,"0")</f>
        <v>1</v>
      </c>
    </row>
    <row r="82" spans="1:68" ht="27" customHeight="1" x14ac:dyDescent="0.25">
      <c r="A82" s="63" t="s">
        <v>170</v>
      </c>
      <c r="B82" s="63" t="s">
        <v>171</v>
      </c>
      <c r="C82" s="36">
        <v>4301131046</v>
      </c>
      <c r="D82" s="294">
        <v>4607111034137</v>
      </c>
      <c r="E82" s="294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115</v>
      </c>
      <c r="L82" s="37" t="s">
        <v>116</v>
      </c>
      <c r="M82" s="38" t="s">
        <v>83</v>
      </c>
      <c r="N82" s="38"/>
      <c r="O82" s="37">
        <v>180</v>
      </c>
      <c r="P82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296"/>
      <c r="R82" s="296"/>
      <c r="S82" s="296"/>
      <c r="T82" s="297"/>
      <c r="U82" s="39" t="s">
        <v>46</v>
      </c>
      <c r="V82" s="39" t="s">
        <v>46</v>
      </c>
      <c r="W82" s="40" t="s">
        <v>39</v>
      </c>
      <c r="X82" s="58">
        <v>70</v>
      </c>
      <c r="Y82" s="55">
        <f>IFERROR(IF(X82="","",X82),"")</f>
        <v>70</v>
      </c>
      <c r="Z82" s="41">
        <f>IFERROR(IF(X82="","",X82*0.01788),"")</f>
        <v>1.2516</v>
      </c>
      <c r="AA82" s="68" t="s">
        <v>46</v>
      </c>
      <c r="AB82" s="69" t="s">
        <v>46</v>
      </c>
      <c r="AC82" s="143" t="s">
        <v>172</v>
      </c>
      <c r="AG82" s="81"/>
      <c r="AJ82" s="87" t="s">
        <v>117</v>
      </c>
      <c r="AK82" s="87">
        <v>14</v>
      </c>
      <c r="BB82" s="144" t="s">
        <v>114</v>
      </c>
      <c r="BM82" s="81">
        <f>IFERROR(X82*I82,"0")</f>
        <v>301.25200000000001</v>
      </c>
      <c r="BN82" s="81">
        <f>IFERROR(Y82*I82,"0")</f>
        <v>301.25200000000001</v>
      </c>
      <c r="BO82" s="81">
        <f>IFERROR(X82/J82,"0")</f>
        <v>1</v>
      </c>
      <c r="BP82" s="81">
        <f>IFERROR(Y82/J82,"0")</f>
        <v>1</v>
      </c>
    </row>
    <row r="83" spans="1:68" x14ac:dyDescent="0.2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304"/>
      <c r="P83" s="301" t="s">
        <v>40</v>
      </c>
      <c r="Q83" s="302"/>
      <c r="R83" s="302"/>
      <c r="S83" s="302"/>
      <c r="T83" s="302"/>
      <c r="U83" s="302"/>
      <c r="V83" s="303"/>
      <c r="W83" s="42" t="s">
        <v>39</v>
      </c>
      <c r="X83" s="43">
        <f>IFERROR(SUM(X81:X82),"0")</f>
        <v>140</v>
      </c>
      <c r="Y83" s="43">
        <f>IFERROR(SUM(Y81:Y82),"0")</f>
        <v>140</v>
      </c>
      <c r="Z83" s="43">
        <f>IFERROR(IF(Z81="",0,Z81),"0")+IFERROR(IF(Z82="",0,Z82),"0")</f>
        <v>2.5032000000000001</v>
      </c>
      <c r="AA83" s="67"/>
      <c r="AB83" s="67"/>
      <c r="AC83" s="67"/>
    </row>
    <row r="84" spans="1:68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304"/>
      <c r="P84" s="301" t="s">
        <v>40</v>
      </c>
      <c r="Q84" s="302"/>
      <c r="R84" s="302"/>
      <c r="S84" s="302"/>
      <c r="T84" s="302"/>
      <c r="U84" s="302"/>
      <c r="V84" s="303"/>
      <c r="W84" s="42" t="s">
        <v>0</v>
      </c>
      <c r="X84" s="43">
        <f>IFERROR(SUMPRODUCT(X81:X82*H81:H82),"0")</f>
        <v>504</v>
      </c>
      <c r="Y84" s="43">
        <f>IFERROR(SUMPRODUCT(Y81:Y82*H81:H82),"0")</f>
        <v>504</v>
      </c>
      <c r="Z84" s="42"/>
      <c r="AA84" s="67"/>
      <c r="AB84" s="67"/>
      <c r="AC84" s="67"/>
    </row>
    <row r="85" spans="1:68" ht="16.5" hidden="1" customHeight="1" x14ac:dyDescent="0.25">
      <c r="A85" s="319" t="s">
        <v>173</v>
      </c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65"/>
      <c r="AB85" s="65"/>
      <c r="AC85" s="82"/>
    </row>
    <row r="86" spans="1:68" ht="14.25" hidden="1" customHeight="1" x14ac:dyDescent="0.25">
      <c r="A86" s="312" t="s">
        <v>161</v>
      </c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  <c r="Z86" s="312"/>
      <c r="AA86" s="66"/>
      <c r="AB86" s="66"/>
      <c r="AC86" s="83"/>
    </row>
    <row r="87" spans="1:68" ht="27" customHeight="1" x14ac:dyDescent="0.25">
      <c r="A87" s="63" t="s">
        <v>174</v>
      </c>
      <c r="B87" s="63" t="s">
        <v>175</v>
      </c>
      <c r="C87" s="36">
        <v>4301135763</v>
      </c>
      <c r="D87" s="294">
        <v>4620207491027</v>
      </c>
      <c r="E87" s="294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115</v>
      </c>
      <c r="L87" s="37" t="s">
        <v>116</v>
      </c>
      <c r="M87" s="38" t="s">
        <v>83</v>
      </c>
      <c r="N87" s="38"/>
      <c r="O87" s="37">
        <v>180</v>
      </c>
      <c r="P87" s="3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296"/>
      <c r="R87" s="296"/>
      <c r="S87" s="296"/>
      <c r="T87" s="297"/>
      <c r="U87" s="39" t="s">
        <v>46</v>
      </c>
      <c r="V87" s="39" t="s">
        <v>46</v>
      </c>
      <c r="W87" s="40" t="s">
        <v>39</v>
      </c>
      <c r="X87" s="58">
        <v>70</v>
      </c>
      <c r="Y87" s="55">
        <f t="shared" ref="Y87:Y92" si="6">IFERROR(IF(X87="","",X87),"")</f>
        <v>70</v>
      </c>
      <c r="Z87" s="41">
        <f t="shared" ref="Z87:Z92" si="7">IFERROR(IF(X87="","",X87*0.01788),"")</f>
        <v>1.2516</v>
      </c>
      <c r="AA87" s="68" t="s">
        <v>46</v>
      </c>
      <c r="AB87" s="69" t="s">
        <v>46</v>
      </c>
      <c r="AC87" s="145" t="s">
        <v>176</v>
      </c>
      <c r="AG87" s="81"/>
      <c r="AJ87" s="87" t="s">
        <v>117</v>
      </c>
      <c r="AK87" s="87">
        <v>14</v>
      </c>
      <c r="BB87" s="146" t="s">
        <v>114</v>
      </c>
      <c r="BM87" s="81">
        <f t="shared" ref="BM87:BM92" si="8">IFERROR(X87*I87,"0")</f>
        <v>250.852</v>
      </c>
      <c r="BN87" s="81">
        <f t="shared" ref="BN87:BN92" si="9">IFERROR(Y87*I87,"0")</f>
        <v>250.852</v>
      </c>
      <c r="BO87" s="81">
        <f t="shared" ref="BO87:BO92" si="10">IFERROR(X87/J87,"0")</f>
        <v>1</v>
      </c>
      <c r="BP87" s="81">
        <f t="shared" ref="BP87:BP92" si="11">IFERROR(Y87/J87,"0")</f>
        <v>1</v>
      </c>
    </row>
    <row r="88" spans="1:68" ht="27" customHeight="1" x14ac:dyDescent="0.25">
      <c r="A88" s="63" t="s">
        <v>177</v>
      </c>
      <c r="B88" s="63" t="s">
        <v>178</v>
      </c>
      <c r="C88" s="36">
        <v>4301135914</v>
      </c>
      <c r="D88" s="294">
        <v>4620207491621</v>
      </c>
      <c r="E88" s="294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115</v>
      </c>
      <c r="L88" s="37" t="s">
        <v>85</v>
      </c>
      <c r="M88" s="38" t="s">
        <v>83</v>
      </c>
      <c r="N88" s="38"/>
      <c r="O88" s="37">
        <v>180</v>
      </c>
      <c r="P88" s="37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296"/>
      <c r="R88" s="296"/>
      <c r="S88" s="296"/>
      <c r="T88" s="297"/>
      <c r="U88" s="39" t="s">
        <v>46</v>
      </c>
      <c r="V88" s="39" t="s">
        <v>46</v>
      </c>
      <c r="W88" s="40" t="s">
        <v>39</v>
      </c>
      <c r="X88" s="58">
        <v>70</v>
      </c>
      <c r="Y88" s="55">
        <f t="shared" si="6"/>
        <v>70</v>
      </c>
      <c r="Z88" s="41">
        <f t="shared" si="7"/>
        <v>1.2516</v>
      </c>
      <c r="AA88" s="68" t="s">
        <v>46</v>
      </c>
      <c r="AB88" s="69" t="s">
        <v>46</v>
      </c>
      <c r="AC88" s="147" t="s">
        <v>179</v>
      </c>
      <c r="AG88" s="81"/>
      <c r="AJ88" s="87" t="s">
        <v>86</v>
      </c>
      <c r="AK88" s="87">
        <v>1</v>
      </c>
      <c r="BB88" s="148" t="s">
        <v>114</v>
      </c>
      <c r="BM88" s="81">
        <f t="shared" si="8"/>
        <v>250.852</v>
      </c>
      <c r="BN88" s="81">
        <f t="shared" si="9"/>
        <v>250.852</v>
      </c>
      <c r="BO88" s="81">
        <f t="shared" si="10"/>
        <v>1</v>
      </c>
      <c r="BP88" s="81">
        <f t="shared" si="11"/>
        <v>1</v>
      </c>
    </row>
    <row r="89" spans="1:68" ht="27" customHeight="1" x14ac:dyDescent="0.25">
      <c r="A89" s="63" t="s">
        <v>180</v>
      </c>
      <c r="B89" s="63" t="s">
        <v>181</v>
      </c>
      <c r="C89" s="36">
        <v>4301135990</v>
      </c>
      <c r="D89" s="294">
        <v>4620207491881</v>
      </c>
      <c r="E89" s="294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115</v>
      </c>
      <c r="L89" s="37" t="s">
        <v>85</v>
      </c>
      <c r="M89" s="38" t="s">
        <v>83</v>
      </c>
      <c r="N89" s="38"/>
      <c r="O89" s="37">
        <v>180</v>
      </c>
      <c r="P89" s="37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9" s="296"/>
      <c r="R89" s="296"/>
      <c r="S89" s="296"/>
      <c r="T89" s="297"/>
      <c r="U89" s="39" t="s">
        <v>46</v>
      </c>
      <c r="V89" s="39" t="s">
        <v>46</v>
      </c>
      <c r="W89" s="40" t="s">
        <v>39</v>
      </c>
      <c r="X89" s="58">
        <v>42</v>
      </c>
      <c r="Y89" s="55">
        <f t="shared" si="6"/>
        <v>42</v>
      </c>
      <c r="Z89" s="41">
        <f t="shared" si="7"/>
        <v>0.75095999999999996</v>
      </c>
      <c r="AA89" s="68" t="s">
        <v>46</v>
      </c>
      <c r="AB89" s="69" t="s">
        <v>46</v>
      </c>
      <c r="AC89" s="149" t="s">
        <v>179</v>
      </c>
      <c r="AG89" s="81"/>
      <c r="AJ89" s="87" t="s">
        <v>86</v>
      </c>
      <c r="AK89" s="87">
        <v>1</v>
      </c>
      <c r="BB89" s="150" t="s">
        <v>114</v>
      </c>
      <c r="BM89" s="81">
        <f t="shared" si="8"/>
        <v>150.5112</v>
      </c>
      <c r="BN89" s="81">
        <f t="shared" si="9"/>
        <v>150.5112</v>
      </c>
      <c r="BO89" s="81">
        <f t="shared" si="10"/>
        <v>0.6</v>
      </c>
      <c r="BP89" s="81">
        <f t="shared" si="11"/>
        <v>0.6</v>
      </c>
    </row>
    <row r="90" spans="1:68" ht="27" customHeight="1" x14ac:dyDescent="0.25">
      <c r="A90" s="63" t="s">
        <v>182</v>
      </c>
      <c r="B90" s="63" t="s">
        <v>183</v>
      </c>
      <c r="C90" s="36">
        <v>4301135920</v>
      </c>
      <c r="D90" s="294">
        <v>4620207491577</v>
      </c>
      <c r="E90" s="294"/>
      <c r="F90" s="62">
        <v>0.24</v>
      </c>
      <c r="G90" s="37">
        <v>12</v>
      </c>
      <c r="H90" s="62">
        <v>2.88</v>
      </c>
      <c r="I90" s="62">
        <v>3.5836000000000001</v>
      </c>
      <c r="J90" s="37">
        <v>70</v>
      </c>
      <c r="K90" s="37" t="s">
        <v>115</v>
      </c>
      <c r="L90" s="37" t="s">
        <v>85</v>
      </c>
      <c r="M90" s="38" t="s">
        <v>83</v>
      </c>
      <c r="N90" s="38"/>
      <c r="O90" s="37">
        <v>180</v>
      </c>
      <c r="P90" s="37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296"/>
      <c r="R90" s="296"/>
      <c r="S90" s="296"/>
      <c r="T90" s="297"/>
      <c r="U90" s="39" t="s">
        <v>46</v>
      </c>
      <c r="V90" s="39" t="s">
        <v>46</v>
      </c>
      <c r="W90" s="40" t="s">
        <v>39</v>
      </c>
      <c r="X90" s="58">
        <v>70</v>
      </c>
      <c r="Y90" s="55">
        <f t="shared" si="6"/>
        <v>70</v>
      </c>
      <c r="Z90" s="41">
        <f t="shared" si="7"/>
        <v>1.2516</v>
      </c>
      <c r="AA90" s="68" t="s">
        <v>46</v>
      </c>
      <c r="AB90" s="69" t="s">
        <v>46</v>
      </c>
      <c r="AC90" s="151" t="s">
        <v>179</v>
      </c>
      <c r="AG90" s="81"/>
      <c r="AJ90" s="87" t="s">
        <v>86</v>
      </c>
      <c r="AK90" s="87">
        <v>1</v>
      </c>
      <c r="BB90" s="152" t="s">
        <v>114</v>
      </c>
      <c r="BM90" s="81">
        <f t="shared" si="8"/>
        <v>250.852</v>
      </c>
      <c r="BN90" s="81">
        <f t="shared" si="9"/>
        <v>250.852</v>
      </c>
      <c r="BO90" s="81">
        <f t="shared" si="10"/>
        <v>1</v>
      </c>
      <c r="BP90" s="81">
        <f t="shared" si="11"/>
        <v>1</v>
      </c>
    </row>
    <row r="91" spans="1:68" ht="27" customHeight="1" x14ac:dyDescent="0.25">
      <c r="A91" s="63" t="s">
        <v>184</v>
      </c>
      <c r="B91" s="63" t="s">
        <v>185</v>
      </c>
      <c r="C91" s="36">
        <v>4301135984</v>
      </c>
      <c r="D91" s="294">
        <v>4620207491874</v>
      </c>
      <c r="E91" s="294"/>
      <c r="F91" s="62">
        <v>0.48</v>
      </c>
      <c r="G91" s="37">
        <v>8</v>
      </c>
      <c r="H91" s="62">
        <v>3.84</v>
      </c>
      <c r="I91" s="62">
        <v>4.4488000000000003</v>
      </c>
      <c r="J91" s="37">
        <v>70</v>
      </c>
      <c r="K91" s="37" t="s">
        <v>115</v>
      </c>
      <c r="L91" s="37" t="s">
        <v>85</v>
      </c>
      <c r="M91" s="38" t="s">
        <v>83</v>
      </c>
      <c r="N91" s="38"/>
      <c r="O91" s="37">
        <v>180</v>
      </c>
      <c r="P91" s="37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296"/>
      <c r="R91" s="296"/>
      <c r="S91" s="296"/>
      <c r="T91" s="297"/>
      <c r="U91" s="39" t="s">
        <v>46</v>
      </c>
      <c r="V91" s="39" t="s">
        <v>46</v>
      </c>
      <c r="W91" s="40" t="s">
        <v>39</v>
      </c>
      <c r="X91" s="58">
        <v>14</v>
      </c>
      <c r="Y91" s="55">
        <f t="shared" si="6"/>
        <v>14</v>
      </c>
      <c r="Z91" s="41">
        <f t="shared" si="7"/>
        <v>0.25031999999999999</v>
      </c>
      <c r="AA91" s="68" t="s">
        <v>46</v>
      </c>
      <c r="AB91" s="69" t="s">
        <v>46</v>
      </c>
      <c r="AC91" s="153" t="s">
        <v>179</v>
      </c>
      <c r="AG91" s="81"/>
      <c r="AJ91" s="87" t="s">
        <v>86</v>
      </c>
      <c r="AK91" s="87">
        <v>1</v>
      </c>
      <c r="BB91" s="154" t="s">
        <v>114</v>
      </c>
      <c r="BM91" s="81">
        <f t="shared" si="8"/>
        <v>62.283200000000008</v>
      </c>
      <c r="BN91" s="81">
        <f t="shared" si="9"/>
        <v>62.283200000000008</v>
      </c>
      <c r="BO91" s="81">
        <f t="shared" si="10"/>
        <v>0.2</v>
      </c>
      <c r="BP91" s="81">
        <f t="shared" si="11"/>
        <v>0.2</v>
      </c>
    </row>
    <row r="92" spans="1:68" ht="27" customHeight="1" x14ac:dyDescent="0.25">
      <c r="A92" s="63" t="s">
        <v>186</v>
      </c>
      <c r="B92" s="63" t="s">
        <v>187</v>
      </c>
      <c r="C92" s="36">
        <v>4301137008</v>
      </c>
      <c r="D92" s="294">
        <v>4620207491782</v>
      </c>
      <c r="E92" s="294"/>
      <c r="F92" s="62">
        <v>0.3</v>
      </c>
      <c r="G92" s="37">
        <v>14</v>
      </c>
      <c r="H92" s="62">
        <v>4.2</v>
      </c>
      <c r="I92" s="62">
        <v>4.5292000000000003</v>
      </c>
      <c r="J92" s="37">
        <v>70</v>
      </c>
      <c r="K92" s="37" t="s">
        <v>115</v>
      </c>
      <c r="L92" s="37" t="s">
        <v>85</v>
      </c>
      <c r="M92" s="38" t="s">
        <v>83</v>
      </c>
      <c r="N92" s="38"/>
      <c r="O92" s="37">
        <v>180</v>
      </c>
      <c r="P92" s="367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2" s="296"/>
      <c r="R92" s="296"/>
      <c r="S92" s="296"/>
      <c r="T92" s="297"/>
      <c r="U92" s="39" t="s">
        <v>46</v>
      </c>
      <c r="V92" s="39" t="s">
        <v>46</v>
      </c>
      <c r="W92" s="40" t="s">
        <v>39</v>
      </c>
      <c r="X92" s="58">
        <v>6</v>
      </c>
      <c r="Y92" s="55">
        <f t="shared" si="6"/>
        <v>6</v>
      </c>
      <c r="Z92" s="41">
        <f t="shared" si="7"/>
        <v>0.10728</v>
      </c>
      <c r="AA92" s="68" t="s">
        <v>46</v>
      </c>
      <c r="AB92" s="69" t="s">
        <v>46</v>
      </c>
      <c r="AC92" s="155" t="s">
        <v>179</v>
      </c>
      <c r="AG92" s="81"/>
      <c r="AJ92" s="87" t="s">
        <v>86</v>
      </c>
      <c r="AK92" s="87">
        <v>1</v>
      </c>
      <c r="BB92" s="156" t="s">
        <v>114</v>
      </c>
      <c r="BM92" s="81">
        <f t="shared" si="8"/>
        <v>27.175200000000004</v>
      </c>
      <c r="BN92" s="81">
        <f t="shared" si="9"/>
        <v>27.175200000000004</v>
      </c>
      <c r="BO92" s="81">
        <f t="shared" si="10"/>
        <v>8.5714285714285715E-2</v>
      </c>
      <c r="BP92" s="81">
        <f t="shared" si="11"/>
        <v>8.5714285714285715E-2</v>
      </c>
    </row>
    <row r="93" spans="1:68" x14ac:dyDescent="0.2">
      <c r="A93" s="291"/>
      <c r="B93" s="291"/>
      <c r="C93" s="291"/>
      <c r="D93" s="291"/>
      <c r="E93" s="291"/>
      <c r="F93" s="291"/>
      <c r="G93" s="291"/>
      <c r="H93" s="291"/>
      <c r="I93" s="291"/>
      <c r="J93" s="291"/>
      <c r="K93" s="291"/>
      <c r="L93" s="291"/>
      <c r="M93" s="291"/>
      <c r="N93" s="291"/>
      <c r="O93" s="304"/>
      <c r="P93" s="301" t="s">
        <v>40</v>
      </c>
      <c r="Q93" s="302"/>
      <c r="R93" s="302"/>
      <c r="S93" s="302"/>
      <c r="T93" s="302"/>
      <c r="U93" s="302"/>
      <c r="V93" s="303"/>
      <c r="W93" s="42" t="s">
        <v>39</v>
      </c>
      <c r="X93" s="43">
        <f>IFERROR(SUM(X87:X92),"0")</f>
        <v>272</v>
      </c>
      <c r="Y93" s="43">
        <f>IFERROR(SUM(Y87:Y92),"0")</f>
        <v>272</v>
      </c>
      <c r="Z93" s="43">
        <f>IFERROR(IF(Z87="",0,Z87),"0")+IFERROR(IF(Z88="",0,Z88),"0")+IFERROR(IF(Z89="",0,Z89),"0")+IFERROR(IF(Z90="",0,Z90),"0")+IFERROR(IF(Z91="",0,Z91),"0")+IFERROR(IF(Z92="",0,Z92),"0")</f>
        <v>4.863360000000001</v>
      </c>
      <c r="AA93" s="67"/>
      <c r="AB93" s="67"/>
      <c r="AC93" s="67"/>
    </row>
    <row r="94" spans="1:68" x14ac:dyDescent="0.2">
      <c r="A94" s="291"/>
      <c r="B94" s="291"/>
      <c r="C94" s="291"/>
      <c r="D94" s="291"/>
      <c r="E94" s="291"/>
      <c r="F94" s="291"/>
      <c r="G94" s="291"/>
      <c r="H94" s="291"/>
      <c r="I94" s="291"/>
      <c r="J94" s="291"/>
      <c r="K94" s="291"/>
      <c r="L94" s="291"/>
      <c r="M94" s="291"/>
      <c r="N94" s="291"/>
      <c r="O94" s="304"/>
      <c r="P94" s="301" t="s">
        <v>40</v>
      </c>
      <c r="Q94" s="302"/>
      <c r="R94" s="302"/>
      <c r="S94" s="302"/>
      <c r="T94" s="302"/>
      <c r="U94" s="302"/>
      <c r="V94" s="303"/>
      <c r="W94" s="42" t="s">
        <v>0</v>
      </c>
      <c r="X94" s="43">
        <f>IFERROR(SUMPRODUCT(X87:X92*H87:H92),"0")</f>
        <v>804.72</v>
      </c>
      <c r="Y94" s="43">
        <f>IFERROR(SUMPRODUCT(Y87:Y92*H87:H92),"0")</f>
        <v>804.72</v>
      </c>
      <c r="Z94" s="42"/>
      <c r="AA94" s="67"/>
      <c r="AB94" s="67"/>
      <c r="AC94" s="67"/>
    </row>
    <row r="95" spans="1:68" ht="16.5" hidden="1" customHeight="1" x14ac:dyDescent="0.25">
      <c r="A95" s="319" t="s">
        <v>188</v>
      </c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65"/>
      <c r="AB95" s="65"/>
      <c r="AC95" s="82"/>
    </row>
    <row r="96" spans="1:68" ht="14.25" hidden="1" customHeight="1" x14ac:dyDescent="0.25">
      <c r="A96" s="312" t="s">
        <v>189</v>
      </c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66"/>
      <c r="AB96" s="66"/>
      <c r="AC96" s="83"/>
    </row>
    <row r="97" spans="1:68" ht="27" hidden="1" customHeight="1" x14ac:dyDescent="0.25">
      <c r="A97" s="63" t="s">
        <v>190</v>
      </c>
      <c r="B97" s="63" t="s">
        <v>191</v>
      </c>
      <c r="C97" s="36">
        <v>4301136101</v>
      </c>
      <c r="D97" s="294">
        <v>4620207491652</v>
      </c>
      <c r="E97" s="294"/>
      <c r="F97" s="62">
        <v>0.09</v>
      </c>
      <c r="G97" s="37">
        <v>24</v>
      </c>
      <c r="H97" s="62">
        <v>2.16</v>
      </c>
      <c r="I97" s="62">
        <v>2.4912000000000001</v>
      </c>
      <c r="J97" s="37">
        <v>126</v>
      </c>
      <c r="K97" s="37" t="s">
        <v>115</v>
      </c>
      <c r="L97" s="37" t="s">
        <v>85</v>
      </c>
      <c r="M97" s="38" t="s">
        <v>83</v>
      </c>
      <c r="N97" s="38"/>
      <c r="O97" s="37">
        <v>180</v>
      </c>
      <c r="P97" s="36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7" s="296"/>
      <c r="R97" s="296"/>
      <c r="S97" s="296"/>
      <c r="T97" s="297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IFERROR(IF(X97="","",X97*0.00936),"")</f>
        <v>0</v>
      </c>
      <c r="AA97" s="68" t="s">
        <v>46</v>
      </c>
      <c r="AB97" s="69" t="s">
        <v>46</v>
      </c>
      <c r="AC97" s="157" t="s">
        <v>192</v>
      </c>
      <c r="AG97" s="81"/>
      <c r="AJ97" s="87" t="s">
        <v>86</v>
      </c>
      <c r="AK97" s="87">
        <v>1</v>
      </c>
      <c r="BB97" s="158" t="s">
        <v>114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ht="27" hidden="1" customHeight="1" x14ac:dyDescent="0.25">
      <c r="A98" s="63" t="s">
        <v>193</v>
      </c>
      <c r="B98" s="63" t="s">
        <v>194</v>
      </c>
      <c r="C98" s="36">
        <v>4301136103</v>
      </c>
      <c r="D98" s="294">
        <v>4620207491645</v>
      </c>
      <c r="E98" s="294"/>
      <c r="F98" s="62">
        <v>0.36</v>
      </c>
      <c r="G98" s="37">
        <v>10</v>
      </c>
      <c r="H98" s="62">
        <v>3.6</v>
      </c>
      <c r="I98" s="62">
        <v>4.2439999999999998</v>
      </c>
      <c r="J98" s="37">
        <v>70</v>
      </c>
      <c r="K98" s="37" t="s">
        <v>115</v>
      </c>
      <c r="L98" s="37" t="s">
        <v>85</v>
      </c>
      <c r="M98" s="38" t="s">
        <v>83</v>
      </c>
      <c r="N98" s="38"/>
      <c r="O98" s="37">
        <v>180</v>
      </c>
      <c r="P98" s="365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8" s="296"/>
      <c r="R98" s="296"/>
      <c r="S98" s="296"/>
      <c r="T98" s="297"/>
      <c r="U98" s="39" t="s">
        <v>46</v>
      </c>
      <c r="V98" s="39" t="s">
        <v>46</v>
      </c>
      <c r="W98" s="40" t="s">
        <v>39</v>
      </c>
      <c r="X98" s="58">
        <v>0</v>
      </c>
      <c r="Y98" s="55">
        <f>IFERROR(IF(X98="","",X98),"")</f>
        <v>0</v>
      </c>
      <c r="Z98" s="41">
        <f>IFERROR(IF(X98="","",X98*0.01788),"")</f>
        <v>0</v>
      </c>
      <c r="AA98" s="68" t="s">
        <v>46</v>
      </c>
      <c r="AB98" s="69" t="s">
        <v>46</v>
      </c>
      <c r="AC98" s="159" t="s">
        <v>192</v>
      </c>
      <c r="AG98" s="81"/>
      <c r="AJ98" s="87" t="s">
        <v>86</v>
      </c>
      <c r="AK98" s="87">
        <v>1</v>
      </c>
      <c r="BB98" s="160" t="s">
        <v>114</v>
      </c>
      <c r="BM98" s="81">
        <f>IFERROR(X98*I98,"0")</f>
        <v>0</v>
      </c>
      <c r="BN98" s="81">
        <f>IFERROR(Y98*I98,"0")</f>
        <v>0</v>
      </c>
      <c r="BO98" s="81">
        <f>IFERROR(X98/J98,"0")</f>
        <v>0</v>
      </c>
      <c r="BP98" s="81">
        <f>IFERROR(Y98/J98,"0")</f>
        <v>0</v>
      </c>
    </row>
    <row r="99" spans="1:68" hidden="1" x14ac:dyDescent="0.2">
      <c r="A99" s="291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304"/>
      <c r="P99" s="301" t="s">
        <v>40</v>
      </c>
      <c r="Q99" s="302"/>
      <c r="R99" s="302"/>
      <c r="S99" s="302"/>
      <c r="T99" s="302"/>
      <c r="U99" s="302"/>
      <c r="V99" s="303"/>
      <c r="W99" s="42" t="s">
        <v>39</v>
      </c>
      <c r="X99" s="43">
        <f>IFERROR(SUM(X97:X98),"0")</f>
        <v>0</v>
      </c>
      <c r="Y99" s="43">
        <f>IFERROR(SUM(Y97:Y98),"0")</f>
        <v>0</v>
      </c>
      <c r="Z99" s="43">
        <f>IFERROR(IF(Z97="",0,Z97),"0")+IFERROR(IF(Z98="",0,Z98),"0")</f>
        <v>0</v>
      </c>
      <c r="AA99" s="67"/>
      <c r="AB99" s="67"/>
      <c r="AC99" s="67"/>
    </row>
    <row r="100" spans="1:68" hidden="1" x14ac:dyDescent="0.2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304"/>
      <c r="P100" s="301" t="s">
        <v>40</v>
      </c>
      <c r="Q100" s="302"/>
      <c r="R100" s="302"/>
      <c r="S100" s="302"/>
      <c r="T100" s="302"/>
      <c r="U100" s="302"/>
      <c r="V100" s="303"/>
      <c r="W100" s="42" t="s">
        <v>0</v>
      </c>
      <c r="X100" s="43">
        <f>IFERROR(SUMPRODUCT(X97:X98*H97:H98),"0")</f>
        <v>0</v>
      </c>
      <c r="Y100" s="43">
        <f>IFERROR(SUMPRODUCT(Y97:Y98*H97:H98),"0")</f>
        <v>0</v>
      </c>
      <c r="Z100" s="42"/>
      <c r="AA100" s="67"/>
      <c r="AB100" s="67"/>
      <c r="AC100" s="67"/>
    </row>
    <row r="101" spans="1:68" ht="16.5" hidden="1" customHeight="1" x14ac:dyDescent="0.25">
      <c r="A101" s="319" t="s">
        <v>195</v>
      </c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65"/>
      <c r="AB101" s="65"/>
      <c r="AC101" s="82"/>
    </row>
    <row r="102" spans="1:68" ht="14.25" hidden="1" customHeight="1" x14ac:dyDescent="0.25">
      <c r="A102" s="312" t="s">
        <v>79</v>
      </c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66"/>
      <c r="AB102" s="66"/>
      <c r="AC102" s="83"/>
    </row>
    <row r="103" spans="1:68" ht="27" hidden="1" customHeight="1" x14ac:dyDescent="0.25">
      <c r="A103" s="63" t="s">
        <v>196</v>
      </c>
      <c r="B103" s="63" t="s">
        <v>197</v>
      </c>
      <c r="C103" s="36">
        <v>4301071074</v>
      </c>
      <c r="D103" s="294">
        <v>4620207491157</v>
      </c>
      <c r="E103" s="294"/>
      <c r="F103" s="62">
        <v>0.7</v>
      </c>
      <c r="G103" s="37">
        <v>10</v>
      </c>
      <c r="H103" s="62">
        <v>7</v>
      </c>
      <c r="I103" s="62">
        <v>7.28</v>
      </c>
      <c r="J103" s="37">
        <v>84</v>
      </c>
      <c r="K103" s="37" t="s">
        <v>84</v>
      </c>
      <c r="L103" s="37" t="s">
        <v>116</v>
      </c>
      <c r="M103" s="38" t="s">
        <v>83</v>
      </c>
      <c r="N103" s="38"/>
      <c r="O103" s="37">
        <v>180</v>
      </c>
      <c r="P103" s="36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296"/>
      <c r="R103" s="296"/>
      <c r="S103" s="296"/>
      <c r="T103" s="297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ref="Y103:Y109" si="12">IFERROR(IF(X103="","",X103),"")</f>
        <v>0</v>
      </c>
      <c r="Z103" s="41">
        <f t="shared" ref="Z103:Z109" si="13">IFERROR(IF(X103="","",X103*0.0155),"")</f>
        <v>0</v>
      </c>
      <c r="AA103" s="68" t="s">
        <v>46</v>
      </c>
      <c r="AB103" s="69" t="s">
        <v>46</v>
      </c>
      <c r="AC103" s="161" t="s">
        <v>198</v>
      </c>
      <c r="AG103" s="81"/>
      <c r="AJ103" s="87" t="s">
        <v>117</v>
      </c>
      <c r="AK103" s="87">
        <v>12</v>
      </c>
      <c r="BB103" s="162" t="s">
        <v>70</v>
      </c>
      <c r="BM103" s="81">
        <f t="shared" ref="BM103:BM109" si="14">IFERROR(X103*I103,"0")</f>
        <v>0</v>
      </c>
      <c r="BN103" s="81">
        <f t="shared" ref="BN103:BN109" si="15">IFERROR(Y103*I103,"0")</f>
        <v>0</v>
      </c>
      <c r="BO103" s="81">
        <f t="shared" ref="BO103:BO109" si="16">IFERROR(X103/J103,"0")</f>
        <v>0</v>
      </c>
      <c r="BP103" s="81">
        <f t="shared" ref="BP103:BP109" si="17">IFERROR(Y103/J103,"0")</f>
        <v>0</v>
      </c>
    </row>
    <row r="104" spans="1:68" ht="27" hidden="1" customHeight="1" x14ac:dyDescent="0.25">
      <c r="A104" s="63" t="s">
        <v>199</v>
      </c>
      <c r="B104" s="63" t="s">
        <v>200</v>
      </c>
      <c r="C104" s="36">
        <v>4301071121</v>
      </c>
      <c r="D104" s="294">
        <v>4620207491393</v>
      </c>
      <c r="E104" s="294"/>
      <c r="F104" s="62">
        <v>0.4</v>
      </c>
      <c r="G104" s="37">
        <v>16</v>
      </c>
      <c r="H104" s="62">
        <v>6.4</v>
      </c>
      <c r="I104" s="62">
        <v>6.71</v>
      </c>
      <c r="J104" s="37">
        <v>84</v>
      </c>
      <c r="K104" s="37" t="s">
        <v>84</v>
      </c>
      <c r="L104" s="37" t="s">
        <v>85</v>
      </c>
      <c r="M104" s="38" t="s">
        <v>83</v>
      </c>
      <c r="N104" s="38"/>
      <c r="O104" s="37">
        <v>180</v>
      </c>
      <c r="P104" s="36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4" s="296"/>
      <c r="R104" s="296"/>
      <c r="S104" s="296"/>
      <c r="T104" s="297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12"/>
        <v>0</v>
      </c>
      <c r="Z104" s="41">
        <f t="shared" si="13"/>
        <v>0</v>
      </c>
      <c r="AA104" s="68" t="s">
        <v>46</v>
      </c>
      <c r="AB104" s="69" t="s">
        <v>46</v>
      </c>
      <c r="AC104" s="163" t="s">
        <v>201</v>
      </c>
      <c r="AG104" s="81"/>
      <c r="AJ104" s="87" t="s">
        <v>86</v>
      </c>
      <c r="AK104" s="87">
        <v>1</v>
      </c>
      <c r="BB104" s="164" t="s">
        <v>70</v>
      </c>
      <c r="BM104" s="81">
        <f t="shared" si="14"/>
        <v>0</v>
      </c>
      <c r="BN104" s="81">
        <f t="shared" si="15"/>
        <v>0</v>
      </c>
      <c r="BO104" s="81">
        <f t="shared" si="16"/>
        <v>0</v>
      </c>
      <c r="BP104" s="81">
        <f t="shared" si="17"/>
        <v>0</v>
      </c>
    </row>
    <row r="105" spans="1:68" ht="27" customHeight="1" x14ac:dyDescent="0.25">
      <c r="A105" s="63" t="s">
        <v>202</v>
      </c>
      <c r="B105" s="63" t="s">
        <v>203</v>
      </c>
      <c r="C105" s="36">
        <v>4301071051</v>
      </c>
      <c r="D105" s="294">
        <v>4607111039262</v>
      </c>
      <c r="E105" s="294"/>
      <c r="F105" s="62">
        <v>0.4</v>
      </c>
      <c r="G105" s="37">
        <v>16</v>
      </c>
      <c r="H105" s="62">
        <v>6.4</v>
      </c>
      <c r="I105" s="62">
        <v>6.7195999999999998</v>
      </c>
      <c r="J105" s="37">
        <v>84</v>
      </c>
      <c r="K105" s="37" t="s">
        <v>84</v>
      </c>
      <c r="L105" s="37" t="s">
        <v>116</v>
      </c>
      <c r="M105" s="38" t="s">
        <v>83</v>
      </c>
      <c r="N105" s="38"/>
      <c r="O105" s="37">
        <v>180</v>
      </c>
      <c r="P105" s="36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5" s="296"/>
      <c r="R105" s="296"/>
      <c r="S105" s="296"/>
      <c r="T105" s="297"/>
      <c r="U105" s="39" t="s">
        <v>46</v>
      </c>
      <c r="V105" s="39" t="s">
        <v>46</v>
      </c>
      <c r="W105" s="40" t="s">
        <v>39</v>
      </c>
      <c r="X105" s="58">
        <v>24</v>
      </c>
      <c r="Y105" s="55">
        <f t="shared" si="12"/>
        <v>24</v>
      </c>
      <c r="Z105" s="41">
        <f t="shared" si="13"/>
        <v>0.372</v>
      </c>
      <c r="AA105" s="68" t="s">
        <v>46</v>
      </c>
      <c r="AB105" s="69" t="s">
        <v>46</v>
      </c>
      <c r="AC105" s="165" t="s">
        <v>156</v>
      </c>
      <c r="AG105" s="81"/>
      <c r="AJ105" s="87" t="s">
        <v>117</v>
      </c>
      <c r="AK105" s="87">
        <v>12</v>
      </c>
      <c r="BB105" s="166" t="s">
        <v>70</v>
      </c>
      <c r="BM105" s="81">
        <f t="shared" si="14"/>
        <v>161.2704</v>
      </c>
      <c r="BN105" s="81">
        <f t="shared" si="15"/>
        <v>161.2704</v>
      </c>
      <c r="BO105" s="81">
        <f t="shared" si="16"/>
        <v>0.2857142857142857</v>
      </c>
      <c r="BP105" s="81">
        <f t="shared" si="17"/>
        <v>0.2857142857142857</v>
      </c>
    </row>
    <row r="106" spans="1:68" ht="27" customHeight="1" x14ac:dyDescent="0.25">
      <c r="A106" s="63" t="s">
        <v>204</v>
      </c>
      <c r="B106" s="63" t="s">
        <v>205</v>
      </c>
      <c r="C106" s="36">
        <v>4301071038</v>
      </c>
      <c r="D106" s="294">
        <v>4607111039248</v>
      </c>
      <c r="E106" s="294"/>
      <c r="F106" s="62">
        <v>0.7</v>
      </c>
      <c r="G106" s="37">
        <v>10</v>
      </c>
      <c r="H106" s="62">
        <v>7</v>
      </c>
      <c r="I106" s="62">
        <v>7.3</v>
      </c>
      <c r="J106" s="37">
        <v>84</v>
      </c>
      <c r="K106" s="37" t="s">
        <v>84</v>
      </c>
      <c r="L106" s="37" t="s">
        <v>116</v>
      </c>
      <c r="M106" s="38" t="s">
        <v>83</v>
      </c>
      <c r="N106" s="38"/>
      <c r="O106" s="37">
        <v>180</v>
      </c>
      <c r="P106" s="36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6" s="296"/>
      <c r="R106" s="296"/>
      <c r="S106" s="296"/>
      <c r="T106" s="297"/>
      <c r="U106" s="39" t="s">
        <v>46</v>
      </c>
      <c r="V106" s="39" t="s">
        <v>46</v>
      </c>
      <c r="W106" s="40" t="s">
        <v>39</v>
      </c>
      <c r="X106" s="58">
        <v>72</v>
      </c>
      <c r="Y106" s="55">
        <f t="shared" si="12"/>
        <v>72</v>
      </c>
      <c r="Z106" s="41">
        <f t="shared" si="13"/>
        <v>1.1160000000000001</v>
      </c>
      <c r="AA106" s="68" t="s">
        <v>46</v>
      </c>
      <c r="AB106" s="69" t="s">
        <v>46</v>
      </c>
      <c r="AC106" s="167" t="s">
        <v>156</v>
      </c>
      <c r="AG106" s="81"/>
      <c r="AJ106" s="87" t="s">
        <v>117</v>
      </c>
      <c r="AK106" s="87">
        <v>12</v>
      </c>
      <c r="BB106" s="168" t="s">
        <v>70</v>
      </c>
      <c r="BM106" s="81">
        <f t="shared" si="14"/>
        <v>525.6</v>
      </c>
      <c r="BN106" s="81">
        <f t="shared" si="15"/>
        <v>525.6</v>
      </c>
      <c r="BO106" s="81">
        <f t="shared" si="16"/>
        <v>0.8571428571428571</v>
      </c>
      <c r="BP106" s="81">
        <f t="shared" si="17"/>
        <v>0.8571428571428571</v>
      </c>
    </row>
    <row r="107" spans="1:68" ht="27" hidden="1" customHeight="1" x14ac:dyDescent="0.25">
      <c r="A107" s="63" t="s">
        <v>206</v>
      </c>
      <c r="B107" s="63" t="s">
        <v>207</v>
      </c>
      <c r="C107" s="36">
        <v>4301070979</v>
      </c>
      <c r="D107" s="294">
        <v>4607111037145</v>
      </c>
      <c r="E107" s="294"/>
      <c r="F107" s="62">
        <v>0.8</v>
      </c>
      <c r="G107" s="37">
        <v>8</v>
      </c>
      <c r="H107" s="62">
        <v>6.4</v>
      </c>
      <c r="I107" s="62">
        <v>6.6748000000000003</v>
      </c>
      <c r="J107" s="37">
        <v>84</v>
      </c>
      <c r="K107" s="37" t="s">
        <v>84</v>
      </c>
      <c r="L107" s="37" t="s">
        <v>85</v>
      </c>
      <c r="M107" s="38" t="s">
        <v>83</v>
      </c>
      <c r="N107" s="38"/>
      <c r="O107" s="37">
        <v>180</v>
      </c>
      <c r="P107" s="36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7" s="296"/>
      <c r="R107" s="296"/>
      <c r="S107" s="296"/>
      <c r="T107" s="297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12"/>
        <v>0</v>
      </c>
      <c r="Z107" s="41">
        <f t="shared" si="13"/>
        <v>0</v>
      </c>
      <c r="AA107" s="68" t="s">
        <v>46</v>
      </c>
      <c r="AB107" s="69" t="s">
        <v>46</v>
      </c>
      <c r="AC107" s="169" t="s">
        <v>208</v>
      </c>
      <c r="AG107" s="81"/>
      <c r="AJ107" s="87" t="s">
        <v>86</v>
      </c>
      <c r="AK107" s="87">
        <v>1</v>
      </c>
      <c r="BB107" s="170" t="s">
        <v>70</v>
      </c>
      <c r="BM107" s="81">
        <f t="shared" si="14"/>
        <v>0</v>
      </c>
      <c r="BN107" s="81">
        <f t="shared" si="15"/>
        <v>0</v>
      </c>
      <c r="BO107" s="81">
        <f t="shared" si="16"/>
        <v>0</v>
      </c>
      <c r="BP107" s="81">
        <f t="shared" si="17"/>
        <v>0</v>
      </c>
    </row>
    <row r="108" spans="1:68" ht="27" customHeight="1" x14ac:dyDescent="0.25">
      <c r="A108" s="63" t="s">
        <v>209</v>
      </c>
      <c r="B108" s="63" t="s">
        <v>210</v>
      </c>
      <c r="C108" s="36">
        <v>4301071139</v>
      </c>
      <c r="D108" s="294">
        <v>4607111039293</v>
      </c>
      <c r="E108" s="294"/>
      <c r="F108" s="62">
        <v>0.4</v>
      </c>
      <c r="G108" s="37">
        <v>16</v>
      </c>
      <c r="H108" s="62">
        <v>6.4</v>
      </c>
      <c r="I108" s="62">
        <v>6.7195999999999998</v>
      </c>
      <c r="J108" s="37">
        <v>84</v>
      </c>
      <c r="K108" s="37" t="s">
        <v>84</v>
      </c>
      <c r="L108" s="37" t="s">
        <v>85</v>
      </c>
      <c r="M108" s="38" t="s">
        <v>83</v>
      </c>
      <c r="N108" s="38"/>
      <c r="O108" s="37">
        <v>180</v>
      </c>
      <c r="P108" s="364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8" s="296"/>
      <c r="R108" s="296"/>
      <c r="S108" s="296"/>
      <c r="T108" s="297"/>
      <c r="U108" s="39" t="s">
        <v>46</v>
      </c>
      <c r="V108" s="39" t="s">
        <v>46</v>
      </c>
      <c r="W108" s="40" t="s">
        <v>39</v>
      </c>
      <c r="X108" s="58">
        <v>30</v>
      </c>
      <c r="Y108" s="55">
        <f t="shared" si="12"/>
        <v>30</v>
      </c>
      <c r="Z108" s="41">
        <f t="shared" si="13"/>
        <v>0.46499999999999997</v>
      </c>
      <c r="AA108" s="68" t="s">
        <v>46</v>
      </c>
      <c r="AB108" s="69" t="s">
        <v>46</v>
      </c>
      <c r="AC108" s="171" t="s">
        <v>211</v>
      </c>
      <c r="AG108" s="81"/>
      <c r="AJ108" s="87" t="s">
        <v>86</v>
      </c>
      <c r="AK108" s="87">
        <v>1</v>
      </c>
      <c r="BB108" s="172" t="s">
        <v>70</v>
      </c>
      <c r="BM108" s="81">
        <f t="shared" si="14"/>
        <v>201.58799999999999</v>
      </c>
      <c r="BN108" s="81">
        <f t="shared" si="15"/>
        <v>201.58799999999999</v>
      </c>
      <c r="BO108" s="81">
        <f t="shared" si="16"/>
        <v>0.35714285714285715</v>
      </c>
      <c r="BP108" s="81">
        <f t="shared" si="17"/>
        <v>0.35714285714285715</v>
      </c>
    </row>
    <row r="109" spans="1:68" ht="27" customHeight="1" x14ac:dyDescent="0.25">
      <c r="A109" s="63" t="s">
        <v>212</v>
      </c>
      <c r="B109" s="63" t="s">
        <v>213</v>
      </c>
      <c r="C109" s="36">
        <v>4301071138</v>
      </c>
      <c r="D109" s="294">
        <v>4607111039279</v>
      </c>
      <c r="E109" s="294"/>
      <c r="F109" s="62">
        <v>0.7</v>
      </c>
      <c r="G109" s="37">
        <v>10</v>
      </c>
      <c r="H109" s="62">
        <v>7</v>
      </c>
      <c r="I109" s="62">
        <v>7.3</v>
      </c>
      <c r="J109" s="37">
        <v>84</v>
      </c>
      <c r="K109" s="37" t="s">
        <v>84</v>
      </c>
      <c r="L109" s="37" t="s">
        <v>85</v>
      </c>
      <c r="M109" s="38" t="s">
        <v>83</v>
      </c>
      <c r="N109" s="38"/>
      <c r="O109" s="37">
        <v>180</v>
      </c>
      <c r="P109" s="35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9" s="296"/>
      <c r="R109" s="296"/>
      <c r="S109" s="296"/>
      <c r="T109" s="297"/>
      <c r="U109" s="39" t="s">
        <v>46</v>
      </c>
      <c r="V109" s="39" t="s">
        <v>46</v>
      </c>
      <c r="W109" s="40" t="s">
        <v>39</v>
      </c>
      <c r="X109" s="58">
        <v>84</v>
      </c>
      <c r="Y109" s="55">
        <f t="shared" si="12"/>
        <v>84</v>
      </c>
      <c r="Z109" s="41">
        <f t="shared" si="13"/>
        <v>1.302</v>
      </c>
      <c r="AA109" s="68" t="s">
        <v>46</v>
      </c>
      <c r="AB109" s="69" t="s">
        <v>46</v>
      </c>
      <c r="AC109" s="173" t="s">
        <v>211</v>
      </c>
      <c r="AG109" s="81"/>
      <c r="AJ109" s="87" t="s">
        <v>86</v>
      </c>
      <c r="AK109" s="87">
        <v>1</v>
      </c>
      <c r="BB109" s="174" t="s">
        <v>70</v>
      </c>
      <c r="BM109" s="81">
        <f t="shared" si="14"/>
        <v>613.19999999999993</v>
      </c>
      <c r="BN109" s="81">
        <f t="shared" si="15"/>
        <v>613.19999999999993</v>
      </c>
      <c r="BO109" s="81">
        <f t="shared" si="16"/>
        <v>1</v>
      </c>
      <c r="BP109" s="81">
        <f t="shared" si="17"/>
        <v>1</v>
      </c>
    </row>
    <row r="110" spans="1:68" x14ac:dyDescent="0.2">
      <c r="A110" s="291"/>
      <c r="B110" s="291"/>
      <c r="C110" s="291"/>
      <c r="D110" s="291"/>
      <c r="E110" s="291"/>
      <c r="F110" s="291"/>
      <c r="G110" s="291"/>
      <c r="H110" s="291"/>
      <c r="I110" s="291"/>
      <c r="J110" s="291"/>
      <c r="K110" s="291"/>
      <c r="L110" s="291"/>
      <c r="M110" s="291"/>
      <c r="N110" s="291"/>
      <c r="O110" s="304"/>
      <c r="P110" s="301" t="s">
        <v>40</v>
      </c>
      <c r="Q110" s="302"/>
      <c r="R110" s="302"/>
      <c r="S110" s="302"/>
      <c r="T110" s="302"/>
      <c r="U110" s="302"/>
      <c r="V110" s="303"/>
      <c r="W110" s="42" t="s">
        <v>39</v>
      </c>
      <c r="X110" s="43">
        <f>IFERROR(SUM(X103:X109),"0")</f>
        <v>210</v>
      </c>
      <c r="Y110" s="43">
        <f>IFERROR(SUM(Y103:Y109),"0")</f>
        <v>210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3.2549999999999999</v>
      </c>
      <c r="AA110" s="67"/>
      <c r="AB110" s="67"/>
      <c r="AC110" s="67"/>
    </row>
    <row r="111" spans="1:68" x14ac:dyDescent="0.2">
      <c r="A111" s="291"/>
      <c r="B111" s="291"/>
      <c r="C111" s="291"/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304"/>
      <c r="P111" s="301" t="s">
        <v>40</v>
      </c>
      <c r="Q111" s="302"/>
      <c r="R111" s="302"/>
      <c r="S111" s="302"/>
      <c r="T111" s="302"/>
      <c r="U111" s="302"/>
      <c r="V111" s="303"/>
      <c r="W111" s="42" t="s">
        <v>0</v>
      </c>
      <c r="X111" s="43">
        <f>IFERROR(SUMPRODUCT(X103:X109*H103:H109),"0")</f>
        <v>1437.6</v>
      </c>
      <c r="Y111" s="43">
        <f>IFERROR(SUMPRODUCT(Y103:Y109*H103:H109),"0")</f>
        <v>1437.6</v>
      </c>
      <c r="Z111" s="42"/>
      <c r="AA111" s="67"/>
      <c r="AB111" s="67"/>
      <c r="AC111" s="67"/>
    </row>
    <row r="112" spans="1:68" ht="14.25" hidden="1" customHeight="1" x14ac:dyDescent="0.25">
      <c r="A112" s="312" t="s">
        <v>161</v>
      </c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  <c r="Z112" s="312"/>
      <c r="AA112" s="66"/>
      <c r="AB112" s="66"/>
      <c r="AC112" s="83"/>
    </row>
    <row r="113" spans="1:68" ht="27" customHeight="1" x14ac:dyDescent="0.25">
      <c r="A113" s="63" t="s">
        <v>214</v>
      </c>
      <c r="B113" s="63" t="s">
        <v>215</v>
      </c>
      <c r="C113" s="36">
        <v>4301135826</v>
      </c>
      <c r="D113" s="294">
        <v>4620207490983</v>
      </c>
      <c r="E113" s="294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115</v>
      </c>
      <c r="L113" s="37" t="s">
        <v>85</v>
      </c>
      <c r="M113" s="38" t="s">
        <v>83</v>
      </c>
      <c r="N113" s="38"/>
      <c r="O113" s="37">
        <v>180</v>
      </c>
      <c r="P113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96"/>
      <c r="R113" s="296"/>
      <c r="S113" s="296"/>
      <c r="T113" s="297"/>
      <c r="U113" s="39" t="s">
        <v>46</v>
      </c>
      <c r="V113" s="39" t="s">
        <v>46</v>
      </c>
      <c r="W113" s="40" t="s">
        <v>39</v>
      </c>
      <c r="X113" s="58">
        <v>22</v>
      </c>
      <c r="Y113" s="55">
        <f>IFERROR(IF(X113="","",X113),"")</f>
        <v>22</v>
      </c>
      <c r="Z113" s="41">
        <f>IFERROR(IF(X113="","",X113*0.01788),"")</f>
        <v>0.39335999999999999</v>
      </c>
      <c r="AA113" s="68" t="s">
        <v>46</v>
      </c>
      <c r="AB113" s="69" t="s">
        <v>46</v>
      </c>
      <c r="AC113" s="175" t="s">
        <v>216</v>
      </c>
      <c r="AG113" s="81"/>
      <c r="AJ113" s="87" t="s">
        <v>86</v>
      </c>
      <c r="AK113" s="87">
        <v>1</v>
      </c>
      <c r="BB113" s="176" t="s">
        <v>114</v>
      </c>
      <c r="BM113" s="81">
        <f>IFERROR(X113*I113,"0")</f>
        <v>73.559200000000004</v>
      </c>
      <c r="BN113" s="81">
        <f>IFERROR(Y113*I113,"0")</f>
        <v>73.559200000000004</v>
      </c>
      <c r="BO113" s="81">
        <f>IFERROR(X113/J113,"0")</f>
        <v>0.31428571428571428</v>
      </c>
      <c r="BP113" s="81">
        <f>IFERROR(Y113/J113,"0")</f>
        <v>0.31428571428571428</v>
      </c>
    </row>
    <row r="114" spans="1:68" x14ac:dyDescent="0.2">
      <c r="A114" s="291"/>
      <c r="B114" s="291"/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304"/>
      <c r="P114" s="301" t="s">
        <v>40</v>
      </c>
      <c r="Q114" s="302"/>
      <c r="R114" s="302"/>
      <c r="S114" s="302"/>
      <c r="T114" s="302"/>
      <c r="U114" s="302"/>
      <c r="V114" s="303"/>
      <c r="W114" s="42" t="s">
        <v>39</v>
      </c>
      <c r="X114" s="43">
        <f>IFERROR(SUM(X113:X113),"0")</f>
        <v>22</v>
      </c>
      <c r="Y114" s="43">
        <f>IFERROR(SUM(Y113:Y113),"0")</f>
        <v>22</v>
      </c>
      <c r="Z114" s="43">
        <f>IFERROR(IF(Z113="",0,Z113),"0")</f>
        <v>0.39335999999999999</v>
      </c>
      <c r="AA114" s="67"/>
      <c r="AB114" s="67"/>
      <c r="AC114" s="67"/>
    </row>
    <row r="115" spans="1:68" x14ac:dyDescent="0.2">
      <c r="A115" s="291"/>
      <c r="B115" s="291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304"/>
      <c r="P115" s="301" t="s">
        <v>40</v>
      </c>
      <c r="Q115" s="302"/>
      <c r="R115" s="302"/>
      <c r="S115" s="302"/>
      <c r="T115" s="302"/>
      <c r="U115" s="302"/>
      <c r="V115" s="303"/>
      <c r="W115" s="42" t="s">
        <v>0</v>
      </c>
      <c r="X115" s="43">
        <f>IFERROR(SUMPRODUCT(X113:X113*H113:H113),"0")</f>
        <v>58.080000000000005</v>
      </c>
      <c r="Y115" s="43">
        <f>IFERROR(SUMPRODUCT(Y113:Y113*H113:H113),"0")</f>
        <v>58.080000000000005</v>
      </c>
      <c r="Z115" s="42"/>
      <c r="AA115" s="67"/>
      <c r="AB115" s="67"/>
      <c r="AC115" s="67"/>
    </row>
    <row r="116" spans="1:68" ht="14.25" hidden="1" customHeight="1" x14ac:dyDescent="0.25">
      <c r="A116" s="312" t="s">
        <v>217</v>
      </c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  <c r="Z116" s="312"/>
      <c r="AA116" s="66"/>
      <c r="AB116" s="66"/>
      <c r="AC116" s="83"/>
    </row>
    <row r="117" spans="1:68" ht="27" hidden="1" customHeight="1" x14ac:dyDescent="0.25">
      <c r="A117" s="63" t="s">
        <v>218</v>
      </c>
      <c r="B117" s="63" t="s">
        <v>219</v>
      </c>
      <c r="C117" s="36">
        <v>4301071094</v>
      </c>
      <c r="D117" s="294">
        <v>4620207491140</v>
      </c>
      <c r="E117" s="294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84</v>
      </c>
      <c r="L117" s="37" t="s">
        <v>85</v>
      </c>
      <c r="M117" s="38" t="s">
        <v>83</v>
      </c>
      <c r="N117" s="38"/>
      <c r="O117" s="37">
        <v>180</v>
      </c>
      <c r="P117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96"/>
      <c r="R117" s="296"/>
      <c r="S117" s="296"/>
      <c r="T117" s="297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77" t="s">
        <v>220</v>
      </c>
      <c r="AG117" s="81"/>
      <c r="AJ117" s="87" t="s">
        <v>86</v>
      </c>
      <c r="AK117" s="87">
        <v>1</v>
      </c>
      <c r="BB117" s="178" t="s">
        <v>114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hidden="1" x14ac:dyDescent="0.2">
      <c r="A118" s="291"/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304"/>
      <c r="P118" s="301" t="s">
        <v>40</v>
      </c>
      <c r="Q118" s="302"/>
      <c r="R118" s="302"/>
      <c r="S118" s="302"/>
      <c r="T118" s="302"/>
      <c r="U118" s="302"/>
      <c r="V118" s="303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hidden="1" x14ac:dyDescent="0.2">
      <c r="A119" s="291"/>
      <c r="B119" s="291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304"/>
      <c r="P119" s="301" t="s">
        <v>40</v>
      </c>
      <c r="Q119" s="302"/>
      <c r="R119" s="302"/>
      <c r="S119" s="302"/>
      <c r="T119" s="302"/>
      <c r="U119" s="302"/>
      <c r="V119" s="303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hidden="1" customHeight="1" x14ac:dyDescent="0.25">
      <c r="A120" s="319" t="s">
        <v>221</v>
      </c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65"/>
      <c r="AB120" s="65"/>
      <c r="AC120" s="82"/>
    </row>
    <row r="121" spans="1:68" ht="14.25" hidden="1" customHeight="1" x14ac:dyDescent="0.25">
      <c r="A121" s="312" t="s">
        <v>79</v>
      </c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  <c r="Z121" s="312"/>
      <c r="AA121" s="66"/>
      <c r="AB121" s="66"/>
      <c r="AC121" s="83"/>
    </row>
    <row r="122" spans="1:68" ht="27" hidden="1" customHeight="1" x14ac:dyDescent="0.25">
      <c r="A122" s="63" t="s">
        <v>222</v>
      </c>
      <c r="B122" s="63" t="s">
        <v>223</v>
      </c>
      <c r="C122" s="36">
        <v>4301071142</v>
      </c>
      <c r="D122" s="294">
        <v>4620207491904</v>
      </c>
      <c r="E122" s="294"/>
      <c r="F122" s="62">
        <v>0.56999999999999995</v>
      </c>
      <c r="G122" s="37">
        <v>10</v>
      </c>
      <c r="H122" s="62">
        <v>5.7</v>
      </c>
      <c r="I122" s="62">
        <v>5.98</v>
      </c>
      <c r="J122" s="37">
        <v>84</v>
      </c>
      <c r="K122" s="37" t="s">
        <v>84</v>
      </c>
      <c r="L122" s="37" t="s">
        <v>85</v>
      </c>
      <c r="M122" s="38" t="s">
        <v>83</v>
      </c>
      <c r="N122" s="38"/>
      <c r="O122" s="37">
        <v>180</v>
      </c>
      <c r="P122" s="35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2" s="296"/>
      <c r="R122" s="296"/>
      <c r="S122" s="296"/>
      <c r="T122" s="297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IFERROR(IF(X122="","",X122*0.0155),"")</f>
        <v>0</v>
      </c>
      <c r="AA122" s="68" t="s">
        <v>46</v>
      </c>
      <c r="AB122" s="69" t="s">
        <v>225</v>
      </c>
      <c r="AC122" s="179" t="s">
        <v>224</v>
      </c>
      <c r="AG122" s="81"/>
      <c r="AJ122" s="87" t="s">
        <v>86</v>
      </c>
      <c r="AK122" s="87">
        <v>1</v>
      </c>
      <c r="BB122" s="180" t="s">
        <v>70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291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304"/>
      <c r="P123" s="301" t="s">
        <v>40</v>
      </c>
      <c r="Q123" s="302"/>
      <c r="R123" s="302"/>
      <c r="S123" s="302"/>
      <c r="T123" s="302"/>
      <c r="U123" s="302"/>
      <c r="V123" s="303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291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304"/>
      <c r="P124" s="301" t="s">
        <v>40</v>
      </c>
      <c r="Q124" s="302"/>
      <c r="R124" s="302"/>
      <c r="S124" s="302"/>
      <c r="T124" s="302"/>
      <c r="U124" s="302"/>
      <c r="V124" s="303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2" t="s">
        <v>161</v>
      </c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  <c r="Z125" s="312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4301135848</v>
      </c>
      <c r="D126" s="294">
        <v>4620207491799</v>
      </c>
      <c r="E126" s="294"/>
      <c r="F126" s="62">
        <v>0.23</v>
      </c>
      <c r="G126" s="37">
        <v>6</v>
      </c>
      <c r="H126" s="62">
        <v>1.38</v>
      </c>
      <c r="I126" s="62">
        <v>1.8</v>
      </c>
      <c r="J126" s="37">
        <v>140</v>
      </c>
      <c r="K126" s="37" t="s">
        <v>115</v>
      </c>
      <c r="L126" s="37" t="s">
        <v>85</v>
      </c>
      <c r="M126" s="38" t="s">
        <v>83</v>
      </c>
      <c r="N126" s="38"/>
      <c r="O126" s="37">
        <v>180</v>
      </c>
      <c r="P126" s="35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96"/>
      <c r="R126" s="296"/>
      <c r="S126" s="296"/>
      <c r="T126" s="29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IFERROR(IF(X126="","",X126*0.00941),"")</f>
        <v>0</v>
      </c>
      <c r="AA126" s="68" t="s">
        <v>46</v>
      </c>
      <c r="AB126" s="69" t="s">
        <v>46</v>
      </c>
      <c r="AC126" s="181" t="s">
        <v>228</v>
      </c>
      <c r="AG126" s="81"/>
      <c r="AJ126" s="87" t="s">
        <v>86</v>
      </c>
      <c r="AK126" s="87">
        <v>1</v>
      </c>
      <c r="BB126" s="182" t="s">
        <v>114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t="27" customHeight="1" x14ac:dyDescent="0.25">
      <c r="A127" s="63" t="s">
        <v>229</v>
      </c>
      <c r="B127" s="63" t="s">
        <v>230</v>
      </c>
      <c r="C127" s="36">
        <v>4301135850</v>
      </c>
      <c r="D127" s="294">
        <v>4620207491492</v>
      </c>
      <c r="E127" s="294"/>
      <c r="F127" s="62">
        <v>0.23</v>
      </c>
      <c r="G127" s="37">
        <v>6</v>
      </c>
      <c r="H127" s="62">
        <v>1.38</v>
      </c>
      <c r="I127" s="62">
        <v>1.8</v>
      </c>
      <c r="J127" s="37">
        <v>140</v>
      </c>
      <c r="K127" s="37" t="s">
        <v>115</v>
      </c>
      <c r="L127" s="37" t="s">
        <v>85</v>
      </c>
      <c r="M127" s="38" t="s">
        <v>83</v>
      </c>
      <c r="N127" s="38"/>
      <c r="O127" s="37">
        <v>180</v>
      </c>
      <c r="P127" s="35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7" s="296"/>
      <c r="R127" s="296"/>
      <c r="S127" s="296"/>
      <c r="T127" s="297"/>
      <c r="U127" s="39" t="s">
        <v>46</v>
      </c>
      <c r="V127" s="39" t="s">
        <v>46</v>
      </c>
      <c r="W127" s="40" t="s">
        <v>39</v>
      </c>
      <c r="X127" s="58">
        <v>38</v>
      </c>
      <c r="Y127" s="55">
        <f>IFERROR(IF(X127="","",X127),"")</f>
        <v>38</v>
      </c>
      <c r="Z127" s="41">
        <f>IFERROR(IF(X127="","",X127*0.00941),"")</f>
        <v>0.35758000000000001</v>
      </c>
      <c r="AA127" s="68" t="s">
        <v>46</v>
      </c>
      <c r="AB127" s="69" t="s">
        <v>46</v>
      </c>
      <c r="AC127" s="183" t="s">
        <v>228</v>
      </c>
      <c r="AG127" s="81"/>
      <c r="AJ127" s="87" t="s">
        <v>86</v>
      </c>
      <c r="AK127" s="87">
        <v>1</v>
      </c>
      <c r="BB127" s="184" t="s">
        <v>114</v>
      </c>
      <c r="BM127" s="81">
        <f>IFERROR(X127*I127,"0")</f>
        <v>68.400000000000006</v>
      </c>
      <c r="BN127" s="81">
        <f>IFERROR(Y127*I127,"0")</f>
        <v>68.400000000000006</v>
      </c>
      <c r="BO127" s="81">
        <f>IFERROR(X127/J127,"0")</f>
        <v>0.27142857142857141</v>
      </c>
      <c r="BP127" s="81">
        <f>IFERROR(Y127/J127,"0")</f>
        <v>0.27142857142857141</v>
      </c>
    </row>
    <row r="128" spans="1:68" ht="27" customHeight="1" x14ac:dyDescent="0.25">
      <c r="A128" s="63" t="s">
        <v>231</v>
      </c>
      <c r="B128" s="63" t="s">
        <v>232</v>
      </c>
      <c r="C128" s="36">
        <v>4301190118</v>
      </c>
      <c r="D128" s="294">
        <v>4620207491461</v>
      </c>
      <c r="E128" s="294"/>
      <c r="F128" s="62">
        <v>0.22</v>
      </c>
      <c r="G128" s="37">
        <v>6</v>
      </c>
      <c r="H128" s="62">
        <v>1.32</v>
      </c>
      <c r="I128" s="62">
        <v>1.74</v>
      </c>
      <c r="J128" s="37">
        <v>140</v>
      </c>
      <c r="K128" s="37" t="s">
        <v>115</v>
      </c>
      <c r="L128" s="37" t="s">
        <v>85</v>
      </c>
      <c r="M128" s="38" t="s">
        <v>83</v>
      </c>
      <c r="N128" s="38"/>
      <c r="O128" s="37">
        <v>180</v>
      </c>
      <c r="P128" s="3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8" s="296"/>
      <c r="R128" s="296"/>
      <c r="S128" s="296"/>
      <c r="T128" s="297"/>
      <c r="U128" s="39" t="s">
        <v>46</v>
      </c>
      <c r="V128" s="39" t="s">
        <v>46</v>
      </c>
      <c r="W128" s="40" t="s">
        <v>39</v>
      </c>
      <c r="X128" s="58">
        <v>39</v>
      </c>
      <c r="Y128" s="55">
        <f>IFERROR(IF(X128="","",X128),"")</f>
        <v>39</v>
      </c>
      <c r="Z128" s="41">
        <f>IFERROR(IF(X128="","",X128*0.00941),"")</f>
        <v>0.36698999999999998</v>
      </c>
      <c r="AA128" s="68" t="s">
        <v>46</v>
      </c>
      <c r="AB128" s="69" t="s">
        <v>46</v>
      </c>
      <c r="AC128" s="185" t="s">
        <v>228</v>
      </c>
      <c r="AG128" s="81"/>
      <c r="AJ128" s="87" t="s">
        <v>86</v>
      </c>
      <c r="AK128" s="87">
        <v>1</v>
      </c>
      <c r="BB128" s="186" t="s">
        <v>114</v>
      </c>
      <c r="BM128" s="81">
        <f>IFERROR(X128*I128,"0")</f>
        <v>67.86</v>
      </c>
      <c r="BN128" s="81">
        <f>IFERROR(Y128*I128,"0")</f>
        <v>67.86</v>
      </c>
      <c r="BO128" s="81">
        <f>IFERROR(X128/J128,"0")</f>
        <v>0.27857142857142858</v>
      </c>
      <c r="BP128" s="81">
        <f>IFERROR(Y128/J128,"0")</f>
        <v>0.27857142857142858</v>
      </c>
    </row>
    <row r="129" spans="1:68" ht="27" customHeight="1" x14ac:dyDescent="0.25">
      <c r="A129" s="63" t="s">
        <v>233</v>
      </c>
      <c r="B129" s="63" t="s">
        <v>234</v>
      </c>
      <c r="C129" s="36">
        <v>4301135865</v>
      </c>
      <c r="D129" s="294">
        <v>4620207491485</v>
      </c>
      <c r="E129" s="294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115</v>
      </c>
      <c r="L129" s="37" t="s">
        <v>85</v>
      </c>
      <c r="M129" s="38" t="s">
        <v>83</v>
      </c>
      <c r="N129" s="38"/>
      <c r="O129" s="37">
        <v>180</v>
      </c>
      <c r="P129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9" s="296"/>
      <c r="R129" s="296"/>
      <c r="S129" s="296"/>
      <c r="T129" s="297"/>
      <c r="U129" s="39" t="s">
        <v>46</v>
      </c>
      <c r="V129" s="39" t="s">
        <v>46</v>
      </c>
      <c r="W129" s="40" t="s">
        <v>39</v>
      </c>
      <c r="X129" s="58">
        <v>59</v>
      </c>
      <c r="Y129" s="55">
        <f>IFERROR(IF(X129="","",X129),"")</f>
        <v>59</v>
      </c>
      <c r="Z129" s="41">
        <f>IFERROR(IF(X129="","",X129*0.00941),"")</f>
        <v>0.55518999999999996</v>
      </c>
      <c r="AA129" s="68" t="s">
        <v>46</v>
      </c>
      <c r="AB129" s="69" t="s">
        <v>46</v>
      </c>
      <c r="AC129" s="187" t="s">
        <v>228</v>
      </c>
      <c r="AG129" s="81"/>
      <c r="AJ129" s="87" t="s">
        <v>86</v>
      </c>
      <c r="AK129" s="87">
        <v>1</v>
      </c>
      <c r="BB129" s="188" t="s">
        <v>114</v>
      </c>
      <c r="BM129" s="81">
        <f>IFERROR(X129*I129,"0")</f>
        <v>106.2</v>
      </c>
      <c r="BN129" s="81">
        <f>IFERROR(Y129*I129,"0")</f>
        <v>106.2</v>
      </c>
      <c r="BO129" s="81">
        <f>IFERROR(X129/J129,"0")</f>
        <v>0.42142857142857143</v>
      </c>
      <c r="BP129" s="81">
        <f>IFERROR(Y129/J129,"0")</f>
        <v>0.42142857142857143</v>
      </c>
    </row>
    <row r="130" spans="1:68" x14ac:dyDescent="0.2">
      <c r="A130" s="291"/>
      <c r="B130" s="291"/>
      <c r="C130" s="291"/>
      <c r="D130" s="291"/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  <c r="O130" s="304"/>
      <c r="P130" s="301" t="s">
        <v>40</v>
      </c>
      <c r="Q130" s="302"/>
      <c r="R130" s="302"/>
      <c r="S130" s="302"/>
      <c r="T130" s="302"/>
      <c r="U130" s="302"/>
      <c r="V130" s="303"/>
      <c r="W130" s="42" t="s">
        <v>39</v>
      </c>
      <c r="X130" s="43">
        <f>IFERROR(SUM(X126:X129),"0")</f>
        <v>136</v>
      </c>
      <c r="Y130" s="43">
        <f>IFERROR(SUM(Y126:Y129),"0")</f>
        <v>136</v>
      </c>
      <c r="Z130" s="43">
        <f>IFERROR(IF(Z126="",0,Z126),"0")+IFERROR(IF(Z127="",0,Z127),"0")+IFERROR(IF(Z128="",0,Z128),"0")+IFERROR(IF(Z129="",0,Z129),"0")</f>
        <v>1.27976</v>
      </c>
      <c r="AA130" s="67"/>
      <c r="AB130" s="67"/>
      <c r="AC130" s="67"/>
    </row>
    <row r="131" spans="1:68" x14ac:dyDescent="0.2">
      <c r="A131" s="291"/>
      <c r="B131" s="291"/>
      <c r="C131" s="291"/>
      <c r="D131" s="291"/>
      <c r="E131" s="291"/>
      <c r="F131" s="291"/>
      <c r="G131" s="291"/>
      <c r="H131" s="291"/>
      <c r="I131" s="291"/>
      <c r="J131" s="291"/>
      <c r="K131" s="291"/>
      <c r="L131" s="291"/>
      <c r="M131" s="291"/>
      <c r="N131" s="291"/>
      <c r="O131" s="304"/>
      <c r="P131" s="301" t="s">
        <v>40</v>
      </c>
      <c r="Q131" s="302"/>
      <c r="R131" s="302"/>
      <c r="S131" s="302"/>
      <c r="T131" s="302"/>
      <c r="U131" s="302"/>
      <c r="V131" s="303"/>
      <c r="W131" s="42" t="s">
        <v>0</v>
      </c>
      <c r="X131" s="43">
        <f>IFERROR(SUMPRODUCT(X126:X129*H126:H129),"0")</f>
        <v>185.33999999999997</v>
      </c>
      <c r="Y131" s="43">
        <f>IFERROR(SUMPRODUCT(Y126:Y129*H126:H129),"0")</f>
        <v>185.33999999999997</v>
      </c>
      <c r="Z131" s="42"/>
      <c r="AA131" s="67"/>
      <c r="AB131" s="67"/>
      <c r="AC131" s="67"/>
    </row>
    <row r="132" spans="1:68" ht="14.25" hidden="1" customHeight="1" x14ac:dyDescent="0.25">
      <c r="A132" s="312" t="s">
        <v>235</v>
      </c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66"/>
      <c r="AB132" s="66"/>
      <c r="AC132" s="83"/>
    </row>
    <row r="133" spans="1:68" ht="27" customHeight="1" x14ac:dyDescent="0.25">
      <c r="A133" s="63" t="s">
        <v>236</v>
      </c>
      <c r="B133" s="63" t="s">
        <v>237</v>
      </c>
      <c r="C133" s="36">
        <v>4301190117</v>
      </c>
      <c r="D133" s="294">
        <v>4620207491386</v>
      </c>
      <c r="E133" s="294"/>
      <c r="F133" s="62">
        <v>0.18</v>
      </c>
      <c r="G133" s="37">
        <v>6</v>
      </c>
      <c r="H133" s="62">
        <v>1.08</v>
      </c>
      <c r="I133" s="62">
        <v>1.3979999999999999</v>
      </c>
      <c r="J133" s="37">
        <v>140</v>
      </c>
      <c r="K133" s="37" t="s">
        <v>115</v>
      </c>
      <c r="L133" s="37" t="s">
        <v>85</v>
      </c>
      <c r="M133" s="38" t="s">
        <v>83</v>
      </c>
      <c r="N133" s="38"/>
      <c r="O133" s="37">
        <v>180</v>
      </c>
      <c r="P133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96"/>
      <c r="R133" s="296"/>
      <c r="S133" s="296"/>
      <c r="T133" s="297"/>
      <c r="U133" s="39" t="s">
        <v>46</v>
      </c>
      <c r="V133" s="39" t="s">
        <v>46</v>
      </c>
      <c r="W133" s="40" t="s">
        <v>39</v>
      </c>
      <c r="X133" s="58">
        <v>14</v>
      </c>
      <c r="Y133" s="55">
        <f>IFERROR(IF(X133="","",X133),"")</f>
        <v>14</v>
      </c>
      <c r="Z133" s="41">
        <f>IFERROR(IF(X133="","",X133*0.00941),"")</f>
        <v>0.13174</v>
      </c>
      <c r="AA133" s="68" t="s">
        <v>46</v>
      </c>
      <c r="AB133" s="69" t="s">
        <v>46</v>
      </c>
      <c r="AC133" s="189" t="s">
        <v>238</v>
      </c>
      <c r="AG133" s="81"/>
      <c r="AJ133" s="87" t="s">
        <v>86</v>
      </c>
      <c r="AK133" s="87">
        <v>1</v>
      </c>
      <c r="BB133" s="190" t="s">
        <v>114</v>
      </c>
      <c r="BM133" s="81">
        <f>IFERROR(X133*I133,"0")</f>
        <v>19.571999999999999</v>
      </c>
      <c r="BN133" s="81">
        <f>IFERROR(Y133*I133,"0")</f>
        <v>19.571999999999999</v>
      </c>
      <c r="BO133" s="81">
        <f>IFERROR(X133/J133,"0")</f>
        <v>0.1</v>
      </c>
      <c r="BP133" s="81">
        <f>IFERROR(Y133/J133,"0")</f>
        <v>0.1</v>
      </c>
    </row>
    <row r="134" spans="1:68" ht="27" customHeight="1" x14ac:dyDescent="0.25">
      <c r="A134" s="63" t="s">
        <v>239</v>
      </c>
      <c r="B134" s="63" t="s">
        <v>240</v>
      </c>
      <c r="C134" s="36">
        <v>4301190115</v>
      </c>
      <c r="D134" s="294">
        <v>4620207491362</v>
      </c>
      <c r="E134" s="29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115</v>
      </c>
      <c r="L134" s="37" t="s">
        <v>85</v>
      </c>
      <c r="M134" s="38" t="s">
        <v>83</v>
      </c>
      <c r="N134" s="38"/>
      <c r="O134" s="37">
        <v>180</v>
      </c>
      <c r="P134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96"/>
      <c r="R134" s="296"/>
      <c r="S134" s="296"/>
      <c r="T134" s="297"/>
      <c r="U134" s="39" t="s">
        <v>46</v>
      </c>
      <c r="V134" s="39" t="s">
        <v>46</v>
      </c>
      <c r="W134" s="40" t="s">
        <v>39</v>
      </c>
      <c r="X134" s="58">
        <v>14</v>
      </c>
      <c r="Y134" s="55">
        <f>IFERROR(IF(X134="","",X134),"")</f>
        <v>14</v>
      </c>
      <c r="Z134" s="41">
        <f>IFERROR(IF(X134="","",X134*0.00941),"")</f>
        <v>0.13174</v>
      </c>
      <c r="AA134" s="68" t="s">
        <v>46</v>
      </c>
      <c r="AB134" s="69" t="s">
        <v>46</v>
      </c>
      <c r="AC134" s="191" t="s">
        <v>238</v>
      </c>
      <c r="AG134" s="81"/>
      <c r="AJ134" s="87" t="s">
        <v>86</v>
      </c>
      <c r="AK134" s="87">
        <v>1</v>
      </c>
      <c r="BB134" s="192" t="s">
        <v>114</v>
      </c>
      <c r="BM134" s="81">
        <f>IFERROR(X134*I134,"0")</f>
        <v>19.571999999999999</v>
      </c>
      <c r="BN134" s="81">
        <f>IFERROR(Y134*I134,"0")</f>
        <v>19.571999999999999</v>
      </c>
      <c r="BO134" s="81">
        <f>IFERROR(X134/J134,"0")</f>
        <v>0.1</v>
      </c>
      <c r="BP134" s="81">
        <f>IFERROR(Y134/J134,"0")</f>
        <v>0.1</v>
      </c>
    </row>
    <row r="135" spans="1:68" ht="27" customHeight="1" x14ac:dyDescent="0.25">
      <c r="A135" s="63" t="s">
        <v>241</v>
      </c>
      <c r="B135" s="63" t="s">
        <v>242</v>
      </c>
      <c r="C135" s="36">
        <v>4301190116</v>
      </c>
      <c r="D135" s="294">
        <v>4620207491379</v>
      </c>
      <c r="E135" s="294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115</v>
      </c>
      <c r="L135" s="37" t="s">
        <v>85</v>
      </c>
      <c r="M135" s="38" t="s">
        <v>83</v>
      </c>
      <c r="N135" s="38"/>
      <c r="O135" s="37">
        <v>180</v>
      </c>
      <c r="P135" s="34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96"/>
      <c r="R135" s="296"/>
      <c r="S135" s="296"/>
      <c r="T135" s="297"/>
      <c r="U135" s="39" t="s">
        <v>46</v>
      </c>
      <c r="V135" s="39" t="s">
        <v>46</v>
      </c>
      <c r="W135" s="40" t="s">
        <v>39</v>
      </c>
      <c r="X135" s="58">
        <v>14</v>
      </c>
      <c r="Y135" s="55">
        <f>IFERROR(IF(X135="","",X135),"")</f>
        <v>14</v>
      </c>
      <c r="Z135" s="41">
        <f>IFERROR(IF(X135="","",X135*0.00941),"")</f>
        <v>0.13174</v>
      </c>
      <c r="AA135" s="68" t="s">
        <v>46</v>
      </c>
      <c r="AB135" s="69" t="s">
        <v>46</v>
      </c>
      <c r="AC135" s="193" t="s">
        <v>238</v>
      </c>
      <c r="AG135" s="81"/>
      <c r="AJ135" s="87" t="s">
        <v>86</v>
      </c>
      <c r="AK135" s="87">
        <v>1</v>
      </c>
      <c r="BB135" s="194" t="s">
        <v>114</v>
      </c>
      <c r="BM135" s="81">
        <f>IFERROR(X135*I135,"0")</f>
        <v>19.571999999999999</v>
      </c>
      <c r="BN135" s="81">
        <f>IFERROR(Y135*I135,"0")</f>
        <v>19.571999999999999</v>
      </c>
      <c r="BO135" s="81">
        <f>IFERROR(X135/J135,"0")</f>
        <v>0.1</v>
      </c>
      <c r="BP135" s="81">
        <f>IFERROR(Y135/J135,"0")</f>
        <v>0.1</v>
      </c>
    </row>
    <row r="136" spans="1:68" x14ac:dyDescent="0.2">
      <c r="A136" s="291"/>
      <c r="B136" s="291"/>
      <c r="C136" s="291"/>
      <c r="D136" s="291"/>
      <c r="E136" s="291"/>
      <c r="F136" s="291"/>
      <c r="G136" s="291"/>
      <c r="H136" s="291"/>
      <c r="I136" s="291"/>
      <c r="J136" s="291"/>
      <c r="K136" s="291"/>
      <c r="L136" s="291"/>
      <c r="M136" s="291"/>
      <c r="N136" s="291"/>
      <c r="O136" s="304"/>
      <c r="P136" s="301" t="s">
        <v>40</v>
      </c>
      <c r="Q136" s="302"/>
      <c r="R136" s="302"/>
      <c r="S136" s="302"/>
      <c r="T136" s="302"/>
      <c r="U136" s="302"/>
      <c r="V136" s="303"/>
      <c r="W136" s="42" t="s">
        <v>39</v>
      </c>
      <c r="X136" s="43">
        <f>IFERROR(SUM(X133:X135),"0")</f>
        <v>42</v>
      </c>
      <c r="Y136" s="43">
        <f>IFERROR(SUM(Y133:Y135),"0")</f>
        <v>42</v>
      </c>
      <c r="Z136" s="43">
        <f>IFERROR(IF(Z133="",0,Z133),"0")+IFERROR(IF(Z134="",0,Z134),"0")+IFERROR(IF(Z135="",0,Z135),"0")</f>
        <v>0.39522000000000002</v>
      </c>
      <c r="AA136" s="67"/>
      <c r="AB136" s="67"/>
      <c r="AC136" s="67"/>
    </row>
    <row r="137" spans="1:68" x14ac:dyDescent="0.2">
      <c r="A137" s="291"/>
      <c r="B137" s="291"/>
      <c r="C137" s="291"/>
      <c r="D137" s="291"/>
      <c r="E137" s="291"/>
      <c r="F137" s="291"/>
      <c r="G137" s="291"/>
      <c r="H137" s="291"/>
      <c r="I137" s="291"/>
      <c r="J137" s="291"/>
      <c r="K137" s="291"/>
      <c r="L137" s="291"/>
      <c r="M137" s="291"/>
      <c r="N137" s="291"/>
      <c r="O137" s="304"/>
      <c r="P137" s="301" t="s">
        <v>40</v>
      </c>
      <c r="Q137" s="302"/>
      <c r="R137" s="302"/>
      <c r="S137" s="302"/>
      <c r="T137" s="302"/>
      <c r="U137" s="302"/>
      <c r="V137" s="303"/>
      <c r="W137" s="42" t="s">
        <v>0</v>
      </c>
      <c r="X137" s="43">
        <f>IFERROR(SUMPRODUCT(X133:X135*H133:H135),"0")</f>
        <v>45.36</v>
      </c>
      <c r="Y137" s="43">
        <f>IFERROR(SUMPRODUCT(Y133:Y135*H133:H135),"0")</f>
        <v>45.36</v>
      </c>
      <c r="Z137" s="42"/>
      <c r="AA137" s="67"/>
      <c r="AB137" s="67"/>
      <c r="AC137" s="67"/>
    </row>
    <row r="138" spans="1:68" ht="16.5" hidden="1" customHeight="1" x14ac:dyDescent="0.25">
      <c r="A138" s="319" t="s">
        <v>243</v>
      </c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65"/>
      <c r="AB138" s="65"/>
      <c r="AC138" s="82"/>
    </row>
    <row r="139" spans="1:68" ht="14.25" hidden="1" customHeight="1" x14ac:dyDescent="0.25">
      <c r="A139" s="312" t="s">
        <v>161</v>
      </c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  <c r="Z139" s="312"/>
      <c r="AA139" s="66"/>
      <c r="AB139" s="66"/>
      <c r="AC139" s="83"/>
    </row>
    <row r="140" spans="1:68" ht="27" customHeight="1" x14ac:dyDescent="0.25">
      <c r="A140" s="63" t="s">
        <v>244</v>
      </c>
      <c r="B140" s="63" t="s">
        <v>245</v>
      </c>
      <c r="C140" s="36">
        <v>4301135956</v>
      </c>
      <c r="D140" s="294">
        <v>4620207491560</v>
      </c>
      <c r="E140" s="29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115</v>
      </c>
      <c r="L140" s="37" t="s">
        <v>85</v>
      </c>
      <c r="M140" s="38" t="s">
        <v>83</v>
      </c>
      <c r="N140" s="38"/>
      <c r="O140" s="37">
        <v>180</v>
      </c>
      <c r="P140" s="349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0" s="296"/>
      <c r="R140" s="296"/>
      <c r="S140" s="296"/>
      <c r="T140" s="297"/>
      <c r="U140" s="39" t="s">
        <v>46</v>
      </c>
      <c r="V140" s="39" t="s">
        <v>46</v>
      </c>
      <c r="W140" s="40" t="s">
        <v>39</v>
      </c>
      <c r="X140" s="58">
        <v>140</v>
      </c>
      <c r="Y140" s="55">
        <f>IFERROR(IF(X140="","",X140),"")</f>
        <v>140</v>
      </c>
      <c r="Z140" s="41">
        <f>IFERROR(IF(X140="","",X140*0.01788),"")</f>
        <v>2.5032000000000001</v>
      </c>
      <c r="AA140" s="68" t="s">
        <v>46</v>
      </c>
      <c r="AB140" s="69" t="s">
        <v>46</v>
      </c>
      <c r="AC140" s="195" t="s">
        <v>246</v>
      </c>
      <c r="AG140" s="81"/>
      <c r="AJ140" s="87" t="s">
        <v>86</v>
      </c>
      <c r="AK140" s="87">
        <v>1</v>
      </c>
      <c r="BB140" s="196" t="s">
        <v>114</v>
      </c>
      <c r="BM140" s="81">
        <f>IFERROR(X140*I140,"0")</f>
        <v>518.50400000000002</v>
      </c>
      <c r="BN140" s="81">
        <f>IFERROR(Y140*I140,"0")</f>
        <v>518.50400000000002</v>
      </c>
      <c r="BO140" s="81">
        <f>IFERROR(X140/J140,"0")</f>
        <v>2</v>
      </c>
      <c r="BP140" s="81">
        <f>IFERROR(Y140/J140,"0")</f>
        <v>2</v>
      </c>
    </row>
    <row r="141" spans="1:68" ht="27" customHeight="1" x14ac:dyDescent="0.25">
      <c r="A141" s="63" t="s">
        <v>247</v>
      </c>
      <c r="B141" s="63" t="s">
        <v>248</v>
      </c>
      <c r="C141" s="36">
        <v>4301135962</v>
      </c>
      <c r="D141" s="294">
        <v>4620207491584</v>
      </c>
      <c r="E141" s="29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115</v>
      </c>
      <c r="L141" s="37" t="s">
        <v>85</v>
      </c>
      <c r="M141" s="38" t="s">
        <v>83</v>
      </c>
      <c r="N141" s="38"/>
      <c r="O141" s="37">
        <v>180</v>
      </c>
      <c r="P141" s="34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1" s="296"/>
      <c r="R141" s="296"/>
      <c r="S141" s="296"/>
      <c r="T141" s="297"/>
      <c r="U141" s="39" t="s">
        <v>46</v>
      </c>
      <c r="V141" s="39" t="s">
        <v>46</v>
      </c>
      <c r="W141" s="40" t="s">
        <v>39</v>
      </c>
      <c r="X141" s="58">
        <v>140</v>
      </c>
      <c r="Y141" s="55">
        <f>IFERROR(IF(X141="","",X141),"")</f>
        <v>140</v>
      </c>
      <c r="Z141" s="41">
        <f>IFERROR(IF(X141="","",X141*0.01788),"")</f>
        <v>2.5032000000000001</v>
      </c>
      <c r="AA141" s="68" t="s">
        <v>46</v>
      </c>
      <c r="AB141" s="69" t="s">
        <v>46</v>
      </c>
      <c r="AC141" s="197" t="s">
        <v>246</v>
      </c>
      <c r="AG141" s="81"/>
      <c r="AJ141" s="87" t="s">
        <v>86</v>
      </c>
      <c r="AK141" s="87">
        <v>1</v>
      </c>
      <c r="BB141" s="198" t="s">
        <v>114</v>
      </c>
      <c r="BM141" s="81">
        <f>IFERROR(X141*I141,"0")</f>
        <v>518.50400000000002</v>
      </c>
      <c r="BN141" s="81">
        <f>IFERROR(Y141*I141,"0")</f>
        <v>518.50400000000002</v>
      </c>
      <c r="BO141" s="81">
        <f>IFERROR(X141/J141,"0")</f>
        <v>2</v>
      </c>
      <c r="BP141" s="81">
        <f>IFERROR(Y141/J141,"0")</f>
        <v>2</v>
      </c>
    </row>
    <row r="142" spans="1:68" x14ac:dyDescent="0.2">
      <c r="A142" s="291"/>
      <c r="B142" s="291"/>
      <c r="C142" s="291"/>
      <c r="D142" s="291"/>
      <c r="E142" s="291"/>
      <c r="F142" s="291"/>
      <c r="G142" s="291"/>
      <c r="H142" s="291"/>
      <c r="I142" s="291"/>
      <c r="J142" s="291"/>
      <c r="K142" s="291"/>
      <c r="L142" s="291"/>
      <c r="M142" s="291"/>
      <c r="N142" s="291"/>
      <c r="O142" s="304"/>
      <c r="P142" s="301" t="s">
        <v>40</v>
      </c>
      <c r="Q142" s="302"/>
      <c r="R142" s="302"/>
      <c r="S142" s="302"/>
      <c r="T142" s="302"/>
      <c r="U142" s="302"/>
      <c r="V142" s="303"/>
      <c r="W142" s="42" t="s">
        <v>39</v>
      </c>
      <c r="X142" s="43">
        <f>IFERROR(SUM(X140:X141),"0")</f>
        <v>280</v>
      </c>
      <c r="Y142" s="43">
        <f>IFERROR(SUM(Y140:Y141),"0")</f>
        <v>280</v>
      </c>
      <c r="Z142" s="43">
        <f>IFERROR(IF(Z140="",0,Z140),"0")+IFERROR(IF(Z141="",0,Z141),"0")</f>
        <v>5.0064000000000002</v>
      </c>
      <c r="AA142" s="67"/>
      <c r="AB142" s="67"/>
      <c r="AC142" s="67"/>
    </row>
    <row r="143" spans="1:68" x14ac:dyDescent="0.2">
      <c r="A143" s="291"/>
      <c r="B143" s="291"/>
      <c r="C143" s="291"/>
      <c r="D143" s="291"/>
      <c r="E143" s="291"/>
      <c r="F143" s="291"/>
      <c r="G143" s="291"/>
      <c r="H143" s="291"/>
      <c r="I143" s="291"/>
      <c r="J143" s="291"/>
      <c r="K143" s="291"/>
      <c r="L143" s="291"/>
      <c r="M143" s="291"/>
      <c r="N143" s="291"/>
      <c r="O143" s="304"/>
      <c r="P143" s="301" t="s">
        <v>40</v>
      </c>
      <c r="Q143" s="302"/>
      <c r="R143" s="302"/>
      <c r="S143" s="302"/>
      <c r="T143" s="302"/>
      <c r="U143" s="302"/>
      <c r="V143" s="303"/>
      <c r="W143" s="42" t="s">
        <v>0</v>
      </c>
      <c r="X143" s="43">
        <f>IFERROR(SUMPRODUCT(X140:X141*H140:H141),"0")</f>
        <v>840</v>
      </c>
      <c r="Y143" s="43">
        <f>IFERROR(SUMPRODUCT(Y140:Y141*H140:H141),"0")</f>
        <v>840</v>
      </c>
      <c r="Z143" s="42"/>
      <c r="AA143" s="67"/>
      <c r="AB143" s="67"/>
      <c r="AC143" s="67"/>
    </row>
    <row r="144" spans="1:68" ht="16.5" hidden="1" customHeight="1" x14ac:dyDescent="0.25">
      <c r="A144" s="319" t="s">
        <v>249</v>
      </c>
      <c r="B144" s="319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  <c r="AA144" s="65"/>
      <c r="AB144" s="65"/>
      <c r="AC144" s="82"/>
    </row>
    <row r="145" spans="1:68" ht="14.25" hidden="1" customHeight="1" x14ac:dyDescent="0.25">
      <c r="A145" s="312" t="s">
        <v>161</v>
      </c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  <c r="Z145" s="312"/>
      <c r="AA145" s="66"/>
      <c r="AB145" s="66"/>
      <c r="AC145" s="83"/>
    </row>
    <row r="146" spans="1:68" ht="27" customHeight="1" x14ac:dyDescent="0.25">
      <c r="A146" s="63" t="s">
        <v>250</v>
      </c>
      <c r="B146" s="63" t="s">
        <v>251</v>
      </c>
      <c r="C146" s="36">
        <v>4301135954</v>
      </c>
      <c r="D146" s="294">
        <v>4620207491768</v>
      </c>
      <c r="E146" s="294"/>
      <c r="F146" s="62">
        <v>0.25</v>
      </c>
      <c r="G146" s="37">
        <v>12</v>
      </c>
      <c r="H146" s="62">
        <v>3</v>
      </c>
      <c r="I146" s="62">
        <v>3.7480000000000002</v>
      </c>
      <c r="J146" s="37">
        <v>70</v>
      </c>
      <c r="K146" s="37" t="s">
        <v>115</v>
      </c>
      <c r="L146" s="37" t="s">
        <v>85</v>
      </c>
      <c r="M146" s="38" t="s">
        <v>83</v>
      </c>
      <c r="N146" s="38"/>
      <c r="O146" s="37">
        <v>180</v>
      </c>
      <c r="P146" s="34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6" s="296"/>
      <c r="R146" s="296"/>
      <c r="S146" s="296"/>
      <c r="T146" s="297"/>
      <c r="U146" s="39" t="s">
        <v>46</v>
      </c>
      <c r="V146" s="39" t="s">
        <v>46</v>
      </c>
      <c r="W146" s="40" t="s">
        <v>39</v>
      </c>
      <c r="X146" s="58">
        <v>14</v>
      </c>
      <c r="Y146" s="55">
        <f>IFERROR(IF(X146="","",X146),"")</f>
        <v>14</v>
      </c>
      <c r="Z146" s="41">
        <f>IFERROR(IF(X146="","",X146*0.01788),"")</f>
        <v>0.25031999999999999</v>
      </c>
      <c r="AA146" s="68" t="s">
        <v>46</v>
      </c>
      <c r="AB146" s="69" t="s">
        <v>46</v>
      </c>
      <c r="AC146" s="199" t="s">
        <v>252</v>
      </c>
      <c r="AG146" s="81"/>
      <c r="AJ146" s="87" t="s">
        <v>86</v>
      </c>
      <c r="AK146" s="87">
        <v>1</v>
      </c>
      <c r="BB146" s="200" t="s">
        <v>114</v>
      </c>
      <c r="BM146" s="81">
        <f>IFERROR(X146*I146,"0")</f>
        <v>52.472000000000001</v>
      </c>
      <c r="BN146" s="81">
        <f>IFERROR(Y146*I146,"0")</f>
        <v>52.472000000000001</v>
      </c>
      <c r="BO146" s="81">
        <f>IFERROR(X146/J146,"0")</f>
        <v>0.2</v>
      </c>
      <c r="BP146" s="81">
        <f>IFERROR(Y146/J146,"0")</f>
        <v>0.2</v>
      </c>
    </row>
    <row r="147" spans="1:68" ht="16.5" customHeight="1" x14ac:dyDescent="0.25">
      <c r="A147" s="63" t="s">
        <v>253</v>
      </c>
      <c r="B147" s="63" t="s">
        <v>254</v>
      </c>
      <c r="C147" s="36">
        <v>4301135946</v>
      </c>
      <c r="D147" s="294">
        <v>4620207491553</v>
      </c>
      <c r="E147" s="294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115</v>
      </c>
      <c r="L147" s="37" t="s">
        <v>85</v>
      </c>
      <c r="M147" s="38" t="s">
        <v>83</v>
      </c>
      <c r="N147" s="38"/>
      <c r="O147" s="37">
        <v>180</v>
      </c>
      <c r="P147" s="34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7" s="296"/>
      <c r="R147" s="296"/>
      <c r="S147" s="296"/>
      <c r="T147" s="297"/>
      <c r="U147" s="39" t="s">
        <v>46</v>
      </c>
      <c r="V147" s="39" t="s">
        <v>46</v>
      </c>
      <c r="W147" s="40" t="s">
        <v>39</v>
      </c>
      <c r="X147" s="58">
        <v>56</v>
      </c>
      <c r="Y147" s="55">
        <f>IFERROR(IF(X147="","",X147),"")</f>
        <v>56</v>
      </c>
      <c r="Z147" s="41">
        <f>IFERROR(IF(X147="","",X147*0.01788),"")</f>
        <v>1.0012799999999999</v>
      </c>
      <c r="AA147" s="68" t="s">
        <v>46</v>
      </c>
      <c r="AB147" s="69" t="s">
        <v>46</v>
      </c>
      <c r="AC147" s="201" t="s">
        <v>252</v>
      </c>
      <c r="AG147" s="81"/>
      <c r="AJ147" s="87" t="s">
        <v>86</v>
      </c>
      <c r="AK147" s="87">
        <v>1</v>
      </c>
      <c r="BB147" s="202" t="s">
        <v>114</v>
      </c>
      <c r="BM147" s="81">
        <f>IFERROR(X147*I147,"0")</f>
        <v>207.40159999999997</v>
      </c>
      <c r="BN147" s="81">
        <f>IFERROR(Y147*I147,"0")</f>
        <v>207.40159999999997</v>
      </c>
      <c r="BO147" s="81">
        <f>IFERROR(X147/J147,"0")</f>
        <v>0.8</v>
      </c>
      <c r="BP147" s="81">
        <f>IFERROR(Y147/J147,"0")</f>
        <v>0.8</v>
      </c>
    </row>
    <row r="148" spans="1:68" x14ac:dyDescent="0.2">
      <c r="A148" s="291"/>
      <c r="B148" s="291"/>
      <c r="C148" s="291"/>
      <c r="D148" s="291"/>
      <c r="E148" s="291"/>
      <c r="F148" s="291"/>
      <c r="G148" s="291"/>
      <c r="H148" s="291"/>
      <c r="I148" s="291"/>
      <c r="J148" s="291"/>
      <c r="K148" s="291"/>
      <c r="L148" s="291"/>
      <c r="M148" s="291"/>
      <c r="N148" s="291"/>
      <c r="O148" s="304"/>
      <c r="P148" s="301" t="s">
        <v>40</v>
      </c>
      <c r="Q148" s="302"/>
      <c r="R148" s="302"/>
      <c r="S148" s="302"/>
      <c r="T148" s="302"/>
      <c r="U148" s="302"/>
      <c r="V148" s="303"/>
      <c r="W148" s="42" t="s">
        <v>39</v>
      </c>
      <c r="X148" s="43">
        <f>IFERROR(SUM(X146:X147),"0")</f>
        <v>70</v>
      </c>
      <c r="Y148" s="43">
        <f>IFERROR(SUM(Y146:Y147),"0")</f>
        <v>70</v>
      </c>
      <c r="Z148" s="43">
        <f>IFERROR(IF(Z146="",0,Z146),"0")+IFERROR(IF(Z147="",0,Z147),"0")</f>
        <v>1.2515999999999998</v>
      </c>
      <c r="AA148" s="67"/>
      <c r="AB148" s="67"/>
      <c r="AC148" s="67"/>
    </row>
    <row r="149" spans="1:68" x14ac:dyDescent="0.2">
      <c r="A149" s="291"/>
      <c r="B149" s="291"/>
      <c r="C149" s="291"/>
      <c r="D149" s="291"/>
      <c r="E149" s="291"/>
      <c r="F149" s="291"/>
      <c r="G149" s="291"/>
      <c r="H149" s="291"/>
      <c r="I149" s="291"/>
      <c r="J149" s="291"/>
      <c r="K149" s="291"/>
      <c r="L149" s="291"/>
      <c r="M149" s="291"/>
      <c r="N149" s="291"/>
      <c r="O149" s="304"/>
      <c r="P149" s="301" t="s">
        <v>40</v>
      </c>
      <c r="Q149" s="302"/>
      <c r="R149" s="302"/>
      <c r="S149" s="302"/>
      <c r="T149" s="302"/>
      <c r="U149" s="302"/>
      <c r="V149" s="303"/>
      <c r="W149" s="42" t="s">
        <v>0</v>
      </c>
      <c r="X149" s="43">
        <f>IFERROR(SUMPRODUCT(X146:X147*H146:H147),"0")</f>
        <v>210</v>
      </c>
      <c r="Y149" s="43">
        <f>IFERROR(SUMPRODUCT(Y146:Y147*H146:H147),"0")</f>
        <v>210</v>
      </c>
      <c r="Z149" s="42"/>
      <c r="AA149" s="67"/>
      <c r="AB149" s="67"/>
      <c r="AC149" s="67"/>
    </row>
    <row r="150" spans="1:68" ht="16.5" hidden="1" customHeight="1" x14ac:dyDescent="0.25">
      <c r="A150" s="319" t="s">
        <v>255</v>
      </c>
      <c r="B150" s="319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  <c r="AA150" s="65"/>
      <c r="AB150" s="65"/>
      <c r="AC150" s="82"/>
    </row>
    <row r="151" spans="1:68" ht="14.25" hidden="1" customHeight="1" x14ac:dyDescent="0.25">
      <c r="A151" s="312" t="s">
        <v>161</v>
      </c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  <c r="Z151" s="312"/>
      <c r="AA151" s="66"/>
      <c r="AB151" s="66"/>
      <c r="AC151" s="83"/>
    </row>
    <row r="152" spans="1:68" ht="27" customHeight="1" x14ac:dyDescent="0.25">
      <c r="A152" s="63" t="s">
        <v>256</v>
      </c>
      <c r="B152" s="63" t="s">
        <v>257</v>
      </c>
      <c r="C152" s="36">
        <v>4301135926</v>
      </c>
      <c r="D152" s="294">
        <v>4620207491669</v>
      </c>
      <c r="E152" s="294"/>
      <c r="F152" s="62">
        <v>0.2</v>
      </c>
      <c r="G152" s="37">
        <v>12</v>
      </c>
      <c r="H152" s="62">
        <v>2.4</v>
      </c>
      <c r="I152" s="62">
        <v>2.68</v>
      </c>
      <c r="J152" s="37">
        <v>70</v>
      </c>
      <c r="K152" s="37" t="s">
        <v>115</v>
      </c>
      <c r="L152" s="37" t="s">
        <v>85</v>
      </c>
      <c r="M152" s="38" t="s">
        <v>83</v>
      </c>
      <c r="N152" s="38"/>
      <c r="O152" s="37">
        <v>180</v>
      </c>
      <c r="P152" s="345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2" s="296"/>
      <c r="R152" s="296"/>
      <c r="S152" s="296"/>
      <c r="T152" s="297"/>
      <c r="U152" s="39" t="s">
        <v>46</v>
      </c>
      <c r="V152" s="39" t="s">
        <v>46</v>
      </c>
      <c r="W152" s="40" t="s">
        <v>39</v>
      </c>
      <c r="X152" s="58">
        <v>54</v>
      </c>
      <c r="Y152" s="55">
        <f>IFERROR(IF(X152="","",X152),"")</f>
        <v>54</v>
      </c>
      <c r="Z152" s="41">
        <f>IFERROR(IF(X152="","",X152*0.01788),"")</f>
        <v>0.96552000000000004</v>
      </c>
      <c r="AA152" s="68" t="s">
        <v>46</v>
      </c>
      <c r="AB152" s="69" t="s">
        <v>46</v>
      </c>
      <c r="AC152" s="203" t="s">
        <v>258</v>
      </c>
      <c r="AG152" s="81"/>
      <c r="AJ152" s="87" t="s">
        <v>86</v>
      </c>
      <c r="AK152" s="87">
        <v>1</v>
      </c>
      <c r="BB152" s="204" t="s">
        <v>114</v>
      </c>
      <c r="BM152" s="81">
        <f>IFERROR(X152*I152,"0")</f>
        <v>144.72</v>
      </c>
      <c r="BN152" s="81">
        <f>IFERROR(Y152*I152,"0")</f>
        <v>144.72</v>
      </c>
      <c r="BO152" s="81">
        <f>IFERROR(X152/J152,"0")</f>
        <v>0.77142857142857146</v>
      </c>
      <c r="BP152" s="81">
        <f>IFERROR(Y152/J152,"0")</f>
        <v>0.77142857142857146</v>
      </c>
    </row>
    <row r="153" spans="1:68" ht="27" customHeight="1" x14ac:dyDescent="0.25">
      <c r="A153" s="63" t="s">
        <v>259</v>
      </c>
      <c r="B153" s="63" t="s">
        <v>260</v>
      </c>
      <c r="C153" s="36">
        <v>4301135932</v>
      </c>
      <c r="D153" s="294">
        <v>4620207491676</v>
      </c>
      <c r="E153" s="29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115</v>
      </c>
      <c r="L153" s="37" t="s">
        <v>85</v>
      </c>
      <c r="M153" s="38" t="s">
        <v>83</v>
      </c>
      <c r="N153" s="38"/>
      <c r="O153" s="37">
        <v>180</v>
      </c>
      <c r="P153" s="34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3" s="296"/>
      <c r="R153" s="296"/>
      <c r="S153" s="296"/>
      <c r="T153" s="297"/>
      <c r="U153" s="39" t="s">
        <v>46</v>
      </c>
      <c r="V153" s="39" t="s">
        <v>46</v>
      </c>
      <c r="W153" s="40" t="s">
        <v>39</v>
      </c>
      <c r="X153" s="58">
        <v>49</v>
      </c>
      <c r="Y153" s="55">
        <f>IFERROR(IF(X153="","",X153),"")</f>
        <v>49</v>
      </c>
      <c r="Z153" s="41">
        <f>IFERROR(IF(X153="","",X153*0.01788),"")</f>
        <v>0.87612000000000001</v>
      </c>
      <c r="AA153" s="68" t="s">
        <v>46</v>
      </c>
      <c r="AB153" s="69" t="s">
        <v>46</v>
      </c>
      <c r="AC153" s="205" t="s">
        <v>258</v>
      </c>
      <c r="AG153" s="81"/>
      <c r="AJ153" s="87" t="s">
        <v>86</v>
      </c>
      <c r="AK153" s="87">
        <v>1</v>
      </c>
      <c r="BB153" s="206" t="s">
        <v>114</v>
      </c>
      <c r="BM153" s="81">
        <f>IFERROR(X153*I153,"0")</f>
        <v>131.32000000000002</v>
      </c>
      <c r="BN153" s="81">
        <f>IFERROR(Y153*I153,"0")</f>
        <v>131.32000000000002</v>
      </c>
      <c r="BO153" s="81">
        <f>IFERROR(X153/J153,"0")</f>
        <v>0.7</v>
      </c>
      <c r="BP153" s="81">
        <f>IFERROR(Y153/J153,"0")</f>
        <v>0.7</v>
      </c>
    </row>
    <row r="154" spans="1:68" x14ac:dyDescent="0.2">
      <c r="A154" s="291"/>
      <c r="B154" s="291"/>
      <c r="C154" s="291"/>
      <c r="D154" s="291"/>
      <c r="E154" s="291"/>
      <c r="F154" s="291"/>
      <c r="G154" s="291"/>
      <c r="H154" s="291"/>
      <c r="I154" s="291"/>
      <c r="J154" s="291"/>
      <c r="K154" s="291"/>
      <c r="L154" s="291"/>
      <c r="M154" s="291"/>
      <c r="N154" s="291"/>
      <c r="O154" s="304"/>
      <c r="P154" s="301" t="s">
        <v>40</v>
      </c>
      <c r="Q154" s="302"/>
      <c r="R154" s="302"/>
      <c r="S154" s="302"/>
      <c r="T154" s="302"/>
      <c r="U154" s="302"/>
      <c r="V154" s="303"/>
      <c r="W154" s="42" t="s">
        <v>39</v>
      </c>
      <c r="X154" s="43">
        <f>IFERROR(SUM(X152:X153),"0")</f>
        <v>103</v>
      </c>
      <c r="Y154" s="43">
        <f>IFERROR(SUM(Y152:Y153),"0")</f>
        <v>103</v>
      </c>
      <c r="Z154" s="43">
        <f>IFERROR(IF(Z152="",0,Z152),"0")+IFERROR(IF(Z153="",0,Z153),"0")</f>
        <v>1.8416399999999999</v>
      </c>
      <c r="AA154" s="67"/>
      <c r="AB154" s="67"/>
      <c r="AC154" s="67"/>
    </row>
    <row r="155" spans="1:68" x14ac:dyDescent="0.2">
      <c r="A155" s="291"/>
      <c r="B155" s="291"/>
      <c r="C155" s="291"/>
      <c r="D155" s="291"/>
      <c r="E155" s="291"/>
      <c r="F155" s="291"/>
      <c r="G155" s="291"/>
      <c r="H155" s="291"/>
      <c r="I155" s="291"/>
      <c r="J155" s="291"/>
      <c r="K155" s="291"/>
      <c r="L155" s="291"/>
      <c r="M155" s="291"/>
      <c r="N155" s="291"/>
      <c r="O155" s="304"/>
      <c r="P155" s="301" t="s">
        <v>40</v>
      </c>
      <c r="Q155" s="302"/>
      <c r="R155" s="302"/>
      <c r="S155" s="302"/>
      <c r="T155" s="302"/>
      <c r="U155" s="302"/>
      <c r="V155" s="303"/>
      <c r="W155" s="42" t="s">
        <v>0</v>
      </c>
      <c r="X155" s="43">
        <f>IFERROR(SUMPRODUCT(X152:X153*H152:H153),"0")</f>
        <v>247.2</v>
      </c>
      <c r="Y155" s="43">
        <f>IFERROR(SUMPRODUCT(Y152:Y153*H152:H153),"0")</f>
        <v>247.2</v>
      </c>
      <c r="Z155" s="42"/>
      <c r="AA155" s="67"/>
      <c r="AB155" s="67"/>
      <c r="AC155" s="67"/>
    </row>
    <row r="156" spans="1:68" ht="16.5" hidden="1" customHeight="1" x14ac:dyDescent="0.25">
      <c r="A156" s="319" t="s">
        <v>261</v>
      </c>
      <c r="B156" s="319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65"/>
      <c r="AB156" s="65"/>
      <c r="AC156" s="82"/>
    </row>
    <row r="157" spans="1:68" ht="14.25" hidden="1" customHeight="1" x14ac:dyDescent="0.25">
      <c r="A157" s="312" t="s">
        <v>161</v>
      </c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  <c r="Z157" s="312"/>
      <c r="AA157" s="66"/>
      <c r="AB157" s="66"/>
      <c r="AC157" s="83"/>
    </row>
    <row r="158" spans="1:68" ht="27" customHeight="1" x14ac:dyDescent="0.25">
      <c r="A158" s="63" t="s">
        <v>262</v>
      </c>
      <c r="B158" s="63" t="s">
        <v>263</v>
      </c>
      <c r="C158" s="36">
        <v>4301135940</v>
      </c>
      <c r="D158" s="294">
        <v>4620207491614</v>
      </c>
      <c r="E158" s="294"/>
      <c r="F158" s="62">
        <v>0.25</v>
      </c>
      <c r="G158" s="37">
        <v>12</v>
      </c>
      <c r="H158" s="62">
        <v>3</v>
      </c>
      <c r="I158" s="62">
        <v>3.7035999999999998</v>
      </c>
      <c r="J158" s="37">
        <v>70</v>
      </c>
      <c r="K158" s="37" t="s">
        <v>115</v>
      </c>
      <c r="L158" s="37" t="s">
        <v>85</v>
      </c>
      <c r="M158" s="38" t="s">
        <v>83</v>
      </c>
      <c r="N158" s="38"/>
      <c r="O158" s="37">
        <v>180</v>
      </c>
      <c r="P158" s="34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8" s="296"/>
      <c r="R158" s="296"/>
      <c r="S158" s="296"/>
      <c r="T158" s="297"/>
      <c r="U158" s="39" t="s">
        <v>46</v>
      </c>
      <c r="V158" s="39" t="s">
        <v>46</v>
      </c>
      <c r="W158" s="40" t="s">
        <v>39</v>
      </c>
      <c r="X158" s="58">
        <v>23</v>
      </c>
      <c r="Y158" s="55">
        <f>IFERROR(IF(X158="","",X158),"")</f>
        <v>23</v>
      </c>
      <c r="Z158" s="41">
        <f>IFERROR(IF(X158="","",X158*0.01788),"")</f>
        <v>0.41123999999999999</v>
      </c>
      <c r="AA158" s="68" t="s">
        <v>46</v>
      </c>
      <c r="AB158" s="69" t="s">
        <v>46</v>
      </c>
      <c r="AC158" s="207" t="s">
        <v>164</v>
      </c>
      <c r="AG158" s="81"/>
      <c r="AJ158" s="87" t="s">
        <v>86</v>
      </c>
      <c r="AK158" s="87">
        <v>1</v>
      </c>
      <c r="BB158" s="208" t="s">
        <v>114</v>
      </c>
      <c r="BM158" s="81">
        <f>IFERROR(X158*I158,"0")</f>
        <v>85.1828</v>
      </c>
      <c r="BN158" s="81">
        <f>IFERROR(Y158*I158,"0")</f>
        <v>85.1828</v>
      </c>
      <c r="BO158" s="81">
        <f>IFERROR(X158/J158,"0")</f>
        <v>0.32857142857142857</v>
      </c>
      <c r="BP158" s="81">
        <f>IFERROR(Y158/J158,"0")</f>
        <v>0.32857142857142857</v>
      </c>
    </row>
    <row r="159" spans="1:68" x14ac:dyDescent="0.2">
      <c r="A159" s="291"/>
      <c r="B159" s="291"/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  <c r="O159" s="304"/>
      <c r="P159" s="301" t="s">
        <v>40</v>
      </c>
      <c r="Q159" s="302"/>
      <c r="R159" s="302"/>
      <c r="S159" s="302"/>
      <c r="T159" s="302"/>
      <c r="U159" s="302"/>
      <c r="V159" s="303"/>
      <c r="W159" s="42" t="s">
        <v>39</v>
      </c>
      <c r="X159" s="43">
        <f>IFERROR(SUM(X158:X158),"0")</f>
        <v>23</v>
      </c>
      <c r="Y159" s="43">
        <f>IFERROR(SUM(Y158:Y158),"0")</f>
        <v>23</v>
      </c>
      <c r="Z159" s="43">
        <f>IFERROR(IF(Z158="",0,Z158),"0")</f>
        <v>0.41123999999999999</v>
      </c>
      <c r="AA159" s="67"/>
      <c r="AB159" s="67"/>
      <c r="AC159" s="67"/>
    </row>
    <row r="160" spans="1:68" x14ac:dyDescent="0.2">
      <c r="A160" s="291"/>
      <c r="B160" s="291"/>
      <c r="C160" s="291"/>
      <c r="D160" s="291"/>
      <c r="E160" s="291"/>
      <c r="F160" s="291"/>
      <c r="G160" s="291"/>
      <c r="H160" s="291"/>
      <c r="I160" s="291"/>
      <c r="J160" s="291"/>
      <c r="K160" s="291"/>
      <c r="L160" s="291"/>
      <c r="M160" s="291"/>
      <c r="N160" s="291"/>
      <c r="O160" s="304"/>
      <c r="P160" s="301" t="s">
        <v>40</v>
      </c>
      <c r="Q160" s="302"/>
      <c r="R160" s="302"/>
      <c r="S160" s="302"/>
      <c r="T160" s="302"/>
      <c r="U160" s="302"/>
      <c r="V160" s="303"/>
      <c r="W160" s="42" t="s">
        <v>0</v>
      </c>
      <c r="X160" s="43">
        <f>IFERROR(SUMPRODUCT(X158:X158*H158:H158),"0")</f>
        <v>69</v>
      </c>
      <c r="Y160" s="43">
        <f>IFERROR(SUMPRODUCT(Y158:Y158*H158:H158),"0")</f>
        <v>69</v>
      </c>
      <c r="Z160" s="42"/>
      <c r="AA160" s="67"/>
      <c r="AB160" s="67"/>
      <c r="AC160" s="67"/>
    </row>
    <row r="161" spans="1:68" ht="16.5" hidden="1" customHeight="1" x14ac:dyDescent="0.25">
      <c r="A161" s="319" t="s">
        <v>264</v>
      </c>
      <c r="B161" s="319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  <c r="AA161" s="65"/>
      <c r="AB161" s="65"/>
      <c r="AC161" s="82"/>
    </row>
    <row r="162" spans="1:68" ht="14.25" hidden="1" customHeight="1" x14ac:dyDescent="0.25">
      <c r="A162" s="312" t="s">
        <v>161</v>
      </c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  <c r="Z162" s="312"/>
      <c r="AA162" s="66"/>
      <c r="AB162" s="66"/>
      <c r="AC162" s="83"/>
    </row>
    <row r="163" spans="1:68" ht="16.5" customHeight="1" x14ac:dyDescent="0.25">
      <c r="A163" s="63" t="s">
        <v>265</v>
      </c>
      <c r="B163" s="63" t="s">
        <v>266</v>
      </c>
      <c r="C163" s="36">
        <v>4301135607</v>
      </c>
      <c r="D163" s="294">
        <v>4607111039613</v>
      </c>
      <c r="E163" s="294"/>
      <c r="F163" s="62">
        <v>0.09</v>
      </c>
      <c r="G163" s="37">
        <v>30</v>
      </c>
      <c r="H163" s="62">
        <v>2.7</v>
      </c>
      <c r="I163" s="62">
        <v>3.09</v>
      </c>
      <c r="J163" s="37">
        <v>126</v>
      </c>
      <c r="K163" s="37" t="s">
        <v>115</v>
      </c>
      <c r="L163" s="37" t="s">
        <v>116</v>
      </c>
      <c r="M163" s="38" t="s">
        <v>83</v>
      </c>
      <c r="N163" s="38"/>
      <c r="O163" s="37">
        <v>180</v>
      </c>
      <c r="P163" s="34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3" s="296"/>
      <c r="R163" s="296"/>
      <c r="S163" s="296"/>
      <c r="T163" s="297"/>
      <c r="U163" s="39" t="s">
        <v>46</v>
      </c>
      <c r="V163" s="39" t="s">
        <v>46</v>
      </c>
      <c r="W163" s="40" t="s">
        <v>39</v>
      </c>
      <c r="X163" s="58">
        <v>28</v>
      </c>
      <c r="Y163" s="55">
        <f>IFERROR(IF(X163="","",X163),"")</f>
        <v>28</v>
      </c>
      <c r="Z163" s="41">
        <f>IFERROR(IF(X163="","",X163*0.00936),"")</f>
        <v>0.26207999999999998</v>
      </c>
      <c r="AA163" s="68" t="s">
        <v>46</v>
      </c>
      <c r="AB163" s="69" t="s">
        <v>46</v>
      </c>
      <c r="AC163" s="209" t="s">
        <v>267</v>
      </c>
      <c r="AG163" s="81"/>
      <c r="AJ163" s="87" t="s">
        <v>117</v>
      </c>
      <c r="AK163" s="87">
        <v>14</v>
      </c>
      <c r="BB163" s="210" t="s">
        <v>114</v>
      </c>
      <c r="BM163" s="81">
        <f>IFERROR(X163*I163,"0")</f>
        <v>86.52</v>
      </c>
      <c r="BN163" s="81">
        <f>IFERROR(Y163*I163,"0")</f>
        <v>86.52</v>
      </c>
      <c r="BO163" s="81">
        <f>IFERROR(X163/J163,"0")</f>
        <v>0.22222222222222221</v>
      </c>
      <c r="BP163" s="81">
        <f>IFERROR(Y163/J163,"0")</f>
        <v>0.22222222222222221</v>
      </c>
    </row>
    <row r="164" spans="1:68" x14ac:dyDescent="0.2">
      <c r="A164" s="291"/>
      <c r="B164" s="291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304"/>
      <c r="P164" s="301" t="s">
        <v>40</v>
      </c>
      <c r="Q164" s="302"/>
      <c r="R164" s="302"/>
      <c r="S164" s="302"/>
      <c r="T164" s="302"/>
      <c r="U164" s="302"/>
      <c r="V164" s="303"/>
      <c r="W164" s="42" t="s">
        <v>39</v>
      </c>
      <c r="X164" s="43">
        <f>IFERROR(SUM(X163:X163),"0")</f>
        <v>28</v>
      </c>
      <c r="Y164" s="43">
        <f>IFERROR(SUM(Y163:Y163),"0")</f>
        <v>28</v>
      </c>
      <c r="Z164" s="43">
        <f>IFERROR(IF(Z163="",0,Z163),"0")</f>
        <v>0.26207999999999998</v>
      </c>
      <c r="AA164" s="67"/>
      <c r="AB164" s="67"/>
      <c r="AC164" s="67"/>
    </row>
    <row r="165" spans="1:68" x14ac:dyDescent="0.2">
      <c r="A165" s="291"/>
      <c r="B165" s="291"/>
      <c r="C165" s="291"/>
      <c r="D165" s="291"/>
      <c r="E165" s="291"/>
      <c r="F165" s="291"/>
      <c r="G165" s="291"/>
      <c r="H165" s="291"/>
      <c r="I165" s="291"/>
      <c r="J165" s="291"/>
      <c r="K165" s="291"/>
      <c r="L165" s="291"/>
      <c r="M165" s="291"/>
      <c r="N165" s="291"/>
      <c r="O165" s="304"/>
      <c r="P165" s="301" t="s">
        <v>40</v>
      </c>
      <c r="Q165" s="302"/>
      <c r="R165" s="302"/>
      <c r="S165" s="302"/>
      <c r="T165" s="302"/>
      <c r="U165" s="302"/>
      <c r="V165" s="303"/>
      <c r="W165" s="42" t="s">
        <v>0</v>
      </c>
      <c r="X165" s="43">
        <f>IFERROR(SUMPRODUCT(X163:X163*H163:H163),"0")</f>
        <v>75.600000000000009</v>
      </c>
      <c r="Y165" s="43">
        <f>IFERROR(SUMPRODUCT(Y163:Y163*H163:H163),"0")</f>
        <v>75.600000000000009</v>
      </c>
      <c r="Z165" s="42"/>
      <c r="AA165" s="67"/>
      <c r="AB165" s="67"/>
      <c r="AC165" s="67"/>
    </row>
    <row r="166" spans="1:68" ht="16.5" hidden="1" customHeight="1" x14ac:dyDescent="0.25">
      <c r="A166" s="319" t="s">
        <v>268</v>
      </c>
      <c r="B166" s="319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  <c r="AA166" s="65"/>
      <c r="AB166" s="65"/>
      <c r="AC166" s="82"/>
    </row>
    <row r="167" spans="1:68" ht="14.25" hidden="1" customHeight="1" x14ac:dyDescent="0.25">
      <c r="A167" s="312" t="s">
        <v>161</v>
      </c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  <c r="Z167" s="312"/>
      <c r="AA167" s="66"/>
      <c r="AB167" s="66"/>
      <c r="AC167" s="83"/>
    </row>
    <row r="168" spans="1:68" ht="27" customHeight="1" x14ac:dyDescent="0.25">
      <c r="A168" s="63" t="s">
        <v>269</v>
      </c>
      <c r="B168" s="63" t="s">
        <v>270</v>
      </c>
      <c r="C168" s="36">
        <v>4301135912</v>
      </c>
      <c r="D168" s="294">
        <v>4620207491751</v>
      </c>
      <c r="E168" s="294"/>
      <c r="F168" s="62">
        <v>0.28000000000000003</v>
      </c>
      <c r="G168" s="37">
        <v>6</v>
      </c>
      <c r="H168" s="62">
        <v>1.68</v>
      </c>
      <c r="I168" s="62">
        <v>2.1017999999999999</v>
      </c>
      <c r="J168" s="37">
        <v>140</v>
      </c>
      <c r="K168" s="37" t="s">
        <v>115</v>
      </c>
      <c r="L168" s="37" t="s">
        <v>85</v>
      </c>
      <c r="M168" s="38" t="s">
        <v>83</v>
      </c>
      <c r="N168" s="38"/>
      <c r="O168" s="37">
        <v>180</v>
      </c>
      <c r="P168" s="34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8" s="296"/>
      <c r="R168" s="296"/>
      <c r="S168" s="296"/>
      <c r="T168" s="297"/>
      <c r="U168" s="39" t="s">
        <v>46</v>
      </c>
      <c r="V168" s="39" t="s">
        <v>46</v>
      </c>
      <c r="W168" s="40" t="s">
        <v>39</v>
      </c>
      <c r="X168" s="58">
        <v>140</v>
      </c>
      <c r="Y168" s="55">
        <f>IFERROR(IF(X168="","",X168),"")</f>
        <v>140</v>
      </c>
      <c r="Z168" s="41">
        <f>IFERROR(IF(X168="","",X168*0.00941),"")</f>
        <v>1.3173999999999999</v>
      </c>
      <c r="AA168" s="68" t="s">
        <v>46</v>
      </c>
      <c r="AB168" s="69" t="s">
        <v>46</v>
      </c>
      <c r="AC168" s="211" t="s">
        <v>164</v>
      </c>
      <c r="AG168" s="81"/>
      <c r="AJ168" s="87" t="s">
        <v>86</v>
      </c>
      <c r="AK168" s="87">
        <v>1</v>
      </c>
      <c r="BB168" s="212" t="s">
        <v>114</v>
      </c>
      <c r="BM168" s="81">
        <f>IFERROR(X168*I168,"0")</f>
        <v>294.25200000000001</v>
      </c>
      <c r="BN168" s="81">
        <f>IFERROR(Y168*I168,"0")</f>
        <v>294.25200000000001</v>
      </c>
      <c r="BO168" s="81">
        <f>IFERROR(X168/J168,"0")</f>
        <v>1</v>
      </c>
      <c r="BP168" s="81">
        <f>IFERROR(Y168/J168,"0")</f>
        <v>1</v>
      </c>
    </row>
    <row r="169" spans="1:68" x14ac:dyDescent="0.2">
      <c r="A169" s="291"/>
      <c r="B169" s="291"/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304"/>
      <c r="P169" s="301" t="s">
        <v>40</v>
      </c>
      <c r="Q169" s="302"/>
      <c r="R169" s="302"/>
      <c r="S169" s="302"/>
      <c r="T169" s="302"/>
      <c r="U169" s="302"/>
      <c r="V169" s="303"/>
      <c r="W169" s="42" t="s">
        <v>39</v>
      </c>
      <c r="X169" s="43">
        <f>IFERROR(SUM(X168:X168),"0")</f>
        <v>140</v>
      </c>
      <c r="Y169" s="43">
        <f>IFERROR(SUM(Y168:Y168),"0")</f>
        <v>140</v>
      </c>
      <c r="Z169" s="43">
        <f>IFERROR(IF(Z168="",0,Z168),"0")</f>
        <v>1.3173999999999999</v>
      </c>
      <c r="AA169" s="67"/>
      <c r="AB169" s="67"/>
      <c r="AC169" s="67"/>
    </row>
    <row r="170" spans="1:68" x14ac:dyDescent="0.2">
      <c r="A170" s="291"/>
      <c r="B170" s="291"/>
      <c r="C170" s="291"/>
      <c r="D170" s="291"/>
      <c r="E170" s="291"/>
      <c r="F170" s="291"/>
      <c r="G170" s="291"/>
      <c r="H170" s="291"/>
      <c r="I170" s="291"/>
      <c r="J170" s="291"/>
      <c r="K170" s="291"/>
      <c r="L170" s="291"/>
      <c r="M170" s="291"/>
      <c r="N170" s="291"/>
      <c r="O170" s="304"/>
      <c r="P170" s="301" t="s">
        <v>40</v>
      </c>
      <c r="Q170" s="302"/>
      <c r="R170" s="302"/>
      <c r="S170" s="302"/>
      <c r="T170" s="302"/>
      <c r="U170" s="302"/>
      <c r="V170" s="303"/>
      <c r="W170" s="42" t="s">
        <v>0</v>
      </c>
      <c r="X170" s="43">
        <f>IFERROR(SUMPRODUCT(X168:X168*H168:H168),"0")</f>
        <v>235.2</v>
      </c>
      <c r="Y170" s="43">
        <f>IFERROR(SUMPRODUCT(Y168:Y168*H168:H168),"0")</f>
        <v>235.2</v>
      </c>
      <c r="Z170" s="42"/>
      <c r="AA170" s="67"/>
      <c r="AB170" s="67"/>
      <c r="AC170" s="67"/>
    </row>
    <row r="171" spans="1:68" ht="27.75" hidden="1" customHeight="1" x14ac:dyDescent="0.2">
      <c r="A171" s="318" t="s">
        <v>271</v>
      </c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54"/>
      <c r="AB171" s="54"/>
      <c r="AC171" s="54"/>
    </row>
    <row r="172" spans="1:68" ht="16.5" hidden="1" customHeight="1" x14ac:dyDescent="0.25">
      <c r="A172" s="319" t="s">
        <v>272</v>
      </c>
      <c r="B172" s="319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  <c r="AA172" s="65"/>
      <c r="AB172" s="65"/>
      <c r="AC172" s="82"/>
    </row>
    <row r="173" spans="1:68" ht="14.25" hidden="1" customHeight="1" x14ac:dyDescent="0.25">
      <c r="A173" s="312" t="s">
        <v>110</v>
      </c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  <c r="Z173" s="312"/>
      <c r="AA173" s="66"/>
      <c r="AB173" s="66"/>
      <c r="AC173" s="83"/>
    </row>
    <row r="174" spans="1:68" ht="27" customHeight="1" x14ac:dyDescent="0.25">
      <c r="A174" s="63" t="s">
        <v>273</v>
      </c>
      <c r="B174" s="63" t="s">
        <v>274</v>
      </c>
      <c r="C174" s="36">
        <v>4301132226</v>
      </c>
      <c r="D174" s="294">
        <v>4620207490631</v>
      </c>
      <c r="E174" s="294"/>
      <c r="F174" s="62">
        <v>6</v>
      </c>
      <c r="G174" s="37">
        <v>1</v>
      </c>
      <c r="H174" s="62">
        <v>6</v>
      </c>
      <c r="I174" s="62">
        <v>6.2350000000000003</v>
      </c>
      <c r="J174" s="37">
        <v>84</v>
      </c>
      <c r="K174" s="37" t="s">
        <v>84</v>
      </c>
      <c r="L174" s="37" t="s">
        <v>85</v>
      </c>
      <c r="M174" s="38" t="s">
        <v>83</v>
      </c>
      <c r="N174" s="38"/>
      <c r="O174" s="37">
        <v>180</v>
      </c>
      <c r="P174" s="338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4" s="296"/>
      <c r="R174" s="296"/>
      <c r="S174" s="296"/>
      <c r="T174" s="297"/>
      <c r="U174" s="39" t="s">
        <v>46</v>
      </c>
      <c r="V174" s="39" t="s">
        <v>46</v>
      </c>
      <c r="W174" s="40" t="s">
        <v>39</v>
      </c>
      <c r="X174" s="58">
        <v>168</v>
      </c>
      <c r="Y174" s="55">
        <f>IFERROR(IF(X174="","",X174),"")</f>
        <v>168</v>
      </c>
      <c r="Z174" s="41">
        <f>IFERROR(IF(X174="","",X174*0.0155),"")</f>
        <v>2.6040000000000001</v>
      </c>
      <c r="AA174" s="68" t="s">
        <v>46</v>
      </c>
      <c r="AB174" s="69" t="s">
        <v>46</v>
      </c>
      <c r="AC174" s="213" t="s">
        <v>275</v>
      </c>
      <c r="AG174" s="81"/>
      <c r="AJ174" s="87" t="s">
        <v>86</v>
      </c>
      <c r="AK174" s="87">
        <v>1</v>
      </c>
      <c r="BB174" s="214" t="s">
        <v>114</v>
      </c>
      <c r="BM174" s="81">
        <f>IFERROR(X174*I174,"0")</f>
        <v>1047.48</v>
      </c>
      <c r="BN174" s="81">
        <f>IFERROR(Y174*I174,"0")</f>
        <v>1047.48</v>
      </c>
      <c r="BO174" s="81">
        <f>IFERROR(X174/J174,"0")</f>
        <v>2</v>
      </c>
      <c r="BP174" s="81">
        <f>IFERROR(Y174/J174,"0")</f>
        <v>2</v>
      </c>
    </row>
    <row r="175" spans="1:68" x14ac:dyDescent="0.2">
      <c r="A175" s="291"/>
      <c r="B175" s="291"/>
      <c r="C175" s="291"/>
      <c r="D175" s="291"/>
      <c r="E175" s="291"/>
      <c r="F175" s="291"/>
      <c r="G175" s="291"/>
      <c r="H175" s="291"/>
      <c r="I175" s="291"/>
      <c r="J175" s="291"/>
      <c r="K175" s="291"/>
      <c r="L175" s="291"/>
      <c r="M175" s="291"/>
      <c r="N175" s="291"/>
      <c r="O175" s="304"/>
      <c r="P175" s="301" t="s">
        <v>40</v>
      </c>
      <c r="Q175" s="302"/>
      <c r="R175" s="302"/>
      <c r="S175" s="302"/>
      <c r="T175" s="302"/>
      <c r="U175" s="302"/>
      <c r="V175" s="303"/>
      <c r="W175" s="42" t="s">
        <v>39</v>
      </c>
      <c r="X175" s="43">
        <f>IFERROR(SUM(X174:X174),"0")</f>
        <v>168</v>
      </c>
      <c r="Y175" s="43">
        <f>IFERROR(SUM(Y174:Y174),"0")</f>
        <v>168</v>
      </c>
      <c r="Z175" s="43">
        <f>IFERROR(IF(Z174="",0,Z174),"0")</f>
        <v>2.6040000000000001</v>
      </c>
      <c r="AA175" s="67"/>
      <c r="AB175" s="67"/>
      <c r="AC175" s="67"/>
    </row>
    <row r="176" spans="1:68" x14ac:dyDescent="0.2">
      <c r="A176" s="291"/>
      <c r="B176" s="291"/>
      <c r="C176" s="291"/>
      <c r="D176" s="291"/>
      <c r="E176" s="291"/>
      <c r="F176" s="291"/>
      <c r="G176" s="291"/>
      <c r="H176" s="291"/>
      <c r="I176" s="291"/>
      <c r="J176" s="291"/>
      <c r="K176" s="291"/>
      <c r="L176" s="291"/>
      <c r="M176" s="291"/>
      <c r="N176" s="291"/>
      <c r="O176" s="304"/>
      <c r="P176" s="301" t="s">
        <v>40</v>
      </c>
      <c r="Q176" s="302"/>
      <c r="R176" s="302"/>
      <c r="S176" s="302"/>
      <c r="T176" s="302"/>
      <c r="U176" s="302"/>
      <c r="V176" s="303"/>
      <c r="W176" s="42" t="s">
        <v>0</v>
      </c>
      <c r="X176" s="43">
        <f>IFERROR(SUMPRODUCT(X174:X174*H174:H174),"0")</f>
        <v>1008</v>
      </c>
      <c r="Y176" s="43">
        <f>IFERROR(SUMPRODUCT(Y174:Y174*H174:H174),"0")</f>
        <v>1008</v>
      </c>
      <c r="Z176" s="42"/>
      <c r="AA176" s="67"/>
      <c r="AB176" s="67"/>
      <c r="AC176" s="67"/>
    </row>
    <row r="177" spans="1:68" ht="14.25" hidden="1" customHeight="1" x14ac:dyDescent="0.25">
      <c r="A177" s="312" t="s">
        <v>161</v>
      </c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  <c r="Z177" s="312"/>
      <c r="AA177" s="66"/>
      <c r="AB177" s="66"/>
      <c r="AC177" s="83"/>
    </row>
    <row r="178" spans="1:68" ht="27" customHeight="1" x14ac:dyDescent="0.25">
      <c r="A178" s="63" t="s">
        <v>276</v>
      </c>
      <c r="B178" s="63" t="s">
        <v>277</v>
      </c>
      <c r="C178" s="36">
        <v>4301135392</v>
      </c>
      <c r="D178" s="294">
        <v>4607111039132</v>
      </c>
      <c r="E178" s="294"/>
      <c r="F178" s="62">
        <v>3.7</v>
      </c>
      <c r="G178" s="37">
        <v>1</v>
      </c>
      <c r="H178" s="62">
        <v>3.7</v>
      </c>
      <c r="I178" s="62">
        <v>3.8919999999999999</v>
      </c>
      <c r="J178" s="37">
        <v>126</v>
      </c>
      <c r="K178" s="37" t="s">
        <v>115</v>
      </c>
      <c r="L178" s="37" t="s">
        <v>85</v>
      </c>
      <c r="M178" s="38" t="s">
        <v>83</v>
      </c>
      <c r="N178" s="38"/>
      <c r="O178" s="37">
        <v>180</v>
      </c>
      <c r="P178" s="33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8" s="296"/>
      <c r="R178" s="296"/>
      <c r="S178" s="296"/>
      <c r="T178" s="297"/>
      <c r="U178" s="39" t="s">
        <v>46</v>
      </c>
      <c r="V178" s="39" t="s">
        <v>46</v>
      </c>
      <c r="W178" s="40" t="s">
        <v>39</v>
      </c>
      <c r="X178" s="58">
        <v>630</v>
      </c>
      <c r="Y178" s="55">
        <f>IFERROR(IF(X178="","",X178),"")</f>
        <v>630</v>
      </c>
      <c r="Z178" s="41">
        <f>IFERROR(IF(X178="","",X178*0.00936),"")</f>
        <v>5.8967999999999998</v>
      </c>
      <c r="AA178" s="68" t="s">
        <v>46</v>
      </c>
      <c r="AB178" s="69" t="s">
        <v>46</v>
      </c>
      <c r="AC178" s="215" t="s">
        <v>278</v>
      </c>
      <c r="AG178" s="81"/>
      <c r="AJ178" s="87" t="s">
        <v>86</v>
      </c>
      <c r="AK178" s="87">
        <v>1</v>
      </c>
      <c r="BB178" s="216" t="s">
        <v>114</v>
      </c>
      <c r="BM178" s="81">
        <f>IFERROR(X178*I178,"0")</f>
        <v>2451.96</v>
      </c>
      <c r="BN178" s="81">
        <f>IFERROR(Y178*I178,"0")</f>
        <v>2451.96</v>
      </c>
      <c r="BO178" s="81">
        <f>IFERROR(X178/J178,"0")</f>
        <v>5</v>
      </c>
      <c r="BP178" s="81">
        <f>IFERROR(Y178/J178,"0")</f>
        <v>5</v>
      </c>
    </row>
    <row r="179" spans="1:68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304"/>
      <c r="P179" s="301" t="s">
        <v>40</v>
      </c>
      <c r="Q179" s="302"/>
      <c r="R179" s="302"/>
      <c r="S179" s="302"/>
      <c r="T179" s="302"/>
      <c r="U179" s="302"/>
      <c r="V179" s="303"/>
      <c r="W179" s="42" t="s">
        <v>39</v>
      </c>
      <c r="X179" s="43">
        <f>IFERROR(SUM(X178:X178),"0")</f>
        <v>630</v>
      </c>
      <c r="Y179" s="43">
        <f>IFERROR(SUM(Y178:Y178),"0")</f>
        <v>630</v>
      </c>
      <c r="Z179" s="43">
        <f>IFERROR(IF(Z178="",0,Z178),"0")</f>
        <v>5.8967999999999998</v>
      </c>
      <c r="AA179" s="67"/>
      <c r="AB179" s="67"/>
      <c r="AC179" s="67"/>
    </row>
    <row r="180" spans="1:68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304"/>
      <c r="P180" s="301" t="s">
        <v>40</v>
      </c>
      <c r="Q180" s="302"/>
      <c r="R180" s="302"/>
      <c r="S180" s="302"/>
      <c r="T180" s="302"/>
      <c r="U180" s="302"/>
      <c r="V180" s="303"/>
      <c r="W180" s="42" t="s">
        <v>0</v>
      </c>
      <c r="X180" s="43">
        <f>IFERROR(SUMPRODUCT(X178:X178*H178:H178),"0")</f>
        <v>2331</v>
      </c>
      <c r="Y180" s="43">
        <f>IFERROR(SUMPRODUCT(Y178:Y178*H178:H178),"0")</f>
        <v>2331</v>
      </c>
      <c r="Z180" s="42"/>
      <c r="AA180" s="67"/>
      <c r="AB180" s="67"/>
      <c r="AC180" s="67"/>
    </row>
    <row r="181" spans="1:68" ht="16.5" hidden="1" customHeight="1" x14ac:dyDescent="0.25">
      <c r="A181" s="319" t="s">
        <v>279</v>
      </c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65"/>
      <c r="AB181" s="65"/>
      <c r="AC181" s="82"/>
    </row>
    <row r="182" spans="1:68" ht="14.25" hidden="1" customHeight="1" x14ac:dyDescent="0.25">
      <c r="A182" s="312" t="s">
        <v>79</v>
      </c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  <c r="Z182" s="312"/>
      <c r="AA182" s="66"/>
      <c r="AB182" s="66"/>
      <c r="AC182" s="83"/>
    </row>
    <row r="183" spans="1:68" ht="16.5" hidden="1" customHeight="1" x14ac:dyDescent="0.25">
      <c r="A183" s="63" t="s">
        <v>280</v>
      </c>
      <c r="B183" s="63" t="s">
        <v>281</v>
      </c>
      <c r="C183" s="36">
        <v>4301071062</v>
      </c>
      <c r="D183" s="294">
        <v>4607111036384</v>
      </c>
      <c r="E183" s="294"/>
      <c r="F183" s="62">
        <v>5</v>
      </c>
      <c r="G183" s="37">
        <v>1</v>
      </c>
      <c r="H183" s="62">
        <v>5</v>
      </c>
      <c r="I183" s="62">
        <v>5.2106000000000003</v>
      </c>
      <c r="J183" s="37">
        <v>144</v>
      </c>
      <c r="K183" s="37" t="s">
        <v>84</v>
      </c>
      <c r="L183" s="37" t="s">
        <v>85</v>
      </c>
      <c r="M183" s="38" t="s">
        <v>83</v>
      </c>
      <c r="N183" s="38"/>
      <c r="O183" s="37">
        <v>180</v>
      </c>
      <c r="P183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296"/>
      <c r="R183" s="296"/>
      <c r="S183" s="296"/>
      <c r="T183" s="297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7" t="s">
        <v>282</v>
      </c>
      <c r="AG183" s="81"/>
      <c r="AJ183" s="87" t="s">
        <v>86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hidden="1" customHeight="1" x14ac:dyDescent="0.25">
      <c r="A184" s="63" t="s">
        <v>283</v>
      </c>
      <c r="B184" s="63" t="s">
        <v>284</v>
      </c>
      <c r="C184" s="36">
        <v>4301071050</v>
      </c>
      <c r="D184" s="294">
        <v>4607111036216</v>
      </c>
      <c r="E184" s="294"/>
      <c r="F184" s="62">
        <v>5</v>
      </c>
      <c r="G184" s="37">
        <v>1</v>
      </c>
      <c r="H184" s="62">
        <v>5</v>
      </c>
      <c r="I184" s="62">
        <v>5.2131999999999996</v>
      </c>
      <c r="J184" s="37">
        <v>144</v>
      </c>
      <c r="K184" s="37" t="s">
        <v>84</v>
      </c>
      <c r="L184" s="37" t="s">
        <v>116</v>
      </c>
      <c r="M184" s="38" t="s">
        <v>83</v>
      </c>
      <c r="N184" s="38"/>
      <c r="O184" s="37">
        <v>180</v>
      </c>
      <c r="P184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296"/>
      <c r="R184" s="296"/>
      <c r="S184" s="296"/>
      <c r="T184" s="297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IFERROR(IF(X184="","",X184*0.00866),"")</f>
        <v>0</v>
      </c>
      <c r="AA184" s="68" t="s">
        <v>46</v>
      </c>
      <c r="AB184" s="69" t="s">
        <v>46</v>
      </c>
      <c r="AC184" s="219" t="s">
        <v>285</v>
      </c>
      <c r="AG184" s="81"/>
      <c r="AJ184" s="87" t="s">
        <v>117</v>
      </c>
      <c r="AK184" s="87">
        <v>12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304"/>
      <c r="P185" s="301" t="s">
        <v>40</v>
      </c>
      <c r="Q185" s="302"/>
      <c r="R185" s="302"/>
      <c r="S185" s="302"/>
      <c r="T185" s="302"/>
      <c r="U185" s="302"/>
      <c r="V185" s="303"/>
      <c r="W185" s="42" t="s">
        <v>39</v>
      </c>
      <c r="X185" s="43">
        <f>IFERROR(SUM(X183:X184),"0")</f>
        <v>0</v>
      </c>
      <c r="Y185" s="43">
        <f>IFERROR(SUM(Y183:Y184),"0")</f>
        <v>0</v>
      </c>
      <c r="Z185" s="43">
        <f>IFERROR(IF(Z183="",0,Z183),"0")+IFERROR(IF(Z184="",0,Z184),"0")</f>
        <v>0</v>
      </c>
      <c r="AA185" s="67"/>
      <c r="AB185" s="67"/>
      <c r="AC185" s="67"/>
    </row>
    <row r="186" spans="1:68" hidden="1" x14ac:dyDescent="0.2">
      <c r="A186" s="291"/>
      <c r="B186" s="291"/>
      <c r="C186" s="291"/>
      <c r="D186" s="291"/>
      <c r="E186" s="291"/>
      <c r="F186" s="291"/>
      <c r="G186" s="291"/>
      <c r="H186" s="291"/>
      <c r="I186" s="291"/>
      <c r="J186" s="291"/>
      <c r="K186" s="291"/>
      <c r="L186" s="291"/>
      <c r="M186" s="291"/>
      <c r="N186" s="291"/>
      <c r="O186" s="304"/>
      <c r="P186" s="301" t="s">
        <v>40</v>
      </c>
      <c r="Q186" s="302"/>
      <c r="R186" s="302"/>
      <c r="S186" s="302"/>
      <c r="T186" s="302"/>
      <c r="U186" s="302"/>
      <c r="V186" s="303"/>
      <c r="W186" s="42" t="s">
        <v>0</v>
      </c>
      <c r="X186" s="43">
        <f>IFERROR(SUMPRODUCT(X183:X184*H183:H184),"0")</f>
        <v>0</v>
      </c>
      <c r="Y186" s="43">
        <f>IFERROR(SUMPRODUCT(Y183:Y184*H183:H184),"0")</f>
        <v>0</v>
      </c>
      <c r="Z186" s="42"/>
      <c r="AA186" s="67"/>
      <c r="AB186" s="67"/>
      <c r="AC186" s="67"/>
    </row>
    <row r="187" spans="1:68" ht="16.5" hidden="1" customHeight="1" x14ac:dyDescent="0.25">
      <c r="A187" s="319" t="s">
        <v>286</v>
      </c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65"/>
      <c r="AB187" s="65"/>
      <c r="AC187" s="82"/>
    </row>
    <row r="188" spans="1:68" ht="14.25" hidden="1" customHeight="1" x14ac:dyDescent="0.25">
      <c r="A188" s="312" t="s">
        <v>79</v>
      </c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  <c r="Z188" s="312"/>
      <c r="AA188" s="66"/>
      <c r="AB188" s="66"/>
      <c r="AC188" s="83"/>
    </row>
    <row r="189" spans="1:68" ht="27" hidden="1" customHeight="1" x14ac:dyDescent="0.25">
      <c r="A189" s="63" t="s">
        <v>287</v>
      </c>
      <c r="B189" s="63" t="s">
        <v>288</v>
      </c>
      <c r="C189" s="36">
        <v>4301071117</v>
      </c>
      <c r="D189" s="294">
        <v>4620207491737</v>
      </c>
      <c r="E189" s="294"/>
      <c r="F189" s="62">
        <v>1</v>
      </c>
      <c r="G189" s="37">
        <v>5</v>
      </c>
      <c r="H189" s="62">
        <v>5</v>
      </c>
      <c r="I189" s="62">
        <v>5.2619999999999996</v>
      </c>
      <c r="J189" s="37">
        <v>84</v>
      </c>
      <c r="K189" s="37" t="s">
        <v>84</v>
      </c>
      <c r="L189" s="37" t="s">
        <v>85</v>
      </c>
      <c r="M189" s="38" t="s">
        <v>83</v>
      </c>
      <c r="N189" s="38"/>
      <c r="O189" s="37">
        <v>180</v>
      </c>
      <c r="P189" s="33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296"/>
      <c r="R189" s="296"/>
      <c r="S189" s="296"/>
      <c r="T189" s="297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21" t="s">
        <v>285</v>
      </c>
      <c r="AG189" s="81"/>
      <c r="AJ189" s="87" t="s">
        <v>86</v>
      </c>
      <c r="AK189" s="87">
        <v>1</v>
      </c>
      <c r="BB189" s="222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idden="1" x14ac:dyDescent="0.2">
      <c r="A190" s="291"/>
      <c r="B190" s="291"/>
      <c r="C190" s="291"/>
      <c r="D190" s="291"/>
      <c r="E190" s="291"/>
      <c r="F190" s="291"/>
      <c r="G190" s="291"/>
      <c r="H190" s="291"/>
      <c r="I190" s="291"/>
      <c r="J190" s="291"/>
      <c r="K190" s="291"/>
      <c r="L190" s="291"/>
      <c r="M190" s="291"/>
      <c r="N190" s="291"/>
      <c r="O190" s="304"/>
      <c r="P190" s="301" t="s">
        <v>40</v>
      </c>
      <c r="Q190" s="302"/>
      <c r="R190" s="302"/>
      <c r="S190" s="302"/>
      <c r="T190" s="302"/>
      <c r="U190" s="302"/>
      <c r="V190" s="303"/>
      <c r="W190" s="42" t="s">
        <v>39</v>
      </c>
      <c r="X190" s="43">
        <f>IFERROR(SUM(X189:X189),"0")</f>
        <v>0</v>
      </c>
      <c r="Y190" s="43">
        <f>IFERROR(SUM(Y189:Y189),"0")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291"/>
      <c r="B191" s="291"/>
      <c r="C191" s="291"/>
      <c r="D191" s="291"/>
      <c r="E191" s="291"/>
      <c r="F191" s="291"/>
      <c r="G191" s="291"/>
      <c r="H191" s="291"/>
      <c r="I191" s="291"/>
      <c r="J191" s="291"/>
      <c r="K191" s="291"/>
      <c r="L191" s="291"/>
      <c r="M191" s="291"/>
      <c r="N191" s="291"/>
      <c r="O191" s="304"/>
      <c r="P191" s="301" t="s">
        <v>40</v>
      </c>
      <c r="Q191" s="302"/>
      <c r="R191" s="302"/>
      <c r="S191" s="302"/>
      <c r="T191" s="302"/>
      <c r="U191" s="302"/>
      <c r="V191" s="303"/>
      <c r="W191" s="42" t="s">
        <v>0</v>
      </c>
      <c r="X191" s="43">
        <f>IFERROR(SUMPRODUCT(X189:X189*H189:H189),"0")</f>
        <v>0</v>
      </c>
      <c r="Y191" s="43">
        <f>IFERROR(SUMPRODUCT(Y189:Y189*H189:H189),"0")</f>
        <v>0</v>
      </c>
      <c r="Z191" s="42"/>
      <c r="AA191" s="67"/>
      <c r="AB191" s="67"/>
      <c r="AC191" s="67"/>
    </row>
    <row r="192" spans="1:68" ht="27.75" hidden="1" customHeight="1" x14ac:dyDescent="0.2">
      <c r="A192" s="318" t="s">
        <v>289</v>
      </c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54"/>
      <c r="AB192" s="54"/>
      <c r="AC192" s="54"/>
    </row>
    <row r="193" spans="1:68" ht="16.5" hidden="1" customHeight="1" x14ac:dyDescent="0.25">
      <c r="A193" s="319" t="s">
        <v>290</v>
      </c>
      <c r="B193" s="31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  <c r="AA193" s="65"/>
      <c r="AB193" s="65"/>
      <c r="AC193" s="82"/>
    </row>
    <row r="194" spans="1:68" ht="14.25" hidden="1" customHeight="1" x14ac:dyDescent="0.25">
      <c r="A194" s="312" t="s">
        <v>110</v>
      </c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  <c r="Z194" s="312"/>
      <c r="AA194" s="66"/>
      <c r="AB194" s="66"/>
      <c r="AC194" s="83"/>
    </row>
    <row r="195" spans="1:68" ht="16.5" customHeight="1" x14ac:dyDescent="0.25">
      <c r="A195" s="63" t="s">
        <v>291</v>
      </c>
      <c r="B195" s="63" t="s">
        <v>292</v>
      </c>
      <c r="C195" s="36">
        <v>4301132179</v>
      </c>
      <c r="D195" s="294">
        <v>4607111035691</v>
      </c>
      <c r="E195" s="294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115</v>
      </c>
      <c r="L195" s="37" t="s">
        <v>116</v>
      </c>
      <c r="M195" s="38" t="s">
        <v>83</v>
      </c>
      <c r="N195" s="38"/>
      <c r="O195" s="37">
        <v>365</v>
      </c>
      <c r="P195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296"/>
      <c r="R195" s="296"/>
      <c r="S195" s="296"/>
      <c r="T195" s="297"/>
      <c r="U195" s="39" t="s">
        <v>46</v>
      </c>
      <c r="V195" s="39" t="s">
        <v>46</v>
      </c>
      <c r="W195" s="40" t="s">
        <v>39</v>
      </c>
      <c r="X195" s="58">
        <v>56</v>
      </c>
      <c r="Y195" s="55">
        <f>IFERROR(IF(X195="","",X195),"")</f>
        <v>56</v>
      </c>
      <c r="Z195" s="41">
        <f>IFERROR(IF(X195="","",X195*0.01788),"")</f>
        <v>1.0012799999999999</v>
      </c>
      <c r="AA195" s="68" t="s">
        <v>46</v>
      </c>
      <c r="AB195" s="69" t="s">
        <v>46</v>
      </c>
      <c r="AC195" s="223" t="s">
        <v>293</v>
      </c>
      <c r="AG195" s="81"/>
      <c r="AJ195" s="87" t="s">
        <v>117</v>
      </c>
      <c r="AK195" s="87">
        <v>14</v>
      </c>
      <c r="BB195" s="224" t="s">
        <v>114</v>
      </c>
      <c r="BM195" s="81">
        <f>IFERROR(X195*I195,"0")</f>
        <v>189.72800000000001</v>
      </c>
      <c r="BN195" s="81">
        <f>IFERROR(Y195*I195,"0")</f>
        <v>189.72800000000001</v>
      </c>
      <c r="BO195" s="81">
        <f>IFERROR(X195/J195,"0")</f>
        <v>0.8</v>
      </c>
      <c r="BP195" s="81">
        <f>IFERROR(Y195/J195,"0")</f>
        <v>0.8</v>
      </c>
    </row>
    <row r="196" spans="1:68" ht="27" customHeight="1" x14ac:dyDescent="0.25">
      <c r="A196" s="63" t="s">
        <v>294</v>
      </c>
      <c r="B196" s="63" t="s">
        <v>295</v>
      </c>
      <c r="C196" s="36">
        <v>4301132182</v>
      </c>
      <c r="D196" s="294">
        <v>4607111035721</v>
      </c>
      <c r="E196" s="294"/>
      <c r="F196" s="62">
        <v>0.25</v>
      </c>
      <c r="G196" s="37">
        <v>12</v>
      </c>
      <c r="H196" s="62">
        <v>3</v>
      </c>
      <c r="I196" s="62">
        <v>3.3879999999999999</v>
      </c>
      <c r="J196" s="37">
        <v>70</v>
      </c>
      <c r="K196" s="37" t="s">
        <v>115</v>
      </c>
      <c r="L196" s="37" t="s">
        <v>116</v>
      </c>
      <c r="M196" s="38" t="s">
        <v>83</v>
      </c>
      <c r="N196" s="38"/>
      <c r="O196" s="37">
        <v>365</v>
      </c>
      <c r="P196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296"/>
      <c r="R196" s="296"/>
      <c r="S196" s="296"/>
      <c r="T196" s="297"/>
      <c r="U196" s="39" t="s">
        <v>46</v>
      </c>
      <c r="V196" s="39" t="s">
        <v>46</v>
      </c>
      <c r="W196" s="40" t="s">
        <v>39</v>
      </c>
      <c r="X196" s="58">
        <v>56</v>
      </c>
      <c r="Y196" s="55">
        <f>IFERROR(IF(X196="","",X196),"")</f>
        <v>56</v>
      </c>
      <c r="Z196" s="41">
        <f>IFERROR(IF(X196="","",X196*0.01788),"")</f>
        <v>1.0012799999999999</v>
      </c>
      <c r="AA196" s="68" t="s">
        <v>46</v>
      </c>
      <c r="AB196" s="69" t="s">
        <v>46</v>
      </c>
      <c r="AC196" s="225" t="s">
        <v>296</v>
      </c>
      <c r="AG196" s="81"/>
      <c r="AJ196" s="87" t="s">
        <v>117</v>
      </c>
      <c r="AK196" s="87">
        <v>14</v>
      </c>
      <c r="BB196" s="226" t="s">
        <v>114</v>
      </c>
      <c r="BM196" s="81">
        <f>IFERROR(X196*I196,"0")</f>
        <v>189.72800000000001</v>
      </c>
      <c r="BN196" s="81">
        <f>IFERROR(Y196*I196,"0")</f>
        <v>189.72800000000001</v>
      </c>
      <c r="BO196" s="81">
        <f>IFERROR(X196/J196,"0")</f>
        <v>0.8</v>
      </c>
      <c r="BP196" s="81">
        <f>IFERROR(Y196/J196,"0")</f>
        <v>0.8</v>
      </c>
    </row>
    <row r="197" spans="1:68" ht="27" hidden="1" customHeight="1" x14ac:dyDescent="0.25">
      <c r="A197" s="63" t="s">
        <v>297</v>
      </c>
      <c r="B197" s="63" t="s">
        <v>298</v>
      </c>
      <c r="C197" s="36">
        <v>4301132170</v>
      </c>
      <c r="D197" s="294">
        <v>4607111038487</v>
      </c>
      <c r="E197" s="294"/>
      <c r="F197" s="62">
        <v>0.25</v>
      </c>
      <c r="G197" s="37">
        <v>12</v>
      </c>
      <c r="H197" s="62">
        <v>3</v>
      </c>
      <c r="I197" s="62">
        <v>3.7360000000000002</v>
      </c>
      <c r="J197" s="37">
        <v>70</v>
      </c>
      <c r="K197" s="37" t="s">
        <v>115</v>
      </c>
      <c r="L197" s="37" t="s">
        <v>116</v>
      </c>
      <c r="M197" s="38" t="s">
        <v>83</v>
      </c>
      <c r="N197" s="38"/>
      <c r="O197" s="37">
        <v>180</v>
      </c>
      <c r="P197" s="3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296"/>
      <c r="R197" s="296"/>
      <c r="S197" s="296"/>
      <c r="T197" s="297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7" t="s">
        <v>299</v>
      </c>
      <c r="AG197" s="81"/>
      <c r="AJ197" s="87" t="s">
        <v>117</v>
      </c>
      <c r="AK197" s="87">
        <v>14</v>
      </c>
      <c r="BB197" s="228" t="s">
        <v>114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300</v>
      </c>
      <c r="B198" s="63" t="s">
        <v>301</v>
      </c>
      <c r="C198" s="36">
        <v>4301132243</v>
      </c>
      <c r="D198" s="294">
        <v>4620207491195</v>
      </c>
      <c r="E198" s="294"/>
      <c r="F198" s="62">
        <v>0.23</v>
      </c>
      <c r="G198" s="37">
        <v>12</v>
      </c>
      <c r="H198" s="62">
        <v>2.76</v>
      </c>
      <c r="I198" s="62">
        <v>3.1480000000000001</v>
      </c>
      <c r="J198" s="37">
        <v>70</v>
      </c>
      <c r="K198" s="37" t="s">
        <v>115</v>
      </c>
      <c r="L198" s="37" t="s">
        <v>85</v>
      </c>
      <c r="M198" s="38" t="s">
        <v>83</v>
      </c>
      <c r="N198" s="38"/>
      <c r="O198" s="37">
        <v>180</v>
      </c>
      <c r="P198" s="3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296"/>
      <c r="R198" s="296"/>
      <c r="S198" s="296"/>
      <c r="T198" s="297"/>
      <c r="U198" s="39" t="s">
        <v>46</v>
      </c>
      <c r="V198" s="39" t="s">
        <v>46</v>
      </c>
      <c r="W198" s="40" t="s">
        <v>39</v>
      </c>
      <c r="X198" s="58">
        <v>18</v>
      </c>
      <c r="Y198" s="55">
        <f>IFERROR(IF(X198="","",X198),"")</f>
        <v>18</v>
      </c>
      <c r="Z198" s="41">
        <f>IFERROR(IF(X198="","",X198*0.01788),"")</f>
        <v>0.32184000000000001</v>
      </c>
      <c r="AA198" s="68" t="s">
        <v>46</v>
      </c>
      <c r="AB198" s="69" t="s">
        <v>46</v>
      </c>
      <c r="AC198" s="229" t="s">
        <v>302</v>
      </c>
      <c r="AG198" s="81"/>
      <c r="AJ198" s="87" t="s">
        <v>86</v>
      </c>
      <c r="AK198" s="87">
        <v>1</v>
      </c>
      <c r="BB198" s="230" t="s">
        <v>114</v>
      </c>
      <c r="BM198" s="81">
        <f>IFERROR(X198*I198,"0")</f>
        <v>56.664000000000001</v>
      </c>
      <c r="BN198" s="81">
        <f>IFERROR(Y198*I198,"0")</f>
        <v>56.664000000000001</v>
      </c>
      <c r="BO198" s="81">
        <f>IFERROR(X198/J198,"0")</f>
        <v>0.25714285714285712</v>
      </c>
      <c r="BP198" s="81">
        <f>IFERROR(Y198/J198,"0")</f>
        <v>0.25714285714285712</v>
      </c>
    </row>
    <row r="199" spans="1:68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304"/>
      <c r="P199" s="301" t="s">
        <v>40</v>
      </c>
      <c r="Q199" s="302"/>
      <c r="R199" s="302"/>
      <c r="S199" s="302"/>
      <c r="T199" s="302"/>
      <c r="U199" s="302"/>
      <c r="V199" s="303"/>
      <c r="W199" s="42" t="s">
        <v>39</v>
      </c>
      <c r="X199" s="43">
        <f>IFERROR(SUM(X195:X198),"0")</f>
        <v>130</v>
      </c>
      <c r="Y199" s="43">
        <f>IFERROR(SUM(Y195:Y198),"0")</f>
        <v>130</v>
      </c>
      <c r="Z199" s="43">
        <f>IFERROR(IF(Z195="",0,Z195),"0")+IFERROR(IF(Z196="",0,Z196),"0")+IFERROR(IF(Z197="",0,Z197),"0")+IFERROR(IF(Z198="",0,Z198),"0")</f>
        <v>2.3243999999999998</v>
      </c>
      <c r="AA199" s="67"/>
      <c r="AB199" s="67"/>
      <c r="AC199" s="67"/>
    </row>
    <row r="200" spans="1:68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304"/>
      <c r="P200" s="301" t="s">
        <v>40</v>
      </c>
      <c r="Q200" s="302"/>
      <c r="R200" s="302"/>
      <c r="S200" s="302"/>
      <c r="T200" s="302"/>
      <c r="U200" s="302"/>
      <c r="V200" s="303"/>
      <c r="W200" s="42" t="s">
        <v>0</v>
      </c>
      <c r="X200" s="43">
        <f>IFERROR(SUMPRODUCT(X195:X198*H195:H198),"0")</f>
        <v>385.68</v>
      </c>
      <c r="Y200" s="43">
        <f>IFERROR(SUMPRODUCT(Y195:Y198*H195:H198),"0")</f>
        <v>385.68</v>
      </c>
      <c r="Z200" s="42"/>
      <c r="AA200" s="67"/>
      <c r="AB200" s="67"/>
      <c r="AC200" s="67"/>
    </row>
    <row r="201" spans="1:68" ht="27.75" hidden="1" customHeight="1" x14ac:dyDescent="0.2">
      <c r="A201" s="318" t="s">
        <v>303</v>
      </c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54"/>
      <c r="AB201" s="54"/>
      <c r="AC201" s="54"/>
    </row>
    <row r="202" spans="1:68" ht="16.5" hidden="1" customHeight="1" x14ac:dyDescent="0.25">
      <c r="A202" s="319" t="s">
        <v>304</v>
      </c>
      <c r="B202" s="31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  <c r="AA202" s="65"/>
      <c r="AB202" s="65"/>
      <c r="AC202" s="82"/>
    </row>
    <row r="203" spans="1:68" ht="14.25" hidden="1" customHeight="1" x14ac:dyDescent="0.25">
      <c r="A203" s="312" t="s">
        <v>110</v>
      </c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  <c r="Z203" s="312"/>
      <c r="AA203" s="66"/>
      <c r="AB203" s="66"/>
      <c r="AC203" s="83"/>
    </row>
    <row r="204" spans="1:68" ht="27" hidden="1" customHeight="1" x14ac:dyDescent="0.25">
      <c r="A204" s="63" t="s">
        <v>305</v>
      </c>
      <c r="B204" s="63" t="s">
        <v>306</v>
      </c>
      <c r="C204" s="36">
        <v>4301132227</v>
      </c>
      <c r="D204" s="294">
        <v>4620207491133</v>
      </c>
      <c r="E204" s="294"/>
      <c r="F204" s="62">
        <v>0.23</v>
      </c>
      <c r="G204" s="37">
        <v>12</v>
      </c>
      <c r="H204" s="62">
        <v>2.76</v>
      </c>
      <c r="I204" s="62">
        <v>2.98</v>
      </c>
      <c r="J204" s="37">
        <v>70</v>
      </c>
      <c r="K204" s="37" t="s">
        <v>115</v>
      </c>
      <c r="L204" s="37" t="s">
        <v>116</v>
      </c>
      <c r="M204" s="38" t="s">
        <v>83</v>
      </c>
      <c r="N204" s="38"/>
      <c r="O204" s="37">
        <v>180</v>
      </c>
      <c r="P204" s="3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296"/>
      <c r="R204" s="296"/>
      <c r="S204" s="296"/>
      <c r="T204" s="297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1" t="s">
        <v>307</v>
      </c>
      <c r="AG204" s="81"/>
      <c r="AJ204" s="87" t="s">
        <v>117</v>
      </c>
      <c r="AK204" s="87">
        <v>14</v>
      </c>
      <c r="BB204" s="232" t="s">
        <v>114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304"/>
      <c r="P205" s="301" t="s">
        <v>40</v>
      </c>
      <c r="Q205" s="302"/>
      <c r="R205" s="302"/>
      <c r="S205" s="302"/>
      <c r="T205" s="302"/>
      <c r="U205" s="302"/>
      <c r="V205" s="303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hidden="1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304"/>
      <c r="P206" s="301" t="s">
        <v>40</v>
      </c>
      <c r="Q206" s="302"/>
      <c r="R206" s="302"/>
      <c r="S206" s="302"/>
      <c r="T206" s="302"/>
      <c r="U206" s="302"/>
      <c r="V206" s="303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4.25" hidden="1" customHeight="1" x14ac:dyDescent="0.25">
      <c r="A207" s="312" t="s">
        <v>161</v>
      </c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  <c r="Z207" s="312"/>
      <c r="AA207" s="66"/>
      <c r="AB207" s="66"/>
      <c r="AC207" s="83"/>
    </row>
    <row r="208" spans="1:68" ht="27" hidden="1" customHeight="1" x14ac:dyDescent="0.25">
      <c r="A208" s="63" t="s">
        <v>308</v>
      </c>
      <c r="B208" s="63" t="s">
        <v>309</v>
      </c>
      <c r="C208" s="36">
        <v>4301135834</v>
      </c>
      <c r="D208" s="294">
        <v>4620207491188</v>
      </c>
      <c r="E208" s="29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115</v>
      </c>
      <c r="L208" s="37" t="s">
        <v>85</v>
      </c>
      <c r="M208" s="38" t="s">
        <v>83</v>
      </c>
      <c r="N208" s="38"/>
      <c r="O208" s="37">
        <v>180</v>
      </c>
      <c r="P208" s="3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296"/>
      <c r="R208" s="296"/>
      <c r="S208" s="296"/>
      <c r="T208" s="29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310</v>
      </c>
      <c r="AG208" s="81"/>
      <c r="AJ208" s="87" t="s">
        <v>86</v>
      </c>
      <c r="AK208" s="87">
        <v>1</v>
      </c>
      <c r="BB208" s="234" t="s">
        <v>114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311</v>
      </c>
      <c r="B209" s="63" t="s">
        <v>312</v>
      </c>
      <c r="C209" s="36">
        <v>4301135696</v>
      </c>
      <c r="D209" s="294">
        <v>4620207490235</v>
      </c>
      <c r="E209" s="294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115</v>
      </c>
      <c r="L209" s="37" t="s">
        <v>116</v>
      </c>
      <c r="M209" s="38" t="s">
        <v>83</v>
      </c>
      <c r="N209" s="38"/>
      <c r="O209" s="37">
        <v>180</v>
      </c>
      <c r="P209" s="32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296"/>
      <c r="R209" s="296"/>
      <c r="S209" s="296"/>
      <c r="T209" s="297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313</v>
      </c>
      <c r="AG209" s="81"/>
      <c r="AJ209" s="87" t="s">
        <v>117</v>
      </c>
      <c r="AK209" s="87">
        <v>14</v>
      </c>
      <c r="BB209" s="236" t="s">
        <v>114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314</v>
      </c>
      <c r="B210" s="63" t="s">
        <v>315</v>
      </c>
      <c r="C210" s="36">
        <v>4301135697</v>
      </c>
      <c r="D210" s="294">
        <v>4620207490259</v>
      </c>
      <c r="E210" s="294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115</v>
      </c>
      <c r="L210" s="37" t="s">
        <v>116</v>
      </c>
      <c r="M210" s="38" t="s">
        <v>83</v>
      </c>
      <c r="N210" s="38"/>
      <c r="O210" s="37">
        <v>180</v>
      </c>
      <c r="P210" s="32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296"/>
      <c r="R210" s="296"/>
      <c r="S210" s="296"/>
      <c r="T210" s="297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316</v>
      </c>
      <c r="AG210" s="81"/>
      <c r="AJ210" s="87" t="s">
        <v>117</v>
      </c>
      <c r="AK210" s="87">
        <v>14</v>
      </c>
      <c r="BB210" s="238" t="s">
        <v>114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304"/>
      <c r="P211" s="301" t="s">
        <v>40</v>
      </c>
      <c r="Q211" s="302"/>
      <c r="R211" s="302"/>
      <c r="S211" s="302"/>
      <c r="T211" s="302"/>
      <c r="U211" s="302"/>
      <c r="V211" s="303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304"/>
      <c r="P212" s="301" t="s">
        <v>40</v>
      </c>
      <c r="Q212" s="302"/>
      <c r="R212" s="302"/>
      <c r="S212" s="302"/>
      <c r="T212" s="302"/>
      <c r="U212" s="302"/>
      <c r="V212" s="303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19" t="s">
        <v>317</v>
      </c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65"/>
      <c r="AB213" s="65"/>
      <c r="AC213" s="82"/>
    </row>
    <row r="214" spans="1:68" ht="14.25" hidden="1" customHeight="1" x14ac:dyDescent="0.25">
      <c r="A214" s="312" t="s">
        <v>161</v>
      </c>
      <c r="B214" s="312"/>
      <c r="C214" s="312"/>
      <c r="D214" s="312"/>
      <c r="E214" s="312"/>
      <c r="F214" s="312"/>
      <c r="G214" s="312"/>
      <c r="H214" s="312"/>
      <c r="I214" s="312"/>
      <c r="J214" s="312"/>
      <c r="K214" s="312"/>
      <c r="L214" s="312"/>
      <c r="M214" s="312"/>
      <c r="N214" s="312"/>
      <c r="O214" s="312"/>
      <c r="P214" s="312"/>
      <c r="Q214" s="312"/>
      <c r="R214" s="312"/>
      <c r="S214" s="312"/>
      <c r="T214" s="312"/>
      <c r="U214" s="312"/>
      <c r="V214" s="312"/>
      <c r="W214" s="312"/>
      <c r="X214" s="312"/>
      <c r="Y214" s="312"/>
      <c r="Z214" s="312"/>
      <c r="AA214" s="66"/>
      <c r="AB214" s="66"/>
      <c r="AC214" s="83"/>
    </row>
    <row r="215" spans="1:68" ht="27" hidden="1" customHeight="1" x14ac:dyDescent="0.25">
      <c r="A215" s="63" t="s">
        <v>318</v>
      </c>
      <c r="B215" s="63" t="s">
        <v>319</v>
      </c>
      <c r="C215" s="36">
        <v>4301135854</v>
      </c>
      <c r="D215" s="294">
        <v>4620207491706</v>
      </c>
      <c r="E215" s="294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115</v>
      </c>
      <c r="L215" s="37" t="s">
        <v>85</v>
      </c>
      <c r="M215" s="38" t="s">
        <v>83</v>
      </c>
      <c r="N215" s="38"/>
      <c r="O215" s="37">
        <v>180</v>
      </c>
      <c r="P215" s="32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296"/>
      <c r="R215" s="296"/>
      <c r="S215" s="296"/>
      <c r="T215" s="297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9" t="s">
        <v>320</v>
      </c>
      <c r="AG215" s="81"/>
      <c r="AJ215" s="87" t="s">
        <v>86</v>
      </c>
      <c r="AK215" s="87">
        <v>1</v>
      </c>
      <c r="BB215" s="240" t="s">
        <v>114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hidden="1" customHeight="1" x14ac:dyDescent="0.25">
      <c r="A216" s="63" t="s">
        <v>321</v>
      </c>
      <c r="B216" s="63" t="s">
        <v>322</v>
      </c>
      <c r="C216" s="36">
        <v>4301135895</v>
      </c>
      <c r="D216" s="294">
        <v>4620207491522</v>
      </c>
      <c r="E216" s="294"/>
      <c r="F216" s="62">
        <v>0.28000000000000003</v>
      </c>
      <c r="G216" s="37">
        <v>12</v>
      </c>
      <c r="H216" s="62">
        <v>3.36</v>
      </c>
      <c r="I216" s="62">
        <v>4.0636000000000001</v>
      </c>
      <c r="J216" s="37">
        <v>70</v>
      </c>
      <c r="K216" s="37" t="s">
        <v>115</v>
      </c>
      <c r="L216" s="37" t="s">
        <v>85</v>
      </c>
      <c r="M216" s="38" t="s">
        <v>83</v>
      </c>
      <c r="N216" s="38"/>
      <c r="O216" s="37">
        <v>180</v>
      </c>
      <c r="P216" s="32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296"/>
      <c r="R216" s="296"/>
      <c r="S216" s="296"/>
      <c r="T216" s="297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1" t="s">
        <v>323</v>
      </c>
      <c r="AG216" s="81"/>
      <c r="AJ216" s="87" t="s">
        <v>86</v>
      </c>
      <c r="AK216" s="87">
        <v>1</v>
      </c>
      <c r="BB216" s="242" t="s">
        <v>114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304"/>
      <c r="P217" s="301" t="s">
        <v>40</v>
      </c>
      <c r="Q217" s="302"/>
      <c r="R217" s="302"/>
      <c r="S217" s="302"/>
      <c r="T217" s="302"/>
      <c r="U217" s="302"/>
      <c r="V217" s="303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hidden="1" x14ac:dyDescent="0.2">
      <c r="A218" s="291"/>
      <c r="B218" s="291"/>
      <c r="C218" s="291"/>
      <c r="D218" s="291"/>
      <c r="E218" s="291"/>
      <c r="F218" s="291"/>
      <c r="G218" s="291"/>
      <c r="H218" s="291"/>
      <c r="I218" s="291"/>
      <c r="J218" s="291"/>
      <c r="K218" s="291"/>
      <c r="L218" s="291"/>
      <c r="M218" s="291"/>
      <c r="N218" s="291"/>
      <c r="O218" s="304"/>
      <c r="P218" s="301" t="s">
        <v>40</v>
      </c>
      <c r="Q218" s="302"/>
      <c r="R218" s="302"/>
      <c r="S218" s="302"/>
      <c r="T218" s="302"/>
      <c r="U218" s="302"/>
      <c r="V218" s="303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19" t="s">
        <v>324</v>
      </c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65"/>
      <c r="AB219" s="65"/>
      <c r="AC219" s="82"/>
    </row>
    <row r="220" spans="1:68" ht="14.25" hidden="1" customHeight="1" x14ac:dyDescent="0.25">
      <c r="A220" s="312" t="s">
        <v>79</v>
      </c>
      <c r="B220" s="312"/>
      <c r="C220" s="312"/>
      <c r="D220" s="312"/>
      <c r="E220" s="312"/>
      <c r="F220" s="312"/>
      <c r="G220" s="312"/>
      <c r="H220" s="312"/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66"/>
      <c r="AB220" s="66"/>
      <c r="AC220" s="83"/>
    </row>
    <row r="221" spans="1:68" ht="27" hidden="1" customHeight="1" x14ac:dyDescent="0.25">
      <c r="A221" s="63" t="s">
        <v>325</v>
      </c>
      <c r="B221" s="63" t="s">
        <v>326</v>
      </c>
      <c r="C221" s="36">
        <v>4301071097</v>
      </c>
      <c r="D221" s="294">
        <v>4620207491096</v>
      </c>
      <c r="E221" s="294"/>
      <c r="F221" s="62">
        <v>1</v>
      </c>
      <c r="G221" s="37">
        <v>5</v>
      </c>
      <c r="H221" s="62">
        <v>5</v>
      </c>
      <c r="I221" s="62">
        <v>5.23</v>
      </c>
      <c r="J221" s="37">
        <v>84</v>
      </c>
      <c r="K221" s="37" t="s">
        <v>84</v>
      </c>
      <c r="L221" s="37" t="s">
        <v>116</v>
      </c>
      <c r="M221" s="38" t="s">
        <v>83</v>
      </c>
      <c r="N221" s="38"/>
      <c r="O221" s="37">
        <v>180</v>
      </c>
      <c r="P221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296"/>
      <c r="R221" s="296"/>
      <c r="S221" s="296"/>
      <c r="T221" s="297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43" t="s">
        <v>327</v>
      </c>
      <c r="AG221" s="81"/>
      <c r="AJ221" s="87" t="s">
        <v>117</v>
      </c>
      <c r="AK221" s="87">
        <v>12</v>
      </c>
      <c r="BB221" s="244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304"/>
      <c r="P222" s="301" t="s">
        <v>40</v>
      </c>
      <c r="Q222" s="302"/>
      <c r="R222" s="302"/>
      <c r="S222" s="302"/>
      <c r="T222" s="302"/>
      <c r="U222" s="302"/>
      <c r="V222" s="303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291"/>
      <c r="B223" s="291"/>
      <c r="C223" s="291"/>
      <c r="D223" s="291"/>
      <c r="E223" s="291"/>
      <c r="F223" s="291"/>
      <c r="G223" s="291"/>
      <c r="H223" s="291"/>
      <c r="I223" s="291"/>
      <c r="J223" s="291"/>
      <c r="K223" s="291"/>
      <c r="L223" s="291"/>
      <c r="M223" s="291"/>
      <c r="N223" s="291"/>
      <c r="O223" s="304"/>
      <c r="P223" s="301" t="s">
        <v>40</v>
      </c>
      <c r="Q223" s="302"/>
      <c r="R223" s="302"/>
      <c r="S223" s="302"/>
      <c r="T223" s="302"/>
      <c r="U223" s="302"/>
      <c r="V223" s="303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18" t="s">
        <v>328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54"/>
      <c r="AB224" s="54"/>
      <c r="AC224" s="54"/>
    </row>
    <row r="225" spans="1:68" ht="16.5" hidden="1" customHeight="1" x14ac:dyDescent="0.25">
      <c r="A225" s="319" t="s">
        <v>329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65"/>
      <c r="AB225" s="65"/>
      <c r="AC225" s="82"/>
    </row>
    <row r="226" spans="1:68" ht="14.25" hidden="1" customHeight="1" x14ac:dyDescent="0.25">
      <c r="A226" s="312" t="s">
        <v>79</v>
      </c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2"/>
      <c r="S226" s="312"/>
      <c r="T226" s="312"/>
      <c r="U226" s="312"/>
      <c r="V226" s="312"/>
      <c r="W226" s="312"/>
      <c r="X226" s="312"/>
      <c r="Y226" s="312"/>
      <c r="Z226" s="312"/>
      <c r="AA226" s="66"/>
      <c r="AB226" s="66"/>
      <c r="AC226" s="83"/>
    </row>
    <row r="227" spans="1:68" ht="27" hidden="1" customHeight="1" x14ac:dyDescent="0.25">
      <c r="A227" s="63" t="s">
        <v>330</v>
      </c>
      <c r="B227" s="63" t="s">
        <v>331</v>
      </c>
      <c r="C227" s="36">
        <v>4301071036</v>
      </c>
      <c r="D227" s="294">
        <v>4607111036162</v>
      </c>
      <c r="E227" s="294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84</v>
      </c>
      <c r="L227" s="37" t="s">
        <v>85</v>
      </c>
      <c r="M227" s="38" t="s">
        <v>83</v>
      </c>
      <c r="N227" s="38"/>
      <c r="O227" s="37">
        <v>90</v>
      </c>
      <c r="P227" s="3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6"/>
      <c r="R227" s="296"/>
      <c r="S227" s="296"/>
      <c r="T227" s="297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332</v>
      </c>
      <c r="AG227" s="81"/>
      <c r="AJ227" s="87" t="s">
        <v>86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304"/>
      <c r="P228" s="301" t="s">
        <v>40</v>
      </c>
      <c r="Q228" s="302"/>
      <c r="R228" s="302"/>
      <c r="S228" s="302"/>
      <c r="T228" s="302"/>
      <c r="U228" s="302"/>
      <c r="V228" s="303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291"/>
      <c r="B229" s="291"/>
      <c r="C229" s="291"/>
      <c r="D229" s="291"/>
      <c r="E229" s="291"/>
      <c r="F229" s="291"/>
      <c r="G229" s="291"/>
      <c r="H229" s="291"/>
      <c r="I229" s="291"/>
      <c r="J229" s="291"/>
      <c r="K229" s="291"/>
      <c r="L229" s="291"/>
      <c r="M229" s="291"/>
      <c r="N229" s="291"/>
      <c r="O229" s="304"/>
      <c r="P229" s="301" t="s">
        <v>40</v>
      </c>
      <c r="Q229" s="302"/>
      <c r="R229" s="302"/>
      <c r="S229" s="302"/>
      <c r="T229" s="302"/>
      <c r="U229" s="302"/>
      <c r="V229" s="303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18" t="s">
        <v>333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54"/>
      <c r="AB230" s="54"/>
      <c r="AC230" s="54"/>
    </row>
    <row r="231" spans="1:68" ht="16.5" hidden="1" customHeight="1" x14ac:dyDescent="0.25">
      <c r="A231" s="319" t="s">
        <v>334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65"/>
      <c r="AB231" s="65"/>
      <c r="AC231" s="82"/>
    </row>
    <row r="232" spans="1:68" ht="14.25" hidden="1" customHeight="1" x14ac:dyDescent="0.25">
      <c r="A232" s="312" t="s">
        <v>335</v>
      </c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  <c r="L232" s="312"/>
      <c r="M232" s="312"/>
      <c r="N232" s="312"/>
      <c r="O232" s="312"/>
      <c r="P232" s="312"/>
      <c r="Q232" s="312"/>
      <c r="R232" s="312"/>
      <c r="S232" s="312"/>
      <c r="T232" s="312"/>
      <c r="U232" s="312"/>
      <c r="V232" s="312"/>
      <c r="W232" s="312"/>
      <c r="X232" s="312"/>
      <c r="Y232" s="312"/>
      <c r="Z232" s="312"/>
      <c r="AA232" s="66"/>
      <c r="AB232" s="66"/>
      <c r="AC232" s="83"/>
    </row>
    <row r="233" spans="1:68" ht="27" hidden="1" customHeight="1" x14ac:dyDescent="0.25">
      <c r="A233" s="63" t="s">
        <v>336</v>
      </c>
      <c r="B233" s="63" t="s">
        <v>337</v>
      </c>
      <c r="C233" s="36">
        <v>4301133004</v>
      </c>
      <c r="D233" s="294">
        <v>4607111039774</v>
      </c>
      <c r="E233" s="294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115</v>
      </c>
      <c r="L233" s="37" t="s">
        <v>85</v>
      </c>
      <c r="M233" s="38" t="s">
        <v>83</v>
      </c>
      <c r="N233" s="38"/>
      <c r="O233" s="37">
        <v>180</v>
      </c>
      <c r="P233" s="32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6"/>
      <c r="R233" s="296"/>
      <c r="S233" s="296"/>
      <c r="T233" s="297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338</v>
      </c>
      <c r="AG233" s="81"/>
      <c r="AJ233" s="87" t="s">
        <v>86</v>
      </c>
      <c r="AK233" s="87">
        <v>1</v>
      </c>
      <c r="BB233" s="248" t="s">
        <v>114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304"/>
      <c r="P234" s="301" t="s">
        <v>40</v>
      </c>
      <c r="Q234" s="302"/>
      <c r="R234" s="302"/>
      <c r="S234" s="302"/>
      <c r="T234" s="302"/>
      <c r="U234" s="302"/>
      <c r="V234" s="303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291"/>
      <c r="B235" s="291"/>
      <c r="C235" s="291"/>
      <c r="D235" s="291"/>
      <c r="E235" s="291"/>
      <c r="F235" s="291"/>
      <c r="G235" s="291"/>
      <c r="H235" s="291"/>
      <c r="I235" s="291"/>
      <c r="J235" s="291"/>
      <c r="K235" s="291"/>
      <c r="L235" s="291"/>
      <c r="M235" s="291"/>
      <c r="N235" s="291"/>
      <c r="O235" s="304"/>
      <c r="P235" s="301" t="s">
        <v>40</v>
      </c>
      <c r="Q235" s="302"/>
      <c r="R235" s="302"/>
      <c r="S235" s="302"/>
      <c r="T235" s="302"/>
      <c r="U235" s="302"/>
      <c r="V235" s="303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12" t="s">
        <v>161</v>
      </c>
      <c r="B236" s="312"/>
      <c r="C236" s="312"/>
      <c r="D236" s="312"/>
      <c r="E236" s="312"/>
      <c r="F236" s="312"/>
      <c r="G236" s="312"/>
      <c r="H236" s="312"/>
      <c r="I236" s="312"/>
      <c r="J236" s="312"/>
      <c r="K236" s="312"/>
      <c r="L236" s="312"/>
      <c r="M236" s="312"/>
      <c r="N236" s="312"/>
      <c r="O236" s="312"/>
      <c r="P236" s="312"/>
      <c r="Q236" s="312"/>
      <c r="R236" s="312"/>
      <c r="S236" s="312"/>
      <c r="T236" s="312"/>
      <c r="U236" s="312"/>
      <c r="V236" s="312"/>
      <c r="W236" s="312"/>
      <c r="X236" s="312"/>
      <c r="Y236" s="312"/>
      <c r="Z236" s="312"/>
      <c r="AA236" s="66"/>
      <c r="AB236" s="66"/>
      <c r="AC236" s="83"/>
    </row>
    <row r="237" spans="1:68" ht="37.5" hidden="1" customHeight="1" x14ac:dyDescent="0.25">
      <c r="A237" s="63" t="s">
        <v>339</v>
      </c>
      <c r="B237" s="63" t="s">
        <v>340</v>
      </c>
      <c r="C237" s="36">
        <v>4301135400</v>
      </c>
      <c r="D237" s="294">
        <v>4607111039361</v>
      </c>
      <c r="E237" s="294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115</v>
      </c>
      <c r="L237" s="37" t="s">
        <v>85</v>
      </c>
      <c r="M237" s="38" t="s">
        <v>83</v>
      </c>
      <c r="N237" s="38"/>
      <c r="O237" s="37">
        <v>180</v>
      </c>
      <c r="P237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6"/>
      <c r="R237" s="296"/>
      <c r="S237" s="296"/>
      <c r="T237" s="29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338</v>
      </c>
      <c r="AG237" s="81"/>
      <c r="AJ237" s="87" t="s">
        <v>86</v>
      </c>
      <c r="AK237" s="87">
        <v>1</v>
      </c>
      <c r="BB237" s="250" t="s">
        <v>114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304"/>
      <c r="P238" s="301" t="s">
        <v>40</v>
      </c>
      <c r="Q238" s="302"/>
      <c r="R238" s="302"/>
      <c r="S238" s="302"/>
      <c r="T238" s="302"/>
      <c r="U238" s="302"/>
      <c r="V238" s="30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1"/>
      <c r="B239" s="291"/>
      <c r="C239" s="291"/>
      <c r="D239" s="291"/>
      <c r="E239" s="291"/>
      <c r="F239" s="291"/>
      <c r="G239" s="291"/>
      <c r="H239" s="291"/>
      <c r="I239" s="291"/>
      <c r="J239" s="291"/>
      <c r="K239" s="291"/>
      <c r="L239" s="291"/>
      <c r="M239" s="291"/>
      <c r="N239" s="291"/>
      <c r="O239" s="304"/>
      <c r="P239" s="301" t="s">
        <v>40</v>
      </c>
      <c r="Q239" s="302"/>
      <c r="R239" s="302"/>
      <c r="S239" s="302"/>
      <c r="T239" s="302"/>
      <c r="U239" s="302"/>
      <c r="V239" s="30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18" t="s">
        <v>341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54"/>
      <c r="AB240" s="54"/>
      <c r="AC240" s="54"/>
    </row>
    <row r="241" spans="1:68" ht="16.5" hidden="1" customHeight="1" x14ac:dyDescent="0.25">
      <c r="A241" s="319" t="s">
        <v>341</v>
      </c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65"/>
      <c r="AB241" s="65"/>
      <c r="AC241" s="82"/>
    </row>
    <row r="242" spans="1:68" ht="14.25" hidden="1" customHeight="1" x14ac:dyDescent="0.25">
      <c r="A242" s="312" t="s">
        <v>110</v>
      </c>
      <c r="B242" s="312"/>
      <c r="C242" s="312"/>
      <c r="D242" s="312"/>
      <c r="E242" s="312"/>
      <c r="F242" s="312"/>
      <c r="G242" s="312"/>
      <c r="H242" s="312"/>
      <c r="I242" s="312"/>
      <c r="J242" s="312"/>
      <c r="K242" s="312"/>
      <c r="L242" s="312"/>
      <c r="M242" s="312"/>
      <c r="N242" s="312"/>
      <c r="O242" s="312"/>
      <c r="P242" s="312"/>
      <c r="Q242" s="312"/>
      <c r="R242" s="312"/>
      <c r="S242" s="312"/>
      <c r="T242" s="312"/>
      <c r="U242" s="312"/>
      <c r="V242" s="312"/>
      <c r="W242" s="312"/>
      <c r="X242" s="312"/>
      <c r="Y242" s="312"/>
      <c r="Z242" s="312"/>
      <c r="AA242" s="66"/>
      <c r="AB242" s="66"/>
      <c r="AC242" s="83"/>
    </row>
    <row r="243" spans="1:68" ht="27" hidden="1" customHeight="1" x14ac:dyDescent="0.25">
      <c r="A243" s="63" t="s">
        <v>342</v>
      </c>
      <c r="B243" s="63" t="s">
        <v>343</v>
      </c>
      <c r="C243" s="36">
        <v>4301132228</v>
      </c>
      <c r="D243" s="294">
        <v>4640242181950</v>
      </c>
      <c r="E243" s="294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115</v>
      </c>
      <c r="L243" s="37" t="s">
        <v>85</v>
      </c>
      <c r="M243" s="38" t="s">
        <v>83</v>
      </c>
      <c r="N243" s="38"/>
      <c r="O243" s="37">
        <v>365</v>
      </c>
      <c r="P243" s="32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6"/>
      <c r="R243" s="296"/>
      <c r="S243" s="296"/>
      <c r="T243" s="297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344</v>
      </c>
      <c r="AG243" s="81"/>
      <c r="AJ243" s="87" t="s">
        <v>86</v>
      </c>
      <c r="AK243" s="87">
        <v>1</v>
      </c>
      <c r="BB243" s="252" t="s">
        <v>114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304"/>
      <c r="P244" s="301" t="s">
        <v>40</v>
      </c>
      <c r="Q244" s="302"/>
      <c r="R244" s="302"/>
      <c r="S244" s="302"/>
      <c r="T244" s="302"/>
      <c r="U244" s="302"/>
      <c r="V244" s="303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291"/>
      <c r="B245" s="291"/>
      <c r="C245" s="291"/>
      <c r="D245" s="291"/>
      <c r="E245" s="291"/>
      <c r="F245" s="291"/>
      <c r="G245" s="291"/>
      <c r="H245" s="291"/>
      <c r="I245" s="291"/>
      <c r="J245" s="291"/>
      <c r="K245" s="291"/>
      <c r="L245" s="291"/>
      <c r="M245" s="291"/>
      <c r="N245" s="291"/>
      <c r="O245" s="304"/>
      <c r="P245" s="301" t="s">
        <v>40</v>
      </c>
      <c r="Q245" s="302"/>
      <c r="R245" s="302"/>
      <c r="S245" s="302"/>
      <c r="T245" s="302"/>
      <c r="U245" s="302"/>
      <c r="V245" s="303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12" t="s">
        <v>189</v>
      </c>
      <c r="B246" s="312"/>
      <c r="C246" s="312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2"/>
      <c r="Y246" s="312"/>
      <c r="Z246" s="312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4301136098</v>
      </c>
      <c r="D247" s="294">
        <v>4640242181943</v>
      </c>
      <c r="E247" s="294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115</v>
      </c>
      <c r="L247" s="37" t="s">
        <v>85</v>
      </c>
      <c r="M247" s="38" t="s">
        <v>83</v>
      </c>
      <c r="N247" s="38"/>
      <c r="O247" s="37">
        <v>180</v>
      </c>
      <c r="P247" s="31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6"/>
      <c r="R247" s="296"/>
      <c r="S247" s="296"/>
      <c r="T247" s="29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347</v>
      </c>
      <c r="AG247" s="81"/>
      <c r="AJ247" s="87" t="s">
        <v>86</v>
      </c>
      <c r="AK247" s="87">
        <v>1</v>
      </c>
      <c r="BB247" s="254" t="s">
        <v>114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304"/>
      <c r="P248" s="301" t="s">
        <v>40</v>
      </c>
      <c r="Q248" s="302"/>
      <c r="R248" s="302"/>
      <c r="S248" s="302"/>
      <c r="T248" s="302"/>
      <c r="U248" s="302"/>
      <c r="V248" s="303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1"/>
      <c r="B249" s="291"/>
      <c r="C249" s="291"/>
      <c r="D249" s="291"/>
      <c r="E249" s="291"/>
      <c r="F249" s="291"/>
      <c r="G249" s="291"/>
      <c r="H249" s="291"/>
      <c r="I249" s="291"/>
      <c r="J249" s="291"/>
      <c r="K249" s="291"/>
      <c r="L249" s="291"/>
      <c r="M249" s="291"/>
      <c r="N249" s="291"/>
      <c r="O249" s="304"/>
      <c r="P249" s="301" t="s">
        <v>40</v>
      </c>
      <c r="Q249" s="302"/>
      <c r="R249" s="302"/>
      <c r="S249" s="302"/>
      <c r="T249" s="302"/>
      <c r="U249" s="302"/>
      <c r="V249" s="303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18" t="s">
        <v>272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54"/>
      <c r="AB250" s="54"/>
      <c r="AC250" s="54"/>
    </row>
    <row r="251" spans="1:68" ht="16.5" hidden="1" customHeight="1" x14ac:dyDescent="0.25">
      <c r="A251" s="319" t="s">
        <v>272</v>
      </c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65"/>
      <c r="AB251" s="65"/>
      <c r="AC251" s="82"/>
    </row>
    <row r="252" spans="1:68" ht="14.25" hidden="1" customHeight="1" x14ac:dyDescent="0.25">
      <c r="A252" s="312" t="s">
        <v>79</v>
      </c>
      <c r="B252" s="312"/>
      <c r="C252" s="312"/>
      <c r="D252" s="312"/>
      <c r="E252" s="312"/>
      <c r="F252" s="312"/>
      <c r="G252" s="312"/>
      <c r="H252" s="312"/>
      <c r="I252" s="312"/>
      <c r="J252" s="312"/>
      <c r="K252" s="312"/>
      <c r="L252" s="312"/>
      <c r="M252" s="312"/>
      <c r="N252" s="312"/>
      <c r="O252" s="312"/>
      <c r="P252" s="312"/>
      <c r="Q252" s="312"/>
      <c r="R252" s="312"/>
      <c r="S252" s="312"/>
      <c r="T252" s="312"/>
      <c r="U252" s="312"/>
      <c r="V252" s="312"/>
      <c r="W252" s="312"/>
      <c r="X252" s="312"/>
      <c r="Y252" s="312"/>
      <c r="Z252" s="312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294">
        <v>4640242181264</v>
      </c>
      <c r="E253" s="294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84</v>
      </c>
      <c r="L253" s="37" t="s">
        <v>85</v>
      </c>
      <c r="M253" s="38" t="s">
        <v>83</v>
      </c>
      <c r="N253" s="38"/>
      <c r="O253" s="37">
        <v>180</v>
      </c>
      <c r="P253" s="31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6"/>
      <c r="R253" s="296"/>
      <c r="S253" s="296"/>
      <c r="T253" s="297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86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4301071141</v>
      </c>
      <c r="D254" s="294">
        <v>4620207491980</v>
      </c>
      <c r="E254" s="294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84</v>
      </c>
      <c r="L254" s="37" t="s">
        <v>85</v>
      </c>
      <c r="M254" s="38" t="s">
        <v>83</v>
      </c>
      <c r="N254" s="38"/>
      <c r="O254" s="37">
        <v>180</v>
      </c>
      <c r="P254" s="315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6"/>
      <c r="R254" s="296"/>
      <c r="S254" s="296"/>
      <c r="T254" s="297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353</v>
      </c>
      <c r="AG254" s="81"/>
      <c r="AJ254" s="87" t="s">
        <v>86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304"/>
      <c r="P255" s="301" t="s">
        <v>40</v>
      </c>
      <c r="Q255" s="302"/>
      <c r="R255" s="302"/>
      <c r="S255" s="302"/>
      <c r="T255" s="302"/>
      <c r="U255" s="302"/>
      <c r="V255" s="303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291"/>
      <c r="B256" s="291"/>
      <c r="C256" s="291"/>
      <c r="D256" s="291"/>
      <c r="E256" s="291"/>
      <c r="F256" s="291"/>
      <c r="G256" s="291"/>
      <c r="H256" s="291"/>
      <c r="I256" s="291"/>
      <c r="J256" s="291"/>
      <c r="K256" s="291"/>
      <c r="L256" s="291"/>
      <c r="M256" s="291"/>
      <c r="N256" s="291"/>
      <c r="O256" s="304"/>
      <c r="P256" s="301" t="s">
        <v>40</v>
      </c>
      <c r="Q256" s="302"/>
      <c r="R256" s="302"/>
      <c r="S256" s="302"/>
      <c r="T256" s="302"/>
      <c r="U256" s="302"/>
      <c r="V256" s="303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12" t="s">
        <v>189</v>
      </c>
      <c r="B257" s="312"/>
      <c r="C257" s="312"/>
      <c r="D257" s="312"/>
      <c r="E257" s="312"/>
      <c r="F257" s="312"/>
      <c r="G257" s="312"/>
      <c r="H257" s="312"/>
      <c r="I257" s="312"/>
      <c r="J257" s="312"/>
      <c r="K257" s="312"/>
      <c r="L257" s="312"/>
      <c r="M257" s="312"/>
      <c r="N257" s="312"/>
      <c r="O257" s="312"/>
      <c r="P257" s="312"/>
      <c r="Q257" s="312"/>
      <c r="R257" s="312"/>
      <c r="S257" s="312"/>
      <c r="T257" s="312"/>
      <c r="U257" s="312"/>
      <c r="V257" s="312"/>
      <c r="W257" s="312"/>
      <c r="X257" s="312"/>
      <c r="Y257" s="312"/>
      <c r="Z257" s="312"/>
      <c r="AA257" s="66"/>
      <c r="AB257" s="66"/>
      <c r="AC257" s="83"/>
    </row>
    <row r="258" spans="1:68" ht="27" hidden="1" customHeight="1" x14ac:dyDescent="0.25">
      <c r="A258" s="63" t="s">
        <v>354</v>
      </c>
      <c r="B258" s="63" t="s">
        <v>355</v>
      </c>
      <c r="C258" s="36">
        <v>4301136116</v>
      </c>
      <c r="D258" s="294">
        <v>4620207492147</v>
      </c>
      <c r="E258" s="294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115</v>
      </c>
      <c r="L258" s="37" t="s">
        <v>85</v>
      </c>
      <c r="M258" s="38" t="s">
        <v>83</v>
      </c>
      <c r="N258" s="38"/>
      <c r="O258" s="37">
        <v>180</v>
      </c>
      <c r="P258" s="316" t="s">
        <v>356</v>
      </c>
      <c r="Q258" s="296"/>
      <c r="R258" s="296"/>
      <c r="S258" s="296"/>
      <c r="T258" s="29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192</v>
      </c>
      <c r="AG258" s="81"/>
      <c r="AJ258" s="87" t="s">
        <v>86</v>
      </c>
      <c r="AK258" s="87">
        <v>1</v>
      </c>
      <c r="BB258" s="260" t="s">
        <v>114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hidden="1" customHeight="1" x14ac:dyDescent="0.25">
      <c r="A259" s="63" t="s">
        <v>357</v>
      </c>
      <c r="B259" s="63" t="s">
        <v>358</v>
      </c>
      <c r="C259" s="36">
        <v>4301136112</v>
      </c>
      <c r="D259" s="294">
        <v>4620207492154</v>
      </c>
      <c r="E259" s="294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84</v>
      </c>
      <c r="L259" s="37" t="s">
        <v>85</v>
      </c>
      <c r="M259" s="38" t="s">
        <v>83</v>
      </c>
      <c r="N259" s="38"/>
      <c r="O259" s="37">
        <v>180</v>
      </c>
      <c r="P259" s="310" t="s">
        <v>359</v>
      </c>
      <c r="Q259" s="296"/>
      <c r="R259" s="296"/>
      <c r="S259" s="296"/>
      <c r="T259" s="297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192</v>
      </c>
      <c r="AG259" s="81"/>
      <c r="AJ259" s="87" t="s">
        <v>86</v>
      </c>
      <c r="AK259" s="87">
        <v>1</v>
      </c>
      <c r="BB259" s="262" t="s">
        <v>114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360</v>
      </c>
      <c r="B260" s="63" t="s">
        <v>361</v>
      </c>
      <c r="C260" s="36">
        <v>4301136114</v>
      </c>
      <c r="D260" s="294">
        <v>4620207492086</v>
      </c>
      <c r="E260" s="294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115</v>
      </c>
      <c r="L260" s="37" t="s">
        <v>85</v>
      </c>
      <c r="M260" s="38" t="s">
        <v>83</v>
      </c>
      <c r="N260" s="38"/>
      <c r="O260" s="37">
        <v>180</v>
      </c>
      <c r="P260" s="311" t="s">
        <v>362</v>
      </c>
      <c r="Q260" s="296"/>
      <c r="R260" s="296"/>
      <c r="S260" s="296"/>
      <c r="T260" s="297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192</v>
      </c>
      <c r="AG260" s="81"/>
      <c r="AJ260" s="87" t="s">
        <v>86</v>
      </c>
      <c r="AK260" s="87">
        <v>1</v>
      </c>
      <c r="BB260" s="264" t="s">
        <v>114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291"/>
      <c r="B261" s="291"/>
      <c r="C261" s="291"/>
      <c r="D261" s="291"/>
      <c r="E261" s="291"/>
      <c r="F261" s="291"/>
      <c r="G261" s="291"/>
      <c r="H261" s="291"/>
      <c r="I261" s="291"/>
      <c r="J261" s="291"/>
      <c r="K261" s="291"/>
      <c r="L261" s="291"/>
      <c r="M261" s="291"/>
      <c r="N261" s="291"/>
      <c r="O261" s="304"/>
      <c r="P261" s="301" t="s">
        <v>40</v>
      </c>
      <c r="Q261" s="302"/>
      <c r="R261" s="302"/>
      <c r="S261" s="302"/>
      <c r="T261" s="302"/>
      <c r="U261" s="302"/>
      <c r="V261" s="303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hidden="1" x14ac:dyDescent="0.2">
      <c r="A262" s="291"/>
      <c r="B262" s="291"/>
      <c r="C262" s="291"/>
      <c r="D262" s="291"/>
      <c r="E262" s="291"/>
      <c r="F262" s="291"/>
      <c r="G262" s="291"/>
      <c r="H262" s="291"/>
      <c r="I262" s="291"/>
      <c r="J262" s="291"/>
      <c r="K262" s="291"/>
      <c r="L262" s="291"/>
      <c r="M262" s="291"/>
      <c r="N262" s="291"/>
      <c r="O262" s="304"/>
      <c r="P262" s="301" t="s">
        <v>40</v>
      </c>
      <c r="Q262" s="302"/>
      <c r="R262" s="302"/>
      <c r="S262" s="302"/>
      <c r="T262" s="302"/>
      <c r="U262" s="302"/>
      <c r="V262" s="303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2" t="s">
        <v>161</v>
      </c>
      <c r="B263" s="312"/>
      <c r="C263" s="312"/>
      <c r="D263" s="312"/>
      <c r="E263" s="312"/>
      <c r="F263" s="312"/>
      <c r="G263" s="312"/>
      <c r="H263" s="312"/>
      <c r="I263" s="312"/>
      <c r="J263" s="312"/>
      <c r="K263" s="312"/>
      <c r="L263" s="312"/>
      <c r="M263" s="312"/>
      <c r="N263" s="312"/>
      <c r="O263" s="312"/>
      <c r="P263" s="312"/>
      <c r="Q263" s="312"/>
      <c r="R263" s="312"/>
      <c r="S263" s="312"/>
      <c r="T263" s="312"/>
      <c r="U263" s="312"/>
      <c r="V263" s="312"/>
      <c r="W263" s="312"/>
      <c r="X263" s="312"/>
      <c r="Y263" s="312"/>
      <c r="Z263" s="312"/>
      <c r="AA263" s="66"/>
      <c r="AB263" s="66"/>
      <c r="AC263" s="83"/>
    </row>
    <row r="264" spans="1:68" ht="16.5" customHeight="1" x14ac:dyDescent="0.25">
      <c r="A264" s="63" t="s">
        <v>363</v>
      </c>
      <c r="B264" s="63" t="s">
        <v>364</v>
      </c>
      <c r="C264" s="36">
        <v>4301137066</v>
      </c>
      <c r="D264" s="294">
        <v>4620207492109</v>
      </c>
      <c r="E264" s="29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84</v>
      </c>
      <c r="L264" s="37" t="s">
        <v>85</v>
      </c>
      <c r="M264" s="38" t="s">
        <v>83</v>
      </c>
      <c r="N264" s="38"/>
      <c r="O264" s="37">
        <v>180</v>
      </c>
      <c r="P264" s="313" t="s">
        <v>365</v>
      </c>
      <c r="Q264" s="296"/>
      <c r="R264" s="296"/>
      <c r="S264" s="296"/>
      <c r="T264" s="297"/>
      <c r="U264" s="39" t="s">
        <v>46</v>
      </c>
      <c r="V264" s="39" t="s">
        <v>46</v>
      </c>
      <c r="W264" s="40" t="s">
        <v>39</v>
      </c>
      <c r="X264" s="58">
        <v>252</v>
      </c>
      <c r="Y264" s="55">
        <f t="shared" ref="Y264:Y273" si="18">IFERROR(IF(X264="","",X264),"")</f>
        <v>252</v>
      </c>
      <c r="Z264" s="41">
        <f>IFERROR(IF(X264="","",X264*0.0155),"")</f>
        <v>3.9060000000000001</v>
      </c>
      <c r="AA264" s="68" t="s">
        <v>46</v>
      </c>
      <c r="AB264" s="69" t="s">
        <v>46</v>
      </c>
      <c r="AC264" s="265" t="s">
        <v>366</v>
      </c>
      <c r="AG264" s="81"/>
      <c r="AJ264" s="87" t="s">
        <v>86</v>
      </c>
      <c r="AK264" s="87">
        <v>1</v>
      </c>
      <c r="BB264" s="266" t="s">
        <v>114</v>
      </c>
      <c r="BM264" s="81">
        <f t="shared" ref="BM264:BM273" si="19">IFERROR(X264*I264,"0")</f>
        <v>1445.22</v>
      </c>
      <c r="BN264" s="81">
        <f t="shared" ref="BN264:BN273" si="20">IFERROR(Y264*I264,"0")</f>
        <v>1445.22</v>
      </c>
      <c r="BO264" s="81">
        <f t="shared" ref="BO264:BO273" si="21">IFERROR(X264/J264,"0")</f>
        <v>3</v>
      </c>
      <c r="BP264" s="81">
        <f t="shared" ref="BP264:BP273" si="22">IFERROR(Y264/J264,"0")</f>
        <v>3</v>
      </c>
    </row>
    <row r="265" spans="1:68" ht="37.5" hidden="1" customHeight="1" x14ac:dyDescent="0.25">
      <c r="A265" s="63" t="s">
        <v>367</v>
      </c>
      <c r="B265" s="63" t="s">
        <v>368</v>
      </c>
      <c r="C265" s="36">
        <v>4301137068</v>
      </c>
      <c r="D265" s="294">
        <v>4620207492161</v>
      </c>
      <c r="E265" s="29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115</v>
      </c>
      <c r="L265" s="37" t="s">
        <v>85</v>
      </c>
      <c r="M265" s="38" t="s">
        <v>83</v>
      </c>
      <c r="N265" s="38"/>
      <c r="O265" s="37">
        <v>180</v>
      </c>
      <c r="P265" s="305" t="s">
        <v>369</v>
      </c>
      <c r="Q265" s="296"/>
      <c r="R265" s="296"/>
      <c r="S265" s="296"/>
      <c r="T265" s="29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370</v>
      </c>
      <c r="AG265" s="81"/>
      <c r="AJ265" s="87" t="s">
        <v>86</v>
      </c>
      <c r="AK265" s="87">
        <v>1</v>
      </c>
      <c r="BB265" s="268" t="s">
        <v>114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371</v>
      </c>
      <c r="B266" s="63" t="s">
        <v>372</v>
      </c>
      <c r="C266" s="36">
        <v>4301137046</v>
      </c>
      <c r="D266" s="294">
        <v>4620207492093</v>
      </c>
      <c r="E266" s="29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115</v>
      </c>
      <c r="L266" s="37" t="s">
        <v>85</v>
      </c>
      <c r="M266" s="38" t="s">
        <v>83</v>
      </c>
      <c r="N266" s="38"/>
      <c r="O266" s="37">
        <v>180</v>
      </c>
      <c r="P266" s="306" t="s">
        <v>373</v>
      </c>
      <c r="Q266" s="296"/>
      <c r="R266" s="296"/>
      <c r="S266" s="296"/>
      <c r="T266" s="297"/>
      <c r="U266" s="39" t="s">
        <v>46</v>
      </c>
      <c r="V266" s="39" t="s">
        <v>46</v>
      </c>
      <c r="W266" s="40" t="s">
        <v>39</v>
      </c>
      <c r="X266" s="58">
        <v>315</v>
      </c>
      <c r="Y266" s="55">
        <f t="shared" si="18"/>
        <v>315</v>
      </c>
      <c r="Z266" s="41">
        <f>IFERROR(IF(X266="","",X266*0.00936),"")</f>
        <v>2.9483999999999999</v>
      </c>
      <c r="AA266" s="68" t="s">
        <v>46</v>
      </c>
      <c r="AB266" s="69" t="s">
        <v>46</v>
      </c>
      <c r="AC266" s="269" t="s">
        <v>374</v>
      </c>
      <c r="AG266" s="81"/>
      <c r="AJ266" s="87" t="s">
        <v>86</v>
      </c>
      <c r="AK266" s="87">
        <v>1</v>
      </c>
      <c r="BB266" s="270" t="s">
        <v>114</v>
      </c>
      <c r="BM266" s="81">
        <f t="shared" si="19"/>
        <v>1225.98</v>
      </c>
      <c r="BN266" s="81">
        <f t="shared" si="20"/>
        <v>1225.98</v>
      </c>
      <c r="BO266" s="81">
        <f t="shared" si="21"/>
        <v>2.5</v>
      </c>
      <c r="BP266" s="81">
        <f t="shared" si="22"/>
        <v>2.5</v>
      </c>
    </row>
    <row r="267" spans="1:68" ht="27" hidden="1" customHeight="1" x14ac:dyDescent="0.25">
      <c r="A267" s="63" t="s">
        <v>375</v>
      </c>
      <c r="B267" s="63" t="s">
        <v>376</v>
      </c>
      <c r="C267" s="36">
        <v>4301137072</v>
      </c>
      <c r="D267" s="294">
        <v>4620207492222</v>
      </c>
      <c r="E267" s="294"/>
      <c r="F267" s="62">
        <v>5</v>
      </c>
      <c r="G267" s="37">
        <v>1</v>
      </c>
      <c r="H267" s="62">
        <v>5</v>
      </c>
      <c r="I267" s="62">
        <v>5.23</v>
      </c>
      <c r="J267" s="37">
        <v>84</v>
      </c>
      <c r="K267" s="37" t="s">
        <v>84</v>
      </c>
      <c r="L267" s="37" t="s">
        <v>85</v>
      </c>
      <c r="M267" s="38" t="s">
        <v>83</v>
      </c>
      <c r="N267" s="38"/>
      <c r="O267" s="37">
        <v>180</v>
      </c>
      <c r="P267" s="307" t="s">
        <v>377</v>
      </c>
      <c r="Q267" s="296"/>
      <c r="R267" s="296"/>
      <c r="S267" s="296"/>
      <c r="T267" s="297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374</v>
      </c>
      <c r="AG267" s="81"/>
      <c r="AJ267" s="87" t="s">
        <v>86</v>
      </c>
      <c r="AK267" s="87">
        <v>1</v>
      </c>
      <c r="BB267" s="272" t="s">
        <v>114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378</v>
      </c>
      <c r="B268" s="63" t="s">
        <v>379</v>
      </c>
      <c r="C268" s="36">
        <v>4301137074</v>
      </c>
      <c r="D268" s="294">
        <v>4620207492116</v>
      </c>
      <c r="E268" s="294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115</v>
      </c>
      <c r="L268" s="37" t="s">
        <v>85</v>
      </c>
      <c r="M268" s="38" t="s">
        <v>83</v>
      </c>
      <c r="N268" s="38"/>
      <c r="O268" s="37">
        <v>180</v>
      </c>
      <c r="P268" s="308" t="s">
        <v>380</v>
      </c>
      <c r="Q268" s="296"/>
      <c r="R268" s="296"/>
      <c r="S268" s="296"/>
      <c r="T268" s="297"/>
      <c r="U268" s="39" t="s">
        <v>46</v>
      </c>
      <c r="V268" s="39" t="s">
        <v>46</v>
      </c>
      <c r="W268" s="40" t="s">
        <v>39</v>
      </c>
      <c r="X268" s="58">
        <v>189</v>
      </c>
      <c r="Y268" s="55">
        <f t="shared" si="18"/>
        <v>189</v>
      </c>
      <c r="Z268" s="41">
        <f t="shared" ref="Z268:Z273" si="23">IFERROR(IF(X268="","",X268*0.00936),"")</f>
        <v>1.7690399999999999</v>
      </c>
      <c r="AA268" s="68" t="s">
        <v>46</v>
      </c>
      <c r="AB268" s="69" t="s">
        <v>46</v>
      </c>
      <c r="AC268" s="273" t="s">
        <v>366</v>
      </c>
      <c r="AG268" s="81"/>
      <c r="AJ268" s="87" t="s">
        <v>86</v>
      </c>
      <c r="AK268" s="87">
        <v>1</v>
      </c>
      <c r="BB268" s="274" t="s">
        <v>114</v>
      </c>
      <c r="BM268" s="81">
        <f t="shared" si="19"/>
        <v>603.28800000000001</v>
      </c>
      <c r="BN268" s="81">
        <f t="shared" si="20"/>
        <v>603.28800000000001</v>
      </c>
      <c r="BO268" s="81">
        <f t="shared" si="21"/>
        <v>1.5</v>
      </c>
      <c r="BP268" s="81">
        <f t="shared" si="22"/>
        <v>1.5</v>
      </c>
    </row>
    <row r="269" spans="1:68" ht="37.5" customHeight="1" x14ac:dyDescent="0.25">
      <c r="A269" s="63" t="s">
        <v>381</v>
      </c>
      <c r="B269" s="63" t="s">
        <v>382</v>
      </c>
      <c r="C269" s="36">
        <v>4301137070</v>
      </c>
      <c r="D269" s="294">
        <v>4620207492123</v>
      </c>
      <c r="E269" s="294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115</v>
      </c>
      <c r="L269" s="37" t="s">
        <v>85</v>
      </c>
      <c r="M269" s="38" t="s">
        <v>83</v>
      </c>
      <c r="N269" s="38"/>
      <c r="O269" s="37">
        <v>180</v>
      </c>
      <c r="P269" s="309" t="s">
        <v>383</v>
      </c>
      <c r="Q269" s="296"/>
      <c r="R269" s="296"/>
      <c r="S269" s="296"/>
      <c r="T269" s="297"/>
      <c r="U269" s="39" t="s">
        <v>46</v>
      </c>
      <c r="V269" s="39" t="s">
        <v>46</v>
      </c>
      <c r="W269" s="40" t="s">
        <v>39</v>
      </c>
      <c r="X269" s="58">
        <v>17</v>
      </c>
      <c r="Y269" s="55">
        <f t="shared" si="18"/>
        <v>17</v>
      </c>
      <c r="Z269" s="41">
        <f t="shared" si="23"/>
        <v>0.15912000000000001</v>
      </c>
      <c r="AA269" s="68" t="s">
        <v>46</v>
      </c>
      <c r="AB269" s="69" t="s">
        <v>46</v>
      </c>
      <c r="AC269" s="275" t="s">
        <v>370</v>
      </c>
      <c r="AG269" s="81"/>
      <c r="AJ269" s="87" t="s">
        <v>86</v>
      </c>
      <c r="AK269" s="87">
        <v>1</v>
      </c>
      <c r="BB269" s="276" t="s">
        <v>114</v>
      </c>
      <c r="BM269" s="81">
        <f t="shared" si="19"/>
        <v>66.164000000000001</v>
      </c>
      <c r="BN269" s="81">
        <f t="shared" si="20"/>
        <v>66.164000000000001</v>
      </c>
      <c r="BO269" s="81">
        <f t="shared" si="21"/>
        <v>0.13492063492063491</v>
      </c>
      <c r="BP269" s="81">
        <f t="shared" si="22"/>
        <v>0.13492063492063491</v>
      </c>
    </row>
    <row r="270" spans="1:68" ht="37.5" hidden="1" customHeight="1" x14ac:dyDescent="0.25">
      <c r="A270" s="63" t="s">
        <v>384</v>
      </c>
      <c r="B270" s="63" t="s">
        <v>385</v>
      </c>
      <c r="C270" s="36">
        <v>4301137078</v>
      </c>
      <c r="D270" s="294">
        <v>4620207492130</v>
      </c>
      <c r="E270" s="294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115</v>
      </c>
      <c r="L270" s="37" t="s">
        <v>85</v>
      </c>
      <c r="M270" s="38" t="s">
        <v>83</v>
      </c>
      <c r="N270" s="38"/>
      <c r="O270" s="37">
        <v>180</v>
      </c>
      <c r="P270" s="295" t="s">
        <v>386</v>
      </c>
      <c r="Q270" s="296"/>
      <c r="R270" s="296"/>
      <c r="S270" s="296"/>
      <c r="T270" s="29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370</v>
      </c>
      <c r="AG270" s="81"/>
      <c r="AJ270" s="87" t="s">
        <v>86</v>
      </c>
      <c r="AK270" s="87">
        <v>1</v>
      </c>
      <c r="BB270" s="278" t="s">
        <v>114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387</v>
      </c>
      <c r="B271" s="63" t="s">
        <v>388</v>
      </c>
      <c r="C271" s="36">
        <v>4301137092</v>
      </c>
      <c r="D271" s="294">
        <v>4620207491942</v>
      </c>
      <c r="E271" s="294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115</v>
      </c>
      <c r="L271" s="37" t="s">
        <v>85</v>
      </c>
      <c r="M271" s="38" t="s">
        <v>83</v>
      </c>
      <c r="N271" s="38"/>
      <c r="O271" s="37">
        <v>180</v>
      </c>
      <c r="P271" s="298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1" s="296"/>
      <c r="R271" s="296"/>
      <c r="S271" s="296"/>
      <c r="T271" s="29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370</v>
      </c>
      <c r="AG271" s="81"/>
      <c r="AJ271" s="87" t="s">
        <v>86</v>
      </c>
      <c r="AK271" s="87">
        <v>1</v>
      </c>
      <c r="BB271" s="280" t="s">
        <v>114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389</v>
      </c>
      <c r="B272" s="63" t="s">
        <v>390</v>
      </c>
      <c r="C272" s="36">
        <v>4301137014</v>
      </c>
      <c r="D272" s="294">
        <v>4620207491911</v>
      </c>
      <c r="E272" s="294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115</v>
      </c>
      <c r="L272" s="37" t="s">
        <v>85</v>
      </c>
      <c r="M272" s="38" t="s">
        <v>83</v>
      </c>
      <c r="N272" s="38"/>
      <c r="O272" s="37">
        <v>180</v>
      </c>
      <c r="P272" s="299" t="s">
        <v>391</v>
      </c>
      <c r="Q272" s="296"/>
      <c r="R272" s="296"/>
      <c r="S272" s="296"/>
      <c r="T272" s="297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374</v>
      </c>
      <c r="AG272" s="81"/>
      <c r="AJ272" s="87" t="s">
        <v>86</v>
      </c>
      <c r="AK272" s="87">
        <v>1</v>
      </c>
      <c r="BB272" s="282" t="s">
        <v>114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392</v>
      </c>
      <c r="B273" s="63" t="s">
        <v>393</v>
      </c>
      <c r="C273" s="36">
        <v>4301137012</v>
      </c>
      <c r="D273" s="294">
        <v>4620207491935</v>
      </c>
      <c r="E273" s="294"/>
      <c r="F273" s="62">
        <v>0.3</v>
      </c>
      <c r="G273" s="37">
        <v>9</v>
      </c>
      <c r="H273" s="62">
        <v>2.7</v>
      </c>
      <c r="I273" s="62">
        <v>2.9249999999999998</v>
      </c>
      <c r="J273" s="37">
        <v>126</v>
      </c>
      <c r="K273" s="37" t="s">
        <v>115</v>
      </c>
      <c r="L273" s="37" t="s">
        <v>85</v>
      </c>
      <c r="M273" s="38" t="s">
        <v>83</v>
      </c>
      <c r="N273" s="38"/>
      <c r="O273" s="37">
        <v>180</v>
      </c>
      <c r="P273" s="30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3" s="296"/>
      <c r="R273" s="296"/>
      <c r="S273" s="296"/>
      <c r="T273" s="297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83" t="s">
        <v>366</v>
      </c>
      <c r="AG273" s="81"/>
      <c r="AJ273" s="87" t="s">
        <v>86</v>
      </c>
      <c r="AK273" s="87">
        <v>1</v>
      </c>
      <c r="BB273" s="284" t="s">
        <v>114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291"/>
      <c r="B274" s="291"/>
      <c r="C274" s="291"/>
      <c r="D274" s="291"/>
      <c r="E274" s="291"/>
      <c r="F274" s="291"/>
      <c r="G274" s="291"/>
      <c r="H274" s="291"/>
      <c r="I274" s="291"/>
      <c r="J274" s="291"/>
      <c r="K274" s="291"/>
      <c r="L274" s="291"/>
      <c r="M274" s="291"/>
      <c r="N274" s="291"/>
      <c r="O274" s="304"/>
      <c r="P274" s="301" t="s">
        <v>40</v>
      </c>
      <c r="Q274" s="302"/>
      <c r="R274" s="302"/>
      <c r="S274" s="302"/>
      <c r="T274" s="302"/>
      <c r="U274" s="302"/>
      <c r="V274" s="303"/>
      <c r="W274" s="42" t="s">
        <v>39</v>
      </c>
      <c r="X274" s="43">
        <f>IFERROR(SUM(X264:X273),"0")</f>
        <v>773</v>
      </c>
      <c r="Y274" s="43">
        <f>IFERROR(SUM(Y264:Y273),"0")</f>
        <v>773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8.7825600000000001</v>
      </c>
      <c r="AA274" s="67"/>
      <c r="AB274" s="67"/>
      <c r="AC274" s="67"/>
    </row>
    <row r="275" spans="1:68" x14ac:dyDescent="0.2">
      <c r="A275" s="291"/>
      <c r="B275" s="291"/>
      <c r="C275" s="291"/>
      <c r="D275" s="291"/>
      <c r="E275" s="291"/>
      <c r="F275" s="291"/>
      <c r="G275" s="291"/>
      <c r="H275" s="291"/>
      <c r="I275" s="291"/>
      <c r="J275" s="291"/>
      <c r="K275" s="291"/>
      <c r="L275" s="291"/>
      <c r="M275" s="291"/>
      <c r="N275" s="291"/>
      <c r="O275" s="304"/>
      <c r="P275" s="301" t="s">
        <v>40</v>
      </c>
      <c r="Q275" s="302"/>
      <c r="R275" s="302"/>
      <c r="S275" s="302"/>
      <c r="T275" s="302"/>
      <c r="U275" s="302"/>
      <c r="V275" s="303"/>
      <c r="W275" s="42" t="s">
        <v>0</v>
      </c>
      <c r="X275" s="43">
        <f>IFERROR(SUMPRODUCT(X264:X273*H264:H273),"0")</f>
        <v>3181.4</v>
      </c>
      <c r="Y275" s="43">
        <f>IFERROR(SUMPRODUCT(Y264:Y273*H264:H273),"0")</f>
        <v>3181.4</v>
      </c>
      <c r="Z275" s="42"/>
      <c r="AA275" s="67"/>
      <c r="AB275" s="67"/>
      <c r="AC275" s="67"/>
    </row>
    <row r="276" spans="1:68" ht="15" customHeight="1" x14ac:dyDescent="0.2">
      <c r="A276" s="291"/>
      <c r="B276" s="291"/>
      <c r="C276" s="291"/>
      <c r="D276" s="291"/>
      <c r="E276" s="291"/>
      <c r="F276" s="291"/>
      <c r="G276" s="291"/>
      <c r="H276" s="291"/>
      <c r="I276" s="291"/>
      <c r="J276" s="291"/>
      <c r="K276" s="291"/>
      <c r="L276" s="291"/>
      <c r="M276" s="291"/>
      <c r="N276" s="291"/>
      <c r="O276" s="292"/>
      <c r="P276" s="288" t="s">
        <v>33</v>
      </c>
      <c r="Q276" s="289"/>
      <c r="R276" s="289"/>
      <c r="S276" s="289"/>
      <c r="T276" s="289"/>
      <c r="U276" s="289"/>
      <c r="V276" s="290"/>
      <c r="W276" s="42" t="s">
        <v>0</v>
      </c>
      <c r="X276" s="43">
        <f>IFERROR(X31+X37+X44+X50+X58+X67+X73+X78+X84+X94+X100+X111+X115+X119+X124+X131+X137+X143+X149+X155+X160+X165+X170+X176+X180+X186+X191+X200+X206+X212+X218+X223+X229+X235+X239+X245+X249+X256+X262+X275,"0")</f>
        <v>12372.38</v>
      </c>
      <c r="Y276" s="43">
        <f>IFERROR(Y31+Y37+Y44+Y50+Y58+Y67+Y73+Y78+Y84+Y94+Y100+Y111+Y115+Y119+Y124+Y131+Y137+Y143+Y149+Y155+Y160+Y165+Y170+Y176+Y180+Y186+Y191+Y200+Y206+Y212+Y218+Y223+Y229+Y235+Y239+Y245+Y249+Y256+Y262+Y275,"0")</f>
        <v>12372.38</v>
      </c>
      <c r="Z276" s="42"/>
      <c r="AA276" s="67"/>
      <c r="AB276" s="67"/>
      <c r="AC276" s="67"/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2"/>
      <c r="P277" s="288" t="s">
        <v>34</v>
      </c>
      <c r="Q277" s="289"/>
      <c r="R277" s="289"/>
      <c r="S277" s="289"/>
      <c r="T277" s="289"/>
      <c r="U277" s="289"/>
      <c r="V277" s="290"/>
      <c r="W277" s="42" t="s">
        <v>0</v>
      </c>
      <c r="X277" s="43">
        <f>IFERROR(SUM(BM22:BM273),"0")</f>
        <v>13657.8532</v>
      </c>
      <c r="Y277" s="43">
        <f>IFERROR(SUM(BN22:BN273),"0")</f>
        <v>13657.8532</v>
      </c>
      <c r="Z277" s="42"/>
      <c r="AA277" s="67"/>
      <c r="AB277" s="67"/>
      <c r="AC277" s="67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2"/>
      <c r="P278" s="288" t="s">
        <v>35</v>
      </c>
      <c r="Q278" s="289"/>
      <c r="R278" s="289"/>
      <c r="S278" s="289"/>
      <c r="T278" s="289"/>
      <c r="U278" s="289"/>
      <c r="V278" s="290"/>
      <c r="W278" s="42" t="s">
        <v>20</v>
      </c>
      <c r="X278" s="44">
        <f>ROUNDUP(SUM(BO22:BO273),0)</f>
        <v>37</v>
      </c>
      <c r="Y278" s="44">
        <f>ROUNDUP(SUM(BP22:BP273),0)</f>
        <v>37</v>
      </c>
      <c r="Z278" s="42"/>
      <c r="AA278" s="67"/>
      <c r="AB278" s="67"/>
      <c r="AC278" s="67"/>
    </row>
    <row r="279" spans="1:68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2"/>
      <c r="P279" s="288" t="s">
        <v>36</v>
      </c>
      <c r="Q279" s="289"/>
      <c r="R279" s="289"/>
      <c r="S279" s="289"/>
      <c r="T279" s="289"/>
      <c r="U279" s="289"/>
      <c r="V279" s="290"/>
      <c r="W279" s="42" t="s">
        <v>0</v>
      </c>
      <c r="X279" s="43">
        <f>GrossWeightTotal+PalletQtyTotal*25</f>
        <v>14582.8532</v>
      </c>
      <c r="Y279" s="43">
        <f>GrossWeightTotalR+PalletQtyTotalR*25</f>
        <v>14582.8532</v>
      </c>
      <c r="Z279" s="42"/>
      <c r="AA279" s="67"/>
      <c r="AB279" s="67"/>
      <c r="AC279" s="67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2"/>
      <c r="P280" s="288" t="s">
        <v>37</v>
      </c>
      <c r="Q280" s="289"/>
      <c r="R280" s="289"/>
      <c r="S280" s="289"/>
      <c r="T280" s="289"/>
      <c r="U280" s="289"/>
      <c r="V280" s="290"/>
      <c r="W280" s="42" t="s">
        <v>20</v>
      </c>
      <c r="X280" s="43">
        <f>IFERROR(X30+X36+X43+X49+X57+X66+X72+X77+X83+X93+X99+X110+X114+X118+X123+X130+X136+X142+X148+X154+X159+X164+X169+X175+X179+X185+X190+X199+X205+X211+X217+X222+X228+X234+X238+X244+X248+X255+X261+X274,"0")</f>
        <v>3442</v>
      </c>
      <c r="Y280" s="43">
        <f>IFERROR(Y30+Y36+Y43+Y49+Y57+Y66+Y72+Y77+Y83+Y93+Y99+Y110+Y114+Y118+Y123+Y130+Y136+Y142+Y148+Y154+Y159+Y164+Y169+Y175+Y179+Y185+Y190+Y199+Y205+Y211+Y217+Y222+Y228+Y234+Y238+Y244+Y248+Y255+Y261+Y274,"0")</f>
        <v>3442</v>
      </c>
      <c r="Z280" s="42"/>
      <c r="AA280" s="67"/>
      <c r="AB280" s="67"/>
      <c r="AC280" s="67"/>
    </row>
    <row r="281" spans="1:68" ht="14.25" hidden="1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2"/>
      <c r="P281" s="288" t="s">
        <v>38</v>
      </c>
      <c r="Q281" s="289"/>
      <c r="R281" s="289"/>
      <c r="S281" s="289"/>
      <c r="T281" s="289"/>
      <c r="U281" s="289"/>
      <c r="V281" s="290"/>
      <c r="W281" s="45" t="s">
        <v>52</v>
      </c>
      <c r="X281" s="42"/>
      <c r="Y281" s="42"/>
      <c r="Z281" s="42">
        <f>IFERROR(Z30+Z36+Z43+Z49+Z57+Z66+Z72+Z77+Z83+Z93+Z99+Z110+Z114+Z118+Z123+Z130+Z136+Z142+Z148+Z154+Z159+Z164+Z169+Z175+Z179+Z185+Z190+Z199+Z205+Z211+Z217+Z222+Z228+Z234+Z238+Z244+Z248+Z255+Z261+Z274,"0")</f>
        <v>45.620679999999993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285" t="s">
        <v>78</v>
      </c>
      <c r="C283" s="285" t="s">
        <v>78</v>
      </c>
      <c r="D283" s="285" t="s">
        <v>45</v>
      </c>
      <c r="E283" s="285" t="s">
        <v>45</v>
      </c>
      <c r="F283" s="285" t="s">
        <v>45</v>
      </c>
      <c r="G283" s="285" t="s">
        <v>45</v>
      </c>
      <c r="H283" s="285" t="s">
        <v>45</v>
      </c>
      <c r="I283" s="285" t="s">
        <v>45</v>
      </c>
      <c r="J283" s="285" t="s">
        <v>45</v>
      </c>
      <c r="K283" s="285" t="s">
        <v>45</v>
      </c>
      <c r="L283" s="285" t="s">
        <v>45</v>
      </c>
      <c r="M283" s="285" t="s">
        <v>45</v>
      </c>
      <c r="N283" s="293"/>
      <c r="O283" s="285" t="s">
        <v>45</v>
      </c>
      <c r="P283" s="285" t="s">
        <v>45</v>
      </c>
      <c r="Q283" s="285" t="s">
        <v>45</v>
      </c>
      <c r="R283" s="285" t="s">
        <v>45</v>
      </c>
      <c r="S283" s="285" t="s">
        <v>45</v>
      </c>
      <c r="T283" s="285" t="s">
        <v>45</v>
      </c>
      <c r="U283" s="285" t="s">
        <v>45</v>
      </c>
      <c r="V283" s="285" t="s">
        <v>271</v>
      </c>
      <c r="W283" s="285" t="s">
        <v>271</v>
      </c>
      <c r="X283" s="285" t="s">
        <v>271</v>
      </c>
      <c r="Y283" s="88" t="s">
        <v>289</v>
      </c>
      <c r="Z283" s="285" t="s">
        <v>303</v>
      </c>
      <c r="AA283" s="285" t="s">
        <v>303</v>
      </c>
      <c r="AB283" s="285" t="s">
        <v>303</v>
      </c>
      <c r="AC283" s="88" t="s">
        <v>328</v>
      </c>
      <c r="AD283" s="88" t="s">
        <v>333</v>
      </c>
      <c r="AE283" s="88" t="s">
        <v>341</v>
      </c>
      <c r="AF283" s="88" t="s">
        <v>272</v>
      </c>
    </row>
    <row r="284" spans="1:68" ht="14.25" customHeight="1" thickTop="1" x14ac:dyDescent="0.2">
      <c r="A284" s="286" t="s">
        <v>10</v>
      </c>
      <c r="B284" s="285" t="s">
        <v>78</v>
      </c>
      <c r="C284" s="285" t="s">
        <v>103</v>
      </c>
      <c r="D284" s="285" t="s">
        <v>109</v>
      </c>
      <c r="E284" s="285" t="s">
        <v>120</v>
      </c>
      <c r="F284" s="285" t="s">
        <v>127</v>
      </c>
      <c r="G284" s="285" t="s">
        <v>138</v>
      </c>
      <c r="H284" s="285" t="s">
        <v>153</v>
      </c>
      <c r="I284" s="285" t="s">
        <v>160</v>
      </c>
      <c r="J284" s="285" t="s">
        <v>165</v>
      </c>
      <c r="K284" s="285" t="s">
        <v>173</v>
      </c>
      <c r="L284" s="285" t="s">
        <v>188</v>
      </c>
      <c r="M284" s="285" t="s">
        <v>195</v>
      </c>
      <c r="N284" s="1"/>
      <c r="O284" s="285" t="s">
        <v>221</v>
      </c>
      <c r="P284" s="285" t="s">
        <v>243</v>
      </c>
      <c r="Q284" s="285" t="s">
        <v>249</v>
      </c>
      <c r="R284" s="285" t="s">
        <v>255</v>
      </c>
      <c r="S284" s="285" t="s">
        <v>261</v>
      </c>
      <c r="T284" s="285" t="s">
        <v>264</v>
      </c>
      <c r="U284" s="285" t="s">
        <v>268</v>
      </c>
      <c r="V284" s="285" t="s">
        <v>272</v>
      </c>
      <c r="W284" s="285" t="s">
        <v>279</v>
      </c>
      <c r="X284" s="285" t="s">
        <v>286</v>
      </c>
      <c r="Y284" s="285" t="s">
        <v>290</v>
      </c>
      <c r="Z284" s="285" t="s">
        <v>304</v>
      </c>
      <c r="AA284" s="285" t="s">
        <v>317</v>
      </c>
      <c r="AB284" s="285" t="s">
        <v>324</v>
      </c>
      <c r="AC284" s="285" t="s">
        <v>329</v>
      </c>
      <c r="AD284" s="285" t="s">
        <v>334</v>
      </c>
      <c r="AE284" s="285" t="s">
        <v>341</v>
      </c>
      <c r="AF284" s="285" t="s">
        <v>272</v>
      </c>
    </row>
    <row r="285" spans="1:68" ht="13.5" thickBot="1" x14ac:dyDescent="0.25">
      <c r="A285" s="287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1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B285" s="285"/>
      <c r="AC285" s="285"/>
      <c r="AD285" s="285"/>
      <c r="AE285" s="285"/>
      <c r="AF285" s="285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273</v>
      </c>
      <c r="E286" s="52">
        <f>IFERROR(X47*H47,"0")+IFERROR(X48*H48,"0")</f>
        <v>201.59999999999997</v>
      </c>
      <c r="F286" s="52">
        <f>IFERROR(X53*H53,"0")+IFERROR(X54*H54,"0")+IFERROR(X55*H55,"0")+IFERROR(X56*H56,"0")</f>
        <v>160.80000000000001</v>
      </c>
      <c r="G286" s="52">
        <f>IFERROR(X61*H61,"0")+IFERROR(X62*H62,"0")+IFERROR(X63*H63,"0")+IFERROR(X64*H64,"0")+IFERROR(X65*H65,"0")</f>
        <v>0</v>
      </c>
      <c r="H286" s="52">
        <f>IFERROR(X70*H70,"0")+IFERROR(X71*H71,"0")</f>
        <v>0</v>
      </c>
      <c r="I286" s="52">
        <f>IFERROR(X76*H76,"0")</f>
        <v>118.8</v>
      </c>
      <c r="J286" s="52">
        <f>IFERROR(X81*H81,"0")+IFERROR(X82*H82,"0")</f>
        <v>504</v>
      </c>
      <c r="K286" s="52">
        <f>IFERROR(X87*H87,"0")+IFERROR(X88*H88,"0")+IFERROR(X89*H89,"0")+IFERROR(X90*H90,"0")+IFERROR(X91*H91,"0")+IFERROR(X92*H92,"0")</f>
        <v>804.72</v>
      </c>
      <c r="L286" s="52">
        <f>IFERROR(X97*H97,"0")+IFERROR(X98*H98,"0")</f>
        <v>0</v>
      </c>
      <c r="M286" s="52">
        <f>IFERROR(X103*H103,"0")+IFERROR(X104*H104,"0")+IFERROR(X105*H105,"0")+IFERROR(X106*H106,"0")+IFERROR(X107*H107,"0")+IFERROR(X108*H108,"0")+IFERROR(X109*H109,"0")+IFERROR(X113*H113,"0")+IFERROR(X117*H117,"0")</f>
        <v>1495.6799999999998</v>
      </c>
      <c r="N286" s="1"/>
      <c r="O286" s="52">
        <f>IFERROR(X122*H122,"0")+IFERROR(X126*H126,"0")+IFERROR(X127*H127,"0")+IFERROR(X128*H128,"0")+IFERROR(X129*H129,"0")+IFERROR(X133*H133,"0")+IFERROR(X134*H134,"0")+IFERROR(X135*H135,"0")</f>
        <v>230.7</v>
      </c>
      <c r="P286" s="52">
        <f>IFERROR(X140*H140,"0")+IFERROR(X141*H141,"0")</f>
        <v>840</v>
      </c>
      <c r="Q286" s="52">
        <f>IFERROR(X146*H146,"0")+IFERROR(X147*H147,"0")</f>
        <v>210</v>
      </c>
      <c r="R286" s="52">
        <f>IFERROR(X152*H152,"0")+IFERROR(X153*H153,"0")</f>
        <v>247.2</v>
      </c>
      <c r="S286" s="52">
        <f>IFERROR(X158*H158,"0")</f>
        <v>69</v>
      </c>
      <c r="T286" s="52">
        <f>IFERROR(X163*H163,"0")</f>
        <v>75.600000000000009</v>
      </c>
      <c r="U286" s="52">
        <f>IFERROR(X168*H168,"0")</f>
        <v>235.2</v>
      </c>
      <c r="V286" s="52">
        <f>IFERROR(X174*H174,"0")+IFERROR(X178*H178,"0")</f>
        <v>3339</v>
      </c>
      <c r="W286" s="52">
        <f>IFERROR(X183*H183,"0")+IFERROR(X184*H184,"0")</f>
        <v>0</v>
      </c>
      <c r="X286" s="52">
        <f>IFERROR(X189*H189,"0")</f>
        <v>0</v>
      </c>
      <c r="Y286" s="52">
        <f>IFERROR(X195*H195,"0")+IFERROR(X196*H196,"0")+IFERROR(X197*H197,"0")+IFERROR(X198*H198,"0")</f>
        <v>385.68</v>
      </c>
      <c r="Z286" s="52">
        <f>IFERROR(X204*H204,"0")+IFERROR(X208*H208,"0")+IFERROR(X209*H209,"0")+IFERROR(X210*H210,"0")</f>
        <v>0</v>
      </c>
      <c r="AA286" s="52">
        <f>IFERROR(X215*H215,"0")+IFERROR(X216*H216,"0")</f>
        <v>0</v>
      </c>
      <c r="AB286" s="52">
        <f>IFERROR(X221*H221,"0")</f>
        <v>0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IFERROR(X243*H243,"0")+IFERROR(X247*H247,"0")</f>
        <v>0</v>
      </c>
      <c r="AF286" s="52">
        <f>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3181.4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1800</v>
      </c>
      <c r="B289" s="72">
        <f>SUMPRODUCT(--(BB:BB="ПГП"),--(W:W="кор"),H:H,Y:Y)+SUMPRODUCT(--(BB:BB="ПГП"),--(W:W="кг"),Y:Y)</f>
        <v>10572.38</v>
      </c>
      <c r="C289" s="72">
        <f>SUMPRODUCT(--(BB:BB="КИЗ"),--(W:W="кор"),H:H,Y:Y)+SUMPRODUCT(--(BB:BB="КИЗ"),--(W:W="кг"),Y:Y)</f>
        <v>0</v>
      </c>
    </row>
  </sheetData>
  <sheetProtection algorithmName="SHA-512" hashValue="TtnAIELcm23c9KiiOVIgrEdzK+xrbbWVMoI2+24xId+9+4qKD/BXHAAmyV4BvkiDX1s1RWM24OMuYjd4EynYnw==" saltValue="WZ8hHzunnwj8YllOrTUJWw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96,00"/>
        <filter val="1 437,60"/>
        <filter val="103,00"/>
        <filter val="118,80"/>
        <filter val="12,00"/>
        <filter val="13 794,12"/>
        <filter val="130,00"/>
        <filter val="136,00"/>
        <filter val="14,00"/>
        <filter val="140,00"/>
        <filter val="149,00"/>
        <filter val="15 212,54"/>
        <filter val="152,00"/>
        <filter val="16 237,54"/>
        <filter val="160,80"/>
        <filter val="168,00"/>
        <filter val="169,00"/>
        <filter val="17,00"/>
        <filter val="18,00"/>
        <filter val="185,34"/>
        <filter val="2 497,50"/>
        <filter val="201,60"/>
        <filter val="210,00"/>
        <filter val="216,00"/>
        <filter val="22,00"/>
        <filter val="223,00"/>
        <filter val="224,00"/>
        <filter val="23,00"/>
        <filter val="24,00"/>
        <filter val="247,20"/>
        <filter val="250,32"/>
        <filter val="263,00"/>
        <filter val="28,00"/>
        <filter val="286,00"/>
        <filter val="3 806,40"/>
        <filter val="3 839,00"/>
        <filter val="30,00"/>
        <filter val="321,00"/>
        <filter val="33,00"/>
        <filter val="336,00"/>
        <filter val="36,00"/>
        <filter val="38,00"/>
        <filter val="385,68"/>
        <filter val="39,00"/>
        <filter val="41"/>
        <filter val="42,00"/>
        <filter val="440,00"/>
        <filter val="45,36"/>
        <filter val="49,00"/>
        <filter val="54,00"/>
        <filter val="56,00"/>
        <filter val="58,08"/>
        <filter val="59,00"/>
        <filter val="6,00"/>
        <filter val="604,80"/>
        <filter val="675,00"/>
        <filter val="69,00"/>
        <filter val="70,00"/>
        <filter val="72,00"/>
        <filter val="75,60"/>
        <filter val="84,00"/>
        <filter val="845,04"/>
        <filter val="943,00"/>
        <filter val="963,00"/>
        <filter val="98,00"/>
      </filters>
    </filterColumn>
    <filterColumn colId="29" showButton="0"/>
    <filterColumn colId="30" showButton="0"/>
  </autoFilter>
  <dataConsolidate/>
  <mergeCells count="5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T284:T285"/>
    <mergeCell ref="U284:U285"/>
    <mergeCell ref="V284:V285"/>
    <mergeCell ref="W284:W285"/>
    <mergeCell ref="X284:X285"/>
    <mergeCell ref="P276:V276"/>
    <mergeCell ref="A276:O281"/>
    <mergeCell ref="P277:V277"/>
    <mergeCell ref="P278:V278"/>
    <mergeCell ref="P279:V279"/>
    <mergeCell ref="P280:V280"/>
    <mergeCell ref="P281:V281"/>
    <mergeCell ref="B283:C283"/>
    <mergeCell ref="D283:U283"/>
    <mergeCell ref="V283:X283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Y284:Y285"/>
    <mergeCell ref="Z284:Z285"/>
    <mergeCell ref="AA284:AA285"/>
    <mergeCell ref="AB284:AB285"/>
    <mergeCell ref="AC284:AC285"/>
    <mergeCell ref="AD284:AD285"/>
    <mergeCell ref="AE284:AE285"/>
    <mergeCell ref="AF284:AF285"/>
    <mergeCell ref="Z283:AB28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73 X258:X260 X253:X254 X247 X243 X237 X233 X227 X215:X216 X208 X198 X189 X183 X178 X174 X168 X158 X152:X153 X146:X147 X140:X141 X133:X135 X126:X129 X122 X117 X113 X107:X109 X104 X97:X98 X88:X92 X76 X70 X61:X65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1 X209:X210 X204 X195:X197 X184 X163 X105:X106 X103 X87 X81:X82 X71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394</v>
      </c>
      <c r="H1" s="9"/>
    </row>
    <row r="3" spans="2:8" x14ac:dyDescent="0.2">
      <c r="B3" s="53" t="s">
        <v>395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397</v>
      </c>
      <c r="C6" s="53" t="s">
        <v>398</v>
      </c>
      <c r="D6" s="53" t="s">
        <v>399</v>
      </c>
      <c r="E6" s="53" t="s">
        <v>46</v>
      </c>
    </row>
    <row r="7" spans="2:8" x14ac:dyDescent="0.2">
      <c r="B7" s="53" t="s">
        <v>400</v>
      </c>
      <c r="C7" s="53" t="s">
        <v>401</v>
      </c>
      <c r="D7" s="53" t="s">
        <v>402</v>
      </c>
      <c r="E7" s="53" t="s">
        <v>46</v>
      </c>
    </row>
    <row r="8" spans="2:8" x14ac:dyDescent="0.2">
      <c r="B8" s="53" t="s">
        <v>403</v>
      </c>
      <c r="C8" s="53" t="s">
        <v>404</v>
      </c>
      <c r="D8" s="53" t="s">
        <v>405</v>
      </c>
      <c r="E8" s="53" t="s">
        <v>46</v>
      </c>
    </row>
    <row r="9" spans="2:8" x14ac:dyDescent="0.2">
      <c r="B9" s="53" t="s">
        <v>406</v>
      </c>
      <c r="C9" s="53" t="s">
        <v>407</v>
      </c>
      <c r="D9" s="53" t="s">
        <v>408</v>
      </c>
      <c r="E9" s="53" t="s">
        <v>46</v>
      </c>
    </row>
    <row r="10" spans="2:8" x14ac:dyDescent="0.2">
      <c r="B10" s="53" t="s">
        <v>409</v>
      </c>
      <c r="C10" s="53" t="s">
        <v>410</v>
      </c>
      <c r="D10" s="53" t="s">
        <v>411</v>
      </c>
      <c r="E10" s="53" t="s">
        <v>46</v>
      </c>
    </row>
    <row r="11" spans="2:8" x14ac:dyDescent="0.2">
      <c r="B11" s="53" t="s">
        <v>412</v>
      </c>
      <c r="C11" s="53" t="s">
        <v>413</v>
      </c>
      <c r="D11" s="53" t="s">
        <v>414</v>
      </c>
      <c r="E11" s="53" t="s">
        <v>46</v>
      </c>
    </row>
    <row r="13" spans="2:8" x14ac:dyDescent="0.2">
      <c r="B13" s="53" t="s">
        <v>415</v>
      </c>
      <c r="C13" s="53" t="s">
        <v>398</v>
      </c>
      <c r="D13" s="53" t="s">
        <v>46</v>
      </c>
      <c r="E13" s="53" t="s">
        <v>46</v>
      </c>
    </row>
    <row r="15" spans="2:8" x14ac:dyDescent="0.2">
      <c r="B15" s="53" t="s">
        <v>416</v>
      </c>
      <c r="C15" s="53" t="s">
        <v>401</v>
      </c>
      <c r="D15" s="53" t="s">
        <v>46</v>
      </c>
      <c r="E15" s="53" t="s">
        <v>46</v>
      </c>
    </row>
    <row r="17" spans="2:5" x14ac:dyDescent="0.2">
      <c r="B17" s="53" t="s">
        <v>417</v>
      </c>
      <c r="C17" s="53" t="s">
        <v>404</v>
      </c>
      <c r="D17" s="53" t="s">
        <v>46</v>
      </c>
      <c r="E17" s="53" t="s">
        <v>46</v>
      </c>
    </row>
    <row r="19" spans="2:5" x14ac:dyDescent="0.2">
      <c r="B19" s="53" t="s">
        <v>418</v>
      </c>
      <c r="C19" s="53" t="s">
        <v>407</v>
      </c>
      <c r="D19" s="53" t="s">
        <v>46</v>
      </c>
      <c r="E19" s="53" t="s">
        <v>46</v>
      </c>
    </row>
    <row r="21" spans="2:5" x14ac:dyDescent="0.2">
      <c r="B21" s="53" t="s">
        <v>419</v>
      </c>
      <c r="C21" s="53" t="s">
        <v>410</v>
      </c>
      <c r="D21" s="53" t="s">
        <v>46</v>
      </c>
      <c r="E21" s="53" t="s">
        <v>46</v>
      </c>
    </row>
    <row r="23" spans="2:5" x14ac:dyDescent="0.2">
      <c r="B23" s="53" t="s">
        <v>420</v>
      </c>
      <c r="C23" s="53" t="s">
        <v>413</v>
      </c>
      <c r="D23" s="53" t="s">
        <v>46</v>
      </c>
      <c r="E23" s="53" t="s">
        <v>46</v>
      </c>
    </row>
    <row r="25" spans="2:5" x14ac:dyDescent="0.2">
      <c r="B25" s="53" t="s">
        <v>421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422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423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428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429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431</v>
      </c>
      <c r="C35" s="53" t="s">
        <v>46</v>
      </c>
      <c r="D35" s="53" t="s">
        <v>46</v>
      </c>
      <c r="E35" s="53" t="s">
        <v>46</v>
      </c>
    </row>
  </sheetData>
  <sheetProtection algorithmName="SHA-512" hashValue="Vw3MGAXfSDcijUrFKMYH5N6ZuZaHNZDitF3YBzoXI3s+YFqUi+uV6Rc7xzdSRM+YiIb1CO1DVF0SypArykp7HA==" saltValue="GykrHpiENCvWQCjIOcWbL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