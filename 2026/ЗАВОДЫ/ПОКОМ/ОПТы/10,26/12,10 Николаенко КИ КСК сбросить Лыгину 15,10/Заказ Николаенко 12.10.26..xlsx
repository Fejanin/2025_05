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37FA46-B2D0-4B39-A7F8-5D3C400A3F7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P532" i="2"/>
  <c r="BO531" i="2"/>
  <c r="BM531" i="2"/>
  <c r="Y531" i="2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P510" i="2"/>
  <c r="BO509" i="2"/>
  <c r="BM509" i="2"/>
  <c r="Y509" i="2"/>
  <c r="P509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P349" i="2"/>
  <c r="X346" i="2"/>
  <c r="X345" i="2"/>
  <c r="BO344" i="2"/>
  <c r="BM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P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O186" i="2"/>
  <c r="BM186" i="2"/>
  <c r="Y186" i="2"/>
  <c r="P186" i="2"/>
  <c r="BO185" i="2"/>
  <c r="BM185" i="2"/>
  <c r="Y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P177" i="2"/>
  <c r="X175" i="2"/>
  <c r="X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O98" i="2"/>
  <c r="BM98" i="2"/>
  <c r="Y98" i="2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19" i="2" l="1"/>
  <c r="BP532" i="2"/>
  <c r="Z532" i="2"/>
  <c r="Z530" i="2"/>
  <c r="BN530" i="2"/>
  <c r="BP516" i="2"/>
  <c r="BN516" i="2"/>
  <c r="Z515" i="2"/>
  <c r="BN515" i="2"/>
  <c r="Z510" i="2"/>
  <c r="BN510" i="2"/>
  <c r="Z503" i="2"/>
  <c r="BN503" i="2"/>
  <c r="BP502" i="2"/>
  <c r="BN502" i="2"/>
  <c r="BP486" i="2"/>
  <c r="BN486" i="2"/>
  <c r="Z486" i="2"/>
  <c r="BN476" i="2"/>
  <c r="Z476" i="2"/>
  <c r="BP474" i="2"/>
  <c r="Z474" i="2"/>
  <c r="BN474" i="2"/>
  <c r="BP466" i="2"/>
  <c r="BN466" i="2"/>
  <c r="Z466" i="2"/>
  <c r="Z460" i="2"/>
  <c r="BN460" i="2"/>
  <c r="BP459" i="2"/>
  <c r="Y462" i="2"/>
  <c r="Z455" i="2"/>
  <c r="BN455" i="2"/>
  <c r="BP454" i="2"/>
  <c r="BN454" i="2"/>
  <c r="BP443" i="2"/>
  <c r="BN443" i="2"/>
  <c r="BP442" i="2"/>
  <c r="Z442" i="2"/>
  <c r="BN442" i="2"/>
  <c r="BN440" i="2"/>
  <c r="Z440" i="2"/>
  <c r="BN436" i="2"/>
  <c r="Z436" i="2"/>
  <c r="BP436" i="2"/>
  <c r="BP416" i="2"/>
  <c r="BN416" i="2"/>
  <c r="BP410" i="2"/>
  <c r="BN410" i="2"/>
  <c r="BN404" i="2"/>
  <c r="Z404" i="2"/>
  <c r="Y399" i="2"/>
  <c r="Z396" i="2"/>
  <c r="BP396" i="2"/>
  <c r="Z392" i="2"/>
  <c r="BN392" i="2"/>
  <c r="BP384" i="2"/>
  <c r="BN384" i="2"/>
  <c r="Z382" i="2"/>
  <c r="BN382" i="2"/>
  <c r="BP374" i="2"/>
  <c r="BN374" i="2"/>
  <c r="Z374" i="2"/>
  <c r="Z372" i="2"/>
  <c r="BN372" i="2"/>
  <c r="BP353" i="2"/>
  <c r="Z353" i="2"/>
  <c r="Z351" i="2"/>
  <c r="BN351" i="2"/>
  <c r="BP349" i="2"/>
  <c r="Z349" i="2"/>
  <c r="Z343" i="2"/>
  <c r="BN343" i="2"/>
  <c r="BP337" i="2"/>
  <c r="Z337" i="2"/>
  <c r="Z336" i="2"/>
  <c r="BN336" i="2"/>
  <c r="BN333" i="2"/>
  <c r="BP333" i="2"/>
  <c r="BN328" i="2"/>
  <c r="Z328" i="2"/>
  <c r="BP327" i="2"/>
  <c r="Z327" i="2"/>
  <c r="BN327" i="2"/>
  <c r="BP326" i="2"/>
  <c r="Z326" i="2"/>
  <c r="BN326" i="2"/>
  <c r="BP318" i="2"/>
  <c r="Z318" i="2"/>
  <c r="Z319" i="2" s="1"/>
  <c r="Z313" i="2"/>
  <c r="BN313" i="2"/>
  <c r="BP298" i="2"/>
  <c r="BN298" i="2"/>
  <c r="BN295" i="2"/>
  <c r="Z295" i="2"/>
  <c r="Z292" i="2"/>
  <c r="BN292" i="2"/>
  <c r="BP266" i="2"/>
  <c r="BN266" i="2"/>
  <c r="BN261" i="2"/>
  <c r="Z261" i="2"/>
  <c r="Z262" i="2" s="1"/>
  <c r="BP251" i="2"/>
  <c r="Z251" i="2"/>
  <c r="BP250" i="2"/>
  <c r="BN250" i="2"/>
  <c r="BN242" i="2"/>
  <c r="Z242" i="2"/>
  <c r="BP241" i="2"/>
  <c r="Z241" i="2"/>
  <c r="BP240" i="2"/>
  <c r="Z240" i="2"/>
  <c r="BN240" i="2"/>
  <c r="Z233" i="2"/>
  <c r="BN233" i="2"/>
  <c r="BP233" i="2"/>
  <c r="BN231" i="2"/>
  <c r="Z231" i="2"/>
  <c r="BN230" i="2"/>
  <c r="Z230" i="2"/>
  <c r="BN221" i="2"/>
  <c r="Z221" i="2"/>
  <c r="Z218" i="2"/>
  <c r="BN218" i="2"/>
  <c r="Y207" i="2"/>
  <c r="Z205" i="2"/>
  <c r="Z206" i="2" s="1"/>
  <c r="BP199" i="2"/>
  <c r="BN199" i="2"/>
  <c r="Z199" i="2"/>
  <c r="Z194" i="2"/>
  <c r="BN194" i="2"/>
  <c r="BP191" i="2"/>
  <c r="BN191" i="2"/>
  <c r="Z191" i="2"/>
  <c r="BP187" i="2"/>
  <c r="BN187" i="2"/>
  <c r="BP185" i="2"/>
  <c r="BN185" i="2"/>
  <c r="Z185" i="2"/>
  <c r="BP177" i="2"/>
  <c r="Y179" i="2"/>
  <c r="BN173" i="2"/>
  <c r="BP173" i="2"/>
  <c r="BP161" i="2"/>
  <c r="BN161" i="2"/>
  <c r="Z161" i="2"/>
  <c r="BP159" i="2"/>
  <c r="BN159" i="2"/>
  <c r="Y148" i="2"/>
  <c r="BN145" i="2"/>
  <c r="BP134" i="2"/>
  <c r="Y136" i="2"/>
  <c r="BN127" i="2"/>
  <c r="Z127" i="2"/>
  <c r="Z118" i="2"/>
  <c r="BN118" i="2"/>
  <c r="BN115" i="2"/>
  <c r="BP115" i="2"/>
  <c r="BP107" i="2"/>
  <c r="BN107" i="2"/>
  <c r="Z107" i="2"/>
  <c r="Z106" i="2"/>
  <c r="BN106" i="2"/>
  <c r="BN105" i="2"/>
  <c r="Z105" i="2"/>
  <c r="BN98" i="2"/>
  <c r="BP98" i="2"/>
  <c r="BP86" i="2"/>
  <c r="BN86" i="2"/>
  <c r="Z86" i="2"/>
  <c r="BN80" i="2"/>
  <c r="BP80" i="2"/>
  <c r="Y82" i="2"/>
  <c r="BP77" i="2"/>
  <c r="BN77" i="2"/>
  <c r="Z77" i="2"/>
  <c r="Z50" i="2"/>
  <c r="BP50" i="2"/>
  <c r="BN48" i="2"/>
  <c r="Z48" i="2"/>
  <c r="Z41" i="2"/>
  <c r="BN41" i="2"/>
  <c r="BN38" i="2"/>
  <c r="BP38" i="2"/>
  <c r="BP31" i="2"/>
  <c r="BN31" i="2"/>
  <c r="Z31" i="2"/>
  <c r="BN28" i="2"/>
  <c r="BP28" i="2"/>
  <c r="Z28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418" i="2" l="1"/>
  <c r="Z431" i="2"/>
  <c r="Z142" i="2"/>
  <c r="Z147" i="2"/>
  <c r="Z456" i="2"/>
  <c r="Z90" i="2"/>
  <c r="Z273" i="2"/>
  <c r="Z444" i="2"/>
  <c r="Z120" i="2"/>
  <c r="Z174" i="2"/>
  <c r="Z338" i="2"/>
  <c r="Z345" i="2"/>
  <c r="Z386" i="2"/>
  <c r="Z493" i="2"/>
  <c r="Z534" i="2"/>
  <c r="Z557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<sst xmlns="http://schemas.openxmlformats.org/spreadsheetml/2006/main" count="4365" uniqueCount="909">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</sst>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2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57" t="s">
        <v>26</v>
      </c>
      <c r="E1" s="657"/>
      <c r="F1" s="657"/>
      <c r="G1" s="14" t="s">
        <v>67</v>
      </c>
      <c r="H1" s="657" t="s">
        <v>47</v>
      </c>
      <c r="I1" s="657"/>
      <c r="J1" s="657"/>
      <c r="K1" s="657"/>
      <c r="L1" s="657"/>
      <c r="M1" s="657"/>
      <c r="N1" s="657"/>
      <c r="O1" s="657"/>
      <c r="P1" s="657"/>
      <c r="Q1" s="657"/>
      <c r="R1" s="658" t="s">
        <v>68</v>
      </c>
      <c r="S1" s="659"/>
      <c r="T1" s="65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0"/>
      <c r="Q3" s="660"/>
      <c r="R3" s="660"/>
      <c r="S3" s="660"/>
      <c r="T3" s="660"/>
      <c r="U3" s="660"/>
      <c r="V3" s="660"/>
      <c r="W3" s="66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61" t="s">
        <v>8</v>
      </c>
      <c r="B5" s="661"/>
      <c r="C5" s="661"/>
      <c r="D5" s="662"/>
      <c r="E5" s="662"/>
      <c r="F5" s="663" t="s">
        <v>14</v>
      </c>
      <c r="G5" s="663"/>
      <c r="H5" s="662"/>
      <c r="I5" s="662"/>
      <c r="J5" s="662"/>
      <c r="K5" s="662"/>
      <c r="L5" s="662"/>
      <c r="M5" s="662"/>
      <c r="N5" s="69"/>
      <c r="P5" s="26" t="s">
        <v>4</v>
      </c>
      <c r="Q5" s="664">
        <v>46271</v>
      </c>
      <c r="R5" s="664"/>
      <c r="T5" s="665" t="s">
        <v>3</v>
      </c>
      <c r="U5" s="666"/>
      <c r="V5" s="667" t="s">
        <v>890</v>
      </c>
      <c r="W5" s="668"/>
      <c r="AB5" s="57"/>
      <c r="AC5" s="57"/>
      <c r="AD5" s="57"/>
      <c r="AE5" s="57"/>
    </row>
    <row r="6" spans="1:32" s="17" customFormat="1" ht="24" customHeight="1" x14ac:dyDescent="0.2">
      <c r="A6" s="661" t="s">
        <v>1</v>
      </c>
      <c r="B6" s="661"/>
      <c r="C6" s="661"/>
      <c r="D6" s="669" t="s">
        <v>891</v>
      </c>
      <c r="E6" s="669"/>
      <c r="F6" s="669"/>
      <c r="G6" s="669"/>
      <c r="H6" s="669"/>
      <c r="I6" s="669"/>
      <c r="J6" s="669"/>
      <c r="K6" s="669"/>
      <c r="L6" s="669"/>
      <c r="M6" s="669"/>
      <c r="N6" s="70"/>
      <c r="P6" s="26" t="s">
        <v>27</v>
      </c>
      <c r="Q6" s="670" t="str">
        <f>IF(Q5=0," ",CHOOSE(WEEKDAY(Q5,2),"Понедельник","Вторник","Среда","Четверг","Пятница","Суббота","Воскресенье"))</f>
        <v>Воскресенье</v>
      </c>
      <c r="R6" s="670"/>
      <c r="T6" s="671" t="s">
        <v>5</v>
      </c>
      <c r="U6" s="672"/>
      <c r="V6" s="673" t="s">
        <v>70</v>
      </c>
      <c r="W6" s="67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9" t="str">
        <f>IFERROR(VLOOKUP(DeliveryAddress,Table,3,0),1)</f>
        <v>1</v>
      </c>
      <c r="E7" s="680"/>
      <c r="F7" s="680"/>
      <c r="G7" s="680"/>
      <c r="H7" s="680"/>
      <c r="I7" s="680"/>
      <c r="J7" s="680"/>
      <c r="K7" s="680"/>
      <c r="L7" s="680"/>
      <c r="M7" s="681"/>
      <c r="N7" s="71"/>
      <c r="P7" s="26"/>
      <c r="Q7" s="46"/>
      <c r="R7" s="46"/>
      <c r="T7" s="671"/>
      <c r="U7" s="672"/>
      <c r="V7" s="675"/>
      <c r="W7" s="676"/>
      <c r="AB7" s="57"/>
      <c r="AC7" s="57"/>
      <c r="AD7" s="57"/>
      <c r="AE7" s="57"/>
    </row>
    <row r="8" spans="1:32" s="17" customFormat="1" ht="25.5" customHeight="1" x14ac:dyDescent="0.2">
      <c r="A8" s="682" t="s">
        <v>58</v>
      </c>
      <c r="B8" s="682"/>
      <c r="C8" s="682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72"/>
      <c r="P8" s="26" t="s">
        <v>11</v>
      </c>
      <c r="Q8" s="684">
        <v>0.375</v>
      </c>
      <c r="R8" s="684"/>
      <c r="T8" s="671"/>
      <c r="U8" s="672"/>
      <c r="V8" s="675"/>
      <c r="W8" s="676"/>
      <c r="AB8" s="57"/>
      <c r="AC8" s="57"/>
      <c r="AD8" s="57"/>
      <c r="AE8" s="57"/>
    </row>
    <row r="9" spans="1:32" s="17" customFormat="1" ht="39.950000000000003" customHeight="1" x14ac:dyDescent="0.2">
      <c r="A9" s="6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5"/>
      <c r="C9" s="685"/>
      <c r="D9" s="686" t="s">
        <v>46</v>
      </c>
      <c r="E9" s="687"/>
      <c r="F9" s="6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5"/>
      <c r="H9" s="688" t="str">
        <f>IF(AND($A$9="Тип доверенности/получателя при получении в адресе перегруза:",$D$9="Разовая доверенность"),"Введите ФИО","")</f>
        <v/>
      </c>
      <c r="I9" s="688"/>
      <c r="J9" s="6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8"/>
      <c r="L9" s="688"/>
      <c r="M9" s="688"/>
      <c r="N9" s="67"/>
      <c r="P9" s="29" t="s">
        <v>15</v>
      </c>
      <c r="Q9" s="689"/>
      <c r="R9" s="689"/>
      <c r="T9" s="671"/>
      <c r="U9" s="672"/>
      <c r="V9" s="677"/>
      <c r="W9" s="6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5"/>
      <c r="C10" s="685"/>
      <c r="D10" s="686"/>
      <c r="E10" s="687"/>
      <c r="F10" s="6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5"/>
      <c r="H10" s="690" t="str">
        <f>IFERROR(VLOOKUP($D$10,Proxy,2,FALSE),"")</f>
        <v/>
      </c>
      <c r="I10" s="690"/>
      <c r="J10" s="690"/>
      <c r="K10" s="690"/>
      <c r="L10" s="690"/>
      <c r="M10" s="690"/>
      <c r="N10" s="68"/>
      <c r="P10" s="29" t="s">
        <v>32</v>
      </c>
      <c r="Q10" s="691"/>
      <c r="R10" s="691"/>
      <c r="U10" s="26" t="s">
        <v>12</v>
      </c>
      <c r="V10" s="692" t="s">
        <v>71</v>
      </c>
      <c r="W10" s="69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94"/>
      <c r="R11" s="694"/>
      <c r="U11" s="26" t="s">
        <v>28</v>
      </c>
      <c r="V11" s="695" t="s">
        <v>55</v>
      </c>
      <c r="W11" s="69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6" t="s">
        <v>72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73"/>
      <c r="P12" s="26" t="s">
        <v>30</v>
      </c>
      <c r="Q12" s="684"/>
      <c r="R12" s="684"/>
      <c r="S12" s="27"/>
      <c r="T12"/>
      <c r="U12" s="26" t="s">
        <v>46</v>
      </c>
      <c r="V12" s="697"/>
      <c r="W12" s="697"/>
      <c r="X12"/>
      <c r="AB12" s="57"/>
      <c r="AC12" s="57"/>
      <c r="AD12" s="57"/>
      <c r="AE12" s="57"/>
    </row>
    <row r="13" spans="1:32" s="17" customFormat="1" ht="23.25" customHeight="1" x14ac:dyDescent="0.2">
      <c r="A13" s="696" t="s">
        <v>73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73"/>
      <c r="O13" s="29"/>
      <c r="P13" s="29" t="s">
        <v>31</v>
      </c>
      <c r="Q13" s="695"/>
      <c r="R13" s="69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6" t="s">
        <v>74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8" t="s">
        <v>75</v>
      </c>
      <c r="B15" s="698"/>
      <c r="C15" s="698"/>
      <c r="D15" s="698"/>
      <c r="E15" s="698"/>
      <c r="F15" s="698"/>
      <c r="G15" s="698"/>
      <c r="H15" s="698"/>
      <c r="I15" s="698"/>
      <c r="J15" s="698"/>
      <c r="K15" s="698"/>
      <c r="L15" s="698"/>
      <c r="M15" s="698"/>
      <c r="N15" s="74"/>
      <c r="O15"/>
      <c r="P15" s="699" t="s">
        <v>61</v>
      </c>
      <c r="Q15" s="699"/>
      <c r="R15" s="699"/>
      <c r="S15" s="699"/>
      <c r="T15" s="69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0"/>
      <c r="Q16" s="700"/>
      <c r="R16" s="700"/>
      <c r="S16" s="700"/>
      <c r="T16" s="70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3" t="s">
        <v>59</v>
      </c>
      <c r="B17" s="703" t="s">
        <v>49</v>
      </c>
      <c r="C17" s="705" t="s">
        <v>48</v>
      </c>
      <c r="D17" s="707" t="s">
        <v>50</v>
      </c>
      <c r="E17" s="708"/>
      <c r="F17" s="703" t="s">
        <v>21</v>
      </c>
      <c r="G17" s="703" t="s">
        <v>24</v>
      </c>
      <c r="H17" s="703" t="s">
        <v>22</v>
      </c>
      <c r="I17" s="703" t="s">
        <v>23</v>
      </c>
      <c r="J17" s="703" t="s">
        <v>16</v>
      </c>
      <c r="K17" s="703" t="s">
        <v>66</v>
      </c>
      <c r="L17" s="703" t="s">
        <v>64</v>
      </c>
      <c r="M17" s="703" t="s">
        <v>2</v>
      </c>
      <c r="N17" s="703" t="s">
        <v>63</v>
      </c>
      <c r="O17" s="703" t="s">
        <v>25</v>
      </c>
      <c r="P17" s="707" t="s">
        <v>17</v>
      </c>
      <c r="Q17" s="711"/>
      <c r="R17" s="711"/>
      <c r="S17" s="711"/>
      <c r="T17" s="708"/>
      <c r="U17" s="701" t="s">
        <v>56</v>
      </c>
      <c r="V17" s="702"/>
      <c r="W17" s="703" t="s">
        <v>6</v>
      </c>
      <c r="X17" s="703" t="s">
        <v>41</v>
      </c>
      <c r="Y17" s="713" t="s">
        <v>54</v>
      </c>
      <c r="Z17" s="715" t="s">
        <v>18</v>
      </c>
      <c r="AA17" s="717" t="s">
        <v>60</v>
      </c>
      <c r="AB17" s="717" t="s">
        <v>19</v>
      </c>
      <c r="AC17" s="717" t="s">
        <v>65</v>
      </c>
      <c r="AD17" s="719" t="s">
        <v>57</v>
      </c>
      <c r="AE17" s="720"/>
      <c r="AF17" s="721"/>
      <c r="AG17" s="77"/>
      <c r="BD17" s="76" t="s">
        <v>62</v>
      </c>
    </row>
    <row r="18" spans="1:68" ht="14.25" customHeight="1" x14ac:dyDescent="0.2">
      <c r="A18" s="704"/>
      <c r="B18" s="704"/>
      <c r="C18" s="706"/>
      <c r="D18" s="709"/>
      <c r="E18" s="710"/>
      <c r="F18" s="704"/>
      <c r="G18" s="704"/>
      <c r="H18" s="704"/>
      <c r="I18" s="704"/>
      <c r="J18" s="704"/>
      <c r="K18" s="704"/>
      <c r="L18" s="704"/>
      <c r="M18" s="704"/>
      <c r="N18" s="704"/>
      <c r="O18" s="704"/>
      <c r="P18" s="709"/>
      <c r="Q18" s="712"/>
      <c r="R18" s="712"/>
      <c r="S18" s="712"/>
      <c r="T18" s="710"/>
      <c r="U18" s="78" t="s">
        <v>44</v>
      </c>
      <c r="V18" s="78" t="s">
        <v>43</v>
      </c>
      <c r="W18" s="704"/>
      <c r="X18" s="704"/>
      <c r="Y18" s="714"/>
      <c r="Z18" s="716"/>
      <c r="AA18" s="718"/>
      <c r="AB18" s="718"/>
      <c r="AC18" s="718"/>
      <c r="AD18" s="722"/>
      <c r="AE18" s="723"/>
      <c r="AF18" s="724"/>
      <c r="AG18" s="77"/>
      <c r="BD18" s="76"/>
    </row>
    <row r="19" spans="1:68" ht="27.75" hidden="1" customHeight="1" x14ac:dyDescent="0.2">
      <c r="A19" s="725" t="s">
        <v>76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  <c r="P19" s="725"/>
      <c r="Q19" s="725"/>
      <c r="R19" s="725"/>
      <c r="S19" s="725"/>
      <c r="T19" s="725"/>
      <c r="U19" s="725"/>
      <c r="V19" s="725"/>
      <c r="W19" s="725"/>
      <c r="X19" s="725"/>
      <c r="Y19" s="725"/>
      <c r="Z19" s="725"/>
      <c r="AA19" s="52"/>
      <c r="AB19" s="52"/>
      <c r="AC19" s="52"/>
    </row>
    <row r="20" spans="1:68" ht="16.5" hidden="1" customHeight="1" x14ac:dyDescent="0.25">
      <c r="A20" s="726" t="s">
        <v>76</v>
      </c>
      <c r="B20" s="726"/>
      <c r="C20" s="726"/>
      <c r="D20" s="726"/>
      <c r="E20" s="726"/>
      <c r="F20" s="726"/>
      <c r="G20" s="726"/>
      <c r="H20" s="726"/>
      <c r="I20" s="726"/>
      <c r="J20" s="726"/>
      <c r="K20" s="726"/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726"/>
      <c r="X20" s="726"/>
      <c r="Y20" s="726"/>
      <c r="Z20" s="726"/>
      <c r="AA20" s="62"/>
      <c r="AB20" s="62"/>
      <c r="AC20" s="62"/>
    </row>
    <row r="21" spans="1:68" ht="14.25" hidden="1" customHeight="1" x14ac:dyDescent="0.25">
      <c r="A21" s="727" t="s">
        <v>77</v>
      </c>
      <c r="B21" s="727"/>
      <c r="C21" s="727"/>
      <c r="D21" s="727"/>
      <c r="E21" s="727"/>
      <c r="F21" s="727"/>
      <c r="G21" s="727"/>
      <c r="H21" s="727"/>
      <c r="I21" s="727"/>
      <c r="J21" s="727"/>
      <c r="K21" s="727"/>
      <c r="L21" s="727"/>
      <c r="M21" s="727"/>
      <c r="N21" s="727"/>
      <c r="O21" s="727"/>
      <c r="P21" s="727"/>
      <c r="Q21" s="727"/>
      <c r="R21" s="727"/>
      <c r="S21" s="727"/>
      <c r="T21" s="727"/>
      <c r="U21" s="727"/>
      <c r="V21" s="727"/>
      <c r="W21" s="727"/>
      <c r="X21" s="727"/>
      <c r="Y21" s="727"/>
      <c r="Z21" s="72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28">
        <v>4680115886643</v>
      </c>
      <c r="E22" s="72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0"/>
      <c r="R22" s="730"/>
      <c r="S22" s="730"/>
      <c r="T22" s="73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8">
        <v>4680115889071</v>
      </c>
      <c r="E23" s="72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0"/>
      <c r="R23" s="730"/>
      <c r="S23" s="730"/>
      <c r="T23" s="73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36"/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6"/>
      <c r="M24" s="736"/>
      <c r="N24" s="736"/>
      <c r="O24" s="737"/>
      <c r="P24" s="733" t="s">
        <v>40</v>
      </c>
      <c r="Q24" s="734"/>
      <c r="R24" s="734"/>
      <c r="S24" s="734"/>
      <c r="T24" s="734"/>
      <c r="U24" s="734"/>
      <c r="V24" s="73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36"/>
      <c r="B25" s="736"/>
      <c r="C25" s="736"/>
      <c r="D25" s="736"/>
      <c r="E25" s="736"/>
      <c r="F25" s="736"/>
      <c r="G25" s="736"/>
      <c r="H25" s="736"/>
      <c r="I25" s="736"/>
      <c r="J25" s="736"/>
      <c r="K25" s="736"/>
      <c r="L25" s="736"/>
      <c r="M25" s="736"/>
      <c r="N25" s="736"/>
      <c r="O25" s="737"/>
      <c r="P25" s="733" t="s">
        <v>40</v>
      </c>
      <c r="Q25" s="734"/>
      <c r="R25" s="734"/>
      <c r="S25" s="734"/>
      <c r="T25" s="734"/>
      <c r="U25" s="734"/>
      <c r="V25" s="73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27" t="s">
        <v>86</v>
      </c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  <c r="U26" s="727"/>
      <c r="V26" s="727"/>
      <c r="W26" s="727"/>
      <c r="X26" s="727"/>
      <c r="Y26" s="727"/>
      <c r="Z26" s="72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8">
        <v>4680115885912</v>
      </c>
      <c r="E27" s="72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0"/>
      <c r="R27" s="730"/>
      <c r="S27" s="730"/>
      <c r="T27" s="73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8">
        <v>4607091388237</v>
      </c>
      <c r="E28" s="72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0"/>
      <c r="R28" s="730"/>
      <c r="S28" s="730"/>
      <c r="T28" s="73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8">
        <v>4680115887350</v>
      </c>
      <c r="E29" s="72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0"/>
      <c r="R29" s="730"/>
      <c r="S29" s="730"/>
      <c r="T29" s="73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8">
        <v>4680115885905</v>
      </c>
      <c r="E30" s="72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4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0"/>
      <c r="R30" s="730"/>
      <c r="S30" s="730"/>
      <c r="T30" s="73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8">
        <v>4680115887619</v>
      </c>
      <c r="E31" s="72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4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0"/>
      <c r="R31" s="730"/>
      <c r="S31" s="730"/>
      <c r="T31" s="73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36"/>
      <c r="B32" s="736"/>
      <c r="C32" s="736"/>
      <c r="D32" s="736"/>
      <c r="E32" s="736"/>
      <c r="F32" s="736"/>
      <c r="G32" s="736"/>
      <c r="H32" s="736"/>
      <c r="I32" s="736"/>
      <c r="J32" s="736"/>
      <c r="K32" s="736"/>
      <c r="L32" s="736"/>
      <c r="M32" s="736"/>
      <c r="N32" s="736"/>
      <c r="O32" s="737"/>
      <c r="P32" s="733" t="s">
        <v>40</v>
      </c>
      <c r="Q32" s="734"/>
      <c r="R32" s="734"/>
      <c r="S32" s="734"/>
      <c r="T32" s="734"/>
      <c r="U32" s="734"/>
      <c r="V32" s="73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36"/>
      <c r="B33" s="736"/>
      <c r="C33" s="736"/>
      <c r="D33" s="736"/>
      <c r="E33" s="736"/>
      <c r="F33" s="736"/>
      <c r="G33" s="736"/>
      <c r="H33" s="736"/>
      <c r="I33" s="736"/>
      <c r="J33" s="736"/>
      <c r="K33" s="736"/>
      <c r="L33" s="736"/>
      <c r="M33" s="736"/>
      <c r="N33" s="736"/>
      <c r="O33" s="737"/>
      <c r="P33" s="733" t="s">
        <v>40</v>
      </c>
      <c r="Q33" s="734"/>
      <c r="R33" s="734"/>
      <c r="S33" s="734"/>
      <c r="T33" s="734"/>
      <c r="U33" s="734"/>
      <c r="V33" s="73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25" t="s">
        <v>45</v>
      </c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R34" s="725"/>
      <c r="S34" s="725"/>
      <c r="T34" s="725"/>
      <c r="U34" s="725"/>
      <c r="V34" s="725"/>
      <c r="W34" s="725"/>
      <c r="X34" s="725"/>
      <c r="Y34" s="725"/>
      <c r="Z34" s="725"/>
      <c r="AA34" s="52"/>
      <c r="AB34" s="52"/>
      <c r="AC34" s="52"/>
    </row>
    <row r="35" spans="1:68" ht="16.5" hidden="1" customHeight="1" x14ac:dyDescent="0.25">
      <c r="A35" s="726" t="s">
        <v>104</v>
      </c>
      <c r="B35" s="726"/>
      <c r="C35" s="726"/>
      <c r="D35" s="726"/>
      <c r="E35" s="726"/>
      <c r="F35" s="726"/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62"/>
      <c r="AB35" s="62"/>
      <c r="AC35" s="62"/>
    </row>
    <row r="36" spans="1:68" ht="14.25" hidden="1" customHeight="1" x14ac:dyDescent="0.25">
      <c r="A36" s="727" t="s">
        <v>86</v>
      </c>
      <c r="B36" s="727"/>
      <c r="C36" s="727"/>
      <c r="D36" s="727"/>
      <c r="E36" s="727"/>
      <c r="F36" s="727"/>
      <c r="G36" s="727"/>
      <c r="H36" s="727"/>
      <c r="I36" s="727"/>
      <c r="J36" s="727"/>
      <c r="K36" s="727"/>
      <c r="L36" s="727"/>
      <c r="M36" s="727"/>
      <c r="N36" s="727"/>
      <c r="O36" s="727"/>
      <c r="P36" s="727"/>
      <c r="Q36" s="727"/>
      <c r="R36" s="727"/>
      <c r="S36" s="727"/>
      <c r="T36" s="727"/>
      <c r="U36" s="727"/>
      <c r="V36" s="727"/>
      <c r="W36" s="727"/>
      <c r="X36" s="727"/>
      <c r="Y36" s="727"/>
      <c r="Z36" s="72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8">
        <v>4680115889354</v>
      </c>
      <c r="E37" s="72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0"/>
      <c r="R37" s="730"/>
      <c r="S37" s="730"/>
      <c r="T37" s="73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8">
        <v>4680115888463</v>
      </c>
      <c r="E38" s="72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0"/>
      <c r="R38" s="730"/>
      <c r="S38" s="730"/>
      <c r="T38" s="73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8">
        <v>4680115889590</v>
      </c>
      <c r="E39" s="72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0"/>
      <c r="R39" s="730"/>
      <c r="S39" s="730"/>
      <c r="T39" s="73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8">
        <v>4680115888272</v>
      </c>
      <c r="E40" s="72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0"/>
      <c r="R40" s="730"/>
      <c r="S40" s="730"/>
      <c r="T40" s="73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28">
        <v>4680115888364</v>
      </c>
      <c r="E41" s="72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0"/>
      <c r="R41" s="730"/>
      <c r="S41" s="730"/>
      <c r="T41" s="73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36"/>
      <c r="B42" s="736"/>
      <c r="C42" s="736"/>
      <c r="D42" s="736"/>
      <c r="E42" s="736"/>
      <c r="F42" s="736"/>
      <c r="G42" s="736"/>
      <c r="H42" s="736"/>
      <c r="I42" s="736"/>
      <c r="J42" s="736"/>
      <c r="K42" s="736"/>
      <c r="L42" s="736"/>
      <c r="M42" s="736"/>
      <c r="N42" s="736"/>
      <c r="O42" s="737"/>
      <c r="P42" s="733" t="s">
        <v>40</v>
      </c>
      <c r="Q42" s="734"/>
      <c r="R42" s="734"/>
      <c r="S42" s="734"/>
      <c r="T42" s="734"/>
      <c r="U42" s="734"/>
      <c r="V42" s="73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36"/>
      <c r="B43" s="736"/>
      <c r="C43" s="736"/>
      <c r="D43" s="736"/>
      <c r="E43" s="736"/>
      <c r="F43" s="736"/>
      <c r="G43" s="736"/>
      <c r="H43" s="736"/>
      <c r="I43" s="736"/>
      <c r="J43" s="736"/>
      <c r="K43" s="736"/>
      <c r="L43" s="736"/>
      <c r="M43" s="736"/>
      <c r="N43" s="736"/>
      <c r="O43" s="737"/>
      <c r="P43" s="733" t="s">
        <v>40</v>
      </c>
      <c r="Q43" s="734"/>
      <c r="R43" s="734"/>
      <c r="S43" s="734"/>
      <c r="T43" s="734"/>
      <c r="U43" s="734"/>
      <c r="V43" s="73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25" t="s">
        <v>120</v>
      </c>
      <c r="B44" s="725"/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52"/>
      <c r="AB44" s="52"/>
      <c r="AC44" s="52"/>
    </row>
    <row r="45" spans="1:68" ht="16.5" hidden="1" customHeight="1" x14ac:dyDescent="0.25">
      <c r="A45" s="726" t="s">
        <v>121</v>
      </c>
      <c r="B45" s="726"/>
      <c r="C45" s="726"/>
      <c r="D45" s="726"/>
      <c r="E45" s="726"/>
      <c r="F45" s="726"/>
      <c r="G45" s="726"/>
      <c r="H45" s="726"/>
      <c r="I45" s="726"/>
      <c r="J45" s="726"/>
      <c r="K45" s="726"/>
      <c r="L45" s="726"/>
      <c r="M45" s="726"/>
      <c r="N45" s="726"/>
      <c r="O45" s="726"/>
      <c r="P45" s="726"/>
      <c r="Q45" s="726"/>
      <c r="R45" s="726"/>
      <c r="S45" s="726"/>
      <c r="T45" s="726"/>
      <c r="U45" s="726"/>
      <c r="V45" s="726"/>
      <c r="W45" s="726"/>
      <c r="X45" s="726"/>
      <c r="Y45" s="726"/>
      <c r="Z45" s="726"/>
      <c r="AA45" s="62"/>
      <c r="AB45" s="62"/>
      <c r="AC45" s="62"/>
    </row>
    <row r="46" spans="1:68" ht="14.25" hidden="1" customHeight="1" x14ac:dyDescent="0.25">
      <c r="A46" s="727" t="s">
        <v>122</v>
      </c>
      <c r="B46" s="727"/>
      <c r="C46" s="727"/>
      <c r="D46" s="727"/>
      <c r="E46" s="727"/>
      <c r="F46" s="727"/>
      <c r="G46" s="727"/>
      <c r="H46" s="727"/>
      <c r="I46" s="727"/>
      <c r="J46" s="727"/>
      <c r="K46" s="727"/>
      <c r="L46" s="727"/>
      <c r="M46" s="727"/>
      <c r="N46" s="727"/>
      <c r="O46" s="727"/>
      <c r="P46" s="727"/>
      <c r="Q46" s="727"/>
      <c r="R46" s="727"/>
      <c r="S46" s="727"/>
      <c r="T46" s="727"/>
      <c r="U46" s="727"/>
      <c r="V46" s="727"/>
      <c r="W46" s="727"/>
      <c r="X46" s="727"/>
      <c r="Y46" s="727"/>
      <c r="Z46" s="72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28">
        <v>4607091385670</v>
      </c>
      <c r="E47" s="72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0"/>
      <c r="R47" s="730"/>
      <c r="S47" s="730"/>
      <c r="T47" s="731"/>
      <c r="U47" s="37" t="s">
        <v>46</v>
      </c>
      <c r="V47" s="37" t="s">
        <v>46</v>
      </c>
      <c r="W47" s="38" t="s">
        <v>0</v>
      </c>
      <c r="X47" s="56">
        <v>40</v>
      </c>
      <c r="Y47" s="53">
        <f>IFERROR(IF(X47="",0,CEILING((X47/$H47),1)*$H47),"")</f>
        <v>43.2</v>
      </c>
      <c r="Z47" s="39">
        <f>IFERROR(IF(Y47=0,"",ROUNDUP(Y47/H47,0)*0.01898),"")</f>
        <v>7.5920000000000001E-2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41.518518518518519</v>
      </c>
      <c r="BN47" s="75">
        <f>IFERROR(Y47*I47/H47,"0")</f>
        <v>44.84</v>
      </c>
      <c r="BO47" s="75">
        <f>IFERROR(1/J47*(X47/H47),"0")</f>
        <v>5.7870370370370364E-2</v>
      </c>
      <c r="BP47" s="75">
        <f>IFERROR(1/J47*(Y47/H47),"0")</f>
        <v>6.25E-2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8">
        <v>4680115887725</v>
      </c>
      <c r="E48" s="72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0"/>
      <c r="R48" s="730"/>
      <c r="S48" s="730"/>
      <c r="T48" s="73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28">
        <v>4607091385687</v>
      </c>
      <c r="E49" s="72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0"/>
      <c r="R49" s="730"/>
      <c r="S49" s="730"/>
      <c r="T49" s="73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8">
        <v>4680115882539</v>
      </c>
      <c r="E50" s="72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5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0"/>
      <c r="R50" s="730"/>
      <c r="S50" s="730"/>
      <c r="T50" s="73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36"/>
      <c r="B51" s="736"/>
      <c r="C51" s="736"/>
      <c r="D51" s="736"/>
      <c r="E51" s="736"/>
      <c r="F51" s="736"/>
      <c r="G51" s="736"/>
      <c r="H51" s="736"/>
      <c r="I51" s="736"/>
      <c r="J51" s="736"/>
      <c r="K51" s="736"/>
      <c r="L51" s="736"/>
      <c r="M51" s="736"/>
      <c r="N51" s="736"/>
      <c r="O51" s="737"/>
      <c r="P51" s="733" t="s">
        <v>40</v>
      </c>
      <c r="Q51" s="734"/>
      <c r="R51" s="734"/>
      <c r="S51" s="734"/>
      <c r="T51" s="734"/>
      <c r="U51" s="734"/>
      <c r="V51" s="735"/>
      <c r="W51" s="40" t="s">
        <v>39</v>
      </c>
      <c r="X51" s="41">
        <f>IFERROR(X47/H47,"0")+IFERROR(X48/H48,"0")+IFERROR(X49/H49,"0")+IFERROR(X50/H50,"0")</f>
        <v>3.7037037037037033</v>
      </c>
      <c r="Y51" s="41">
        <f>IFERROR(Y47/H47,"0")+IFERROR(Y48/H48,"0")+IFERROR(Y49/H49,"0")+IFERROR(Y50/H50,"0")</f>
        <v>4</v>
      </c>
      <c r="Z51" s="41">
        <f>IFERROR(IF(Z47="",0,Z47),"0")+IFERROR(IF(Z48="",0,Z48),"0")+IFERROR(IF(Z49="",0,Z49),"0")+IFERROR(IF(Z50="",0,Z50),"0")</f>
        <v>7.5920000000000001E-2</v>
      </c>
      <c r="AA51" s="64"/>
      <c r="AB51" s="64"/>
      <c r="AC51" s="64"/>
    </row>
    <row r="52" spans="1:68" x14ac:dyDescent="0.2">
      <c r="A52" s="736"/>
      <c r="B52" s="736"/>
      <c r="C52" s="736"/>
      <c r="D52" s="736"/>
      <c r="E52" s="736"/>
      <c r="F52" s="736"/>
      <c r="G52" s="736"/>
      <c r="H52" s="736"/>
      <c r="I52" s="736"/>
      <c r="J52" s="736"/>
      <c r="K52" s="736"/>
      <c r="L52" s="736"/>
      <c r="M52" s="736"/>
      <c r="N52" s="736"/>
      <c r="O52" s="737"/>
      <c r="P52" s="733" t="s">
        <v>40</v>
      </c>
      <c r="Q52" s="734"/>
      <c r="R52" s="734"/>
      <c r="S52" s="734"/>
      <c r="T52" s="734"/>
      <c r="U52" s="734"/>
      <c r="V52" s="735"/>
      <c r="W52" s="40" t="s">
        <v>0</v>
      </c>
      <c r="X52" s="41">
        <f>IFERROR(SUM(X47:X50),"0")</f>
        <v>40</v>
      </c>
      <c r="Y52" s="41">
        <f>IFERROR(SUM(Y47:Y50),"0")</f>
        <v>43.2</v>
      </c>
      <c r="Z52" s="40"/>
      <c r="AA52" s="64"/>
      <c r="AB52" s="64"/>
      <c r="AC52" s="64"/>
    </row>
    <row r="53" spans="1:68" ht="16.5" hidden="1" customHeight="1" x14ac:dyDescent="0.25">
      <c r="A53" s="726" t="s">
        <v>137</v>
      </c>
      <c r="B53" s="726"/>
      <c r="C53" s="726"/>
      <c r="D53" s="726"/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62"/>
      <c r="AB53" s="62"/>
      <c r="AC53" s="62"/>
    </row>
    <row r="54" spans="1:68" ht="14.25" hidden="1" customHeight="1" x14ac:dyDescent="0.25">
      <c r="A54" s="727" t="s">
        <v>122</v>
      </c>
      <c r="B54" s="727"/>
      <c r="C54" s="727"/>
      <c r="D54" s="727"/>
      <c r="E54" s="727"/>
      <c r="F54" s="727"/>
      <c r="G54" s="727"/>
      <c r="H54" s="727"/>
      <c r="I54" s="727"/>
      <c r="J54" s="727"/>
      <c r="K54" s="727"/>
      <c r="L54" s="727"/>
      <c r="M54" s="727"/>
      <c r="N54" s="727"/>
      <c r="O54" s="727"/>
      <c r="P54" s="727"/>
      <c r="Q54" s="727"/>
      <c r="R54" s="727"/>
      <c r="S54" s="727"/>
      <c r="T54" s="727"/>
      <c r="U54" s="727"/>
      <c r="V54" s="727"/>
      <c r="W54" s="727"/>
      <c r="X54" s="727"/>
      <c r="Y54" s="727"/>
      <c r="Z54" s="72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28">
        <v>4680115885882</v>
      </c>
      <c r="E55" s="72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5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0"/>
      <c r="R55" s="730"/>
      <c r="S55" s="730"/>
      <c r="T55" s="73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28">
        <v>4680115881426</v>
      </c>
      <c r="E56" s="72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0"/>
      <c r="R56" s="730"/>
      <c r="S56" s="730"/>
      <c r="T56" s="731"/>
      <c r="U56" s="37" t="s">
        <v>46</v>
      </c>
      <c r="V56" s="37" t="s">
        <v>46</v>
      </c>
      <c r="W56" s="38" t="s">
        <v>0</v>
      </c>
      <c r="X56" s="56">
        <v>50</v>
      </c>
      <c r="Y56" s="53">
        <f t="shared" si="0"/>
        <v>54</v>
      </c>
      <c r="Z56" s="39">
        <f>IFERROR(IF(Y56=0,"",ROUNDUP(Y56/H56,0)*0.01898),"")</f>
        <v>9.4899999999999998E-2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51.898148148148145</v>
      </c>
      <c r="BN56" s="75">
        <f t="shared" si="2"/>
        <v>56.05</v>
      </c>
      <c r="BO56" s="75">
        <f t="shared" si="3"/>
        <v>7.2337962962962965E-2</v>
      </c>
      <c r="BP56" s="75">
        <f t="shared" si="4"/>
        <v>7.8125E-2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28">
        <v>4680115880283</v>
      </c>
      <c r="E57" s="72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0"/>
      <c r="R57" s="730"/>
      <c r="S57" s="730"/>
      <c r="T57" s="73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8">
        <v>4680115881525</v>
      </c>
      <c r="E58" s="72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0"/>
      <c r="R58" s="730"/>
      <c r="S58" s="730"/>
      <c r="T58" s="73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28">
        <v>4680115885899</v>
      </c>
      <c r="E59" s="72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5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0"/>
      <c r="R59" s="730"/>
      <c r="S59" s="730"/>
      <c r="T59" s="73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customHeight="1" x14ac:dyDescent="0.25">
      <c r="A60" s="60" t="s">
        <v>152</v>
      </c>
      <c r="B60" s="60" t="s">
        <v>153</v>
      </c>
      <c r="C60" s="34">
        <v>4301011801</v>
      </c>
      <c r="D60" s="728">
        <v>4680115881419</v>
      </c>
      <c r="E60" s="72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0"/>
      <c r="R60" s="730"/>
      <c r="S60" s="730"/>
      <c r="T60" s="731"/>
      <c r="U60" s="37" t="s">
        <v>46</v>
      </c>
      <c r="V60" s="37" t="s">
        <v>46</v>
      </c>
      <c r="W60" s="38" t="s">
        <v>0</v>
      </c>
      <c r="X60" s="56">
        <v>45</v>
      </c>
      <c r="Y60" s="53">
        <f t="shared" si="0"/>
        <v>45</v>
      </c>
      <c r="Z60" s="39">
        <f>IFERROR(IF(Y60=0,"",ROUNDUP(Y60/H60,0)*0.00902),"")</f>
        <v>9.0200000000000002E-2</v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46.900000000000006</v>
      </c>
      <c r="BN60" s="75">
        <f t="shared" si="2"/>
        <v>46.900000000000006</v>
      </c>
      <c r="BO60" s="75">
        <f t="shared" si="3"/>
        <v>7.575757575757576E-2</v>
      </c>
      <c r="BP60" s="75">
        <f t="shared" si="4"/>
        <v>7.575757575757576E-2</v>
      </c>
    </row>
    <row r="61" spans="1:68" x14ac:dyDescent="0.2">
      <c r="A61" s="736"/>
      <c r="B61" s="736"/>
      <c r="C61" s="736"/>
      <c r="D61" s="736"/>
      <c r="E61" s="736"/>
      <c r="F61" s="736"/>
      <c r="G61" s="736"/>
      <c r="H61" s="736"/>
      <c r="I61" s="736"/>
      <c r="J61" s="736"/>
      <c r="K61" s="736"/>
      <c r="L61" s="736"/>
      <c r="M61" s="736"/>
      <c r="N61" s="736"/>
      <c r="O61" s="737"/>
      <c r="P61" s="733" t="s">
        <v>40</v>
      </c>
      <c r="Q61" s="734"/>
      <c r="R61" s="734"/>
      <c r="S61" s="734"/>
      <c r="T61" s="734"/>
      <c r="U61" s="734"/>
      <c r="V61" s="735"/>
      <c r="W61" s="40" t="s">
        <v>39</v>
      </c>
      <c r="X61" s="41">
        <f>IFERROR(X55/H55,"0")+IFERROR(X56/H56,"0")+IFERROR(X57/H57,"0")+IFERROR(X58/H58,"0")+IFERROR(X59/H59,"0")+IFERROR(X60/H60,"0")</f>
        <v>14.62962962962963</v>
      </c>
      <c r="Y61" s="41">
        <f>IFERROR(Y55/H55,"0")+IFERROR(Y56/H56,"0")+IFERROR(Y57/H57,"0")+IFERROR(Y58/H58,"0")+IFERROR(Y59/H59,"0")+IFERROR(Y60/H60,"0")</f>
        <v>15</v>
      </c>
      <c r="Z61" s="41">
        <f>IFERROR(IF(Z55="",0,Z55),"0")+IFERROR(IF(Z56="",0,Z56),"0")+IFERROR(IF(Z57="",0,Z57),"0")+IFERROR(IF(Z58="",0,Z58),"0")+IFERROR(IF(Z59="",0,Z59),"0")+IFERROR(IF(Z60="",0,Z60),"0")</f>
        <v>0.18509999999999999</v>
      </c>
      <c r="AA61" s="64"/>
      <c r="AB61" s="64"/>
      <c r="AC61" s="64"/>
    </row>
    <row r="62" spans="1:68" x14ac:dyDescent="0.2">
      <c r="A62" s="736"/>
      <c r="B62" s="736"/>
      <c r="C62" s="736"/>
      <c r="D62" s="736"/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7"/>
      <c r="P62" s="733" t="s">
        <v>40</v>
      </c>
      <c r="Q62" s="734"/>
      <c r="R62" s="734"/>
      <c r="S62" s="734"/>
      <c r="T62" s="734"/>
      <c r="U62" s="734"/>
      <c r="V62" s="735"/>
      <c r="W62" s="40" t="s">
        <v>0</v>
      </c>
      <c r="X62" s="41">
        <f>IFERROR(SUM(X55:X60),"0")</f>
        <v>95</v>
      </c>
      <c r="Y62" s="41">
        <f>IFERROR(SUM(Y55:Y60),"0")</f>
        <v>99</v>
      </c>
      <c r="Z62" s="40"/>
      <c r="AA62" s="64"/>
      <c r="AB62" s="64"/>
      <c r="AC62" s="64"/>
    </row>
    <row r="63" spans="1:68" ht="14.25" hidden="1" customHeight="1" x14ac:dyDescent="0.25">
      <c r="A63" s="727" t="s">
        <v>155</v>
      </c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7"/>
      <c r="P63" s="727"/>
      <c r="Q63" s="727"/>
      <c r="R63" s="727"/>
      <c r="S63" s="727"/>
      <c r="T63" s="727"/>
      <c r="U63" s="727"/>
      <c r="V63" s="727"/>
      <c r="W63" s="727"/>
      <c r="X63" s="727"/>
      <c r="Y63" s="727"/>
      <c r="Z63" s="727"/>
      <c r="AA63" s="63"/>
      <c r="AB63" s="63"/>
      <c r="AC63" s="63"/>
    </row>
    <row r="64" spans="1:68" ht="16.5" customHeight="1" x14ac:dyDescent="0.25">
      <c r="A64" s="60" t="s">
        <v>156</v>
      </c>
      <c r="B64" s="60" t="s">
        <v>157</v>
      </c>
      <c r="C64" s="34">
        <v>4301020298</v>
      </c>
      <c r="D64" s="728">
        <v>4680115881440</v>
      </c>
      <c r="E64" s="72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0"/>
      <c r="R64" s="730"/>
      <c r="S64" s="730"/>
      <c r="T64" s="731"/>
      <c r="U64" s="37" t="s">
        <v>46</v>
      </c>
      <c r="V64" s="37" t="s">
        <v>46</v>
      </c>
      <c r="W64" s="38" t="s">
        <v>0</v>
      </c>
      <c r="X64" s="56">
        <v>10</v>
      </c>
      <c r="Y64" s="53">
        <f>IFERROR(IF(X64="",0,CEILING((X64/$H64),1)*$H64),"")</f>
        <v>10.8</v>
      </c>
      <c r="Z64" s="39">
        <f>IFERROR(IF(Y64=0,"",ROUNDUP(Y64/H64,0)*0.01898),"")</f>
        <v>1.898E-2</v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10.37962962962963</v>
      </c>
      <c r="BN64" s="75">
        <f>IFERROR(Y64*I64/H64,"0")</f>
        <v>11.21</v>
      </c>
      <c r="BO64" s="75">
        <f>IFERROR(1/J64*(X64/H64),"0")</f>
        <v>1.4467592592592591E-2</v>
      </c>
      <c r="BP64" s="75">
        <f>IFERROR(1/J64*(Y64/H64),"0")</f>
        <v>1.5625E-2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8">
        <v>4680115885950</v>
      </c>
      <c r="E65" s="72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0"/>
      <c r="R65" s="730"/>
      <c r="S65" s="730"/>
      <c r="T65" s="73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8">
        <v>4680115887688</v>
      </c>
      <c r="E66" s="72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6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0"/>
      <c r="R66" s="730"/>
      <c r="S66" s="730"/>
      <c r="T66" s="73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728">
        <v>4680115881433</v>
      </c>
      <c r="E67" s="72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0"/>
      <c r="R67" s="730"/>
      <c r="S67" s="730"/>
      <c r="T67" s="73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36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7"/>
      <c r="P68" s="733" t="s">
        <v>40</v>
      </c>
      <c r="Q68" s="734"/>
      <c r="R68" s="734"/>
      <c r="S68" s="734"/>
      <c r="T68" s="734"/>
      <c r="U68" s="734"/>
      <c r="V68" s="735"/>
      <c r="W68" s="40" t="s">
        <v>39</v>
      </c>
      <c r="X68" s="41">
        <f>IFERROR(X64/H64,"0")+IFERROR(X65/H65,"0")+IFERROR(X66/H66,"0")+IFERROR(X67/H67,"0")</f>
        <v>0.92592592592592582</v>
      </c>
      <c r="Y68" s="41">
        <f>IFERROR(Y64/H64,"0")+IFERROR(Y65/H65,"0")+IFERROR(Y66/H66,"0")+IFERROR(Y67/H67,"0")</f>
        <v>1</v>
      </c>
      <c r="Z68" s="41">
        <f>IFERROR(IF(Z64="",0,Z64),"0")+IFERROR(IF(Z65="",0,Z65),"0")+IFERROR(IF(Z66="",0,Z66),"0")+IFERROR(IF(Z67="",0,Z67),"0")</f>
        <v>1.898E-2</v>
      </c>
      <c r="AA68" s="64"/>
      <c r="AB68" s="64"/>
      <c r="AC68" s="64"/>
    </row>
    <row r="69" spans="1:68" x14ac:dyDescent="0.2">
      <c r="A69" s="736"/>
      <c r="B69" s="736"/>
      <c r="C69" s="736"/>
      <c r="D69" s="736"/>
      <c r="E69" s="736"/>
      <c r="F69" s="736"/>
      <c r="G69" s="736"/>
      <c r="H69" s="736"/>
      <c r="I69" s="736"/>
      <c r="J69" s="736"/>
      <c r="K69" s="736"/>
      <c r="L69" s="736"/>
      <c r="M69" s="736"/>
      <c r="N69" s="736"/>
      <c r="O69" s="737"/>
      <c r="P69" s="733" t="s">
        <v>40</v>
      </c>
      <c r="Q69" s="734"/>
      <c r="R69" s="734"/>
      <c r="S69" s="734"/>
      <c r="T69" s="734"/>
      <c r="U69" s="734"/>
      <c r="V69" s="735"/>
      <c r="W69" s="40" t="s">
        <v>0</v>
      </c>
      <c r="X69" s="41">
        <f>IFERROR(SUM(X64:X67),"0")</f>
        <v>10</v>
      </c>
      <c r="Y69" s="41">
        <f>IFERROR(SUM(Y64:Y67),"0")</f>
        <v>10.8</v>
      </c>
      <c r="Z69" s="40"/>
      <c r="AA69" s="64"/>
      <c r="AB69" s="64"/>
      <c r="AC69" s="64"/>
    </row>
    <row r="70" spans="1:68" ht="14.25" hidden="1" customHeight="1" x14ac:dyDescent="0.25">
      <c r="A70" s="727" t="s">
        <v>86</v>
      </c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7"/>
      <c r="P70" s="727"/>
      <c r="Q70" s="727"/>
      <c r="R70" s="727"/>
      <c r="S70" s="727"/>
      <c r="T70" s="727"/>
      <c r="U70" s="727"/>
      <c r="V70" s="727"/>
      <c r="W70" s="727"/>
      <c r="X70" s="727"/>
      <c r="Y70" s="727"/>
      <c r="Z70" s="72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8">
        <v>4680115884311</v>
      </c>
      <c r="E71" s="72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0"/>
      <c r="R71" s="730"/>
      <c r="S71" s="730"/>
      <c r="T71" s="73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8">
        <v>4680115884403</v>
      </c>
      <c r="E72" s="72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0"/>
      <c r="R72" s="730"/>
      <c r="S72" s="730"/>
      <c r="T72" s="73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8">
        <v>4680115884403</v>
      </c>
      <c r="E73" s="72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0"/>
      <c r="R73" s="730"/>
      <c r="S73" s="730"/>
      <c r="T73" s="73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36"/>
      <c r="B74" s="736"/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736"/>
      <c r="O74" s="737"/>
      <c r="P74" s="733" t="s">
        <v>40</v>
      </c>
      <c r="Q74" s="734"/>
      <c r="R74" s="734"/>
      <c r="S74" s="734"/>
      <c r="T74" s="734"/>
      <c r="U74" s="734"/>
      <c r="V74" s="73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36"/>
      <c r="B75" s="736"/>
      <c r="C75" s="736"/>
      <c r="D75" s="736"/>
      <c r="E75" s="736"/>
      <c r="F75" s="736"/>
      <c r="G75" s="736"/>
      <c r="H75" s="736"/>
      <c r="I75" s="736"/>
      <c r="J75" s="736"/>
      <c r="K75" s="736"/>
      <c r="L75" s="736"/>
      <c r="M75" s="736"/>
      <c r="N75" s="736"/>
      <c r="O75" s="737"/>
      <c r="P75" s="733" t="s">
        <v>40</v>
      </c>
      <c r="Q75" s="734"/>
      <c r="R75" s="734"/>
      <c r="S75" s="734"/>
      <c r="T75" s="734"/>
      <c r="U75" s="734"/>
      <c r="V75" s="73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27" t="s">
        <v>173</v>
      </c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7"/>
      <c r="P76" s="727"/>
      <c r="Q76" s="727"/>
      <c r="R76" s="727"/>
      <c r="S76" s="727"/>
      <c r="T76" s="727"/>
      <c r="U76" s="727"/>
      <c r="V76" s="727"/>
      <c r="W76" s="727"/>
      <c r="X76" s="727"/>
      <c r="Y76" s="727"/>
      <c r="Z76" s="72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28">
        <v>4680115881532</v>
      </c>
      <c r="E77" s="72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6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0"/>
      <c r="R77" s="730"/>
      <c r="S77" s="730"/>
      <c r="T77" s="73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8">
        <v>4680115881532</v>
      </c>
      <c r="E78" s="72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0"/>
      <c r="R78" s="730"/>
      <c r="S78" s="730"/>
      <c r="T78" s="73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8">
        <v>4680115881464</v>
      </c>
      <c r="E79" s="72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0"/>
      <c r="R79" s="730"/>
      <c r="S79" s="730"/>
      <c r="T79" s="73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8">
        <v>4680115881464</v>
      </c>
      <c r="E80" s="72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0"/>
      <c r="R80" s="730"/>
      <c r="S80" s="730"/>
      <c r="T80" s="73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36"/>
      <c r="B81" s="736"/>
      <c r="C81" s="736"/>
      <c r="D81" s="736"/>
      <c r="E81" s="736"/>
      <c r="F81" s="736"/>
      <c r="G81" s="736"/>
      <c r="H81" s="736"/>
      <c r="I81" s="736"/>
      <c r="J81" s="736"/>
      <c r="K81" s="736"/>
      <c r="L81" s="736"/>
      <c r="M81" s="736"/>
      <c r="N81" s="736"/>
      <c r="O81" s="737"/>
      <c r="P81" s="733" t="s">
        <v>40</v>
      </c>
      <c r="Q81" s="734"/>
      <c r="R81" s="734"/>
      <c r="S81" s="734"/>
      <c r="T81" s="734"/>
      <c r="U81" s="734"/>
      <c r="V81" s="73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36"/>
      <c r="B82" s="736"/>
      <c r="C82" s="736"/>
      <c r="D82" s="736"/>
      <c r="E82" s="736"/>
      <c r="F82" s="736"/>
      <c r="G82" s="736"/>
      <c r="H82" s="736"/>
      <c r="I82" s="736"/>
      <c r="J82" s="736"/>
      <c r="K82" s="736"/>
      <c r="L82" s="736"/>
      <c r="M82" s="736"/>
      <c r="N82" s="736"/>
      <c r="O82" s="737"/>
      <c r="P82" s="733" t="s">
        <v>40</v>
      </c>
      <c r="Q82" s="734"/>
      <c r="R82" s="734"/>
      <c r="S82" s="734"/>
      <c r="T82" s="734"/>
      <c r="U82" s="734"/>
      <c r="V82" s="73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26" t="s">
        <v>182</v>
      </c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62"/>
      <c r="AB83" s="62"/>
      <c r="AC83" s="62"/>
    </row>
    <row r="84" spans="1:68" ht="14.25" hidden="1" customHeight="1" x14ac:dyDescent="0.25">
      <c r="A84" s="727" t="s">
        <v>122</v>
      </c>
      <c r="B84" s="727"/>
      <c r="C84" s="727"/>
      <c r="D84" s="727"/>
      <c r="E84" s="727"/>
      <c r="F84" s="727"/>
      <c r="G84" s="727"/>
      <c r="H84" s="727"/>
      <c r="I84" s="727"/>
      <c r="J84" s="727"/>
      <c r="K84" s="727"/>
      <c r="L84" s="727"/>
      <c r="M84" s="727"/>
      <c r="N84" s="727"/>
      <c r="O84" s="727"/>
      <c r="P84" s="727"/>
      <c r="Q84" s="727"/>
      <c r="R84" s="727"/>
      <c r="S84" s="727"/>
      <c r="T84" s="727"/>
      <c r="U84" s="727"/>
      <c r="V84" s="727"/>
      <c r="W84" s="727"/>
      <c r="X84" s="727"/>
      <c r="Y84" s="727"/>
      <c r="Z84" s="727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728">
        <v>4680115881327</v>
      </c>
      <c r="E85" s="72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0"/>
      <c r="R85" s="730"/>
      <c r="S85" s="730"/>
      <c r="T85" s="731"/>
      <c r="U85" s="37" t="s">
        <v>46</v>
      </c>
      <c r="V85" s="37" t="s">
        <v>46</v>
      </c>
      <c r="W85" s="38" t="s">
        <v>0</v>
      </c>
      <c r="X85" s="56">
        <v>20</v>
      </c>
      <c r="Y85" s="53">
        <f>IFERROR(IF(X85="",0,CEILING((X85/$H85),1)*$H85),"")</f>
        <v>21.6</v>
      </c>
      <c r="Z85" s="39">
        <f>IFERROR(IF(Y85=0,"",ROUNDUP(Y85/H85,0)*0.01898),"")</f>
        <v>3.7960000000000001E-2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20.75925925925926</v>
      </c>
      <c r="BN85" s="75">
        <f>IFERROR(Y85*I85/H85,"0")</f>
        <v>22.42</v>
      </c>
      <c r="BO85" s="75">
        <f>IFERROR(1/J85*(X85/H85),"0")</f>
        <v>2.8935185185185182E-2</v>
      </c>
      <c r="BP85" s="75">
        <f>IFERROR(1/J85*(Y85/H85),"0")</f>
        <v>3.125E-2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8">
        <v>4680115887732</v>
      </c>
      <c r="E86" s="72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7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0"/>
      <c r="R86" s="730"/>
      <c r="S86" s="730"/>
      <c r="T86" s="73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8">
        <v>4680115887732</v>
      </c>
      <c r="E87" s="72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71" t="s">
        <v>190</v>
      </c>
      <c r="Q87" s="730"/>
      <c r="R87" s="730"/>
      <c r="S87" s="730"/>
      <c r="T87" s="73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8">
        <v>4680115881518</v>
      </c>
      <c r="E88" s="72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0"/>
      <c r="R88" s="730"/>
      <c r="S88" s="730"/>
      <c r="T88" s="73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8">
        <v>4680115881303</v>
      </c>
      <c r="E89" s="72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0"/>
      <c r="R89" s="730"/>
      <c r="S89" s="730"/>
      <c r="T89" s="731"/>
      <c r="U89" s="37" t="s">
        <v>46</v>
      </c>
      <c r="V89" s="37" t="s">
        <v>46</v>
      </c>
      <c r="W89" s="38" t="s">
        <v>0</v>
      </c>
      <c r="X89" s="56">
        <v>22.5</v>
      </c>
      <c r="Y89" s="53">
        <f>IFERROR(IF(X89="",0,CEILING((X89/$H89),1)*$H89),"")</f>
        <v>22.5</v>
      </c>
      <c r="Z89" s="39">
        <f>IFERROR(IF(Y89=0,"",ROUNDUP(Y89/H89,0)*0.00902),"")</f>
        <v>4.5100000000000001E-2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23.450000000000003</v>
      </c>
      <c r="BN89" s="75">
        <f>IFERROR(Y89*I89/H89,"0")</f>
        <v>23.450000000000003</v>
      </c>
      <c r="BO89" s="75">
        <f>IFERROR(1/J89*(X89/H89),"0")</f>
        <v>3.787878787878788E-2</v>
      </c>
      <c r="BP89" s="75">
        <f>IFERROR(1/J89*(Y89/H89),"0")</f>
        <v>3.787878787878788E-2</v>
      </c>
    </row>
    <row r="90" spans="1:68" x14ac:dyDescent="0.2">
      <c r="A90" s="736"/>
      <c r="B90" s="736"/>
      <c r="C90" s="736"/>
      <c r="D90" s="736"/>
      <c r="E90" s="736"/>
      <c r="F90" s="736"/>
      <c r="G90" s="736"/>
      <c r="H90" s="736"/>
      <c r="I90" s="736"/>
      <c r="J90" s="736"/>
      <c r="K90" s="736"/>
      <c r="L90" s="736"/>
      <c r="M90" s="736"/>
      <c r="N90" s="736"/>
      <c r="O90" s="737"/>
      <c r="P90" s="733" t="s">
        <v>40</v>
      </c>
      <c r="Q90" s="734"/>
      <c r="R90" s="734"/>
      <c r="S90" s="734"/>
      <c r="T90" s="734"/>
      <c r="U90" s="734"/>
      <c r="V90" s="735"/>
      <c r="W90" s="40" t="s">
        <v>39</v>
      </c>
      <c r="X90" s="41">
        <f>IFERROR(X85/H85,"0")+IFERROR(X86/H86,"0")+IFERROR(X87/H87,"0")+IFERROR(X88/H88,"0")+IFERROR(X89/H89,"0")</f>
        <v>6.8518518518518512</v>
      </c>
      <c r="Y90" s="41">
        <f>IFERROR(Y85/H85,"0")+IFERROR(Y86/H86,"0")+IFERROR(Y87/H87,"0")+IFERROR(Y88/H88,"0")+IFERROR(Y89/H89,"0")</f>
        <v>7</v>
      </c>
      <c r="Z90" s="41">
        <f>IFERROR(IF(Z85="",0,Z85),"0")+IFERROR(IF(Z86="",0,Z86),"0")+IFERROR(IF(Z87="",0,Z87),"0")+IFERROR(IF(Z88="",0,Z88),"0")+IFERROR(IF(Z89="",0,Z89),"0")</f>
        <v>8.3059999999999995E-2</v>
      </c>
      <c r="AA90" s="64"/>
      <c r="AB90" s="64"/>
      <c r="AC90" s="64"/>
    </row>
    <row r="91" spans="1:68" x14ac:dyDescent="0.2">
      <c r="A91" s="736"/>
      <c r="B91" s="736"/>
      <c r="C91" s="736"/>
      <c r="D91" s="736"/>
      <c r="E91" s="736"/>
      <c r="F91" s="736"/>
      <c r="G91" s="736"/>
      <c r="H91" s="736"/>
      <c r="I91" s="736"/>
      <c r="J91" s="736"/>
      <c r="K91" s="736"/>
      <c r="L91" s="736"/>
      <c r="M91" s="736"/>
      <c r="N91" s="736"/>
      <c r="O91" s="737"/>
      <c r="P91" s="733" t="s">
        <v>40</v>
      </c>
      <c r="Q91" s="734"/>
      <c r="R91" s="734"/>
      <c r="S91" s="734"/>
      <c r="T91" s="734"/>
      <c r="U91" s="734"/>
      <c r="V91" s="735"/>
      <c r="W91" s="40" t="s">
        <v>0</v>
      </c>
      <c r="X91" s="41">
        <f>IFERROR(SUM(X85:X89),"0")</f>
        <v>42.5</v>
      </c>
      <c r="Y91" s="41">
        <f>IFERROR(SUM(Y85:Y89),"0")</f>
        <v>44.1</v>
      </c>
      <c r="Z91" s="40"/>
      <c r="AA91" s="64"/>
      <c r="AB91" s="64"/>
      <c r="AC91" s="64"/>
    </row>
    <row r="92" spans="1:68" ht="14.25" hidden="1" customHeight="1" x14ac:dyDescent="0.25">
      <c r="A92" s="727" t="s">
        <v>86</v>
      </c>
      <c r="B92" s="727"/>
      <c r="C92" s="727"/>
      <c r="D92" s="727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27"/>
      <c r="P92" s="727"/>
      <c r="Q92" s="727"/>
      <c r="R92" s="727"/>
      <c r="S92" s="727"/>
      <c r="T92" s="727"/>
      <c r="U92" s="727"/>
      <c r="V92" s="727"/>
      <c r="W92" s="727"/>
      <c r="X92" s="727"/>
      <c r="Y92" s="727"/>
      <c r="Z92" s="727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728">
        <v>4607091386967</v>
      </c>
      <c r="E93" s="72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0"/>
      <c r="R93" s="730"/>
      <c r="S93" s="730"/>
      <c r="T93" s="731"/>
      <c r="U93" s="37" t="s">
        <v>46</v>
      </c>
      <c r="V93" s="37" t="s">
        <v>46</v>
      </c>
      <c r="W93" s="38" t="s">
        <v>0</v>
      </c>
      <c r="X93" s="56">
        <v>15</v>
      </c>
      <c r="Y93" s="53">
        <f t="shared" ref="Y93:Y99" si="5">IFERROR(IF(X93="",0,CEILING((X93/$H93),1)*$H93),"")</f>
        <v>16.2</v>
      </c>
      <c r="Z93" s="39">
        <f>IFERROR(IF(Y93=0,"",ROUNDUP(Y93/H93,0)*0.01898),"")</f>
        <v>3.7960000000000001E-2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15.914814814814815</v>
      </c>
      <c r="BN93" s="75">
        <f t="shared" ref="BN93:BN99" si="7">IFERROR(Y93*I93/H93,"0")</f>
        <v>17.187999999999999</v>
      </c>
      <c r="BO93" s="75">
        <f t="shared" ref="BO93:BO99" si="8">IFERROR(1/J93*(X93/H93),"0")</f>
        <v>2.8935185185185185E-2</v>
      </c>
      <c r="BP93" s="75">
        <f t="shared" ref="BP93:BP99" si="9">IFERROR(1/J93*(Y93/H93),"0")</f>
        <v>3.125E-2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8">
        <v>4607091386967</v>
      </c>
      <c r="E94" s="72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5" t="s">
        <v>199</v>
      </c>
      <c r="Q94" s="730"/>
      <c r="R94" s="730"/>
      <c r="S94" s="730"/>
      <c r="T94" s="73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8">
        <v>4680115884953</v>
      </c>
      <c r="E95" s="72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0"/>
      <c r="R95" s="730"/>
      <c r="S95" s="730"/>
      <c r="T95" s="73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728">
        <v>4680115884953</v>
      </c>
      <c r="E96" s="72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77" t="s">
        <v>203</v>
      </c>
      <c r="Q96" s="730"/>
      <c r="R96" s="730"/>
      <c r="S96" s="730"/>
      <c r="T96" s="73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205</v>
      </c>
      <c r="B97" s="60" t="s">
        <v>206</v>
      </c>
      <c r="C97" s="34">
        <v>4301051718</v>
      </c>
      <c r="D97" s="728">
        <v>4607091385731</v>
      </c>
      <c r="E97" s="72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0"/>
      <c r="R97" s="730"/>
      <c r="S97" s="730"/>
      <c r="T97" s="731"/>
      <c r="U97" s="37" t="s">
        <v>46</v>
      </c>
      <c r="V97" s="37" t="s">
        <v>46</v>
      </c>
      <c r="W97" s="38" t="s">
        <v>0</v>
      </c>
      <c r="X97" s="56"/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728">
        <v>4607091385731</v>
      </c>
      <c r="E98" s="72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779" t="s">
        <v>208</v>
      </c>
      <c r="Q98" s="730"/>
      <c r="R98" s="730"/>
      <c r="S98" s="730"/>
      <c r="T98" s="73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hidden="1" customHeight="1" x14ac:dyDescent="0.25">
      <c r="A99" s="60" t="s">
        <v>209</v>
      </c>
      <c r="B99" s="60" t="s">
        <v>210</v>
      </c>
      <c r="C99" s="34">
        <v>4301052092</v>
      </c>
      <c r="D99" s="728">
        <v>4680115880894</v>
      </c>
      <c r="E99" s="72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78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0"/>
      <c r="R99" s="730"/>
      <c r="S99" s="730"/>
      <c r="T99" s="731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5"/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0</v>
      </c>
      <c r="BN99" s="75">
        <f t="shared" si="7"/>
        <v>0</v>
      </c>
      <c r="BO99" s="75">
        <f t="shared" si="8"/>
        <v>0</v>
      </c>
      <c r="BP99" s="75">
        <f t="shared" si="9"/>
        <v>0</v>
      </c>
    </row>
    <row r="100" spans="1:68" x14ac:dyDescent="0.2">
      <c r="A100" s="736"/>
      <c r="B100" s="736"/>
      <c r="C100" s="736"/>
      <c r="D100" s="736"/>
      <c r="E100" s="736"/>
      <c r="F100" s="736"/>
      <c r="G100" s="736"/>
      <c r="H100" s="736"/>
      <c r="I100" s="736"/>
      <c r="J100" s="736"/>
      <c r="K100" s="736"/>
      <c r="L100" s="736"/>
      <c r="M100" s="736"/>
      <c r="N100" s="736"/>
      <c r="O100" s="737"/>
      <c r="P100" s="733" t="s">
        <v>40</v>
      </c>
      <c r="Q100" s="734"/>
      <c r="R100" s="734"/>
      <c r="S100" s="734"/>
      <c r="T100" s="734"/>
      <c r="U100" s="734"/>
      <c r="V100" s="735"/>
      <c r="W100" s="40" t="s">
        <v>39</v>
      </c>
      <c r="X100" s="41">
        <f>IFERROR(X93/H93,"0")+IFERROR(X94/H94,"0")+IFERROR(X95/H95,"0")+IFERROR(X96/H96,"0")+IFERROR(X97/H97,"0")+IFERROR(X98/H98,"0")+IFERROR(X99/H99,"0")</f>
        <v>1.8518518518518519</v>
      </c>
      <c r="Y100" s="41">
        <f>IFERROR(Y93/H93,"0")+IFERROR(Y94/H94,"0")+IFERROR(Y95/H95,"0")+IFERROR(Y96/H96,"0")+IFERROR(Y97/H97,"0")+IFERROR(Y98/H98,"0")+IFERROR(Y99/H99,"0")</f>
        <v>2</v>
      </c>
      <c r="Z100" s="41">
        <f>IFERROR(IF(Z93="",0,Z93),"0")+IFERROR(IF(Z94="",0,Z94),"0")+IFERROR(IF(Z95="",0,Z95),"0")+IFERROR(IF(Z96="",0,Z96),"0")+IFERROR(IF(Z97="",0,Z97),"0")+IFERROR(IF(Z98="",0,Z98),"0")+IFERROR(IF(Z99="",0,Z99),"0")</f>
        <v>3.7960000000000001E-2</v>
      </c>
      <c r="AA100" s="64"/>
      <c r="AB100" s="64"/>
      <c r="AC100" s="64"/>
    </row>
    <row r="101" spans="1:68" x14ac:dyDescent="0.2">
      <c r="A101" s="736"/>
      <c r="B101" s="736"/>
      <c r="C101" s="736"/>
      <c r="D101" s="736"/>
      <c r="E101" s="736"/>
      <c r="F101" s="736"/>
      <c r="G101" s="736"/>
      <c r="H101" s="736"/>
      <c r="I101" s="736"/>
      <c r="J101" s="736"/>
      <c r="K101" s="736"/>
      <c r="L101" s="736"/>
      <c r="M101" s="736"/>
      <c r="N101" s="736"/>
      <c r="O101" s="737"/>
      <c r="P101" s="733" t="s">
        <v>40</v>
      </c>
      <c r="Q101" s="734"/>
      <c r="R101" s="734"/>
      <c r="S101" s="734"/>
      <c r="T101" s="734"/>
      <c r="U101" s="734"/>
      <c r="V101" s="735"/>
      <c r="W101" s="40" t="s">
        <v>0</v>
      </c>
      <c r="X101" s="41">
        <f>IFERROR(SUM(X93:X99),"0")</f>
        <v>15</v>
      </c>
      <c r="Y101" s="41">
        <f>IFERROR(SUM(Y93:Y99),"0")</f>
        <v>16.2</v>
      </c>
      <c r="Z101" s="40"/>
      <c r="AA101" s="64"/>
      <c r="AB101" s="64"/>
      <c r="AC101" s="64"/>
    </row>
    <row r="102" spans="1:68" ht="16.5" hidden="1" customHeight="1" x14ac:dyDescent="0.25">
      <c r="A102" s="726" t="s">
        <v>212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2"/>
      <c r="AB102" s="62"/>
      <c r="AC102" s="62"/>
    </row>
    <row r="103" spans="1:68" ht="14.25" hidden="1" customHeight="1" x14ac:dyDescent="0.25">
      <c r="A103" s="727" t="s">
        <v>122</v>
      </c>
      <c r="B103" s="727"/>
      <c r="C103" s="727"/>
      <c r="D103" s="727"/>
      <c r="E103" s="727"/>
      <c r="F103" s="727"/>
      <c r="G103" s="727"/>
      <c r="H103" s="727"/>
      <c r="I103" s="727"/>
      <c r="J103" s="727"/>
      <c r="K103" s="727"/>
      <c r="L103" s="727"/>
      <c r="M103" s="727"/>
      <c r="N103" s="727"/>
      <c r="O103" s="727"/>
      <c r="P103" s="727"/>
      <c r="Q103" s="727"/>
      <c r="R103" s="727"/>
      <c r="S103" s="727"/>
      <c r="T103" s="727"/>
      <c r="U103" s="727"/>
      <c r="V103" s="727"/>
      <c r="W103" s="727"/>
      <c r="X103" s="727"/>
      <c r="Y103" s="727"/>
      <c r="Z103" s="727"/>
      <c r="AA103" s="63"/>
      <c r="AB103" s="63"/>
      <c r="AC103" s="63"/>
    </row>
    <row r="104" spans="1:68" ht="37.5" customHeight="1" x14ac:dyDescent="0.25">
      <c r="A104" s="60" t="s">
        <v>213</v>
      </c>
      <c r="B104" s="60" t="s">
        <v>214</v>
      </c>
      <c r="C104" s="34">
        <v>4301011514</v>
      </c>
      <c r="D104" s="728">
        <v>4680115882133</v>
      </c>
      <c r="E104" s="72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0"/>
      <c r="R104" s="730"/>
      <c r="S104" s="730"/>
      <c r="T104" s="731"/>
      <c r="U104" s="37" t="s">
        <v>46</v>
      </c>
      <c r="V104" s="37" t="s">
        <v>46</v>
      </c>
      <c r="W104" s="38" t="s">
        <v>0</v>
      </c>
      <c r="X104" s="56">
        <v>30</v>
      </c>
      <c r="Y104" s="53">
        <f t="shared" ref="Y104:Y111" si="10">IFERROR(IF(X104="",0,CEILING((X104/$H104),1)*$H104),"")</f>
        <v>32.400000000000006</v>
      </c>
      <c r="Z104" s="39">
        <f>IFERROR(IF(Y104=0,"",ROUNDUP(Y104/H104,0)*0.01898),"")</f>
        <v>5.6940000000000004E-2</v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31.138888888888889</v>
      </c>
      <c r="BN104" s="75">
        <f t="shared" ref="BN104:BN111" si="12">IFERROR(Y104*I104/H104,"0")</f>
        <v>33.630000000000003</v>
      </c>
      <c r="BO104" s="75">
        <f t="shared" ref="BO104:BO111" si="13">IFERROR(1/J104*(X104/H104),"0")</f>
        <v>4.3402777777777776E-2</v>
      </c>
      <c r="BP104" s="75">
        <f t="shared" ref="BP104:BP111" si="14">IFERROR(1/J104*(Y104/H104),"0")</f>
        <v>4.6875000000000007E-2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728">
        <v>4680115887718</v>
      </c>
      <c r="E105" s="728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8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0"/>
      <c r="R105" s="730"/>
      <c r="S105" s="730"/>
      <c r="T105" s="73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728">
        <v>4680115887718</v>
      </c>
      <c r="E106" s="728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8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0"/>
      <c r="R106" s="730"/>
      <c r="S106" s="730"/>
      <c r="T106" s="73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728">
        <v>4680115887718</v>
      </c>
      <c r="E107" s="728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7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0"/>
      <c r="R107" s="730"/>
      <c r="S107" s="730"/>
      <c r="T107" s="73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4301011417</v>
      </c>
      <c r="D108" s="728">
        <v>4680115880269</v>
      </c>
      <c r="E108" s="728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0"/>
      <c r="R108" s="730"/>
      <c r="S108" s="730"/>
      <c r="T108" s="73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4301011415</v>
      </c>
      <c r="D109" s="728">
        <v>4680115880429</v>
      </c>
      <c r="E109" s="72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78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0"/>
      <c r="R109" s="730"/>
      <c r="S109" s="730"/>
      <c r="T109" s="73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728">
        <v>4680115880429</v>
      </c>
      <c r="E110" s="72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787" t="s">
        <v>226</v>
      </c>
      <c r="Q110" s="730"/>
      <c r="R110" s="730"/>
      <c r="S110" s="730"/>
      <c r="T110" s="73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hidden="1" customHeight="1" x14ac:dyDescent="0.25">
      <c r="A111" s="60" t="s">
        <v>228</v>
      </c>
      <c r="B111" s="60" t="s">
        <v>229</v>
      </c>
      <c r="C111" s="34">
        <v>4301011462</v>
      </c>
      <c r="D111" s="728">
        <v>4680115881457</v>
      </c>
      <c r="E111" s="72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78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0"/>
      <c r="R111" s="730"/>
      <c r="S111" s="730"/>
      <c r="T111" s="73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x14ac:dyDescent="0.2">
      <c r="A112" s="736"/>
      <c r="B112" s="736"/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7"/>
      <c r="P112" s="733" t="s">
        <v>40</v>
      </c>
      <c r="Q112" s="734"/>
      <c r="R112" s="734"/>
      <c r="S112" s="734"/>
      <c r="T112" s="734"/>
      <c r="U112" s="734"/>
      <c r="V112" s="735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2.7777777777777777</v>
      </c>
      <c r="Y112" s="41">
        <f>IFERROR(Y104/H104,"0")+IFERROR(Y105/H105,"0")+IFERROR(Y106/H106,"0")+IFERROR(Y107/H107,"0")+IFERROR(Y108/H108,"0")+IFERROR(Y109/H109,"0")+IFERROR(Y110/H110,"0")+IFERROR(Y111/H111,"0")</f>
        <v>3.0000000000000004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4"/>
      <c r="AB112" s="64"/>
      <c r="AC112" s="64"/>
    </row>
    <row r="113" spans="1:68" x14ac:dyDescent="0.2">
      <c r="A113" s="736"/>
      <c r="B113" s="736"/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7"/>
      <c r="P113" s="733" t="s">
        <v>40</v>
      </c>
      <c r="Q113" s="734"/>
      <c r="R113" s="734"/>
      <c r="S113" s="734"/>
      <c r="T113" s="734"/>
      <c r="U113" s="734"/>
      <c r="V113" s="735"/>
      <c r="W113" s="40" t="s">
        <v>0</v>
      </c>
      <c r="X113" s="41">
        <f>IFERROR(SUM(X104:X111),"0")</f>
        <v>30</v>
      </c>
      <c r="Y113" s="41">
        <f>IFERROR(SUM(Y104:Y111),"0")</f>
        <v>32.400000000000006</v>
      </c>
      <c r="Z113" s="40"/>
      <c r="AA113" s="64"/>
      <c r="AB113" s="64"/>
      <c r="AC113" s="64"/>
    </row>
    <row r="114" spans="1:68" ht="14.25" hidden="1" customHeight="1" x14ac:dyDescent="0.25">
      <c r="A114" s="727" t="s">
        <v>155</v>
      </c>
      <c r="B114" s="727"/>
      <c r="C114" s="727"/>
      <c r="D114" s="727"/>
      <c r="E114" s="727"/>
      <c r="F114" s="727"/>
      <c r="G114" s="727"/>
      <c r="H114" s="727"/>
      <c r="I114" s="727"/>
      <c r="J114" s="727"/>
      <c r="K114" s="727"/>
      <c r="L114" s="727"/>
      <c r="M114" s="727"/>
      <c r="N114" s="727"/>
      <c r="O114" s="727"/>
      <c r="P114" s="727"/>
      <c r="Q114" s="727"/>
      <c r="R114" s="727"/>
      <c r="S114" s="727"/>
      <c r="T114" s="727"/>
      <c r="U114" s="727"/>
      <c r="V114" s="727"/>
      <c r="W114" s="727"/>
      <c r="X114" s="727"/>
      <c r="Y114" s="727"/>
      <c r="Z114" s="727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728">
        <v>4680115881488</v>
      </c>
      <c r="E115" s="72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0"/>
      <c r="R115" s="730"/>
      <c r="S115" s="730"/>
      <c r="T115" s="731"/>
      <c r="U115" s="37" t="s">
        <v>46</v>
      </c>
      <c r="V115" s="37" t="s">
        <v>46</v>
      </c>
      <c r="W115" s="38" t="s">
        <v>0</v>
      </c>
      <c r="X115" s="56"/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728">
        <v>4680115887664</v>
      </c>
      <c r="E116" s="728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7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0"/>
      <c r="R116" s="730"/>
      <c r="S116" s="730"/>
      <c r="T116" s="73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728">
        <v>4680115887664</v>
      </c>
      <c r="E117" s="72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7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0"/>
      <c r="R117" s="730"/>
      <c r="S117" s="730"/>
      <c r="T117" s="73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728">
        <v>4680115882775</v>
      </c>
      <c r="E118" s="72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7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0"/>
      <c r="R118" s="730"/>
      <c r="S118" s="730"/>
      <c r="T118" s="73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728">
        <v>4680115880658</v>
      </c>
      <c r="E119" s="72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0"/>
      <c r="R119" s="730"/>
      <c r="S119" s="730"/>
      <c r="T119" s="73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36"/>
      <c r="B120" s="736"/>
      <c r="C120" s="736"/>
      <c r="D120" s="736"/>
      <c r="E120" s="736"/>
      <c r="F120" s="736"/>
      <c r="G120" s="736"/>
      <c r="H120" s="736"/>
      <c r="I120" s="736"/>
      <c r="J120" s="736"/>
      <c r="K120" s="736"/>
      <c r="L120" s="736"/>
      <c r="M120" s="736"/>
      <c r="N120" s="736"/>
      <c r="O120" s="737"/>
      <c r="P120" s="733" t="s">
        <v>40</v>
      </c>
      <c r="Q120" s="734"/>
      <c r="R120" s="734"/>
      <c r="S120" s="734"/>
      <c r="T120" s="734"/>
      <c r="U120" s="734"/>
      <c r="V120" s="735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36"/>
      <c r="B121" s="736"/>
      <c r="C121" s="736"/>
      <c r="D121" s="736"/>
      <c r="E121" s="736"/>
      <c r="F121" s="736"/>
      <c r="G121" s="736"/>
      <c r="H121" s="736"/>
      <c r="I121" s="736"/>
      <c r="J121" s="736"/>
      <c r="K121" s="736"/>
      <c r="L121" s="736"/>
      <c r="M121" s="736"/>
      <c r="N121" s="736"/>
      <c r="O121" s="737"/>
      <c r="P121" s="733" t="s">
        <v>40</v>
      </c>
      <c r="Q121" s="734"/>
      <c r="R121" s="734"/>
      <c r="S121" s="734"/>
      <c r="T121" s="734"/>
      <c r="U121" s="734"/>
      <c r="V121" s="735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27" t="s">
        <v>86</v>
      </c>
      <c r="B122" s="727"/>
      <c r="C122" s="727"/>
      <c r="D122" s="727"/>
      <c r="E122" s="727"/>
      <c r="F122" s="727"/>
      <c r="G122" s="727"/>
      <c r="H122" s="727"/>
      <c r="I122" s="727"/>
      <c r="J122" s="727"/>
      <c r="K122" s="727"/>
      <c r="L122" s="727"/>
      <c r="M122" s="727"/>
      <c r="N122" s="727"/>
      <c r="O122" s="727"/>
      <c r="P122" s="727"/>
      <c r="Q122" s="727"/>
      <c r="R122" s="727"/>
      <c r="S122" s="727"/>
      <c r="T122" s="727"/>
      <c r="U122" s="727"/>
      <c r="V122" s="727"/>
      <c r="W122" s="727"/>
      <c r="X122" s="727"/>
      <c r="Y122" s="727"/>
      <c r="Z122" s="727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728">
        <v>4607091385168</v>
      </c>
      <c r="E123" s="72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79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0"/>
      <c r="R123" s="730"/>
      <c r="S123" s="730"/>
      <c r="T123" s="731"/>
      <c r="U123" s="37" t="s">
        <v>46</v>
      </c>
      <c r="V123" s="37" t="s">
        <v>46</v>
      </c>
      <c r="W123" s="38" t="s">
        <v>0</v>
      </c>
      <c r="X123" s="56">
        <v>45</v>
      </c>
      <c r="Y123" s="53">
        <f t="shared" ref="Y123:Y130" si="15">IFERROR(IF(X123="",0,CEILING((X123/$H123),1)*$H123),"")</f>
        <v>48.599999999999994</v>
      </c>
      <c r="Z123" s="39">
        <f>IFERROR(IF(Y123=0,"",ROUNDUP(Y123/H123,0)*0.01898),"")</f>
        <v>0.11388000000000001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47.711111111111109</v>
      </c>
      <c r="BN123" s="75">
        <f t="shared" ref="BN123:BN130" si="17">IFERROR(Y123*I123/H123,"0")</f>
        <v>51.527999999999992</v>
      </c>
      <c r="BO123" s="75">
        <f t="shared" ref="BO123:BO130" si="18">IFERROR(1/J123*(X123/H123),"0")</f>
        <v>8.6805555555555552E-2</v>
      </c>
      <c r="BP123" s="75">
        <f t="shared" ref="BP123:BP130" si="19">IFERROR(1/J123*(Y123/H123),"0")</f>
        <v>9.375E-2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728">
        <v>4607091385168</v>
      </c>
      <c r="E124" s="728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795" t="s">
        <v>246</v>
      </c>
      <c r="Q124" s="730"/>
      <c r="R124" s="730"/>
      <c r="S124" s="730"/>
      <c r="T124" s="73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728">
        <v>4607091383256</v>
      </c>
      <c r="E125" s="728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9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0"/>
      <c r="R125" s="730"/>
      <c r="S125" s="730"/>
      <c r="T125" s="73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728">
        <v>4607091383256</v>
      </c>
      <c r="E126" s="728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97" t="s">
        <v>250</v>
      </c>
      <c r="Q126" s="730"/>
      <c r="R126" s="730"/>
      <c r="S126" s="730"/>
      <c r="T126" s="73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hidden="1" customHeight="1" x14ac:dyDescent="0.25">
      <c r="A127" s="60" t="s">
        <v>251</v>
      </c>
      <c r="B127" s="60" t="s">
        <v>252</v>
      </c>
      <c r="C127" s="34">
        <v>4301051721</v>
      </c>
      <c r="D127" s="728">
        <v>4607091385748</v>
      </c>
      <c r="E127" s="728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79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0"/>
      <c r="R127" s="730"/>
      <c r="S127" s="730"/>
      <c r="T127" s="731"/>
      <c r="U127" s="37" t="s">
        <v>46</v>
      </c>
      <c r="V127" s="37" t="s">
        <v>46</v>
      </c>
      <c r="W127" s="38" t="s">
        <v>0</v>
      </c>
      <c r="X127" s="56"/>
      <c r="Y127" s="53">
        <f t="shared" si="15"/>
        <v>0</v>
      </c>
      <c r="Z127" s="39" t="str">
        <f t="shared" si="20"/>
        <v/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728">
        <v>4607091385748</v>
      </c>
      <c r="E128" s="728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99" t="s">
        <v>254</v>
      </c>
      <c r="Q128" s="730"/>
      <c r="R128" s="730"/>
      <c r="S128" s="730"/>
      <c r="T128" s="73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728">
        <v>4680115884533</v>
      </c>
      <c r="E129" s="728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0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0"/>
      <c r="R129" s="730"/>
      <c r="S129" s="730"/>
      <c r="T129" s="731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728">
        <v>4680115884533</v>
      </c>
      <c r="E130" s="728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01" t="s">
        <v>259</v>
      </c>
      <c r="Q130" s="730"/>
      <c r="R130" s="730"/>
      <c r="S130" s="730"/>
      <c r="T130" s="731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736"/>
      <c r="B131" s="736"/>
      <c r="C131" s="736"/>
      <c r="D131" s="736"/>
      <c r="E131" s="736"/>
      <c r="F131" s="736"/>
      <c r="G131" s="736"/>
      <c r="H131" s="736"/>
      <c r="I131" s="736"/>
      <c r="J131" s="736"/>
      <c r="K131" s="736"/>
      <c r="L131" s="736"/>
      <c r="M131" s="736"/>
      <c r="N131" s="736"/>
      <c r="O131" s="737"/>
      <c r="P131" s="733" t="s">
        <v>40</v>
      </c>
      <c r="Q131" s="734"/>
      <c r="R131" s="734"/>
      <c r="S131" s="734"/>
      <c r="T131" s="734"/>
      <c r="U131" s="734"/>
      <c r="V131" s="735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5.5555555555555554</v>
      </c>
      <c r="Y131" s="41">
        <f>IFERROR(Y123/H123,"0")+IFERROR(Y124/H124,"0")+IFERROR(Y125/H125,"0")+IFERROR(Y126/H126,"0")+IFERROR(Y127/H127,"0")+IFERROR(Y128/H128,"0")+IFERROR(Y129/H129,"0")+IFERROR(Y130/H130,"0")</f>
        <v>6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0.11388000000000001</v>
      </c>
      <c r="AA131" s="64"/>
      <c r="AB131" s="64"/>
      <c r="AC131" s="64"/>
    </row>
    <row r="132" spans="1:68" x14ac:dyDescent="0.2">
      <c r="A132" s="736"/>
      <c r="B132" s="736"/>
      <c r="C132" s="736"/>
      <c r="D132" s="736"/>
      <c r="E132" s="736"/>
      <c r="F132" s="736"/>
      <c r="G132" s="736"/>
      <c r="H132" s="736"/>
      <c r="I132" s="736"/>
      <c r="J132" s="736"/>
      <c r="K132" s="736"/>
      <c r="L132" s="736"/>
      <c r="M132" s="736"/>
      <c r="N132" s="736"/>
      <c r="O132" s="737"/>
      <c r="P132" s="733" t="s">
        <v>40</v>
      </c>
      <c r="Q132" s="734"/>
      <c r="R132" s="734"/>
      <c r="S132" s="734"/>
      <c r="T132" s="734"/>
      <c r="U132" s="734"/>
      <c r="V132" s="735"/>
      <c r="W132" s="40" t="s">
        <v>0</v>
      </c>
      <c r="X132" s="41">
        <f>IFERROR(SUM(X123:X130),"0")</f>
        <v>45</v>
      </c>
      <c r="Y132" s="41">
        <f>IFERROR(SUM(Y123:Y130),"0")</f>
        <v>48.599999999999994</v>
      </c>
      <c r="Z132" s="40"/>
      <c r="AA132" s="64"/>
      <c r="AB132" s="64"/>
      <c r="AC132" s="64"/>
    </row>
    <row r="133" spans="1:68" ht="14.25" hidden="1" customHeight="1" x14ac:dyDescent="0.25">
      <c r="A133" s="727" t="s">
        <v>173</v>
      </c>
      <c r="B133" s="727"/>
      <c r="C133" s="727"/>
      <c r="D133" s="727"/>
      <c r="E133" s="727"/>
      <c r="F133" s="727"/>
      <c r="G133" s="727"/>
      <c r="H133" s="727"/>
      <c r="I133" s="727"/>
      <c r="J133" s="727"/>
      <c r="K133" s="727"/>
      <c r="L133" s="727"/>
      <c r="M133" s="727"/>
      <c r="N133" s="727"/>
      <c r="O133" s="727"/>
      <c r="P133" s="727"/>
      <c r="Q133" s="727"/>
      <c r="R133" s="727"/>
      <c r="S133" s="727"/>
      <c r="T133" s="727"/>
      <c r="U133" s="727"/>
      <c r="V133" s="727"/>
      <c r="W133" s="727"/>
      <c r="X133" s="727"/>
      <c r="Y133" s="727"/>
      <c r="Z133" s="727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728">
        <v>4680115880238</v>
      </c>
      <c r="E134" s="728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0"/>
      <c r="R134" s="730"/>
      <c r="S134" s="730"/>
      <c r="T134" s="73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728">
        <v>4680115880238</v>
      </c>
      <c r="E135" s="728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03" t="s">
        <v>264</v>
      </c>
      <c r="Q135" s="730"/>
      <c r="R135" s="730"/>
      <c r="S135" s="730"/>
      <c r="T135" s="73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36"/>
      <c r="B136" s="736"/>
      <c r="C136" s="736"/>
      <c r="D136" s="736"/>
      <c r="E136" s="736"/>
      <c r="F136" s="736"/>
      <c r="G136" s="736"/>
      <c r="H136" s="736"/>
      <c r="I136" s="736"/>
      <c r="J136" s="736"/>
      <c r="K136" s="736"/>
      <c r="L136" s="736"/>
      <c r="M136" s="736"/>
      <c r="N136" s="736"/>
      <c r="O136" s="737"/>
      <c r="P136" s="733" t="s">
        <v>40</v>
      </c>
      <c r="Q136" s="734"/>
      <c r="R136" s="734"/>
      <c r="S136" s="734"/>
      <c r="T136" s="734"/>
      <c r="U136" s="734"/>
      <c r="V136" s="735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736"/>
      <c r="B137" s="736"/>
      <c r="C137" s="736"/>
      <c r="D137" s="736"/>
      <c r="E137" s="736"/>
      <c r="F137" s="736"/>
      <c r="G137" s="736"/>
      <c r="H137" s="736"/>
      <c r="I137" s="736"/>
      <c r="J137" s="736"/>
      <c r="K137" s="736"/>
      <c r="L137" s="736"/>
      <c r="M137" s="736"/>
      <c r="N137" s="736"/>
      <c r="O137" s="737"/>
      <c r="P137" s="733" t="s">
        <v>40</v>
      </c>
      <c r="Q137" s="734"/>
      <c r="R137" s="734"/>
      <c r="S137" s="734"/>
      <c r="T137" s="734"/>
      <c r="U137" s="734"/>
      <c r="V137" s="735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726" t="s">
        <v>265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2"/>
      <c r="AB138" s="62"/>
      <c r="AC138" s="62"/>
    </row>
    <row r="139" spans="1:68" ht="14.25" hidden="1" customHeight="1" x14ac:dyDescent="0.25">
      <c r="A139" s="727" t="s">
        <v>122</v>
      </c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7"/>
      <c r="P139" s="727"/>
      <c r="Q139" s="727"/>
      <c r="R139" s="727"/>
      <c r="S139" s="727"/>
      <c r="T139" s="727"/>
      <c r="U139" s="727"/>
      <c r="V139" s="727"/>
      <c r="W139" s="727"/>
      <c r="X139" s="727"/>
      <c r="Y139" s="727"/>
      <c r="Z139" s="727"/>
      <c r="AA139" s="63"/>
      <c r="AB139" s="63"/>
      <c r="AC139" s="63"/>
    </row>
    <row r="140" spans="1:68" ht="27" hidden="1" customHeight="1" x14ac:dyDescent="0.25">
      <c r="A140" s="60" t="s">
        <v>266</v>
      </c>
      <c r="B140" s="60" t="s">
        <v>267</v>
      </c>
      <c r="C140" s="34">
        <v>4301011562</v>
      </c>
      <c r="D140" s="728">
        <v>4680115882577</v>
      </c>
      <c r="E140" s="728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0"/>
      <c r="R140" s="730"/>
      <c r="S140" s="730"/>
      <c r="T140" s="73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728">
        <v>4680115882577</v>
      </c>
      <c r="E141" s="728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0"/>
      <c r="R141" s="730"/>
      <c r="S141" s="730"/>
      <c r="T141" s="73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idden="1" x14ac:dyDescent="0.2">
      <c r="A142" s="736"/>
      <c r="B142" s="736"/>
      <c r="C142" s="736"/>
      <c r="D142" s="736"/>
      <c r="E142" s="736"/>
      <c r="F142" s="736"/>
      <c r="G142" s="736"/>
      <c r="H142" s="736"/>
      <c r="I142" s="736"/>
      <c r="J142" s="736"/>
      <c r="K142" s="736"/>
      <c r="L142" s="736"/>
      <c r="M142" s="736"/>
      <c r="N142" s="736"/>
      <c r="O142" s="737"/>
      <c r="P142" s="733" t="s">
        <v>40</v>
      </c>
      <c r="Q142" s="734"/>
      <c r="R142" s="734"/>
      <c r="S142" s="734"/>
      <c r="T142" s="734"/>
      <c r="U142" s="734"/>
      <c r="V142" s="735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hidden="1" x14ac:dyDescent="0.2">
      <c r="A143" s="736"/>
      <c r="B143" s="736"/>
      <c r="C143" s="736"/>
      <c r="D143" s="736"/>
      <c r="E143" s="736"/>
      <c r="F143" s="736"/>
      <c r="G143" s="736"/>
      <c r="H143" s="736"/>
      <c r="I143" s="736"/>
      <c r="J143" s="736"/>
      <c r="K143" s="736"/>
      <c r="L143" s="736"/>
      <c r="M143" s="736"/>
      <c r="N143" s="736"/>
      <c r="O143" s="737"/>
      <c r="P143" s="733" t="s">
        <v>40</v>
      </c>
      <c r="Q143" s="734"/>
      <c r="R143" s="734"/>
      <c r="S143" s="734"/>
      <c r="T143" s="734"/>
      <c r="U143" s="734"/>
      <c r="V143" s="735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hidden="1" customHeight="1" x14ac:dyDescent="0.25">
      <c r="A144" s="727" t="s">
        <v>77</v>
      </c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7"/>
      <c r="P144" s="727"/>
      <c r="Q144" s="727"/>
      <c r="R144" s="727"/>
      <c r="S144" s="727"/>
      <c r="T144" s="727"/>
      <c r="U144" s="727"/>
      <c r="V144" s="727"/>
      <c r="W144" s="727"/>
      <c r="X144" s="727"/>
      <c r="Y144" s="727"/>
      <c r="Z144" s="727"/>
      <c r="AA144" s="63"/>
      <c r="AB144" s="63"/>
      <c r="AC144" s="63"/>
    </row>
    <row r="145" spans="1:68" ht="27" hidden="1" customHeight="1" x14ac:dyDescent="0.25">
      <c r="A145" s="60" t="s">
        <v>271</v>
      </c>
      <c r="B145" s="60" t="s">
        <v>272</v>
      </c>
      <c r="C145" s="34">
        <v>4301031234</v>
      </c>
      <c r="D145" s="728">
        <v>4680115883444</v>
      </c>
      <c r="E145" s="728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0"/>
      <c r="R145" s="730"/>
      <c r="S145" s="730"/>
      <c r="T145" s="731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728">
        <v>4680115883444</v>
      </c>
      <c r="E146" s="728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0"/>
      <c r="R146" s="730"/>
      <c r="S146" s="730"/>
      <c r="T146" s="73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736"/>
      <c r="B147" s="736"/>
      <c r="C147" s="736"/>
      <c r="D147" s="736"/>
      <c r="E147" s="736"/>
      <c r="F147" s="736"/>
      <c r="G147" s="736"/>
      <c r="H147" s="736"/>
      <c r="I147" s="736"/>
      <c r="J147" s="736"/>
      <c r="K147" s="736"/>
      <c r="L147" s="736"/>
      <c r="M147" s="736"/>
      <c r="N147" s="736"/>
      <c r="O147" s="737"/>
      <c r="P147" s="733" t="s">
        <v>40</v>
      </c>
      <c r="Q147" s="734"/>
      <c r="R147" s="734"/>
      <c r="S147" s="734"/>
      <c r="T147" s="734"/>
      <c r="U147" s="734"/>
      <c r="V147" s="735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736"/>
      <c r="B148" s="736"/>
      <c r="C148" s="736"/>
      <c r="D148" s="736"/>
      <c r="E148" s="736"/>
      <c r="F148" s="736"/>
      <c r="G148" s="736"/>
      <c r="H148" s="736"/>
      <c r="I148" s="736"/>
      <c r="J148" s="736"/>
      <c r="K148" s="736"/>
      <c r="L148" s="736"/>
      <c r="M148" s="736"/>
      <c r="N148" s="736"/>
      <c r="O148" s="737"/>
      <c r="P148" s="733" t="s">
        <v>40</v>
      </c>
      <c r="Q148" s="734"/>
      <c r="R148" s="734"/>
      <c r="S148" s="734"/>
      <c r="T148" s="734"/>
      <c r="U148" s="734"/>
      <c r="V148" s="735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727" t="s">
        <v>86</v>
      </c>
      <c r="B149" s="727"/>
      <c r="C149" s="727"/>
      <c r="D149" s="727"/>
      <c r="E149" s="727"/>
      <c r="F149" s="727"/>
      <c r="G149" s="727"/>
      <c r="H149" s="727"/>
      <c r="I149" s="727"/>
      <c r="J149" s="727"/>
      <c r="K149" s="727"/>
      <c r="L149" s="727"/>
      <c r="M149" s="727"/>
      <c r="N149" s="727"/>
      <c r="O149" s="727"/>
      <c r="P149" s="727"/>
      <c r="Q149" s="727"/>
      <c r="R149" s="727"/>
      <c r="S149" s="727"/>
      <c r="T149" s="727"/>
      <c r="U149" s="727"/>
      <c r="V149" s="727"/>
      <c r="W149" s="727"/>
      <c r="X149" s="727"/>
      <c r="Y149" s="727"/>
      <c r="Z149" s="727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728">
        <v>4680115882584</v>
      </c>
      <c r="E150" s="728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0"/>
      <c r="R150" s="730"/>
      <c r="S150" s="730"/>
      <c r="T150" s="73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728">
        <v>4680115882584</v>
      </c>
      <c r="E151" s="728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0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0"/>
      <c r="R151" s="730"/>
      <c r="S151" s="730"/>
      <c r="T151" s="73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36"/>
      <c r="B152" s="736"/>
      <c r="C152" s="736"/>
      <c r="D152" s="736"/>
      <c r="E152" s="736"/>
      <c r="F152" s="736"/>
      <c r="G152" s="736"/>
      <c r="H152" s="736"/>
      <c r="I152" s="736"/>
      <c r="J152" s="736"/>
      <c r="K152" s="736"/>
      <c r="L152" s="736"/>
      <c r="M152" s="736"/>
      <c r="N152" s="736"/>
      <c r="O152" s="737"/>
      <c r="P152" s="733" t="s">
        <v>40</v>
      </c>
      <c r="Q152" s="734"/>
      <c r="R152" s="734"/>
      <c r="S152" s="734"/>
      <c r="T152" s="734"/>
      <c r="U152" s="734"/>
      <c r="V152" s="735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736"/>
      <c r="B153" s="736"/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  <c r="M153" s="736"/>
      <c r="N153" s="736"/>
      <c r="O153" s="737"/>
      <c r="P153" s="733" t="s">
        <v>40</v>
      </c>
      <c r="Q153" s="734"/>
      <c r="R153" s="734"/>
      <c r="S153" s="734"/>
      <c r="T153" s="734"/>
      <c r="U153" s="734"/>
      <c r="V153" s="735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726" t="s">
        <v>278</v>
      </c>
      <c r="B154" s="726"/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62"/>
      <c r="AB154" s="62"/>
      <c r="AC154" s="62"/>
    </row>
    <row r="155" spans="1:68" ht="14.25" hidden="1" customHeight="1" x14ac:dyDescent="0.25">
      <c r="A155" s="727" t="s">
        <v>86</v>
      </c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7"/>
      <c r="P155" s="727"/>
      <c r="Q155" s="727"/>
      <c r="R155" s="727"/>
      <c r="S155" s="727"/>
      <c r="T155" s="727"/>
      <c r="U155" s="727"/>
      <c r="V155" s="727"/>
      <c r="W155" s="727"/>
      <c r="X155" s="727"/>
      <c r="Y155" s="727"/>
      <c r="Z155" s="727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728">
        <v>4680115888203</v>
      </c>
      <c r="E156" s="72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1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0"/>
      <c r="R156" s="730"/>
      <c r="S156" s="730"/>
      <c r="T156" s="73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728">
        <v>4680115888180</v>
      </c>
      <c r="E157" s="72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1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0"/>
      <c r="R157" s="730"/>
      <c r="S157" s="730"/>
      <c r="T157" s="73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728">
        <v>4680115888180</v>
      </c>
      <c r="E158" s="72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0"/>
      <c r="R158" s="730"/>
      <c r="S158" s="730"/>
      <c r="T158" s="73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728">
        <v>4680115888197</v>
      </c>
      <c r="E159" s="72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1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0"/>
      <c r="R159" s="730"/>
      <c r="S159" s="730"/>
      <c r="T159" s="73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728">
        <v>4680115888197</v>
      </c>
      <c r="E160" s="72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0"/>
      <c r="R160" s="730"/>
      <c r="S160" s="730"/>
      <c r="T160" s="73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728">
        <v>4680115888210</v>
      </c>
      <c r="E161" s="728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1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0"/>
      <c r="R161" s="730"/>
      <c r="S161" s="730"/>
      <c r="T161" s="731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728">
        <v>4680115888210</v>
      </c>
      <c r="E162" s="728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1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0"/>
      <c r="R162" s="730"/>
      <c r="S162" s="730"/>
      <c r="T162" s="731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736"/>
      <c r="B163" s="736"/>
      <c r="C163" s="736"/>
      <c r="D163" s="736"/>
      <c r="E163" s="736"/>
      <c r="F163" s="736"/>
      <c r="G163" s="736"/>
      <c r="H163" s="736"/>
      <c r="I163" s="736"/>
      <c r="J163" s="736"/>
      <c r="K163" s="736"/>
      <c r="L163" s="736"/>
      <c r="M163" s="736"/>
      <c r="N163" s="736"/>
      <c r="O163" s="737"/>
      <c r="P163" s="733" t="s">
        <v>40</v>
      </c>
      <c r="Q163" s="734"/>
      <c r="R163" s="734"/>
      <c r="S163" s="734"/>
      <c r="T163" s="734"/>
      <c r="U163" s="734"/>
      <c r="V163" s="735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736"/>
      <c r="B164" s="736"/>
      <c r="C164" s="736"/>
      <c r="D164" s="736"/>
      <c r="E164" s="736"/>
      <c r="F164" s="736"/>
      <c r="G164" s="736"/>
      <c r="H164" s="736"/>
      <c r="I164" s="736"/>
      <c r="J164" s="736"/>
      <c r="K164" s="736"/>
      <c r="L164" s="736"/>
      <c r="M164" s="736"/>
      <c r="N164" s="736"/>
      <c r="O164" s="737"/>
      <c r="P164" s="733" t="s">
        <v>40</v>
      </c>
      <c r="Q164" s="734"/>
      <c r="R164" s="734"/>
      <c r="S164" s="734"/>
      <c r="T164" s="734"/>
      <c r="U164" s="734"/>
      <c r="V164" s="735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727" t="s">
        <v>294</v>
      </c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7"/>
      <c r="P165" s="727"/>
      <c r="Q165" s="727"/>
      <c r="R165" s="727"/>
      <c r="S165" s="727"/>
      <c r="T165" s="727"/>
      <c r="U165" s="727"/>
      <c r="V165" s="727"/>
      <c r="W165" s="727"/>
      <c r="X165" s="727"/>
      <c r="Y165" s="727"/>
      <c r="Z165" s="727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728">
        <v>4680115889132</v>
      </c>
      <c r="E166" s="728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0"/>
      <c r="R166" s="730"/>
      <c r="S166" s="730"/>
      <c r="T166" s="73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36"/>
      <c r="B167" s="736"/>
      <c r="C167" s="736"/>
      <c r="D167" s="736"/>
      <c r="E167" s="736"/>
      <c r="F167" s="736"/>
      <c r="G167" s="736"/>
      <c r="H167" s="736"/>
      <c r="I167" s="736"/>
      <c r="J167" s="736"/>
      <c r="K167" s="736"/>
      <c r="L167" s="736"/>
      <c r="M167" s="736"/>
      <c r="N167" s="736"/>
      <c r="O167" s="737"/>
      <c r="P167" s="733" t="s">
        <v>40</v>
      </c>
      <c r="Q167" s="734"/>
      <c r="R167" s="734"/>
      <c r="S167" s="734"/>
      <c r="T167" s="734"/>
      <c r="U167" s="734"/>
      <c r="V167" s="735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736"/>
      <c r="B168" s="736"/>
      <c r="C168" s="736"/>
      <c r="D168" s="736"/>
      <c r="E168" s="736"/>
      <c r="F168" s="736"/>
      <c r="G168" s="736"/>
      <c r="H168" s="736"/>
      <c r="I168" s="736"/>
      <c r="J168" s="736"/>
      <c r="K168" s="736"/>
      <c r="L168" s="736"/>
      <c r="M168" s="736"/>
      <c r="N168" s="736"/>
      <c r="O168" s="737"/>
      <c r="P168" s="733" t="s">
        <v>40</v>
      </c>
      <c r="Q168" s="734"/>
      <c r="R168" s="734"/>
      <c r="S168" s="734"/>
      <c r="T168" s="734"/>
      <c r="U168" s="734"/>
      <c r="V168" s="735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726" t="s">
        <v>120</v>
      </c>
      <c r="B169" s="726"/>
      <c r="C169" s="726"/>
      <c r="D169" s="726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62"/>
      <c r="AB169" s="62"/>
      <c r="AC169" s="62"/>
    </row>
    <row r="170" spans="1:68" ht="14.25" hidden="1" customHeight="1" x14ac:dyDescent="0.25">
      <c r="A170" s="727" t="s">
        <v>122</v>
      </c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7"/>
      <c r="P170" s="727"/>
      <c r="Q170" s="727"/>
      <c r="R170" s="727"/>
      <c r="S170" s="727"/>
      <c r="T170" s="727"/>
      <c r="U170" s="727"/>
      <c r="V170" s="727"/>
      <c r="W170" s="727"/>
      <c r="X170" s="727"/>
      <c r="Y170" s="727"/>
      <c r="Z170" s="727"/>
      <c r="AA170" s="63"/>
      <c r="AB170" s="63"/>
      <c r="AC170" s="63"/>
    </row>
    <row r="171" spans="1:68" ht="27" hidden="1" customHeight="1" x14ac:dyDescent="0.25">
      <c r="A171" s="60" t="s">
        <v>301</v>
      </c>
      <c r="B171" s="60" t="s">
        <v>302</v>
      </c>
      <c r="C171" s="34">
        <v>4301012338</v>
      </c>
      <c r="D171" s="728">
        <v>4680115887374</v>
      </c>
      <c r="E171" s="728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1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0"/>
      <c r="R171" s="730"/>
      <c r="S171" s="730"/>
      <c r="T171" s="73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IFERROR(IF(Y171=0,"",ROUNDUP(Y171/H171,0)*0.01196),"")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728">
        <v>4607091384604</v>
      </c>
      <c r="E172" s="728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1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0"/>
      <c r="R172" s="730"/>
      <c r="S172" s="730"/>
      <c r="T172" s="731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728">
        <v>4680115888876</v>
      </c>
      <c r="E173" s="728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2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0"/>
      <c r="R173" s="730"/>
      <c r="S173" s="730"/>
      <c r="T173" s="731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36"/>
      <c r="B174" s="736"/>
      <c r="C174" s="736"/>
      <c r="D174" s="736"/>
      <c r="E174" s="736"/>
      <c r="F174" s="736"/>
      <c r="G174" s="736"/>
      <c r="H174" s="736"/>
      <c r="I174" s="736"/>
      <c r="J174" s="736"/>
      <c r="K174" s="736"/>
      <c r="L174" s="736"/>
      <c r="M174" s="736"/>
      <c r="N174" s="736"/>
      <c r="O174" s="737"/>
      <c r="P174" s="733" t="s">
        <v>40</v>
      </c>
      <c r="Q174" s="734"/>
      <c r="R174" s="734"/>
      <c r="S174" s="734"/>
      <c r="T174" s="734"/>
      <c r="U174" s="734"/>
      <c r="V174" s="735"/>
      <c r="W174" s="40" t="s">
        <v>39</v>
      </c>
      <c r="X174" s="41">
        <f>IFERROR(X171/H171,"0")+IFERROR(X172/H172,"0")+IFERROR(X173/H173,"0")</f>
        <v>0</v>
      </c>
      <c r="Y174" s="41">
        <f>IFERROR(Y171/H171,"0")+IFERROR(Y172/H172,"0")+IFERROR(Y173/H173,"0")</f>
        <v>0</v>
      </c>
      <c r="Z174" s="41">
        <f>IFERROR(IF(Z171="",0,Z171),"0")+IFERROR(IF(Z172="",0,Z172),"0")+IFERROR(IF(Z173="",0,Z173),"0")</f>
        <v>0</v>
      </c>
      <c r="AA174" s="64"/>
      <c r="AB174" s="64"/>
      <c r="AC174" s="64"/>
    </row>
    <row r="175" spans="1:68" hidden="1" x14ac:dyDescent="0.2">
      <c r="A175" s="736"/>
      <c r="B175" s="736"/>
      <c r="C175" s="736"/>
      <c r="D175" s="736"/>
      <c r="E175" s="736"/>
      <c r="F175" s="736"/>
      <c r="G175" s="736"/>
      <c r="H175" s="736"/>
      <c r="I175" s="736"/>
      <c r="J175" s="736"/>
      <c r="K175" s="736"/>
      <c r="L175" s="736"/>
      <c r="M175" s="736"/>
      <c r="N175" s="736"/>
      <c r="O175" s="737"/>
      <c r="P175" s="733" t="s">
        <v>40</v>
      </c>
      <c r="Q175" s="734"/>
      <c r="R175" s="734"/>
      <c r="S175" s="734"/>
      <c r="T175" s="734"/>
      <c r="U175" s="734"/>
      <c r="V175" s="735"/>
      <c r="W175" s="40" t="s">
        <v>0</v>
      </c>
      <c r="X175" s="41">
        <f>IFERROR(SUM(X171:X173),"0")</f>
        <v>0</v>
      </c>
      <c r="Y175" s="41">
        <f>IFERROR(SUM(Y171:Y173),"0")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27" t="s">
        <v>155</v>
      </c>
      <c r="B176" s="727"/>
      <c r="C176" s="727"/>
      <c r="D176" s="727"/>
      <c r="E176" s="727"/>
      <c r="F176" s="727"/>
      <c r="G176" s="727"/>
      <c r="H176" s="727"/>
      <c r="I176" s="727"/>
      <c r="J176" s="727"/>
      <c r="K176" s="727"/>
      <c r="L176" s="727"/>
      <c r="M176" s="727"/>
      <c r="N176" s="727"/>
      <c r="O176" s="727"/>
      <c r="P176" s="727"/>
      <c r="Q176" s="727"/>
      <c r="R176" s="727"/>
      <c r="S176" s="727"/>
      <c r="T176" s="727"/>
      <c r="U176" s="727"/>
      <c r="V176" s="727"/>
      <c r="W176" s="727"/>
      <c r="X176" s="727"/>
      <c r="Y176" s="727"/>
      <c r="Z176" s="727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728">
        <v>4680115887695</v>
      </c>
      <c r="E177" s="728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0"/>
      <c r="R177" s="730"/>
      <c r="S177" s="730"/>
      <c r="T177" s="731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728">
        <v>4680115889491</v>
      </c>
      <c r="E178" s="728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2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0"/>
      <c r="R178" s="730"/>
      <c r="S178" s="730"/>
      <c r="T178" s="731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736"/>
      <c r="B179" s="736"/>
      <c r="C179" s="736"/>
      <c r="D179" s="736"/>
      <c r="E179" s="736"/>
      <c r="F179" s="736"/>
      <c r="G179" s="736"/>
      <c r="H179" s="736"/>
      <c r="I179" s="736"/>
      <c r="J179" s="736"/>
      <c r="K179" s="736"/>
      <c r="L179" s="736"/>
      <c r="M179" s="736"/>
      <c r="N179" s="736"/>
      <c r="O179" s="737"/>
      <c r="P179" s="733" t="s">
        <v>40</v>
      </c>
      <c r="Q179" s="734"/>
      <c r="R179" s="734"/>
      <c r="S179" s="734"/>
      <c r="T179" s="734"/>
      <c r="U179" s="734"/>
      <c r="V179" s="735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736"/>
      <c r="B180" s="736"/>
      <c r="C180" s="736"/>
      <c r="D180" s="736"/>
      <c r="E180" s="736"/>
      <c r="F180" s="736"/>
      <c r="G180" s="736"/>
      <c r="H180" s="736"/>
      <c r="I180" s="736"/>
      <c r="J180" s="736"/>
      <c r="K180" s="736"/>
      <c r="L180" s="736"/>
      <c r="M180" s="736"/>
      <c r="N180" s="736"/>
      <c r="O180" s="737"/>
      <c r="P180" s="733" t="s">
        <v>40</v>
      </c>
      <c r="Q180" s="734"/>
      <c r="R180" s="734"/>
      <c r="S180" s="734"/>
      <c r="T180" s="734"/>
      <c r="U180" s="734"/>
      <c r="V180" s="735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727" t="s">
        <v>77</v>
      </c>
      <c r="B181" s="727"/>
      <c r="C181" s="727"/>
      <c r="D181" s="727"/>
      <c r="E181" s="727"/>
      <c r="F181" s="727"/>
      <c r="G181" s="727"/>
      <c r="H181" s="727"/>
      <c r="I181" s="727"/>
      <c r="J181" s="727"/>
      <c r="K181" s="727"/>
      <c r="L181" s="727"/>
      <c r="M181" s="727"/>
      <c r="N181" s="727"/>
      <c r="O181" s="727"/>
      <c r="P181" s="727"/>
      <c r="Q181" s="727"/>
      <c r="R181" s="727"/>
      <c r="S181" s="727"/>
      <c r="T181" s="727"/>
      <c r="U181" s="727"/>
      <c r="V181" s="727"/>
      <c r="W181" s="727"/>
      <c r="X181" s="727"/>
      <c r="Y181" s="727"/>
      <c r="Z181" s="727"/>
      <c r="AA181" s="63"/>
      <c r="AB181" s="63"/>
      <c r="AC181" s="63"/>
    </row>
    <row r="182" spans="1:68" ht="27" customHeight="1" x14ac:dyDescent="0.25">
      <c r="A182" s="60" t="s">
        <v>316</v>
      </c>
      <c r="B182" s="60" t="s">
        <v>317</v>
      </c>
      <c r="C182" s="34">
        <v>4301031496</v>
      </c>
      <c r="D182" s="728">
        <v>4680115887428</v>
      </c>
      <c r="E182" s="72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0"/>
      <c r="R182" s="730"/>
      <c r="S182" s="730"/>
      <c r="T182" s="731"/>
      <c r="U182" s="37" t="s">
        <v>46</v>
      </c>
      <c r="V182" s="37" t="s">
        <v>46</v>
      </c>
      <c r="W182" s="38" t="s">
        <v>0</v>
      </c>
      <c r="X182" s="56">
        <v>30</v>
      </c>
      <c r="Y182" s="53">
        <f t="shared" ref="Y182:Y195" si="27">IFERROR(IF(X182="",0,CEILING((X182/$H182),1)*$H182),"")</f>
        <v>31.5</v>
      </c>
      <c r="Z182" s="39">
        <f t="shared" ref="Z182:Z187" si="28">IFERROR(IF(Y182=0,"",ROUNDUP(Y182/H182,0)*0.00902),"")</f>
        <v>8.1180000000000002E-2</v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31.62857142857143</v>
      </c>
      <c r="BN182" s="75">
        <f t="shared" ref="BN182:BN195" si="30">IFERROR(Y182*I182/H182,"0")</f>
        <v>33.21</v>
      </c>
      <c r="BO182" s="75">
        <f t="shared" ref="BO182:BO195" si="31">IFERROR(1/J182*(X182/H182),"0")</f>
        <v>6.4935064935064929E-2</v>
      </c>
      <c r="BP182" s="75">
        <f t="shared" ref="BP182:BP195" si="32">IFERROR(1/J182*(Y182/H182),"0")</f>
        <v>6.8181818181818177E-2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4301031509</v>
      </c>
      <c r="D183" s="728">
        <v>4680115889170</v>
      </c>
      <c r="E183" s="728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2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0"/>
      <c r="R183" s="730"/>
      <c r="S183" s="730"/>
      <c r="T183" s="73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7"/>
        <v>0</v>
      </c>
      <c r="Z183" s="39" t="str">
        <f t="shared" si="28"/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0</v>
      </c>
      <c r="BN183" s="75">
        <f t="shared" si="30"/>
        <v>0</v>
      </c>
      <c r="BO183" s="75">
        <f t="shared" si="31"/>
        <v>0</v>
      </c>
      <c r="BP183" s="75">
        <f t="shared" si="32"/>
        <v>0</v>
      </c>
    </row>
    <row r="184" spans="1:68" ht="27" customHeight="1" x14ac:dyDescent="0.25">
      <c r="A184" s="60" t="s">
        <v>322</v>
      </c>
      <c r="B184" s="60" t="s">
        <v>323</v>
      </c>
      <c r="C184" s="34">
        <v>4301031498</v>
      </c>
      <c r="D184" s="728">
        <v>4680115887398</v>
      </c>
      <c r="E184" s="72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2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0"/>
      <c r="R184" s="730"/>
      <c r="S184" s="730"/>
      <c r="T184" s="731"/>
      <c r="U184" s="37" t="s">
        <v>46</v>
      </c>
      <c r="V184" s="37" t="s">
        <v>46</v>
      </c>
      <c r="W184" s="38" t="s">
        <v>0</v>
      </c>
      <c r="X184" s="56">
        <v>50</v>
      </c>
      <c r="Y184" s="53">
        <f t="shared" si="27"/>
        <v>52.5</v>
      </c>
      <c r="Z184" s="39">
        <f t="shared" si="28"/>
        <v>0.1353</v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52.714285714285715</v>
      </c>
      <c r="BN184" s="75">
        <f t="shared" si="30"/>
        <v>55.35</v>
      </c>
      <c r="BO184" s="75">
        <f t="shared" si="31"/>
        <v>0.10822510822510824</v>
      </c>
      <c r="BP184" s="75">
        <f t="shared" si="32"/>
        <v>0.11363636363636365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728">
        <v>4680115887398</v>
      </c>
      <c r="E185" s="728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26" t="s">
        <v>326</v>
      </c>
      <c r="Q185" s="730"/>
      <c r="R185" s="730"/>
      <c r="S185" s="730"/>
      <c r="T185" s="73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hidden="1" customHeight="1" x14ac:dyDescent="0.25">
      <c r="A186" s="60" t="s">
        <v>328</v>
      </c>
      <c r="B186" s="60" t="s">
        <v>329</v>
      </c>
      <c r="C186" s="34">
        <v>4301031497</v>
      </c>
      <c r="D186" s="728">
        <v>4680115887336</v>
      </c>
      <c r="E186" s="728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0"/>
      <c r="R186" s="730"/>
      <c r="S186" s="730"/>
      <c r="T186" s="731"/>
      <c r="U186" s="37" t="s">
        <v>46</v>
      </c>
      <c r="V186" s="37" t="s">
        <v>46</v>
      </c>
      <c r="W186" s="38" t="s">
        <v>0</v>
      </c>
      <c r="X186" s="56"/>
      <c r="Y186" s="53">
        <f t="shared" si="27"/>
        <v>0</v>
      </c>
      <c r="Z186" s="39" t="str">
        <f t="shared" si="28"/>
        <v/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0</v>
      </c>
      <c r="BN186" s="75">
        <f t="shared" si="30"/>
        <v>0</v>
      </c>
      <c r="BO186" s="75">
        <f t="shared" si="31"/>
        <v>0</v>
      </c>
      <c r="BP186" s="75">
        <f t="shared" si="32"/>
        <v>0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728">
        <v>4680115887336</v>
      </c>
      <c r="E187" s="728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28" t="s">
        <v>332</v>
      </c>
      <c r="Q187" s="730"/>
      <c r="R187" s="730"/>
      <c r="S187" s="730"/>
      <c r="T187" s="73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728">
        <v>4680115887787</v>
      </c>
      <c r="E188" s="72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2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0"/>
      <c r="R188" s="730"/>
      <c r="S188" s="730"/>
      <c r="T188" s="73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728">
        <v>4680115887787</v>
      </c>
      <c r="E189" s="728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30" t="s">
        <v>338</v>
      </c>
      <c r="Q189" s="730"/>
      <c r="R189" s="730"/>
      <c r="S189" s="730"/>
      <c r="T189" s="73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customHeight="1" x14ac:dyDescent="0.25">
      <c r="A190" s="60" t="s">
        <v>339</v>
      </c>
      <c r="B190" s="60" t="s">
        <v>340</v>
      </c>
      <c r="C190" s="34">
        <v>4301031448</v>
      </c>
      <c r="D190" s="728">
        <v>4680115887503</v>
      </c>
      <c r="E190" s="728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0"/>
      <c r="R190" s="730"/>
      <c r="S190" s="730"/>
      <c r="T190" s="731"/>
      <c r="U190" s="37" t="s">
        <v>46</v>
      </c>
      <c r="V190" s="37" t="s">
        <v>46</v>
      </c>
      <c r="W190" s="38" t="s">
        <v>0</v>
      </c>
      <c r="X190" s="56">
        <v>5.04</v>
      </c>
      <c r="Y190" s="53">
        <f t="shared" si="27"/>
        <v>5.04</v>
      </c>
      <c r="Z190" s="39">
        <f>IFERROR(IF(Y190=0,"",ROUNDUP(Y190/H190,0)*0.00502),"")</f>
        <v>1.506E-2</v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5.34</v>
      </c>
      <c r="BN190" s="75">
        <f t="shared" si="30"/>
        <v>5.34</v>
      </c>
      <c r="BO190" s="75">
        <f t="shared" si="31"/>
        <v>1.2820512820512822E-2</v>
      </c>
      <c r="BP190" s="75">
        <f t="shared" si="32"/>
        <v>1.2820512820512822E-2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728">
        <v>4680115887763</v>
      </c>
      <c r="E191" s="728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0"/>
      <c r="R191" s="730"/>
      <c r="S191" s="730"/>
      <c r="T191" s="73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customHeight="1" x14ac:dyDescent="0.25">
      <c r="A192" s="60" t="s">
        <v>344</v>
      </c>
      <c r="B192" s="60" t="s">
        <v>345</v>
      </c>
      <c r="C192" s="34">
        <v>4301031454</v>
      </c>
      <c r="D192" s="728">
        <v>4680115887480</v>
      </c>
      <c r="E192" s="728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0"/>
      <c r="R192" s="730"/>
      <c r="S192" s="730"/>
      <c r="T192" s="731"/>
      <c r="U192" s="37" t="s">
        <v>46</v>
      </c>
      <c r="V192" s="37" t="s">
        <v>46</v>
      </c>
      <c r="W192" s="38" t="s">
        <v>0</v>
      </c>
      <c r="X192" s="56">
        <v>8.4</v>
      </c>
      <c r="Y192" s="53">
        <f t="shared" si="27"/>
        <v>8.4</v>
      </c>
      <c r="Z192" s="39">
        <f>IFERROR(IF(Y192=0,"",ROUNDUP(Y192/H192,0)*0.00502),"")</f>
        <v>2.5100000000000001E-2</v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8.9000000000000021</v>
      </c>
      <c r="BN192" s="75">
        <f t="shared" si="30"/>
        <v>8.9000000000000021</v>
      </c>
      <c r="BO192" s="75">
        <f t="shared" si="31"/>
        <v>2.1367521367521368E-2</v>
      </c>
      <c r="BP192" s="75">
        <f t="shared" si="32"/>
        <v>2.1367521367521368E-2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728">
        <v>4680115887480</v>
      </c>
      <c r="E193" s="728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34" t="s">
        <v>347</v>
      </c>
      <c r="Q193" s="730"/>
      <c r="R193" s="730"/>
      <c r="S193" s="730"/>
      <c r="T193" s="731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728">
        <v>4680115888067</v>
      </c>
      <c r="E194" s="728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3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0"/>
      <c r="R194" s="730"/>
      <c r="S194" s="730"/>
      <c r="T194" s="731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customHeight="1" x14ac:dyDescent="0.25">
      <c r="A195" s="60" t="s">
        <v>351</v>
      </c>
      <c r="B195" s="60" t="s">
        <v>352</v>
      </c>
      <c r="C195" s="34">
        <v>4301031519</v>
      </c>
      <c r="D195" s="728">
        <v>4680115887435</v>
      </c>
      <c r="E195" s="728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3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0"/>
      <c r="R195" s="730"/>
      <c r="S195" s="730"/>
      <c r="T195" s="731"/>
      <c r="U195" s="37" t="s">
        <v>46</v>
      </c>
      <c r="V195" s="37" t="s">
        <v>46</v>
      </c>
      <c r="W195" s="38" t="s">
        <v>0</v>
      </c>
      <c r="X195" s="56">
        <v>6.72</v>
      </c>
      <c r="Y195" s="53">
        <f t="shared" si="27"/>
        <v>6.72</v>
      </c>
      <c r="Z195" s="39">
        <f>IFERROR(IF(Y195=0,"",ROUNDUP(Y195/H195,0)*0.00502),"")</f>
        <v>2.0080000000000001E-2</v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7.1199999999999992</v>
      </c>
      <c r="BN195" s="75">
        <f t="shared" si="30"/>
        <v>7.1199999999999992</v>
      </c>
      <c r="BO195" s="75">
        <f t="shared" si="31"/>
        <v>1.7094017094017096E-2</v>
      </c>
      <c r="BP195" s="75">
        <f t="shared" si="32"/>
        <v>1.7094017094017096E-2</v>
      </c>
    </row>
    <row r="196" spans="1:68" x14ac:dyDescent="0.2">
      <c r="A196" s="736"/>
      <c r="B196" s="736"/>
      <c r="C196" s="736"/>
      <c r="D196" s="736"/>
      <c r="E196" s="736"/>
      <c r="F196" s="736"/>
      <c r="G196" s="736"/>
      <c r="H196" s="736"/>
      <c r="I196" s="736"/>
      <c r="J196" s="736"/>
      <c r="K196" s="736"/>
      <c r="L196" s="736"/>
      <c r="M196" s="736"/>
      <c r="N196" s="736"/>
      <c r="O196" s="737"/>
      <c r="P196" s="733" t="s">
        <v>40</v>
      </c>
      <c r="Q196" s="734"/>
      <c r="R196" s="734"/>
      <c r="S196" s="734"/>
      <c r="T196" s="734"/>
      <c r="U196" s="734"/>
      <c r="V196" s="735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34.857142857142861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36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0.27671999999999997</v>
      </c>
      <c r="AA196" s="64"/>
      <c r="AB196" s="64"/>
      <c r="AC196" s="64"/>
    </row>
    <row r="197" spans="1:68" x14ac:dyDescent="0.2">
      <c r="A197" s="736"/>
      <c r="B197" s="736"/>
      <c r="C197" s="736"/>
      <c r="D197" s="736"/>
      <c r="E197" s="736"/>
      <c r="F197" s="736"/>
      <c r="G197" s="736"/>
      <c r="H197" s="736"/>
      <c r="I197" s="736"/>
      <c r="J197" s="736"/>
      <c r="K197" s="736"/>
      <c r="L197" s="736"/>
      <c r="M197" s="736"/>
      <c r="N197" s="736"/>
      <c r="O197" s="737"/>
      <c r="P197" s="733" t="s">
        <v>40</v>
      </c>
      <c r="Q197" s="734"/>
      <c r="R197" s="734"/>
      <c r="S197" s="734"/>
      <c r="T197" s="734"/>
      <c r="U197" s="734"/>
      <c r="V197" s="735"/>
      <c r="W197" s="40" t="s">
        <v>0</v>
      </c>
      <c r="X197" s="41">
        <f>IFERROR(SUM(X182:X195),"0")</f>
        <v>100.16000000000001</v>
      </c>
      <c r="Y197" s="41">
        <f>IFERROR(SUM(Y182:Y195),"0")</f>
        <v>104.16000000000001</v>
      </c>
      <c r="Z197" s="40"/>
      <c r="AA197" s="64"/>
      <c r="AB197" s="64"/>
      <c r="AC197" s="64"/>
    </row>
    <row r="198" spans="1:68" ht="14.25" hidden="1" customHeight="1" x14ac:dyDescent="0.25">
      <c r="A198" s="727" t="s">
        <v>86</v>
      </c>
      <c r="B198" s="727"/>
      <c r="C198" s="727"/>
      <c r="D198" s="727"/>
      <c r="E198" s="727"/>
      <c r="F198" s="727"/>
      <c r="G198" s="727"/>
      <c r="H198" s="727"/>
      <c r="I198" s="727"/>
      <c r="J198" s="727"/>
      <c r="K198" s="727"/>
      <c r="L198" s="727"/>
      <c r="M198" s="727"/>
      <c r="N198" s="727"/>
      <c r="O198" s="727"/>
      <c r="P198" s="727"/>
      <c r="Q198" s="727"/>
      <c r="R198" s="727"/>
      <c r="S198" s="727"/>
      <c r="T198" s="727"/>
      <c r="U198" s="727"/>
      <c r="V198" s="727"/>
      <c r="W198" s="727"/>
      <c r="X198" s="727"/>
      <c r="Y198" s="727"/>
      <c r="Z198" s="727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728">
        <v>4680115888395</v>
      </c>
      <c r="E199" s="728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0"/>
      <c r="R199" s="730"/>
      <c r="S199" s="730"/>
      <c r="T199" s="73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728">
        <v>4680115888371</v>
      </c>
      <c r="E200" s="728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0"/>
      <c r="R200" s="730"/>
      <c r="S200" s="730"/>
      <c r="T200" s="731"/>
      <c r="U200" s="37" t="s">
        <v>46</v>
      </c>
      <c r="V200" s="37" t="s">
        <v>46</v>
      </c>
      <c r="W200" s="38" t="s">
        <v>0</v>
      </c>
      <c r="X200" s="56"/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728">
        <v>4680115887459</v>
      </c>
      <c r="E201" s="728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0"/>
      <c r="R201" s="730"/>
      <c r="S201" s="730"/>
      <c r="T201" s="73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36"/>
      <c r="B202" s="736"/>
      <c r="C202" s="736"/>
      <c r="D202" s="736"/>
      <c r="E202" s="736"/>
      <c r="F202" s="736"/>
      <c r="G202" s="736"/>
      <c r="H202" s="736"/>
      <c r="I202" s="736"/>
      <c r="J202" s="736"/>
      <c r="K202" s="736"/>
      <c r="L202" s="736"/>
      <c r="M202" s="736"/>
      <c r="N202" s="736"/>
      <c r="O202" s="737"/>
      <c r="P202" s="733" t="s">
        <v>40</v>
      </c>
      <c r="Q202" s="734"/>
      <c r="R202" s="734"/>
      <c r="S202" s="734"/>
      <c r="T202" s="734"/>
      <c r="U202" s="734"/>
      <c r="V202" s="735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736"/>
      <c r="B203" s="736"/>
      <c r="C203" s="736"/>
      <c r="D203" s="736"/>
      <c r="E203" s="736"/>
      <c r="F203" s="736"/>
      <c r="G203" s="736"/>
      <c r="H203" s="736"/>
      <c r="I203" s="736"/>
      <c r="J203" s="736"/>
      <c r="K203" s="736"/>
      <c r="L203" s="736"/>
      <c r="M203" s="736"/>
      <c r="N203" s="736"/>
      <c r="O203" s="737"/>
      <c r="P203" s="733" t="s">
        <v>40</v>
      </c>
      <c r="Q203" s="734"/>
      <c r="R203" s="734"/>
      <c r="S203" s="734"/>
      <c r="T203" s="734"/>
      <c r="U203" s="734"/>
      <c r="V203" s="735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27" t="s">
        <v>294</v>
      </c>
      <c r="B204" s="727"/>
      <c r="C204" s="727"/>
      <c r="D204" s="727"/>
      <c r="E204" s="727"/>
      <c r="F204" s="727"/>
      <c r="G204" s="727"/>
      <c r="H204" s="727"/>
      <c r="I204" s="727"/>
      <c r="J204" s="727"/>
      <c r="K204" s="727"/>
      <c r="L204" s="727"/>
      <c r="M204" s="727"/>
      <c r="N204" s="727"/>
      <c r="O204" s="727"/>
      <c r="P204" s="727"/>
      <c r="Q204" s="727"/>
      <c r="R204" s="727"/>
      <c r="S204" s="727"/>
      <c r="T204" s="727"/>
      <c r="U204" s="727"/>
      <c r="V204" s="727"/>
      <c r="W204" s="727"/>
      <c r="X204" s="727"/>
      <c r="Y204" s="727"/>
      <c r="Z204" s="727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728">
        <v>4680115889026</v>
      </c>
      <c r="E205" s="728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0"/>
      <c r="R205" s="730"/>
      <c r="S205" s="730"/>
      <c r="T205" s="73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36"/>
      <c r="B206" s="736"/>
      <c r="C206" s="736"/>
      <c r="D206" s="736"/>
      <c r="E206" s="736"/>
      <c r="F206" s="736"/>
      <c r="G206" s="736"/>
      <c r="H206" s="736"/>
      <c r="I206" s="736"/>
      <c r="J206" s="736"/>
      <c r="K206" s="736"/>
      <c r="L206" s="736"/>
      <c r="M206" s="736"/>
      <c r="N206" s="736"/>
      <c r="O206" s="737"/>
      <c r="P206" s="733" t="s">
        <v>40</v>
      </c>
      <c r="Q206" s="734"/>
      <c r="R206" s="734"/>
      <c r="S206" s="734"/>
      <c r="T206" s="734"/>
      <c r="U206" s="734"/>
      <c r="V206" s="73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36"/>
      <c r="B207" s="736"/>
      <c r="C207" s="736"/>
      <c r="D207" s="736"/>
      <c r="E207" s="736"/>
      <c r="F207" s="736"/>
      <c r="G207" s="736"/>
      <c r="H207" s="736"/>
      <c r="I207" s="736"/>
      <c r="J207" s="736"/>
      <c r="K207" s="736"/>
      <c r="L207" s="736"/>
      <c r="M207" s="736"/>
      <c r="N207" s="736"/>
      <c r="O207" s="737"/>
      <c r="P207" s="733" t="s">
        <v>40</v>
      </c>
      <c r="Q207" s="734"/>
      <c r="R207" s="734"/>
      <c r="S207" s="734"/>
      <c r="T207" s="734"/>
      <c r="U207" s="734"/>
      <c r="V207" s="73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727" t="s">
        <v>366</v>
      </c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7"/>
      <c r="P208" s="727"/>
      <c r="Q208" s="727"/>
      <c r="R208" s="727"/>
      <c r="S208" s="727"/>
      <c r="T208" s="727"/>
      <c r="U208" s="727"/>
      <c r="V208" s="727"/>
      <c r="W208" s="727"/>
      <c r="X208" s="727"/>
      <c r="Y208" s="727"/>
      <c r="Z208" s="727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728">
        <v>4680115889033</v>
      </c>
      <c r="E209" s="728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0"/>
      <c r="R209" s="730"/>
      <c r="S209" s="730"/>
      <c r="T209" s="731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36"/>
      <c r="B210" s="736"/>
      <c r="C210" s="736"/>
      <c r="D210" s="736"/>
      <c r="E210" s="736"/>
      <c r="F210" s="736"/>
      <c r="G210" s="736"/>
      <c r="H210" s="736"/>
      <c r="I210" s="736"/>
      <c r="J210" s="736"/>
      <c r="K210" s="736"/>
      <c r="L210" s="736"/>
      <c r="M210" s="736"/>
      <c r="N210" s="736"/>
      <c r="O210" s="737"/>
      <c r="P210" s="733" t="s">
        <v>40</v>
      </c>
      <c r="Q210" s="734"/>
      <c r="R210" s="734"/>
      <c r="S210" s="734"/>
      <c r="T210" s="734"/>
      <c r="U210" s="734"/>
      <c r="V210" s="735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36"/>
      <c r="B211" s="736"/>
      <c r="C211" s="736"/>
      <c r="D211" s="736"/>
      <c r="E211" s="736"/>
      <c r="F211" s="736"/>
      <c r="G211" s="736"/>
      <c r="H211" s="736"/>
      <c r="I211" s="736"/>
      <c r="J211" s="736"/>
      <c r="K211" s="736"/>
      <c r="L211" s="736"/>
      <c r="M211" s="736"/>
      <c r="N211" s="736"/>
      <c r="O211" s="737"/>
      <c r="P211" s="733" t="s">
        <v>40</v>
      </c>
      <c r="Q211" s="734"/>
      <c r="R211" s="734"/>
      <c r="S211" s="734"/>
      <c r="T211" s="734"/>
      <c r="U211" s="734"/>
      <c r="V211" s="735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725" t="s">
        <v>370</v>
      </c>
      <c r="B212" s="725"/>
      <c r="C212" s="725"/>
      <c r="D212" s="725"/>
      <c r="E212" s="725"/>
      <c r="F212" s="725"/>
      <c r="G212" s="725"/>
      <c r="H212" s="725"/>
      <c r="I212" s="725"/>
      <c r="J212" s="725"/>
      <c r="K212" s="725"/>
      <c r="L212" s="725"/>
      <c r="M212" s="725"/>
      <c r="N212" s="725"/>
      <c r="O212" s="725"/>
      <c r="P212" s="725"/>
      <c r="Q212" s="725"/>
      <c r="R212" s="725"/>
      <c r="S212" s="725"/>
      <c r="T212" s="725"/>
      <c r="U212" s="725"/>
      <c r="V212" s="725"/>
      <c r="W212" s="725"/>
      <c r="X212" s="725"/>
      <c r="Y212" s="725"/>
      <c r="Z212" s="725"/>
      <c r="AA212" s="52"/>
      <c r="AB212" s="52"/>
      <c r="AC212" s="52"/>
    </row>
    <row r="213" spans="1:68" ht="16.5" hidden="1" customHeight="1" x14ac:dyDescent="0.25">
      <c r="A213" s="726" t="s">
        <v>371</v>
      </c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62"/>
      <c r="AB213" s="62"/>
      <c r="AC213" s="62"/>
    </row>
    <row r="214" spans="1:68" ht="14.25" hidden="1" customHeight="1" x14ac:dyDescent="0.25">
      <c r="A214" s="727" t="s">
        <v>122</v>
      </c>
      <c r="B214" s="727"/>
      <c r="C214" s="727"/>
      <c r="D214" s="727"/>
      <c r="E214" s="727"/>
      <c r="F214" s="727"/>
      <c r="G214" s="727"/>
      <c r="H214" s="727"/>
      <c r="I214" s="727"/>
      <c r="J214" s="727"/>
      <c r="K214" s="727"/>
      <c r="L214" s="727"/>
      <c r="M214" s="727"/>
      <c r="N214" s="727"/>
      <c r="O214" s="727"/>
      <c r="P214" s="727"/>
      <c r="Q214" s="727"/>
      <c r="R214" s="727"/>
      <c r="S214" s="727"/>
      <c r="T214" s="727"/>
      <c r="U214" s="727"/>
      <c r="V214" s="727"/>
      <c r="W214" s="727"/>
      <c r="X214" s="727"/>
      <c r="Y214" s="727"/>
      <c r="Z214" s="727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728">
        <v>4607091383423</v>
      </c>
      <c r="E215" s="728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0"/>
      <c r="R215" s="730"/>
      <c r="S215" s="730"/>
      <c r="T215" s="73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728">
        <v>4680115888760</v>
      </c>
      <c r="E216" s="728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0"/>
      <c r="R216" s="730"/>
      <c r="S216" s="730"/>
      <c r="T216" s="73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728">
        <v>4680115888807</v>
      </c>
      <c r="E217" s="728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4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0"/>
      <c r="R217" s="730"/>
      <c r="S217" s="730"/>
      <c r="T217" s="73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728">
        <v>4680115888852</v>
      </c>
      <c r="E218" s="728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0"/>
      <c r="R218" s="730"/>
      <c r="S218" s="730"/>
      <c r="T218" s="73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728">
        <v>4680115886957</v>
      </c>
      <c r="E219" s="728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0"/>
      <c r="R219" s="730"/>
      <c r="S219" s="730"/>
      <c r="T219" s="73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728">
        <v>4680115885660</v>
      </c>
      <c r="E220" s="728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0"/>
      <c r="R220" s="730"/>
      <c r="S220" s="730"/>
      <c r="T220" s="73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728">
        <v>4680115886773</v>
      </c>
      <c r="E221" s="728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0"/>
      <c r="R221" s="730"/>
      <c r="S221" s="730"/>
      <c r="T221" s="73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736"/>
      <c r="B222" s="736"/>
      <c r="C222" s="736"/>
      <c r="D222" s="736"/>
      <c r="E222" s="736"/>
      <c r="F222" s="736"/>
      <c r="G222" s="736"/>
      <c r="H222" s="736"/>
      <c r="I222" s="736"/>
      <c r="J222" s="736"/>
      <c r="K222" s="736"/>
      <c r="L222" s="736"/>
      <c r="M222" s="736"/>
      <c r="N222" s="736"/>
      <c r="O222" s="737"/>
      <c r="P222" s="733" t="s">
        <v>40</v>
      </c>
      <c r="Q222" s="734"/>
      <c r="R222" s="734"/>
      <c r="S222" s="734"/>
      <c r="T222" s="734"/>
      <c r="U222" s="734"/>
      <c r="V222" s="735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736"/>
      <c r="B223" s="736"/>
      <c r="C223" s="736"/>
      <c r="D223" s="736"/>
      <c r="E223" s="736"/>
      <c r="F223" s="736"/>
      <c r="G223" s="736"/>
      <c r="H223" s="736"/>
      <c r="I223" s="736"/>
      <c r="J223" s="736"/>
      <c r="K223" s="736"/>
      <c r="L223" s="736"/>
      <c r="M223" s="736"/>
      <c r="N223" s="736"/>
      <c r="O223" s="737"/>
      <c r="P223" s="733" t="s">
        <v>40</v>
      </c>
      <c r="Q223" s="734"/>
      <c r="R223" s="734"/>
      <c r="S223" s="734"/>
      <c r="T223" s="734"/>
      <c r="U223" s="734"/>
      <c r="V223" s="735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726" t="s">
        <v>392</v>
      </c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62"/>
      <c r="AB224" s="62"/>
      <c r="AC224" s="62"/>
    </row>
    <row r="225" spans="1:68" ht="14.25" hidden="1" customHeight="1" x14ac:dyDescent="0.25">
      <c r="A225" s="727" t="s">
        <v>155</v>
      </c>
      <c r="B225" s="727"/>
      <c r="C225" s="727"/>
      <c r="D225" s="727"/>
      <c r="E225" s="727"/>
      <c r="F225" s="727"/>
      <c r="G225" s="727"/>
      <c r="H225" s="727"/>
      <c r="I225" s="727"/>
      <c r="J225" s="727"/>
      <c r="K225" s="727"/>
      <c r="L225" s="727"/>
      <c r="M225" s="727"/>
      <c r="N225" s="727"/>
      <c r="O225" s="727"/>
      <c r="P225" s="727"/>
      <c r="Q225" s="727"/>
      <c r="R225" s="727"/>
      <c r="S225" s="727"/>
      <c r="T225" s="727"/>
      <c r="U225" s="727"/>
      <c r="V225" s="727"/>
      <c r="W225" s="727"/>
      <c r="X225" s="727"/>
      <c r="Y225" s="727"/>
      <c r="Z225" s="727"/>
      <c r="AA225" s="63"/>
      <c r="AB225" s="63"/>
      <c r="AC225" s="63"/>
    </row>
    <row r="226" spans="1:68" ht="27" hidden="1" customHeight="1" x14ac:dyDescent="0.25">
      <c r="A226" s="60" t="s">
        <v>393</v>
      </c>
      <c r="B226" s="60" t="s">
        <v>394</v>
      </c>
      <c r="C226" s="34">
        <v>4301020323</v>
      </c>
      <c r="D226" s="728">
        <v>4680115886223</v>
      </c>
      <c r="E226" s="728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0"/>
      <c r="R226" s="730"/>
      <c r="S226" s="730"/>
      <c r="T226" s="73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736"/>
      <c r="B227" s="736"/>
      <c r="C227" s="736"/>
      <c r="D227" s="736"/>
      <c r="E227" s="736"/>
      <c r="F227" s="736"/>
      <c r="G227" s="736"/>
      <c r="H227" s="736"/>
      <c r="I227" s="736"/>
      <c r="J227" s="736"/>
      <c r="K227" s="736"/>
      <c r="L227" s="736"/>
      <c r="M227" s="736"/>
      <c r="N227" s="736"/>
      <c r="O227" s="737"/>
      <c r="P227" s="733" t="s">
        <v>40</v>
      </c>
      <c r="Q227" s="734"/>
      <c r="R227" s="734"/>
      <c r="S227" s="734"/>
      <c r="T227" s="734"/>
      <c r="U227" s="734"/>
      <c r="V227" s="735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736"/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  <c r="O228" s="737"/>
      <c r="P228" s="733" t="s">
        <v>40</v>
      </c>
      <c r="Q228" s="734"/>
      <c r="R228" s="734"/>
      <c r="S228" s="734"/>
      <c r="T228" s="734"/>
      <c r="U228" s="734"/>
      <c r="V228" s="735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727" t="s">
        <v>77</v>
      </c>
      <c r="B229" s="727"/>
      <c r="C229" s="727"/>
      <c r="D229" s="727"/>
      <c r="E229" s="727"/>
      <c r="F229" s="727"/>
      <c r="G229" s="727"/>
      <c r="H229" s="727"/>
      <c r="I229" s="727"/>
      <c r="J229" s="727"/>
      <c r="K229" s="727"/>
      <c r="L229" s="727"/>
      <c r="M229" s="727"/>
      <c r="N229" s="727"/>
      <c r="O229" s="727"/>
      <c r="P229" s="727"/>
      <c r="Q229" s="727"/>
      <c r="R229" s="727"/>
      <c r="S229" s="727"/>
      <c r="T229" s="727"/>
      <c r="U229" s="727"/>
      <c r="V229" s="727"/>
      <c r="W229" s="727"/>
      <c r="X229" s="727"/>
      <c r="Y229" s="727"/>
      <c r="Z229" s="727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4301031191</v>
      </c>
      <c r="D230" s="728">
        <v>4680115880993</v>
      </c>
      <c r="E230" s="728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0"/>
      <c r="R230" s="730"/>
      <c r="S230" s="730"/>
      <c r="T230" s="73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ref="Y230:Y243" si="39"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0</v>
      </c>
      <c r="BN230" s="75">
        <f t="shared" ref="BN230:BN243" si="41">IFERROR(Y230*I230/H230,"0")</f>
        <v>0</v>
      </c>
      <c r="BO230" s="75">
        <f t="shared" ref="BO230:BO243" si="42">IFERROR(1/J230*(X230/H230),"0")</f>
        <v>0</v>
      </c>
      <c r="BP230" s="75">
        <f t="shared" ref="BP230:BP243" si="43">IFERROR(1/J230*(Y230/H230),"0")</f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4301031204</v>
      </c>
      <c r="D231" s="728">
        <v>4680115881761</v>
      </c>
      <c r="E231" s="728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0"/>
      <c r="R231" s="730"/>
      <c r="S231" s="730"/>
      <c r="T231" s="73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9"/>
        <v>0</v>
      </c>
      <c r="Z231" s="39" t="str">
        <f>IFERROR(IF(Y231=0,"",ROUNDUP(Y231/H231,0)*0.00902),"")</f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0</v>
      </c>
      <c r="BN231" s="75">
        <f t="shared" si="41"/>
        <v>0</v>
      </c>
      <c r="BO231" s="75">
        <f t="shared" si="42"/>
        <v>0</v>
      </c>
      <c r="BP231" s="75">
        <f t="shared" si="43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4301031201</v>
      </c>
      <c r="D232" s="728">
        <v>4680115881563</v>
      </c>
      <c r="E232" s="728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0"/>
      <c r="R232" s="730"/>
      <c r="S232" s="730"/>
      <c r="T232" s="73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9"/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0</v>
      </c>
      <c r="BN232" s="75">
        <f t="shared" si="41"/>
        <v>0</v>
      </c>
      <c r="BO232" s="75">
        <f t="shared" si="42"/>
        <v>0</v>
      </c>
      <c r="BP232" s="75">
        <f t="shared" si="43"/>
        <v>0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728">
        <v>4680115887565</v>
      </c>
      <c r="E233" s="728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0"/>
      <c r="R233" s="730"/>
      <c r="S233" s="730"/>
      <c r="T233" s="73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4301031199</v>
      </c>
      <c r="D234" s="728">
        <v>4680115880986</v>
      </c>
      <c r="E234" s="728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0"/>
      <c r="R234" s="730"/>
      <c r="S234" s="730"/>
      <c r="T234" s="73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9"/>
        <v>0</v>
      </c>
      <c r="Z234" s="39" t="str">
        <f t="shared" ref="Z234:Z239" si="44">IFERROR(IF(Y234=0,"",ROUNDUP(Y234/H234,0)*0.00502),"")</f>
        <v/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0</v>
      </c>
      <c r="BN234" s="75">
        <f t="shared" si="41"/>
        <v>0</v>
      </c>
      <c r="BO234" s="75">
        <f t="shared" si="42"/>
        <v>0</v>
      </c>
      <c r="BP234" s="75">
        <f t="shared" si="43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728">
        <v>4680115887213</v>
      </c>
      <c r="E235" s="728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0"/>
      <c r="R235" s="730"/>
      <c r="S235" s="730"/>
      <c r="T235" s="73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4301031205</v>
      </c>
      <c r="D236" s="728">
        <v>4680115881785</v>
      </c>
      <c r="E236" s="728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5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0"/>
      <c r="R236" s="730"/>
      <c r="S236" s="730"/>
      <c r="T236" s="73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9"/>
        <v>0</v>
      </c>
      <c r="Z236" s="39" t="str">
        <f t="shared" si="44"/>
        <v/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0</v>
      </c>
      <c r="BN236" s="75">
        <f t="shared" si="41"/>
        <v>0</v>
      </c>
      <c r="BO236" s="75">
        <f t="shared" si="42"/>
        <v>0</v>
      </c>
      <c r="BP236" s="75">
        <f t="shared" si="43"/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728">
        <v>4680115888432</v>
      </c>
      <c r="E237" s="728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0"/>
      <c r="R237" s="730"/>
      <c r="S237" s="730"/>
      <c r="T237" s="73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4301031427</v>
      </c>
      <c r="D238" s="728">
        <v>4680115888104</v>
      </c>
      <c r="E238" s="728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5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0"/>
      <c r="R238" s="730"/>
      <c r="S238" s="730"/>
      <c r="T238" s="73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9"/>
        <v>0</v>
      </c>
      <c r="Z238" s="39" t="str">
        <f t="shared" si="44"/>
        <v/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0</v>
      </c>
      <c r="BN238" s="75">
        <f t="shared" si="41"/>
        <v>0</v>
      </c>
      <c r="BO238" s="75">
        <f t="shared" si="42"/>
        <v>0</v>
      </c>
      <c r="BP238" s="75">
        <f t="shared" si="43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4301031399</v>
      </c>
      <c r="D239" s="728">
        <v>4680115886537</v>
      </c>
      <c r="E239" s="728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0"/>
      <c r="R239" s="730"/>
      <c r="S239" s="730"/>
      <c r="T239" s="73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9"/>
        <v>0</v>
      </c>
      <c r="Z239" s="39" t="str">
        <f t="shared" si="44"/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0</v>
      </c>
      <c r="BN239" s="75">
        <f t="shared" si="41"/>
        <v>0</v>
      </c>
      <c r="BO239" s="75">
        <f t="shared" si="42"/>
        <v>0</v>
      </c>
      <c r="BP239" s="75">
        <f t="shared" si="43"/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728">
        <v>4680115887596</v>
      </c>
      <c r="E240" s="728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0"/>
      <c r="R240" s="730"/>
      <c r="S240" s="730"/>
      <c r="T240" s="73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hidden="1" customHeight="1" x14ac:dyDescent="0.25">
      <c r="A241" s="60" t="s">
        <v>427</v>
      </c>
      <c r="B241" s="60" t="s">
        <v>428</v>
      </c>
      <c r="C241" s="34">
        <v>4301031202</v>
      </c>
      <c r="D241" s="728">
        <v>4680115881679</v>
      </c>
      <c r="E241" s="728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0"/>
      <c r="R241" s="730"/>
      <c r="S241" s="730"/>
      <c r="T241" s="73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9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0</v>
      </c>
      <c r="BN241" s="75">
        <f t="shared" si="41"/>
        <v>0</v>
      </c>
      <c r="BO241" s="75">
        <f t="shared" si="42"/>
        <v>0</v>
      </c>
      <c r="BP241" s="75">
        <f t="shared" si="43"/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728">
        <v>4680115880191</v>
      </c>
      <c r="E242" s="728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0"/>
      <c r="R242" s="730"/>
      <c r="S242" s="730"/>
      <c r="T242" s="73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728">
        <v>4680115883963</v>
      </c>
      <c r="E243" s="728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0"/>
      <c r="R243" s="730"/>
      <c r="S243" s="730"/>
      <c r="T243" s="73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hidden="1" x14ac:dyDescent="0.2">
      <c r="A244" s="736"/>
      <c r="B244" s="736"/>
      <c r="C244" s="736"/>
      <c r="D244" s="736"/>
      <c r="E244" s="736"/>
      <c r="F244" s="736"/>
      <c r="G244" s="736"/>
      <c r="H244" s="736"/>
      <c r="I244" s="736"/>
      <c r="J244" s="736"/>
      <c r="K244" s="736"/>
      <c r="L244" s="736"/>
      <c r="M244" s="736"/>
      <c r="N244" s="736"/>
      <c r="O244" s="737"/>
      <c r="P244" s="733" t="s">
        <v>40</v>
      </c>
      <c r="Q244" s="734"/>
      <c r="R244" s="734"/>
      <c r="S244" s="734"/>
      <c r="T244" s="734"/>
      <c r="U244" s="734"/>
      <c r="V244" s="735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4"/>
      <c r="AB244" s="64"/>
      <c r="AC244" s="64"/>
    </row>
    <row r="245" spans="1:68" hidden="1" x14ac:dyDescent="0.2">
      <c r="A245" s="736"/>
      <c r="B245" s="736"/>
      <c r="C245" s="736"/>
      <c r="D245" s="736"/>
      <c r="E245" s="736"/>
      <c r="F245" s="736"/>
      <c r="G245" s="736"/>
      <c r="H245" s="736"/>
      <c r="I245" s="736"/>
      <c r="J245" s="736"/>
      <c r="K245" s="736"/>
      <c r="L245" s="736"/>
      <c r="M245" s="736"/>
      <c r="N245" s="736"/>
      <c r="O245" s="737"/>
      <c r="P245" s="733" t="s">
        <v>40</v>
      </c>
      <c r="Q245" s="734"/>
      <c r="R245" s="734"/>
      <c r="S245" s="734"/>
      <c r="T245" s="734"/>
      <c r="U245" s="734"/>
      <c r="V245" s="735"/>
      <c r="W245" s="40" t="s">
        <v>0</v>
      </c>
      <c r="X245" s="41">
        <f>IFERROR(SUM(X230:X243),"0")</f>
        <v>0</v>
      </c>
      <c r="Y245" s="41">
        <f>IFERROR(SUM(Y230:Y243),"0")</f>
        <v>0</v>
      </c>
      <c r="Z245" s="40"/>
      <c r="AA245" s="64"/>
      <c r="AB245" s="64"/>
      <c r="AC245" s="64"/>
    </row>
    <row r="246" spans="1:68" ht="14.25" hidden="1" customHeight="1" x14ac:dyDescent="0.25">
      <c r="A246" s="727" t="s">
        <v>86</v>
      </c>
      <c r="B246" s="727"/>
      <c r="C246" s="727"/>
      <c r="D246" s="727"/>
      <c r="E246" s="727"/>
      <c r="F246" s="727"/>
      <c r="G246" s="727"/>
      <c r="H246" s="727"/>
      <c r="I246" s="727"/>
      <c r="J246" s="727"/>
      <c r="K246" s="727"/>
      <c r="L246" s="727"/>
      <c r="M246" s="727"/>
      <c r="N246" s="727"/>
      <c r="O246" s="727"/>
      <c r="P246" s="727"/>
      <c r="Q246" s="727"/>
      <c r="R246" s="727"/>
      <c r="S246" s="727"/>
      <c r="T246" s="727"/>
      <c r="U246" s="727"/>
      <c r="V246" s="727"/>
      <c r="W246" s="727"/>
      <c r="X246" s="727"/>
      <c r="Y246" s="727"/>
      <c r="Z246" s="727"/>
      <c r="AA246" s="63"/>
      <c r="AB246" s="63"/>
      <c r="AC246" s="63"/>
    </row>
    <row r="247" spans="1:68" ht="16.5" hidden="1" customHeight="1" x14ac:dyDescent="0.25">
      <c r="A247" s="60" t="s">
        <v>434</v>
      </c>
      <c r="B247" s="60" t="s">
        <v>435</v>
      </c>
      <c r="C247" s="34">
        <v>4301052209</v>
      </c>
      <c r="D247" s="728">
        <v>4680115888692</v>
      </c>
      <c r="E247" s="728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6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0"/>
      <c r="R247" s="730"/>
      <c r="S247" s="730"/>
      <c r="T247" s="731"/>
      <c r="U247" s="37" t="s">
        <v>46</v>
      </c>
      <c r="V247" s="37" t="s">
        <v>46</v>
      </c>
      <c r="W247" s="38" t="s">
        <v>0</v>
      </c>
      <c r="X247" s="56"/>
      <c r="Y247" s="53">
        <f>IFERROR(IF(X247="",0,CEILING((X247/$H247),1)*$H247),"")</f>
        <v>0</v>
      </c>
      <c r="Z247" s="39" t="str">
        <f>IFERROR(IF(Y247=0,"",ROUNDUP(Y247/H247,0)*0.01196),"")</f>
        <v/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4301052213</v>
      </c>
      <c r="D248" s="728">
        <v>4680115888722</v>
      </c>
      <c r="E248" s="728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6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0"/>
      <c r="R248" s="730"/>
      <c r="S248" s="730"/>
      <c r="T248" s="731"/>
      <c r="U248" s="37" t="s">
        <v>46</v>
      </c>
      <c r="V248" s="37" t="s">
        <v>46</v>
      </c>
      <c r="W248" s="38" t="s">
        <v>0</v>
      </c>
      <c r="X248" s="56"/>
      <c r="Y248" s="53">
        <f>IFERROR(IF(X248="",0,CEILING((X248/$H248),1)*$H248),"")</f>
        <v>0</v>
      </c>
      <c r="Z248" s="39" t="str">
        <f>IFERROR(IF(Y248=0,"",ROUNDUP(Y248/H248,0)*0.01196),"")</f>
        <v/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4301052177</v>
      </c>
      <c r="D249" s="728">
        <v>4680115888951</v>
      </c>
      <c r="E249" s="728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0"/>
      <c r="R249" s="730"/>
      <c r="S249" s="730"/>
      <c r="T249" s="73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IFERROR(IF(Y249=0,"",ROUNDUP(Y249/H249,0)*0.00902),"")</f>
        <v/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728">
        <v>4680115888975</v>
      </c>
      <c r="E250" s="728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6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0"/>
      <c r="R250" s="730"/>
      <c r="S250" s="730"/>
      <c r="T250" s="73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446</v>
      </c>
      <c r="B251" s="60" t="s">
        <v>447</v>
      </c>
      <c r="C251" s="34">
        <v>4301052176</v>
      </c>
      <c r="D251" s="728">
        <v>4680115888982</v>
      </c>
      <c r="E251" s="728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6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0"/>
      <c r="R251" s="730"/>
      <c r="S251" s="730"/>
      <c r="T251" s="73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36"/>
      <c r="B252" s="736"/>
      <c r="C252" s="736"/>
      <c r="D252" s="736"/>
      <c r="E252" s="736"/>
      <c r="F252" s="736"/>
      <c r="G252" s="736"/>
      <c r="H252" s="736"/>
      <c r="I252" s="736"/>
      <c r="J252" s="736"/>
      <c r="K252" s="736"/>
      <c r="L252" s="736"/>
      <c r="M252" s="736"/>
      <c r="N252" s="736"/>
      <c r="O252" s="737"/>
      <c r="P252" s="733" t="s">
        <v>40</v>
      </c>
      <c r="Q252" s="734"/>
      <c r="R252" s="734"/>
      <c r="S252" s="734"/>
      <c r="T252" s="734"/>
      <c r="U252" s="734"/>
      <c r="V252" s="735"/>
      <c r="W252" s="40" t="s">
        <v>39</v>
      </c>
      <c r="X252" s="41">
        <f>IFERROR(X247/H247,"0")+IFERROR(X248/H248,"0")+IFERROR(X249/H249,"0")+IFERROR(X250/H250,"0")+IFERROR(X251/H251,"0")</f>
        <v>0</v>
      </c>
      <c r="Y252" s="41">
        <f>IFERROR(Y247/H247,"0")+IFERROR(Y248/H248,"0")+IFERROR(Y249/H249,"0")+IFERROR(Y250/H250,"0")+IFERROR(Y251/H251,"0")</f>
        <v>0</v>
      </c>
      <c r="Z252" s="41">
        <f>IFERROR(IF(Z247="",0,Z247),"0")+IFERROR(IF(Z248="",0,Z248),"0")+IFERROR(IF(Z249="",0,Z249),"0")+IFERROR(IF(Z250="",0,Z250),"0")+IFERROR(IF(Z251="",0,Z251),"0")</f>
        <v>0</v>
      </c>
      <c r="AA252" s="64"/>
      <c r="AB252" s="64"/>
      <c r="AC252" s="64"/>
    </row>
    <row r="253" spans="1:68" hidden="1" x14ac:dyDescent="0.2">
      <c r="A253" s="736"/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7"/>
      <c r="P253" s="733" t="s">
        <v>40</v>
      </c>
      <c r="Q253" s="734"/>
      <c r="R253" s="734"/>
      <c r="S253" s="734"/>
      <c r="T253" s="734"/>
      <c r="U253" s="734"/>
      <c r="V253" s="735"/>
      <c r="W253" s="40" t="s">
        <v>0</v>
      </c>
      <c r="X253" s="41">
        <f>IFERROR(SUM(X247:X251),"0")</f>
        <v>0</v>
      </c>
      <c r="Y253" s="41">
        <f>IFERROR(SUM(Y247:Y251),"0")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727" t="s">
        <v>294</v>
      </c>
      <c r="B254" s="727"/>
      <c r="C254" s="727"/>
      <c r="D254" s="727"/>
      <c r="E254" s="727"/>
      <c r="F254" s="727"/>
      <c r="G254" s="727"/>
      <c r="H254" s="727"/>
      <c r="I254" s="727"/>
      <c r="J254" s="727"/>
      <c r="K254" s="727"/>
      <c r="L254" s="727"/>
      <c r="M254" s="727"/>
      <c r="N254" s="727"/>
      <c r="O254" s="727"/>
      <c r="P254" s="727"/>
      <c r="Q254" s="727"/>
      <c r="R254" s="727"/>
      <c r="S254" s="727"/>
      <c r="T254" s="727"/>
      <c r="U254" s="727"/>
      <c r="V254" s="727"/>
      <c r="W254" s="727"/>
      <c r="X254" s="727"/>
      <c r="Y254" s="727"/>
      <c r="Z254" s="727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728">
        <v>4680115886780</v>
      </c>
      <c r="E255" s="728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0"/>
      <c r="R255" s="730"/>
      <c r="S255" s="730"/>
      <c r="T255" s="73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728">
        <v>4680115886742</v>
      </c>
      <c r="E256" s="72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0"/>
      <c r="R256" s="730"/>
      <c r="S256" s="730"/>
      <c r="T256" s="73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728">
        <v>4680115886766</v>
      </c>
      <c r="E257" s="72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7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0"/>
      <c r="R257" s="730"/>
      <c r="S257" s="730"/>
      <c r="T257" s="73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36"/>
      <c r="B258" s="736"/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  <c r="O258" s="737"/>
      <c r="P258" s="733" t="s">
        <v>40</v>
      </c>
      <c r="Q258" s="734"/>
      <c r="R258" s="734"/>
      <c r="S258" s="734"/>
      <c r="T258" s="734"/>
      <c r="U258" s="734"/>
      <c r="V258" s="735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736"/>
      <c r="B259" s="736"/>
      <c r="C259" s="736"/>
      <c r="D259" s="736"/>
      <c r="E259" s="736"/>
      <c r="F259" s="736"/>
      <c r="G259" s="736"/>
      <c r="H259" s="736"/>
      <c r="I259" s="736"/>
      <c r="J259" s="736"/>
      <c r="K259" s="736"/>
      <c r="L259" s="736"/>
      <c r="M259" s="736"/>
      <c r="N259" s="736"/>
      <c r="O259" s="737"/>
      <c r="P259" s="733" t="s">
        <v>40</v>
      </c>
      <c r="Q259" s="734"/>
      <c r="R259" s="734"/>
      <c r="S259" s="734"/>
      <c r="T259" s="734"/>
      <c r="U259" s="734"/>
      <c r="V259" s="735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27" t="s">
        <v>456</v>
      </c>
      <c r="B260" s="727"/>
      <c r="C260" s="727"/>
      <c r="D260" s="727"/>
      <c r="E260" s="727"/>
      <c r="F260" s="727"/>
      <c r="G260" s="727"/>
      <c r="H260" s="727"/>
      <c r="I260" s="727"/>
      <c r="J260" s="727"/>
      <c r="K260" s="727"/>
      <c r="L260" s="727"/>
      <c r="M260" s="727"/>
      <c r="N260" s="727"/>
      <c r="O260" s="727"/>
      <c r="P260" s="727"/>
      <c r="Q260" s="727"/>
      <c r="R260" s="727"/>
      <c r="S260" s="727"/>
      <c r="T260" s="727"/>
      <c r="U260" s="727"/>
      <c r="V260" s="727"/>
      <c r="W260" s="727"/>
      <c r="X260" s="727"/>
      <c r="Y260" s="727"/>
      <c r="Z260" s="727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728">
        <v>4680115886797</v>
      </c>
      <c r="E261" s="728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0"/>
      <c r="R261" s="730"/>
      <c r="S261" s="730"/>
      <c r="T261" s="73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36"/>
      <c r="B262" s="736"/>
      <c r="C262" s="736"/>
      <c r="D262" s="736"/>
      <c r="E262" s="736"/>
      <c r="F262" s="736"/>
      <c r="G262" s="736"/>
      <c r="H262" s="736"/>
      <c r="I262" s="736"/>
      <c r="J262" s="736"/>
      <c r="K262" s="736"/>
      <c r="L262" s="736"/>
      <c r="M262" s="736"/>
      <c r="N262" s="736"/>
      <c r="O262" s="737"/>
      <c r="P262" s="733" t="s">
        <v>40</v>
      </c>
      <c r="Q262" s="734"/>
      <c r="R262" s="734"/>
      <c r="S262" s="734"/>
      <c r="T262" s="734"/>
      <c r="U262" s="734"/>
      <c r="V262" s="735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736"/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7"/>
      <c r="P263" s="733" t="s">
        <v>40</v>
      </c>
      <c r="Q263" s="734"/>
      <c r="R263" s="734"/>
      <c r="S263" s="734"/>
      <c r="T263" s="734"/>
      <c r="U263" s="734"/>
      <c r="V263" s="735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726" t="s">
        <v>459</v>
      </c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62"/>
      <c r="AB264" s="62"/>
      <c r="AC264" s="62"/>
    </row>
    <row r="265" spans="1:68" ht="14.25" hidden="1" customHeight="1" x14ac:dyDescent="0.25">
      <c r="A265" s="727" t="s">
        <v>122</v>
      </c>
      <c r="B265" s="727"/>
      <c r="C265" s="727"/>
      <c r="D265" s="727"/>
      <c r="E265" s="727"/>
      <c r="F265" s="727"/>
      <c r="G265" s="727"/>
      <c r="H265" s="727"/>
      <c r="I265" s="727"/>
      <c r="J265" s="727"/>
      <c r="K265" s="727"/>
      <c r="L265" s="727"/>
      <c r="M265" s="727"/>
      <c r="N265" s="727"/>
      <c r="O265" s="727"/>
      <c r="P265" s="727"/>
      <c r="Q265" s="727"/>
      <c r="R265" s="727"/>
      <c r="S265" s="727"/>
      <c r="T265" s="727"/>
      <c r="U265" s="727"/>
      <c r="V265" s="727"/>
      <c r="W265" s="727"/>
      <c r="X265" s="727"/>
      <c r="Y265" s="727"/>
      <c r="Z265" s="727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728">
        <v>4680115881402</v>
      </c>
      <c r="E266" s="72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0"/>
      <c r="R266" s="730"/>
      <c r="S266" s="730"/>
      <c r="T266" s="73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728">
        <v>4680115881396</v>
      </c>
      <c r="E267" s="728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0"/>
      <c r="R267" s="730"/>
      <c r="S267" s="730"/>
      <c r="T267" s="73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36"/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7"/>
      <c r="P268" s="733" t="s">
        <v>40</v>
      </c>
      <c r="Q268" s="734"/>
      <c r="R268" s="734"/>
      <c r="S268" s="734"/>
      <c r="T268" s="734"/>
      <c r="U268" s="734"/>
      <c r="V268" s="73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36"/>
      <c r="B269" s="736"/>
      <c r="C269" s="736"/>
      <c r="D269" s="736"/>
      <c r="E269" s="736"/>
      <c r="F269" s="736"/>
      <c r="G269" s="736"/>
      <c r="H269" s="736"/>
      <c r="I269" s="736"/>
      <c r="J269" s="736"/>
      <c r="K269" s="736"/>
      <c r="L269" s="736"/>
      <c r="M269" s="736"/>
      <c r="N269" s="736"/>
      <c r="O269" s="737"/>
      <c r="P269" s="733" t="s">
        <v>40</v>
      </c>
      <c r="Q269" s="734"/>
      <c r="R269" s="734"/>
      <c r="S269" s="734"/>
      <c r="T269" s="734"/>
      <c r="U269" s="734"/>
      <c r="V269" s="73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27" t="s">
        <v>155</v>
      </c>
      <c r="B270" s="727"/>
      <c r="C270" s="727"/>
      <c r="D270" s="727"/>
      <c r="E270" s="727"/>
      <c r="F270" s="727"/>
      <c r="G270" s="727"/>
      <c r="H270" s="727"/>
      <c r="I270" s="727"/>
      <c r="J270" s="727"/>
      <c r="K270" s="727"/>
      <c r="L270" s="727"/>
      <c r="M270" s="727"/>
      <c r="N270" s="727"/>
      <c r="O270" s="727"/>
      <c r="P270" s="727"/>
      <c r="Q270" s="727"/>
      <c r="R270" s="727"/>
      <c r="S270" s="727"/>
      <c r="T270" s="727"/>
      <c r="U270" s="727"/>
      <c r="V270" s="727"/>
      <c r="W270" s="727"/>
      <c r="X270" s="727"/>
      <c r="Y270" s="727"/>
      <c r="Z270" s="727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728">
        <v>4680115882935</v>
      </c>
      <c r="E271" s="728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0"/>
      <c r="R271" s="730"/>
      <c r="S271" s="730"/>
      <c r="T271" s="731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728">
        <v>4680115880764</v>
      </c>
      <c r="E272" s="728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7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0"/>
      <c r="R272" s="730"/>
      <c r="S272" s="730"/>
      <c r="T272" s="731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36"/>
      <c r="B273" s="736"/>
      <c r="C273" s="736"/>
      <c r="D273" s="736"/>
      <c r="E273" s="736"/>
      <c r="F273" s="736"/>
      <c r="G273" s="736"/>
      <c r="H273" s="736"/>
      <c r="I273" s="736"/>
      <c r="J273" s="736"/>
      <c r="K273" s="736"/>
      <c r="L273" s="736"/>
      <c r="M273" s="736"/>
      <c r="N273" s="736"/>
      <c r="O273" s="737"/>
      <c r="P273" s="733" t="s">
        <v>40</v>
      </c>
      <c r="Q273" s="734"/>
      <c r="R273" s="734"/>
      <c r="S273" s="734"/>
      <c r="T273" s="734"/>
      <c r="U273" s="734"/>
      <c r="V273" s="735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736"/>
      <c r="B274" s="736"/>
      <c r="C274" s="736"/>
      <c r="D274" s="736"/>
      <c r="E274" s="736"/>
      <c r="F274" s="736"/>
      <c r="G274" s="736"/>
      <c r="H274" s="736"/>
      <c r="I274" s="736"/>
      <c r="J274" s="736"/>
      <c r="K274" s="736"/>
      <c r="L274" s="736"/>
      <c r="M274" s="736"/>
      <c r="N274" s="736"/>
      <c r="O274" s="737"/>
      <c r="P274" s="733" t="s">
        <v>40</v>
      </c>
      <c r="Q274" s="734"/>
      <c r="R274" s="734"/>
      <c r="S274" s="734"/>
      <c r="T274" s="734"/>
      <c r="U274" s="734"/>
      <c r="V274" s="735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27" t="s">
        <v>77</v>
      </c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7"/>
      <c r="P275" s="727"/>
      <c r="Q275" s="727"/>
      <c r="R275" s="727"/>
      <c r="S275" s="727"/>
      <c r="T275" s="727"/>
      <c r="U275" s="727"/>
      <c r="V275" s="727"/>
      <c r="W275" s="727"/>
      <c r="X275" s="727"/>
      <c r="Y275" s="727"/>
      <c r="Z275" s="727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728">
        <v>4680115882683</v>
      </c>
      <c r="E276" s="728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0"/>
      <c r="R276" s="730"/>
      <c r="S276" s="730"/>
      <c r="T276" s="731"/>
      <c r="U276" s="37" t="s">
        <v>46</v>
      </c>
      <c r="V276" s="37" t="s">
        <v>46</v>
      </c>
      <c r="W276" s="38" t="s">
        <v>0</v>
      </c>
      <c r="X276" s="56">
        <v>80</v>
      </c>
      <c r="Y276" s="53">
        <f t="shared" ref="Y276:Y283" si="45">IFERROR(IF(X276="",0,CEILING((X276/$H276),1)*$H276),"")</f>
        <v>81</v>
      </c>
      <c r="Z276" s="39">
        <f>IFERROR(IF(Y276=0,"",ROUNDUP(Y276/H276,0)*0.00902),"")</f>
        <v>0.1353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82.81481481481481</v>
      </c>
      <c r="BN276" s="75">
        <f t="shared" ref="BN276:BN283" si="47">IFERROR(Y276*I276/H276,"0")</f>
        <v>83.85</v>
      </c>
      <c r="BO276" s="75">
        <f t="shared" ref="BO276:BO283" si="48">IFERROR(1/J276*(X276/H276),"0")</f>
        <v>0.11223344556677889</v>
      </c>
      <c r="BP276" s="75">
        <f t="shared" ref="BP276:BP283" si="49">IFERROR(1/J276*(Y276/H276),"0")</f>
        <v>0.11363636363636363</v>
      </c>
    </row>
    <row r="277" spans="1:68" ht="27" customHeight="1" x14ac:dyDescent="0.25">
      <c r="A277" s="60" t="s">
        <v>473</v>
      </c>
      <c r="B277" s="60" t="s">
        <v>474</v>
      </c>
      <c r="C277" s="34">
        <v>4301031230</v>
      </c>
      <c r="D277" s="728">
        <v>4680115882690</v>
      </c>
      <c r="E277" s="728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0"/>
      <c r="R277" s="730"/>
      <c r="S277" s="730"/>
      <c r="T277" s="731"/>
      <c r="U277" s="37" t="s">
        <v>46</v>
      </c>
      <c r="V277" s="37" t="s">
        <v>46</v>
      </c>
      <c r="W277" s="38" t="s">
        <v>0</v>
      </c>
      <c r="X277" s="56">
        <v>20</v>
      </c>
      <c r="Y277" s="53">
        <f t="shared" si="45"/>
        <v>21.6</v>
      </c>
      <c r="Z277" s="39">
        <f>IFERROR(IF(Y277=0,"",ROUNDUP(Y277/H277,0)*0.00902),"")</f>
        <v>3.6080000000000001E-2</v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20.703703703703702</v>
      </c>
      <c r="BN277" s="75">
        <f t="shared" si="47"/>
        <v>22.36</v>
      </c>
      <c r="BO277" s="75">
        <f t="shared" si="48"/>
        <v>2.8058361391694722E-2</v>
      </c>
      <c r="BP277" s="75">
        <f t="shared" si="49"/>
        <v>3.0303030303030304E-2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728">
        <v>4680115882669</v>
      </c>
      <c r="E278" s="728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7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0"/>
      <c r="R278" s="730"/>
      <c r="S278" s="730"/>
      <c r="T278" s="731"/>
      <c r="U278" s="37" t="s">
        <v>46</v>
      </c>
      <c r="V278" s="37" t="s">
        <v>46</v>
      </c>
      <c r="W278" s="38" t="s">
        <v>0</v>
      </c>
      <c r="X278" s="56">
        <v>100</v>
      </c>
      <c r="Y278" s="53">
        <f t="shared" si="45"/>
        <v>102.60000000000001</v>
      </c>
      <c r="Z278" s="39">
        <f>IFERROR(IF(Y278=0,"",ROUNDUP(Y278/H278,0)*0.00902),"")</f>
        <v>0.17138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103.5185185185185</v>
      </c>
      <c r="BN278" s="75">
        <f t="shared" si="47"/>
        <v>106.21</v>
      </c>
      <c r="BO278" s="75">
        <f t="shared" si="48"/>
        <v>0.14029180695847362</v>
      </c>
      <c r="BP278" s="75">
        <f t="shared" si="49"/>
        <v>0.14393939393939395</v>
      </c>
    </row>
    <row r="279" spans="1:68" ht="27" customHeight="1" x14ac:dyDescent="0.25">
      <c r="A279" s="60" t="s">
        <v>479</v>
      </c>
      <c r="B279" s="60" t="s">
        <v>480</v>
      </c>
      <c r="C279" s="34">
        <v>4301031221</v>
      </c>
      <c r="D279" s="728">
        <v>4680115882676</v>
      </c>
      <c r="E279" s="728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0"/>
      <c r="R279" s="730"/>
      <c r="S279" s="730"/>
      <c r="T279" s="731"/>
      <c r="U279" s="37" t="s">
        <v>46</v>
      </c>
      <c r="V279" s="37" t="s">
        <v>46</v>
      </c>
      <c r="W279" s="38" t="s">
        <v>0</v>
      </c>
      <c r="X279" s="56">
        <v>50</v>
      </c>
      <c r="Y279" s="53">
        <f t="shared" si="45"/>
        <v>54</v>
      </c>
      <c r="Z279" s="39">
        <f>IFERROR(IF(Y279=0,"",ROUNDUP(Y279/H279,0)*0.00902),"")</f>
        <v>9.0200000000000002E-2</v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51.759259259259252</v>
      </c>
      <c r="BN279" s="75">
        <f t="shared" si="47"/>
        <v>55.9</v>
      </c>
      <c r="BO279" s="75">
        <f t="shared" si="48"/>
        <v>7.0145903479236812E-2</v>
      </c>
      <c r="BP279" s="75">
        <f t="shared" si="49"/>
        <v>7.575757575757576E-2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4301031223</v>
      </c>
      <c r="D280" s="728">
        <v>4680115884014</v>
      </c>
      <c r="E280" s="728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0"/>
      <c r="R280" s="730"/>
      <c r="S280" s="730"/>
      <c r="T280" s="73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5"/>
        <v>0</v>
      </c>
      <c r="Z280" s="39" t="str">
        <f>IFERROR(IF(Y280=0,"",ROUNDUP(Y280/H280,0)*0.00502),"")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0</v>
      </c>
      <c r="BN280" s="75">
        <f t="shared" si="47"/>
        <v>0</v>
      </c>
      <c r="BO280" s="75">
        <f t="shared" si="48"/>
        <v>0</v>
      </c>
      <c r="BP280" s="75">
        <f t="shared" si="49"/>
        <v>0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4301031222</v>
      </c>
      <c r="D281" s="728">
        <v>4680115884007</v>
      </c>
      <c r="E281" s="728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8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0"/>
      <c r="R281" s="730"/>
      <c r="S281" s="730"/>
      <c r="T281" s="73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5"/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0</v>
      </c>
      <c r="BN281" s="75">
        <f t="shared" si="47"/>
        <v>0</v>
      </c>
      <c r="BO281" s="75">
        <f t="shared" si="48"/>
        <v>0</v>
      </c>
      <c r="BP281" s="75">
        <f t="shared" si="49"/>
        <v>0</v>
      </c>
    </row>
    <row r="282" spans="1:68" ht="27" hidden="1" customHeight="1" x14ac:dyDescent="0.25">
      <c r="A282" s="60" t="s">
        <v>486</v>
      </c>
      <c r="B282" s="60" t="s">
        <v>487</v>
      </c>
      <c r="C282" s="34">
        <v>4301031229</v>
      </c>
      <c r="D282" s="728">
        <v>4680115884038</v>
      </c>
      <c r="E282" s="728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8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0"/>
      <c r="R282" s="730"/>
      <c r="S282" s="730"/>
      <c r="T282" s="73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5"/>
        <v>0</v>
      </c>
      <c r="Z282" s="39" t="str">
        <f>IFERROR(IF(Y282=0,"",ROUNDUP(Y282/H282,0)*0.00502),"")</f>
        <v/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0</v>
      </c>
      <c r="BN282" s="75">
        <f t="shared" si="47"/>
        <v>0</v>
      </c>
      <c r="BO282" s="75">
        <f t="shared" si="48"/>
        <v>0</v>
      </c>
      <c r="BP282" s="75">
        <f t="shared" si="49"/>
        <v>0</v>
      </c>
    </row>
    <row r="283" spans="1:68" ht="27" hidden="1" customHeight="1" x14ac:dyDescent="0.25">
      <c r="A283" s="60" t="s">
        <v>488</v>
      </c>
      <c r="B283" s="60" t="s">
        <v>489</v>
      </c>
      <c r="C283" s="34">
        <v>4301031225</v>
      </c>
      <c r="D283" s="728">
        <v>4680115884021</v>
      </c>
      <c r="E283" s="728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8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0"/>
      <c r="R283" s="730"/>
      <c r="S283" s="730"/>
      <c r="T283" s="73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5"/>
        <v>0</v>
      </c>
      <c r="Z283" s="39" t="str">
        <f>IFERROR(IF(Y283=0,"",ROUNDUP(Y283/H283,0)*0.00502),"")</f>
        <v/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0</v>
      </c>
      <c r="BN283" s="75">
        <f t="shared" si="47"/>
        <v>0</v>
      </c>
      <c r="BO283" s="75">
        <f t="shared" si="48"/>
        <v>0</v>
      </c>
      <c r="BP283" s="75">
        <f t="shared" si="49"/>
        <v>0</v>
      </c>
    </row>
    <row r="284" spans="1:68" x14ac:dyDescent="0.2">
      <c r="A284" s="736"/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7"/>
      <c r="P284" s="733" t="s">
        <v>40</v>
      </c>
      <c r="Q284" s="734"/>
      <c r="R284" s="734"/>
      <c r="S284" s="734"/>
      <c r="T284" s="734"/>
      <c r="U284" s="734"/>
      <c r="V284" s="735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46.296296296296298</v>
      </c>
      <c r="Y284" s="41">
        <f>IFERROR(Y276/H276,"0")+IFERROR(Y277/H277,"0")+IFERROR(Y278/H278,"0")+IFERROR(Y279/H279,"0")+IFERROR(Y280/H280,"0")+IFERROR(Y281/H281,"0")+IFERROR(Y282/H282,"0")+IFERROR(Y283/H283,"0")</f>
        <v>48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4"/>
      <c r="AB284" s="64"/>
      <c r="AC284" s="64"/>
    </row>
    <row r="285" spans="1:68" x14ac:dyDescent="0.2">
      <c r="A285" s="736"/>
      <c r="B285" s="736"/>
      <c r="C285" s="736"/>
      <c r="D285" s="736"/>
      <c r="E285" s="736"/>
      <c r="F285" s="736"/>
      <c r="G285" s="736"/>
      <c r="H285" s="736"/>
      <c r="I285" s="736"/>
      <c r="J285" s="736"/>
      <c r="K285" s="736"/>
      <c r="L285" s="736"/>
      <c r="M285" s="736"/>
      <c r="N285" s="736"/>
      <c r="O285" s="737"/>
      <c r="P285" s="733" t="s">
        <v>40</v>
      </c>
      <c r="Q285" s="734"/>
      <c r="R285" s="734"/>
      <c r="S285" s="734"/>
      <c r="T285" s="734"/>
      <c r="U285" s="734"/>
      <c r="V285" s="735"/>
      <c r="W285" s="40" t="s">
        <v>0</v>
      </c>
      <c r="X285" s="41">
        <f>IFERROR(SUM(X276:X283),"0")</f>
        <v>250</v>
      </c>
      <c r="Y285" s="41">
        <f>IFERROR(SUM(Y276:Y283),"0")</f>
        <v>259.2</v>
      </c>
      <c r="Z285" s="40"/>
      <c r="AA285" s="64"/>
      <c r="AB285" s="64"/>
      <c r="AC285" s="64"/>
    </row>
    <row r="286" spans="1:68" ht="14.25" hidden="1" customHeight="1" x14ac:dyDescent="0.25">
      <c r="A286" s="727" t="s">
        <v>86</v>
      </c>
      <c r="B286" s="727"/>
      <c r="C286" s="727"/>
      <c r="D286" s="727"/>
      <c r="E286" s="727"/>
      <c r="F286" s="727"/>
      <c r="G286" s="727"/>
      <c r="H286" s="727"/>
      <c r="I286" s="727"/>
      <c r="J286" s="727"/>
      <c r="K286" s="727"/>
      <c r="L286" s="727"/>
      <c r="M286" s="727"/>
      <c r="N286" s="727"/>
      <c r="O286" s="727"/>
      <c r="P286" s="727"/>
      <c r="Q286" s="727"/>
      <c r="R286" s="727"/>
      <c r="S286" s="727"/>
      <c r="T286" s="727"/>
      <c r="U286" s="727"/>
      <c r="V286" s="727"/>
      <c r="W286" s="727"/>
      <c r="X286" s="727"/>
      <c r="Y286" s="727"/>
      <c r="Z286" s="727"/>
      <c r="AA286" s="63"/>
      <c r="AB286" s="63"/>
      <c r="AC286" s="63"/>
    </row>
    <row r="287" spans="1:68" ht="27" hidden="1" customHeight="1" x14ac:dyDescent="0.25">
      <c r="A287" s="60" t="s">
        <v>490</v>
      </c>
      <c r="B287" s="60" t="s">
        <v>491</v>
      </c>
      <c r="C287" s="34">
        <v>4301051408</v>
      </c>
      <c r="D287" s="728">
        <v>4680115881594</v>
      </c>
      <c r="E287" s="728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0"/>
      <c r="R287" s="730"/>
      <c r="S287" s="730"/>
      <c r="T287" s="731"/>
      <c r="U287" s="37" t="s">
        <v>46</v>
      </c>
      <c r="V287" s="37" t="s">
        <v>46</v>
      </c>
      <c r="W287" s="38" t="s">
        <v>0</v>
      </c>
      <c r="X287" s="56"/>
      <c r="Y287" s="53">
        <f t="shared" ref="Y287:Y298" si="50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0</v>
      </c>
      <c r="BN287" s="75">
        <f t="shared" ref="BN287:BN298" si="52">IFERROR(Y287*I287/H287,"0")</f>
        <v>0</v>
      </c>
      <c r="BO287" s="75">
        <f t="shared" ref="BO287:BO298" si="53">IFERROR(1/J287*(X287/H287),"0")</f>
        <v>0</v>
      </c>
      <c r="BP287" s="75">
        <f t="shared" ref="BP287:BP298" si="54">IFERROR(1/J287*(Y287/H287),"0")</f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4301051411</v>
      </c>
      <c r="D288" s="728">
        <v>4680115881617</v>
      </c>
      <c r="E288" s="728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0"/>
      <c r="R288" s="730"/>
      <c r="S288" s="730"/>
      <c r="T288" s="731"/>
      <c r="U288" s="37" t="s">
        <v>46</v>
      </c>
      <c r="V288" s="37" t="s">
        <v>46</v>
      </c>
      <c r="W288" s="38" t="s">
        <v>0</v>
      </c>
      <c r="X288" s="56"/>
      <c r="Y288" s="53">
        <f t="shared" si="50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0</v>
      </c>
      <c r="BN288" s="75">
        <f t="shared" si="52"/>
        <v>0</v>
      </c>
      <c r="BO288" s="75">
        <f t="shared" si="53"/>
        <v>0</v>
      </c>
      <c r="BP288" s="75">
        <f t="shared" si="54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4301051656</v>
      </c>
      <c r="D289" s="728">
        <v>4680115880573</v>
      </c>
      <c r="E289" s="728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0"/>
      <c r="R289" s="730"/>
      <c r="S289" s="730"/>
      <c r="T289" s="73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50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0</v>
      </c>
      <c r="BN289" s="75">
        <f t="shared" si="52"/>
        <v>0</v>
      </c>
      <c r="BO289" s="75">
        <f t="shared" si="53"/>
        <v>0</v>
      </c>
      <c r="BP289" s="75">
        <f t="shared" si="54"/>
        <v>0</v>
      </c>
    </row>
    <row r="290" spans="1:68" ht="27" hidden="1" customHeight="1" x14ac:dyDescent="0.25">
      <c r="A290" s="60" t="s">
        <v>499</v>
      </c>
      <c r="B290" s="60" t="s">
        <v>500</v>
      </c>
      <c r="C290" s="34">
        <v>4301051407</v>
      </c>
      <c r="D290" s="728">
        <v>4680115882195</v>
      </c>
      <c r="E290" s="728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0"/>
      <c r="R290" s="730"/>
      <c r="S290" s="730"/>
      <c r="T290" s="731"/>
      <c r="U290" s="37" t="s">
        <v>46</v>
      </c>
      <c r="V290" s="37" t="s">
        <v>46</v>
      </c>
      <c r="W290" s="38" t="s">
        <v>0</v>
      </c>
      <c r="X290" s="56"/>
      <c r="Y290" s="53">
        <f t="shared" si="50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0</v>
      </c>
      <c r="BN290" s="75">
        <f t="shared" si="52"/>
        <v>0</v>
      </c>
      <c r="BO290" s="75">
        <f t="shared" si="53"/>
        <v>0</v>
      </c>
      <c r="BP290" s="75">
        <f t="shared" si="54"/>
        <v>0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728">
        <v>4680115882607</v>
      </c>
      <c r="E291" s="728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0"/>
      <c r="R291" s="730"/>
      <c r="S291" s="730"/>
      <c r="T291" s="73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728">
        <v>4680115882607</v>
      </c>
      <c r="E292" s="728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0"/>
      <c r="R292" s="730"/>
      <c r="S292" s="730"/>
      <c r="T292" s="73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hidden="1" customHeight="1" x14ac:dyDescent="0.25">
      <c r="A293" s="60" t="s">
        <v>506</v>
      </c>
      <c r="B293" s="60" t="s">
        <v>507</v>
      </c>
      <c r="C293" s="34">
        <v>4301051666</v>
      </c>
      <c r="D293" s="728">
        <v>4680115880092</v>
      </c>
      <c r="E293" s="72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0"/>
      <c r="R293" s="730"/>
      <c r="S293" s="730"/>
      <c r="T293" s="731"/>
      <c r="U293" s="37" t="s">
        <v>46</v>
      </c>
      <c r="V293" s="37" t="s">
        <v>46</v>
      </c>
      <c r="W293" s="38" t="s">
        <v>0</v>
      </c>
      <c r="X293" s="56"/>
      <c r="Y293" s="53">
        <f t="shared" si="50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0</v>
      </c>
      <c r="BN293" s="75">
        <f t="shared" si="52"/>
        <v>0</v>
      </c>
      <c r="BO293" s="75">
        <f t="shared" si="53"/>
        <v>0</v>
      </c>
      <c r="BP293" s="75">
        <f t="shared" si="54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728">
        <v>4680115889064</v>
      </c>
      <c r="E294" s="728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0"/>
      <c r="R294" s="730"/>
      <c r="S294" s="730"/>
      <c r="T294" s="73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hidden="1" customHeight="1" x14ac:dyDescent="0.25">
      <c r="A295" s="60" t="s">
        <v>510</v>
      </c>
      <c r="B295" s="60" t="s">
        <v>511</v>
      </c>
      <c r="C295" s="34">
        <v>4301051668</v>
      </c>
      <c r="D295" s="728">
        <v>4680115880221</v>
      </c>
      <c r="E295" s="72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0"/>
      <c r="R295" s="730"/>
      <c r="S295" s="730"/>
      <c r="T295" s="73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50"/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0</v>
      </c>
      <c r="BN295" s="75">
        <f t="shared" si="52"/>
        <v>0</v>
      </c>
      <c r="BO295" s="75">
        <f t="shared" si="53"/>
        <v>0</v>
      </c>
      <c r="BP295" s="75">
        <f t="shared" si="54"/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4301051945</v>
      </c>
      <c r="D296" s="728">
        <v>4680115880504</v>
      </c>
      <c r="E296" s="72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0"/>
      <c r="R296" s="730"/>
      <c r="S296" s="730"/>
      <c r="T296" s="731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50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0</v>
      </c>
      <c r="BN296" s="75">
        <f t="shared" si="52"/>
        <v>0</v>
      </c>
      <c r="BO296" s="75">
        <f t="shared" si="53"/>
        <v>0</v>
      </c>
      <c r="BP296" s="75">
        <f t="shared" si="54"/>
        <v>0</v>
      </c>
    </row>
    <row r="297" spans="1:68" ht="27" hidden="1" customHeight="1" x14ac:dyDescent="0.25">
      <c r="A297" s="60" t="s">
        <v>515</v>
      </c>
      <c r="B297" s="60" t="s">
        <v>516</v>
      </c>
      <c r="C297" s="34">
        <v>4301051410</v>
      </c>
      <c r="D297" s="728">
        <v>4680115882164</v>
      </c>
      <c r="E297" s="728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0"/>
      <c r="R297" s="730"/>
      <c r="S297" s="730"/>
      <c r="T297" s="731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50"/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0</v>
      </c>
      <c r="BN297" s="75">
        <f t="shared" si="52"/>
        <v>0</v>
      </c>
      <c r="BO297" s="75">
        <f t="shared" si="53"/>
        <v>0</v>
      </c>
      <c r="BP297" s="75">
        <f t="shared" si="54"/>
        <v>0</v>
      </c>
    </row>
    <row r="298" spans="1:68" ht="27" hidden="1" customHeight="1" x14ac:dyDescent="0.25">
      <c r="A298" s="60" t="s">
        <v>518</v>
      </c>
      <c r="B298" s="60" t="s">
        <v>519</v>
      </c>
      <c r="C298" s="34">
        <v>4301052180</v>
      </c>
      <c r="D298" s="728">
        <v>4680115888340</v>
      </c>
      <c r="E298" s="72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0"/>
      <c r="R298" s="730"/>
      <c r="S298" s="730"/>
      <c r="T298" s="731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50"/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0</v>
      </c>
      <c r="BN298" s="75">
        <f t="shared" si="52"/>
        <v>0</v>
      </c>
      <c r="BO298" s="75">
        <f t="shared" si="53"/>
        <v>0</v>
      </c>
      <c r="BP298" s="75">
        <f t="shared" si="54"/>
        <v>0</v>
      </c>
    </row>
    <row r="299" spans="1:68" hidden="1" x14ac:dyDescent="0.2">
      <c r="A299" s="736"/>
      <c r="B299" s="736"/>
      <c r="C299" s="736"/>
      <c r="D299" s="736"/>
      <c r="E299" s="736"/>
      <c r="F299" s="736"/>
      <c r="G299" s="736"/>
      <c r="H299" s="736"/>
      <c r="I299" s="736"/>
      <c r="J299" s="736"/>
      <c r="K299" s="736"/>
      <c r="L299" s="736"/>
      <c r="M299" s="736"/>
      <c r="N299" s="736"/>
      <c r="O299" s="737"/>
      <c r="P299" s="733" t="s">
        <v>40</v>
      </c>
      <c r="Q299" s="734"/>
      <c r="R299" s="734"/>
      <c r="S299" s="734"/>
      <c r="T299" s="734"/>
      <c r="U299" s="734"/>
      <c r="V299" s="735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4"/>
      <c r="AB299" s="64"/>
      <c r="AC299" s="64"/>
    </row>
    <row r="300" spans="1:68" hidden="1" x14ac:dyDescent="0.2">
      <c r="A300" s="736"/>
      <c r="B300" s="736"/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  <c r="O300" s="737"/>
      <c r="P300" s="733" t="s">
        <v>40</v>
      </c>
      <c r="Q300" s="734"/>
      <c r="R300" s="734"/>
      <c r="S300" s="734"/>
      <c r="T300" s="734"/>
      <c r="U300" s="734"/>
      <c r="V300" s="735"/>
      <c r="W300" s="40" t="s">
        <v>0</v>
      </c>
      <c r="X300" s="41">
        <f>IFERROR(SUM(X287:X298),"0")</f>
        <v>0</v>
      </c>
      <c r="Y300" s="41">
        <f>IFERROR(SUM(Y287:Y298),"0")</f>
        <v>0</v>
      </c>
      <c r="Z300" s="40"/>
      <c r="AA300" s="64"/>
      <c r="AB300" s="64"/>
      <c r="AC300" s="64"/>
    </row>
    <row r="301" spans="1:68" ht="14.25" hidden="1" customHeight="1" x14ac:dyDescent="0.25">
      <c r="A301" s="727" t="s">
        <v>173</v>
      </c>
      <c r="B301" s="727"/>
      <c r="C301" s="727"/>
      <c r="D301" s="727"/>
      <c r="E301" s="727"/>
      <c r="F301" s="727"/>
      <c r="G301" s="727"/>
      <c r="H301" s="727"/>
      <c r="I301" s="727"/>
      <c r="J301" s="727"/>
      <c r="K301" s="727"/>
      <c r="L301" s="727"/>
      <c r="M301" s="727"/>
      <c r="N301" s="727"/>
      <c r="O301" s="727"/>
      <c r="P301" s="727"/>
      <c r="Q301" s="727"/>
      <c r="R301" s="727"/>
      <c r="S301" s="727"/>
      <c r="T301" s="727"/>
      <c r="U301" s="727"/>
      <c r="V301" s="727"/>
      <c r="W301" s="727"/>
      <c r="X301" s="727"/>
      <c r="Y301" s="727"/>
      <c r="Z301" s="727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728">
        <v>4680115880818</v>
      </c>
      <c r="E302" s="728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0"/>
      <c r="R302" s="730"/>
      <c r="S302" s="730"/>
      <c r="T302" s="731"/>
      <c r="U302" s="37" t="s">
        <v>46</v>
      </c>
      <c r="V302" s="37" t="s">
        <v>46</v>
      </c>
      <c r="W302" s="38" t="s">
        <v>0</v>
      </c>
      <c r="X302" s="56"/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728">
        <v>4680115880801</v>
      </c>
      <c r="E303" s="728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0"/>
      <c r="R303" s="730"/>
      <c r="S303" s="730"/>
      <c r="T303" s="73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736"/>
      <c r="B304" s="736"/>
      <c r="C304" s="736"/>
      <c r="D304" s="736"/>
      <c r="E304" s="736"/>
      <c r="F304" s="736"/>
      <c r="G304" s="736"/>
      <c r="H304" s="736"/>
      <c r="I304" s="736"/>
      <c r="J304" s="736"/>
      <c r="K304" s="736"/>
      <c r="L304" s="736"/>
      <c r="M304" s="736"/>
      <c r="N304" s="736"/>
      <c r="O304" s="737"/>
      <c r="P304" s="733" t="s">
        <v>40</v>
      </c>
      <c r="Q304" s="734"/>
      <c r="R304" s="734"/>
      <c r="S304" s="734"/>
      <c r="T304" s="734"/>
      <c r="U304" s="734"/>
      <c r="V304" s="735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736"/>
      <c r="B305" s="736"/>
      <c r="C305" s="736"/>
      <c r="D305" s="736"/>
      <c r="E305" s="736"/>
      <c r="F305" s="736"/>
      <c r="G305" s="736"/>
      <c r="H305" s="736"/>
      <c r="I305" s="736"/>
      <c r="J305" s="736"/>
      <c r="K305" s="736"/>
      <c r="L305" s="736"/>
      <c r="M305" s="736"/>
      <c r="N305" s="736"/>
      <c r="O305" s="737"/>
      <c r="P305" s="733" t="s">
        <v>40</v>
      </c>
      <c r="Q305" s="734"/>
      <c r="R305" s="734"/>
      <c r="S305" s="734"/>
      <c r="T305" s="734"/>
      <c r="U305" s="734"/>
      <c r="V305" s="735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726" t="s">
        <v>527</v>
      </c>
      <c r="B306" s="726"/>
      <c r="C306" s="726"/>
      <c r="D306" s="726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62"/>
      <c r="AB306" s="62"/>
      <c r="AC306" s="62"/>
    </row>
    <row r="307" spans="1:68" ht="14.25" hidden="1" customHeight="1" x14ac:dyDescent="0.25">
      <c r="A307" s="727" t="s">
        <v>122</v>
      </c>
      <c r="B307" s="727"/>
      <c r="C307" s="727"/>
      <c r="D307" s="727"/>
      <c r="E307" s="727"/>
      <c r="F307" s="727"/>
      <c r="G307" s="727"/>
      <c r="H307" s="727"/>
      <c r="I307" s="727"/>
      <c r="J307" s="727"/>
      <c r="K307" s="727"/>
      <c r="L307" s="727"/>
      <c r="M307" s="727"/>
      <c r="N307" s="727"/>
      <c r="O307" s="727"/>
      <c r="P307" s="727"/>
      <c r="Q307" s="727"/>
      <c r="R307" s="727"/>
      <c r="S307" s="727"/>
      <c r="T307" s="727"/>
      <c r="U307" s="727"/>
      <c r="V307" s="727"/>
      <c r="W307" s="727"/>
      <c r="X307" s="727"/>
      <c r="Y307" s="727"/>
      <c r="Z307" s="727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728">
        <v>4680115884137</v>
      </c>
      <c r="E308" s="728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8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0"/>
      <c r="R308" s="730"/>
      <c r="S308" s="730"/>
      <c r="T308" s="73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728">
        <v>4680115884236</v>
      </c>
      <c r="E309" s="728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9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0"/>
      <c r="R309" s="730"/>
      <c r="S309" s="730"/>
      <c r="T309" s="73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728">
        <v>4680115884175</v>
      </c>
      <c r="E310" s="728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9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0"/>
      <c r="R310" s="730"/>
      <c r="S310" s="730"/>
      <c r="T310" s="73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728">
        <v>4680115884144</v>
      </c>
      <c r="E311" s="728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9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0"/>
      <c r="R311" s="730"/>
      <c r="S311" s="730"/>
      <c r="T311" s="731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728">
        <v>4680115886551</v>
      </c>
      <c r="E312" s="72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9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0"/>
      <c r="R312" s="730"/>
      <c r="S312" s="730"/>
      <c r="T312" s="731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728">
        <v>4680115887282</v>
      </c>
      <c r="E313" s="728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9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0"/>
      <c r="R313" s="730"/>
      <c r="S313" s="730"/>
      <c r="T313" s="731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728">
        <v>4680115884205</v>
      </c>
      <c r="E314" s="728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9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0"/>
      <c r="R314" s="730"/>
      <c r="S314" s="730"/>
      <c r="T314" s="731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736"/>
      <c r="B315" s="736"/>
      <c r="C315" s="736"/>
      <c r="D315" s="736"/>
      <c r="E315" s="736"/>
      <c r="F315" s="736"/>
      <c r="G315" s="736"/>
      <c r="H315" s="736"/>
      <c r="I315" s="736"/>
      <c r="J315" s="736"/>
      <c r="K315" s="736"/>
      <c r="L315" s="736"/>
      <c r="M315" s="736"/>
      <c r="N315" s="736"/>
      <c r="O315" s="737"/>
      <c r="P315" s="733" t="s">
        <v>40</v>
      </c>
      <c r="Q315" s="734"/>
      <c r="R315" s="734"/>
      <c r="S315" s="734"/>
      <c r="T315" s="734"/>
      <c r="U315" s="734"/>
      <c r="V315" s="735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736"/>
      <c r="B316" s="736"/>
      <c r="C316" s="736"/>
      <c r="D316" s="736"/>
      <c r="E316" s="736"/>
      <c r="F316" s="736"/>
      <c r="G316" s="736"/>
      <c r="H316" s="736"/>
      <c r="I316" s="736"/>
      <c r="J316" s="736"/>
      <c r="K316" s="736"/>
      <c r="L316" s="736"/>
      <c r="M316" s="736"/>
      <c r="N316" s="736"/>
      <c r="O316" s="737"/>
      <c r="P316" s="733" t="s">
        <v>40</v>
      </c>
      <c r="Q316" s="734"/>
      <c r="R316" s="734"/>
      <c r="S316" s="734"/>
      <c r="T316" s="734"/>
      <c r="U316" s="734"/>
      <c r="V316" s="735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27" t="s">
        <v>155</v>
      </c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7"/>
      <c r="P317" s="727"/>
      <c r="Q317" s="727"/>
      <c r="R317" s="727"/>
      <c r="S317" s="727"/>
      <c r="T317" s="727"/>
      <c r="U317" s="727"/>
      <c r="V317" s="727"/>
      <c r="W317" s="727"/>
      <c r="X317" s="727"/>
      <c r="Y317" s="727"/>
      <c r="Z317" s="727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728">
        <v>4680115885981</v>
      </c>
      <c r="E318" s="728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90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0"/>
      <c r="R318" s="730"/>
      <c r="S318" s="730"/>
      <c r="T318" s="73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36"/>
      <c r="B319" s="736"/>
      <c r="C319" s="736"/>
      <c r="D319" s="736"/>
      <c r="E319" s="736"/>
      <c r="F319" s="736"/>
      <c r="G319" s="736"/>
      <c r="H319" s="736"/>
      <c r="I319" s="736"/>
      <c r="J319" s="736"/>
      <c r="K319" s="736"/>
      <c r="L319" s="736"/>
      <c r="M319" s="736"/>
      <c r="N319" s="736"/>
      <c r="O319" s="737"/>
      <c r="P319" s="733" t="s">
        <v>40</v>
      </c>
      <c r="Q319" s="734"/>
      <c r="R319" s="734"/>
      <c r="S319" s="734"/>
      <c r="T319" s="734"/>
      <c r="U319" s="734"/>
      <c r="V319" s="73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36"/>
      <c r="B320" s="736"/>
      <c r="C320" s="736"/>
      <c r="D320" s="736"/>
      <c r="E320" s="736"/>
      <c r="F320" s="736"/>
      <c r="G320" s="736"/>
      <c r="H320" s="736"/>
      <c r="I320" s="736"/>
      <c r="J320" s="736"/>
      <c r="K320" s="736"/>
      <c r="L320" s="736"/>
      <c r="M320" s="736"/>
      <c r="N320" s="736"/>
      <c r="O320" s="737"/>
      <c r="P320" s="733" t="s">
        <v>40</v>
      </c>
      <c r="Q320" s="734"/>
      <c r="R320" s="734"/>
      <c r="S320" s="734"/>
      <c r="T320" s="734"/>
      <c r="U320" s="734"/>
      <c r="V320" s="73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27" t="s">
        <v>549</v>
      </c>
      <c r="B321" s="727"/>
      <c r="C321" s="727"/>
      <c r="D321" s="727"/>
      <c r="E321" s="727"/>
      <c r="F321" s="727"/>
      <c r="G321" s="727"/>
      <c r="H321" s="727"/>
      <c r="I321" s="727"/>
      <c r="J321" s="727"/>
      <c r="K321" s="727"/>
      <c r="L321" s="727"/>
      <c r="M321" s="727"/>
      <c r="N321" s="727"/>
      <c r="O321" s="727"/>
      <c r="P321" s="727"/>
      <c r="Q321" s="727"/>
      <c r="R321" s="727"/>
      <c r="S321" s="727"/>
      <c r="T321" s="727"/>
      <c r="U321" s="727"/>
      <c r="V321" s="727"/>
      <c r="W321" s="727"/>
      <c r="X321" s="727"/>
      <c r="Y321" s="727"/>
      <c r="Z321" s="727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728">
        <v>4680115886803</v>
      </c>
      <c r="E322" s="728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90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0"/>
      <c r="R322" s="730"/>
      <c r="S322" s="730"/>
      <c r="T322" s="73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736"/>
      <c r="B323" s="736"/>
      <c r="C323" s="736"/>
      <c r="D323" s="736"/>
      <c r="E323" s="736"/>
      <c r="F323" s="736"/>
      <c r="G323" s="736"/>
      <c r="H323" s="736"/>
      <c r="I323" s="736"/>
      <c r="J323" s="736"/>
      <c r="K323" s="736"/>
      <c r="L323" s="736"/>
      <c r="M323" s="736"/>
      <c r="N323" s="736"/>
      <c r="O323" s="737"/>
      <c r="P323" s="733" t="s">
        <v>40</v>
      </c>
      <c r="Q323" s="734"/>
      <c r="R323" s="734"/>
      <c r="S323" s="734"/>
      <c r="T323" s="734"/>
      <c r="U323" s="734"/>
      <c r="V323" s="735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736"/>
      <c r="B324" s="736"/>
      <c r="C324" s="736"/>
      <c r="D324" s="736"/>
      <c r="E324" s="736"/>
      <c r="F324" s="736"/>
      <c r="G324" s="736"/>
      <c r="H324" s="736"/>
      <c r="I324" s="736"/>
      <c r="J324" s="736"/>
      <c r="K324" s="736"/>
      <c r="L324" s="736"/>
      <c r="M324" s="736"/>
      <c r="N324" s="736"/>
      <c r="O324" s="737"/>
      <c r="P324" s="733" t="s">
        <v>40</v>
      </c>
      <c r="Q324" s="734"/>
      <c r="R324" s="734"/>
      <c r="S324" s="734"/>
      <c r="T324" s="734"/>
      <c r="U324" s="734"/>
      <c r="V324" s="735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727" t="s">
        <v>366</v>
      </c>
      <c r="B325" s="727"/>
      <c r="C325" s="727"/>
      <c r="D325" s="727"/>
      <c r="E325" s="727"/>
      <c r="F325" s="727"/>
      <c r="G325" s="727"/>
      <c r="H325" s="727"/>
      <c r="I325" s="727"/>
      <c r="J325" s="727"/>
      <c r="K325" s="727"/>
      <c r="L325" s="727"/>
      <c r="M325" s="727"/>
      <c r="N325" s="727"/>
      <c r="O325" s="727"/>
      <c r="P325" s="727"/>
      <c r="Q325" s="727"/>
      <c r="R325" s="727"/>
      <c r="S325" s="727"/>
      <c r="T325" s="727"/>
      <c r="U325" s="727"/>
      <c r="V325" s="727"/>
      <c r="W325" s="727"/>
      <c r="X325" s="727"/>
      <c r="Y325" s="727"/>
      <c r="Z325" s="727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728">
        <v>4680115886704</v>
      </c>
      <c r="E326" s="728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9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0"/>
      <c r="R326" s="730"/>
      <c r="S326" s="730"/>
      <c r="T326" s="73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728">
        <v>4680115886681</v>
      </c>
      <c r="E327" s="728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9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0"/>
      <c r="R327" s="730"/>
      <c r="S327" s="730"/>
      <c r="T327" s="73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728">
        <v>4680115886735</v>
      </c>
      <c r="E328" s="728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9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0"/>
      <c r="R328" s="730"/>
      <c r="S328" s="730"/>
      <c r="T328" s="73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36"/>
      <c r="B329" s="736"/>
      <c r="C329" s="736"/>
      <c r="D329" s="736"/>
      <c r="E329" s="736"/>
      <c r="F329" s="736"/>
      <c r="G329" s="736"/>
      <c r="H329" s="736"/>
      <c r="I329" s="736"/>
      <c r="J329" s="736"/>
      <c r="K329" s="736"/>
      <c r="L329" s="736"/>
      <c r="M329" s="736"/>
      <c r="N329" s="736"/>
      <c r="O329" s="737"/>
      <c r="P329" s="733" t="s">
        <v>40</v>
      </c>
      <c r="Q329" s="734"/>
      <c r="R329" s="734"/>
      <c r="S329" s="734"/>
      <c r="T329" s="734"/>
      <c r="U329" s="734"/>
      <c r="V329" s="735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36"/>
      <c r="B330" s="736"/>
      <c r="C330" s="736"/>
      <c r="D330" s="736"/>
      <c r="E330" s="736"/>
      <c r="F330" s="736"/>
      <c r="G330" s="736"/>
      <c r="H330" s="736"/>
      <c r="I330" s="736"/>
      <c r="J330" s="736"/>
      <c r="K330" s="736"/>
      <c r="L330" s="736"/>
      <c r="M330" s="736"/>
      <c r="N330" s="736"/>
      <c r="O330" s="737"/>
      <c r="P330" s="733" t="s">
        <v>40</v>
      </c>
      <c r="Q330" s="734"/>
      <c r="R330" s="734"/>
      <c r="S330" s="734"/>
      <c r="T330" s="734"/>
      <c r="U330" s="734"/>
      <c r="V330" s="735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26" t="s">
        <v>560</v>
      </c>
      <c r="B331" s="726"/>
      <c r="C331" s="726"/>
      <c r="D331" s="726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62"/>
      <c r="AB331" s="62"/>
      <c r="AC331" s="62"/>
    </row>
    <row r="332" spans="1:68" ht="14.25" hidden="1" customHeight="1" x14ac:dyDescent="0.25">
      <c r="A332" s="727" t="s">
        <v>122</v>
      </c>
      <c r="B332" s="727"/>
      <c r="C332" s="727"/>
      <c r="D332" s="727"/>
      <c r="E332" s="727"/>
      <c r="F332" s="727"/>
      <c r="G332" s="727"/>
      <c r="H332" s="727"/>
      <c r="I332" s="727"/>
      <c r="J332" s="727"/>
      <c r="K332" s="727"/>
      <c r="L332" s="727"/>
      <c r="M332" s="727"/>
      <c r="N332" s="727"/>
      <c r="O332" s="727"/>
      <c r="P332" s="727"/>
      <c r="Q332" s="727"/>
      <c r="R332" s="727"/>
      <c r="S332" s="727"/>
      <c r="T332" s="727"/>
      <c r="U332" s="727"/>
      <c r="V332" s="727"/>
      <c r="W332" s="727"/>
      <c r="X332" s="727"/>
      <c r="Y332" s="727"/>
      <c r="Z332" s="727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4301011855</v>
      </c>
      <c r="D333" s="728">
        <v>4680115885837</v>
      </c>
      <c r="E333" s="728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9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0"/>
      <c r="R333" s="730"/>
      <c r="S333" s="730"/>
      <c r="T333" s="73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37.5" customHeight="1" x14ac:dyDescent="0.25">
      <c r="A334" s="60" t="s">
        <v>564</v>
      </c>
      <c r="B334" s="60" t="s">
        <v>565</v>
      </c>
      <c r="C334" s="34">
        <v>4301012234</v>
      </c>
      <c r="D334" s="728">
        <v>4680115887237</v>
      </c>
      <c r="E334" s="728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91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0"/>
      <c r="R334" s="730"/>
      <c r="S334" s="730"/>
      <c r="T334" s="731"/>
      <c r="U334" s="37" t="s">
        <v>46</v>
      </c>
      <c r="V334" s="37" t="s">
        <v>46</v>
      </c>
      <c r="W334" s="38" t="s">
        <v>0</v>
      </c>
      <c r="X334" s="56">
        <v>10</v>
      </c>
      <c r="Y334" s="53">
        <f>IFERROR(IF(X334="",0,CEILING((X334/$H334),1)*$H334),"")</f>
        <v>10.8</v>
      </c>
      <c r="Z334" s="39">
        <f>IFERROR(IF(Y334=0,"",ROUNDUP(Y334/H334,0)*0.01898),"")</f>
        <v>1.898E-2</v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10.37962962962963</v>
      </c>
      <c r="BN334" s="75">
        <f>IFERROR(Y334*I334/H334,"0")</f>
        <v>11.21</v>
      </c>
      <c r="BO334" s="75">
        <f>IFERROR(1/J334*(X334/H334),"0")</f>
        <v>1.4467592592592591E-2</v>
      </c>
      <c r="BP334" s="75">
        <f>IFERROR(1/J334*(Y334/H334),"0")</f>
        <v>1.5625E-2</v>
      </c>
    </row>
    <row r="335" spans="1:68" ht="27" customHeight="1" x14ac:dyDescent="0.25">
      <c r="A335" s="60" t="s">
        <v>567</v>
      </c>
      <c r="B335" s="60" t="s">
        <v>568</v>
      </c>
      <c r="C335" s="34">
        <v>4301011850</v>
      </c>
      <c r="D335" s="728">
        <v>4680115885806</v>
      </c>
      <c r="E335" s="728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9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0"/>
      <c r="R335" s="730"/>
      <c r="S335" s="730"/>
      <c r="T335" s="731"/>
      <c r="U335" s="37" t="s">
        <v>46</v>
      </c>
      <c r="V335" s="37" t="s">
        <v>46</v>
      </c>
      <c r="W335" s="38" t="s">
        <v>0</v>
      </c>
      <c r="X335" s="56">
        <v>50</v>
      </c>
      <c r="Y335" s="53">
        <f>IFERROR(IF(X335="",0,CEILING((X335/$H335),1)*$H335),"")</f>
        <v>54</v>
      </c>
      <c r="Z335" s="39">
        <f>IFERROR(IF(Y335=0,"",ROUNDUP(Y335/H335,0)*0.01898),"")</f>
        <v>9.4899999999999998E-2</v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51.898148148148145</v>
      </c>
      <c r="BN335" s="75">
        <f>IFERROR(Y335*I335/H335,"0")</f>
        <v>56.05</v>
      </c>
      <c r="BO335" s="75">
        <f>IFERROR(1/J335*(X335/H335),"0")</f>
        <v>7.2337962962962965E-2</v>
      </c>
      <c r="BP335" s="75">
        <f>IFERROR(1/J335*(Y335/H335),"0")</f>
        <v>7.8125E-2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4301011852</v>
      </c>
      <c r="D336" s="728">
        <v>4680115885844</v>
      </c>
      <c r="E336" s="728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9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0"/>
      <c r="R336" s="730"/>
      <c r="S336" s="730"/>
      <c r="T336" s="73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37.5" hidden="1" customHeight="1" x14ac:dyDescent="0.25">
      <c r="A337" s="60" t="s">
        <v>573</v>
      </c>
      <c r="B337" s="60" t="s">
        <v>574</v>
      </c>
      <c r="C337" s="34">
        <v>4301011851</v>
      </c>
      <c r="D337" s="728">
        <v>4680115885820</v>
      </c>
      <c r="E337" s="728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91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0"/>
      <c r="R337" s="730"/>
      <c r="S337" s="730"/>
      <c r="T337" s="73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736"/>
      <c r="B338" s="736"/>
      <c r="C338" s="736"/>
      <c r="D338" s="736"/>
      <c r="E338" s="736"/>
      <c r="F338" s="736"/>
      <c r="G338" s="736"/>
      <c r="H338" s="736"/>
      <c r="I338" s="736"/>
      <c r="J338" s="736"/>
      <c r="K338" s="736"/>
      <c r="L338" s="736"/>
      <c r="M338" s="736"/>
      <c r="N338" s="736"/>
      <c r="O338" s="737"/>
      <c r="P338" s="733" t="s">
        <v>40</v>
      </c>
      <c r="Q338" s="734"/>
      <c r="R338" s="734"/>
      <c r="S338" s="734"/>
      <c r="T338" s="734"/>
      <c r="U338" s="734"/>
      <c r="V338" s="735"/>
      <c r="W338" s="40" t="s">
        <v>39</v>
      </c>
      <c r="X338" s="41">
        <f>IFERROR(X333/H333,"0")+IFERROR(X334/H334,"0")+IFERROR(X335/H335,"0")+IFERROR(X336/H336,"0")+IFERROR(X337/H337,"0")</f>
        <v>5.5555555555555554</v>
      </c>
      <c r="Y338" s="41">
        <f>IFERROR(Y333/H333,"0")+IFERROR(Y334/H334,"0")+IFERROR(Y335/H335,"0")+IFERROR(Y336/H336,"0")+IFERROR(Y337/H337,"0")</f>
        <v>6</v>
      </c>
      <c r="Z338" s="41">
        <f>IFERROR(IF(Z333="",0,Z333),"0")+IFERROR(IF(Z334="",0,Z334),"0")+IFERROR(IF(Z335="",0,Z335),"0")+IFERROR(IF(Z336="",0,Z336),"0")+IFERROR(IF(Z337="",0,Z337),"0")</f>
        <v>0.11388</v>
      </c>
      <c r="AA338" s="64"/>
      <c r="AB338" s="64"/>
      <c r="AC338" s="64"/>
    </row>
    <row r="339" spans="1:68" x14ac:dyDescent="0.2">
      <c r="A339" s="736"/>
      <c r="B339" s="736"/>
      <c r="C339" s="736"/>
      <c r="D339" s="736"/>
      <c r="E339" s="736"/>
      <c r="F339" s="736"/>
      <c r="G339" s="736"/>
      <c r="H339" s="736"/>
      <c r="I339" s="736"/>
      <c r="J339" s="736"/>
      <c r="K339" s="736"/>
      <c r="L339" s="736"/>
      <c r="M339" s="736"/>
      <c r="N339" s="736"/>
      <c r="O339" s="737"/>
      <c r="P339" s="733" t="s">
        <v>40</v>
      </c>
      <c r="Q339" s="734"/>
      <c r="R339" s="734"/>
      <c r="S339" s="734"/>
      <c r="T339" s="734"/>
      <c r="U339" s="734"/>
      <c r="V339" s="735"/>
      <c r="W339" s="40" t="s">
        <v>0</v>
      </c>
      <c r="X339" s="41">
        <f>IFERROR(SUM(X333:X337),"0")</f>
        <v>60</v>
      </c>
      <c r="Y339" s="41">
        <f>IFERROR(SUM(Y333:Y337),"0")</f>
        <v>64.8</v>
      </c>
      <c r="Z339" s="40"/>
      <c r="AA339" s="64"/>
      <c r="AB339" s="64"/>
      <c r="AC339" s="64"/>
    </row>
    <row r="340" spans="1:68" ht="16.5" hidden="1" customHeight="1" x14ac:dyDescent="0.25">
      <c r="A340" s="726" t="s">
        <v>576</v>
      </c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62"/>
      <c r="AB340" s="62"/>
      <c r="AC340" s="62"/>
    </row>
    <row r="341" spans="1:68" ht="14.25" hidden="1" customHeight="1" x14ac:dyDescent="0.25">
      <c r="A341" s="727" t="s">
        <v>86</v>
      </c>
      <c r="B341" s="727"/>
      <c r="C341" s="727"/>
      <c r="D341" s="727"/>
      <c r="E341" s="727"/>
      <c r="F341" s="727"/>
      <c r="G341" s="727"/>
      <c r="H341" s="727"/>
      <c r="I341" s="727"/>
      <c r="J341" s="727"/>
      <c r="K341" s="727"/>
      <c r="L341" s="727"/>
      <c r="M341" s="727"/>
      <c r="N341" s="727"/>
      <c r="O341" s="727"/>
      <c r="P341" s="727"/>
      <c r="Q341" s="727"/>
      <c r="R341" s="727"/>
      <c r="S341" s="727"/>
      <c r="T341" s="727"/>
      <c r="U341" s="727"/>
      <c r="V341" s="727"/>
      <c r="W341" s="727"/>
      <c r="X341" s="727"/>
      <c r="Y341" s="727"/>
      <c r="Z341" s="727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728">
        <v>4680115886186</v>
      </c>
      <c r="E342" s="728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9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0"/>
      <c r="R342" s="730"/>
      <c r="S342" s="730"/>
      <c r="T342" s="73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580</v>
      </c>
      <c r="B343" s="60" t="s">
        <v>581</v>
      </c>
      <c r="C343" s="34">
        <v>4301051795</v>
      </c>
      <c r="D343" s="728">
        <v>4680115881228</v>
      </c>
      <c r="E343" s="728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9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0"/>
      <c r="R343" s="730"/>
      <c r="S343" s="730"/>
      <c r="T343" s="73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583</v>
      </c>
      <c r="B344" s="60" t="s">
        <v>584</v>
      </c>
      <c r="C344" s="34">
        <v>4301051388</v>
      </c>
      <c r="D344" s="728">
        <v>4680115881211</v>
      </c>
      <c r="E344" s="728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0"/>
      <c r="R344" s="730"/>
      <c r="S344" s="730"/>
      <c r="T344" s="73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736"/>
      <c r="B345" s="736"/>
      <c r="C345" s="736"/>
      <c r="D345" s="736"/>
      <c r="E345" s="736"/>
      <c r="F345" s="736"/>
      <c r="G345" s="736"/>
      <c r="H345" s="736"/>
      <c r="I345" s="736"/>
      <c r="J345" s="736"/>
      <c r="K345" s="736"/>
      <c r="L345" s="736"/>
      <c r="M345" s="736"/>
      <c r="N345" s="736"/>
      <c r="O345" s="737"/>
      <c r="P345" s="733" t="s">
        <v>40</v>
      </c>
      <c r="Q345" s="734"/>
      <c r="R345" s="734"/>
      <c r="S345" s="734"/>
      <c r="T345" s="734"/>
      <c r="U345" s="734"/>
      <c r="V345" s="735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736"/>
      <c r="B346" s="736"/>
      <c r="C346" s="736"/>
      <c r="D346" s="736"/>
      <c r="E346" s="736"/>
      <c r="F346" s="736"/>
      <c r="G346" s="736"/>
      <c r="H346" s="736"/>
      <c r="I346" s="736"/>
      <c r="J346" s="736"/>
      <c r="K346" s="736"/>
      <c r="L346" s="736"/>
      <c r="M346" s="736"/>
      <c r="N346" s="736"/>
      <c r="O346" s="737"/>
      <c r="P346" s="733" t="s">
        <v>40</v>
      </c>
      <c r="Q346" s="734"/>
      <c r="R346" s="734"/>
      <c r="S346" s="734"/>
      <c r="T346" s="734"/>
      <c r="U346" s="734"/>
      <c r="V346" s="735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16.5" hidden="1" customHeight="1" x14ac:dyDescent="0.25">
      <c r="A347" s="726" t="s">
        <v>585</v>
      </c>
      <c r="B347" s="726"/>
      <c r="C347" s="726"/>
      <c r="D347" s="726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62"/>
      <c r="AB347" s="62"/>
      <c r="AC347" s="62"/>
    </row>
    <row r="348" spans="1:68" ht="14.25" hidden="1" customHeight="1" x14ac:dyDescent="0.25">
      <c r="A348" s="727" t="s">
        <v>77</v>
      </c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7"/>
      <c r="P348" s="727"/>
      <c r="Q348" s="727"/>
      <c r="R348" s="727"/>
      <c r="S348" s="727"/>
      <c r="T348" s="727"/>
      <c r="U348" s="727"/>
      <c r="V348" s="727"/>
      <c r="W348" s="727"/>
      <c r="X348" s="727"/>
      <c r="Y348" s="727"/>
      <c r="Z348" s="727"/>
      <c r="AA348" s="63"/>
      <c r="AB348" s="63"/>
      <c r="AC348" s="63"/>
    </row>
    <row r="349" spans="1:68" ht="27" hidden="1" customHeight="1" x14ac:dyDescent="0.25">
      <c r="A349" s="60" t="s">
        <v>586</v>
      </c>
      <c r="B349" s="60" t="s">
        <v>587</v>
      </c>
      <c r="C349" s="34">
        <v>4301031445</v>
      </c>
      <c r="D349" s="728">
        <v>4680115888319</v>
      </c>
      <c r="E349" s="728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9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0"/>
      <c r="R349" s="730"/>
      <c r="S349" s="730"/>
      <c r="T349" s="73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588</v>
      </c>
      <c r="B350" s="60" t="s">
        <v>589</v>
      </c>
      <c r="C350" s="34">
        <v>4301031502</v>
      </c>
      <c r="D350" s="728">
        <v>4680115884700</v>
      </c>
      <c r="E350" s="728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92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0"/>
      <c r="R350" s="730"/>
      <c r="S350" s="730"/>
      <c r="T350" s="73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4301031307</v>
      </c>
      <c r="D351" s="728">
        <v>4680115880344</v>
      </c>
      <c r="E351" s="728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92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0"/>
      <c r="R351" s="730"/>
      <c r="S351" s="730"/>
      <c r="T351" s="73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IFERROR(IF(Y351=0,"",ROUNDUP(Y351/H351,0)*0.00502),"")</f>
        <v/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594</v>
      </c>
      <c r="B352" s="60" t="s">
        <v>595</v>
      </c>
      <c r="C352" s="34">
        <v>4301031501</v>
      </c>
      <c r="D352" s="728">
        <v>4680115886919</v>
      </c>
      <c r="E352" s="728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92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0"/>
      <c r="R352" s="730"/>
      <c r="S352" s="730"/>
      <c r="T352" s="73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728">
        <v>4680115883970</v>
      </c>
      <c r="E353" s="728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0"/>
      <c r="R353" s="730"/>
      <c r="S353" s="730"/>
      <c r="T353" s="73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736"/>
      <c r="B354" s="736"/>
      <c r="C354" s="736"/>
      <c r="D354" s="736"/>
      <c r="E354" s="736"/>
      <c r="F354" s="736"/>
      <c r="G354" s="736"/>
      <c r="H354" s="736"/>
      <c r="I354" s="736"/>
      <c r="J354" s="736"/>
      <c r="K354" s="736"/>
      <c r="L354" s="736"/>
      <c r="M354" s="736"/>
      <c r="N354" s="736"/>
      <c r="O354" s="737"/>
      <c r="P354" s="733" t="s">
        <v>40</v>
      </c>
      <c r="Q354" s="734"/>
      <c r="R354" s="734"/>
      <c r="S354" s="734"/>
      <c r="T354" s="734"/>
      <c r="U354" s="734"/>
      <c r="V354" s="735"/>
      <c r="W354" s="40" t="s">
        <v>39</v>
      </c>
      <c r="X354" s="41">
        <f>IFERROR(X349/H349,"0")+IFERROR(X350/H350,"0")+IFERROR(X351/H351,"0")+IFERROR(X352/H352,"0")+IFERROR(X353/H353,"0")</f>
        <v>0</v>
      </c>
      <c r="Y354" s="41">
        <f>IFERROR(Y349/H349,"0")+IFERROR(Y350/H350,"0")+IFERROR(Y351/H351,"0")+IFERROR(Y352/H352,"0")+IFERROR(Y353/H353,"0")</f>
        <v>0</v>
      </c>
      <c r="Z354" s="41">
        <f>IFERROR(IF(Z349="",0,Z349),"0")+IFERROR(IF(Z350="",0,Z350),"0")+IFERROR(IF(Z351="",0,Z351),"0")+IFERROR(IF(Z352="",0,Z352),"0")+IFERROR(IF(Z353="",0,Z353),"0")</f>
        <v>0</v>
      </c>
      <c r="AA354" s="64"/>
      <c r="AB354" s="64"/>
      <c r="AC354" s="64"/>
    </row>
    <row r="355" spans="1:68" hidden="1" x14ac:dyDescent="0.2">
      <c r="A355" s="736"/>
      <c r="B355" s="736"/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  <c r="O355" s="737"/>
      <c r="P355" s="733" t="s">
        <v>40</v>
      </c>
      <c r="Q355" s="734"/>
      <c r="R355" s="734"/>
      <c r="S355" s="734"/>
      <c r="T355" s="734"/>
      <c r="U355" s="734"/>
      <c r="V355" s="735"/>
      <c r="W355" s="40" t="s">
        <v>0</v>
      </c>
      <c r="X355" s="41">
        <f>IFERROR(SUM(X349:X353),"0")</f>
        <v>0</v>
      </c>
      <c r="Y355" s="41">
        <f>IFERROR(SUM(Y349:Y353),"0")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727" t="s">
        <v>86</v>
      </c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7"/>
      <c r="P356" s="727"/>
      <c r="Q356" s="727"/>
      <c r="R356" s="727"/>
      <c r="S356" s="727"/>
      <c r="T356" s="727"/>
      <c r="U356" s="727"/>
      <c r="V356" s="727"/>
      <c r="W356" s="727"/>
      <c r="X356" s="727"/>
      <c r="Y356" s="727"/>
      <c r="Z356" s="727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728">
        <v>4680115884618</v>
      </c>
      <c r="E357" s="728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92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0"/>
      <c r="R357" s="730"/>
      <c r="S357" s="730"/>
      <c r="T357" s="73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728">
        <v>4680115887114</v>
      </c>
      <c r="E358" s="728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92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0"/>
      <c r="R358" s="730"/>
      <c r="S358" s="730"/>
      <c r="T358" s="73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36"/>
      <c r="B359" s="736"/>
      <c r="C359" s="736"/>
      <c r="D359" s="736"/>
      <c r="E359" s="736"/>
      <c r="F359" s="736"/>
      <c r="G359" s="736"/>
      <c r="H359" s="736"/>
      <c r="I359" s="736"/>
      <c r="J359" s="736"/>
      <c r="K359" s="736"/>
      <c r="L359" s="736"/>
      <c r="M359" s="736"/>
      <c r="N359" s="736"/>
      <c r="O359" s="737"/>
      <c r="P359" s="733" t="s">
        <v>40</v>
      </c>
      <c r="Q359" s="734"/>
      <c r="R359" s="734"/>
      <c r="S359" s="734"/>
      <c r="T359" s="734"/>
      <c r="U359" s="734"/>
      <c r="V359" s="735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736"/>
      <c r="B360" s="736"/>
      <c r="C360" s="736"/>
      <c r="D360" s="736"/>
      <c r="E360" s="736"/>
      <c r="F360" s="736"/>
      <c r="G360" s="736"/>
      <c r="H360" s="736"/>
      <c r="I360" s="736"/>
      <c r="J360" s="736"/>
      <c r="K360" s="736"/>
      <c r="L360" s="736"/>
      <c r="M360" s="736"/>
      <c r="N360" s="736"/>
      <c r="O360" s="737"/>
      <c r="P360" s="733" t="s">
        <v>40</v>
      </c>
      <c r="Q360" s="734"/>
      <c r="R360" s="734"/>
      <c r="S360" s="734"/>
      <c r="T360" s="734"/>
      <c r="U360" s="734"/>
      <c r="V360" s="735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26" t="s">
        <v>606</v>
      </c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62"/>
      <c r="AB361" s="62"/>
      <c r="AC361" s="62"/>
    </row>
    <row r="362" spans="1:68" ht="14.25" hidden="1" customHeight="1" x14ac:dyDescent="0.25">
      <c r="A362" s="727" t="s">
        <v>122</v>
      </c>
      <c r="B362" s="727"/>
      <c r="C362" s="727"/>
      <c r="D362" s="727"/>
      <c r="E362" s="727"/>
      <c r="F362" s="727"/>
      <c r="G362" s="727"/>
      <c r="H362" s="727"/>
      <c r="I362" s="727"/>
      <c r="J362" s="727"/>
      <c r="K362" s="727"/>
      <c r="L362" s="727"/>
      <c r="M362" s="727"/>
      <c r="N362" s="727"/>
      <c r="O362" s="727"/>
      <c r="P362" s="727"/>
      <c r="Q362" s="727"/>
      <c r="R362" s="727"/>
      <c r="S362" s="727"/>
      <c r="T362" s="727"/>
      <c r="U362" s="727"/>
      <c r="V362" s="727"/>
      <c r="W362" s="727"/>
      <c r="X362" s="727"/>
      <c r="Y362" s="727"/>
      <c r="Z362" s="727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728">
        <v>4680115887947</v>
      </c>
      <c r="E363" s="72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9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0"/>
      <c r="R363" s="730"/>
      <c r="S363" s="730"/>
      <c r="T363" s="731"/>
      <c r="U363" s="37" t="s">
        <v>46</v>
      </c>
      <c r="V363" s="37" t="s">
        <v>46</v>
      </c>
      <c r="W363" s="38" t="s">
        <v>0</v>
      </c>
      <c r="X363" s="56"/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customHeight="1" x14ac:dyDescent="0.25">
      <c r="A364" s="60" t="s">
        <v>609</v>
      </c>
      <c r="B364" s="60" t="s">
        <v>610</v>
      </c>
      <c r="C364" s="34">
        <v>4301012325</v>
      </c>
      <c r="D364" s="728">
        <v>4680115887978</v>
      </c>
      <c r="E364" s="72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0"/>
      <c r="R364" s="730"/>
      <c r="S364" s="730"/>
      <c r="T364" s="731"/>
      <c r="U364" s="37" t="s">
        <v>46</v>
      </c>
      <c r="V364" s="37" t="s">
        <v>46</v>
      </c>
      <c r="W364" s="38" t="s">
        <v>0</v>
      </c>
      <c r="X364" s="56">
        <v>23</v>
      </c>
      <c r="Y364" s="53">
        <f>IFERROR(IF(X364="",0,CEILING((X364/$H364),1)*$H364),"")</f>
        <v>23.4</v>
      </c>
      <c r="Z364" s="39">
        <f>IFERROR(IF(Y364=0,"",ROUNDUP(Y364/H364,0)*0.01898),"")</f>
        <v>5.6940000000000004E-2</v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24.208974358974363</v>
      </c>
      <c r="BN364" s="75">
        <f>IFERROR(Y364*I364/H364,"0")</f>
        <v>24.630000000000003</v>
      </c>
      <c r="BO364" s="75">
        <f>IFERROR(1/J364*(X364/H364),"0")</f>
        <v>4.6073717948717952E-2</v>
      </c>
      <c r="BP364" s="75">
        <f>IFERROR(1/J364*(Y364/H364),"0")</f>
        <v>4.6875E-2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728">
        <v>4680115887992</v>
      </c>
      <c r="E365" s="728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9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0"/>
      <c r="R365" s="730"/>
      <c r="S365" s="730"/>
      <c r="T365" s="731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x14ac:dyDescent="0.2">
      <c r="A366" s="736"/>
      <c r="B366" s="736"/>
      <c r="C366" s="736"/>
      <c r="D366" s="736"/>
      <c r="E366" s="736"/>
      <c r="F366" s="736"/>
      <c r="G366" s="736"/>
      <c r="H366" s="736"/>
      <c r="I366" s="736"/>
      <c r="J366" s="736"/>
      <c r="K366" s="736"/>
      <c r="L366" s="736"/>
      <c r="M366" s="736"/>
      <c r="N366" s="736"/>
      <c r="O366" s="737"/>
      <c r="P366" s="733" t="s">
        <v>40</v>
      </c>
      <c r="Q366" s="734"/>
      <c r="R366" s="734"/>
      <c r="S366" s="734"/>
      <c r="T366" s="734"/>
      <c r="U366" s="734"/>
      <c r="V366" s="735"/>
      <c r="W366" s="40" t="s">
        <v>39</v>
      </c>
      <c r="X366" s="41">
        <f>IFERROR(X363/H363,"0")+IFERROR(X364/H364,"0")+IFERROR(X365/H365,"0")</f>
        <v>2.9487179487179489</v>
      </c>
      <c r="Y366" s="41">
        <f>IFERROR(Y363/H363,"0")+IFERROR(Y364/H364,"0")+IFERROR(Y365/H365,"0")</f>
        <v>3</v>
      </c>
      <c r="Z366" s="41">
        <f>IFERROR(IF(Z363="",0,Z363),"0")+IFERROR(IF(Z364="",0,Z364),"0")+IFERROR(IF(Z365="",0,Z365),"0")</f>
        <v>5.6940000000000004E-2</v>
      </c>
      <c r="AA366" s="64"/>
      <c r="AB366" s="64"/>
      <c r="AC366" s="64"/>
    </row>
    <row r="367" spans="1:68" x14ac:dyDescent="0.2">
      <c r="A367" s="736"/>
      <c r="B367" s="736"/>
      <c r="C367" s="736"/>
      <c r="D367" s="736"/>
      <c r="E367" s="736"/>
      <c r="F367" s="736"/>
      <c r="G367" s="736"/>
      <c r="H367" s="736"/>
      <c r="I367" s="736"/>
      <c r="J367" s="736"/>
      <c r="K367" s="736"/>
      <c r="L367" s="736"/>
      <c r="M367" s="736"/>
      <c r="N367" s="736"/>
      <c r="O367" s="737"/>
      <c r="P367" s="733" t="s">
        <v>40</v>
      </c>
      <c r="Q367" s="734"/>
      <c r="R367" s="734"/>
      <c r="S367" s="734"/>
      <c r="T367" s="734"/>
      <c r="U367" s="734"/>
      <c r="V367" s="735"/>
      <c r="W367" s="40" t="s">
        <v>0</v>
      </c>
      <c r="X367" s="41">
        <f>IFERROR(SUM(X363:X365),"0")</f>
        <v>23</v>
      </c>
      <c r="Y367" s="41">
        <f>IFERROR(SUM(Y363:Y365),"0")</f>
        <v>23.4</v>
      </c>
      <c r="Z367" s="40"/>
      <c r="AA367" s="64"/>
      <c r="AB367" s="64"/>
      <c r="AC367" s="64"/>
    </row>
    <row r="368" spans="1:68" ht="16.5" hidden="1" customHeight="1" x14ac:dyDescent="0.25">
      <c r="A368" s="726" t="s">
        <v>615</v>
      </c>
      <c r="B368" s="726"/>
      <c r="C368" s="726"/>
      <c r="D368" s="726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62"/>
      <c r="AB368" s="62"/>
      <c r="AC368" s="62"/>
    </row>
    <row r="369" spans="1:68" ht="14.25" hidden="1" customHeight="1" x14ac:dyDescent="0.25">
      <c r="A369" s="727" t="s">
        <v>122</v>
      </c>
      <c r="B369" s="727"/>
      <c r="C369" s="727"/>
      <c r="D369" s="727"/>
      <c r="E369" s="727"/>
      <c r="F369" s="727"/>
      <c r="G369" s="727"/>
      <c r="H369" s="727"/>
      <c r="I369" s="727"/>
      <c r="J369" s="727"/>
      <c r="K369" s="727"/>
      <c r="L369" s="727"/>
      <c r="M369" s="727"/>
      <c r="N369" s="727"/>
      <c r="O369" s="727"/>
      <c r="P369" s="727"/>
      <c r="Q369" s="727"/>
      <c r="R369" s="727"/>
      <c r="S369" s="727"/>
      <c r="T369" s="727"/>
      <c r="U369" s="727"/>
      <c r="V369" s="727"/>
      <c r="W369" s="727"/>
      <c r="X369" s="727"/>
      <c r="Y369" s="727"/>
      <c r="Z369" s="72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4301012126</v>
      </c>
      <c r="D370" s="728">
        <v>4607091386004</v>
      </c>
      <c r="E370" s="72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92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0"/>
      <c r="R370" s="730"/>
      <c r="S370" s="730"/>
      <c r="T370" s="73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5" si="60"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0</v>
      </c>
      <c r="BN370" s="75">
        <f t="shared" ref="BN370:BN375" si="62">IFERROR(Y370*I370/H370,"0")</f>
        <v>0</v>
      </c>
      <c r="BO370" s="75">
        <f t="shared" ref="BO370:BO375" si="63">IFERROR(1/J370*(X370/H370),"0")</f>
        <v>0</v>
      </c>
      <c r="BP370" s="75">
        <f t="shared" ref="BP370:BP375" si="64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728">
        <v>4680115887190</v>
      </c>
      <c r="E371" s="72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93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0"/>
      <c r="R371" s="730"/>
      <c r="S371" s="730"/>
      <c r="T371" s="73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728">
        <v>4680115887138</v>
      </c>
      <c r="E372" s="72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93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0"/>
      <c r="R372" s="730"/>
      <c r="S372" s="730"/>
      <c r="T372" s="73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728">
        <v>4680115885554</v>
      </c>
      <c r="E373" s="72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9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0"/>
      <c r="R373" s="730"/>
      <c r="S373" s="730"/>
      <c r="T373" s="73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728">
        <v>4680115887220</v>
      </c>
      <c r="E374" s="72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93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0"/>
      <c r="R374" s="730"/>
      <c r="S374" s="730"/>
      <c r="T374" s="73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728">
        <v>4680115885608</v>
      </c>
      <c r="E375" s="72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0"/>
      <c r="R375" s="730"/>
      <c r="S375" s="730"/>
      <c r="T375" s="73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hidden="1" x14ac:dyDescent="0.2">
      <c r="A376" s="736"/>
      <c r="B376" s="736"/>
      <c r="C376" s="736"/>
      <c r="D376" s="736"/>
      <c r="E376" s="736"/>
      <c r="F376" s="736"/>
      <c r="G376" s="736"/>
      <c r="H376" s="736"/>
      <c r="I376" s="736"/>
      <c r="J376" s="736"/>
      <c r="K376" s="736"/>
      <c r="L376" s="736"/>
      <c r="M376" s="736"/>
      <c r="N376" s="736"/>
      <c r="O376" s="737"/>
      <c r="P376" s="733" t="s">
        <v>40</v>
      </c>
      <c r="Q376" s="734"/>
      <c r="R376" s="734"/>
      <c r="S376" s="734"/>
      <c r="T376" s="734"/>
      <c r="U376" s="734"/>
      <c r="V376" s="735"/>
      <c r="W376" s="40" t="s">
        <v>39</v>
      </c>
      <c r="X376" s="41">
        <f>IFERROR(X370/H370,"0")+IFERROR(X371/H371,"0")+IFERROR(X372/H372,"0")+IFERROR(X373/H373,"0")+IFERROR(X374/H374,"0")+IFERROR(X375/H375,"0")</f>
        <v>0</v>
      </c>
      <c r="Y376" s="41">
        <f>IFERROR(Y370/H370,"0")+IFERROR(Y371/H371,"0")+IFERROR(Y372/H372,"0")+IFERROR(Y373/H373,"0")+IFERROR(Y374/H374,"0")+IFERROR(Y375/H375,"0")</f>
        <v>0</v>
      </c>
      <c r="Z376" s="41">
        <f>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36"/>
      <c r="B377" s="736"/>
      <c r="C377" s="736"/>
      <c r="D377" s="736"/>
      <c r="E377" s="736"/>
      <c r="F377" s="736"/>
      <c r="G377" s="736"/>
      <c r="H377" s="736"/>
      <c r="I377" s="736"/>
      <c r="J377" s="736"/>
      <c r="K377" s="736"/>
      <c r="L377" s="736"/>
      <c r="M377" s="736"/>
      <c r="N377" s="736"/>
      <c r="O377" s="737"/>
      <c r="P377" s="733" t="s">
        <v>40</v>
      </c>
      <c r="Q377" s="734"/>
      <c r="R377" s="734"/>
      <c r="S377" s="734"/>
      <c r="T377" s="734"/>
      <c r="U377" s="734"/>
      <c r="V377" s="735"/>
      <c r="W377" s="40" t="s">
        <v>0</v>
      </c>
      <c r="X377" s="41">
        <f>IFERROR(SUM(X370:X375),"0")</f>
        <v>0</v>
      </c>
      <c r="Y377" s="41">
        <f>IFERROR(SUM(Y370:Y375),"0")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27" t="s">
        <v>77</v>
      </c>
      <c r="B378" s="727"/>
      <c r="C378" s="727"/>
      <c r="D378" s="727"/>
      <c r="E378" s="727"/>
      <c r="F378" s="727"/>
      <c r="G378" s="727"/>
      <c r="H378" s="727"/>
      <c r="I378" s="727"/>
      <c r="J378" s="727"/>
      <c r="K378" s="727"/>
      <c r="L378" s="727"/>
      <c r="M378" s="727"/>
      <c r="N378" s="727"/>
      <c r="O378" s="727"/>
      <c r="P378" s="727"/>
      <c r="Q378" s="727"/>
      <c r="R378" s="727"/>
      <c r="S378" s="727"/>
      <c r="T378" s="727"/>
      <c r="U378" s="727"/>
      <c r="V378" s="727"/>
      <c r="W378" s="727"/>
      <c r="X378" s="727"/>
      <c r="Y378" s="727"/>
      <c r="Z378" s="727"/>
      <c r="AA378" s="63"/>
      <c r="AB378" s="63"/>
      <c r="AC378" s="63"/>
    </row>
    <row r="379" spans="1:68" ht="27" customHeight="1" x14ac:dyDescent="0.25">
      <c r="A379" s="60" t="s">
        <v>633</v>
      </c>
      <c r="B379" s="60" t="s">
        <v>634</v>
      </c>
      <c r="C379" s="34">
        <v>4301030878</v>
      </c>
      <c r="D379" s="728">
        <v>4607091387193</v>
      </c>
      <c r="E379" s="72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93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0"/>
      <c r="R379" s="730"/>
      <c r="S379" s="730"/>
      <c r="T379" s="731"/>
      <c r="U379" s="37" t="s">
        <v>46</v>
      </c>
      <c r="V379" s="37" t="s">
        <v>46</v>
      </c>
      <c r="W379" s="38" t="s">
        <v>0</v>
      </c>
      <c r="X379" s="56">
        <v>45</v>
      </c>
      <c r="Y379" s="53">
        <f t="shared" ref="Y379:Y385" si="65">IFERROR(IF(X379="",0,CEILING((X379/$H379),1)*$H379),"")</f>
        <v>46.2</v>
      </c>
      <c r="Z379" s="39">
        <f>IFERROR(IF(Y379=0,"",ROUNDUP(Y379/H379,0)*0.00902),"")</f>
        <v>9.9220000000000003E-2</v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47.678571428571423</v>
      </c>
      <c r="BN379" s="75">
        <f t="shared" ref="BN379:BN385" si="67">IFERROR(Y379*I379/H379,"0")</f>
        <v>48.95</v>
      </c>
      <c r="BO379" s="75">
        <f t="shared" ref="BO379:BO385" si="68">IFERROR(1/J379*(X379/H379),"0")</f>
        <v>8.1168831168831168E-2</v>
      </c>
      <c r="BP379" s="75">
        <f t="shared" ref="BP379:BP385" si="69">IFERROR(1/J379*(Y379/H379),"0")</f>
        <v>8.3333333333333343E-2</v>
      </c>
    </row>
    <row r="380" spans="1:68" ht="27" customHeight="1" x14ac:dyDescent="0.25">
      <c r="A380" s="60" t="s">
        <v>636</v>
      </c>
      <c r="B380" s="60" t="s">
        <v>637</v>
      </c>
      <c r="C380" s="34">
        <v>4301031153</v>
      </c>
      <c r="D380" s="728">
        <v>4607091387230</v>
      </c>
      <c r="E380" s="72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93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0"/>
      <c r="R380" s="730"/>
      <c r="S380" s="730"/>
      <c r="T380" s="731"/>
      <c r="U380" s="37" t="s">
        <v>46</v>
      </c>
      <c r="V380" s="37" t="s">
        <v>46</v>
      </c>
      <c r="W380" s="38" t="s">
        <v>0</v>
      </c>
      <c r="X380" s="56">
        <v>45</v>
      </c>
      <c r="Y380" s="53">
        <f t="shared" si="65"/>
        <v>46.2</v>
      </c>
      <c r="Z380" s="39">
        <f>IFERROR(IF(Y380=0,"",ROUNDUP(Y380/H380,0)*0.00902),"")</f>
        <v>9.9220000000000003E-2</v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47.678571428571423</v>
      </c>
      <c r="BN380" s="75">
        <f t="shared" si="67"/>
        <v>48.95</v>
      </c>
      <c r="BO380" s="75">
        <f t="shared" si="68"/>
        <v>8.1168831168831168E-2</v>
      </c>
      <c r="BP380" s="75">
        <f t="shared" si="69"/>
        <v>8.3333333333333343E-2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728">
        <v>4607091387292</v>
      </c>
      <c r="E381" s="72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9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0"/>
      <c r="R381" s="730"/>
      <c r="S381" s="730"/>
      <c r="T381" s="73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728">
        <v>4607091387285</v>
      </c>
      <c r="E382" s="72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0"/>
      <c r="R382" s="730"/>
      <c r="S382" s="730"/>
      <c r="T382" s="73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4301031305</v>
      </c>
      <c r="D383" s="728">
        <v>4607091389845</v>
      </c>
      <c r="E383" s="72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0"/>
      <c r="R383" s="730"/>
      <c r="S383" s="730"/>
      <c r="T383" s="731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5"/>
        <v>0</v>
      </c>
      <c r="Z383" s="39" t="str">
        <f>IFERROR(IF(Y383=0,"",ROUNDUP(Y383/H383,0)*0.00502),"")</f>
        <v/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0</v>
      </c>
      <c r="BN383" s="75">
        <f t="shared" si="67"/>
        <v>0</v>
      </c>
      <c r="BO383" s="75">
        <f t="shared" si="68"/>
        <v>0</v>
      </c>
      <c r="BP383" s="75">
        <f t="shared" si="69"/>
        <v>0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728">
        <v>4680115887442</v>
      </c>
      <c r="E384" s="72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9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0"/>
      <c r="R384" s="730"/>
      <c r="S384" s="730"/>
      <c r="T384" s="73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4301031066</v>
      </c>
      <c r="D385" s="728">
        <v>4607091383836</v>
      </c>
      <c r="E385" s="72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9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0"/>
      <c r="R385" s="730"/>
      <c r="S385" s="730"/>
      <c r="T385" s="731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65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0</v>
      </c>
      <c r="BN385" s="75">
        <f t="shared" si="67"/>
        <v>0</v>
      </c>
      <c r="BO385" s="75">
        <f t="shared" si="68"/>
        <v>0</v>
      </c>
      <c r="BP385" s="75">
        <f t="shared" si="69"/>
        <v>0</v>
      </c>
    </row>
    <row r="386" spans="1:68" x14ac:dyDescent="0.2">
      <c r="A386" s="736"/>
      <c r="B386" s="736"/>
      <c r="C386" s="736"/>
      <c r="D386" s="736"/>
      <c r="E386" s="736"/>
      <c r="F386" s="736"/>
      <c r="G386" s="736"/>
      <c r="H386" s="736"/>
      <c r="I386" s="736"/>
      <c r="J386" s="736"/>
      <c r="K386" s="736"/>
      <c r="L386" s="736"/>
      <c r="M386" s="736"/>
      <c r="N386" s="736"/>
      <c r="O386" s="737"/>
      <c r="P386" s="733" t="s">
        <v>40</v>
      </c>
      <c r="Q386" s="734"/>
      <c r="R386" s="734"/>
      <c r="S386" s="734"/>
      <c r="T386" s="734"/>
      <c r="U386" s="734"/>
      <c r="V386" s="735"/>
      <c r="W386" s="40" t="s">
        <v>39</v>
      </c>
      <c r="X386" s="41">
        <f>IFERROR(X379/H379,"0")+IFERROR(X380/H380,"0")+IFERROR(X381/H381,"0")+IFERROR(X382/H382,"0")+IFERROR(X383/H383,"0")+IFERROR(X384/H384,"0")+IFERROR(X385/H385,"0")</f>
        <v>21.428571428571427</v>
      </c>
      <c r="Y386" s="41">
        <f>IFERROR(Y379/H379,"0")+IFERROR(Y380/H380,"0")+IFERROR(Y381/H381,"0")+IFERROR(Y382/H382,"0")+IFERROR(Y383/H383,"0")+IFERROR(Y384/H384,"0")+IFERROR(Y385/H385,"0")</f>
        <v>22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0.19844000000000001</v>
      </c>
      <c r="AA386" s="64"/>
      <c r="AB386" s="64"/>
      <c r="AC386" s="64"/>
    </row>
    <row r="387" spans="1:68" x14ac:dyDescent="0.2">
      <c r="A387" s="736"/>
      <c r="B387" s="736"/>
      <c r="C387" s="736"/>
      <c r="D387" s="736"/>
      <c r="E387" s="736"/>
      <c r="F387" s="736"/>
      <c r="G387" s="736"/>
      <c r="H387" s="736"/>
      <c r="I387" s="736"/>
      <c r="J387" s="736"/>
      <c r="K387" s="736"/>
      <c r="L387" s="736"/>
      <c r="M387" s="736"/>
      <c r="N387" s="736"/>
      <c r="O387" s="737"/>
      <c r="P387" s="733" t="s">
        <v>40</v>
      </c>
      <c r="Q387" s="734"/>
      <c r="R387" s="734"/>
      <c r="S387" s="734"/>
      <c r="T387" s="734"/>
      <c r="U387" s="734"/>
      <c r="V387" s="735"/>
      <c r="W387" s="40" t="s">
        <v>0</v>
      </c>
      <c r="X387" s="41">
        <f>IFERROR(SUM(X379:X385),"0")</f>
        <v>90</v>
      </c>
      <c r="Y387" s="41">
        <f>IFERROR(SUM(Y379:Y385),"0")</f>
        <v>92.4</v>
      </c>
      <c r="Z387" s="40"/>
      <c r="AA387" s="64"/>
      <c r="AB387" s="64"/>
      <c r="AC387" s="64"/>
    </row>
    <row r="388" spans="1:68" ht="14.25" hidden="1" customHeight="1" x14ac:dyDescent="0.25">
      <c r="A388" s="727" t="s">
        <v>86</v>
      </c>
      <c r="B388" s="727"/>
      <c r="C388" s="727"/>
      <c r="D388" s="727"/>
      <c r="E388" s="727"/>
      <c r="F388" s="727"/>
      <c r="G388" s="727"/>
      <c r="H388" s="727"/>
      <c r="I388" s="727"/>
      <c r="J388" s="727"/>
      <c r="K388" s="727"/>
      <c r="L388" s="727"/>
      <c r="M388" s="727"/>
      <c r="N388" s="727"/>
      <c r="O388" s="727"/>
      <c r="P388" s="727"/>
      <c r="Q388" s="727"/>
      <c r="R388" s="727"/>
      <c r="S388" s="727"/>
      <c r="T388" s="727"/>
      <c r="U388" s="727"/>
      <c r="V388" s="727"/>
      <c r="W388" s="727"/>
      <c r="X388" s="727"/>
      <c r="Y388" s="727"/>
      <c r="Z388" s="727"/>
      <c r="AA388" s="63"/>
      <c r="AB388" s="63"/>
      <c r="AC388" s="63"/>
    </row>
    <row r="389" spans="1:68" ht="27" hidden="1" customHeight="1" x14ac:dyDescent="0.25">
      <c r="A389" s="60" t="s">
        <v>652</v>
      </c>
      <c r="B389" s="60" t="s">
        <v>653</v>
      </c>
      <c r="C389" s="34">
        <v>4301051100</v>
      </c>
      <c r="D389" s="728">
        <v>4607091387766</v>
      </c>
      <c r="E389" s="72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9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0"/>
      <c r="R389" s="730"/>
      <c r="S389" s="730"/>
      <c r="T389" s="73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655</v>
      </c>
      <c r="B390" s="60" t="s">
        <v>656</v>
      </c>
      <c r="C390" s="34">
        <v>4301051818</v>
      </c>
      <c r="D390" s="728">
        <v>4607091387957</v>
      </c>
      <c r="E390" s="72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9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0"/>
      <c r="R390" s="730"/>
      <c r="S390" s="730"/>
      <c r="T390" s="73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658</v>
      </c>
      <c r="B391" s="60" t="s">
        <v>659</v>
      </c>
      <c r="C391" s="34">
        <v>4301051819</v>
      </c>
      <c r="D391" s="728">
        <v>4607091387964</v>
      </c>
      <c r="E391" s="72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9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0"/>
      <c r="R391" s="730"/>
      <c r="S391" s="730"/>
      <c r="T391" s="73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661</v>
      </c>
      <c r="B392" s="60" t="s">
        <v>662</v>
      </c>
      <c r="C392" s="34">
        <v>4301051734</v>
      </c>
      <c r="D392" s="728">
        <v>4680115884588</v>
      </c>
      <c r="E392" s="72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9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0"/>
      <c r="R392" s="730"/>
      <c r="S392" s="730"/>
      <c r="T392" s="73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idden="1" x14ac:dyDescent="0.2">
      <c r="A393" s="736"/>
      <c r="B393" s="736"/>
      <c r="C393" s="736"/>
      <c r="D393" s="736"/>
      <c r="E393" s="736"/>
      <c r="F393" s="736"/>
      <c r="G393" s="736"/>
      <c r="H393" s="736"/>
      <c r="I393" s="736"/>
      <c r="J393" s="736"/>
      <c r="K393" s="736"/>
      <c r="L393" s="736"/>
      <c r="M393" s="736"/>
      <c r="N393" s="736"/>
      <c r="O393" s="737"/>
      <c r="P393" s="733" t="s">
        <v>40</v>
      </c>
      <c r="Q393" s="734"/>
      <c r="R393" s="734"/>
      <c r="S393" s="734"/>
      <c r="T393" s="734"/>
      <c r="U393" s="734"/>
      <c r="V393" s="735"/>
      <c r="W393" s="40" t="s">
        <v>39</v>
      </c>
      <c r="X393" s="41">
        <f>IFERROR(X389/H389,"0")+IFERROR(X390/H390,"0")+IFERROR(X391/H391,"0")+IFERROR(X392/H392,"0")</f>
        <v>0</v>
      </c>
      <c r="Y393" s="41">
        <f>IFERROR(Y389/H389,"0")+IFERROR(Y390/H390,"0")+IFERROR(Y391/H391,"0")+IFERROR(Y392/H392,"0")</f>
        <v>0</v>
      </c>
      <c r="Z393" s="41">
        <f>IFERROR(IF(Z389="",0,Z389),"0")+IFERROR(IF(Z390="",0,Z390),"0")+IFERROR(IF(Z391="",0,Z391),"0")+IFERROR(IF(Z392="",0,Z392),"0")</f>
        <v>0</v>
      </c>
      <c r="AA393" s="64"/>
      <c r="AB393" s="64"/>
      <c r="AC393" s="64"/>
    </row>
    <row r="394" spans="1:68" hidden="1" x14ac:dyDescent="0.2">
      <c r="A394" s="736"/>
      <c r="B394" s="736"/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  <c r="O394" s="737"/>
      <c r="P394" s="733" t="s">
        <v>40</v>
      </c>
      <c r="Q394" s="734"/>
      <c r="R394" s="734"/>
      <c r="S394" s="734"/>
      <c r="T394" s="734"/>
      <c r="U394" s="734"/>
      <c r="V394" s="735"/>
      <c r="W394" s="40" t="s">
        <v>0</v>
      </c>
      <c r="X394" s="41">
        <f>IFERROR(SUM(X389:X392),"0")</f>
        <v>0</v>
      </c>
      <c r="Y394" s="41">
        <f>IFERROR(SUM(Y389:Y392),"0")</f>
        <v>0</v>
      </c>
      <c r="Z394" s="40"/>
      <c r="AA394" s="64"/>
      <c r="AB394" s="64"/>
      <c r="AC394" s="64"/>
    </row>
    <row r="395" spans="1:68" ht="14.25" hidden="1" customHeight="1" x14ac:dyDescent="0.25">
      <c r="A395" s="727" t="s">
        <v>173</v>
      </c>
      <c r="B395" s="727"/>
      <c r="C395" s="727"/>
      <c r="D395" s="727"/>
      <c r="E395" s="727"/>
      <c r="F395" s="727"/>
      <c r="G395" s="727"/>
      <c r="H395" s="727"/>
      <c r="I395" s="727"/>
      <c r="J395" s="727"/>
      <c r="K395" s="727"/>
      <c r="L395" s="727"/>
      <c r="M395" s="727"/>
      <c r="N395" s="727"/>
      <c r="O395" s="727"/>
      <c r="P395" s="727"/>
      <c r="Q395" s="727"/>
      <c r="R395" s="727"/>
      <c r="S395" s="727"/>
      <c r="T395" s="727"/>
      <c r="U395" s="727"/>
      <c r="V395" s="727"/>
      <c r="W395" s="727"/>
      <c r="X395" s="727"/>
      <c r="Y395" s="727"/>
      <c r="Z395" s="727"/>
      <c r="AA395" s="63"/>
      <c r="AB395" s="63"/>
      <c r="AC395" s="63"/>
    </row>
    <row r="396" spans="1:68" ht="27" hidden="1" customHeight="1" x14ac:dyDescent="0.25">
      <c r="A396" s="60" t="s">
        <v>663</v>
      </c>
      <c r="B396" s="60" t="s">
        <v>664</v>
      </c>
      <c r="C396" s="34">
        <v>4301060387</v>
      </c>
      <c r="D396" s="728">
        <v>4607091380880</v>
      </c>
      <c r="E396" s="72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9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0"/>
      <c r="R396" s="730"/>
      <c r="S396" s="730"/>
      <c r="T396" s="73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IFERROR(IF(Y396=0,"",ROUNDUP(Y396/H396,0)*0.01898),"")</f>
        <v/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728">
        <v>4607091384482</v>
      </c>
      <c r="E397" s="72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9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0"/>
      <c r="R397" s="730"/>
      <c r="S397" s="730"/>
      <c r="T397" s="731"/>
      <c r="U397" s="37" t="s">
        <v>46</v>
      </c>
      <c r="V397" s="37" t="s">
        <v>46</v>
      </c>
      <c r="W397" s="38" t="s">
        <v>0</v>
      </c>
      <c r="X397" s="56">
        <v>60</v>
      </c>
      <c r="Y397" s="53">
        <f>IFERROR(IF(X397="",0,CEILING((X397/$H397),1)*$H397),"")</f>
        <v>62.4</v>
      </c>
      <c r="Z397" s="39">
        <f>IFERROR(IF(Y397=0,"",ROUNDUP(Y397/H397,0)*0.01898),"")</f>
        <v>0.15184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63.800000000000004</v>
      </c>
      <c r="BN397" s="75">
        <f>IFERROR(Y397*I397/H397,"0")</f>
        <v>66.352000000000004</v>
      </c>
      <c r="BO397" s="75">
        <f>IFERROR(1/J397*(X397/H397),"0")</f>
        <v>0.1201923076923077</v>
      </c>
      <c r="BP397" s="75">
        <f>IFERROR(1/J397*(Y397/H397),"0")</f>
        <v>0.125</v>
      </c>
    </row>
    <row r="398" spans="1:68" ht="27" hidden="1" customHeight="1" x14ac:dyDescent="0.25">
      <c r="A398" s="60" t="s">
        <v>669</v>
      </c>
      <c r="B398" s="60" t="s">
        <v>670</v>
      </c>
      <c r="C398" s="34">
        <v>4301060484</v>
      </c>
      <c r="D398" s="728">
        <v>4607091380897</v>
      </c>
      <c r="E398" s="72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9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0"/>
      <c r="R398" s="730"/>
      <c r="S398" s="730"/>
      <c r="T398" s="73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736"/>
      <c r="B399" s="736"/>
      <c r="C399" s="736"/>
      <c r="D399" s="736"/>
      <c r="E399" s="736"/>
      <c r="F399" s="736"/>
      <c r="G399" s="736"/>
      <c r="H399" s="736"/>
      <c r="I399" s="736"/>
      <c r="J399" s="736"/>
      <c r="K399" s="736"/>
      <c r="L399" s="736"/>
      <c r="M399" s="736"/>
      <c r="N399" s="736"/>
      <c r="O399" s="737"/>
      <c r="P399" s="733" t="s">
        <v>40</v>
      </c>
      <c r="Q399" s="734"/>
      <c r="R399" s="734"/>
      <c r="S399" s="734"/>
      <c r="T399" s="734"/>
      <c r="U399" s="734"/>
      <c r="V399" s="735"/>
      <c r="W399" s="40" t="s">
        <v>39</v>
      </c>
      <c r="X399" s="41">
        <f>IFERROR(X396/H396,"0")+IFERROR(X397/H397,"0")+IFERROR(X398/H398,"0")</f>
        <v>7.6923076923076925</v>
      </c>
      <c r="Y399" s="41">
        <f>IFERROR(Y396/H396,"0")+IFERROR(Y397/H397,"0")+IFERROR(Y398/H398,"0")</f>
        <v>8</v>
      </c>
      <c r="Z399" s="41">
        <f>IFERROR(IF(Z396="",0,Z396),"0")+IFERROR(IF(Z397="",0,Z397),"0")+IFERROR(IF(Z398="",0,Z398),"0")</f>
        <v>0.15184</v>
      </c>
      <c r="AA399" s="64"/>
      <c r="AB399" s="64"/>
      <c r="AC399" s="64"/>
    </row>
    <row r="400" spans="1:68" x14ac:dyDescent="0.2">
      <c r="A400" s="736"/>
      <c r="B400" s="736"/>
      <c r="C400" s="736"/>
      <c r="D400" s="736"/>
      <c r="E400" s="736"/>
      <c r="F400" s="736"/>
      <c r="G400" s="736"/>
      <c r="H400" s="736"/>
      <c r="I400" s="736"/>
      <c r="J400" s="736"/>
      <c r="K400" s="736"/>
      <c r="L400" s="736"/>
      <c r="M400" s="736"/>
      <c r="N400" s="736"/>
      <c r="O400" s="737"/>
      <c r="P400" s="733" t="s">
        <v>40</v>
      </c>
      <c r="Q400" s="734"/>
      <c r="R400" s="734"/>
      <c r="S400" s="734"/>
      <c r="T400" s="734"/>
      <c r="U400" s="734"/>
      <c r="V400" s="735"/>
      <c r="W400" s="40" t="s">
        <v>0</v>
      </c>
      <c r="X400" s="41">
        <f>IFERROR(SUM(X396:X398),"0")</f>
        <v>60</v>
      </c>
      <c r="Y400" s="41">
        <f>IFERROR(SUM(Y396:Y398),"0")</f>
        <v>62.4</v>
      </c>
      <c r="Z400" s="40"/>
      <c r="AA400" s="64"/>
      <c r="AB400" s="64"/>
      <c r="AC400" s="64"/>
    </row>
    <row r="401" spans="1:68" ht="14.25" hidden="1" customHeight="1" x14ac:dyDescent="0.25">
      <c r="A401" s="727" t="s">
        <v>294</v>
      </c>
      <c r="B401" s="727"/>
      <c r="C401" s="727"/>
      <c r="D401" s="727"/>
      <c r="E401" s="727"/>
      <c r="F401" s="727"/>
      <c r="G401" s="727"/>
      <c r="H401" s="727"/>
      <c r="I401" s="727"/>
      <c r="J401" s="727"/>
      <c r="K401" s="727"/>
      <c r="L401" s="727"/>
      <c r="M401" s="727"/>
      <c r="N401" s="727"/>
      <c r="O401" s="727"/>
      <c r="P401" s="727"/>
      <c r="Q401" s="727"/>
      <c r="R401" s="727"/>
      <c r="S401" s="727"/>
      <c r="T401" s="727"/>
      <c r="U401" s="727"/>
      <c r="V401" s="727"/>
      <c r="W401" s="727"/>
      <c r="X401" s="727"/>
      <c r="Y401" s="727"/>
      <c r="Z401" s="727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728">
        <v>4607091388381</v>
      </c>
      <c r="E402" s="72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0"/>
      <c r="R402" s="730"/>
      <c r="S402" s="730"/>
      <c r="T402" s="731"/>
      <c r="U402" s="37" t="s">
        <v>46</v>
      </c>
      <c r="V402" s="37" t="s">
        <v>46</v>
      </c>
      <c r="W402" s="38" t="s">
        <v>0</v>
      </c>
      <c r="X402" s="56"/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728">
        <v>4607091388374</v>
      </c>
      <c r="E403" s="72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0"/>
      <c r="R403" s="730"/>
      <c r="S403" s="730"/>
      <c r="T403" s="73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677</v>
      </c>
      <c r="B404" s="60" t="s">
        <v>678</v>
      </c>
      <c r="C404" s="34">
        <v>4301032015</v>
      </c>
      <c r="D404" s="728">
        <v>4607091383102</v>
      </c>
      <c r="E404" s="72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0"/>
      <c r="R404" s="730"/>
      <c r="S404" s="730"/>
      <c r="T404" s="73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679</v>
      </c>
      <c r="B405" s="60" t="s">
        <v>680</v>
      </c>
      <c r="C405" s="34">
        <v>4301030233</v>
      </c>
      <c r="D405" s="728">
        <v>4607091388404</v>
      </c>
      <c r="E405" s="72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9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0"/>
      <c r="R405" s="730"/>
      <c r="S405" s="730"/>
      <c r="T405" s="73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736"/>
      <c r="B406" s="736"/>
      <c r="C406" s="736"/>
      <c r="D406" s="736"/>
      <c r="E406" s="736"/>
      <c r="F406" s="736"/>
      <c r="G406" s="736"/>
      <c r="H406" s="736"/>
      <c r="I406" s="736"/>
      <c r="J406" s="736"/>
      <c r="K406" s="736"/>
      <c r="L406" s="736"/>
      <c r="M406" s="736"/>
      <c r="N406" s="736"/>
      <c r="O406" s="737"/>
      <c r="P406" s="733" t="s">
        <v>40</v>
      </c>
      <c r="Q406" s="734"/>
      <c r="R406" s="734"/>
      <c r="S406" s="734"/>
      <c r="T406" s="734"/>
      <c r="U406" s="734"/>
      <c r="V406" s="735"/>
      <c r="W406" s="40" t="s">
        <v>39</v>
      </c>
      <c r="X406" s="41">
        <f>IFERROR(X402/H402,"0")+IFERROR(X403/H403,"0")+IFERROR(X404/H404,"0")+IFERROR(X405/H405,"0")</f>
        <v>0</v>
      </c>
      <c r="Y406" s="41">
        <f>IFERROR(Y402/H402,"0")+IFERROR(Y403/H403,"0")+IFERROR(Y404/H404,"0")+IFERROR(Y405/H405,"0")</f>
        <v>0</v>
      </c>
      <c r="Z406" s="41">
        <f>IFERROR(IF(Z402="",0,Z402),"0")+IFERROR(IF(Z403="",0,Z403),"0")+IFERROR(IF(Z404="",0,Z404),"0")+IFERROR(IF(Z405="",0,Z405),"0")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736"/>
      <c r="B407" s="736"/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  <c r="O407" s="737"/>
      <c r="P407" s="733" t="s">
        <v>40</v>
      </c>
      <c r="Q407" s="734"/>
      <c r="R407" s="734"/>
      <c r="S407" s="734"/>
      <c r="T407" s="734"/>
      <c r="U407" s="734"/>
      <c r="V407" s="735"/>
      <c r="W407" s="40" t="s">
        <v>0</v>
      </c>
      <c r="X407" s="41">
        <f>IFERROR(SUM(X402:X405),"0")</f>
        <v>0</v>
      </c>
      <c r="Y407" s="41">
        <f>IFERROR(SUM(Y402:Y405),"0")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727" t="s">
        <v>681</v>
      </c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7"/>
      <c r="P408" s="727"/>
      <c r="Q408" s="727"/>
      <c r="R408" s="727"/>
      <c r="S408" s="727"/>
      <c r="T408" s="727"/>
      <c r="U408" s="727"/>
      <c r="V408" s="727"/>
      <c r="W408" s="727"/>
      <c r="X408" s="727"/>
      <c r="Y408" s="727"/>
      <c r="Z408" s="727"/>
      <c r="AA408" s="63"/>
      <c r="AB408" s="63"/>
      <c r="AC408" s="63"/>
    </row>
    <row r="409" spans="1:68" ht="16.5" hidden="1" customHeight="1" x14ac:dyDescent="0.25">
      <c r="A409" s="60" t="s">
        <v>682</v>
      </c>
      <c r="B409" s="60" t="s">
        <v>683</v>
      </c>
      <c r="C409" s="34">
        <v>4301180007</v>
      </c>
      <c r="D409" s="728">
        <v>4680115881808</v>
      </c>
      <c r="E409" s="72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9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0"/>
      <c r="R409" s="730"/>
      <c r="S409" s="730"/>
      <c r="T409" s="73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728">
        <v>4680115881822</v>
      </c>
      <c r="E410" s="72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9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0"/>
      <c r="R410" s="730"/>
      <c r="S410" s="730"/>
      <c r="T410" s="73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688</v>
      </c>
      <c r="B411" s="60" t="s">
        <v>689</v>
      </c>
      <c r="C411" s="34">
        <v>4301180001</v>
      </c>
      <c r="D411" s="728">
        <v>4680115880016</v>
      </c>
      <c r="E411" s="72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95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0"/>
      <c r="R411" s="730"/>
      <c r="S411" s="730"/>
      <c r="T411" s="73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36"/>
      <c r="B412" s="736"/>
      <c r="C412" s="736"/>
      <c r="D412" s="736"/>
      <c r="E412" s="736"/>
      <c r="F412" s="736"/>
      <c r="G412" s="736"/>
      <c r="H412" s="736"/>
      <c r="I412" s="736"/>
      <c r="J412" s="736"/>
      <c r="K412" s="736"/>
      <c r="L412" s="736"/>
      <c r="M412" s="736"/>
      <c r="N412" s="736"/>
      <c r="O412" s="737"/>
      <c r="P412" s="733" t="s">
        <v>40</v>
      </c>
      <c r="Q412" s="734"/>
      <c r="R412" s="734"/>
      <c r="S412" s="734"/>
      <c r="T412" s="734"/>
      <c r="U412" s="734"/>
      <c r="V412" s="735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736"/>
      <c r="B413" s="736"/>
      <c r="C413" s="736"/>
      <c r="D413" s="736"/>
      <c r="E413" s="736"/>
      <c r="F413" s="736"/>
      <c r="G413" s="736"/>
      <c r="H413" s="736"/>
      <c r="I413" s="736"/>
      <c r="J413" s="736"/>
      <c r="K413" s="736"/>
      <c r="L413" s="736"/>
      <c r="M413" s="736"/>
      <c r="N413" s="736"/>
      <c r="O413" s="737"/>
      <c r="P413" s="733" t="s">
        <v>40</v>
      </c>
      <c r="Q413" s="734"/>
      <c r="R413" s="734"/>
      <c r="S413" s="734"/>
      <c r="T413" s="734"/>
      <c r="U413" s="734"/>
      <c r="V413" s="735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727" t="s">
        <v>690</v>
      </c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7"/>
      <c r="P414" s="727"/>
      <c r="Q414" s="727"/>
      <c r="R414" s="727"/>
      <c r="S414" s="727"/>
      <c r="T414" s="727"/>
      <c r="U414" s="727"/>
      <c r="V414" s="727"/>
      <c r="W414" s="727"/>
      <c r="X414" s="727"/>
      <c r="Y414" s="727"/>
      <c r="Z414" s="727"/>
      <c r="AA414" s="63"/>
      <c r="AB414" s="63"/>
      <c r="AC414" s="63"/>
    </row>
    <row r="415" spans="1:68" ht="27" customHeight="1" x14ac:dyDescent="0.25">
      <c r="A415" s="60" t="s">
        <v>691</v>
      </c>
      <c r="B415" s="60" t="s">
        <v>692</v>
      </c>
      <c r="C415" s="34">
        <v>4301220003</v>
      </c>
      <c r="D415" s="728">
        <v>4680115888678</v>
      </c>
      <c r="E415" s="72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9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0"/>
      <c r="R415" s="730"/>
      <c r="S415" s="730"/>
      <c r="T415" s="731"/>
      <c r="U415" s="37" t="s">
        <v>46</v>
      </c>
      <c r="V415" s="37" t="s">
        <v>46</v>
      </c>
      <c r="W415" s="38" t="s">
        <v>0</v>
      </c>
      <c r="X415" s="56">
        <v>3</v>
      </c>
      <c r="Y415" s="53">
        <f>IFERROR(IF(X415="",0,CEILING((X415/$H415),1)*$H415),"")</f>
        <v>3</v>
      </c>
      <c r="Z415" s="39">
        <f>IFERROR(IF(Y415=0,"",ROUNDUP(Y415/H415,0)*0.0045),"")</f>
        <v>4.4999999999999997E-3</v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3.22</v>
      </c>
      <c r="BN415" s="75">
        <f>IFERROR(Y415*I415/H415,"0")</f>
        <v>3.22</v>
      </c>
      <c r="BO415" s="75">
        <f>IFERROR(1/J415*(X415/H415),"0")</f>
        <v>4.464285714285714E-3</v>
      </c>
      <c r="BP415" s="75">
        <f>IFERROR(1/J415*(Y415/H415),"0")</f>
        <v>4.464285714285714E-3</v>
      </c>
    </row>
    <row r="416" spans="1:68" ht="27" hidden="1" customHeight="1" x14ac:dyDescent="0.25">
      <c r="A416" s="60" t="s">
        <v>694</v>
      </c>
      <c r="B416" s="60" t="s">
        <v>695</v>
      </c>
      <c r="C416" s="34">
        <v>4301220001</v>
      </c>
      <c r="D416" s="728">
        <v>4680115888654</v>
      </c>
      <c r="E416" s="72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0"/>
      <c r="R416" s="730"/>
      <c r="S416" s="730"/>
      <c r="T416" s="73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697</v>
      </c>
      <c r="B417" s="60" t="s">
        <v>698</v>
      </c>
      <c r="C417" s="34">
        <v>4301220002</v>
      </c>
      <c r="D417" s="728">
        <v>4680115888753</v>
      </c>
      <c r="E417" s="72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0"/>
      <c r="R417" s="730"/>
      <c r="S417" s="730"/>
      <c r="T417" s="731"/>
      <c r="U417" s="37" t="s">
        <v>46</v>
      </c>
      <c r="V417" s="37" t="s">
        <v>46</v>
      </c>
      <c r="W417" s="38" t="s">
        <v>0</v>
      </c>
      <c r="X417" s="56">
        <v>3</v>
      </c>
      <c r="Y417" s="53">
        <f>IFERROR(IF(X417="",0,CEILING((X417/$H417),1)*$H417),"")</f>
        <v>3</v>
      </c>
      <c r="Z417" s="39">
        <f>IFERROR(IF(Y417=0,"",ROUNDUP(Y417/H417,0)*0.0045),"")</f>
        <v>4.4999999999999997E-3</v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3.22</v>
      </c>
      <c r="BN417" s="75">
        <f>IFERROR(Y417*I417/H417,"0")</f>
        <v>3.22</v>
      </c>
      <c r="BO417" s="75">
        <f>IFERROR(1/J417*(X417/H417),"0")</f>
        <v>4.464285714285714E-3</v>
      </c>
      <c r="BP417" s="75">
        <f>IFERROR(1/J417*(Y417/H417),"0")</f>
        <v>4.464285714285714E-3</v>
      </c>
    </row>
    <row r="418" spans="1:68" x14ac:dyDescent="0.2">
      <c r="A418" s="736"/>
      <c r="B418" s="736"/>
      <c r="C418" s="736"/>
      <c r="D418" s="736"/>
      <c r="E418" s="736"/>
      <c r="F418" s="736"/>
      <c r="G418" s="736"/>
      <c r="H418" s="736"/>
      <c r="I418" s="736"/>
      <c r="J418" s="736"/>
      <c r="K418" s="736"/>
      <c r="L418" s="736"/>
      <c r="M418" s="736"/>
      <c r="N418" s="736"/>
      <c r="O418" s="737"/>
      <c r="P418" s="733" t="s">
        <v>40</v>
      </c>
      <c r="Q418" s="734"/>
      <c r="R418" s="734"/>
      <c r="S418" s="734"/>
      <c r="T418" s="734"/>
      <c r="U418" s="734"/>
      <c r="V418" s="735"/>
      <c r="W418" s="40" t="s">
        <v>39</v>
      </c>
      <c r="X418" s="41">
        <f>IFERROR(X415/H415,"0")+IFERROR(X416/H416,"0")+IFERROR(X417/H417,"0")</f>
        <v>2</v>
      </c>
      <c r="Y418" s="41">
        <f>IFERROR(Y415/H415,"0")+IFERROR(Y416/H416,"0")+IFERROR(Y417/H417,"0")</f>
        <v>2</v>
      </c>
      <c r="Z418" s="41">
        <f>IFERROR(IF(Z415="",0,Z415),"0")+IFERROR(IF(Z416="",0,Z416),"0")+IFERROR(IF(Z417="",0,Z417),"0")</f>
        <v>8.9999999999999993E-3</v>
      </c>
      <c r="AA418" s="64"/>
      <c r="AB418" s="64"/>
      <c r="AC418" s="64"/>
    </row>
    <row r="419" spans="1:68" x14ac:dyDescent="0.2">
      <c r="A419" s="736"/>
      <c r="B419" s="736"/>
      <c r="C419" s="736"/>
      <c r="D419" s="736"/>
      <c r="E419" s="736"/>
      <c r="F419" s="736"/>
      <c r="G419" s="736"/>
      <c r="H419" s="736"/>
      <c r="I419" s="736"/>
      <c r="J419" s="736"/>
      <c r="K419" s="736"/>
      <c r="L419" s="736"/>
      <c r="M419" s="736"/>
      <c r="N419" s="736"/>
      <c r="O419" s="737"/>
      <c r="P419" s="733" t="s">
        <v>40</v>
      </c>
      <c r="Q419" s="734"/>
      <c r="R419" s="734"/>
      <c r="S419" s="734"/>
      <c r="T419" s="734"/>
      <c r="U419" s="734"/>
      <c r="V419" s="735"/>
      <c r="W419" s="40" t="s">
        <v>0</v>
      </c>
      <c r="X419" s="41">
        <f>IFERROR(SUM(X415:X417),"0")</f>
        <v>6</v>
      </c>
      <c r="Y419" s="41">
        <f>IFERROR(SUM(Y415:Y417),"0")</f>
        <v>6</v>
      </c>
      <c r="Z419" s="40"/>
      <c r="AA419" s="64"/>
      <c r="AB419" s="64"/>
      <c r="AC419" s="64"/>
    </row>
    <row r="420" spans="1:68" ht="16.5" hidden="1" customHeight="1" x14ac:dyDescent="0.25">
      <c r="A420" s="726" t="s">
        <v>699</v>
      </c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62"/>
      <c r="AB420" s="62"/>
      <c r="AC420" s="62"/>
    </row>
    <row r="421" spans="1:68" ht="14.25" hidden="1" customHeight="1" x14ac:dyDescent="0.25">
      <c r="A421" s="727" t="s">
        <v>86</v>
      </c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7"/>
      <c r="P421" s="727"/>
      <c r="Q421" s="727"/>
      <c r="R421" s="727"/>
      <c r="S421" s="727"/>
      <c r="T421" s="727"/>
      <c r="U421" s="727"/>
      <c r="V421" s="727"/>
      <c r="W421" s="727"/>
      <c r="X421" s="727"/>
      <c r="Y421" s="727"/>
      <c r="Z421" s="727"/>
      <c r="AA421" s="63"/>
      <c r="AB421" s="63"/>
      <c r="AC421" s="63"/>
    </row>
    <row r="422" spans="1:68" ht="16.5" hidden="1" customHeight="1" x14ac:dyDescent="0.25">
      <c r="A422" s="60" t="s">
        <v>700</v>
      </c>
      <c r="B422" s="60" t="s">
        <v>701</v>
      </c>
      <c r="C422" s="34">
        <v>4301052235</v>
      </c>
      <c r="D422" s="728">
        <v>4680115889415</v>
      </c>
      <c r="E422" s="72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95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0"/>
      <c r="R422" s="730"/>
      <c r="S422" s="730"/>
      <c r="T422" s="731"/>
      <c r="U422" s="37" t="s">
        <v>46</v>
      </c>
      <c r="V422" s="37" t="s">
        <v>46</v>
      </c>
      <c r="W422" s="38" t="s">
        <v>0</v>
      </c>
      <c r="X422" s="56"/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703</v>
      </c>
      <c r="B423" s="60" t="s">
        <v>704</v>
      </c>
      <c r="C423" s="34">
        <v>4301052236</v>
      </c>
      <c r="D423" s="728">
        <v>4680115889422</v>
      </c>
      <c r="E423" s="728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96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0"/>
      <c r="R423" s="730"/>
      <c r="S423" s="730"/>
      <c r="T423" s="731"/>
      <c r="U423" s="37" t="s">
        <v>46</v>
      </c>
      <c r="V423" s="37" t="s">
        <v>46</v>
      </c>
      <c r="W423" s="38" t="s">
        <v>0</v>
      </c>
      <c r="X423" s="56"/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36"/>
      <c r="B424" s="736"/>
      <c r="C424" s="736"/>
      <c r="D424" s="736"/>
      <c r="E424" s="736"/>
      <c r="F424" s="736"/>
      <c r="G424" s="736"/>
      <c r="H424" s="736"/>
      <c r="I424" s="736"/>
      <c r="J424" s="736"/>
      <c r="K424" s="736"/>
      <c r="L424" s="736"/>
      <c r="M424" s="736"/>
      <c r="N424" s="736"/>
      <c r="O424" s="737"/>
      <c r="P424" s="733" t="s">
        <v>40</v>
      </c>
      <c r="Q424" s="734"/>
      <c r="R424" s="734"/>
      <c r="S424" s="734"/>
      <c r="T424" s="734"/>
      <c r="U424" s="734"/>
      <c r="V424" s="735"/>
      <c r="W424" s="40" t="s">
        <v>39</v>
      </c>
      <c r="X424" s="41">
        <f>IFERROR(X422/H422,"0")+IFERROR(X423/H423,"0")</f>
        <v>0</v>
      </c>
      <c r="Y424" s="41">
        <f>IFERROR(Y422/H422,"0")+IFERROR(Y423/H423,"0")</f>
        <v>0</v>
      </c>
      <c r="Z424" s="41">
        <f>IFERROR(IF(Z422="",0,Z422),"0")+IFERROR(IF(Z423="",0,Z423),"0")</f>
        <v>0</v>
      </c>
      <c r="AA424" s="64"/>
      <c r="AB424" s="64"/>
      <c r="AC424" s="64"/>
    </row>
    <row r="425" spans="1:68" hidden="1" x14ac:dyDescent="0.2">
      <c r="A425" s="736"/>
      <c r="B425" s="736"/>
      <c r="C425" s="736"/>
      <c r="D425" s="736"/>
      <c r="E425" s="736"/>
      <c r="F425" s="736"/>
      <c r="G425" s="736"/>
      <c r="H425" s="736"/>
      <c r="I425" s="736"/>
      <c r="J425" s="736"/>
      <c r="K425" s="736"/>
      <c r="L425" s="736"/>
      <c r="M425" s="736"/>
      <c r="N425" s="736"/>
      <c r="O425" s="737"/>
      <c r="P425" s="733" t="s">
        <v>40</v>
      </c>
      <c r="Q425" s="734"/>
      <c r="R425" s="734"/>
      <c r="S425" s="734"/>
      <c r="T425" s="734"/>
      <c r="U425" s="734"/>
      <c r="V425" s="735"/>
      <c r="W425" s="40" t="s">
        <v>0</v>
      </c>
      <c r="X425" s="41">
        <f>IFERROR(SUM(X422:X423),"0")</f>
        <v>0</v>
      </c>
      <c r="Y425" s="41">
        <f>IFERROR(SUM(Y422:Y423),"0")</f>
        <v>0</v>
      </c>
      <c r="Z425" s="40"/>
      <c r="AA425" s="64"/>
      <c r="AB425" s="64"/>
      <c r="AC425" s="64"/>
    </row>
    <row r="426" spans="1:68" ht="16.5" hidden="1" customHeight="1" x14ac:dyDescent="0.25">
      <c r="A426" s="726" t="s">
        <v>706</v>
      </c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62"/>
      <c r="AB426" s="62"/>
      <c r="AC426" s="62"/>
    </row>
    <row r="427" spans="1:68" ht="14.25" hidden="1" customHeight="1" x14ac:dyDescent="0.25">
      <c r="A427" s="727" t="s">
        <v>86</v>
      </c>
      <c r="B427" s="727"/>
      <c r="C427" s="727"/>
      <c r="D427" s="727"/>
      <c r="E427" s="727"/>
      <c r="F427" s="727"/>
      <c r="G427" s="727"/>
      <c r="H427" s="727"/>
      <c r="I427" s="727"/>
      <c r="J427" s="727"/>
      <c r="K427" s="727"/>
      <c r="L427" s="727"/>
      <c r="M427" s="727"/>
      <c r="N427" s="727"/>
      <c r="O427" s="727"/>
      <c r="P427" s="727"/>
      <c r="Q427" s="727"/>
      <c r="R427" s="727"/>
      <c r="S427" s="727"/>
      <c r="T427" s="727"/>
      <c r="U427" s="727"/>
      <c r="V427" s="727"/>
      <c r="W427" s="727"/>
      <c r="X427" s="727"/>
      <c r="Y427" s="727"/>
      <c r="Z427" s="727"/>
      <c r="AA427" s="63"/>
      <c r="AB427" s="63"/>
      <c r="AC427" s="63"/>
    </row>
    <row r="428" spans="1:68" ht="27" hidden="1" customHeight="1" x14ac:dyDescent="0.25">
      <c r="A428" s="60" t="s">
        <v>707</v>
      </c>
      <c r="B428" s="60" t="s">
        <v>708</v>
      </c>
      <c r="C428" s="34">
        <v>4301051489</v>
      </c>
      <c r="D428" s="728">
        <v>4607091387919</v>
      </c>
      <c r="E428" s="728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96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0"/>
      <c r="R428" s="730"/>
      <c r="S428" s="730"/>
      <c r="T428" s="73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IFERROR(IF(Y428=0,"",ROUNDUP(Y428/H428,0)*0.01898),"")</f>
        <v/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customHeight="1" x14ac:dyDescent="0.25">
      <c r="A429" s="60" t="s">
        <v>710</v>
      </c>
      <c r="B429" s="60" t="s">
        <v>711</v>
      </c>
      <c r="C429" s="34">
        <v>4301051461</v>
      </c>
      <c r="D429" s="728">
        <v>4680115883604</v>
      </c>
      <c r="E429" s="728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9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0"/>
      <c r="R429" s="730"/>
      <c r="S429" s="730"/>
      <c r="T429" s="731"/>
      <c r="U429" s="37" t="s">
        <v>46</v>
      </c>
      <c r="V429" s="37" t="s">
        <v>46</v>
      </c>
      <c r="W429" s="38" t="s">
        <v>0</v>
      </c>
      <c r="X429" s="56">
        <v>21</v>
      </c>
      <c r="Y429" s="53">
        <f>IFERROR(IF(X429="",0,CEILING((X429/$H429),1)*$H429),"")</f>
        <v>21</v>
      </c>
      <c r="Z429" s="39">
        <f>IFERROR(IF(Y429=0,"",ROUNDUP(Y429/H429,0)*0.00651),"")</f>
        <v>6.5100000000000005E-2</v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23.519999999999996</v>
      </c>
      <c r="BN429" s="75">
        <f>IFERROR(Y429*I429/H429,"0")</f>
        <v>23.519999999999996</v>
      </c>
      <c r="BO429" s="75">
        <f>IFERROR(1/J429*(X429/H429),"0")</f>
        <v>5.4945054945054951E-2</v>
      </c>
      <c r="BP429" s="75">
        <f>IFERROR(1/J429*(Y429/H429),"0")</f>
        <v>5.4945054945054951E-2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728">
        <v>4680115883567</v>
      </c>
      <c r="E430" s="728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9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0"/>
      <c r="R430" s="730"/>
      <c r="S430" s="730"/>
      <c r="T430" s="731"/>
      <c r="U430" s="37" t="s">
        <v>46</v>
      </c>
      <c r="V430" s="37" t="s">
        <v>46</v>
      </c>
      <c r="W430" s="38" t="s">
        <v>0</v>
      </c>
      <c r="X430" s="56">
        <v>6.3</v>
      </c>
      <c r="Y430" s="53">
        <f>IFERROR(IF(X430="",0,CEILING((X430/$H430),1)*$H430),"")</f>
        <v>6.3000000000000007</v>
      </c>
      <c r="Z430" s="39">
        <f>IFERROR(IF(Y430=0,"",ROUNDUP(Y430/H430,0)*0.00651),"")</f>
        <v>1.9529999999999999E-2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7.02</v>
      </c>
      <c r="BN430" s="75">
        <f>IFERROR(Y430*I430/H430,"0")</f>
        <v>7.0200000000000005</v>
      </c>
      <c r="BO430" s="75">
        <f>IFERROR(1/J430*(X430/H430),"0")</f>
        <v>1.6483516483516484E-2</v>
      </c>
      <c r="BP430" s="75">
        <f>IFERROR(1/J430*(Y430/H430),"0")</f>
        <v>1.6483516483516484E-2</v>
      </c>
    </row>
    <row r="431" spans="1:68" x14ac:dyDescent="0.2">
      <c r="A431" s="736"/>
      <c r="B431" s="736"/>
      <c r="C431" s="736"/>
      <c r="D431" s="736"/>
      <c r="E431" s="736"/>
      <c r="F431" s="736"/>
      <c r="G431" s="736"/>
      <c r="H431" s="736"/>
      <c r="I431" s="736"/>
      <c r="J431" s="736"/>
      <c r="K431" s="736"/>
      <c r="L431" s="736"/>
      <c r="M431" s="736"/>
      <c r="N431" s="736"/>
      <c r="O431" s="737"/>
      <c r="P431" s="733" t="s">
        <v>40</v>
      </c>
      <c r="Q431" s="734"/>
      <c r="R431" s="734"/>
      <c r="S431" s="734"/>
      <c r="T431" s="734"/>
      <c r="U431" s="734"/>
      <c r="V431" s="735"/>
      <c r="W431" s="40" t="s">
        <v>39</v>
      </c>
      <c r="X431" s="41">
        <f>IFERROR(X428/H428,"0")+IFERROR(X429/H429,"0")+IFERROR(X430/H430,"0")</f>
        <v>13</v>
      </c>
      <c r="Y431" s="41">
        <f>IFERROR(Y428/H428,"0")+IFERROR(Y429/H429,"0")+IFERROR(Y430/H430,"0")</f>
        <v>13</v>
      </c>
      <c r="Z431" s="41">
        <f>IFERROR(IF(Z428="",0,Z428),"0")+IFERROR(IF(Z429="",0,Z429),"0")+IFERROR(IF(Z430="",0,Z430),"0")</f>
        <v>8.4630000000000011E-2</v>
      </c>
      <c r="AA431" s="64"/>
      <c r="AB431" s="64"/>
      <c r="AC431" s="64"/>
    </row>
    <row r="432" spans="1:68" x14ac:dyDescent="0.2">
      <c r="A432" s="736"/>
      <c r="B432" s="736"/>
      <c r="C432" s="736"/>
      <c r="D432" s="736"/>
      <c r="E432" s="736"/>
      <c r="F432" s="736"/>
      <c r="G432" s="736"/>
      <c r="H432" s="736"/>
      <c r="I432" s="736"/>
      <c r="J432" s="736"/>
      <c r="K432" s="736"/>
      <c r="L432" s="736"/>
      <c r="M432" s="736"/>
      <c r="N432" s="736"/>
      <c r="O432" s="737"/>
      <c r="P432" s="733" t="s">
        <v>40</v>
      </c>
      <c r="Q432" s="734"/>
      <c r="R432" s="734"/>
      <c r="S432" s="734"/>
      <c r="T432" s="734"/>
      <c r="U432" s="734"/>
      <c r="V432" s="735"/>
      <c r="W432" s="40" t="s">
        <v>0</v>
      </c>
      <c r="X432" s="41">
        <f>IFERROR(SUM(X428:X430),"0")</f>
        <v>27.3</v>
      </c>
      <c r="Y432" s="41">
        <f>IFERROR(SUM(Y428:Y430),"0")</f>
        <v>27.3</v>
      </c>
      <c r="Z432" s="40"/>
      <c r="AA432" s="64"/>
      <c r="AB432" s="64"/>
      <c r="AC432" s="64"/>
    </row>
    <row r="433" spans="1:68" ht="27.75" hidden="1" customHeight="1" x14ac:dyDescent="0.2">
      <c r="A433" s="725" t="s">
        <v>716</v>
      </c>
      <c r="B433" s="725"/>
      <c r="C433" s="725"/>
      <c r="D433" s="725"/>
      <c r="E433" s="725"/>
      <c r="F433" s="725"/>
      <c r="G433" s="725"/>
      <c r="H433" s="725"/>
      <c r="I433" s="725"/>
      <c r="J433" s="725"/>
      <c r="K433" s="725"/>
      <c r="L433" s="725"/>
      <c r="M433" s="725"/>
      <c r="N433" s="725"/>
      <c r="O433" s="725"/>
      <c r="P433" s="725"/>
      <c r="Q433" s="725"/>
      <c r="R433" s="725"/>
      <c r="S433" s="725"/>
      <c r="T433" s="725"/>
      <c r="U433" s="725"/>
      <c r="V433" s="725"/>
      <c r="W433" s="725"/>
      <c r="X433" s="725"/>
      <c r="Y433" s="725"/>
      <c r="Z433" s="725"/>
      <c r="AA433" s="52"/>
      <c r="AB433" s="52"/>
      <c r="AC433" s="52"/>
    </row>
    <row r="434" spans="1:68" ht="16.5" hidden="1" customHeight="1" x14ac:dyDescent="0.25">
      <c r="A434" s="726" t="s">
        <v>717</v>
      </c>
      <c r="B434" s="726"/>
      <c r="C434" s="726"/>
      <c r="D434" s="726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62"/>
      <c r="AB434" s="62"/>
      <c r="AC434" s="62"/>
    </row>
    <row r="435" spans="1:68" ht="14.25" hidden="1" customHeight="1" x14ac:dyDescent="0.25">
      <c r="A435" s="727" t="s">
        <v>122</v>
      </c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7"/>
      <c r="P435" s="727"/>
      <c r="Q435" s="727"/>
      <c r="R435" s="727"/>
      <c r="S435" s="727"/>
      <c r="T435" s="727"/>
      <c r="U435" s="727"/>
      <c r="V435" s="727"/>
      <c r="W435" s="727"/>
      <c r="X435" s="727"/>
      <c r="Y435" s="727"/>
      <c r="Z435" s="727"/>
      <c r="AA435" s="63"/>
      <c r="AB435" s="63"/>
      <c r="AC435" s="63"/>
    </row>
    <row r="436" spans="1:68" ht="27" hidden="1" customHeight="1" x14ac:dyDescent="0.25">
      <c r="A436" s="60" t="s">
        <v>718</v>
      </c>
      <c r="B436" s="60" t="s">
        <v>719</v>
      </c>
      <c r="C436" s="34">
        <v>4301012332</v>
      </c>
      <c r="D436" s="728">
        <v>4680115888401</v>
      </c>
      <c r="E436" s="728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6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0"/>
      <c r="R436" s="730"/>
      <c r="S436" s="730"/>
      <c r="T436" s="73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ref="Y436:Y443" si="70"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0</v>
      </c>
      <c r="BN436" s="75">
        <f t="shared" ref="BN436:BN443" si="72">IFERROR(Y436*I436/H436,"0")</f>
        <v>0</v>
      </c>
      <c r="BO436" s="75">
        <f t="shared" ref="BO436:BO443" si="73">IFERROR(1/J436*(X436/H436),"0")</f>
        <v>0</v>
      </c>
      <c r="BP436" s="75">
        <f t="shared" ref="BP436:BP443" si="74">IFERROR(1/J436*(Y436/H436),"0")</f>
        <v>0</v>
      </c>
    </row>
    <row r="437" spans="1:68" ht="37.5" hidden="1" customHeight="1" x14ac:dyDescent="0.25">
      <c r="A437" s="60" t="s">
        <v>721</v>
      </c>
      <c r="B437" s="60" t="s">
        <v>722</v>
      </c>
      <c r="C437" s="34">
        <v>4301011869</v>
      </c>
      <c r="D437" s="728">
        <v>4680115884847</v>
      </c>
      <c r="E437" s="72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9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0"/>
      <c r="R437" s="730"/>
      <c r="S437" s="730"/>
      <c r="T437" s="731"/>
      <c r="U437" s="37" t="s">
        <v>46</v>
      </c>
      <c r="V437" s="37" t="s">
        <v>46</v>
      </c>
      <c r="W437" s="38" t="s">
        <v>0</v>
      </c>
      <c r="X437" s="56"/>
      <c r="Y437" s="53">
        <f t="shared" si="70"/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0</v>
      </c>
      <c r="BN437" s="75">
        <f t="shared" si="72"/>
        <v>0</v>
      </c>
      <c r="BO437" s="75">
        <f t="shared" si="73"/>
        <v>0</v>
      </c>
      <c r="BP437" s="75">
        <f t="shared" si="74"/>
        <v>0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728">
        <v>4680115884854</v>
      </c>
      <c r="E438" s="72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96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0"/>
      <c r="R438" s="730"/>
      <c r="S438" s="730"/>
      <c r="T438" s="731"/>
      <c r="U438" s="37" t="s">
        <v>46</v>
      </c>
      <c r="V438" s="37" t="s">
        <v>46</v>
      </c>
      <c r="W438" s="38" t="s">
        <v>0</v>
      </c>
      <c r="X438" s="56">
        <v>150</v>
      </c>
      <c r="Y438" s="53">
        <f t="shared" si="70"/>
        <v>150</v>
      </c>
      <c r="Z438" s="39">
        <f>IFERROR(IF(Y438=0,"",ROUNDUP(Y438/H438,0)*0.02175),"")</f>
        <v>0.21749999999999997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154.69999999999999</v>
      </c>
      <c r="BN438" s="75">
        <f t="shared" si="72"/>
        <v>154.69999999999999</v>
      </c>
      <c r="BO438" s="75">
        <f t="shared" si="73"/>
        <v>0.20833333333333331</v>
      </c>
      <c r="BP438" s="75">
        <f t="shared" si="74"/>
        <v>0.20833333333333331</v>
      </c>
    </row>
    <row r="439" spans="1:68" ht="27" customHeight="1" x14ac:dyDescent="0.25">
      <c r="A439" s="60" t="s">
        <v>727</v>
      </c>
      <c r="B439" s="60" t="s">
        <v>728</v>
      </c>
      <c r="C439" s="34">
        <v>4301011867</v>
      </c>
      <c r="D439" s="728">
        <v>4680115884830</v>
      </c>
      <c r="E439" s="72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9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0"/>
      <c r="R439" s="730"/>
      <c r="S439" s="730"/>
      <c r="T439" s="731"/>
      <c r="U439" s="37" t="s">
        <v>46</v>
      </c>
      <c r="V439" s="37" t="s">
        <v>46</v>
      </c>
      <c r="W439" s="38" t="s">
        <v>0</v>
      </c>
      <c r="X439" s="56">
        <v>200</v>
      </c>
      <c r="Y439" s="53">
        <f t="shared" si="70"/>
        <v>210</v>
      </c>
      <c r="Z439" s="39">
        <f>IFERROR(IF(Y439=0,"",ROUNDUP(Y439/H439,0)*0.02175),"")</f>
        <v>0.30449999999999999</v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206.26666666666668</v>
      </c>
      <c r="BN439" s="75">
        <f t="shared" si="72"/>
        <v>216.58</v>
      </c>
      <c r="BO439" s="75">
        <f t="shared" si="73"/>
        <v>0.27777777777777779</v>
      </c>
      <c r="BP439" s="75">
        <f t="shared" si="74"/>
        <v>0.29166666666666663</v>
      </c>
    </row>
    <row r="440" spans="1:68" ht="27" hidden="1" customHeight="1" x14ac:dyDescent="0.25">
      <c r="A440" s="60" t="s">
        <v>730</v>
      </c>
      <c r="B440" s="60" t="s">
        <v>731</v>
      </c>
      <c r="C440" s="34">
        <v>4301012356</v>
      </c>
      <c r="D440" s="728">
        <v>4680115889231</v>
      </c>
      <c r="E440" s="72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96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0"/>
      <c r="R440" s="730"/>
      <c r="S440" s="730"/>
      <c r="T440" s="731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70"/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0</v>
      </c>
      <c r="BN440" s="75">
        <f t="shared" si="72"/>
        <v>0</v>
      </c>
      <c r="BO440" s="75">
        <f t="shared" si="73"/>
        <v>0</v>
      </c>
      <c r="BP440" s="75">
        <f t="shared" si="74"/>
        <v>0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728">
        <v>4680115882638</v>
      </c>
      <c r="E441" s="728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96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0"/>
      <c r="R441" s="730"/>
      <c r="S441" s="730"/>
      <c r="T441" s="731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728">
        <v>4680115884922</v>
      </c>
      <c r="E442" s="728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9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0"/>
      <c r="R442" s="730"/>
      <c r="S442" s="730"/>
      <c r="T442" s="731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hidden="1" customHeight="1" x14ac:dyDescent="0.25">
      <c r="A443" s="60" t="s">
        <v>739</v>
      </c>
      <c r="B443" s="60" t="s">
        <v>740</v>
      </c>
      <c r="C443" s="34">
        <v>4301011868</v>
      </c>
      <c r="D443" s="728">
        <v>4680115884861</v>
      </c>
      <c r="E443" s="728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97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0"/>
      <c r="R443" s="730"/>
      <c r="S443" s="730"/>
      <c r="T443" s="73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70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0</v>
      </c>
      <c r="BN443" s="75">
        <f t="shared" si="72"/>
        <v>0</v>
      </c>
      <c r="BO443" s="75">
        <f t="shared" si="73"/>
        <v>0</v>
      </c>
      <c r="BP443" s="75">
        <f t="shared" si="74"/>
        <v>0</v>
      </c>
    </row>
    <row r="444" spans="1:68" x14ac:dyDescent="0.2">
      <c r="A444" s="736"/>
      <c r="B444" s="736"/>
      <c r="C444" s="736"/>
      <c r="D444" s="736"/>
      <c r="E444" s="736"/>
      <c r="F444" s="736"/>
      <c r="G444" s="736"/>
      <c r="H444" s="736"/>
      <c r="I444" s="736"/>
      <c r="J444" s="736"/>
      <c r="K444" s="736"/>
      <c r="L444" s="736"/>
      <c r="M444" s="736"/>
      <c r="N444" s="736"/>
      <c r="O444" s="737"/>
      <c r="P444" s="733" t="s">
        <v>40</v>
      </c>
      <c r="Q444" s="734"/>
      <c r="R444" s="734"/>
      <c r="S444" s="734"/>
      <c r="T444" s="734"/>
      <c r="U444" s="734"/>
      <c r="V444" s="735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23.333333333333336</v>
      </c>
      <c r="Y444" s="41">
        <f>IFERROR(Y436/H436,"0")+IFERROR(Y437/H437,"0")+IFERROR(Y438/H438,"0")+IFERROR(Y439/H439,"0")+IFERROR(Y440/H440,"0")+IFERROR(Y441/H441,"0")+IFERROR(Y442/H442,"0")+IFERROR(Y443/H443,"0")</f>
        <v>24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0.52200000000000002</v>
      </c>
      <c r="AA444" s="64"/>
      <c r="AB444" s="64"/>
      <c r="AC444" s="64"/>
    </row>
    <row r="445" spans="1:68" x14ac:dyDescent="0.2">
      <c r="A445" s="736"/>
      <c r="B445" s="736"/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  <c r="O445" s="737"/>
      <c r="P445" s="733" t="s">
        <v>40</v>
      </c>
      <c r="Q445" s="734"/>
      <c r="R445" s="734"/>
      <c r="S445" s="734"/>
      <c r="T445" s="734"/>
      <c r="U445" s="734"/>
      <c r="V445" s="735"/>
      <c r="W445" s="40" t="s">
        <v>0</v>
      </c>
      <c r="X445" s="41">
        <f>IFERROR(SUM(X436:X443),"0")</f>
        <v>350</v>
      </c>
      <c r="Y445" s="41">
        <f>IFERROR(SUM(Y436:Y443),"0")</f>
        <v>360</v>
      </c>
      <c r="Z445" s="40"/>
      <c r="AA445" s="64"/>
      <c r="AB445" s="64"/>
      <c r="AC445" s="64"/>
    </row>
    <row r="446" spans="1:68" ht="14.25" hidden="1" customHeight="1" x14ac:dyDescent="0.25">
      <c r="A446" s="727" t="s">
        <v>155</v>
      </c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7"/>
      <c r="P446" s="727"/>
      <c r="Q446" s="727"/>
      <c r="R446" s="727"/>
      <c r="S446" s="727"/>
      <c r="T446" s="727"/>
      <c r="U446" s="727"/>
      <c r="V446" s="727"/>
      <c r="W446" s="727"/>
      <c r="X446" s="727"/>
      <c r="Y446" s="727"/>
      <c r="Z446" s="727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728">
        <v>4607091383980</v>
      </c>
      <c r="E447" s="728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9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0"/>
      <c r="R447" s="730"/>
      <c r="S447" s="730"/>
      <c r="T447" s="731"/>
      <c r="U447" s="37" t="s">
        <v>46</v>
      </c>
      <c r="V447" s="37" t="s">
        <v>46</v>
      </c>
      <c r="W447" s="38" t="s">
        <v>0</v>
      </c>
      <c r="X447" s="56">
        <v>200</v>
      </c>
      <c r="Y447" s="53">
        <f>IFERROR(IF(X447="",0,CEILING((X447/$H447),1)*$H447),"")</f>
        <v>210</v>
      </c>
      <c r="Z447" s="39">
        <f>IFERROR(IF(Y447=0,"",ROUNDUP(Y447/H447,0)*0.02175),"")</f>
        <v>0.30449999999999999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206.26666666666668</v>
      </c>
      <c r="BN447" s="75">
        <f>IFERROR(Y447*I447/H447,"0")</f>
        <v>216.58</v>
      </c>
      <c r="BO447" s="75">
        <f>IFERROR(1/J447*(X447/H447),"0")</f>
        <v>0.27777777777777779</v>
      </c>
      <c r="BP447" s="75">
        <f>IFERROR(1/J447*(Y447/H447),"0")</f>
        <v>0.29166666666666663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4301020355</v>
      </c>
      <c r="D448" s="728">
        <v>4680115888425</v>
      </c>
      <c r="E448" s="728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97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0"/>
      <c r="R448" s="730"/>
      <c r="S448" s="730"/>
      <c r="T448" s="731"/>
      <c r="U448" s="37" t="s">
        <v>46</v>
      </c>
      <c r="V448" s="37" t="s">
        <v>46</v>
      </c>
      <c r="W448" s="38" t="s">
        <v>0</v>
      </c>
      <c r="X448" s="56"/>
      <c r="Y448" s="53">
        <f>IFERROR(IF(X448="",0,CEILING((X448/$H448),1)*$H448),"")</f>
        <v>0</v>
      </c>
      <c r="Z448" s="39" t="str">
        <f>IFERROR(IF(Y448=0,"",ROUNDUP(Y448/H448,0)*0.02175),"")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728">
        <v>4607091384178</v>
      </c>
      <c r="E449" s="728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97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0"/>
      <c r="R449" s="730"/>
      <c r="S449" s="730"/>
      <c r="T449" s="73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736"/>
      <c r="B450" s="736"/>
      <c r="C450" s="736"/>
      <c r="D450" s="736"/>
      <c r="E450" s="736"/>
      <c r="F450" s="736"/>
      <c r="G450" s="736"/>
      <c r="H450" s="736"/>
      <c r="I450" s="736"/>
      <c r="J450" s="736"/>
      <c r="K450" s="736"/>
      <c r="L450" s="736"/>
      <c r="M450" s="736"/>
      <c r="N450" s="736"/>
      <c r="O450" s="737"/>
      <c r="P450" s="733" t="s">
        <v>40</v>
      </c>
      <c r="Q450" s="734"/>
      <c r="R450" s="734"/>
      <c r="S450" s="734"/>
      <c r="T450" s="734"/>
      <c r="U450" s="734"/>
      <c r="V450" s="735"/>
      <c r="W450" s="40" t="s">
        <v>39</v>
      </c>
      <c r="X450" s="41">
        <f>IFERROR(X447/H447,"0")+IFERROR(X448/H448,"0")+IFERROR(X449/H449,"0")</f>
        <v>13.333333333333334</v>
      </c>
      <c r="Y450" s="41">
        <f>IFERROR(Y447/H447,"0")+IFERROR(Y448/H448,"0")+IFERROR(Y449/H449,"0")</f>
        <v>14</v>
      </c>
      <c r="Z450" s="41">
        <f>IFERROR(IF(Z447="",0,Z447),"0")+IFERROR(IF(Z448="",0,Z448),"0")+IFERROR(IF(Z449="",0,Z449),"0")</f>
        <v>0.30449999999999999</v>
      </c>
      <c r="AA450" s="64"/>
      <c r="AB450" s="64"/>
      <c r="AC450" s="64"/>
    </row>
    <row r="451" spans="1:68" x14ac:dyDescent="0.2">
      <c r="A451" s="736"/>
      <c r="B451" s="736"/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  <c r="O451" s="737"/>
      <c r="P451" s="733" t="s">
        <v>40</v>
      </c>
      <c r="Q451" s="734"/>
      <c r="R451" s="734"/>
      <c r="S451" s="734"/>
      <c r="T451" s="734"/>
      <c r="U451" s="734"/>
      <c r="V451" s="735"/>
      <c r="W451" s="40" t="s">
        <v>0</v>
      </c>
      <c r="X451" s="41">
        <f>IFERROR(SUM(X447:X449),"0")</f>
        <v>200</v>
      </c>
      <c r="Y451" s="41">
        <f>IFERROR(SUM(Y447:Y449),"0")</f>
        <v>210</v>
      </c>
      <c r="Z451" s="40"/>
      <c r="AA451" s="64"/>
      <c r="AB451" s="64"/>
      <c r="AC451" s="64"/>
    </row>
    <row r="452" spans="1:68" ht="14.25" hidden="1" customHeight="1" x14ac:dyDescent="0.25">
      <c r="A452" s="727" t="s">
        <v>86</v>
      </c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7"/>
      <c r="P452" s="727"/>
      <c r="Q452" s="727"/>
      <c r="R452" s="727"/>
      <c r="S452" s="727"/>
      <c r="T452" s="727"/>
      <c r="U452" s="727"/>
      <c r="V452" s="727"/>
      <c r="W452" s="727"/>
      <c r="X452" s="727"/>
      <c r="Y452" s="727"/>
      <c r="Z452" s="727"/>
      <c r="AA452" s="63"/>
      <c r="AB452" s="63"/>
      <c r="AC452" s="63"/>
    </row>
    <row r="453" spans="1:68" ht="27" hidden="1" customHeight="1" x14ac:dyDescent="0.25">
      <c r="A453" s="60" t="s">
        <v>751</v>
      </c>
      <c r="B453" s="60" t="s">
        <v>752</v>
      </c>
      <c r="C453" s="34">
        <v>4301051903</v>
      </c>
      <c r="D453" s="728">
        <v>4607091383928</v>
      </c>
      <c r="E453" s="728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0"/>
      <c r="R453" s="730"/>
      <c r="S453" s="730"/>
      <c r="T453" s="73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754</v>
      </c>
      <c r="B454" s="60" t="s">
        <v>755</v>
      </c>
      <c r="C454" s="34">
        <v>4301051897</v>
      </c>
      <c r="D454" s="728">
        <v>4607091384260</v>
      </c>
      <c r="E454" s="728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9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0"/>
      <c r="R454" s="730"/>
      <c r="S454" s="730"/>
      <c r="T454" s="73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IFERROR(IF(Y454=0,"",ROUNDUP(Y454/H454,0)*0.01898),"")</f>
        <v/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757</v>
      </c>
      <c r="B455" s="60" t="s">
        <v>758</v>
      </c>
      <c r="C455" s="34">
        <v>4301052220</v>
      </c>
      <c r="D455" s="728">
        <v>4680115889538</v>
      </c>
      <c r="E455" s="728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9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0"/>
      <c r="R455" s="730"/>
      <c r="S455" s="730"/>
      <c r="T455" s="73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36"/>
      <c r="B456" s="736"/>
      <c r="C456" s="736"/>
      <c r="D456" s="736"/>
      <c r="E456" s="736"/>
      <c r="F456" s="736"/>
      <c r="G456" s="736"/>
      <c r="H456" s="736"/>
      <c r="I456" s="736"/>
      <c r="J456" s="736"/>
      <c r="K456" s="736"/>
      <c r="L456" s="736"/>
      <c r="M456" s="736"/>
      <c r="N456" s="736"/>
      <c r="O456" s="737"/>
      <c r="P456" s="733" t="s">
        <v>40</v>
      </c>
      <c r="Q456" s="734"/>
      <c r="R456" s="734"/>
      <c r="S456" s="734"/>
      <c r="T456" s="734"/>
      <c r="U456" s="734"/>
      <c r="V456" s="735"/>
      <c r="W456" s="40" t="s">
        <v>39</v>
      </c>
      <c r="X456" s="41">
        <f>IFERROR(X453/H453,"0")+IFERROR(X454/H454,"0")+IFERROR(X455/H455,"0")</f>
        <v>0</v>
      </c>
      <c r="Y456" s="41">
        <f>IFERROR(Y453/H453,"0")+IFERROR(Y454/H454,"0")+IFERROR(Y455/H455,"0")</f>
        <v>0</v>
      </c>
      <c r="Z456" s="41">
        <f>IFERROR(IF(Z453="",0,Z453),"0")+IFERROR(IF(Z454="",0,Z454),"0")+IFERROR(IF(Z455="",0,Z455),"0")</f>
        <v>0</v>
      </c>
      <c r="AA456" s="64"/>
      <c r="AB456" s="64"/>
      <c r="AC456" s="64"/>
    </row>
    <row r="457" spans="1:68" hidden="1" x14ac:dyDescent="0.2">
      <c r="A457" s="736"/>
      <c r="B457" s="736"/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  <c r="O457" s="737"/>
      <c r="P457" s="733" t="s">
        <v>40</v>
      </c>
      <c r="Q457" s="734"/>
      <c r="R457" s="734"/>
      <c r="S457" s="734"/>
      <c r="T457" s="734"/>
      <c r="U457" s="734"/>
      <c r="V457" s="735"/>
      <c r="W457" s="40" t="s">
        <v>0</v>
      </c>
      <c r="X457" s="41">
        <f>IFERROR(SUM(X453:X455),"0")</f>
        <v>0</v>
      </c>
      <c r="Y457" s="41">
        <f>IFERROR(SUM(Y453:Y455),"0")</f>
        <v>0</v>
      </c>
      <c r="Z457" s="40"/>
      <c r="AA457" s="64"/>
      <c r="AB457" s="64"/>
      <c r="AC457" s="64"/>
    </row>
    <row r="458" spans="1:68" ht="14.25" hidden="1" customHeight="1" x14ac:dyDescent="0.25">
      <c r="A458" s="727" t="s">
        <v>173</v>
      </c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7"/>
      <c r="P458" s="727"/>
      <c r="Q458" s="727"/>
      <c r="R458" s="727"/>
      <c r="S458" s="727"/>
      <c r="T458" s="727"/>
      <c r="U458" s="727"/>
      <c r="V458" s="727"/>
      <c r="W458" s="727"/>
      <c r="X458" s="727"/>
      <c r="Y458" s="727"/>
      <c r="Z458" s="727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728">
        <v>4680115889545</v>
      </c>
      <c r="E459" s="728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9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0"/>
      <c r="R459" s="730"/>
      <c r="S459" s="730"/>
      <c r="T459" s="73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hidden="1" customHeight="1" x14ac:dyDescent="0.25">
      <c r="A460" s="60" t="s">
        <v>763</v>
      </c>
      <c r="B460" s="60" t="s">
        <v>764</v>
      </c>
      <c r="C460" s="34">
        <v>4301060524</v>
      </c>
      <c r="D460" s="728">
        <v>4607091384673</v>
      </c>
      <c r="E460" s="728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9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0"/>
      <c r="R460" s="730"/>
      <c r="S460" s="730"/>
      <c r="T460" s="73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36"/>
      <c r="B461" s="736"/>
      <c r="C461" s="736"/>
      <c r="D461" s="736"/>
      <c r="E461" s="736"/>
      <c r="F461" s="736"/>
      <c r="G461" s="736"/>
      <c r="H461" s="736"/>
      <c r="I461" s="736"/>
      <c r="J461" s="736"/>
      <c r="K461" s="736"/>
      <c r="L461" s="736"/>
      <c r="M461" s="736"/>
      <c r="N461" s="736"/>
      <c r="O461" s="737"/>
      <c r="P461" s="733" t="s">
        <v>40</v>
      </c>
      <c r="Q461" s="734"/>
      <c r="R461" s="734"/>
      <c r="S461" s="734"/>
      <c r="T461" s="734"/>
      <c r="U461" s="734"/>
      <c r="V461" s="735"/>
      <c r="W461" s="40" t="s">
        <v>39</v>
      </c>
      <c r="X461" s="41">
        <f>IFERROR(X459/H459,"0")+IFERROR(X460/H460,"0")</f>
        <v>0</v>
      </c>
      <c r="Y461" s="41">
        <f>IFERROR(Y459/H459,"0")+IFERROR(Y460/H460,"0")</f>
        <v>0</v>
      </c>
      <c r="Z461" s="41">
        <f>IFERROR(IF(Z459="",0,Z459),"0")+IFERROR(IF(Z460="",0,Z460),"0")</f>
        <v>0</v>
      </c>
      <c r="AA461" s="64"/>
      <c r="AB461" s="64"/>
      <c r="AC461" s="64"/>
    </row>
    <row r="462" spans="1:68" hidden="1" x14ac:dyDescent="0.2">
      <c r="A462" s="736"/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7"/>
      <c r="P462" s="733" t="s">
        <v>40</v>
      </c>
      <c r="Q462" s="734"/>
      <c r="R462" s="734"/>
      <c r="S462" s="734"/>
      <c r="T462" s="734"/>
      <c r="U462" s="734"/>
      <c r="V462" s="735"/>
      <c r="W462" s="40" t="s">
        <v>0</v>
      </c>
      <c r="X462" s="41">
        <f>IFERROR(SUM(X459:X460),"0")</f>
        <v>0</v>
      </c>
      <c r="Y462" s="41">
        <f>IFERROR(SUM(Y459:Y460),"0")</f>
        <v>0</v>
      </c>
      <c r="Z462" s="40"/>
      <c r="AA462" s="64"/>
      <c r="AB462" s="64"/>
      <c r="AC462" s="64"/>
    </row>
    <row r="463" spans="1:68" ht="16.5" hidden="1" customHeight="1" x14ac:dyDescent="0.25">
      <c r="A463" s="726" t="s">
        <v>766</v>
      </c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62"/>
      <c r="AB463" s="62"/>
      <c r="AC463" s="62"/>
    </row>
    <row r="464" spans="1:68" ht="14.25" hidden="1" customHeight="1" x14ac:dyDescent="0.25">
      <c r="A464" s="727" t="s">
        <v>122</v>
      </c>
      <c r="B464" s="727"/>
      <c r="C464" s="727"/>
      <c r="D464" s="727"/>
      <c r="E464" s="727"/>
      <c r="F464" s="727"/>
      <c r="G464" s="727"/>
      <c r="H464" s="727"/>
      <c r="I464" s="727"/>
      <c r="J464" s="727"/>
      <c r="K464" s="727"/>
      <c r="L464" s="727"/>
      <c r="M464" s="727"/>
      <c r="N464" s="727"/>
      <c r="O464" s="727"/>
      <c r="P464" s="727"/>
      <c r="Q464" s="727"/>
      <c r="R464" s="727"/>
      <c r="S464" s="727"/>
      <c r="T464" s="727"/>
      <c r="U464" s="727"/>
      <c r="V464" s="727"/>
      <c r="W464" s="727"/>
      <c r="X464" s="727"/>
      <c r="Y464" s="727"/>
      <c r="Z464" s="727"/>
      <c r="AA464" s="63"/>
      <c r="AB464" s="63"/>
      <c r="AC464" s="63"/>
    </row>
    <row r="465" spans="1:68" ht="27" customHeight="1" x14ac:dyDescent="0.25">
      <c r="A465" s="60" t="s">
        <v>767</v>
      </c>
      <c r="B465" s="60" t="s">
        <v>768</v>
      </c>
      <c r="C465" s="34">
        <v>4301011875</v>
      </c>
      <c r="D465" s="728">
        <v>4680115884885</v>
      </c>
      <c r="E465" s="728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9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0"/>
      <c r="R465" s="730"/>
      <c r="S465" s="730"/>
      <c r="T465" s="731"/>
      <c r="U465" s="37" t="s">
        <v>46</v>
      </c>
      <c r="V465" s="37" t="s">
        <v>46</v>
      </c>
      <c r="W465" s="38" t="s">
        <v>0</v>
      </c>
      <c r="X465" s="56">
        <v>10</v>
      </c>
      <c r="Y465" s="53">
        <f>IFERROR(IF(X465="",0,CEILING((X465/$H465),1)*$H465),"")</f>
        <v>12</v>
      </c>
      <c r="Z465" s="39">
        <f>IFERROR(IF(Y465=0,"",ROUNDUP(Y465/H465,0)*0.01898),"")</f>
        <v>1.898E-2</v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10.341666666666667</v>
      </c>
      <c r="BN465" s="75">
        <f>IFERROR(Y465*I465/H465,"0")</f>
        <v>12.410000000000002</v>
      </c>
      <c r="BO465" s="75">
        <f>IFERROR(1/J465*(X465/H465),"0")</f>
        <v>1.3020833333333334E-2</v>
      </c>
      <c r="BP465" s="75">
        <f>IFERROR(1/J465*(Y465/H465),"0")</f>
        <v>1.5625E-2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728">
        <v>4680115884908</v>
      </c>
      <c r="E466" s="728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9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0"/>
      <c r="R466" s="730"/>
      <c r="S466" s="730"/>
      <c r="T466" s="73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36"/>
      <c r="B467" s="736"/>
      <c r="C467" s="736"/>
      <c r="D467" s="736"/>
      <c r="E467" s="736"/>
      <c r="F467" s="736"/>
      <c r="G467" s="736"/>
      <c r="H467" s="736"/>
      <c r="I467" s="736"/>
      <c r="J467" s="736"/>
      <c r="K467" s="736"/>
      <c r="L467" s="736"/>
      <c r="M467" s="736"/>
      <c r="N467" s="736"/>
      <c r="O467" s="737"/>
      <c r="P467" s="733" t="s">
        <v>40</v>
      </c>
      <c r="Q467" s="734"/>
      <c r="R467" s="734"/>
      <c r="S467" s="734"/>
      <c r="T467" s="734"/>
      <c r="U467" s="734"/>
      <c r="V467" s="735"/>
      <c r="W467" s="40" t="s">
        <v>39</v>
      </c>
      <c r="X467" s="41">
        <f>IFERROR(X465/H465,"0")+IFERROR(X466/H466,"0")</f>
        <v>0.83333333333333337</v>
      </c>
      <c r="Y467" s="41">
        <f>IFERROR(Y465/H465,"0")+IFERROR(Y466/H466,"0")</f>
        <v>1</v>
      </c>
      <c r="Z467" s="41">
        <f>IFERROR(IF(Z465="",0,Z465),"0")+IFERROR(IF(Z466="",0,Z466),"0")</f>
        <v>1.898E-2</v>
      </c>
      <c r="AA467" s="64"/>
      <c r="AB467" s="64"/>
      <c r="AC467" s="64"/>
    </row>
    <row r="468" spans="1:68" x14ac:dyDescent="0.2">
      <c r="A468" s="736"/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7"/>
      <c r="P468" s="733" t="s">
        <v>40</v>
      </c>
      <c r="Q468" s="734"/>
      <c r="R468" s="734"/>
      <c r="S468" s="734"/>
      <c r="T468" s="734"/>
      <c r="U468" s="734"/>
      <c r="V468" s="735"/>
      <c r="W468" s="40" t="s">
        <v>0</v>
      </c>
      <c r="X468" s="41">
        <f>IFERROR(SUM(X465:X466),"0")</f>
        <v>10</v>
      </c>
      <c r="Y468" s="41">
        <f>IFERROR(SUM(Y465:Y466),"0")</f>
        <v>12</v>
      </c>
      <c r="Z468" s="40"/>
      <c r="AA468" s="64"/>
      <c r="AB468" s="64"/>
      <c r="AC468" s="64"/>
    </row>
    <row r="469" spans="1:68" ht="14.25" hidden="1" customHeight="1" x14ac:dyDescent="0.25">
      <c r="A469" s="727" t="s">
        <v>77</v>
      </c>
      <c r="B469" s="727"/>
      <c r="C469" s="727"/>
      <c r="D469" s="727"/>
      <c r="E469" s="727"/>
      <c r="F469" s="727"/>
      <c r="G469" s="727"/>
      <c r="H469" s="727"/>
      <c r="I469" s="727"/>
      <c r="J469" s="727"/>
      <c r="K469" s="727"/>
      <c r="L469" s="727"/>
      <c r="M469" s="727"/>
      <c r="N469" s="727"/>
      <c r="O469" s="727"/>
      <c r="P469" s="727"/>
      <c r="Q469" s="727"/>
      <c r="R469" s="727"/>
      <c r="S469" s="727"/>
      <c r="T469" s="727"/>
      <c r="U469" s="727"/>
      <c r="V469" s="727"/>
      <c r="W469" s="727"/>
      <c r="X469" s="727"/>
      <c r="Y469" s="727"/>
      <c r="Z469" s="727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728">
        <v>4607091384802</v>
      </c>
      <c r="E470" s="728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9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0"/>
      <c r="R470" s="730"/>
      <c r="S470" s="730"/>
      <c r="T470" s="73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36"/>
      <c r="B471" s="736"/>
      <c r="C471" s="736"/>
      <c r="D471" s="736"/>
      <c r="E471" s="736"/>
      <c r="F471" s="736"/>
      <c r="G471" s="736"/>
      <c r="H471" s="736"/>
      <c r="I471" s="736"/>
      <c r="J471" s="736"/>
      <c r="K471" s="736"/>
      <c r="L471" s="736"/>
      <c r="M471" s="736"/>
      <c r="N471" s="736"/>
      <c r="O471" s="737"/>
      <c r="P471" s="733" t="s">
        <v>40</v>
      </c>
      <c r="Q471" s="734"/>
      <c r="R471" s="734"/>
      <c r="S471" s="734"/>
      <c r="T471" s="734"/>
      <c r="U471" s="734"/>
      <c r="V471" s="735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36"/>
      <c r="B472" s="736"/>
      <c r="C472" s="736"/>
      <c r="D472" s="736"/>
      <c r="E472" s="736"/>
      <c r="F472" s="736"/>
      <c r="G472" s="736"/>
      <c r="H472" s="736"/>
      <c r="I472" s="736"/>
      <c r="J472" s="736"/>
      <c r="K472" s="736"/>
      <c r="L472" s="736"/>
      <c r="M472" s="736"/>
      <c r="N472" s="736"/>
      <c r="O472" s="737"/>
      <c r="P472" s="733" t="s">
        <v>40</v>
      </c>
      <c r="Q472" s="734"/>
      <c r="R472" s="734"/>
      <c r="S472" s="734"/>
      <c r="T472" s="734"/>
      <c r="U472" s="734"/>
      <c r="V472" s="735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27" t="s">
        <v>86</v>
      </c>
      <c r="B473" s="727"/>
      <c r="C473" s="727"/>
      <c r="D473" s="727"/>
      <c r="E473" s="727"/>
      <c r="F473" s="727"/>
      <c r="G473" s="727"/>
      <c r="H473" s="727"/>
      <c r="I473" s="727"/>
      <c r="J473" s="727"/>
      <c r="K473" s="727"/>
      <c r="L473" s="727"/>
      <c r="M473" s="727"/>
      <c r="N473" s="727"/>
      <c r="O473" s="727"/>
      <c r="P473" s="727"/>
      <c r="Q473" s="727"/>
      <c r="R473" s="727"/>
      <c r="S473" s="727"/>
      <c r="T473" s="727"/>
      <c r="U473" s="727"/>
      <c r="V473" s="727"/>
      <c r="W473" s="727"/>
      <c r="X473" s="727"/>
      <c r="Y473" s="727"/>
      <c r="Z473" s="727"/>
      <c r="AA473" s="63"/>
      <c r="AB473" s="63"/>
      <c r="AC473" s="63"/>
    </row>
    <row r="474" spans="1:68" ht="27" hidden="1" customHeight="1" x14ac:dyDescent="0.25">
      <c r="A474" s="60" t="s">
        <v>775</v>
      </c>
      <c r="B474" s="60" t="s">
        <v>776</v>
      </c>
      <c r="C474" s="34">
        <v>4301051899</v>
      </c>
      <c r="D474" s="728">
        <v>4607091384246</v>
      </c>
      <c r="E474" s="728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0"/>
      <c r="R474" s="730"/>
      <c r="S474" s="730"/>
      <c r="T474" s="731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IFERROR(IF(Y474=0,"",ROUNDUP(Y474/H474,0)*0.01898),"")</f>
        <v/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728">
        <v>4607091384253</v>
      </c>
      <c r="E475" s="728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9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0"/>
      <c r="R475" s="730"/>
      <c r="S475" s="730"/>
      <c r="T475" s="731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728">
        <v>4607091384253</v>
      </c>
      <c r="E476" s="728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9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0"/>
      <c r="R476" s="730"/>
      <c r="S476" s="730"/>
      <c r="T476" s="73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736"/>
      <c r="B477" s="736"/>
      <c r="C477" s="736"/>
      <c r="D477" s="736"/>
      <c r="E477" s="736"/>
      <c r="F477" s="736"/>
      <c r="G477" s="736"/>
      <c r="H477" s="736"/>
      <c r="I477" s="736"/>
      <c r="J477" s="736"/>
      <c r="K477" s="736"/>
      <c r="L477" s="736"/>
      <c r="M477" s="736"/>
      <c r="N477" s="736"/>
      <c r="O477" s="737"/>
      <c r="P477" s="733" t="s">
        <v>40</v>
      </c>
      <c r="Q477" s="734"/>
      <c r="R477" s="734"/>
      <c r="S477" s="734"/>
      <c r="T477" s="734"/>
      <c r="U477" s="734"/>
      <c r="V477" s="735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736"/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7"/>
      <c r="P478" s="733" t="s">
        <v>40</v>
      </c>
      <c r="Q478" s="734"/>
      <c r="R478" s="734"/>
      <c r="S478" s="734"/>
      <c r="T478" s="734"/>
      <c r="U478" s="734"/>
      <c r="V478" s="735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27.75" hidden="1" customHeight="1" x14ac:dyDescent="0.2">
      <c r="A479" s="725" t="s">
        <v>782</v>
      </c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5"/>
      <c r="P479" s="725"/>
      <c r="Q479" s="725"/>
      <c r="R479" s="725"/>
      <c r="S479" s="725"/>
      <c r="T479" s="725"/>
      <c r="U479" s="725"/>
      <c r="V479" s="725"/>
      <c r="W479" s="725"/>
      <c r="X479" s="725"/>
      <c r="Y479" s="725"/>
      <c r="Z479" s="725"/>
      <c r="AA479" s="52"/>
      <c r="AB479" s="52"/>
      <c r="AC479" s="52"/>
    </row>
    <row r="480" spans="1:68" ht="16.5" hidden="1" customHeight="1" x14ac:dyDescent="0.25">
      <c r="A480" s="726" t="s">
        <v>783</v>
      </c>
      <c r="B480" s="726"/>
      <c r="C480" s="726"/>
      <c r="D480" s="726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62"/>
      <c r="AB480" s="62"/>
      <c r="AC480" s="62"/>
    </row>
    <row r="481" spans="1:68" ht="14.25" hidden="1" customHeight="1" x14ac:dyDescent="0.25">
      <c r="A481" s="727" t="s">
        <v>77</v>
      </c>
      <c r="B481" s="727"/>
      <c r="C481" s="727"/>
      <c r="D481" s="727"/>
      <c r="E481" s="727"/>
      <c r="F481" s="727"/>
      <c r="G481" s="727"/>
      <c r="H481" s="727"/>
      <c r="I481" s="727"/>
      <c r="J481" s="727"/>
      <c r="K481" s="727"/>
      <c r="L481" s="727"/>
      <c r="M481" s="727"/>
      <c r="N481" s="727"/>
      <c r="O481" s="727"/>
      <c r="P481" s="727"/>
      <c r="Q481" s="727"/>
      <c r="R481" s="727"/>
      <c r="S481" s="727"/>
      <c r="T481" s="727"/>
      <c r="U481" s="727"/>
      <c r="V481" s="727"/>
      <c r="W481" s="727"/>
      <c r="X481" s="727"/>
      <c r="Y481" s="727"/>
      <c r="Z481" s="727"/>
      <c r="AA481" s="63"/>
      <c r="AB481" s="63"/>
      <c r="AC481" s="63"/>
    </row>
    <row r="482" spans="1:68" ht="27" customHeight="1" x14ac:dyDescent="0.25">
      <c r="A482" s="60" t="s">
        <v>784</v>
      </c>
      <c r="B482" s="60" t="s">
        <v>785</v>
      </c>
      <c r="C482" s="34">
        <v>4301031405</v>
      </c>
      <c r="D482" s="728">
        <v>4680115886100</v>
      </c>
      <c r="E482" s="728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9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0"/>
      <c r="R482" s="730"/>
      <c r="S482" s="730"/>
      <c r="T482" s="731"/>
      <c r="U482" s="37" t="s">
        <v>46</v>
      </c>
      <c r="V482" s="37" t="s">
        <v>46</v>
      </c>
      <c r="W482" s="38" t="s">
        <v>0</v>
      </c>
      <c r="X482" s="56">
        <v>20</v>
      </c>
      <c r="Y482" s="53">
        <f t="shared" ref="Y482:Y487" si="75">IFERROR(IF(X482="",0,CEILING((X482/$H482),1)*$H482),"")</f>
        <v>21.6</v>
      </c>
      <c r="Z482" s="39">
        <f>IFERROR(IF(Y482=0,"",ROUNDUP(Y482/H482,0)*0.00902),"")</f>
        <v>3.6080000000000001E-2</v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20.703703703703702</v>
      </c>
      <c r="BN482" s="75">
        <f t="shared" ref="BN482:BN487" si="77">IFERROR(Y482*I482/H482,"0")</f>
        <v>22.36</v>
      </c>
      <c r="BO482" s="75">
        <f t="shared" ref="BO482:BO487" si="78">IFERROR(1/J482*(X482/H482),"0")</f>
        <v>2.8058361391694722E-2</v>
      </c>
      <c r="BP482" s="75">
        <f t="shared" ref="BP482:BP487" si="79">IFERROR(1/J482*(Y482/H482),"0")</f>
        <v>3.0303030303030304E-2</v>
      </c>
    </row>
    <row r="483" spans="1:68" ht="27" customHeight="1" x14ac:dyDescent="0.25">
      <c r="A483" s="60" t="s">
        <v>787</v>
      </c>
      <c r="B483" s="60" t="s">
        <v>788</v>
      </c>
      <c r="C483" s="34">
        <v>4301031402</v>
      </c>
      <c r="D483" s="728">
        <v>4680115886124</v>
      </c>
      <c r="E483" s="728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9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0"/>
      <c r="R483" s="730"/>
      <c r="S483" s="730"/>
      <c r="T483" s="731"/>
      <c r="U483" s="37" t="s">
        <v>46</v>
      </c>
      <c r="V483" s="37" t="s">
        <v>46</v>
      </c>
      <c r="W483" s="38" t="s">
        <v>0</v>
      </c>
      <c r="X483" s="56">
        <v>15</v>
      </c>
      <c r="Y483" s="53">
        <f t="shared" si="75"/>
        <v>16.200000000000003</v>
      </c>
      <c r="Z483" s="39">
        <f>IFERROR(IF(Y483=0,"",ROUNDUP(Y483/H483,0)*0.00902),"")</f>
        <v>2.7060000000000001E-2</v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15.527777777777775</v>
      </c>
      <c r="BN483" s="75">
        <f t="shared" si="77"/>
        <v>16.77</v>
      </c>
      <c r="BO483" s="75">
        <f t="shared" si="78"/>
        <v>2.1043771043771045E-2</v>
      </c>
      <c r="BP483" s="75">
        <f t="shared" si="79"/>
        <v>2.2727272727272731E-2</v>
      </c>
    </row>
    <row r="484" spans="1:68" ht="27" hidden="1" customHeight="1" x14ac:dyDescent="0.25">
      <c r="A484" s="60" t="s">
        <v>790</v>
      </c>
      <c r="B484" s="60" t="s">
        <v>791</v>
      </c>
      <c r="C484" s="34">
        <v>4301031362</v>
      </c>
      <c r="D484" s="728">
        <v>4607091384338</v>
      </c>
      <c r="E484" s="728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9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0"/>
      <c r="R484" s="730"/>
      <c r="S484" s="730"/>
      <c r="T484" s="73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5"/>
        <v>0</v>
      </c>
      <c r="Z484" s="39" t="str">
        <f>IFERROR(IF(Y484=0,"",ROUNDUP(Y484/H484,0)*0.00502),"")</f>
        <v/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0</v>
      </c>
      <c r="BN484" s="75">
        <f t="shared" si="77"/>
        <v>0</v>
      </c>
      <c r="BO484" s="75">
        <f t="shared" si="78"/>
        <v>0</v>
      </c>
      <c r="BP484" s="75">
        <f t="shared" si="79"/>
        <v>0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728">
        <v>4680115883161</v>
      </c>
      <c r="E485" s="728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9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0"/>
      <c r="R485" s="730"/>
      <c r="S485" s="730"/>
      <c r="T485" s="73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4301031358</v>
      </c>
      <c r="D486" s="728">
        <v>4607091389531</v>
      </c>
      <c r="E486" s="72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0"/>
      <c r="R486" s="730"/>
      <c r="S486" s="730"/>
      <c r="T486" s="73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5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0</v>
      </c>
      <c r="BN486" s="75">
        <f t="shared" si="77"/>
        <v>0</v>
      </c>
      <c r="BO486" s="75">
        <f t="shared" si="78"/>
        <v>0</v>
      </c>
      <c r="BP486" s="75">
        <f t="shared" si="79"/>
        <v>0</v>
      </c>
    </row>
    <row r="487" spans="1:68" ht="37.5" hidden="1" customHeight="1" x14ac:dyDescent="0.25">
      <c r="A487" s="60" t="s">
        <v>798</v>
      </c>
      <c r="B487" s="60" t="s">
        <v>799</v>
      </c>
      <c r="C487" s="34">
        <v>4301031360</v>
      </c>
      <c r="D487" s="728">
        <v>4607091384345</v>
      </c>
      <c r="E487" s="728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0"/>
      <c r="R487" s="730"/>
      <c r="S487" s="730"/>
      <c r="T487" s="73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75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0</v>
      </c>
      <c r="BN487" s="75">
        <f t="shared" si="77"/>
        <v>0</v>
      </c>
      <c r="BO487" s="75">
        <f t="shared" si="78"/>
        <v>0</v>
      </c>
      <c r="BP487" s="75">
        <f t="shared" si="79"/>
        <v>0</v>
      </c>
    </row>
    <row r="488" spans="1:68" x14ac:dyDescent="0.2">
      <c r="A488" s="736"/>
      <c r="B488" s="736"/>
      <c r="C488" s="736"/>
      <c r="D488" s="736"/>
      <c r="E488" s="736"/>
      <c r="F488" s="736"/>
      <c r="G488" s="736"/>
      <c r="H488" s="736"/>
      <c r="I488" s="736"/>
      <c r="J488" s="736"/>
      <c r="K488" s="736"/>
      <c r="L488" s="736"/>
      <c r="M488" s="736"/>
      <c r="N488" s="736"/>
      <c r="O488" s="737"/>
      <c r="P488" s="733" t="s">
        <v>40</v>
      </c>
      <c r="Q488" s="734"/>
      <c r="R488" s="734"/>
      <c r="S488" s="734"/>
      <c r="T488" s="734"/>
      <c r="U488" s="734"/>
      <c r="V488" s="735"/>
      <c r="W488" s="40" t="s">
        <v>39</v>
      </c>
      <c r="X488" s="41">
        <f>IFERROR(X482/H482,"0")+IFERROR(X483/H483,"0")+IFERROR(X484/H484,"0")+IFERROR(X485/H485,"0")+IFERROR(X486/H486,"0")+IFERROR(X487/H487,"0")</f>
        <v>6.481481481481481</v>
      </c>
      <c r="Y488" s="41">
        <f>IFERROR(Y482/H482,"0")+IFERROR(Y483/H483,"0")+IFERROR(Y484/H484,"0")+IFERROR(Y485/H485,"0")+IFERROR(Y486/H486,"0")+IFERROR(Y487/H487,"0")</f>
        <v>7</v>
      </c>
      <c r="Z488" s="41">
        <f>IFERROR(IF(Z482="",0,Z482),"0")+IFERROR(IF(Z483="",0,Z483),"0")+IFERROR(IF(Z484="",0,Z484),"0")+IFERROR(IF(Z485="",0,Z485),"0")+IFERROR(IF(Z486="",0,Z486),"0")+IFERROR(IF(Z487="",0,Z487),"0")</f>
        <v>6.3140000000000002E-2</v>
      </c>
      <c r="AA488" s="64"/>
      <c r="AB488" s="64"/>
      <c r="AC488" s="64"/>
    </row>
    <row r="489" spans="1:68" x14ac:dyDescent="0.2">
      <c r="A489" s="736"/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7"/>
      <c r="P489" s="733" t="s">
        <v>40</v>
      </c>
      <c r="Q489" s="734"/>
      <c r="R489" s="734"/>
      <c r="S489" s="734"/>
      <c r="T489" s="734"/>
      <c r="U489" s="734"/>
      <c r="V489" s="735"/>
      <c r="W489" s="40" t="s">
        <v>0</v>
      </c>
      <c r="X489" s="41">
        <f>IFERROR(SUM(X482:X487),"0")</f>
        <v>35</v>
      </c>
      <c r="Y489" s="41">
        <f>IFERROR(SUM(Y482:Y487),"0")</f>
        <v>37.800000000000004</v>
      </c>
      <c r="Z489" s="40"/>
      <c r="AA489" s="64"/>
      <c r="AB489" s="64"/>
      <c r="AC489" s="64"/>
    </row>
    <row r="490" spans="1:68" ht="14.25" hidden="1" customHeight="1" x14ac:dyDescent="0.25">
      <c r="A490" s="727" t="s">
        <v>86</v>
      </c>
      <c r="B490" s="727"/>
      <c r="C490" s="727"/>
      <c r="D490" s="727"/>
      <c r="E490" s="727"/>
      <c r="F490" s="727"/>
      <c r="G490" s="727"/>
      <c r="H490" s="727"/>
      <c r="I490" s="727"/>
      <c r="J490" s="727"/>
      <c r="K490" s="727"/>
      <c r="L490" s="727"/>
      <c r="M490" s="727"/>
      <c r="N490" s="727"/>
      <c r="O490" s="727"/>
      <c r="P490" s="727"/>
      <c r="Q490" s="727"/>
      <c r="R490" s="727"/>
      <c r="S490" s="727"/>
      <c r="T490" s="727"/>
      <c r="U490" s="727"/>
      <c r="V490" s="727"/>
      <c r="W490" s="727"/>
      <c r="X490" s="727"/>
      <c r="Y490" s="727"/>
      <c r="Z490" s="727"/>
      <c r="AA490" s="63"/>
      <c r="AB490" s="63"/>
      <c r="AC490" s="63"/>
    </row>
    <row r="491" spans="1:68" ht="27" hidden="1" customHeight="1" x14ac:dyDescent="0.25">
      <c r="A491" s="60" t="s">
        <v>800</v>
      </c>
      <c r="B491" s="60" t="s">
        <v>801</v>
      </c>
      <c r="C491" s="34">
        <v>4301051284</v>
      </c>
      <c r="D491" s="728">
        <v>4607091384352</v>
      </c>
      <c r="E491" s="728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9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0"/>
      <c r="R491" s="730"/>
      <c r="S491" s="730"/>
      <c r="T491" s="731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728">
        <v>4607091389654</v>
      </c>
      <c r="E492" s="728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9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0"/>
      <c r="R492" s="730"/>
      <c r="S492" s="730"/>
      <c r="T492" s="73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36"/>
      <c r="B493" s="736"/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  <c r="O493" s="737"/>
      <c r="P493" s="733" t="s">
        <v>40</v>
      </c>
      <c r="Q493" s="734"/>
      <c r="R493" s="734"/>
      <c r="S493" s="734"/>
      <c r="T493" s="734"/>
      <c r="U493" s="734"/>
      <c r="V493" s="735"/>
      <c r="W493" s="40" t="s">
        <v>39</v>
      </c>
      <c r="X493" s="41">
        <f>IFERROR(X491/H491,"0")+IFERROR(X492/H492,"0")</f>
        <v>0</v>
      </c>
      <c r="Y493" s="41">
        <f>IFERROR(Y491/H491,"0")+IFERROR(Y492/H492,"0")</f>
        <v>0</v>
      </c>
      <c r="Z493" s="41">
        <f>IFERROR(IF(Z491="",0,Z491),"0")+IFERROR(IF(Z492="",0,Z492),"0")</f>
        <v>0</v>
      </c>
      <c r="AA493" s="64"/>
      <c r="AB493" s="64"/>
      <c r="AC493" s="64"/>
    </row>
    <row r="494" spans="1:68" hidden="1" x14ac:dyDescent="0.2">
      <c r="A494" s="736"/>
      <c r="B494" s="736"/>
      <c r="C494" s="736"/>
      <c r="D494" s="736"/>
      <c r="E494" s="736"/>
      <c r="F494" s="736"/>
      <c r="G494" s="736"/>
      <c r="H494" s="736"/>
      <c r="I494" s="736"/>
      <c r="J494" s="736"/>
      <c r="K494" s="736"/>
      <c r="L494" s="736"/>
      <c r="M494" s="736"/>
      <c r="N494" s="736"/>
      <c r="O494" s="737"/>
      <c r="P494" s="733" t="s">
        <v>40</v>
      </c>
      <c r="Q494" s="734"/>
      <c r="R494" s="734"/>
      <c r="S494" s="734"/>
      <c r="T494" s="734"/>
      <c r="U494" s="734"/>
      <c r="V494" s="735"/>
      <c r="W494" s="40" t="s">
        <v>0</v>
      </c>
      <c r="X494" s="41">
        <f>IFERROR(SUM(X491:X492),"0")</f>
        <v>0</v>
      </c>
      <c r="Y494" s="41">
        <f>IFERROR(SUM(Y491:Y492),"0")</f>
        <v>0</v>
      </c>
      <c r="Z494" s="40"/>
      <c r="AA494" s="64"/>
      <c r="AB494" s="64"/>
      <c r="AC494" s="64"/>
    </row>
    <row r="495" spans="1:68" ht="16.5" hidden="1" customHeight="1" x14ac:dyDescent="0.25">
      <c r="A495" s="726" t="s">
        <v>806</v>
      </c>
      <c r="B495" s="726"/>
      <c r="C495" s="726"/>
      <c r="D495" s="726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62"/>
      <c r="AB495" s="62"/>
      <c r="AC495" s="62"/>
    </row>
    <row r="496" spans="1:68" ht="14.25" hidden="1" customHeight="1" x14ac:dyDescent="0.25">
      <c r="A496" s="727" t="s">
        <v>155</v>
      </c>
      <c r="B496" s="727"/>
      <c r="C496" s="727"/>
      <c r="D496" s="727"/>
      <c r="E496" s="727"/>
      <c r="F496" s="727"/>
      <c r="G496" s="727"/>
      <c r="H496" s="727"/>
      <c r="I496" s="727"/>
      <c r="J496" s="727"/>
      <c r="K496" s="727"/>
      <c r="L496" s="727"/>
      <c r="M496" s="727"/>
      <c r="N496" s="727"/>
      <c r="O496" s="727"/>
      <c r="P496" s="727"/>
      <c r="Q496" s="727"/>
      <c r="R496" s="727"/>
      <c r="S496" s="727"/>
      <c r="T496" s="727"/>
      <c r="U496" s="727"/>
      <c r="V496" s="727"/>
      <c r="W496" s="727"/>
      <c r="X496" s="727"/>
      <c r="Y496" s="727"/>
      <c r="Z496" s="727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728">
        <v>4680115885240</v>
      </c>
      <c r="E497" s="728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9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0"/>
      <c r="R497" s="730"/>
      <c r="S497" s="730"/>
      <c r="T497" s="73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736"/>
      <c r="B498" s="736"/>
      <c r="C498" s="736"/>
      <c r="D498" s="736"/>
      <c r="E498" s="736"/>
      <c r="F498" s="736"/>
      <c r="G498" s="736"/>
      <c r="H498" s="736"/>
      <c r="I498" s="736"/>
      <c r="J498" s="736"/>
      <c r="K498" s="736"/>
      <c r="L498" s="736"/>
      <c r="M498" s="736"/>
      <c r="N498" s="736"/>
      <c r="O498" s="737"/>
      <c r="P498" s="733" t="s">
        <v>40</v>
      </c>
      <c r="Q498" s="734"/>
      <c r="R498" s="734"/>
      <c r="S498" s="734"/>
      <c r="T498" s="734"/>
      <c r="U498" s="734"/>
      <c r="V498" s="735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736"/>
      <c r="B499" s="736"/>
      <c r="C499" s="736"/>
      <c r="D499" s="736"/>
      <c r="E499" s="736"/>
      <c r="F499" s="736"/>
      <c r="G499" s="736"/>
      <c r="H499" s="736"/>
      <c r="I499" s="736"/>
      <c r="J499" s="736"/>
      <c r="K499" s="736"/>
      <c r="L499" s="736"/>
      <c r="M499" s="736"/>
      <c r="N499" s="736"/>
      <c r="O499" s="737"/>
      <c r="P499" s="733" t="s">
        <v>40</v>
      </c>
      <c r="Q499" s="734"/>
      <c r="R499" s="734"/>
      <c r="S499" s="734"/>
      <c r="T499" s="734"/>
      <c r="U499" s="734"/>
      <c r="V499" s="735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727" t="s">
        <v>77</v>
      </c>
      <c r="B500" s="727"/>
      <c r="C500" s="727"/>
      <c r="D500" s="727"/>
      <c r="E500" s="727"/>
      <c r="F500" s="727"/>
      <c r="G500" s="727"/>
      <c r="H500" s="727"/>
      <c r="I500" s="727"/>
      <c r="J500" s="727"/>
      <c r="K500" s="727"/>
      <c r="L500" s="727"/>
      <c r="M500" s="727"/>
      <c r="N500" s="727"/>
      <c r="O500" s="727"/>
      <c r="P500" s="727"/>
      <c r="Q500" s="727"/>
      <c r="R500" s="727"/>
      <c r="S500" s="727"/>
      <c r="T500" s="727"/>
      <c r="U500" s="727"/>
      <c r="V500" s="727"/>
      <c r="W500" s="727"/>
      <c r="X500" s="727"/>
      <c r="Y500" s="727"/>
      <c r="Z500" s="727"/>
      <c r="AA500" s="63"/>
      <c r="AB500" s="63"/>
      <c r="AC500" s="63"/>
    </row>
    <row r="501" spans="1:68" ht="27" hidden="1" customHeight="1" x14ac:dyDescent="0.25">
      <c r="A501" s="60" t="s">
        <v>810</v>
      </c>
      <c r="B501" s="60" t="s">
        <v>811</v>
      </c>
      <c r="C501" s="34">
        <v>4301031407</v>
      </c>
      <c r="D501" s="728">
        <v>4680115886094</v>
      </c>
      <c r="E501" s="728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9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0"/>
      <c r="R501" s="730"/>
      <c r="S501" s="730"/>
      <c r="T501" s="731"/>
      <c r="U501" s="37" t="s">
        <v>46</v>
      </c>
      <c r="V501" s="37" t="s">
        <v>46</v>
      </c>
      <c r="W501" s="38" t="s">
        <v>0</v>
      </c>
      <c r="X501" s="56"/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728">
        <v>4680115880771</v>
      </c>
      <c r="E502" s="728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0"/>
      <c r="R502" s="730"/>
      <c r="S502" s="730"/>
      <c r="T502" s="73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816</v>
      </c>
      <c r="B503" s="60" t="s">
        <v>817</v>
      </c>
      <c r="C503" s="34">
        <v>4301031359</v>
      </c>
      <c r="D503" s="728">
        <v>4607091389500</v>
      </c>
      <c r="E503" s="728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0"/>
      <c r="R503" s="730"/>
      <c r="S503" s="730"/>
      <c r="T503" s="73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736"/>
      <c r="B504" s="736"/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  <c r="O504" s="737"/>
      <c r="P504" s="733" t="s">
        <v>40</v>
      </c>
      <c r="Q504" s="734"/>
      <c r="R504" s="734"/>
      <c r="S504" s="734"/>
      <c r="T504" s="734"/>
      <c r="U504" s="734"/>
      <c r="V504" s="735"/>
      <c r="W504" s="40" t="s">
        <v>39</v>
      </c>
      <c r="X504" s="41">
        <f>IFERROR(X501/H501,"0")+IFERROR(X502/H502,"0")+IFERROR(X503/H503,"0")</f>
        <v>0</v>
      </c>
      <c r="Y504" s="41">
        <f>IFERROR(Y501/H501,"0")+IFERROR(Y502/H502,"0")+IFERROR(Y503/H503,"0")</f>
        <v>0</v>
      </c>
      <c r="Z504" s="41">
        <f>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736"/>
      <c r="B505" s="736"/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  <c r="O505" s="737"/>
      <c r="P505" s="733" t="s">
        <v>40</v>
      </c>
      <c r="Q505" s="734"/>
      <c r="R505" s="734"/>
      <c r="S505" s="734"/>
      <c r="T505" s="734"/>
      <c r="U505" s="734"/>
      <c r="V505" s="735"/>
      <c r="W505" s="40" t="s">
        <v>0</v>
      </c>
      <c r="X505" s="41">
        <f>IFERROR(SUM(X501:X503),"0")</f>
        <v>0</v>
      </c>
      <c r="Y505" s="41">
        <f>IFERROR(SUM(Y501:Y503),"0")</f>
        <v>0</v>
      </c>
      <c r="Z505" s="40"/>
      <c r="AA505" s="64"/>
      <c r="AB505" s="64"/>
      <c r="AC505" s="64"/>
    </row>
    <row r="506" spans="1:68" ht="27.75" hidden="1" customHeight="1" x14ac:dyDescent="0.2">
      <c r="A506" s="725" t="s">
        <v>818</v>
      </c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725"/>
      <c r="Q506" s="725"/>
      <c r="R506" s="725"/>
      <c r="S506" s="725"/>
      <c r="T506" s="725"/>
      <c r="U506" s="725"/>
      <c r="V506" s="725"/>
      <c r="W506" s="725"/>
      <c r="X506" s="725"/>
      <c r="Y506" s="725"/>
      <c r="Z506" s="725"/>
      <c r="AA506" s="52"/>
      <c r="AB506" s="52"/>
      <c r="AC506" s="52"/>
    </row>
    <row r="507" spans="1:68" ht="16.5" hidden="1" customHeight="1" x14ac:dyDescent="0.25">
      <c r="A507" s="726" t="s">
        <v>818</v>
      </c>
      <c r="B507" s="726"/>
      <c r="C507" s="726"/>
      <c r="D507" s="726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62"/>
      <c r="AB507" s="62"/>
      <c r="AC507" s="62"/>
    </row>
    <row r="508" spans="1:68" ht="14.25" hidden="1" customHeight="1" x14ac:dyDescent="0.25">
      <c r="A508" s="727" t="s">
        <v>122</v>
      </c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7"/>
      <c r="P508" s="727"/>
      <c r="Q508" s="727"/>
      <c r="R508" s="727"/>
      <c r="S508" s="727"/>
      <c r="T508" s="727"/>
      <c r="U508" s="727"/>
      <c r="V508" s="727"/>
      <c r="W508" s="727"/>
      <c r="X508" s="727"/>
      <c r="Y508" s="727"/>
      <c r="Z508" s="727"/>
      <c r="AA508" s="63"/>
      <c r="AB508" s="63"/>
      <c r="AC508" s="63"/>
    </row>
    <row r="509" spans="1:68" ht="27" customHeight="1" x14ac:dyDescent="0.25">
      <c r="A509" s="60" t="s">
        <v>819</v>
      </c>
      <c r="B509" s="60" t="s">
        <v>820</v>
      </c>
      <c r="C509" s="34">
        <v>4301011769</v>
      </c>
      <c r="D509" s="728">
        <v>4607091389067</v>
      </c>
      <c r="E509" s="72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0"/>
      <c r="R509" s="730"/>
      <c r="S509" s="730"/>
      <c r="T509" s="731"/>
      <c r="U509" s="37" t="s">
        <v>46</v>
      </c>
      <c r="V509" s="37" t="s">
        <v>46</v>
      </c>
      <c r="W509" s="38" t="s">
        <v>0</v>
      </c>
      <c r="X509" s="56">
        <v>20</v>
      </c>
      <c r="Y509" s="53">
        <f t="shared" ref="Y509:Y517" si="80">IFERROR(IF(X509="",0,CEILING((X509/$H509),1)*$H509),"")</f>
        <v>21.12</v>
      </c>
      <c r="Z509" s="39">
        <f t="shared" ref="Z509:Z514" si="81">IFERROR(IF(Y509=0,"",ROUNDUP(Y509/H509,0)*0.01196),"")</f>
        <v>4.7840000000000001E-2</v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21.325757575757574</v>
      </c>
      <c r="BN509" s="75">
        <f t="shared" ref="BN509:BN517" si="83">IFERROR(Y509*I509/H509,"0")</f>
        <v>22.52</v>
      </c>
      <c r="BO509" s="75">
        <f t="shared" ref="BO509:BO517" si="84">IFERROR(1/J509*(X509/H509),"0")</f>
        <v>3.6421911421911424E-2</v>
      </c>
      <c r="BP509" s="75">
        <f t="shared" ref="BP509:BP517" si="85">IFERROR(1/J509*(Y509/H509),"0")</f>
        <v>3.8461538461538464E-2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728">
        <v>4680115889576</v>
      </c>
      <c r="E510" s="72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99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0"/>
      <c r="R510" s="730"/>
      <c r="S510" s="730"/>
      <c r="T510" s="73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customHeight="1" x14ac:dyDescent="0.25">
      <c r="A511" s="60" t="s">
        <v>824</v>
      </c>
      <c r="B511" s="60" t="s">
        <v>825</v>
      </c>
      <c r="C511" s="34">
        <v>4301011961</v>
      </c>
      <c r="D511" s="728">
        <v>4680115885271</v>
      </c>
      <c r="E511" s="72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10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0"/>
      <c r="R511" s="730"/>
      <c r="S511" s="730"/>
      <c r="T511" s="731"/>
      <c r="U511" s="37" t="s">
        <v>46</v>
      </c>
      <c r="V511" s="37" t="s">
        <v>46</v>
      </c>
      <c r="W511" s="38" t="s">
        <v>0</v>
      </c>
      <c r="X511" s="56">
        <v>10</v>
      </c>
      <c r="Y511" s="53">
        <f t="shared" si="80"/>
        <v>10.56</v>
      </c>
      <c r="Z511" s="39">
        <f t="shared" si="81"/>
        <v>2.392E-2</v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10.662878787878787</v>
      </c>
      <c r="BN511" s="75">
        <f t="shared" si="83"/>
        <v>11.26</v>
      </c>
      <c r="BO511" s="75">
        <f t="shared" si="84"/>
        <v>1.8210955710955712E-2</v>
      </c>
      <c r="BP511" s="75">
        <f t="shared" si="85"/>
        <v>1.9230769230769232E-2</v>
      </c>
    </row>
    <row r="512" spans="1:68" ht="27" customHeight="1" x14ac:dyDescent="0.25">
      <c r="A512" s="60" t="s">
        <v>827</v>
      </c>
      <c r="B512" s="60" t="s">
        <v>828</v>
      </c>
      <c r="C512" s="34">
        <v>4301011369</v>
      </c>
      <c r="D512" s="728">
        <v>4680115885226</v>
      </c>
      <c r="E512" s="72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10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0"/>
      <c r="R512" s="730"/>
      <c r="S512" s="730"/>
      <c r="T512" s="731"/>
      <c r="U512" s="37" t="s">
        <v>46</v>
      </c>
      <c r="V512" s="37" t="s">
        <v>46</v>
      </c>
      <c r="W512" s="38" t="s">
        <v>0</v>
      </c>
      <c r="X512" s="56">
        <v>170</v>
      </c>
      <c r="Y512" s="53">
        <f t="shared" si="80"/>
        <v>174.24</v>
      </c>
      <c r="Z512" s="39">
        <f t="shared" si="81"/>
        <v>0.39468000000000003</v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181.26893939393938</v>
      </c>
      <c r="BN512" s="75">
        <f t="shared" si="83"/>
        <v>185.79</v>
      </c>
      <c r="BO512" s="75">
        <f t="shared" si="84"/>
        <v>0.3095862470862471</v>
      </c>
      <c r="BP512" s="75">
        <f t="shared" si="85"/>
        <v>0.31730769230769235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728">
        <v>4680115884502</v>
      </c>
      <c r="E513" s="72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0"/>
      <c r="R513" s="730"/>
      <c r="S513" s="730"/>
      <c r="T513" s="73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customHeight="1" x14ac:dyDescent="0.25">
      <c r="A514" s="60" t="s">
        <v>833</v>
      </c>
      <c r="B514" s="60" t="s">
        <v>834</v>
      </c>
      <c r="C514" s="34">
        <v>4301011771</v>
      </c>
      <c r="D514" s="728">
        <v>4607091389104</v>
      </c>
      <c r="E514" s="72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10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0"/>
      <c r="R514" s="730"/>
      <c r="S514" s="730"/>
      <c r="T514" s="731"/>
      <c r="U514" s="37" t="s">
        <v>46</v>
      </c>
      <c r="V514" s="37" t="s">
        <v>46</v>
      </c>
      <c r="W514" s="38" t="s">
        <v>0</v>
      </c>
      <c r="X514" s="56">
        <v>130</v>
      </c>
      <c r="Y514" s="53">
        <f t="shared" si="80"/>
        <v>132</v>
      </c>
      <c r="Z514" s="39">
        <f t="shared" si="81"/>
        <v>0.29899999999999999</v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138.61742424242422</v>
      </c>
      <c r="BN514" s="75">
        <f t="shared" si="83"/>
        <v>140.75</v>
      </c>
      <c r="BO514" s="75">
        <f t="shared" si="84"/>
        <v>0.23674242424242425</v>
      </c>
      <c r="BP514" s="75">
        <f t="shared" si="85"/>
        <v>0.24038461538461539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728">
        <v>4680115886391</v>
      </c>
      <c r="E515" s="72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10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0"/>
      <c r="R515" s="730"/>
      <c r="S515" s="730"/>
      <c r="T515" s="73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hidden="1" customHeight="1" x14ac:dyDescent="0.25">
      <c r="A516" s="60" t="s">
        <v>838</v>
      </c>
      <c r="B516" s="60" t="s">
        <v>839</v>
      </c>
      <c r="C516" s="34">
        <v>4301012048</v>
      </c>
      <c r="D516" s="728">
        <v>4680115880603</v>
      </c>
      <c r="E516" s="72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100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0"/>
      <c r="R516" s="730"/>
      <c r="S516" s="730"/>
      <c r="T516" s="731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80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0</v>
      </c>
      <c r="BN516" s="75">
        <f t="shared" si="83"/>
        <v>0</v>
      </c>
      <c r="BO516" s="75">
        <f t="shared" si="84"/>
        <v>0</v>
      </c>
      <c r="BP516" s="75">
        <f t="shared" si="85"/>
        <v>0</v>
      </c>
    </row>
    <row r="517" spans="1:68" ht="27" hidden="1" customHeight="1" x14ac:dyDescent="0.25">
      <c r="A517" s="60" t="s">
        <v>840</v>
      </c>
      <c r="B517" s="60" t="s">
        <v>841</v>
      </c>
      <c r="C517" s="34">
        <v>4301012034</v>
      </c>
      <c r="D517" s="728">
        <v>4607091389982</v>
      </c>
      <c r="E517" s="72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100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0"/>
      <c r="R517" s="730"/>
      <c r="S517" s="730"/>
      <c r="T517" s="731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80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0</v>
      </c>
      <c r="BN517" s="75">
        <f t="shared" si="83"/>
        <v>0</v>
      </c>
      <c r="BO517" s="75">
        <f t="shared" si="84"/>
        <v>0</v>
      </c>
      <c r="BP517" s="75">
        <f t="shared" si="85"/>
        <v>0</v>
      </c>
    </row>
    <row r="518" spans="1:68" x14ac:dyDescent="0.2">
      <c r="A518" s="736"/>
      <c r="B518" s="736"/>
      <c r="C518" s="736"/>
      <c r="D518" s="736"/>
      <c r="E518" s="736"/>
      <c r="F518" s="736"/>
      <c r="G518" s="736"/>
      <c r="H518" s="736"/>
      <c r="I518" s="736"/>
      <c r="J518" s="736"/>
      <c r="K518" s="736"/>
      <c r="L518" s="736"/>
      <c r="M518" s="736"/>
      <c r="N518" s="736"/>
      <c r="O518" s="737"/>
      <c r="P518" s="733" t="s">
        <v>40</v>
      </c>
      <c r="Q518" s="734"/>
      <c r="R518" s="734"/>
      <c r="S518" s="734"/>
      <c r="T518" s="734"/>
      <c r="U518" s="734"/>
      <c r="V518" s="735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62.5</v>
      </c>
      <c r="Y518" s="41">
        <f>IFERROR(Y509/H509,"0")+IFERROR(Y510/H510,"0")+IFERROR(Y511/H511,"0")+IFERROR(Y512/H512,"0")+IFERROR(Y513/H513,"0")+IFERROR(Y514/H514,"0")+IFERROR(Y515/H515,"0")+IFERROR(Y516/H516,"0")+IFERROR(Y517/H517,"0")</f>
        <v>64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0.76544000000000001</v>
      </c>
      <c r="AA518" s="64"/>
      <c r="AB518" s="64"/>
      <c r="AC518" s="64"/>
    </row>
    <row r="519" spans="1:68" x14ac:dyDescent="0.2">
      <c r="A519" s="736"/>
      <c r="B519" s="736"/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  <c r="O519" s="737"/>
      <c r="P519" s="733" t="s">
        <v>40</v>
      </c>
      <c r="Q519" s="734"/>
      <c r="R519" s="734"/>
      <c r="S519" s="734"/>
      <c r="T519" s="734"/>
      <c r="U519" s="734"/>
      <c r="V519" s="735"/>
      <c r="W519" s="40" t="s">
        <v>0</v>
      </c>
      <c r="X519" s="41">
        <f>IFERROR(SUM(X509:X517),"0")</f>
        <v>330</v>
      </c>
      <c r="Y519" s="41">
        <f>IFERROR(SUM(Y509:Y517),"0")</f>
        <v>337.92</v>
      </c>
      <c r="Z519" s="40"/>
      <c r="AA519" s="64"/>
      <c r="AB519" s="64"/>
      <c r="AC519" s="64"/>
    </row>
    <row r="520" spans="1:68" ht="14.25" hidden="1" customHeight="1" x14ac:dyDescent="0.25">
      <c r="A520" s="727" t="s">
        <v>155</v>
      </c>
      <c r="B520" s="727"/>
      <c r="C520" s="727"/>
      <c r="D520" s="727"/>
      <c r="E520" s="727"/>
      <c r="F520" s="727"/>
      <c r="G520" s="727"/>
      <c r="H520" s="727"/>
      <c r="I520" s="727"/>
      <c r="J520" s="727"/>
      <c r="K520" s="727"/>
      <c r="L520" s="727"/>
      <c r="M520" s="727"/>
      <c r="N520" s="727"/>
      <c r="O520" s="727"/>
      <c r="P520" s="727"/>
      <c r="Q520" s="727"/>
      <c r="R520" s="727"/>
      <c r="S520" s="727"/>
      <c r="T520" s="727"/>
      <c r="U520" s="727"/>
      <c r="V520" s="727"/>
      <c r="W520" s="727"/>
      <c r="X520" s="727"/>
      <c r="Y520" s="727"/>
      <c r="Z520" s="727"/>
      <c r="AA520" s="63"/>
      <c r="AB520" s="63"/>
      <c r="AC520" s="63"/>
    </row>
    <row r="521" spans="1:68" ht="16.5" customHeight="1" x14ac:dyDescent="0.25">
      <c r="A521" s="60" t="s">
        <v>842</v>
      </c>
      <c r="B521" s="60" t="s">
        <v>843</v>
      </c>
      <c r="C521" s="34">
        <v>4301020334</v>
      </c>
      <c r="D521" s="728">
        <v>4607091388930</v>
      </c>
      <c r="E521" s="72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100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0"/>
      <c r="R521" s="730"/>
      <c r="S521" s="730"/>
      <c r="T521" s="731"/>
      <c r="U521" s="37" t="s">
        <v>46</v>
      </c>
      <c r="V521" s="37" t="s">
        <v>46</v>
      </c>
      <c r="W521" s="38" t="s">
        <v>0</v>
      </c>
      <c r="X521" s="56">
        <v>80</v>
      </c>
      <c r="Y521" s="53">
        <f>IFERROR(IF(X521="",0,CEILING((X521/$H521),1)*$H521),"")</f>
        <v>84.48</v>
      </c>
      <c r="Z521" s="39">
        <f>IFERROR(IF(Y521=0,"",ROUNDUP(Y521/H521,0)*0.01196),"")</f>
        <v>0.19136</v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85.303030303030297</v>
      </c>
      <c r="BN521" s="75">
        <f>IFERROR(Y521*I521/H521,"0")</f>
        <v>90.08</v>
      </c>
      <c r="BO521" s="75">
        <f>IFERROR(1/J521*(X521/H521),"0")</f>
        <v>0.14568764568764569</v>
      </c>
      <c r="BP521" s="75">
        <f>IFERROR(1/J521*(Y521/H521),"0")</f>
        <v>0.15384615384615385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728">
        <v>4680115886407</v>
      </c>
      <c r="E522" s="72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100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0"/>
      <c r="R522" s="730"/>
      <c r="S522" s="730"/>
      <c r="T522" s="73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hidden="1" customHeight="1" x14ac:dyDescent="0.25">
      <c r="A523" s="60" t="s">
        <v>847</v>
      </c>
      <c r="B523" s="60" t="s">
        <v>848</v>
      </c>
      <c r="C523" s="34">
        <v>4301020385</v>
      </c>
      <c r="D523" s="728">
        <v>4680115880054</v>
      </c>
      <c r="E523" s="72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0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0"/>
      <c r="R523" s="730"/>
      <c r="S523" s="730"/>
      <c r="T523" s="731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36"/>
      <c r="B524" s="736"/>
      <c r="C524" s="736"/>
      <c r="D524" s="736"/>
      <c r="E524" s="736"/>
      <c r="F524" s="736"/>
      <c r="G524" s="736"/>
      <c r="H524" s="736"/>
      <c r="I524" s="736"/>
      <c r="J524" s="736"/>
      <c r="K524" s="736"/>
      <c r="L524" s="736"/>
      <c r="M524" s="736"/>
      <c r="N524" s="736"/>
      <c r="O524" s="737"/>
      <c r="P524" s="733" t="s">
        <v>40</v>
      </c>
      <c r="Q524" s="734"/>
      <c r="R524" s="734"/>
      <c r="S524" s="734"/>
      <c r="T524" s="734"/>
      <c r="U524" s="734"/>
      <c r="V524" s="735"/>
      <c r="W524" s="40" t="s">
        <v>39</v>
      </c>
      <c r="X524" s="41">
        <f>IFERROR(X521/H521,"0")+IFERROR(X522/H522,"0")+IFERROR(X523/H523,"0")</f>
        <v>15.15151515151515</v>
      </c>
      <c r="Y524" s="41">
        <f>IFERROR(Y521/H521,"0")+IFERROR(Y522/H522,"0")+IFERROR(Y523/H523,"0")</f>
        <v>16</v>
      </c>
      <c r="Z524" s="41">
        <f>IFERROR(IF(Z521="",0,Z521),"0")+IFERROR(IF(Z522="",0,Z522),"0")+IFERROR(IF(Z523="",0,Z523),"0")</f>
        <v>0.19136</v>
      </c>
      <c r="AA524" s="64"/>
      <c r="AB524" s="64"/>
      <c r="AC524" s="64"/>
    </row>
    <row r="525" spans="1:68" x14ac:dyDescent="0.2">
      <c r="A525" s="736"/>
      <c r="B525" s="736"/>
      <c r="C525" s="736"/>
      <c r="D525" s="736"/>
      <c r="E525" s="736"/>
      <c r="F525" s="736"/>
      <c r="G525" s="736"/>
      <c r="H525" s="736"/>
      <c r="I525" s="736"/>
      <c r="J525" s="736"/>
      <c r="K525" s="736"/>
      <c r="L525" s="736"/>
      <c r="M525" s="736"/>
      <c r="N525" s="736"/>
      <c r="O525" s="737"/>
      <c r="P525" s="733" t="s">
        <v>40</v>
      </c>
      <c r="Q525" s="734"/>
      <c r="R525" s="734"/>
      <c r="S525" s="734"/>
      <c r="T525" s="734"/>
      <c r="U525" s="734"/>
      <c r="V525" s="735"/>
      <c r="W525" s="40" t="s">
        <v>0</v>
      </c>
      <c r="X525" s="41">
        <f>IFERROR(SUM(X521:X523),"0")</f>
        <v>80</v>
      </c>
      <c r="Y525" s="41">
        <f>IFERROR(SUM(Y521:Y523),"0")</f>
        <v>84.48</v>
      </c>
      <c r="Z525" s="40"/>
      <c r="AA525" s="64"/>
      <c r="AB525" s="64"/>
      <c r="AC525" s="64"/>
    </row>
    <row r="526" spans="1:68" ht="14.25" hidden="1" customHeight="1" x14ac:dyDescent="0.25">
      <c r="A526" s="727" t="s">
        <v>77</v>
      </c>
      <c r="B526" s="727"/>
      <c r="C526" s="727"/>
      <c r="D526" s="727"/>
      <c r="E526" s="727"/>
      <c r="F526" s="727"/>
      <c r="G526" s="727"/>
      <c r="H526" s="727"/>
      <c r="I526" s="727"/>
      <c r="J526" s="727"/>
      <c r="K526" s="727"/>
      <c r="L526" s="727"/>
      <c r="M526" s="727"/>
      <c r="N526" s="727"/>
      <c r="O526" s="727"/>
      <c r="P526" s="727"/>
      <c r="Q526" s="727"/>
      <c r="R526" s="727"/>
      <c r="S526" s="727"/>
      <c r="T526" s="727"/>
      <c r="U526" s="727"/>
      <c r="V526" s="727"/>
      <c r="W526" s="727"/>
      <c r="X526" s="727"/>
      <c r="Y526" s="727"/>
      <c r="Z526" s="727"/>
      <c r="AA526" s="63"/>
      <c r="AB526" s="63"/>
      <c r="AC526" s="63"/>
    </row>
    <row r="527" spans="1:68" ht="27" customHeight="1" x14ac:dyDescent="0.25">
      <c r="A527" s="60" t="s">
        <v>849</v>
      </c>
      <c r="B527" s="60" t="s">
        <v>850</v>
      </c>
      <c r="C527" s="34">
        <v>4301031349</v>
      </c>
      <c r="D527" s="728">
        <v>4680115883116</v>
      </c>
      <c r="E527" s="72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10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0"/>
      <c r="R527" s="730"/>
      <c r="S527" s="730"/>
      <c r="T527" s="731"/>
      <c r="U527" s="37" t="s">
        <v>46</v>
      </c>
      <c r="V527" s="37" t="s">
        <v>46</v>
      </c>
      <c r="W527" s="38" t="s">
        <v>0</v>
      </c>
      <c r="X527" s="56">
        <v>50</v>
      </c>
      <c r="Y527" s="53">
        <f t="shared" ref="Y527:Y533" si="86">IFERROR(IF(X527="",0,CEILING((X527/$H527),1)*$H527),"")</f>
        <v>52.800000000000004</v>
      </c>
      <c r="Z527" s="39">
        <f>IFERROR(IF(Y527=0,"",ROUNDUP(Y527/H527,0)*0.01196),"")</f>
        <v>0.1196</v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53.314393939393938</v>
      </c>
      <c r="BN527" s="75">
        <f t="shared" ref="BN527:BN533" si="88">IFERROR(Y527*I527/H527,"0")</f>
        <v>56.3</v>
      </c>
      <c r="BO527" s="75">
        <f t="shared" ref="BO527:BO533" si="89">IFERROR(1/J527*(X527/H527),"0")</f>
        <v>9.1054778554778545E-2</v>
      </c>
      <c r="BP527" s="75">
        <f t="shared" ref="BP527:BP533" si="90">IFERROR(1/J527*(Y527/H527),"0")</f>
        <v>9.6153846153846159E-2</v>
      </c>
    </row>
    <row r="528" spans="1:68" ht="27" customHeight="1" x14ac:dyDescent="0.25">
      <c r="A528" s="60" t="s">
        <v>852</v>
      </c>
      <c r="B528" s="60" t="s">
        <v>853</v>
      </c>
      <c r="C528" s="34">
        <v>4301031350</v>
      </c>
      <c r="D528" s="728">
        <v>4680115883093</v>
      </c>
      <c r="E528" s="72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10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0"/>
      <c r="R528" s="730"/>
      <c r="S528" s="730"/>
      <c r="T528" s="731"/>
      <c r="U528" s="37" t="s">
        <v>46</v>
      </c>
      <c r="V528" s="37" t="s">
        <v>46</v>
      </c>
      <c r="W528" s="38" t="s">
        <v>0</v>
      </c>
      <c r="X528" s="56">
        <v>30</v>
      </c>
      <c r="Y528" s="53">
        <f t="shared" si="86"/>
        <v>31.68</v>
      </c>
      <c r="Z528" s="39">
        <f>IFERROR(IF(Y528=0,"",ROUNDUP(Y528/H528,0)*0.01196),"")</f>
        <v>7.1760000000000004E-2</v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31.988636363636363</v>
      </c>
      <c r="BN528" s="75">
        <f t="shared" si="88"/>
        <v>33.779999999999994</v>
      </c>
      <c r="BO528" s="75">
        <f t="shared" si="89"/>
        <v>5.4632867132867136E-2</v>
      </c>
      <c r="BP528" s="75">
        <f t="shared" si="90"/>
        <v>5.7692307692307696E-2</v>
      </c>
    </row>
    <row r="529" spans="1:68" ht="27" customHeight="1" x14ac:dyDescent="0.25">
      <c r="A529" s="60" t="s">
        <v>855</v>
      </c>
      <c r="B529" s="60" t="s">
        <v>856</v>
      </c>
      <c r="C529" s="34">
        <v>4301031353</v>
      </c>
      <c r="D529" s="728">
        <v>4680115883109</v>
      </c>
      <c r="E529" s="72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0"/>
      <c r="R529" s="730"/>
      <c r="S529" s="730"/>
      <c r="T529" s="731"/>
      <c r="U529" s="37" t="s">
        <v>46</v>
      </c>
      <c r="V529" s="37" t="s">
        <v>46</v>
      </c>
      <c r="W529" s="38" t="s">
        <v>0</v>
      </c>
      <c r="X529" s="56">
        <v>30</v>
      </c>
      <c r="Y529" s="53">
        <f t="shared" si="86"/>
        <v>31.68</v>
      </c>
      <c r="Z529" s="39">
        <f>IFERROR(IF(Y529=0,"",ROUNDUP(Y529/H529,0)*0.01196),"")</f>
        <v>7.1760000000000004E-2</v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31.988636363636363</v>
      </c>
      <c r="BN529" s="75">
        <f t="shared" si="88"/>
        <v>33.779999999999994</v>
      </c>
      <c r="BO529" s="75">
        <f t="shared" si="89"/>
        <v>5.4632867132867136E-2</v>
      </c>
      <c r="BP529" s="75">
        <f t="shared" si="90"/>
        <v>5.7692307692307696E-2</v>
      </c>
    </row>
    <row r="530" spans="1:68" ht="27" hidden="1" customHeight="1" x14ac:dyDescent="0.25">
      <c r="A530" s="60" t="s">
        <v>858</v>
      </c>
      <c r="B530" s="60" t="s">
        <v>859</v>
      </c>
      <c r="C530" s="34">
        <v>4301031419</v>
      </c>
      <c r="D530" s="728">
        <v>4680115882072</v>
      </c>
      <c r="E530" s="72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101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0"/>
      <c r="R530" s="730"/>
      <c r="S530" s="730"/>
      <c r="T530" s="731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6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0</v>
      </c>
      <c r="BN530" s="75">
        <f t="shared" si="88"/>
        <v>0</v>
      </c>
      <c r="BO530" s="75">
        <f t="shared" si="89"/>
        <v>0</v>
      </c>
      <c r="BP530" s="75">
        <f t="shared" si="90"/>
        <v>0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728">
        <v>4680115882102</v>
      </c>
      <c r="E531" s="72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10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0"/>
      <c r="R531" s="730"/>
      <c r="S531" s="730"/>
      <c r="T531" s="73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hidden="1" customHeight="1" x14ac:dyDescent="0.25">
      <c r="A532" s="60" t="s">
        <v>860</v>
      </c>
      <c r="B532" s="60" t="s">
        <v>862</v>
      </c>
      <c r="C532" s="34">
        <v>4301031418</v>
      </c>
      <c r="D532" s="728">
        <v>4680115882102</v>
      </c>
      <c r="E532" s="72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10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0"/>
      <c r="R532" s="730"/>
      <c r="S532" s="730"/>
      <c r="T532" s="73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0</v>
      </c>
      <c r="BN532" s="75">
        <f t="shared" si="88"/>
        <v>0</v>
      </c>
      <c r="BO532" s="75">
        <f t="shared" si="89"/>
        <v>0</v>
      </c>
      <c r="BP532" s="75">
        <f t="shared" si="90"/>
        <v>0</v>
      </c>
    </row>
    <row r="533" spans="1:68" ht="27" hidden="1" customHeight="1" x14ac:dyDescent="0.25">
      <c r="A533" s="60" t="s">
        <v>863</v>
      </c>
      <c r="B533" s="60" t="s">
        <v>864</v>
      </c>
      <c r="C533" s="34">
        <v>4301031417</v>
      </c>
      <c r="D533" s="728">
        <v>4680115882096</v>
      </c>
      <c r="E533" s="72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10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0"/>
      <c r="R533" s="730"/>
      <c r="S533" s="730"/>
      <c r="T533" s="731"/>
      <c r="U533" s="37" t="s">
        <v>46</v>
      </c>
      <c r="V533" s="37" t="s">
        <v>46</v>
      </c>
      <c r="W533" s="38" t="s">
        <v>0</v>
      </c>
      <c r="X533" s="56">
        <v>0</v>
      </c>
      <c r="Y533" s="53">
        <f t="shared" si="86"/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0</v>
      </c>
      <c r="BN533" s="75">
        <f t="shared" si="88"/>
        <v>0</v>
      </c>
      <c r="BO533" s="75">
        <f t="shared" si="89"/>
        <v>0</v>
      </c>
      <c r="BP533" s="75">
        <f t="shared" si="90"/>
        <v>0</v>
      </c>
    </row>
    <row r="534" spans="1:68" x14ac:dyDescent="0.2">
      <c r="A534" s="736"/>
      <c r="B534" s="736"/>
      <c r="C534" s="736"/>
      <c r="D534" s="736"/>
      <c r="E534" s="736"/>
      <c r="F534" s="736"/>
      <c r="G534" s="736"/>
      <c r="H534" s="736"/>
      <c r="I534" s="736"/>
      <c r="J534" s="736"/>
      <c r="K534" s="736"/>
      <c r="L534" s="736"/>
      <c r="M534" s="736"/>
      <c r="N534" s="736"/>
      <c r="O534" s="737"/>
      <c r="P534" s="733" t="s">
        <v>40</v>
      </c>
      <c r="Q534" s="734"/>
      <c r="R534" s="734"/>
      <c r="S534" s="734"/>
      <c r="T534" s="734"/>
      <c r="U534" s="734"/>
      <c r="V534" s="735"/>
      <c r="W534" s="40" t="s">
        <v>39</v>
      </c>
      <c r="X534" s="41">
        <f>IFERROR(X527/H527,"0")+IFERROR(X528/H528,"0")+IFERROR(X529/H529,"0")+IFERROR(X530/H530,"0")+IFERROR(X531/H531,"0")+IFERROR(X532/H532,"0")+IFERROR(X533/H533,"0")</f>
        <v>20.833333333333332</v>
      </c>
      <c r="Y534" s="41">
        <f>IFERROR(Y527/H527,"0")+IFERROR(Y528/H528,"0")+IFERROR(Y529/H529,"0")+IFERROR(Y530/H530,"0")+IFERROR(Y531/H531,"0")+IFERROR(Y532/H532,"0")+IFERROR(Y533/H533,"0")</f>
        <v>22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4"/>
      <c r="AB534" s="64"/>
      <c r="AC534" s="64"/>
    </row>
    <row r="535" spans="1:68" x14ac:dyDescent="0.2">
      <c r="A535" s="736"/>
      <c r="B535" s="736"/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  <c r="O535" s="737"/>
      <c r="P535" s="733" t="s">
        <v>40</v>
      </c>
      <c r="Q535" s="734"/>
      <c r="R535" s="734"/>
      <c r="S535" s="734"/>
      <c r="T535" s="734"/>
      <c r="U535" s="734"/>
      <c r="V535" s="735"/>
      <c r="W535" s="40" t="s">
        <v>0</v>
      </c>
      <c r="X535" s="41">
        <f>IFERROR(SUM(X527:X533),"0")</f>
        <v>110</v>
      </c>
      <c r="Y535" s="41">
        <f>IFERROR(SUM(Y527:Y533),"0")</f>
        <v>116.16</v>
      </c>
      <c r="Z535" s="40"/>
      <c r="AA535" s="64"/>
      <c r="AB535" s="64"/>
      <c r="AC535" s="64"/>
    </row>
    <row r="536" spans="1:68" ht="27.75" hidden="1" customHeight="1" x14ac:dyDescent="0.2">
      <c r="A536" s="725" t="s">
        <v>865</v>
      </c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5"/>
      <c r="P536" s="725"/>
      <c r="Q536" s="725"/>
      <c r="R536" s="725"/>
      <c r="S536" s="725"/>
      <c r="T536" s="725"/>
      <c r="U536" s="725"/>
      <c r="V536" s="725"/>
      <c r="W536" s="725"/>
      <c r="X536" s="725"/>
      <c r="Y536" s="725"/>
      <c r="Z536" s="725"/>
      <c r="AA536" s="52"/>
      <c r="AB536" s="52"/>
      <c r="AC536" s="52"/>
    </row>
    <row r="537" spans="1:68" ht="16.5" hidden="1" customHeight="1" x14ac:dyDescent="0.25">
      <c r="A537" s="726" t="s">
        <v>865</v>
      </c>
      <c r="B537" s="726"/>
      <c r="C537" s="726"/>
      <c r="D537" s="726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62"/>
      <c r="AB537" s="62"/>
      <c r="AC537" s="62"/>
    </row>
    <row r="538" spans="1:68" ht="14.25" hidden="1" customHeight="1" x14ac:dyDescent="0.25">
      <c r="A538" s="727" t="s">
        <v>122</v>
      </c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7"/>
      <c r="P538" s="727"/>
      <c r="Q538" s="727"/>
      <c r="R538" s="727"/>
      <c r="S538" s="727"/>
      <c r="T538" s="727"/>
      <c r="U538" s="727"/>
      <c r="V538" s="727"/>
      <c r="W538" s="727"/>
      <c r="X538" s="727"/>
      <c r="Y538" s="727"/>
      <c r="Z538" s="727"/>
      <c r="AA538" s="63"/>
      <c r="AB538" s="63"/>
      <c r="AC538" s="63"/>
    </row>
    <row r="539" spans="1:68" ht="27" hidden="1" customHeight="1" x14ac:dyDescent="0.25">
      <c r="A539" s="60" t="s">
        <v>866</v>
      </c>
      <c r="B539" s="60" t="s">
        <v>867</v>
      </c>
      <c r="C539" s="34">
        <v>4301011584</v>
      </c>
      <c r="D539" s="728">
        <v>4640242180564</v>
      </c>
      <c r="E539" s="72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0"/>
      <c r="R539" s="730"/>
      <c r="S539" s="730"/>
      <c r="T539" s="731"/>
      <c r="U539" s="37" t="s">
        <v>46</v>
      </c>
      <c r="V539" s="37" t="s">
        <v>46</v>
      </c>
      <c r="W539" s="38" t="s">
        <v>0</v>
      </c>
      <c r="X539" s="56"/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36"/>
      <c r="B540" s="736"/>
      <c r="C540" s="736"/>
      <c r="D540" s="736"/>
      <c r="E540" s="736"/>
      <c r="F540" s="736"/>
      <c r="G540" s="736"/>
      <c r="H540" s="736"/>
      <c r="I540" s="736"/>
      <c r="J540" s="736"/>
      <c r="K540" s="736"/>
      <c r="L540" s="736"/>
      <c r="M540" s="736"/>
      <c r="N540" s="736"/>
      <c r="O540" s="737"/>
      <c r="P540" s="733" t="s">
        <v>40</v>
      </c>
      <c r="Q540" s="734"/>
      <c r="R540" s="734"/>
      <c r="S540" s="734"/>
      <c r="T540" s="734"/>
      <c r="U540" s="734"/>
      <c r="V540" s="73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36"/>
      <c r="B541" s="736"/>
      <c r="C541" s="736"/>
      <c r="D541" s="736"/>
      <c r="E541" s="736"/>
      <c r="F541" s="736"/>
      <c r="G541" s="736"/>
      <c r="H541" s="736"/>
      <c r="I541" s="736"/>
      <c r="J541" s="736"/>
      <c r="K541" s="736"/>
      <c r="L541" s="736"/>
      <c r="M541" s="736"/>
      <c r="N541" s="736"/>
      <c r="O541" s="737"/>
      <c r="P541" s="733" t="s">
        <v>40</v>
      </c>
      <c r="Q541" s="734"/>
      <c r="R541" s="734"/>
      <c r="S541" s="734"/>
      <c r="T541" s="734"/>
      <c r="U541" s="734"/>
      <c r="V541" s="73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27" t="s">
        <v>155</v>
      </c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7"/>
      <c r="P542" s="727"/>
      <c r="Q542" s="727"/>
      <c r="R542" s="727"/>
      <c r="S542" s="727"/>
      <c r="T542" s="727"/>
      <c r="U542" s="727"/>
      <c r="V542" s="727"/>
      <c r="W542" s="727"/>
      <c r="X542" s="727"/>
      <c r="Y542" s="727"/>
      <c r="Z542" s="727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728">
        <v>4640242180519</v>
      </c>
      <c r="E543" s="72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10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0"/>
      <c r="R543" s="730"/>
      <c r="S543" s="730"/>
      <c r="T543" s="73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36"/>
      <c r="B544" s="736"/>
      <c r="C544" s="736"/>
      <c r="D544" s="736"/>
      <c r="E544" s="736"/>
      <c r="F544" s="736"/>
      <c r="G544" s="736"/>
      <c r="H544" s="736"/>
      <c r="I544" s="736"/>
      <c r="J544" s="736"/>
      <c r="K544" s="736"/>
      <c r="L544" s="736"/>
      <c r="M544" s="736"/>
      <c r="N544" s="736"/>
      <c r="O544" s="737"/>
      <c r="P544" s="733" t="s">
        <v>40</v>
      </c>
      <c r="Q544" s="734"/>
      <c r="R544" s="734"/>
      <c r="S544" s="734"/>
      <c r="T544" s="734"/>
      <c r="U544" s="734"/>
      <c r="V544" s="73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36"/>
      <c r="B545" s="736"/>
      <c r="C545" s="736"/>
      <c r="D545" s="736"/>
      <c r="E545" s="736"/>
      <c r="F545" s="736"/>
      <c r="G545" s="736"/>
      <c r="H545" s="736"/>
      <c r="I545" s="736"/>
      <c r="J545" s="736"/>
      <c r="K545" s="736"/>
      <c r="L545" s="736"/>
      <c r="M545" s="736"/>
      <c r="N545" s="736"/>
      <c r="O545" s="737"/>
      <c r="P545" s="733" t="s">
        <v>40</v>
      </c>
      <c r="Q545" s="734"/>
      <c r="R545" s="734"/>
      <c r="S545" s="734"/>
      <c r="T545" s="734"/>
      <c r="U545" s="734"/>
      <c r="V545" s="73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27" t="s">
        <v>77</v>
      </c>
      <c r="B546" s="727"/>
      <c r="C546" s="727"/>
      <c r="D546" s="727"/>
      <c r="E546" s="727"/>
      <c r="F546" s="727"/>
      <c r="G546" s="727"/>
      <c r="H546" s="727"/>
      <c r="I546" s="727"/>
      <c r="J546" s="727"/>
      <c r="K546" s="727"/>
      <c r="L546" s="727"/>
      <c r="M546" s="727"/>
      <c r="N546" s="727"/>
      <c r="O546" s="727"/>
      <c r="P546" s="727"/>
      <c r="Q546" s="727"/>
      <c r="R546" s="727"/>
      <c r="S546" s="727"/>
      <c r="T546" s="727"/>
      <c r="U546" s="727"/>
      <c r="V546" s="727"/>
      <c r="W546" s="727"/>
      <c r="X546" s="727"/>
      <c r="Y546" s="727"/>
      <c r="Z546" s="727"/>
      <c r="AA546" s="63"/>
      <c r="AB546" s="63"/>
      <c r="AC546" s="63"/>
    </row>
    <row r="547" spans="1:68" ht="27" hidden="1" customHeight="1" x14ac:dyDescent="0.25">
      <c r="A547" s="60" t="s">
        <v>872</v>
      </c>
      <c r="B547" s="60" t="s">
        <v>873</v>
      </c>
      <c r="C547" s="34">
        <v>4301031500</v>
      </c>
      <c r="D547" s="728">
        <v>4640242180595</v>
      </c>
      <c r="E547" s="72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101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0"/>
      <c r="R547" s="730"/>
      <c r="S547" s="730"/>
      <c r="T547" s="73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36"/>
      <c r="B548" s="736"/>
      <c r="C548" s="736"/>
      <c r="D548" s="736"/>
      <c r="E548" s="736"/>
      <c r="F548" s="736"/>
      <c r="G548" s="736"/>
      <c r="H548" s="736"/>
      <c r="I548" s="736"/>
      <c r="J548" s="736"/>
      <c r="K548" s="736"/>
      <c r="L548" s="736"/>
      <c r="M548" s="736"/>
      <c r="N548" s="736"/>
      <c r="O548" s="737"/>
      <c r="P548" s="733" t="s">
        <v>40</v>
      </c>
      <c r="Q548" s="734"/>
      <c r="R548" s="734"/>
      <c r="S548" s="734"/>
      <c r="T548" s="734"/>
      <c r="U548" s="734"/>
      <c r="V548" s="73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36"/>
      <c r="B549" s="736"/>
      <c r="C549" s="736"/>
      <c r="D549" s="736"/>
      <c r="E549" s="736"/>
      <c r="F549" s="736"/>
      <c r="G549" s="736"/>
      <c r="H549" s="736"/>
      <c r="I549" s="736"/>
      <c r="J549" s="736"/>
      <c r="K549" s="736"/>
      <c r="L549" s="736"/>
      <c r="M549" s="736"/>
      <c r="N549" s="736"/>
      <c r="O549" s="737"/>
      <c r="P549" s="733" t="s">
        <v>40</v>
      </c>
      <c r="Q549" s="734"/>
      <c r="R549" s="734"/>
      <c r="S549" s="734"/>
      <c r="T549" s="734"/>
      <c r="U549" s="734"/>
      <c r="V549" s="73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27" t="s">
        <v>86</v>
      </c>
      <c r="B550" s="727"/>
      <c r="C550" s="727"/>
      <c r="D550" s="727"/>
      <c r="E550" s="727"/>
      <c r="F550" s="727"/>
      <c r="G550" s="727"/>
      <c r="H550" s="727"/>
      <c r="I550" s="727"/>
      <c r="J550" s="727"/>
      <c r="K550" s="727"/>
      <c r="L550" s="727"/>
      <c r="M550" s="727"/>
      <c r="N550" s="727"/>
      <c r="O550" s="727"/>
      <c r="P550" s="727"/>
      <c r="Q550" s="727"/>
      <c r="R550" s="727"/>
      <c r="S550" s="727"/>
      <c r="T550" s="727"/>
      <c r="U550" s="727"/>
      <c r="V550" s="727"/>
      <c r="W550" s="727"/>
      <c r="X550" s="727"/>
      <c r="Y550" s="727"/>
      <c r="Z550" s="727"/>
      <c r="AA550" s="63"/>
      <c r="AB550" s="63"/>
      <c r="AC550" s="63"/>
    </row>
    <row r="551" spans="1:68" ht="27" hidden="1" customHeight="1" x14ac:dyDescent="0.25">
      <c r="A551" s="60" t="s">
        <v>875</v>
      </c>
      <c r="B551" s="60" t="s">
        <v>876</v>
      </c>
      <c r="C551" s="34">
        <v>4301052043</v>
      </c>
      <c r="D551" s="728">
        <v>4640242180533</v>
      </c>
      <c r="E551" s="72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10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0"/>
      <c r="R551" s="730"/>
      <c r="S551" s="730"/>
      <c r="T551" s="731"/>
      <c r="U551" s="37" t="s">
        <v>46</v>
      </c>
      <c r="V551" s="37" t="s">
        <v>46</v>
      </c>
      <c r="W551" s="38" t="s">
        <v>0</v>
      </c>
      <c r="X551" s="56"/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36"/>
      <c r="B552" s="736"/>
      <c r="C552" s="736"/>
      <c r="D552" s="736"/>
      <c r="E552" s="736"/>
      <c r="F552" s="736"/>
      <c r="G552" s="736"/>
      <c r="H552" s="736"/>
      <c r="I552" s="736"/>
      <c r="J552" s="736"/>
      <c r="K552" s="736"/>
      <c r="L552" s="736"/>
      <c r="M552" s="736"/>
      <c r="N552" s="736"/>
      <c r="O552" s="737"/>
      <c r="P552" s="733" t="s">
        <v>40</v>
      </c>
      <c r="Q552" s="734"/>
      <c r="R552" s="734"/>
      <c r="S552" s="734"/>
      <c r="T552" s="734"/>
      <c r="U552" s="734"/>
      <c r="V552" s="73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36"/>
      <c r="B553" s="736"/>
      <c r="C553" s="736"/>
      <c r="D553" s="736"/>
      <c r="E553" s="736"/>
      <c r="F553" s="736"/>
      <c r="G553" s="736"/>
      <c r="H553" s="736"/>
      <c r="I553" s="736"/>
      <c r="J553" s="736"/>
      <c r="K553" s="736"/>
      <c r="L553" s="736"/>
      <c r="M553" s="736"/>
      <c r="N553" s="736"/>
      <c r="O553" s="737"/>
      <c r="P553" s="733" t="s">
        <v>40</v>
      </c>
      <c r="Q553" s="734"/>
      <c r="R553" s="734"/>
      <c r="S553" s="734"/>
      <c r="T553" s="734"/>
      <c r="U553" s="734"/>
      <c r="V553" s="73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4.25" hidden="1" customHeight="1" x14ac:dyDescent="0.25">
      <c r="A554" s="727" t="s">
        <v>173</v>
      </c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727"/>
      <c r="P554" s="727"/>
      <c r="Q554" s="727"/>
      <c r="R554" s="727"/>
      <c r="S554" s="727"/>
      <c r="T554" s="727"/>
      <c r="U554" s="727"/>
      <c r="V554" s="727"/>
      <c r="W554" s="727"/>
      <c r="X554" s="727"/>
      <c r="Y554" s="727"/>
      <c r="Z554" s="727"/>
      <c r="AA554" s="63"/>
      <c r="AB554" s="63"/>
      <c r="AC554" s="63"/>
    </row>
    <row r="555" spans="1:68" ht="27" hidden="1" customHeight="1" x14ac:dyDescent="0.25">
      <c r="A555" s="60" t="s">
        <v>878</v>
      </c>
      <c r="B555" s="60" t="s">
        <v>879</v>
      </c>
      <c r="C555" s="34">
        <v>4301060535</v>
      </c>
      <c r="D555" s="728">
        <v>4640242180120</v>
      </c>
      <c r="E555" s="72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10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0"/>
      <c r="R555" s="730"/>
      <c r="S555" s="730"/>
      <c r="T555" s="73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881</v>
      </c>
      <c r="B556" s="60" t="s">
        <v>882</v>
      </c>
      <c r="C556" s="34">
        <v>4301060536</v>
      </c>
      <c r="D556" s="728">
        <v>4640242180137</v>
      </c>
      <c r="E556" s="72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102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0"/>
      <c r="R556" s="730"/>
      <c r="S556" s="730"/>
      <c r="T556" s="73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36"/>
      <c r="B557" s="736"/>
      <c r="C557" s="736"/>
      <c r="D557" s="736"/>
      <c r="E557" s="736"/>
      <c r="F557" s="736"/>
      <c r="G557" s="736"/>
      <c r="H557" s="736"/>
      <c r="I557" s="736"/>
      <c r="J557" s="736"/>
      <c r="K557" s="736"/>
      <c r="L557" s="736"/>
      <c r="M557" s="736"/>
      <c r="N557" s="736"/>
      <c r="O557" s="737"/>
      <c r="P557" s="733" t="s">
        <v>40</v>
      </c>
      <c r="Q557" s="734"/>
      <c r="R557" s="734"/>
      <c r="S557" s="734"/>
      <c r="T557" s="734"/>
      <c r="U557" s="734"/>
      <c r="V557" s="735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736"/>
      <c r="B558" s="736"/>
      <c r="C558" s="736"/>
      <c r="D558" s="736"/>
      <c r="E558" s="736"/>
      <c r="F558" s="736"/>
      <c r="G558" s="736"/>
      <c r="H558" s="736"/>
      <c r="I558" s="736"/>
      <c r="J558" s="736"/>
      <c r="K558" s="736"/>
      <c r="L558" s="736"/>
      <c r="M558" s="736"/>
      <c r="N558" s="736"/>
      <c r="O558" s="737"/>
      <c r="P558" s="733" t="s">
        <v>40</v>
      </c>
      <c r="Q558" s="734"/>
      <c r="R558" s="734"/>
      <c r="S558" s="734"/>
      <c r="T558" s="734"/>
      <c r="U558" s="734"/>
      <c r="V558" s="735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726" t="s">
        <v>884</v>
      </c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62"/>
      <c r="AB559" s="62"/>
      <c r="AC559" s="62"/>
    </row>
    <row r="560" spans="1:68" ht="14.25" hidden="1" customHeight="1" x14ac:dyDescent="0.25">
      <c r="A560" s="727" t="s">
        <v>155</v>
      </c>
      <c r="B560" s="727"/>
      <c r="C560" s="727"/>
      <c r="D560" s="727"/>
      <c r="E560" s="727"/>
      <c r="F560" s="727"/>
      <c r="G560" s="727"/>
      <c r="H560" s="727"/>
      <c r="I560" s="727"/>
      <c r="J560" s="727"/>
      <c r="K560" s="727"/>
      <c r="L560" s="727"/>
      <c r="M560" s="727"/>
      <c r="N560" s="727"/>
      <c r="O560" s="727"/>
      <c r="P560" s="727"/>
      <c r="Q560" s="727"/>
      <c r="R560" s="727"/>
      <c r="S560" s="727"/>
      <c r="T560" s="727"/>
      <c r="U560" s="727"/>
      <c r="V560" s="727"/>
      <c r="W560" s="727"/>
      <c r="X560" s="727"/>
      <c r="Y560" s="727"/>
      <c r="Z560" s="727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728">
        <v>4640242180090</v>
      </c>
      <c r="E561" s="72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10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0"/>
      <c r="R561" s="730"/>
      <c r="S561" s="730"/>
      <c r="T561" s="73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36"/>
      <c r="B562" s="736"/>
      <c r="C562" s="736"/>
      <c r="D562" s="736"/>
      <c r="E562" s="736"/>
      <c r="F562" s="736"/>
      <c r="G562" s="736"/>
      <c r="H562" s="736"/>
      <c r="I562" s="736"/>
      <c r="J562" s="736"/>
      <c r="K562" s="736"/>
      <c r="L562" s="736"/>
      <c r="M562" s="736"/>
      <c r="N562" s="736"/>
      <c r="O562" s="737"/>
      <c r="P562" s="733" t="s">
        <v>40</v>
      </c>
      <c r="Q562" s="734"/>
      <c r="R562" s="734"/>
      <c r="S562" s="734"/>
      <c r="T562" s="734"/>
      <c r="U562" s="734"/>
      <c r="V562" s="735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36"/>
      <c r="B563" s="736"/>
      <c r="C563" s="736"/>
      <c r="D563" s="736"/>
      <c r="E563" s="736"/>
      <c r="F563" s="736"/>
      <c r="G563" s="736"/>
      <c r="H563" s="736"/>
      <c r="I563" s="736"/>
      <c r="J563" s="736"/>
      <c r="K563" s="736"/>
      <c r="L563" s="736"/>
      <c r="M563" s="736"/>
      <c r="N563" s="736"/>
      <c r="O563" s="737"/>
      <c r="P563" s="733" t="s">
        <v>40</v>
      </c>
      <c r="Q563" s="734"/>
      <c r="R563" s="734"/>
      <c r="S563" s="734"/>
      <c r="T563" s="734"/>
      <c r="U563" s="734"/>
      <c r="V563" s="735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36"/>
      <c r="B564" s="736"/>
      <c r="C564" s="736"/>
      <c r="D564" s="736"/>
      <c r="E564" s="736"/>
      <c r="F564" s="736"/>
      <c r="G564" s="736"/>
      <c r="H564" s="736"/>
      <c r="I564" s="736"/>
      <c r="J564" s="736"/>
      <c r="K564" s="736"/>
      <c r="L564" s="736"/>
      <c r="M564" s="736"/>
      <c r="N564" s="736"/>
      <c r="O564" s="1028"/>
      <c r="P564" s="1025" t="s">
        <v>33</v>
      </c>
      <c r="Q564" s="1026"/>
      <c r="R564" s="1026"/>
      <c r="S564" s="1026"/>
      <c r="T564" s="1026"/>
      <c r="U564" s="1026"/>
      <c r="V564" s="1027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2008.96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2092.3199999999997</v>
      </c>
      <c r="Z564" s="40"/>
      <c r="AA564" s="64"/>
      <c r="AB564" s="64"/>
      <c r="AC564" s="64"/>
    </row>
    <row r="565" spans="1:68" x14ac:dyDescent="0.2">
      <c r="A565" s="736"/>
      <c r="B565" s="736"/>
      <c r="C565" s="736"/>
      <c r="D565" s="736"/>
      <c r="E565" s="736"/>
      <c r="F565" s="736"/>
      <c r="G565" s="736"/>
      <c r="H565" s="736"/>
      <c r="I565" s="736"/>
      <c r="J565" s="736"/>
      <c r="K565" s="736"/>
      <c r="L565" s="736"/>
      <c r="M565" s="736"/>
      <c r="N565" s="736"/>
      <c r="O565" s="1028"/>
      <c r="P565" s="1025" t="s">
        <v>34</v>
      </c>
      <c r="Q565" s="1026"/>
      <c r="R565" s="1026"/>
      <c r="S565" s="1026"/>
      <c r="T565" s="1026"/>
      <c r="U565" s="1026"/>
      <c r="V565" s="1027"/>
      <c r="W565" s="40" t="s">
        <v>0</v>
      </c>
      <c r="X565" s="41">
        <f>IFERROR(SUM(BM22:BM561),"0")</f>
        <v>2105.0695972545973</v>
      </c>
      <c r="Y565" s="41">
        <f>IFERROR(SUM(BN22:BN561),"0")</f>
        <v>2192.2380000000003</v>
      </c>
      <c r="Z565" s="40"/>
      <c r="AA565" s="64"/>
      <c r="AB565" s="64"/>
      <c r="AC565" s="64"/>
    </row>
    <row r="566" spans="1:68" x14ac:dyDescent="0.2">
      <c r="A566" s="736"/>
      <c r="B566" s="736"/>
      <c r="C566" s="736"/>
      <c r="D566" s="736"/>
      <c r="E566" s="736"/>
      <c r="F566" s="736"/>
      <c r="G566" s="736"/>
      <c r="H566" s="736"/>
      <c r="I566" s="736"/>
      <c r="J566" s="736"/>
      <c r="K566" s="736"/>
      <c r="L566" s="736"/>
      <c r="M566" s="736"/>
      <c r="N566" s="736"/>
      <c r="O566" s="1028"/>
      <c r="P566" s="1025" t="s">
        <v>35</v>
      </c>
      <c r="Q566" s="1026"/>
      <c r="R566" s="1026"/>
      <c r="S566" s="1026"/>
      <c r="T566" s="1026"/>
      <c r="U566" s="1026"/>
      <c r="V566" s="1027"/>
      <c r="W566" s="40" t="s">
        <v>20</v>
      </c>
      <c r="X566" s="42">
        <f>ROUNDUP(SUM(BO22:BO561),0)</f>
        <v>4</v>
      </c>
      <c r="Y566" s="42">
        <f>ROUNDUP(SUM(BP22:BP561),0)</f>
        <v>4</v>
      </c>
      <c r="Z566" s="40"/>
      <c r="AA566" s="64"/>
      <c r="AB566" s="64"/>
      <c r="AC566" s="64"/>
    </row>
    <row r="567" spans="1:68" x14ac:dyDescent="0.2">
      <c r="A567" s="736"/>
      <c r="B567" s="736"/>
      <c r="C567" s="736"/>
      <c r="D567" s="736"/>
      <c r="E567" s="736"/>
      <c r="F567" s="736"/>
      <c r="G567" s="736"/>
      <c r="H567" s="736"/>
      <c r="I567" s="736"/>
      <c r="J567" s="736"/>
      <c r="K567" s="736"/>
      <c r="L567" s="736"/>
      <c r="M567" s="736"/>
      <c r="N567" s="736"/>
      <c r="O567" s="1028"/>
      <c r="P567" s="1025" t="s">
        <v>36</v>
      </c>
      <c r="Q567" s="1026"/>
      <c r="R567" s="1026"/>
      <c r="S567" s="1026"/>
      <c r="T567" s="1026"/>
      <c r="U567" s="1026"/>
      <c r="V567" s="1027"/>
      <c r="W567" s="40" t="s">
        <v>0</v>
      </c>
      <c r="X567" s="41">
        <f>GrossWeightTotal+PalletQtyTotal*25</f>
        <v>2205.0695972545973</v>
      </c>
      <c r="Y567" s="41">
        <f>GrossWeightTotalR+PalletQtyTotalR*25</f>
        <v>2292.2380000000003</v>
      </c>
      <c r="Z567" s="40"/>
      <c r="AA567" s="64"/>
      <c r="AB567" s="64"/>
      <c r="AC567" s="64"/>
    </row>
    <row r="568" spans="1:68" x14ac:dyDescent="0.2">
      <c r="A568" s="736"/>
      <c r="B568" s="736"/>
      <c r="C568" s="736"/>
      <c r="D568" s="736"/>
      <c r="E568" s="736"/>
      <c r="F568" s="736"/>
      <c r="G568" s="736"/>
      <c r="H568" s="736"/>
      <c r="I568" s="736"/>
      <c r="J568" s="736"/>
      <c r="K568" s="736"/>
      <c r="L568" s="736"/>
      <c r="M568" s="736"/>
      <c r="N568" s="736"/>
      <c r="O568" s="1028"/>
      <c r="P568" s="1025" t="s">
        <v>37</v>
      </c>
      <c r="Q568" s="1026"/>
      <c r="R568" s="1026"/>
      <c r="S568" s="1026"/>
      <c r="T568" s="1026"/>
      <c r="U568" s="1026"/>
      <c r="V568" s="1027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312.54121804121803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324</v>
      </c>
      <c r="Z568" s="40"/>
      <c r="AA568" s="64"/>
      <c r="AB568" s="64"/>
      <c r="AC568" s="64"/>
    </row>
    <row r="569" spans="1:68" ht="14.25" hidden="1" x14ac:dyDescent="0.2">
      <c r="A569" s="736"/>
      <c r="B569" s="736"/>
      <c r="C569" s="736"/>
      <c r="D569" s="736"/>
      <c r="E569" s="736"/>
      <c r="F569" s="736"/>
      <c r="G569" s="736"/>
      <c r="H569" s="736"/>
      <c r="I569" s="736"/>
      <c r="J569" s="736"/>
      <c r="K569" s="736"/>
      <c r="L569" s="736"/>
      <c r="M569" s="736"/>
      <c r="N569" s="736"/>
      <c r="O569" s="1028"/>
      <c r="P569" s="1025" t="s">
        <v>38</v>
      </c>
      <c r="Q569" s="1026"/>
      <c r="R569" s="1026"/>
      <c r="S569" s="1026"/>
      <c r="T569" s="1026"/>
      <c r="U569" s="1026"/>
      <c r="V569" s="1027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4.0247899999999994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1023" t="s">
        <v>120</v>
      </c>
      <c r="E571" s="1023" t="s">
        <v>120</v>
      </c>
      <c r="F571" s="1023" t="s">
        <v>120</v>
      </c>
      <c r="G571" s="1023" t="s">
        <v>120</v>
      </c>
      <c r="H571" s="1023" t="s">
        <v>120</v>
      </c>
      <c r="I571" s="1023" t="s">
        <v>120</v>
      </c>
      <c r="J571" s="1023" t="s">
        <v>120</v>
      </c>
      <c r="K571" s="1023" t="s">
        <v>370</v>
      </c>
      <c r="L571" s="1023" t="s">
        <v>370</v>
      </c>
      <c r="M571" s="1023" t="s">
        <v>370</v>
      </c>
      <c r="N571" s="1029"/>
      <c r="O571" s="1023" t="s">
        <v>370</v>
      </c>
      <c r="P571" s="1023" t="s">
        <v>370</v>
      </c>
      <c r="Q571" s="1023" t="s">
        <v>370</v>
      </c>
      <c r="R571" s="1023" t="s">
        <v>370</v>
      </c>
      <c r="S571" s="1023" t="s">
        <v>370</v>
      </c>
      <c r="T571" s="1023" t="s">
        <v>370</v>
      </c>
      <c r="U571" s="1023" t="s">
        <v>370</v>
      </c>
      <c r="V571" s="1023" t="s">
        <v>370</v>
      </c>
      <c r="W571" s="1023" t="s">
        <v>716</v>
      </c>
      <c r="X571" s="1023" t="s">
        <v>716</v>
      </c>
      <c r="Y571" s="1023" t="s">
        <v>782</v>
      </c>
      <c r="Z571" s="1023" t="s">
        <v>782</v>
      </c>
      <c r="AA571" s="80" t="s">
        <v>818</v>
      </c>
      <c r="AB571" s="1023" t="s">
        <v>865</v>
      </c>
      <c r="AC571" s="1023" t="s">
        <v>865</v>
      </c>
      <c r="AF571" s="1"/>
    </row>
    <row r="572" spans="1:68" ht="14.25" customHeight="1" thickTop="1" x14ac:dyDescent="0.2">
      <c r="A572" s="1030" t="s">
        <v>10</v>
      </c>
      <c r="B572" s="1023" t="s">
        <v>76</v>
      </c>
      <c r="C572" s="1023" t="s">
        <v>104</v>
      </c>
      <c r="D572" s="1023" t="s">
        <v>121</v>
      </c>
      <c r="E572" s="1023" t="s">
        <v>137</v>
      </c>
      <c r="F572" s="1023" t="s">
        <v>182</v>
      </c>
      <c r="G572" s="1023" t="s">
        <v>212</v>
      </c>
      <c r="H572" s="1023" t="s">
        <v>265</v>
      </c>
      <c r="I572" s="1023" t="s">
        <v>278</v>
      </c>
      <c r="J572" s="1023" t="s">
        <v>120</v>
      </c>
      <c r="K572" s="1023" t="s">
        <v>371</v>
      </c>
      <c r="L572" s="1023" t="s">
        <v>392</v>
      </c>
      <c r="M572" s="1023" t="s">
        <v>459</v>
      </c>
      <c r="N572" s="1"/>
      <c r="O572" s="1023" t="s">
        <v>527</v>
      </c>
      <c r="P572" s="1023" t="s">
        <v>560</v>
      </c>
      <c r="Q572" s="1023" t="s">
        <v>576</v>
      </c>
      <c r="R572" s="1023" t="s">
        <v>585</v>
      </c>
      <c r="S572" s="1023" t="s">
        <v>606</v>
      </c>
      <c r="T572" s="1023" t="s">
        <v>615</v>
      </c>
      <c r="U572" s="1023" t="s">
        <v>699</v>
      </c>
      <c r="V572" s="1023" t="s">
        <v>706</v>
      </c>
      <c r="W572" s="1023" t="s">
        <v>717</v>
      </c>
      <c r="X572" s="1023" t="s">
        <v>766</v>
      </c>
      <c r="Y572" s="1023" t="s">
        <v>783</v>
      </c>
      <c r="Z572" s="1023" t="s">
        <v>806</v>
      </c>
      <c r="AA572" s="1023" t="s">
        <v>818</v>
      </c>
      <c r="AB572" s="1023" t="s">
        <v>865</v>
      </c>
      <c r="AC572" s="1023" t="s">
        <v>884</v>
      </c>
      <c r="AF572" s="1"/>
    </row>
    <row r="573" spans="1:68" ht="13.5" thickBot="1" x14ac:dyDescent="0.25">
      <c r="A573" s="1031"/>
      <c r="B573" s="1023"/>
      <c r="C573" s="1023"/>
      <c r="D573" s="1023"/>
      <c r="E573" s="1023"/>
      <c r="F573" s="1023"/>
      <c r="G573" s="1023"/>
      <c r="H573" s="1023"/>
      <c r="I573" s="1023"/>
      <c r="J573" s="1023"/>
      <c r="K573" s="1023"/>
      <c r="L573" s="1023"/>
      <c r="M573" s="1023"/>
      <c r="N573" s="1"/>
      <c r="O573" s="1023"/>
      <c r="P573" s="1023"/>
      <c r="Q573" s="1023"/>
      <c r="R573" s="1023"/>
      <c r="S573" s="1023"/>
      <c r="T573" s="1023"/>
      <c r="U573" s="1023"/>
      <c r="V573" s="1023"/>
      <c r="W573" s="1023"/>
      <c r="X573" s="1023"/>
      <c r="Y573" s="1023"/>
      <c r="Z573" s="1023"/>
      <c r="AA573" s="1023"/>
      <c r="AB573" s="1023"/>
      <c r="AC573" s="1023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0</v>
      </c>
      <c r="C574" s="50">
        <f>IFERROR(Y37*1,"0")+IFERROR(Y38*1,"0")+IFERROR(Y39*1,"0")+IFERROR(Y40*1,"0")+IFERROR(Y41*1,"0")</f>
        <v>0</v>
      </c>
      <c r="D574" s="50">
        <f>IFERROR(Y47*1,"0")+IFERROR(Y48*1,"0")+IFERROR(Y49*1,"0")+IFERROR(Y50*1,"0")</f>
        <v>43.2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109.8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60.3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81</v>
      </c>
      <c r="H574" s="50">
        <f>IFERROR(Y140*1,"0")+IFERROR(Y141*1,"0")+IFERROR(Y145*1,"0")+IFERROR(Y146*1,"0")+IFERROR(Y150*1,"0")+IFERROR(Y151*1,"0")</f>
        <v>0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104.16000000000001</v>
      </c>
      <c r="K574" s="50">
        <f>IFERROR(Y215*1,"0")+IFERROR(Y216*1,"0")+IFERROR(Y217*1,"0")+IFERROR(Y218*1,"0")+IFERROR(Y219*1,"0")+IFERROR(Y220*1,"0")+IFERROR(Y221*1,"0")</f>
        <v>0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0">
        <f>IFERROR(Y333*1,"0")+IFERROR(Y334*1,"0")+IFERROR(Y335*1,"0")+IFERROR(Y336*1,"0")+IFERROR(Y337*1,"0")</f>
        <v>64.8</v>
      </c>
      <c r="Q574" s="50">
        <f>IFERROR(Y342*1,"0")+IFERROR(Y343*1,"0")+IFERROR(Y344*1,"0")</f>
        <v>0</v>
      </c>
      <c r="R574" s="50">
        <f>IFERROR(Y349*1,"0")+IFERROR(Y350*1,"0")+IFERROR(Y351*1,"0")+IFERROR(Y352*1,"0")+IFERROR(Y353*1,"0")+IFERROR(Y357*1,"0")+IFERROR(Y358*1,"0")</f>
        <v>0</v>
      </c>
      <c r="S574" s="50">
        <f>IFERROR(Y363*1,"0")+IFERROR(Y364*1,"0")+IFERROR(Y365*1,"0")</f>
        <v>23.4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160.80000000000001</v>
      </c>
      <c r="U574" s="50">
        <f>IFERROR(Y422*1,"0")+IFERROR(Y423*1,"0")</f>
        <v>0</v>
      </c>
      <c r="V574" s="50">
        <f>IFERROR(Y428*1,"0")+IFERROR(Y429*1,"0")+IFERROR(Y430*1,"0")</f>
        <v>27.3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570</v>
      </c>
      <c r="X574" s="50">
        <f>IFERROR(Y465*1,"0")+IFERROR(Y466*1,"0")+IFERROR(Y470*1,"0")+IFERROR(Y474*1,"0")+IFERROR(Y475*1,"0")+IFERROR(Y476*1,"0")</f>
        <v>12</v>
      </c>
      <c r="Y574" s="50">
        <f>IFERROR(Y482*1,"0")+IFERROR(Y483*1,"0")+IFERROR(Y484*1,"0")+IFERROR(Y485*1,"0")+IFERROR(Y486*1,"0")+IFERROR(Y487*1,"0")+IFERROR(Y491*1,"0")+IFERROR(Y492*1,"0")</f>
        <v>37.800000000000004</v>
      </c>
      <c r="Z574" s="50">
        <f>IFERROR(Y497*1,"0")+IFERROR(Y501*1,"0")+IFERROR(Y502*1,"0")+IFERROR(Y503*1,"0")</f>
        <v>0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538.56000000000006</v>
      </c>
      <c r="AB574" s="50">
        <f>IFERROR(Y539*1,"0")+IFERROR(Y543*1,"0")+IFERROR(Y547*1,"0")+IFERROR(Y551*1,"0")+IFERROR(Y555*1,"0")+IFERROR(Y556*1,"0")</f>
        <v>0</v>
      </c>
      <c r="AC574" s="50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3"/>
        <filter val="1,85"/>
        <filter val="10,00"/>
        <filter val="100,00"/>
        <filter val="100,16"/>
        <filter val="110,00"/>
        <filter val="13,00"/>
        <filter val="13,33"/>
        <filter val="130,00"/>
        <filter val="14,63"/>
        <filter val="15,00"/>
        <filter val="15,15"/>
        <filter val="150,00"/>
        <filter val="170,00"/>
        <filter val="2 008,96"/>
        <filter val="2 105,07"/>
        <filter val="2 205,07"/>
        <filter val="2,00"/>
        <filter val="2,78"/>
        <filter val="2,95"/>
        <filter val="20,00"/>
        <filter val="20,83"/>
        <filter val="200,00"/>
        <filter val="21,00"/>
        <filter val="21,43"/>
        <filter val="22,50"/>
        <filter val="23,00"/>
        <filter val="23,33"/>
        <filter val="250,00"/>
        <filter val="27,30"/>
        <filter val="3,00"/>
        <filter val="3,70"/>
        <filter val="30,00"/>
        <filter val="312,54"/>
        <filter val="330,00"/>
        <filter val="34,86"/>
        <filter val="35,00"/>
        <filter val="350,00"/>
        <filter val="4"/>
        <filter val="40,00"/>
        <filter val="42,50"/>
        <filter val="45,00"/>
        <filter val="46,30"/>
        <filter val="5,04"/>
        <filter val="5,56"/>
        <filter val="50,00"/>
        <filter val="6,00"/>
        <filter val="6,30"/>
        <filter val="6,48"/>
        <filter val="6,72"/>
        <filter val="6,85"/>
        <filter val="60,00"/>
        <filter val="62,50"/>
        <filter val="7,69"/>
        <filter val="8,40"/>
        <filter val="80,00"/>
        <filter val="90,00"/>
        <filter val="95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9" spans="2:8" x14ac:dyDescent="0.2">
      <c r="B9" s="51" t="s">
        <v>897</v>
      </c>
      <c r="C9" s="51" t="s">
        <v>892</v>
      </c>
      <c r="D9" s="51" t="s">
        <v>46</v>
      </c>
      <c r="E9" s="51" t="s">
        <v>46</v>
      </c>
    </row>
    <row r="11" spans="2:8" x14ac:dyDescent="0.2">
      <c r="B11" s="51" t="s">
        <v>897</v>
      </c>
      <c r="C11" s="51" t="s">
        <v>895</v>
      </c>
      <c r="D11" s="51" t="s">
        <v>46</v>
      </c>
      <c r="E11" s="51" t="s">
        <v>46</v>
      </c>
    </row>
    <row r="13" spans="2:8" x14ac:dyDescent="0.2">
      <c r="B13" s="51" t="s">
        <v>898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899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900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901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908</v>
      </c>
      <c r="C23" s="51" t="s">
        <v>46</v>
      </c>
      <c r="D23" s="51" t="s">
        <v>46</v>
      </c>
      <c r="E23" s="51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2026-10-12T10:24:39Z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