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\01,10 Обрыньба КИ ЛП ближ\"/>
    </mc:Choice>
  </mc:AlternateContent>
  <xr:revisionPtr revIDLastSave="0" documentId="13_ncr:1_{EA76C9E8-990E-473C-8DCF-F540D016E9B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95" i="2" l="1"/>
  <c r="BN95" i="2"/>
  <c r="BP161" i="2"/>
  <c r="Z190" i="2"/>
  <c r="Z205" i="2"/>
  <c r="Z206" i="2" s="1"/>
  <c r="Z466" i="2"/>
  <c r="BN466" i="2"/>
  <c r="BP40" i="2"/>
  <c r="Z277" i="2"/>
  <c r="Z439" i="2"/>
  <c r="BP539" i="2"/>
  <c r="Z29" i="2"/>
  <c r="BN29" i="2"/>
  <c r="BP77" i="2"/>
  <c r="Y202" i="2"/>
  <c r="Z233" i="2"/>
  <c r="BN233" i="2"/>
  <c r="Z411" i="2"/>
  <c r="Z465" i="2"/>
  <c r="BN23" i="2"/>
  <c r="Z27" i="2"/>
  <c r="Z39" i="2"/>
  <c r="Z41" i="2"/>
  <c r="BN41" i="2"/>
  <c r="Z78" i="2"/>
  <c r="BN78" i="2"/>
  <c r="BN80" i="2"/>
  <c r="Z86" i="2"/>
  <c r="BN86" i="2"/>
  <c r="Z105" i="2"/>
  <c r="Z106" i="2"/>
  <c r="Z124" i="2"/>
  <c r="BN128" i="2"/>
  <c r="Y137" i="2"/>
  <c r="Z185" i="2"/>
  <c r="BN185" i="2"/>
  <c r="Z191" i="2"/>
  <c r="BN191" i="2"/>
  <c r="BP200" i="2"/>
  <c r="BN201" i="2"/>
  <c r="Z250" i="2"/>
  <c r="BN250" i="2"/>
  <c r="BP255" i="2"/>
  <c r="BN256" i="2"/>
  <c r="Z267" i="2"/>
  <c r="BN267" i="2"/>
  <c r="BN303" i="2"/>
  <c r="BN310" i="2"/>
  <c r="BN318" i="2"/>
  <c r="Y367" i="2"/>
  <c r="BN372" i="2"/>
  <c r="Z373" i="2"/>
  <c r="Z409" i="2"/>
  <c r="BP410" i="2"/>
  <c r="BN429" i="2"/>
  <c r="BP429" i="2"/>
  <c r="Z441" i="2"/>
  <c r="BN441" i="2"/>
  <c r="BN442" i="2"/>
  <c r="Z449" i="2"/>
  <c r="BP465" i="2"/>
  <c r="Y493" i="2"/>
  <c r="Z497" i="2"/>
  <c r="Z498" i="2" s="1"/>
  <c r="BN515" i="2"/>
  <c r="BP105" i="2"/>
  <c r="BP106" i="2"/>
  <c r="BN107" i="2"/>
  <c r="BN119" i="2"/>
  <c r="BN160" i="2"/>
  <c r="BN195" i="2"/>
  <c r="BN215" i="2"/>
  <c r="BN282" i="2"/>
  <c r="BN314" i="2"/>
  <c r="BN326" i="2"/>
  <c r="BP409" i="2"/>
  <c r="Y412" i="2"/>
  <c r="BN492" i="2"/>
  <c r="BN517" i="2"/>
  <c r="BN530" i="2"/>
  <c r="BN511" i="2"/>
  <c r="BN510" i="2"/>
  <c r="Z405" i="2"/>
  <c r="BN405" i="2"/>
  <c r="Y400" i="2"/>
  <c r="Z383" i="2"/>
  <c r="BN383" i="2"/>
  <c r="BN379" i="2"/>
  <c r="BN289" i="2"/>
  <c r="BN115" i="2"/>
  <c r="BN99" i="2"/>
  <c r="Z64" i="2"/>
  <c r="Z60" i="2"/>
  <c r="Y61" i="2"/>
  <c r="BN30" i="2"/>
  <c r="B574" i="2"/>
  <c r="BN556" i="2"/>
  <c r="BN503" i="2"/>
  <c r="Z455" i="2"/>
  <c r="BP455" i="2"/>
  <c r="Z454" i="2"/>
  <c r="BN430" i="2"/>
  <c r="BN422" i="2"/>
  <c r="BN415" i="2"/>
  <c r="Z397" i="2"/>
  <c r="Z396" i="2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Z100" i="2" s="1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06" i="2" l="1"/>
  <c r="Z32" i="2"/>
  <c r="Z399" i="2"/>
  <c r="Z81" i="2"/>
  <c r="Z467" i="2"/>
  <c r="Z366" i="2"/>
  <c r="Z524" i="2"/>
  <c r="Z412" i="2"/>
  <c r="Z258" i="2"/>
  <c r="Z90" i="2"/>
  <c r="Z268" i="2"/>
  <c r="Z329" i="2"/>
  <c r="Z244" i="2"/>
  <c r="Z74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<sst xmlns="http://schemas.openxmlformats.org/spreadsheetml/2006/main" count="4373" uniqueCount="914">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</sst>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A521" zoomScaleNormal="100" zoomScaleSheetLayoutView="100" workbookViewId="0">
      <selection activeCell="AA570" sqref="AA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2</v>
      </c>
      <c r="Y24" s="43">
        <f>IFERROR(Y22/H22,"0")+IFERROR(Y23/H23,"0")</f>
        <v>2</v>
      </c>
      <c r="Z24" s="43">
        <f>IFERROR(IF(Z22="",0,Z22),"0")+IFERROR(IF(Z23="",0,Z23),"0")</f>
        <v>1.004E-2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3.8</v>
      </c>
      <c r="Y25" s="43">
        <f>IFERROR(SUM(Y22:Y23),"0")</f>
        <v>3.8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2</v>
      </c>
      <c r="Y32" s="43">
        <f>IFERROR(Y27/H27,"0")+IFERROR(Y28/H28,"0")+IFERROR(Y29/H29,"0")+IFERROR(Y30/H30,"0")+IFERROR(Y31/H31,"0")</f>
        <v>2</v>
      </c>
      <c r="Z32" s="43">
        <f>IFERROR(IF(Z27="",0,Z27),"0")+IFERROR(IF(Z28="",0,Z28),"0")+IFERROR(IF(Z29="",0,Z29),"0")+IFERROR(IF(Z30="",0,Z30),"0")+IFERROR(IF(Z31="",0,Z31),"0")</f>
        <v>1.302E-2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4.32</v>
      </c>
      <c r="Y33" s="43">
        <f>IFERROR(SUM(Y27:Y31),"0")</f>
        <v>4.32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/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20</v>
      </c>
      <c r="Z49" s="41">
        <f>IFERROR(IF(Y49=0,"",ROUNDUP(Y49/H49,0)*0.00902),"")</f>
        <v>4.5100000000000001E-2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20.950000000000003</v>
      </c>
      <c r="BN49" s="78">
        <f>IFERROR(Y49*I49/H49,"0")</f>
        <v>20.950000000000003</v>
      </c>
      <c r="BO49" s="78">
        <f>IFERROR(1/J49*(X49/H49),"0")</f>
        <v>3.787878787878788E-2</v>
      </c>
      <c r="BP49" s="78">
        <f>IFERROR(1/J49*(Y49/H49),"0")</f>
        <v>3.787878787878788E-2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5</v>
      </c>
      <c r="Y51" s="43">
        <f>IFERROR(Y47/H47,"0")+IFERROR(Y48/H48,"0")+IFERROR(Y49/H49,"0")+IFERROR(Y50/H50,"0")</f>
        <v>5</v>
      </c>
      <c r="Z51" s="43">
        <f>IFERROR(IF(Z47="",0,Z47),"0")+IFERROR(IF(Z48="",0,Z48),"0")+IFERROR(IF(Z49="",0,Z49),"0")+IFERROR(IF(Z50="",0,Z50),"0")</f>
        <v>4.5100000000000001E-2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20</v>
      </c>
      <c r="Y52" s="43">
        <f>IFERROR(SUM(Y47:Y50),"0")</f>
        <v>20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/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54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56.05</v>
      </c>
      <c r="BN56" s="78">
        <f t="shared" si="2"/>
        <v>56.05</v>
      </c>
      <c r="BO56" s="78">
        <f t="shared" si="3"/>
        <v>7.8125E-2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14.4</v>
      </c>
      <c r="Y57" s="55">
        <f t="shared" si="0"/>
        <v>14.399999999999999</v>
      </c>
      <c r="Z57" s="41">
        <f>IFERROR(IF(Y57=0,"",ROUNDUP(Y57/H57,0)*0.00902),"")</f>
        <v>2.7060000000000001E-2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14.970000000000002</v>
      </c>
      <c r="BN57" s="78">
        <f t="shared" si="2"/>
        <v>14.969999999999999</v>
      </c>
      <c r="BO57" s="78">
        <f t="shared" si="3"/>
        <v>2.2727272727272728E-2</v>
      </c>
      <c r="BP57" s="78">
        <f t="shared" si="4"/>
        <v>2.2727272727272728E-2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6.3</v>
      </c>
      <c r="Y59" s="55">
        <f t="shared" si="0"/>
        <v>6.3000000000000007</v>
      </c>
      <c r="Z59" s="41">
        <f>IFERROR(IF(Y59=0,"",ROUNDUP(Y59/H59,0)*0.00651),"")</f>
        <v>1.9529999999999999E-2</v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6.839999999999999</v>
      </c>
      <c r="BN59" s="78">
        <f t="shared" si="2"/>
        <v>6.84</v>
      </c>
      <c r="BO59" s="78">
        <f t="shared" si="3"/>
        <v>1.6483516483516484E-2</v>
      </c>
      <c r="BP59" s="78">
        <f t="shared" si="4"/>
        <v>1.6483516483516484E-2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16</v>
      </c>
      <c r="Y61" s="43">
        <f>IFERROR(Y55/H55,"0")+IFERROR(Y56/H56,"0")+IFERROR(Y57/H57,"0")+IFERROR(Y58/H58,"0")+IFERROR(Y59/H59,"0")+IFERROR(Y60/H60,"0")</f>
        <v>16</v>
      </c>
      <c r="Z61" s="43">
        <f>IFERROR(IF(Z55="",0,Z55),"0")+IFERROR(IF(Z56="",0,Z56),"0")+IFERROR(IF(Z57="",0,Z57),"0")+IFERROR(IF(Z58="",0,Z58),"0")+IFERROR(IF(Z59="",0,Z59),"0")+IFERROR(IF(Z60="",0,Z60),"0")</f>
        <v>0.18659000000000001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97.2</v>
      </c>
      <c r="Y62" s="43">
        <f>IFERROR(SUM(Y55:Y60),"0")</f>
        <v>97.2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129.6</v>
      </c>
      <c r="Y64" s="55">
        <f>IFERROR(IF(X64="",0,CEILING((X64/$H64),1)*$H64),"")</f>
        <v>129.60000000000002</v>
      </c>
      <c r="Z64" s="41">
        <f>IFERROR(IF(Y64=0,"",ROUNDUP(Y64/H64,0)*0.01898),"")</f>
        <v>0.22776000000000002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134.51999999999998</v>
      </c>
      <c r="BN64" s="78">
        <f>IFERROR(Y64*I64/H64,"0")</f>
        <v>134.52000000000001</v>
      </c>
      <c r="BO64" s="78">
        <f>IFERROR(1/J64*(X64/H64),"0")</f>
        <v>0.18749999999999997</v>
      </c>
      <c r="BP64" s="78">
        <f>IFERROR(1/J64*(Y64/H64),"0")</f>
        <v>0.18750000000000003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17</v>
      </c>
      <c r="Y68" s="43">
        <f>IFERROR(Y64/H64,"0")+IFERROR(Y65/H65,"0")+IFERROR(Y66/H66,"0")+IFERROR(Y67/H67,"0")</f>
        <v>17</v>
      </c>
      <c r="Z68" s="43">
        <f>IFERROR(IF(Z64="",0,Z64),"0")+IFERROR(IF(Z65="",0,Z65),"0")+IFERROR(IF(Z66="",0,Z66),"0")+IFERROR(IF(Z67="",0,Z67),"0")</f>
        <v>0.26031000000000004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143.1</v>
      </c>
      <c r="Y69" s="43">
        <f>IFERROR(SUM(Y64:Y67),"0")</f>
        <v>143.10000000000002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1.8</v>
      </c>
      <c r="Y72" s="55">
        <f>IFERROR(IF(X72="",0,CEILING((X72/$H72),1)*$H72),"")</f>
        <v>1.8</v>
      </c>
      <c r="Z72" s="41">
        <f>IFERROR(IF(Y72=0,"",ROUNDUP(Y72/H72,0)*0.00651),"")</f>
        <v>6.5100000000000002E-3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1.98</v>
      </c>
      <c r="BN72" s="78">
        <f>IFERROR(Y72*I72/H72,"0")</f>
        <v>1.98</v>
      </c>
      <c r="BO72" s="78">
        <f>IFERROR(1/J72*(X72/H72),"0")</f>
        <v>5.4945054945054949E-3</v>
      </c>
      <c r="BP72" s="78">
        <f>IFERROR(1/J72*(Y72/H72),"0")</f>
        <v>5.4945054945054949E-3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1</v>
      </c>
      <c r="Y74" s="43">
        <f>IFERROR(Y71/H71,"0")+IFERROR(Y72/H72,"0")+IFERROR(Y73/H73,"0")</f>
        <v>1</v>
      </c>
      <c r="Z74" s="43">
        <f>IFERROR(IF(Z71="",0,Z71),"0")+IFERROR(IF(Z72="",0,Z72),"0")+IFERROR(IF(Z73="",0,Z73),"0")</f>
        <v>6.5100000000000002E-3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1.8</v>
      </c>
      <c r="Y75" s="43">
        <f>IFERROR(SUM(Y71:Y73),"0")</f>
        <v>1.8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15.6</v>
      </c>
      <c r="Y77" s="55">
        <f>IFERROR(IF(X77="",0,CEILING((X77/$H77),1)*$H77),"")</f>
        <v>15.6</v>
      </c>
      <c r="Z77" s="41">
        <f>IFERROR(IF(Y77=0,"",ROUNDUP(Y77/H77,0)*0.01898),"")</f>
        <v>3.7960000000000001E-2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16.420000000000002</v>
      </c>
      <c r="BN77" s="78">
        <f>IFERROR(Y77*I77/H77,"0")</f>
        <v>16.420000000000002</v>
      </c>
      <c r="BO77" s="78">
        <f>IFERROR(1/J77*(X77/H77),"0")</f>
        <v>3.125E-2</v>
      </c>
      <c r="BP77" s="78">
        <f>IFERROR(1/J77*(Y77/H77),"0")</f>
        <v>3.125E-2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2</v>
      </c>
      <c r="Y81" s="43">
        <f>IFERROR(Y77/H77,"0")+IFERROR(Y78/H78,"0")+IFERROR(Y79/H79,"0")+IFERROR(Y80/H80,"0")</f>
        <v>2</v>
      </c>
      <c r="Z81" s="43">
        <f>IFERROR(IF(Z77="",0,Z77),"0")+IFERROR(IF(Z78="",0,Z78),"0")+IFERROR(IF(Z79="",0,Z79),"0")+IFERROR(IF(Z80="",0,Z80),"0")</f>
        <v>3.7960000000000001E-2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15.6</v>
      </c>
      <c r="Y82" s="43">
        <f>IFERROR(SUM(Y77:Y80),"0")</f>
        <v>15.6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/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40.5</v>
      </c>
      <c r="Y93" s="55">
        <f t="shared" ref="Y93:Y99" si="5">IFERROR(IF(X93="",0,CEILING((X93/$H93),1)*$H93),"")</f>
        <v>40.5</v>
      </c>
      <c r="Z93" s="41">
        <f>IFERROR(IF(Y93=0,"",ROUNDUP(Y93/H93,0)*0.01898),"")</f>
        <v>9.4899999999999998E-2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42.97</v>
      </c>
      <c r="BN93" s="78">
        <f t="shared" ref="BN93:BN99" si="7">IFERROR(Y93*I93/H93,"0")</f>
        <v>42.97</v>
      </c>
      <c r="BO93" s="78">
        <f t="shared" ref="BO93:BO99" si="8">IFERROR(1/J93*(X93/H93),"0")</f>
        <v>7.8125E-2</v>
      </c>
      <c r="BP93" s="78">
        <f t="shared" ref="BP93:BP99" si="9">IFERROR(1/J93*(Y93/H93),"0")</f>
        <v>7.8125E-2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/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5</v>
      </c>
      <c r="Y100" s="43">
        <f>IFERROR(Y93/H93,"0")+IFERROR(Y94/H94,"0")+IFERROR(Y95/H95,"0")+IFERROR(Y96/H96,"0")+IFERROR(Y97/H97,"0")+IFERROR(Y98/H98,"0")+IFERROR(Y99/H99,"0")</f>
        <v>5</v>
      </c>
      <c r="Z100" s="43">
        <f>IFERROR(IF(Z93="",0,Z93),"0")+IFERROR(IF(Z94="",0,Z94),"0")+IFERROR(IF(Z95="",0,Z95),"0")+IFERROR(IF(Z96="",0,Z96),"0")+IFERROR(IF(Z97="",0,Z97),"0")+IFERROR(IF(Z98="",0,Z98),"0")+IFERROR(IF(Z99="",0,Z99),"0")</f>
        <v>9.4899999999999998E-2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40.5</v>
      </c>
      <c r="Y101" s="43">
        <f>IFERROR(SUM(Y93:Y99),"0")</f>
        <v>40.5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54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56.05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7.8125E-2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/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/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</v>
      </c>
      <c r="Y112" s="43">
        <f>IFERROR(Y104/H104,"0")+IFERROR(Y105/H105,"0")+IFERROR(Y106/H106,"0")+IFERROR(Y107/H107,"0")+IFERROR(Y108/H108,"0")+IFERROR(Y109/H109,"0")+IFERROR(Y110/H110,"0")+IFERROR(Y111/H111,"0")</f>
        <v>5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9.4899999999999998E-2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54</v>
      </c>
      <c r="Y113" s="43">
        <f>IFERROR(SUM(Y104:Y111),"0")</f>
        <v>54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40.5</v>
      </c>
      <c r="Y123" s="55">
        <f t="shared" ref="Y123:Y130" si="15">IFERROR(IF(X123="",0,CEILING((X123/$H123),1)*$H123),"")</f>
        <v>40.5</v>
      </c>
      <c r="Z123" s="41">
        <f>IFERROR(IF(Y123=0,"",ROUNDUP(Y123/H123,0)*0.01898),"")</f>
        <v>9.4899999999999998E-2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42.94</v>
      </c>
      <c r="BN123" s="78">
        <f t="shared" ref="BN123:BN130" si="17">IFERROR(Y123*I123/H123,"0")</f>
        <v>42.94</v>
      </c>
      <c r="BO123" s="78">
        <f t="shared" ref="BO123:BO130" si="18">IFERROR(1/J123*(X123/H123),"0")</f>
        <v>7.8125E-2</v>
      </c>
      <c r="BP123" s="78">
        <f t="shared" ref="BP123:BP130" si="19">IFERROR(1/J123*(Y123/H123),"0")</f>
        <v>7.8125E-2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5</v>
      </c>
      <c r="Y131" s="43">
        <f>IFERROR(Y123/H123,"0")+IFERROR(Y124/H124,"0")+IFERROR(Y125/H125,"0")+IFERROR(Y126/H126,"0")+IFERROR(Y127/H127,"0")+IFERROR(Y128/H128,"0")+IFERROR(Y129/H129,"0")+IFERROR(Y130/H130,"0")</f>
        <v>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9.4899999999999998E-2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40.5</v>
      </c>
      <c r="Y132" s="43">
        <f>IFERROR(SUM(Y123:Y130),"0")</f>
        <v>40.5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/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/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30</v>
      </c>
      <c r="Y171" s="55">
        <f>IFERROR(IF(X171="",0,CEILING((X171/$H171),1)*$H171),"")</f>
        <v>30</v>
      </c>
      <c r="Z171" s="41">
        <f>IFERROR(IF(Y171=0,"",ROUNDUP(Y171/H171,0)*0.01196),"")</f>
        <v>5.9799999999999999E-2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31.75</v>
      </c>
      <c r="BN171" s="78">
        <f>IFERROR(Y171*I171/H171,"0")</f>
        <v>31.75</v>
      </c>
      <c r="BO171" s="78">
        <f>IFERROR(1/J171*(X171/H171),"0")</f>
        <v>4.807692307692308E-2</v>
      </c>
      <c r="BP171" s="78">
        <f>IFERROR(1/J171*(Y171/H171),"0")</f>
        <v>4.807692307692308E-2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5</v>
      </c>
      <c r="Y174" s="43">
        <f>IFERROR(Y171/H171,"0")+IFERROR(Y172/H172,"0")+IFERROR(Y173/H173,"0")</f>
        <v>5</v>
      </c>
      <c r="Z174" s="43">
        <f>IFERROR(IF(Z171="",0,Z171),"0")+IFERROR(IF(Z172="",0,Z172),"0")+IFERROR(IF(Z173="",0,Z173),"0")</f>
        <v>5.9799999999999999E-2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30</v>
      </c>
      <c r="Y175" s="43">
        <f>IFERROR(SUM(Y171:Y173),"0")</f>
        <v>30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24.5</v>
      </c>
      <c r="Y183" s="55">
        <f t="shared" si="27"/>
        <v>24.5</v>
      </c>
      <c r="Z183" s="41">
        <f t="shared" si="28"/>
        <v>6.3140000000000002E-2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26.355</v>
      </c>
      <c r="BN183" s="78">
        <f t="shared" si="30"/>
        <v>26.355</v>
      </c>
      <c r="BO183" s="78">
        <f t="shared" si="31"/>
        <v>5.3030303030303032E-2</v>
      </c>
      <c r="BP183" s="78">
        <f t="shared" si="32"/>
        <v>5.3030303030303032E-2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17.5</v>
      </c>
      <c r="Y184" s="55">
        <f t="shared" si="27"/>
        <v>17.5</v>
      </c>
      <c r="Z184" s="41">
        <f t="shared" si="28"/>
        <v>4.5100000000000001E-2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18.45</v>
      </c>
      <c r="BN184" s="78">
        <f t="shared" si="30"/>
        <v>18.45</v>
      </c>
      <c r="BO184" s="78">
        <f t="shared" si="31"/>
        <v>3.787878787878788E-2</v>
      </c>
      <c r="BP184" s="78">
        <f t="shared" si="32"/>
        <v>3.787878787878788E-2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35</v>
      </c>
      <c r="Y186" s="55">
        <f t="shared" si="27"/>
        <v>35</v>
      </c>
      <c r="Z186" s="41">
        <f t="shared" si="28"/>
        <v>9.0200000000000002E-2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36.9</v>
      </c>
      <c r="BN186" s="78">
        <f t="shared" si="30"/>
        <v>36.9</v>
      </c>
      <c r="BO186" s="78">
        <f t="shared" si="31"/>
        <v>7.575757575757576E-2</v>
      </c>
      <c r="BP186" s="78">
        <f t="shared" si="32"/>
        <v>7.575757575757576E-2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11.76</v>
      </c>
      <c r="Y190" s="55">
        <f t="shared" si="27"/>
        <v>11.76</v>
      </c>
      <c r="Z190" s="41">
        <f>IFERROR(IF(Y190=0,"",ROUNDUP(Y190/H190,0)*0.00502),"")</f>
        <v>3.5140000000000005E-2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12.46</v>
      </c>
      <c r="BN190" s="78">
        <f t="shared" si="30"/>
        <v>12.46</v>
      </c>
      <c r="BO190" s="78">
        <f t="shared" si="31"/>
        <v>2.9914529914529919E-2</v>
      </c>
      <c r="BP190" s="78">
        <f t="shared" si="32"/>
        <v>2.9914529914529919E-2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11.76</v>
      </c>
      <c r="Y192" s="55">
        <f t="shared" si="27"/>
        <v>11.76</v>
      </c>
      <c r="Z192" s="41">
        <f>IFERROR(IF(Y192=0,"",ROUNDUP(Y192/H192,0)*0.00502),"")</f>
        <v>3.5140000000000005E-2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12.46</v>
      </c>
      <c r="BN192" s="78">
        <f t="shared" si="30"/>
        <v>12.46</v>
      </c>
      <c r="BO192" s="78">
        <f t="shared" si="31"/>
        <v>2.9914529914529919E-2</v>
      </c>
      <c r="BP192" s="78">
        <f t="shared" si="32"/>
        <v>2.9914529914529919E-2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11.76</v>
      </c>
      <c r="Y195" s="55">
        <f t="shared" si="27"/>
        <v>11.76</v>
      </c>
      <c r="Z195" s="41">
        <f>IFERROR(IF(Y195=0,"",ROUNDUP(Y195/H195,0)*0.00502),"")</f>
        <v>3.5140000000000005E-2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12.46</v>
      </c>
      <c r="BN195" s="78">
        <f t="shared" si="30"/>
        <v>12.46</v>
      </c>
      <c r="BO195" s="78">
        <f t="shared" si="31"/>
        <v>2.9914529914529919E-2</v>
      </c>
      <c r="BP195" s="78">
        <f t="shared" si="32"/>
        <v>2.9914529914529919E-2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147.28</v>
      </c>
      <c r="Y197" s="43">
        <f>IFERROR(SUM(Y182:Y195),"0")</f>
        <v>147.28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9.9</v>
      </c>
      <c r="Y226" s="55">
        <f>IFERROR(IF(X226="",0,CEILING((X226/$H226),1)*$H226),"")</f>
        <v>9.9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10.400000000000002</v>
      </c>
      <c r="BN226" s="78">
        <f>IFERROR(Y226*I226/H226,"0")</f>
        <v>10.400000000000002</v>
      </c>
      <c r="BO226" s="78">
        <f>IFERROR(1/J226*(X226/H226),"0")</f>
        <v>2.1367521367521368E-2</v>
      </c>
      <c r="BP226" s="78">
        <f>IFERROR(1/J226*(Y226/H226),"0")</f>
        <v>2.1367521367521368E-2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5</v>
      </c>
      <c r="Y227" s="43">
        <f>IFERROR(Y226/H226,"0")</f>
        <v>5</v>
      </c>
      <c r="Z227" s="43">
        <f>IFERROR(IF(Z226="",0,Z226),"0")</f>
        <v>2.5100000000000001E-2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9.9</v>
      </c>
      <c r="Y228" s="43">
        <f>IFERROR(SUM(Y226:Y226),"0")</f>
        <v>9.9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29.4</v>
      </c>
      <c r="Y230" s="55">
        <f t="shared" ref="Y230:Y243" si="39">IFERROR(IF(X230="",0,CEILING((X230/$H230),1)*$H230),"")</f>
        <v>29.400000000000002</v>
      </c>
      <c r="Z230" s="41">
        <f>IFERROR(IF(Y230=0,"",ROUNDUP(Y230/H230,0)*0.00902),"")</f>
        <v>6.3140000000000002E-2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31.150000000000002</v>
      </c>
      <c r="BN230" s="78">
        <f t="shared" ref="BN230:BN243" si="41">IFERROR(Y230*I230/H230,"0")</f>
        <v>31.150000000000002</v>
      </c>
      <c r="BO230" s="78">
        <f t="shared" ref="BO230:BO243" si="42">IFERROR(1/J230*(X230/H230),"0")</f>
        <v>5.3030303030303025E-2</v>
      </c>
      <c r="BP230" s="78">
        <f t="shared" ref="BP230:BP243" si="43">IFERROR(1/J230*(Y230/H230),"0")</f>
        <v>5.3030303030303032E-2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21</v>
      </c>
      <c r="Y231" s="55">
        <f t="shared" si="39"/>
        <v>21</v>
      </c>
      <c r="Z231" s="41">
        <f>IFERROR(IF(Y231=0,"",ROUNDUP(Y231/H231,0)*0.00902),"")</f>
        <v>4.5100000000000001E-2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22.25</v>
      </c>
      <c r="BN231" s="78">
        <f t="shared" si="41"/>
        <v>22.25</v>
      </c>
      <c r="BO231" s="78">
        <f t="shared" si="42"/>
        <v>3.787878787878788E-2</v>
      </c>
      <c r="BP231" s="78">
        <f t="shared" si="43"/>
        <v>3.787878787878788E-2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29.4</v>
      </c>
      <c r="Y232" s="55">
        <f t="shared" si="39"/>
        <v>29.400000000000002</v>
      </c>
      <c r="Z232" s="41">
        <f>IFERROR(IF(Y232=0,"",ROUNDUP(Y232/H232,0)*0.00902),"")</f>
        <v>6.3140000000000002E-2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30.729999999999993</v>
      </c>
      <c r="BN232" s="78">
        <f t="shared" si="41"/>
        <v>30.73</v>
      </c>
      <c r="BO232" s="78">
        <f t="shared" si="42"/>
        <v>5.3030303030303025E-2</v>
      </c>
      <c r="BP232" s="78">
        <f t="shared" si="43"/>
        <v>5.3030303030303032E-2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9"/>
        <v>14.700000000000001</v>
      </c>
      <c r="Z234" s="41">
        <f t="shared" ref="Z234:Z239" si="44">IFERROR(IF(Y234=0,"",ROUNDUP(Y234/H234,0)*0.00502),"")</f>
        <v>3.5140000000000005E-2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15.61</v>
      </c>
      <c r="BN234" s="78">
        <f t="shared" si="41"/>
        <v>15.61</v>
      </c>
      <c r="BO234" s="78">
        <f t="shared" si="42"/>
        <v>2.9914529914529912E-2</v>
      </c>
      <c r="BP234" s="78">
        <f t="shared" si="43"/>
        <v>2.9914529914529919E-2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14.7</v>
      </c>
      <c r="Y236" s="55">
        <f t="shared" si="39"/>
        <v>14.700000000000001</v>
      </c>
      <c r="Z236" s="41">
        <f t="shared" si="44"/>
        <v>3.5140000000000005E-2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15.61</v>
      </c>
      <c r="BN236" s="78">
        <f t="shared" si="41"/>
        <v>15.61</v>
      </c>
      <c r="BO236" s="78">
        <f t="shared" si="42"/>
        <v>2.9914529914529912E-2</v>
      </c>
      <c r="BP236" s="78">
        <f t="shared" si="43"/>
        <v>2.9914529914529919E-2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/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14.7</v>
      </c>
      <c r="Y238" s="55">
        <f t="shared" si="39"/>
        <v>14.700000000000001</v>
      </c>
      <c r="Z238" s="41">
        <f t="shared" si="44"/>
        <v>3.5140000000000005E-2</v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15.4</v>
      </c>
      <c r="BN238" s="78">
        <f t="shared" si="41"/>
        <v>15.4</v>
      </c>
      <c r="BO238" s="78">
        <f t="shared" si="42"/>
        <v>2.9914529914529912E-2</v>
      </c>
      <c r="BP238" s="78">
        <f t="shared" si="43"/>
        <v>2.9914529914529919E-2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12.6</v>
      </c>
      <c r="Y239" s="55">
        <f t="shared" si="39"/>
        <v>12.6</v>
      </c>
      <c r="Z239" s="41">
        <f t="shared" si="44"/>
        <v>3.5140000000000005E-2</v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13.509999999999998</v>
      </c>
      <c r="BN239" s="78">
        <f t="shared" si="41"/>
        <v>13.509999999999998</v>
      </c>
      <c r="BO239" s="78">
        <f t="shared" si="42"/>
        <v>2.9914529914529919E-2</v>
      </c>
      <c r="BP239" s="78">
        <f t="shared" si="43"/>
        <v>2.9914529914529919E-2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14.7</v>
      </c>
      <c r="Y241" s="55">
        <f t="shared" si="39"/>
        <v>14.700000000000001</v>
      </c>
      <c r="Z241" s="41">
        <f>IFERROR(IF(Y241=0,"",ROUNDUP(Y241/H241,0)*0.00502),"")</f>
        <v>3.5140000000000005E-2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15.4</v>
      </c>
      <c r="BN241" s="78">
        <f t="shared" si="41"/>
        <v>15.4</v>
      </c>
      <c r="BO241" s="78">
        <f t="shared" si="42"/>
        <v>2.9914529914529912E-2</v>
      </c>
      <c r="BP241" s="78">
        <f t="shared" si="43"/>
        <v>2.9914529914529919E-2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151.19999999999999</v>
      </c>
      <c r="Y245" s="43">
        <f>IFERROR(SUM(Y230:Y243),"0")</f>
        <v>151.20000000000002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9.6</v>
      </c>
      <c r="Y248" s="55">
        <f>IFERROR(IF(X248="",0,CEILING((X248/$H248),1)*$H248),"")</f>
        <v>9.6</v>
      </c>
      <c r="Z248" s="41">
        <f>IFERROR(IF(Y248=0,"",ROUNDUP(Y248/H248,0)*0.01196),"")</f>
        <v>2.392E-2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10.444000000000001</v>
      </c>
      <c r="BN248" s="78">
        <f>IFERROR(Y248*I248/H248,"0")</f>
        <v>10.444000000000001</v>
      </c>
      <c r="BO248" s="78">
        <f>IFERROR(1/J248*(X248/H248),"0")</f>
        <v>1.9230769230769232E-2</v>
      </c>
      <c r="BP248" s="78">
        <f>IFERROR(1/J248*(Y248/H248),"0")</f>
        <v>1.9230769230769232E-2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/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/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2</v>
      </c>
      <c r="Y252" s="43">
        <f>IFERROR(Y247/H247,"0")+IFERROR(Y248/H248,"0")+IFERROR(Y249/H249,"0")+IFERROR(Y250/H250,"0")+IFERROR(Y251/H251,"0")</f>
        <v>2</v>
      </c>
      <c r="Z252" s="43">
        <f>IFERROR(IF(Z247="",0,Z247),"0")+IFERROR(IF(Z248="",0,Z248),"0")+IFERROR(IF(Z249="",0,Z249),"0")+IFERROR(IF(Z250="",0,Z250),"0")+IFERROR(IF(Z251="",0,Z251),"0")</f>
        <v>2.392E-2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9.6</v>
      </c>
      <c r="Y253" s="43">
        <f>IFERROR(SUM(Y247:Y251),"0")</f>
        <v>9.6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27</v>
      </c>
      <c r="Y276" s="55">
        <f t="shared" ref="Y276:Y283" si="45">IFERROR(IF(X276="",0,CEILING((X276/$H276),1)*$H276),"")</f>
        <v>27</v>
      </c>
      <c r="Z276" s="41">
        <f>IFERROR(IF(Y276=0,"",ROUNDUP(Y276/H276,0)*0.00902),"")</f>
        <v>4.5100000000000001E-2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27.95</v>
      </c>
      <c r="BN276" s="78">
        <f t="shared" ref="BN276:BN283" si="47">IFERROR(Y276*I276/H276,"0")</f>
        <v>27.95</v>
      </c>
      <c r="BO276" s="78">
        <f t="shared" ref="BO276:BO283" si="48">IFERROR(1/J276*(X276/H276),"0")</f>
        <v>3.787878787878788E-2</v>
      </c>
      <c r="BP276" s="78">
        <f t="shared" ref="BP276:BP283" si="49">IFERROR(1/J276*(Y276/H276),"0")</f>
        <v>3.787878787878788E-2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27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27.95</v>
      </c>
      <c r="BN277" s="78">
        <f t="shared" si="47"/>
        <v>27.95</v>
      </c>
      <c r="BO277" s="78">
        <f t="shared" si="48"/>
        <v>3.787878787878788E-2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27</v>
      </c>
      <c r="Y278" s="55">
        <f t="shared" si="45"/>
        <v>27</v>
      </c>
      <c r="Z278" s="41">
        <f>IFERROR(IF(Y278=0,"",ROUNDUP(Y278/H278,0)*0.00902),"")</f>
        <v>4.5100000000000001E-2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27.95</v>
      </c>
      <c r="BN278" s="78">
        <f t="shared" si="47"/>
        <v>27.95</v>
      </c>
      <c r="BO278" s="78">
        <f t="shared" si="48"/>
        <v>3.787878787878788E-2</v>
      </c>
      <c r="BP278" s="78">
        <f t="shared" si="49"/>
        <v>3.787878787878788E-2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27</v>
      </c>
      <c r="Y279" s="55">
        <f t="shared" si="45"/>
        <v>27</v>
      </c>
      <c r="Z279" s="41">
        <f>IFERROR(IF(Y279=0,"",ROUNDUP(Y279/H279,0)*0.00902),"")</f>
        <v>4.5100000000000001E-2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27.95</v>
      </c>
      <c r="BN279" s="78">
        <f t="shared" si="47"/>
        <v>27.95</v>
      </c>
      <c r="BO279" s="78">
        <f t="shared" si="48"/>
        <v>3.787878787878788E-2</v>
      </c>
      <c r="BP279" s="78">
        <f t="shared" si="49"/>
        <v>3.787878787878788E-2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12.6</v>
      </c>
      <c r="Y280" s="55">
        <f t="shared" si="45"/>
        <v>12.6</v>
      </c>
      <c r="Z280" s="41">
        <f>IFERROR(IF(Y280=0,"",ROUNDUP(Y280/H280,0)*0.00502),"")</f>
        <v>3.5140000000000005E-2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13.509999999999998</v>
      </c>
      <c r="BN280" s="78">
        <f t="shared" si="47"/>
        <v>13.509999999999998</v>
      </c>
      <c r="BO280" s="78">
        <f t="shared" si="48"/>
        <v>2.9914529914529919E-2</v>
      </c>
      <c r="BP280" s="78">
        <f t="shared" si="49"/>
        <v>2.9914529914529919E-2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12.6</v>
      </c>
      <c r="Y281" s="55">
        <f t="shared" si="45"/>
        <v>12.6</v>
      </c>
      <c r="Z281" s="41">
        <f>IFERROR(IF(Y281=0,"",ROUNDUP(Y281/H281,0)*0.00502),"")</f>
        <v>3.5140000000000005E-2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13.299999999999999</v>
      </c>
      <c r="BN281" s="78">
        <f t="shared" si="47"/>
        <v>13.299999999999999</v>
      </c>
      <c r="BO281" s="78">
        <f t="shared" si="48"/>
        <v>2.9914529914529919E-2</v>
      </c>
      <c r="BP281" s="78">
        <f t="shared" si="49"/>
        <v>2.9914529914529919E-2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12.6</v>
      </c>
      <c r="Y282" s="55">
        <f t="shared" si="45"/>
        <v>12.6</v>
      </c>
      <c r="Z282" s="41">
        <f>IFERROR(IF(Y282=0,"",ROUNDUP(Y282/H282,0)*0.00502),"")</f>
        <v>3.5140000000000005E-2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13.299999999999999</v>
      </c>
      <c r="BN282" s="78">
        <f t="shared" si="47"/>
        <v>13.299999999999999</v>
      </c>
      <c r="BO282" s="78">
        <f t="shared" si="48"/>
        <v>2.9914529914529919E-2</v>
      </c>
      <c r="BP282" s="78">
        <f t="shared" si="49"/>
        <v>2.9914529914529919E-2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12.6</v>
      </c>
      <c r="Y283" s="55">
        <f t="shared" si="45"/>
        <v>12.6</v>
      </c>
      <c r="Z283" s="41">
        <f>IFERROR(IF(Y283=0,"",ROUNDUP(Y283/H283,0)*0.00502),"")</f>
        <v>3.5140000000000005E-2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13.299999999999999</v>
      </c>
      <c r="BN283" s="78">
        <f t="shared" si="47"/>
        <v>13.299999999999999</v>
      </c>
      <c r="BO283" s="78">
        <f t="shared" si="48"/>
        <v>2.9914529914529919E-2</v>
      </c>
      <c r="BP283" s="78">
        <f t="shared" si="49"/>
        <v>2.9914529914529919E-2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158.39999999999998</v>
      </c>
      <c r="Y285" s="43">
        <f>IFERROR(SUM(Y276:Y283),"0")</f>
        <v>158.39999999999998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24.3</v>
      </c>
      <c r="Y288" s="55">
        <f t="shared" si="50"/>
        <v>24.299999999999997</v>
      </c>
      <c r="Z288" s="41">
        <f>IFERROR(IF(Y288=0,"",ROUNDUP(Y288/H288,0)*0.01898),"")</f>
        <v>5.6940000000000004E-2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25.728000000000002</v>
      </c>
      <c r="BN288" s="78">
        <f t="shared" si="52"/>
        <v>25.727999999999998</v>
      </c>
      <c r="BO288" s="78">
        <f t="shared" si="53"/>
        <v>4.6875E-2</v>
      </c>
      <c r="BP288" s="78">
        <f t="shared" si="54"/>
        <v>4.6875E-2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/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/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/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/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/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5.6940000000000004E-2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24.3</v>
      </c>
      <c r="Y300" s="43">
        <f>IFERROR(SUM(Y287:Y298),"0")</f>
        <v>24.299999999999997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54</v>
      </c>
      <c r="Y333" s="55">
        <f>IFERROR(IF(X333="",0,CEILING((X333/$H333),1)*$H333),"")</f>
        <v>54</v>
      </c>
      <c r="Z333" s="41">
        <f>IFERROR(IF(Y333=0,"",ROUNDUP(Y333/H333,0)*0.01898),"")</f>
        <v>9.4899999999999998E-2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56.05</v>
      </c>
      <c r="BN333" s="78">
        <f>IFERROR(Y333*I333/H333,"0")</f>
        <v>56.05</v>
      </c>
      <c r="BO333" s="78">
        <f>IFERROR(1/J333*(X333/H333),"0")</f>
        <v>7.8125E-2</v>
      </c>
      <c r="BP333" s="78">
        <f>IFERROR(1/J333*(Y333/H333),"0")</f>
        <v>7.8125E-2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54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56.05</v>
      </c>
      <c r="BN335" s="78">
        <f>IFERROR(Y335*I335/H335,"0")</f>
        <v>56.05</v>
      </c>
      <c r="BO335" s="78">
        <f>IFERROR(1/J335*(X335/H335),"0")</f>
        <v>7.8125E-2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12</v>
      </c>
      <c r="Y336" s="55">
        <f>IFERROR(IF(X336="",0,CEILING((X336/$H336),1)*$H336),"")</f>
        <v>12</v>
      </c>
      <c r="Z336" s="41">
        <f>IFERROR(IF(Y336=0,"",ROUNDUP(Y336/H336,0)*0.00902),"")</f>
        <v>2.7060000000000001E-2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12.57</v>
      </c>
      <c r="BN336" s="78">
        <f>IFERROR(Y336*I336/H336,"0")</f>
        <v>12.57</v>
      </c>
      <c r="BO336" s="78">
        <f>IFERROR(1/J336*(X336/H336),"0")</f>
        <v>2.2727272727272728E-2</v>
      </c>
      <c r="BP336" s="78">
        <f>IFERROR(1/J336*(Y336/H336),"0")</f>
        <v>2.2727272727272728E-2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12</v>
      </c>
      <c r="Y337" s="55">
        <f>IFERROR(IF(X337="",0,CEILING((X337/$H337),1)*$H337),"")</f>
        <v>12</v>
      </c>
      <c r="Z337" s="41">
        <f>IFERROR(IF(Y337=0,"",ROUNDUP(Y337/H337,0)*0.00902),"")</f>
        <v>2.7060000000000001E-2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12.57</v>
      </c>
      <c r="BN337" s="78">
        <f>IFERROR(Y337*I337/H337,"0")</f>
        <v>12.57</v>
      </c>
      <c r="BO337" s="78">
        <f>IFERROR(1/J337*(X337/H337),"0")</f>
        <v>2.2727272727272728E-2</v>
      </c>
      <c r="BP337" s="78">
        <f>IFERROR(1/J337*(Y337/H337),"0")</f>
        <v>2.2727272727272728E-2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16</v>
      </c>
      <c r="Y338" s="43">
        <f>IFERROR(Y333/H333,"0")+IFERROR(Y334/H334,"0")+IFERROR(Y335/H335,"0")+IFERROR(Y336/H336,"0")+IFERROR(Y337/H337,"0")</f>
        <v>16</v>
      </c>
      <c r="Z338" s="43">
        <f>IFERROR(IF(Z333="",0,Z333),"0")+IFERROR(IF(Z334="",0,Z334),"0")+IFERROR(IF(Z335="",0,Z335),"0")+IFERROR(IF(Z336="",0,Z336),"0")+IFERROR(IF(Z337="",0,Z337),"0")</f>
        <v>0.24392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132</v>
      </c>
      <c r="Y339" s="43">
        <f>IFERROR(SUM(Y333:Y337),"0")</f>
        <v>132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7.2</v>
      </c>
      <c r="Y343" s="55">
        <f>IFERROR(IF(X343="",0,CEILING((X343/$H343),1)*$H343),"")</f>
        <v>7.1999999999999993</v>
      </c>
      <c r="Z343" s="41">
        <f>IFERROR(IF(Y343=0,"",ROUNDUP(Y343/H343,0)*0.00651),"")</f>
        <v>1.9529999999999999E-2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7.9560000000000004</v>
      </c>
      <c r="BN343" s="78">
        <f>IFERROR(Y343*I343/H343,"0")</f>
        <v>7.9560000000000004</v>
      </c>
      <c r="BO343" s="78">
        <f>IFERROR(1/J343*(X343/H343),"0")</f>
        <v>1.6483516483516484E-2</v>
      </c>
      <c r="BP343" s="78">
        <f>IFERROR(1/J343*(Y343/H343),"0")</f>
        <v>1.6483516483516484E-2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7.2</v>
      </c>
      <c r="Y344" s="55">
        <f>IFERROR(IF(X344="",0,CEILING((X344/$H344),1)*$H344),"")</f>
        <v>7.1999999999999993</v>
      </c>
      <c r="Z344" s="41">
        <f>IFERROR(IF(Y344=0,"",ROUNDUP(Y344/H344,0)*0.00651),"")</f>
        <v>1.9529999999999999E-2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7.74</v>
      </c>
      <c r="BN344" s="78">
        <f>IFERROR(Y344*I344/H344,"0")</f>
        <v>7.7399999999999993</v>
      </c>
      <c r="BO344" s="78">
        <f>IFERROR(1/J344*(X344/H344),"0")</f>
        <v>1.6483516483516484E-2</v>
      </c>
      <c r="BP344" s="78">
        <f>IFERROR(1/J344*(Y344/H344),"0")</f>
        <v>1.6483516483516484E-2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6</v>
      </c>
      <c r="Y345" s="43">
        <f>IFERROR(Y342/H342,"0")+IFERROR(Y343/H343,"0")+IFERROR(Y344/H344,"0")</f>
        <v>6</v>
      </c>
      <c r="Z345" s="43">
        <f>IFERROR(IF(Z342="",0,Z342),"0")+IFERROR(IF(Z343="",0,Z343),"0")+IFERROR(IF(Z344="",0,Z344),"0")</f>
        <v>3.9059999999999997E-2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14.4</v>
      </c>
      <c r="Y346" s="43">
        <f>IFERROR(SUM(Y342:Y344),"0")</f>
        <v>14.399999999999999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14.7</v>
      </c>
      <c r="Y349" s="55">
        <f>IFERROR(IF(X349="",0,CEILING((X349/$H349),1)*$H349),"")</f>
        <v>14.700000000000001</v>
      </c>
      <c r="Z349" s="41">
        <f>IFERROR(IF(Y349=0,"",ROUNDUP(Y349/H349,0)*0.00502),"")</f>
        <v>3.5140000000000005E-2</v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15.61</v>
      </c>
      <c r="BN349" s="78">
        <f>IFERROR(Y349*I349/H349,"0")</f>
        <v>15.61</v>
      </c>
      <c r="BO349" s="78">
        <f>IFERROR(1/J349*(X349/H349),"0")</f>
        <v>2.9914529914529912E-2</v>
      </c>
      <c r="BP349" s="78">
        <f>IFERROR(1/J349*(Y349/H349),"0")</f>
        <v>2.9914529914529919E-2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11.75</v>
      </c>
      <c r="Y350" s="55">
        <f>IFERROR(IF(X350="",0,CEILING((X350/$H350),1)*$H350),"")</f>
        <v>13.919999999999998</v>
      </c>
      <c r="Z350" s="41">
        <f>IFERROR(IF(Y350=0,"",ROUNDUP(Y350/H350,0)*0.00502),"")</f>
        <v>3.0120000000000001E-2</v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12.256465517241379</v>
      </c>
      <c r="BN350" s="78">
        <f>IFERROR(Y350*I350/H350,"0")</f>
        <v>14.519999999999998</v>
      </c>
      <c r="BO350" s="78">
        <f>IFERROR(1/J350*(X350/H350),"0")</f>
        <v>2.1643825523135873E-2</v>
      </c>
      <c r="BP350" s="78">
        <f>IFERROR(1/J350*(Y350/H350),"0")</f>
        <v>2.5641025641025644E-2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16.8</v>
      </c>
      <c r="Y351" s="55">
        <f>IFERROR(IF(X351="",0,CEILING((X351/$H351),1)*$H351),"")</f>
        <v>16.8</v>
      </c>
      <c r="Z351" s="41">
        <f>IFERROR(IF(Y351=0,"",ROUNDUP(Y351/H351,0)*0.00502),"")</f>
        <v>5.0200000000000002E-2</v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17.800000000000004</v>
      </c>
      <c r="BN351" s="78">
        <f>IFERROR(Y351*I351/H351,"0")</f>
        <v>17.800000000000004</v>
      </c>
      <c r="BO351" s="78">
        <f>IFERROR(1/J351*(X351/H351),"0")</f>
        <v>4.2735042735042736E-2</v>
      </c>
      <c r="BP351" s="78">
        <f>IFERROR(1/J351*(Y351/H351),"0")</f>
        <v>4.2735042735042736E-2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12</v>
      </c>
      <c r="Y352" s="55">
        <f>IFERROR(IF(X352="",0,CEILING((X352/$H352),1)*$H352),"")</f>
        <v>12</v>
      </c>
      <c r="Z352" s="41">
        <f>IFERROR(IF(Y352=0,"",ROUNDUP(Y352/H352,0)*0.00651),"")</f>
        <v>3.2550000000000003E-2</v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12.9</v>
      </c>
      <c r="BN352" s="78">
        <f>IFERROR(Y352*I352/H352,"0")</f>
        <v>12.9</v>
      </c>
      <c r="BO352" s="78">
        <f>IFERROR(1/J352*(X352/H352),"0")</f>
        <v>2.7472527472527476E-2</v>
      </c>
      <c r="BP352" s="78">
        <f>IFERROR(1/J352*(Y352/H352),"0")</f>
        <v>2.7472527472527476E-2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27.064655172413794</v>
      </c>
      <c r="Y354" s="43">
        <f>IFERROR(Y349/H349,"0")+IFERROR(Y350/H350,"0")+IFERROR(Y351/H351,"0")+IFERROR(Y352/H352,"0")+IFERROR(Y353/H353,"0")</f>
        <v>28</v>
      </c>
      <c r="Z354" s="43">
        <f>IFERROR(IF(Z349="",0,Z349),"0")+IFERROR(IF(Z350="",0,Z350),"0")+IFERROR(IF(Z351="",0,Z351),"0")+IFERROR(IF(Z352="",0,Z352),"0")+IFERROR(IF(Z353="",0,Z353),"0")</f>
        <v>0.14801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55.25</v>
      </c>
      <c r="Y355" s="43">
        <f>IFERROR(SUM(Y349:Y353),"0")</f>
        <v>57.42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108</v>
      </c>
      <c r="Y370" s="55">
        <f t="shared" ref="Y370:Y375" si="60">IFERROR(IF(X370="",0,CEILING((X370/$H370),1)*$H370),"")</f>
        <v>108</v>
      </c>
      <c r="Z370" s="41">
        <f>IFERROR(IF(Y370=0,"",ROUNDUP(Y370/H370,0)*0.01898),"")</f>
        <v>0.1898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112.1</v>
      </c>
      <c r="BN370" s="78">
        <f t="shared" ref="BN370:BN375" si="62">IFERROR(Y370*I370/H370,"0")</f>
        <v>112.1</v>
      </c>
      <c r="BO370" s="78">
        <f t="shared" ref="BO370:BO375" si="63">IFERROR(1/J370*(X370/H370),"0")</f>
        <v>0.15625</v>
      </c>
      <c r="BP370" s="78">
        <f t="shared" ref="BP370:BP375" si="64">IFERROR(1/J370*(Y370/H370),"0")</f>
        <v>0.15625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108</v>
      </c>
      <c r="Y371" s="55">
        <f t="shared" si="60"/>
        <v>108</v>
      </c>
      <c r="Z371" s="41">
        <f>IFERROR(IF(Y371=0,"",ROUNDUP(Y371/H371,0)*0.01898),"")</f>
        <v>0.1898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112.1</v>
      </c>
      <c r="BN371" s="78">
        <f t="shared" si="62"/>
        <v>112.1</v>
      </c>
      <c r="BO371" s="78">
        <f t="shared" si="63"/>
        <v>0.15625</v>
      </c>
      <c r="BP371" s="78">
        <f t="shared" si="64"/>
        <v>0.15625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20</v>
      </c>
      <c r="Y374" s="55">
        <f t="shared" si="60"/>
        <v>20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20.950000000000003</v>
      </c>
      <c r="BN374" s="78">
        <f t="shared" si="62"/>
        <v>20.950000000000003</v>
      </c>
      <c r="BO374" s="78">
        <f t="shared" si="63"/>
        <v>3.787878787878788E-2</v>
      </c>
      <c r="BP374" s="78">
        <f t="shared" si="64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20</v>
      </c>
      <c r="Y375" s="55">
        <f t="shared" si="60"/>
        <v>20</v>
      </c>
      <c r="Z375" s="41">
        <f>IFERROR(IF(Y375=0,"",ROUNDUP(Y375/H375,0)*0.00902),"")</f>
        <v>4.5100000000000001E-2</v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20.950000000000003</v>
      </c>
      <c r="BN375" s="78">
        <f t="shared" si="62"/>
        <v>20.950000000000003</v>
      </c>
      <c r="BO375" s="78">
        <f t="shared" si="63"/>
        <v>3.787878787878788E-2</v>
      </c>
      <c r="BP375" s="78">
        <f t="shared" si="64"/>
        <v>3.787878787878788E-2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30</v>
      </c>
      <c r="Y376" s="43">
        <f>IFERROR(Y370/H370,"0")+IFERROR(Y371/H371,"0")+IFERROR(Y372/H372,"0")+IFERROR(Y373/H373,"0")+IFERROR(Y374/H374,"0")+IFERROR(Y375/H375,"0")</f>
        <v>30</v>
      </c>
      <c r="Z376" s="43">
        <f>IFERROR(IF(Z370="",0,Z370),"0")+IFERROR(IF(Z371="",0,Z371),"0")+IFERROR(IF(Z372="",0,Z372),"0")+IFERROR(IF(Z373="",0,Z373),"0")+IFERROR(IF(Z374="",0,Z374),"0")+IFERROR(IF(Z375="",0,Z375),"0")</f>
        <v>0.4698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256</v>
      </c>
      <c r="Y377" s="43">
        <f>IFERROR(SUM(Y370:Y375),"0")</f>
        <v>256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168</v>
      </c>
      <c r="Y379" s="55">
        <f t="shared" ref="Y379:Y385" si="65">IFERROR(IF(X379="",0,CEILING((X379/$H379),1)*$H379),"")</f>
        <v>168</v>
      </c>
      <c r="Z379" s="41">
        <f>IFERROR(IF(Y379=0,"",ROUNDUP(Y379/H379,0)*0.00902),"")</f>
        <v>0.36080000000000001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178</v>
      </c>
      <c r="BN379" s="78">
        <f t="shared" ref="BN379:BN385" si="67">IFERROR(Y379*I379/H379,"0")</f>
        <v>178</v>
      </c>
      <c r="BO379" s="78">
        <f t="shared" ref="BO379:BO385" si="68">IFERROR(1/J379*(X379/H379),"0")</f>
        <v>0.30303030303030304</v>
      </c>
      <c r="BP379" s="78">
        <f t="shared" ref="BP379:BP385" si="69">IFERROR(1/J379*(Y379/H379),"0")</f>
        <v>0.30303030303030304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84</v>
      </c>
      <c r="Y380" s="55">
        <f t="shared" si="65"/>
        <v>84</v>
      </c>
      <c r="Z380" s="41">
        <f>IFERROR(IF(Y380=0,"",ROUNDUP(Y380/H380,0)*0.00902),"")</f>
        <v>0.1804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89</v>
      </c>
      <c r="BN380" s="78">
        <f t="shared" si="67"/>
        <v>89</v>
      </c>
      <c r="BO380" s="78">
        <f t="shared" si="68"/>
        <v>0.15151515151515152</v>
      </c>
      <c r="BP380" s="78">
        <f t="shared" si="69"/>
        <v>0.15151515151515152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43.8</v>
      </c>
      <c r="Y381" s="55">
        <f t="shared" si="65"/>
        <v>43.8</v>
      </c>
      <c r="Z381" s="41">
        <f>IFERROR(IF(Y381=0,"",ROUNDUP(Y381/H381,0)*0.00902),"")</f>
        <v>9.0200000000000002E-2</v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46.3</v>
      </c>
      <c r="BN381" s="78">
        <f t="shared" si="67"/>
        <v>46.3</v>
      </c>
      <c r="BO381" s="78">
        <f t="shared" si="68"/>
        <v>7.575757575757576E-2</v>
      </c>
      <c r="BP381" s="78">
        <f t="shared" si="69"/>
        <v>7.575757575757576E-2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21</v>
      </c>
      <c r="Y382" s="55">
        <f t="shared" si="65"/>
        <v>21</v>
      </c>
      <c r="Z382" s="41">
        <f>IFERROR(IF(Y382=0,"",ROUNDUP(Y382/H382,0)*0.00502),"")</f>
        <v>5.0200000000000002E-2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22.299999999999997</v>
      </c>
      <c r="BN382" s="78">
        <f t="shared" si="67"/>
        <v>22.299999999999997</v>
      </c>
      <c r="BO382" s="78">
        <f t="shared" si="68"/>
        <v>4.2735042735042736E-2</v>
      </c>
      <c r="BP382" s="78">
        <f t="shared" si="69"/>
        <v>4.2735042735042736E-2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21</v>
      </c>
      <c r="Y383" s="55">
        <f t="shared" si="65"/>
        <v>21</v>
      </c>
      <c r="Z383" s="41">
        <f>IFERROR(IF(Y383=0,"",ROUNDUP(Y383/H383,0)*0.00502),"")</f>
        <v>5.0200000000000002E-2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22</v>
      </c>
      <c r="BN383" s="78">
        <f t="shared" si="67"/>
        <v>22</v>
      </c>
      <c r="BO383" s="78">
        <f t="shared" si="68"/>
        <v>4.2735042735042736E-2</v>
      </c>
      <c r="BP383" s="78">
        <f t="shared" si="69"/>
        <v>4.2735042735042736E-2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90</v>
      </c>
      <c r="Y386" s="43">
        <f>IFERROR(Y379/H379,"0")+IFERROR(Y380/H380,"0")+IFERROR(Y381/H381,"0")+IFERROR(Y382/H382,"0")+IFERROR(Y383/H383,"0")+IFERROR(Y384/H384,"0")+IFERROR(Y385/H385,"0")</f>
        <v>90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0.73180000000000001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337.8</v>
      </c>
      <c r="Y387" s="43">
        <f>IFERROR(SUM(Y379:Y385),"0")</f>
        <v>337.8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1200</v>
      </c>
      <c r="Y389" s="55">
        <f>IFERROR(IF(X389="",0,CEILING((X389/$H389),1)*$H389),"")</f>
        <v>1201.2</v>
      </c>
      <c r="Z389" s="41">
        <f>IFERROR(IF(Y389=0,"",ROUNDUP(Y389/H389,0)*0.01898),"")</f>
        <v>2.92292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1275.0769230769231</v>
      </c>
      <c r="BN389" s="78">
        <f>IFERROR(Y389*I389/H389,"0")</f>
        <v>1276.3520000000001</v>
      </c>
      <c r="BO389" s="78">
        <f>IFERROR(1/J389*(X389/H389),"0")</f>
        <v>2.4038461538461537</v>
      </c>
      <c r="BP389" s="78">
        <f>IFERROR(1/J389*(Y389/H389),"0")</f>
        <v>2.40625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/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30</v>
      </c>
      <c r="Y392" s="55">
        <f>IFERROR(IF(X392="",0,CEILING((X392/$H392),1)*$H392),"")</f>
        <v>30</v>
      </c>
      <c r="Z392" s="41">
        <f>IFERROR(IF(Y392=0,"",ROUNDUP(Y392/H392,0)*0.00651),"")</f>
        <v>6.5100000000000005E-2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32.46</v>
      </c>
      <c r="BN392" s="78">
        <f>IFERROR(Y392*I392/H392,"0")</f>
        <v>32.46</v>
      </c>
      <c r="BO392" s="78">
        <f>IFERROR(1/J392*(X392/H392),"0")</f>
        <v>5.4945054945054951E-2</v>
      </c>
      <c r="BP392" s="78">
        <f>IFERROR(1/J392*(Y392/H392),"0")</f>
        <v>5.4945054945054951E-2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163.84615384615384</v>
      </c>
      <c r="Y393" s="43">
        <f>IFERROR(Y389/H389,"0")+IFERROR(Y390/H390,"0")+IFERROR(Y391/H391,"0")+IFERROR(Y392/H392,"0")</f>
        <v>164</v>
      </c>
      <c r="Z393" s="43">
        <f>IFERROR(IF(Z389="",0,Z389),"0")+IFERROR(IF(Z390="",0,Z390),"0")+IFERROR(IF(Z391="",0,Z391),"0")+IFERROR(IF(Z392="",0,Z392),"0")</f>
        <v>2.9880200000000001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1230</v>
      </c>
      <c r="Y394" s="43">
        <f>IFERROR(SUM(Y389:Y392),"0")</f>
        <v>1231.2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/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15.6</v>
      </c>
      <c r="Y397" s="55">
        <f>IFERROR(IF(X397="",0,CEILING((X397/$H397),1)*$H397),"")</f>
        <v>15.6</v>
      </c>
      <c r="Z397" s="41">
        <f>IFERROR(IF(Y397=0,"",ROUNDUP(Y397/H397,0)*0.01898),"")</f>
        <v>3.7960000000000001E-2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16.588000000000001</v>
      </c>
      <c r="BN397" s="78">
        <f>IFERROR(Y397*I397/H397,"0")</f>
        <v>16.588000000000001</v>
      </c>
      <c r="BO397" s="78">
        <f>IFERROR(1/J397*(X397/H397),"0")</f>
        <v>3.125E-2</v>
      </c>
      <c r="BP397" s="78">
        <f>IFERROR(1/J397*(Y397/H397),"0")</f>
        <v>3.125E-2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16.8</v>
      </c>
      <c r="Y398" s="55">
        <f>IFERROR(IF(X398="",0,CEILING((X398/$H398),1)*$H398),"")</f>
        <v>16.8</v>
      </c>
      <c r="Z398" s="41">
        <f>IFERROR(IF(Y398=0,"",ROUNDUP(Y398/H398,0)*0.01898),"")</f>
        <v>3.7960000000000001E-2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17.788</v>
      </c>
      <c r="BN398" s="78">
        <f>IFERROR(Y398*I398/H398,"0")</f>
        <v>17.788</v>
      </c>
      <c r="BO398" s="78">
        <f>IFERROR(1/J398*(X398/H398),"0")</f>
        <v>3.125E-2</v>
      </c>
      <c r="BP398" s="78">
        <f>IFERROR(1/J398*(Y398/H398),"0")</f>
        <v>3.125E-2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4</v>
      </c>
      <c r="Y399" s="43">
        <f>IFERROR(Y396/H396,"0")+IFERROR(Y397/H397,"0")+IFERROR(Y398/H398,"0")</f>
        <v>4</v>
      </c>
      <c r="Z399" s="43">
        <f>IFERROR(IF(Z396="",0,Z396),"0")+IFERROR(IF(Z397="",0,Z397),"0")+IFERROR(IF(Z398="",0,Z398),"0")</f>
        <v>7.5920000000000001E-2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32.4</v>
      </c>
      <c r="Y400" s="43">
        <f>IFERROR(SUM(Y396:Y398),"0")</f>
        <v>32.4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2.5499999999999998</v>
      </c>
      <c r="Y405" s="55">
        <f>IFERROR(IF(X405="",0,CEILING((X405/$H405),1)*$H405),"")</f>
        <v>2.5499999999999998</v>
      </c>
      <c r="Z405" s="41">
        <f>IFERROR(IF(Y405=0,"",ROUNDUP(Y405/H405,0)*0.00651),"")</f>
        <v>6.5100000000000002E-3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2.88</v>
      </c>
      <c r="BN405" s="78">
        <f>IFERROR(Y405*I405/H405,"0")</f>
        <v>2.88</v>
      </c>
      <c r="BO405" s="78">
        <f>IFERROR(1/J405*(X405/H405),"0")</f>
        <v>5.4945054945054949E-3</v>
      </c>
      <c r="BP405" s="78">
        <f>IFERROR(1/J405*(Y405/H405),"0")</f>
        <v>5.4945054945054949E-3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2</v>
      </c>
      <c r="Y406" s="43">
        <f>IFERROR(Y402/H402,"0")+IFERROR(Y403/H403,"0")+IFERROR(Y404/H404,"0")+IFERROR(Y405/H405,"0")</f>
        <v>2</v>
      </c>
      <c r="Z406" s="43">
        <f>IFERROR(IF(Z402="",0,Z402),"0")+IFERROR(IF(Z403="",0,Z403),"0")+IFERROR(IF(Z404="",0,Z404),"0")+IFERROR(IF(Z405="",0,Z405),"0")</f>
        <v>1.302E-2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5.0999999999999996</v>
      </c>
      <c r="Y407" s="43">
        <f>IFERROR(SUM(Y402:Y405),"0")</f>
        <v>5.0999999999999996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/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/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40.5</v>
      </c>
      <c r="Y428" s="55">
        <f>IFERROR(IF(X428="",0,CEILING((X428/$H428),1)*$H428),"")</f>
        <v>40.5</v>
      </c>
      <c r="Z428" s="41">
        <f>IFERROR(IF(Y428=0,"",ROUNDUP(Y428/H428,0)*0.01898),"")</f>
        <v>9.4899999999999998E-2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42.97</v>
      </c>
      <c r="BN428" s="78">
        <f>IFERROR(Y428*I428/H428,"0")</f>
        <v>42.97</v>
      </c>
      <c r="BO428" s="78">
        <f>IFERROR(1/J428*(X428/H428),"0")</f>
        <v>7.8125E-2</v>
      </c>
      <c r="BP428" s="78">
        <f>IFERROR(1/J428*(Y428/H428),"0")</f>
        <v>7.8125E-2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15</v>
      </c>
      <c r="Y431" s="43">
        <f>IFERROR(Y428/H428,"0")+IFERROR(Y429/H429,"0")+IFERROR(Y430/H430,"0")</f>
        <v>15</v>
      </c>
      <c r="Z431" s="43">
        <f>IFERROR(IF(Z428="",0,Z428),"0")+IFERROR(IF(Z429="",0,Z429),"0")+IFERROR(IF(Z430="",0,Z430),"0")</f>
        <v>0.16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61.5</v>
      </c>
      <c r="Y432" s="43">
        <f>IFERROR(SUM(Y428:Y430),"0")</f>
        <v>61.5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720</v>
      </c>
      <c r="Y437" s="55">
        <f t="shared" si="70"/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742.56</v>
      </c>
      <c r="BN437" s="78">
        <f t="shared" si="72"/>
        <v>742.56</v>
      </c>
      <c r="BO437" s="78">
        <f t="shared" si="73"/>
        <v>1</v>
      </c>
      <c r="BP437" s="78">
        <f t="shared" si="74"/>
        <v>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720</v>
      </c>
      <c r="Y438" s="55">
        <f t="shared" si="70"/>
        <v>720</v>
      </c>
      <c r="Z438" s="41">
        <f>IFERROR(IF(Y438=0,"",ROUNDUP(Y438/H438,0)*0.02175),"")</f>
        <v>1.044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742.56</v>
      </c>
      <c r="BN438" s="78">
        <f t="shared" si="72"/>
        <v>742.56</v>
      </c>
      <c r="BO438" s="78">
        <f t="shared" si="73"/>
        <v>1</v>
      </c>
      <c r="BP438" s="78">
        <f t="shared" si="74"/>
        <v>1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70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742.56</v>
      </c>
      <c r="BN440" s="78">
        <f t="shared" si="72"/>
        <v>742.56</v>
      </c>
      <c r="BO440" s="78">
        <f t="shared" si="73"/>
        <v>1</v>
      </c>
      <c r="BP440" s="78">
        <f t="shared" si="74"/>
        <v>1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144</v>
      </c>
      <c r="Y444" s="43">
        <f>IFERROR(Y436/H436,"0")+IFERROR(Y437/H437,"0")+IFERROR(Y438/H438,"0")+IFERROR(Y439/H439,"0")+IFERROR(Y440/H440,"0")+IFERROR(Y441/H441,"0")+IFERROR(Y442/H442,"0")+IFERROR(Y443/H443,"0")</f>
        <v>144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3.1320000000000001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2160</v>
      </c>
      <c r="Y445" s="43">
        <f>IFERROR(SUM(Y436:Y443),"0")</f>
        <v>2160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720</v>
      </c>
      <c r="Y447" s="55">
        <f>IFERROR(IF(X447="",0,CEILING((X447/$H447),1)*$H447),"")</f>
        <v>720</v>
      </c>
      <c r="Z447" s="41">
        <f>IFERROR(IF(Y447=0,"",ROUNDUP(Y447/H447,0)*0.02175),"")</f>
        <v>1.044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742.56</v>
      </c>
      <c r="BN447" s="78">
        <f>IFERROR(Y447*I447/H447,"0")</f>
        <v>742.56</v>
      </c>
      <c r="BO447" s="78">
        <f>IFERROR(1/J447*(X447/H447),"0")</f>
        <v>1</v>
      </c>
      <c r="BP447" s="78">
        <f>IFERROR(1/J447*(Y447/H447),"0")</f>
        <v>1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48</v>
      </c>
      <c r="Y450" s="43">
        <f>IFERROR(Y447/H447,"0")+IFERROR(Y448/H448,"0")+IFERROR(Y449/H449,"0")</f>
        <v>48</v>
      </c>
      <c r="Z450" s="43">
        <f>IFERROR(IF(Z447="",0,Z447),"0")+IFERROR(IF(Z448="",0,Z448),"0")+IFERROR(IF(Z449="",0,Z449),"0")</f>
        <v>1.044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720</v>
      </c>
      <c r="Y451" s="43">
        <f>IFERROR(SUM(Y447:Y449),"0")</f>
        <v>720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/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/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/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/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/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/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27</v>
      </c>
      <c r="Y482" s="55">
        <f t="shared" ref="Y482:Y487" si="75">IFERROR(IF(X482="",0,CEILING((X482/$H482),1)*$H482),"")</f>
        <v>27</v>
      </c>
      <c r="Z482" s="41">
        <f>IFERROR(IF(Y482=0,"",ROUNDUP(Y482/H482,0)*0.00902),"")</f>
        <v>4.5100000000000001E-2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27.95</v>
      </c>
      <c r="BN482" s="78">
        <f t="shared" ref="BN482:BN487" si="77">IFERROR(Y482*I482/H482,"0")</f>
        <v>27.95</v>
      </c>
      <c r="BO482" s="78">
        <f t="shared" ref="BO482:BO487" si="78">IFERROR(1/J482*(X482/H482),"0")</f>
        <v>3.787878787878788E-2</v>
      </c>
      <c r="BP482" s="78">
        <f t="shared" ref="BP482:BP487" si="79">IFERROR(1/J482*(Y482/H482),"0")</f>
        <v>3.787878787878788E-2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27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27.95</v>
      </c>
      <c r="BN483" s="78">
        <f t="shared" si="77"/>
        <v>27.95</v>
      </c>
      <c r="BO483" s="78">
        <f t="shared" si="78"/>
        <v>3.787878787878788E-2</v>
      </c>
      <c r="BP483" s="78">
        <f t="shared" si="79"/>
        <v>3.787878787878788E-2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14.7</v>
      </c>
      <c r="Y484" s="55">
        <f t="shared" si="75"/>
        <v>14.700000000000001</v>
      </c>
      <c r="Z484" s="41">
        <f>IFERROR(IF(Y484=0,"",ROUNDUP(Y484/H484,0)*0.00502),"")</f>
        <v>3.5140000000000005E-2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15.61</v>
      </c>
      <c r="BN484" s="78">
        <f t="shared" si="77"/>
        <v>15.61</v>
      </c>
      <c r="BO484" s="78">
        <f t="shared" si="78"/>
        <v>2.9914529914529912E-2</v>
      </c>
      <c r="BP484" s="78">
        <f t="shared" si="79"/>
        <v>2.9914529914529919E-2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14.7</v>
      </c>
      <c r="Y486" s="55">
        <f t="shared" si="75"/>
        <v>14.700000000000001</v>
      </c>
      <c r="Z486" s="41">
        <f>IFERROR(IF(Y486=0,"",ROUNDUP(Y486/H486,0)*0.00502),"")</f>
        <v>3.5140000000000005E-2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15.61</v>
      </c>
      <c r="BN486" s="78">
        <f t="shared" si="77"/>
        <v>15.61</v>
      </c>
      <c r="BO486" s="78">
        <f t="shared" si="78"/>
        <v>2.9914529914529912E-2</v>
      </c>
      <c r="BP486" s="78">
        <f t="shared" si="79"/>
        <v>2.9914529914529919E-2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14.7</v>
      </c>
      <c r="Y487" s="55">
        <f t="shared" si="75"/>
        <v>14.700000000000001</v>
      </c>
      <c r="Z487" s="41">
        <f>IFERROR(IF(Y487=0,"",ROUNDUP(Y487/H487,0)*0.00502),"")</f>
        <v>3.5140000000000005E-2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15.61</v>
      </c>
      <c r="BN487" s="78">
        <f t="shared" si="77"/>
        <v>15.61</v>
      </c>
      <c r="BO487" s="78">
        <f t="shared" si="78"/>
        <v>2.9914529914529912E-2</v>
      </c>
      <c r="BP487" s="78">
        <f t="shared" si="79"/>
        <v>2.9914529914529919E-2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31</v>
      </c>
      <c r="Y488" s="43">
        <f>IFERROR(Y482/H482,"0")+IFERROR(Y483/H483,"0")+IFERROR(Y484/H484,"0")+IFERROR(Y485/H485,"0")+IFERROR(Y486/H486,"0")+IFERROR(Y487/H487,"0")</f>
        <v>31</v>
      </c>
      <c r="Z488" s="43">
        <f>IFERROR(IF(Z482="",0,Z482),"0")+IFERROR(IF(Z483="",0,Z483),"0")+IFERROR(IF(Z484="",0,Z484),"0")+IFERROR(IF(Z485="",0,Z485),"0")+IFERROR(IF(Z486="",0,Z486),"0")+IFERROR(IF(Z487="",0,Z487),"0")</f>
        <v>0.19562000000000002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98.100000000000009</v>
      </c>
      <c r="Y489" s="43">
        <f>IFERROR(SUM(Y482:Y487),"0")</f>
        <v>98.100000000000009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7.2</v>
      </c>
      <c r="Y491" s="55">
        <f>IFERROR(IF(X491="",0,CEILING((X491/$H491),1)*$H491),"")</f>
        <v>7.1999999999999993</v>
      </c>
      <c r="Z491" s="41">
        <f>IFERROR(IF(Y491=0,"",ROUNDUP(Y491/H491,0)*0.00902),"")</f>
        <v>2.7060000000000001E-2</v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7.8780000000000001</v>
      </c>
      <c r="BN491" s="78">
        <f>IFERROR(Y491*I491/H491,"0")</f>
        <v>7.8779999999999983</v>
      </c>
      <c r="BO491" s="78">
        <f>IFERROR(1/J491*(X491/H491),"0")</f>
        <v>2.2727272727272728E-2</v>
      </c>
      <c r="BP491" s="78">
        <f>IFERROR(1/J491*(Y491/H491),"0")</f>
        <v>2.2727272727272728E-2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3</v>
      </c>
      <c r="Y493" s="43">
        <f>IFERROR(Y491/H491,"0")+IFERROR(Y492/H492,"0")</f>
        <v>3</v>
      </c>
      <c r="Z493" s="43">
        <f>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7.2</v>
      </c>
      <c r="Y494" s="43">
        <f>IFERROR(SUM(Y491:Y492),"0")</f>
        <v>7.1999999999999993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27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27.95</v>
      </c>
      <c r="BN501" s="78">
        <f>IFERROR(Y501*I501/H501,"0")</f>
        <v>27.95</v>
      </c>
      <c r="BO501" s="78">
        <f>IFERROR(1/J501*(X501/H501),"0")</f>
        <v>3.787878787878788E-2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/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5</v>
      </c>
      <c r="Y504" s="43">
        <f>IFERROR(Y501/H501,"0")+IFERROR(Y502/H502,"0")+IFERROR(Y503/H503,"0")</f>
        <v>5</v>
      </c>
      <c r="Z504" s="43">
        <f>IFERROR(IF(Z501="",0,Z501),"0")+IFERROR(IF(Z502="",0,Z502),"0")+IFERROR(IF(Z503="",0,Z503),"0")</f>
        <v>4.5100000000000001E-2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27</v>
      </c>
      <c r="Y505" s="43">
        <f>IFERROR(SUM(Y501:Y503),"0")</f>
        <v>27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10.56</v>
      </c>
      <c r="Y510" s="55">
        <f t="shared" si="80"/>
        <v>10.56</v>
      </c>
      <c r="Z510" s="41">
        <f t="shared" si="81"/>
        <v>2.392E-2</v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11.26</v>
      </c>
      <c r="BN510" s="78">
        <f t="shared" si="83"/>
        <v>11.26</v>
      </c>
      <c r="BO510" s="78">
        <f t="shared" si="84"/>
        <v>1.9230769230769232E-2</v>
      </c>
      <c r="BP510" s="78">
        <f t="shared" si="85"/>
        <v>1.9230769230769232E-2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10.56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11.26</v>
      </c>
      <c r="BN511" s="78">
        <f t="shared" si="83"/>
        <v>11.26</v>
      </c>
      <c r="BO511" s="78">
        <f t="shared" si="84"/>
        <v>1.9230769230769232E-2</v>
      </c>
      <c r="BP511" s="78">
        <f t="shared" si="85"/>
        <v>1.9230769230769232E-2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10.56</v>
      </c>
      <c r="Y514" s="55">
        <f t="shared" si="80"/>
        <v>10.56</v>
      </c>
      <c r="Z514" s="41">
        <f t="shared" si="81"/>
        <v>2.392E-2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11.26</v>
      </c>
      <c r="BN514" s="78">
        <f t="shared" si="83"/>
        <v>11.26</v>
      </c>
      <c r="BO514" s="78">
        <f t="shared" si="84"/>
        <v>1.9230769230769232E-2</v>
      </c>
      <c r="BP514" s="78">
        <f t="shared" si="85"/>
        <v>1.9230769230769232E-2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6</v>
      </c>
      <c r="Y518" s="43">
        <f>IFERROR(Y509/H509,"0")+IFERROR(Y510/H510,"0")+IFERROR(Y511/H511,"0")+IFERROR(Y512/H512,"0")+IFERROR(Y513/H513,"0")+IFERROR(Y514/H514,"0")+IFERROR(Y515/H515,"0")+IFERROR(Y516/H516,"0")+IFERROR(Y517/H517,"0")</f>
        <v>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7.1760000000000004E-2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31.68</v>
      </c>
      <c r="Y519" s="43">
        <f>IFERROR(SUM(Y509:Y517),"0")</f>
        <v>31.68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10.56</v>
      </c>
      <c r="Y521" s="55">
        <f>IFERROR(IF(X521="",0,CEILING((X521/$H521),1)*$H521),"")</f>
        <v>10.56</v>
      </c>
      <c r="Z521" s="41">
        <f>IFERROR(IF(Y521=0,"",ROUNDUP(Y521/H521,0)*0.01196),"")</f>
        <v>2.392E-2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11.26</v>
      </c>
      <c r="BN521" s="78">
        <f>IFERROR(Y521*I521/H521,"0")</f>
        <v>11.26</v>
      </c>
      <c r="BO521" s="78">
        <f>IFERROR(1/J521*(X521/H521),"0")</f>
        <v>1.9230769230769232E-2</v>
      </c>
      <c r="BP521" s="78">
        <f>IFERROR(1/J521*(Y521/H521),"0")</f>
        <v>1.9230769230769232E-2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2</v>
      </c>
      <c r="Y524" s="43">
        <f>IFERROR(Y521/H521,"0")+IFERROR(Y522/H522,"0")+IFERROR(Y523/H523,"0")</f>
        <v>2</v>
      </c>
      <c r="Z524" s="43">
        <f>IFERROR(IF(Z521="",0,Z521),"0")+IFERROR(IF(Z522="",0,Z522),"0")+IFERROR(IF(Z523="",0,Z523),"0")</f>
        <v>2.392E-2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10.56</v>
      </c>
      <c r="Y525" s="43">
        <f>IFERROR(SUM(Y521:Y523),"0")</f>
        <v>10.56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10.56</v>
      </c>
      <c r="Y527" s="55">
        <f t="shared" ref="Y527:Y533" si="86">IFERROR(IF(X527="",0,CEILING((X527/$H527),1)*$H527),"")</f>
        <v>10.56</v>
      </c>
      <c r="Z527" s="41">
        <f>IFERROR(IF(Y527=0,"",ROUNDUP(Y527/H527,0)*0.01196),"")</f>
        <v>2.392E-2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11.26</v>
      </c>
      <c r="BN527" s="78">
        <f t="shared" ref="BN527:BN533" si="88">IFERROR(Y527*I527/H527,"0")</f>
        <v>11.26</v>
      </c>
      <c r="BO527" s="78">
        <f t="shared" ref="BO527:BO533" si="89">IFERROR(1/J527*(X527/H527),"0")</f>
        <v>1.9230769230769232E-2</v>
      </c>
      <c r="BP527" s="78">
        <f t="shared" ref="BP527:BP533" si="90">IFERROR(1/J527*(Y527/H527),"0")</f>
        <v>1.9230769230769232E-2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10.56</v>
      </c>
      <c r="Y528" s="55">
        <f t="shared" si="86"/>
        <v>10.56</v>
      </c>
      <c r="Z528" s="41">
        <f>IFERROR(IF(Y528=0,"",ROUNDUP(Y528/H528,0)*0.01196),"")</f>
        <v>2.392E-2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11.26</v>
      </c>
      <c r="BN528" s="78">
        <f t="shared" si="88"/>
        <v>11.26</v>
      </c>
      <c r="BO528" s="78">
        <f t="shared" si="89"/>
        <v>1.9230769230769232E-2</v>
      </c>
      <c r="BP528" s="78">
        <f t="shared" si="90"/>
        <v>1.9230769230769232E-2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10.56</v>
      </c>
      <c r="Y529" s="55">
        <f t="shared" si="86"/>
        <v>10.56</v>
      </c>
      <c r="Z529" s="41">
        <f>IFERROR(IF(Y529=0,"",ROUNDUP(Y529/H529,0)*0.01196),"")</f>
        <v>2.392E-2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11.26</v>
      </c>
      <c r="BN529" s="78">
        <f t="shared" si="88"/>
        <v>11.26</v>
      </c>
      <c r="BO529" s="78">
        <f t="shared" si="89"/>
        <v>1.9230769230769232E-2</v>
      </c>
      <c r="BP529" s="78">
        <f t="shared" si="90"/>
        <v>1.9230769230769232E-2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</v>
      </c>
      <c r="Y534" s="43">
        <f>IFERROR(Y527/H527,"0")+IFERROR(Y528/H528,"0")+IFERROR(Y529/H529,"0")+IFERROR(Y530/H530,"0")+IFERROR(Y531/H531,"0")+IFERROR(Y532/H532,"0")+IFERROR(Y533/H533,"0")</f>
        <v>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7.1760000000000004E-2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31.68</v>
      </c>
      <c r="Y535" s="43">
        <f>IFERROR(SUM(Y527:Y533),"0")</f>
        <v>31.68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21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22.25</v>
      </c>
      <c r="BN547" s="78">
        <f>IFERROR(Y547*I547/H547,"0")</f>
        <v>22.25</v>
      </c>
      <c r="BO547" s="78">
        <f>IFERROR(1/J547*(X547/H547),"0")</f>
        <v>3.787878787878788E-2</v>
      </c>
      <c r="BP547" s="78">
        <f>IFERROR(1/J547*(Y547/H547),"0")</f>
        <v>3.787878787878788E-2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21</v>
      </c>
      <c r="Y549" s="43">
        <f>IFERROR(SUM(Y547:Y547),"0")</f>
        <v>21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18</v>
      </c>
      <c r="Y555" s="55">
        <f>IFERROR(IF(X555="",0,CEILING((X555/$H555),1)*$H555),"")</f>
        <v>18</v>
      </c>
      <c r="Z555" s="41">
        <f>IFERROR(IF(Y555=0,"",ROUNDUP(Y555/H555,0)*0.01898),"")</f>
        <v>3.7960000000000001E-2</v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18.82</v>
      </c>
      <c r="BN555" s="78">
        <f>IFERROR(Y555*I555/H555,"0")</f>
        <v>18.82</v>
      </c>
      <c r="BO555" s="78">
        <f>IFERROR(1/J555*(X555/H555),"0")</f>
        <v>3.125E-2</v>
      </c>
      <c r="BP555" s="78">
        <f>IFERROR(1/J555*(Y555/H555),"0")</f>
        <v>3.125E-2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18</v>
      </c>
      <c r="Y556" s="55">
        <f>IFERROR(IF(X556="",0,CEILING((X556/$H556),1)*$H556),"")</f>
        <v>18</v>
      </c>
      <c r="Z556" s="41">
        <f>IFERROR(IF(Y556=0,"",ROUNDUP(Y556/H556,0)*0.01898),"")</f>
        <v>3.7960000000000001E-2</v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18.82</v>
      </c>
      <c r="BN556" s="78">
        <f>IFERROR(Y556*I556/H556,"0")</f>
        <v>18.82</v>
      </c>
      <c r="BO556" s="78">
        <f>IFERROR(1/J556*(X556/H556),"0")</f>
        <v>3.125E-2</v>
      </c>
      <c r="BP556" s="78">
        <f>IFERROR(1/J556*(Y556/H556),"0")</f>
        <v>3.125E-2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4</v>
      </c>
      <c r="Y557" s="43">
        <f>IFERROR(Y555/H555,"0")+IFERROR(Y556/H556,"0")</f>
        <v>4</v>
      </c>
      <c r="Z557" s="43">
        <f>IFERROR(IF(Z555="",0,Z555),"0")+IFERROR(IF(Z556="",0,Z556),"0")</f>
        <v>7.5920000000000001E-2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36</v>
      </c>
      <c r="Y558" s="43">
        <f>IFERROR(SUM(Y555:Y556),"0")</f>
        <v>36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6219.170000000001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6222.5400000000009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6497.5513885941627</v>
      </c>
      <c r="Y565" s="43">
        <f>IFERROR(SUM(BN22:BN561),"0")</f>
        <v>6501.0899999999974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11</v>
      </c>
      <c r="Y566" s="44">
        <f>ROUNDUP(SUM(BP22:BP561),0)</f>
        <v>11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6772.5513885941627</v>
      </c>
      <c r="Y567" s="43">
        <f>GrossWeightTotalR+PalletQtyTotalR*25</f>
        <v>6776.0899999999974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837.91080901856765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839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11.67388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8.120000000000001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257.70000000000005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40.5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94.5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170.7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182.7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132</v>
      </c>
      <c r="Q574" s="52">
        <f>IFERROR(Y342*1,"0")+IFERROR(Y343*1,"0")+IFERROR(Y344*1,"0")</f>
        <v>14.399999999999999</v>
      </c>
      <c r="R574" s="52">
        <f>IFERROR(Y349*1,"0")+IFERROR(Y350*1,"0")+IFERROR(Y351*1,"0")+IFERROR(Y352*1,"0")+IFERROR(Y353*1,"0")+IFERROR(Y357*1,"0")+IFERROR(Y358*1,"0")</f>
        <v>57.42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1862.4999999999998</v>
      </c>
      <c r="U574" s="52">
        <f>IFERROR(Y422*1,"0")+IFERROR(Y423*1,"0")</f>
        <v>0</v>
      </c>
      <c r="V574" s="52">
        <f>IFERROR(Y428*1,"0")+IFERROR(Y429*1,"0")+IFERROR(Y430*1,"0")</f>
        <v>61.5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2880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105.30000000000001</v>
      </c>
      <c r="Z574" s="52">
        <f>IFERROR(Y497*1,"0")+IFERROR(Y501*1,"0")+IFERROR(Y502*1,"0")+IFERROR(Y503*1,"0")</f>
        <v>27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73.92</v>
      </c>
      <c r="AB574" s="52">
        <f>IFERROR(Y539*1,"0")+IFERROR(Y543*1,"0")+IFERROR(Y547*1,"0")+IFERROR(Y551*1,"0")+IFERROR(Y555*1,"0")+IFERROR(Y556*1,"0")</f>
        <v>57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7,60"/>
        <filter val="1 527,60"/>
        <filter val="1,00"/>
        <filter val="1,80"/>
        <filter val="10,50"/>
        <filter val="10,56"/>
        <filter val="108,00"/>
        <filter val="11"/>
        <filter val="11,75"/>
        <filter val="11,76"/>
        <filter val="12,00"/>
        <filter val="12,60"/>
        <filter val="129,60"/>
        <filter val="13,50"/>
        <filter val="132,00"/>
        <filter val="14,40"/>
        <filter val="14,70"/>
        <filter val="143,10"/>
        <filter val="144,00"/>
        <filter val="147,28"/>
        <filter val="15,00"/>
        <filter val="15,60"/>
        <filter val="151,20"/>
        <filter val="158,40"/>
        <filter val="16,00"/>
        <filter val="16,80"/>
        <filter val="168,00"/>
        <filter val="17,00"/>
        <filter val="17,50"/>
        <filter val="18,00"/>
        <filter val="2 160,00"/>
        <filter val="2,00"/>
        <filter val="2,52"/>
        <filter val="2,55"/>
        <filter val="20,00"/>
        <filter val="202,00"/>
        <filter val="21,00"/>
        <filter val="22,50"/>
        <filter val="24,30"/>
        <filter val="24,50"/>
        <filter val="256,00"/>
        <filter val="27,00"/>
        <filter val="27,06"/>
        <filter val="29,40"/>
        <filter val="3,00"/>
        <filter val="3,80"/>
        <filter val="30,00"/>
        <filter val="31,00"/>
        <filter val="31,68"/>
        <filter val="32,40"/>
        <filter val="337,80"/>
        <filter val="35,00"/>
        <filter val="36,00"/>
        <filter val="4,00"/>
        <filter val="4,32"/>
        <filter val="40,50"/>
        <filter val="43,80"/>
        <filter val="48,00"/>
        <filter val="5,00"/>
        <filter val="5,10"/>
        <filter val="53,00"/>
        <filter val="54,00"/>
        <filter val="55,25"/>
        <filter val="6 516,77"/>
        <filter val="6 813,77"/>
        <filter val="6,00"/>
        <filter val="6,30"/>
        <filter val="61,50"/>
        <filter val="7 088,77"/>
        <filter val="7,20"/>
        <filter val="720,00"/>
        <filter val="84,00"/>
        <filter val="876,06"/>
        <filter val="9,60"/>
        <filter val="9,90"/>
        <filter val="90,00"/>
        <filter val="97,20"/>
        <filter val="98,1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openxmlformats.org/package/2006/metadata/core-properties"/>
    <ds:schemaRef ds:uri="bb0b2827-4eb3-461f-8866-28597c48f47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2026-10-01T07:05:11Z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