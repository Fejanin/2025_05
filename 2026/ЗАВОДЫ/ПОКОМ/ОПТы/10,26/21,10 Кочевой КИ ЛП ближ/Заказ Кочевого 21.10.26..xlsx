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F5E72117-6842-49E0-9F12-077C6ECA7B2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BP533" i="2" s="1"/>
  <c r="P533" i="2"/>
  <c r="BO532" i="2"/>
  <c r="BM532" i="2"/>
  <c r="Y532" i="2"/>
  <c r="BN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Y525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BO515" i="2"/>
  <c r="BM515" i="2"/>
  <c r="Y515" i="2"/>
  <c r="BN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N489" i="2" s="1"/>
  <c r="P489" i="2"/>
  <c r="BO488" i="2"/>
  <c r="BM488" i="2"/>
  <c r="Y488" i="2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Z484" i="2" s="1"/>
  <c r="P484" i="2"/>
  <c r="X480" i="2"/>
  <c r="X479" i="2"/>
  <c r="BO478" i="2"/>
  <c r="BM478" i="2"/>
  <c r="Y478" i="2"/>
  <c r="P478" i="2"/>
  <c r="BO477" i="2"/>
  <c r="BM477" i="2"/>
  <c r="Y477" i="2"/>
  <c r="P477" i="2"/>
  <c r="BO476" i="2"/>
  <c r="BM476" i="2"/>
  <c r="Y476" i="2"/>
  <c r="BP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Z467" i="2" s="1"/>
  <c r="P467" i="2"/>
  <c r="X464" i="2"/>
  <c r="X463" i="2"/>
  <c r="BO462" i="2"/>
  <c r="BM462" i="2"/>
  <c r="Y462" i="2"/>
  <c r="BP462" i="2" s="1"/>
  <c r="P462" i="2"/>
  <c r="BO461" i="2"/>
  <c r="BM461" i="2"/>
  <c r="Y461" i="2"/>
  <c r="BP461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O422" i="2"/>
  <c r="BM422" i="2"/>
  <c r="Y422" i="2"/>
  <c r="P422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P397" i="2" s="1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P369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Y366" i="2" s="1"/>
  <c r="P362" i="2"/>
  <c r="X359" i="2"/>
  <c r="X358" i="2"/>
  <c r="BO357" i="2"/>
  <c r="BM357" i="2"/>
  <c r="Y357" i="2"/>
  <c r="BP357" i="2" s="1"/>
  <c r="P357" i="2"/>
  <c r="X355" i="2"/>
  <c r="X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BP321" i="2" s="1"/>
  <c r="P321" i="2"/>
  <c r="X318" i="2"/>
  <c r="X317" i="2"/>
  <c r="BO316" i="2"/>
  <c r="BM316" i="2"/>
  <c r="Y316" i="2"/>
  <c r="BN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N313" i="2" s="1"/>
  <c r="P313" i="2"/>
  <c r="X311" i="2"/>
  <c r="X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N301" i="2" s="1"/>
  <c r="P301" i="2"/>
  <c r="BO300" i="2"/>
  <c r="BM300" i="2"/>
  <c r="Y300" i="2"/>
  <c r="Z300" i="2" s="1"/>
  <c r="P300" i="2"/>
  <c r="BO299" i="2"/>
  <c r="BM299" i="2"/>
  <c r="Y299" i="2"/>
  <c r="Z299" i="2" s="1"/>
  <c r="P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P295" i="2"/>
  <c r="X292" i="2"/>
  <c r="X291" i="2"/>
  <c r="BO290" i="2"/>
  <c r="BM290" i="2"/>
  <c r="Y290" i="2"/>
  <c r="P290" i="2"/>
  <c r="BO289" i="2"/>
  <c r="BM289" i="2"/>
  <c r="Y289" i="2"/>
  <c r="Y292" i="2" s="1"/>
  <c r="P289" i="2"/>
  <c r="X287" i="2"/>
  <c r="X286" i="2"/>
  <c r="BO285" i="2"/>
  <c r="BM285" i="2"/>
  <c r="Y285" i="2"/>
  <c r="Z285" i="2" s="1"/>
  <c r="P285" i="2"/>
  <c r="BO284" i="2"/>
  <c r="BM284" i="2"/>
  <c r="Y284" i="2"/>
  <c r="BP284" i="2" s="1"/>
  <c r="P284" i="2"/>
  <c r="BP283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Z279" i="2" s="1"/>
  <c r="P279" i="2"/>
  <c r="BO278" i="2"/>
  <c r="BM278" i="2"/>
  <c r="Y278" i="2"/>
  <c r="Z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P275" i="2"/>
  <c r="X273" i="2"/>
  <c r="X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Z255" i="2" s="1"/>
  <c r="P255" i="2"/>
  <c r="BO254" i="2"/>
  <c r="BM254" i="2"/>
  <c r="Y254" i="2"/>
  <c r="P254" i="2"/>
  <c r="X251" i="2"/>
  <c r="X250" i="2"/>
  <c r="BO249" i="2"/>
  <c r="BM249" i="2"/>
  <c r="Y249" i="2"/>
  <c r="Y251" i="2" s="1"/>
  <c r="P249" i="2"/>
  <c r="X247" i="2"/>
  <c r="X246" i="2"/>
  <c r="BO245" i="2"/>
  <c r="BM245" i="2"/>
  <c r="Y245" i="2"/>
  <c r="Z245" i="2" s="1"/>
  <c r="P245" i="2"/>
  <c r="BO244" i="2"/>
  <c r="BM244" i="2"/>
  <c r="Y244" i="2"/>
  <c r="P244" i="2"/>
  <c r="BO243" i="2"/>
  <c r="BM243" i="2"/>
  <c r="Y243" i="2"/>
  <c r="P243" i="2"/>
  <c r="X241" i="2"/>
  <c r="X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Z236" i="2" s="1"/>
  <c r="P236" i="2"/>
  <c r="BO235" i="2"/>
  <c r="BM235" i="2"/>
  <c r="Y235" i="2"/>
  <c r="P235" i="2"/>
  <c r="X233" i="2"/>
  <c r="X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Z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Y198" i="2" s="1"/>
  <c r="P197" i="2"/>
  <c r="X195" i="2"/>
  <c r="X194" i="2"/>
  <c r="BO193" i="2"/>
  <c r="BM193" i="2"/>
  <c r="Y193" i="2"/>
  <c r="P193" i="2"/>
  <c r="X191" i="2"/>
  <c r="X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N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P165" i="2"/>
  <c r="BO164" i="2"/>
  <c r="BM164" i="2"/>
  <c r="Y164" i="2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P153" i="2"/>
  <c r="BO152" i="2"/>
  <c r="BM152" i="2"/>
  <c r="Y152" i="2"/>
  <c r="BN152" i="2" s="1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BP141" i="2" s="1"/>
  <c r="P141" i="2"/>
  <c r="BO140" i="2"/>
  <c r="BM140" i="2"/>
  <c r="Y140" i="2"/>
  <c r="Y142" i="2" s="1"/>
  <c r="P140" i="2"/>
  <c r="X138" i="2"/>
  <c r="X137" i="2"/>
  <c r="BO136" i="2"/>
  <c r="BM136" i="2"/>
  <c r="Y136" i="2"/>
  <c r="P136" i="2"/>
  <c r="BO135" i="2"/>
  <c r="BM135" i="2"/>
  <c r="Y135" i="2"/>
  <c r="Y138" i="2" s="1"/>
  <c r="P135" i="2"/>
  <c r="X132" i="2"/>
  <c r="X131" i="2"/>
  <c r="BO130" i="2"/>
  <c r="BM130" i="2"/>
  <c r="Y130" i="2"/>
  <c r="P130" i="2"/>
  <c r="X128" i="2"/>
  <c r="X127" i="2"/>
  <c r="BO126" i="2"/>
  <c r="BM126" i="2"/>
  <c r="Y126" i="2"/>
  <c r="Z126" i="2" s="1"/>
  <c r="P126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P123" i="2"/>
  <c r="X121" i="2"/>
  <c r="X120" i="2"/>
  <c r="BO119" i="2"/>
  <c r="BM119" i="2"/>
  <c r="Y119" i="2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Z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P107" i="2"/>
  <c r="BO106" i="2"/>
  <c r="BM106" i="2"/>
  <c r="Y106" i="2"/>
  <c r="P106" i="2"/>
  <c r="X103" i="2"/>
  <c r="X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Z99" i="2" s="1"/>
  <c r="P99" i="2"/>
  <c r="BO98" i="2"/>
  <c r="BM98" i="2"/>
  <c r="Y98" i="2"/>
  <c r="Z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BO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BP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Y31" i="2" s="1"/>
  <c r="P26" i="2"/>
  <c r="X24" i="2"/>
  <c r="X23" i="2"/>
  <c r="BO22" i="2"/>
  <c r="BM22" i="2"/>
  <c r="Y22" i="2"/>
  <c r="Z22" i="2" s="1"/>
  <c r="Z23" i="2" s="1"/>
  <c r="P22" i="2"/>
  <c r="H10" i="2"/>
  <c r="A9" i="2"/>
  <c r="F10" i="2" s="1"/>
  <c r="D7" i="2"/>
  <c r="Q6" i="2"/>
  <c r="P2" i="2"/>
  <c r="BP61" i="2" l="1"/>
  <c r="BP183" i="2"/>
  <c r="Z450" i="2"/>
  <c r="Z229" i="2"/>
  <c r="BN229" i="2"/>
  <c r="Z230" i="2"/>
  <c r="BN230" i="2"/>
  <c r="Z342" i="2"/>
  <c r="BN342" i="2"/>
  <c r="Z512" i="2"/>
  <c r="BN512" i="2"/>
  <c r="BP71" i="2"/>
  <c r="Z152" i="2"/>
  <c r="Z220" i="2"/>
  <c r="Z266" i="2"/>
  <c r="BN266" i="2"/>
  <c r="BP301" i="2"/>
  <c r="Z523" i="2"/>
  <c r="Z65" i="2"/>
  <c r="Z100" i="2"/>
  <c r="BP125" i="2"/>
  <c r="BP145" i="2"/>
  <c r="Z175" i="2"/>
  <c r="Z188" i="2"/>
  <c r="BN188" i="2"/>
  <c r="BP224" i="2"/>
  <c r="Z276" i="2"/>
  <c r="BN276" i="2"/>
  <c r="Z296" i="2"/>
  <c r="BN296" i="2"/>
  <c r="Z297" i="2"/>
  <c r="BN297" i="2"/>
  <c r="Y359" i="2"/>
  <c r="Z380" i="2"/>
  <c r="BN380" i="2"/>
  <c r="Z411" i="2"/>
  <c r="Z440" i="2"/>
  <c r="Z516" i="2"/>
  <c r="Z532" i="2"/>
  <c r="BN41" i="2"/>
  <c r="BN59" i="2"/>
  <c r="BN63" i="2"/>
  <c r="BP70" i="2"/>
  <c r="Z70" i="2"/>
  <c r="BP119" i="2"/>
  <c r="BN119" i="2"/>
  <c r="Z119" i="2"/>
  <c r="BN123" i="2"/>
  <c r="BP123" i="2"/>
  <c r="BN146" i="2"/>
  <c r="BP154" i="2"/>
  <c r="BN154" i="2"/>
  <c r="Z154" i="2"/>
  <c r="BP165" i="2"/>
  <c r="BN165" i="2"/>
  <c r="Z165" i="2"/>
  <c r="BN177" i="2"/>
  <c r="BN184" i="2"/>
  <c r="BN189" i="2"/>
  <c r="BP189" i="2"/>
  <c r="BP222" i="2"/>
  <c r="BN222" i="2"/>
  <c r="Z222" i="2"/>
  <c r="BN299" i="2"/>
  <c r="Y311" i="2"/>
  <c r="Y310" i="2"/>
  <c r="BP309" i="2"/>
  <c r="BN309" i="2"/>
  <c r="Z309" i="2"/>
  <c r="Z310" i="2" s="1"/>
  <c r="Y355" i="2"/>
  <c r="Y354" i="2"/>
  <c r="BP353" i="2"/>
  <c r="BN353" i="2"/>
  <c r="Z353" i="2"/>
  <c r="Z354" i="2" s="1"/>
  <c r="BP405" i="2"/>
  <c r="BN405" i="2"/>
  <c r="BN29" i="2"/>
  <c r="BN52" i="2"/>
  <c r="BN73" i="2"/>
  <c r="BP107" i="2"/>
  <c r="BN107" i="2"/>
  <c r="Z107" i="2"/>
  <c r="BN111" i="2"/>
  <c r="BP130" i="2"/>
  <c r="Y132" i="2"/>
  <c r="Y131" i="2"/>
  <c r="BN130" i="2"/>
  <c r="Y186" i="2"/>
  <c r="Y191" i="2"/>
  <c r="BN206" i="2"/>
  <c r="BP206" i="2"/>
  <c r="BN214" i="2"/>
  <c r="Y216" i="2"/>
  <c r="Y215" i="2"/>
  <c r="BP214" i="2"/>
  <c r="BN225" i="2"/>
  <c r="BN237" i="2"/>
  <c r="BP237" i="2"/>
  <c r="BN244" i="2"/>
  <c r="BP244" i="2"/>
  <c r="BN270" i="2"/>
  <c r="BP270" i="2"/>
  <c r="BN290" i="2"/>
  <c r="BP290" i="2"/>
  <c r="BP369" i="2"/>
  <c r="BN369" i="2"/>
  <c r="Z369" i="2"/>
  <c r="BP389" i="2"/>
  <c r="BN389" i="2"/>
  <c r="Z389" i="2"/>
  <c r="Y400" i="2"/>
  <c r="BN397" i="2"/>
  <c r="Z397" i="2"/>
  <c r="BN441" i="2"/>
  <c r="BP451" i="2"/>
  <c r="BN476" i="2"/>
  <c r="BN487" i="2"/>
  <c r="BN513" i="2"/>
  <c r="BN35" i="2"/>
  <c r="BN43" i="2"/>
  <c r="BN54" i="2"/>
  <c r="BN117" i="2"/>
  <c r="BN141" i="2"/>
  <c r="BN166" i="2"/>
  <c r="Y190" i="2"/>
  <c r="BN207" i="2"/>
  <c r="BN238" i="2"/>
  <c r="BN314" i="2"/>
  <c r="BP411" i="2"/>
  <c r="Z424" i="2"/>
  <c r="BN443" i="2"/>
  <c r="Z444" i="2"/>
  <c r="Z451" i="2"/>
  <c r="BP457" i="2"/>
  <c r="Y463" i="2"/>
  <c r="Z462" i="2"/>
  <c r="BN462" i="2"/>
  <c r="BN493" i="2"/>
  <c r="Z498" i="2"/>
  <c r="Z499" i="2" s="1"/>
  <c r="BN504" i="2"/>
  <c r="BP511" i="2"/>
  <c r="BP517" i="2"/>
  <c r="BP523" i="2"/>
  <c r="Y120" i="2"/>
  <c r="BP315" i="2"/>
  <c r="BN315" i="2"/>
  <c r="Z315" i="2"/>
  <c r="F9" i="2"/>
  <c r="Z53" i="2"/>
  <c r="BP53" i="2"/>
  <c r="Y56" i="2"/>
  <c r="Z64" i="2"/>
  <c r="BP64" i="2"/>
  <c r="BP93" i="2"/>
  <c r="BN93" i="2"/>
  <c r="Z118" i="2"/>
  <c r="BP164" i="2"/>
  <c r="Z164" i="2"/>
  <c r="BP219" i="2"/>
  <c r="Z219" i="2"/>
  <c r="V574" i="2"/>
  <c r="BN422" i="2"/>
  <c r="BP422" i="2"/>
  <c r="Z422" i="2"/>
  <c r="BN438" i="2"/>
  <c r="BP438" i="2"/>
  <c r="Z438" i="2"/>
  <c r="Y470" i="2"/>
  <c r="AC574" i="2"/>
  <c r="Y541" i="2"/>
  <c r="BP42" i="2"/>
  <c r="BP118" i="2"/>
  <c r="BN179" i="2"/>
  <c r="BP179" i="2"/>
  <c r="Y199" i="2"/>
  <c r="BP197" i="2"/>
  <c r="Z197" i="2"/>
  <c r="Z198" i="2" s="1"/>
  <c r="BP239" i="2"/>
  <c r="BN239" i="2"/>
  <c r="Z239" i="2"/>
  <c r="BN267" i="2"/>
  <c r="BP267" i="2"/>
  <c r="BN403" i="2"/>
  <c r="BP403" i="2"/>
  <c r="BP456" i="2"/>
  <c r="BN456" i="2"/>
  <c r="Z456" i="2"/>
  <c r="BN522" i="2"/>
  <c r="BP522" i="2"/>
  <c r="Z522" i="2"/>
  <c r="Z30" i="2"/>
  <c r="BP30" i="2"/>
  <c r="BP29" i="2"/>
  <c r="Z35" i="2"/>
  <c r="BN66" i="2"/>
  <c r="BP77" i="2"/>
  <c r="Z77" i="2"/>
  <c r="BP82" i="2"/>
  <c r="Y86" i="2"/>
  <c r="BN82" i="2"/>
  <c r="BP83" i="2"/>
  <c r="Z83" i="2"/>
  <c r="Y85" i="2"/>
  <c r="Z93" i="2"/>
  <c r="BN98" i="2"/>
  <c r="BP108" i="2"/>
  <c r="Z108" i="2"/>
  <c r="BP140" i="2"/>
  <c r="Y143" i="2"/>
  <c r="BN140" i="2"/>
  <c r="BN176" i="2"/>
  <c r="Z176" i="2"/>
  <c r="BN182" i="2"/>
  <c r="BP182" i="2"/>
  <c r="BN197" i="2"/>
  <c r="BP208" i="2"/>
  <c r="BN208" i="2"/>
  <c r="Z208" i="2"/>
  <c r="Y241" i="2"/>
  <c r="BN243" i="2"/>
  <c r="BP243" i="2"/>
  <c r="Z243" i="2"/>
  <c r="BP348" i="2"/>
  <c r="Z348" i="2"/>
  <c r="BN390" i="2"/>
  <c r="BP390" i="2"/>
  <c r="Z390" i="2"/>
  <c r="BN486" i="2"/>
  <c r="BP486" i="2"/>
  <c r="BN533" i="2"/>
  <c r="Z533" i="2"/>
  <c r="BN153" i="2"/>
  <c r="Z153" i="2"/>
  <c r="Z180" i="2"/>
  <c r="BN180" i="2"/>
  <c r="BP373" i="2"/>
  <c r="Z373" i="2"/>
  <c r="BN514" i="2"/>
  <c r="BP514" i="2"/>
  <c r="Z528" i="2"/>
  <c r="BN528" i="2"/>
  <c r="H9" i="2"/>
  <c r="Z41" i="2"/>
  <c r="BP43" i="2"/>
  <c r="J9" i="2"/>
  <c r="BP27" i="2"/>
  <c r="Z52" i="2"/>
  <c r="Z63" i="2"/>
  <c r="Z73" i="2"/>
  <c r="Z110" i="2"/>
  <c r="BN110" i="2"/>
  <c r="Z140" i="2"/>
  <c r="Y156" i="2"/>
  <c r="BP153" i="2"/>
  <c r="BN164" i="2"/>
  <c r="Y168" i="2"/>
  <c r="BP178" i="2"/>
  <c r="Z178" i="2"/>
  <c r="BP180" i="2"/>
  <c r="BN227" i="2"/>
  <c r="BP227" i="2"/>
  <c r="BN275" i="2"/>
  <c r="BP275" i="2"/>
  <c r="Z275" i="2"/>
  <c r="BN280" i="2"/>
  <c r="BP280" i="2"/>
  <c r="BN283" i="2"/>
  <c r="Z283" i="2"/>
  <c r="BN324" i="2"/>
  <c r="BP324" i="2"/>
  <c r="BN327" i="2"/>
  <c r="Z327" i="2"/>
  <c r="BN370" i="2"/>
  <c r="BP370" i="2"/>
  <c r="Z370" i="2"/>
  <c r="BN379" i="2"/>
  <c r="BP379" i="2"/>
  <c r="Z379" i="2"/>
  <c r="BN442" i="2"/>
  <c r="BP442" i="2"/>
  <c r="BN477" i="2"/>
  <c r="BP477" i="2"/>
  <c r="BN488" i="2"/>
  <c r="BP488" i="2"/>
  <c r="Z488" i="2"/>
  <c r="Y490" i="2"/>
  <c r="BP528" i="2"/>
  <c r="BN209" i="2"/>
  <c r="BP220" i="2"/>
  <c r="BN223" i="2"/>
  <c r="BP255" i="2"/>
  <c r="BP260" i="2"/>
  <c r="BN265" i="2"/>
  <c r="BP277" i="2"/>
  <c r="BN282" i="2"/>
  <c r="BP285" i="2"/>
  <c r="BP298" i="2"/>
  <c r="BP313" i="2"/>
  <c r="BN326" i="2"/>
  <c r="BN357" i="2"/>
  <c r="Y358" i="2"/>
  <c r="U574" i="2"/>
  <c r="BP396" i="2"/>
  <c r="BP410" i="2"/>
  <c r="BN425" i="2"/>
  <c r="BN431" i="2"/>
  <c r="BP443" i="2"/>
  <c r="Y519" i="2"/>
  <c r="BP515" i="2"/>
  <c r="BP547" i="2"/>
  <c r="BP84" i="2"/>
  <c r="BP111" i="2"/>
  <c r="BP146" i="2"/>
  <c r="BP207" i="2"/>
  <c r="BP225" i="2"/>
  <c r="BP238" i="2"/>
  <c r="BP316" i="2"/>
  <c r="BP391" i="2"/>
  <c r="Z405" i="2"/>
  <c r="Y412" i="2"/>
  <c r="Y434" i="2"/>
  <c r="Z432" i="2"/>
  <c r="BN440" i="2"/>
  <c r="Z441" i="2"/>
  <c r="Y453" i="2"/>
  <c r="Z476" i="2"/>
  <c r="Z487" i="2"/>
  <c r="BP489" i="2"/>
  <c r="BN498" i="2"/>
  <c r="Y500" i="2"/>
  <c r="Z504" i="2"/>
  <c r="Z513" i="2"/>
  <c r="Z515" i="2"/>
  <c r="BN516" i="2"/>
  <c r="BP532" i="2"/>
  <c r="Z547" i="2"/>
  <c r="Z548" i="2" s="1"/>
  <c r="Z84" i="2"/>
  <c r="Z94" i="2"/>
  <c r="BP100" i="2"/>
  <c r="Z117" i="2"/>
  <c r="Y121" i="2"/>
  <c r="Z130" i="2"/>
  <c r="Z131" i="2" s="1"/>
  <c r="Z141" i="2"/>
  <c r="Z151" i="2"/>
  <c r="BP152" i="2"/>
  <c r="Y167" i="2"/>
  <c r="BP163" i="2"/>
  <c r="Z166" i="2"/>
  <c r="BP175" i="2"/>
  <c r="Z177" i="2"/>
  <c r="Z184" i="2"/>
  <c r="Z209" i="2"/>
  <c r="Z223" i="2"/>
  <c r="Z249" i="2"/>
  <c r="Z250" i="2" s="1"/>
  <c r="Z265" i="2"/>
  <c r="BN281" i="2"/>
  <c r="Z282" i="2"/>
  <c r="Z316" i="2"/>
  <c r="BN325" i="2"/>
  <c r="Z326" i="2"/>
  <c r="BN333" i="2"/>
  <c r="Z341" i="2"/>
  <c r="S574" i="2"/>
  <c r="Z357" i="2"/>
  <c r="Z358" i="2" s="1"/>
  <c r="Z362" i="2"/>
  <c r="Z383" i="2"/>
  <c r="BN409" i="2"/>
  <c r="BP431" i="2"/>
  <c r="Y446" i="2"/>
  <c r="Y469" i="2"/>
  <c r="Y491" i="2"/>
  <c r="BP493" i="2"/>
  <c r="Y548" i="2"/>
  <c r="Y553" i="2"/>
  <c r="BP45" i="2"/>
  <c r="Z45" i="2"/>
  <c r="Y68" i="2"/>
  <c r="BN78" i="2"/>
  <c r="Z78" i="2"/>
  <c r="Z79" i="2" s="1"/>
  <c r="Y102" i="2"/>
  <c r="Y210" i="2"/>
  <c r="BP259" i="2"/>
  <c r="BN259" i="2"/>
  <c r="M574" i="2"/>
  <c r="BP254" i="2"/>
  <c r="Y317" i="2"/>
  <c r="Z417" i="2"/>
  <c r="BP417" i="2"/>
  <c r="BN417" i="2"/>
  <c r="X565" i="2"/>
  <c r="BN45" i="2"/>
  <c r="E574" i="2"/>
  <c r="Z59" i="2"/>
  <c r="Y74" i="2"/>
  <c r="BN70" i="2"/>
  <c r="Z90" i="2"/>
  <c r="BN228" i="2"/>
  <c r="Z231" i="2"/>
  <c r="Z254" i="2"/>
  <c r="Z256" i="2" s="1"/>
  <c r="BN381" i="2"/>
  <c r="Z381" i="2"/>
  <c r="Y386" i="2"/>
  <c r="Y407" i="2"/>
  <c r="Y406" i="2"/>
  <c r="BP402" i="2"/>
  <c r="BN402" i="2"/>
  <c r="BN99" i="2"/>
  <c r="G574" i="2"/>
  <c r="Z106" i="2"/>
  <c r="Y114" i="2"/>
  <c r="BN204" i="2"/>
  <c r="Y211" i="2"/>
  <c r="BN245" i="2"/>
  <c r="BN271" i="2"/>
  <c r="O574" i="2"/>
  <c r="BN295" i="2"/>
  <c r="Z372" i="2"/>
  <c r="BP372" i="2"/>
  <c r="Z385" i="2"/>
  <c r="BN385" i="2"/>
  <c r="Z402" i="2"/>
  <c r="Y459" i="2"/>
  <c r="BP455" i="2"/>
  <c r="Y458" i="2"/>
  <c r="BN455" i="2"/>
  <c r="Z455" i="2"/>
  <c r="BP503" i="2"/>
  <c r="BN503" i="2"/>
  <c r="Z503" i="2"/>
  <c r="BN90" i="2"/>
  <c r="BP228" i="2"/>
  <c r="BN231" i="2"/>
  <c r="BN254" i="2"/>
  <c r="Z295" i="2"/>
  <c r="Y318" i="2"/>
  <c r="BP333" i="2"/>
  <c r="Z347" i="2"/>
  <c r="BP347" i="2"/>
  <c r="BP22" i="2"/>
  <c r="Z28" i="2"/>
  <c r="Y36" i="2"/>
  <c r="Y46" i="2"/>
  <c r="BP62" i="2"/>
  <c r="BN65" i="2"/>
  <c r="Y79" i="2"/>
  <c r="BP99" i="2"/>
  <c r="BN106" i="2"/>
  <c r="Z109" i="2"/>
  <c r="BP112" i="2"/>
  <c r="BN112" i="2"/>
  <c r="Z112" i="2"/>
  <c r="Z123" i="2"/>
  <c r="Y127" i="2"/>
  <c r="BN126" i="2"/>
  <c r="BP181" i="2"/>
  <c r="BN181" i="2"/>
  <c r="BP204" i="2"/>
  <c r="BP245" i="2"/>
  <c r="BN268" i="2"/>
  <c r="BP271" i="2"/>
  <c r="Y287" i="2"/>
  <c r="BP314" i="2"/>
  <c r="BN372" i="2"/>
  <c r="BP381" i="2"/>
  <c r="H574" i="2"/>
  <c r="BP135" i="2"/>
  <c r="BN135" i="2"/>
  <c r="Z135" i="2"/>
  <c r="Y329" i="2"/>
  <c r="BP334" i="2"/>
  <c r="BN334" i="2"/>
  <c r="BN347" i="2"/>
  <c r="Y387" i="2"/>
  <c r="BP385" i="2"/>
  <c r="Y23" i="2"/>
  <c r="BN28" i="2"/>
  <c r="Y80" i="2"/>
  <c r="BP106" i="2"/>
  <c r="BN109" i="2"/>
  <c r="BP126" i="2"/>
  <c r="BP205" i="2"/>
  <c r="BN205" i="2"/>
  <c r="Y232" i="2"/>
  <c r="Y247" i="2"/>
  <c r="Y246" i="2"/>
  <c r="BP268" i="2"/>
  <c r="BP289" i="2"/>
  <c r="BN289" i="2"/>
  <c r="BP295" i="2"/>
  <c r="Y302" i="2"/>
  <c r="Z382" i="2"/>
  <c r="BP382" i="2"/>
  <c r="X568" i="2"/>
  <c r="BP91" i="2"/>
  <c r="BN91" i="2"/>
  <c r="Z91" i="2"/>
  <c r="Z205" i="2"/>
  <c r="BP226" i="2"/>
  <c r="BN226" i="2"/>
  <c r="Y273" i="2"/>
  <c r="Z289" i="2"/>
  <c r="BN22" i="2"/>
  <c r="BN62" i="2"/>
  <c r="Y75" i="2"/>
  <c r="Z170" i="2"/>
  <c r="Z172" i="2" s="1"/>
  <c r="Y173" i="2"/>
  <c r="Y172" i="2"/>
  <c r="Z226" i="2"/>
  <c r="Y233" i="2"/>
  <c r="BN255" i="2"/>
  <c r="BP269" i="2"/>
  <c r="BN269" i="2"/>
  <c r="Y303" i="2"/>
  <c r="Y328" i="2"/>
  <c r="BN382" i="2"/>
  <c r="X564" i="2"/>
  <c r="C574" i="2"/>
  <c r="Z60" i="2"/>
  <c r="Y113" i="2"/>
  <c r="Y160" i="2"/>
  <c r="BP158" i="2"/>
  <c r="BN158" i="2"/>
  <c r="Z158" i="2"/>
  <c r="Z159" i="2" s="1"/>
  <c r="Z54" i="2"/>
  <c r="Z82" i="2"/>
  <c r="Y128" i="2"/>
  <c r="BN136" i="2"/>
  <c r="Z136" i="2"/>
  <c r="Y261" i="2"/>
  <c r="Z269" i="2"/>
  <c r="Y286" i="2"/>
  <c r="Z284" i="2"/>
  <c r="Y419" i="2"/>
  <c r="B574" i="2"/>
  <c r="Y24" i="2"/>
  <c r="Z51" i="2"/>
  <c r="D574" i="2"/>
  <c r="Y195" i="2"/>
  <c r="Y194" i="2"/>
  <c r="BP193" i="2"/>
  <c r="Z235" i="2"/>
  <c r="Y240" i="2"/>
  <c r="Y306" i="2"/>
  <c r="BN305" i="2"/>
  <c r="Z392" i="2"/>
  <c r="BP392" i="2"/>
  <c r="X574" i="2"/>
  <c r="BP478" i="2"/>
  <c r="BN478" i="2"/>
  <c r="Z478" i="2"/>
  <c r="Y480" i="2"/>
  <c r="X566" i="2"/>
  <c r="BN92" i="2"/>
  <c r="Z92" i="2"/>
  <c r="Z193" i="2"/>
  <c r="Z194" i="2" s="1"/>
  <c r="Y262" i="2"/>
  <c r="BN284" i="2"/>
  <c r="Z305" i="2"/>
  <c r="Z306" i="2" s="1"/>
  <c r="Z364" i="2"/>
  <c r="BN364" i="2"/>
  <c r="BN404" i="2"/>
  <c r="Z404" i="2"/>
  <c r="BN34" i="2"/>
  <c r="BP66" i="2"/>
  <c r="F574" i="2"/>
  <c r="Y96" i="2"/>
  <c r="Y95" i="2"/>
  <c r="Z89" i="2"/>
  <c r="Y103" i="2"/>
  <c r="BP98" i="2"/>
  <c r="BP136" i="2"/>
  <c r="Y147" i="2"/>
  <c r="Y159" i="2"/>
  <c r="BP170" i="2"/>
  <c r="BN235" i="2"/>
  <c r="Y256" i="2"/>
  <c r="BN278" i="2"/>
  <c r="BP281" i="2"/>
  <c r="BP299" i="2"/>
  <c r="BN322" i="2"/>
  <c r="BP325" i="2"/>
  <c r="Y336" i="2"/>
  <c r="BN392" i="2"/>
  <c r="BP398" i="2"/>
  <c r="BN398" i="2"/>
  <c r="Z398" i="2"/>
  <c r="Z423" i="2"/>
  <c r="BP423" i="2"/>
  <c r="Y427" i="2"/>
  <c r="Y426" i="2"/>
  <c r="BN423" i="2"/>
  <c r="BP26" i="2"/>
  <c r="BN26" i="2"/>
  <c r="Y32" i="2"/>
  <c r="BN44" i="2"/>
  <c r="BN116" i="2"/>
  <c r="BP176" i="2"/>
  <c r="BN193" i="2"/>
  <c r="K574" i="2"/>
  <c r="Z221" i="2"/>
  <c r="BN264" i="2"/>
  <c r="Y272" i="2"/>
  <c r="BP101" i="2"/>
  <c r="BN101" i="2"/>
  <c r="Z101" i="2"/>
  <c r="Y67" i="2"/>
  <c r="BN72" i="2"/>
  <c r="BN89" i="2"/>
  <c r="BP92" i="2"/>
  <c r="Y137" i="2"/>
  <c r="BP171" i="2"/>
  <c r="BN171" i="2"/>
  <c r="Z218" i="2"/>
  <c r="BP235" i="2"/>
  <c r="Z264" i="2"/>
  <c r="BP278" i="2"/>
  <c r="BP300" i="2"/>
  <c r="BN300" i="2"/>
  <c r="BP305" i="2"/>
  <c r="BP322" i="2"/>
  <c r="BP364" i="2"/>
  <c r="BP404" i="2"/>
  <c r="Y55" i="2"/>
  <c r="J574" i="2"/>
  <c r="Z163" i="2"/>
  <c r="Y257" i="2"/>
  <c r="BN371" i="2"/>
  <c r="Z371" i="2"/>
  <c r="Y376" i="2"/>
  <c r="Y506" i="2"/>
  <c r="Z34" i="2"/>
  <c r="Y37" i="2"/>
  <c r="BP124" i="2"/>
  <c r="BN124" i="2"/>
  <c r="Z26" i="2"/>
  <c r="Z44" i="2"/>
  <c r="BP51" i="2"/>
  <c r="BP60" i="2"/>
  <c r="Y47" i="2"/>
  <c r="BP116" i="2"/>
  <c r="Z27" i="2"/>
  <c r="Z42" i="2"/>
  <c r="BP72" i="2"/>
  <c r="BP89" i="2"/>
  <c r="I574" i="2"/>
  <c r="BN183" i="2"/>
  <c r="BN218" i="2"/>
  <c r="BP221" i="2"/>
  <c r="BP236" i="2"/>
  <c r="BN236" i="2"/>
  <c r="BP279" i="2"/>
  <c r="BN279" i="2"/>
  <c r="BN285" i="2"/>
  <c r="Y291" i="2"/>
  <c r="BP323" i="2"/>
  <c r="BN323" i="2"/>
  <c r="Z340" i="2"/>
  <c r="Y343" i="2"/>
  <c r="BN340" i="2"/>
  <c r="Y350" i="2"/>
  <c r="Y349" i="2"/>
  <c r="BN346" i="2"/>
  <c r="Z346" i="2"/>
  <c r="Z375" i="2"/>
  <c r="BN375" i="2"/>
  <c r="Y148" i="2"/>
  <c r="Y413" i="2"/>
  <c r="Y464" i="2"/>
  <c r="Y479" i="2"/>
  <c r="BN547" i="2"/>
  <c r="L574" i="2"/>
  <c r="Y447" i="2"/>
  <c r="Z145" i="2"/>
  <c r="Z147" i="2" s="1"/>
  <c r="Z179" i="2"/>
  <c r="Z189" i="2"/>
  <c r="Z203" i="2"/>
  <c r="Z214" i="2"/>
  <c r="Z215" i="2" s="1"/>
  <c r="Z224" i="2"/>
  <c r="Z244" i="2"/>
  <c r="Z267" i="2"/>
  <c r="Z277" i="2"/>
  <c r="Z298" i="2"/>
  <c r="Z321" i="2"/>
  <c r="Z332" i="2"/>
  <c r="Z335" i="2" s="1"/>
  <c r="Y393" i="2"/>
  <c r="Z410" i="2"/>
  <c r="Z461" i="2"/>
  <c r="Z486" i="2"/>
  <c r="Z511" i="2"/>
  <c r="Z521" i="2"/>
  <c r="Z524" i="2" s="1"/>
  <c r="Z531" i="2"/>
  <c r="Y558" i="2"/>
  <c r="P574" i="2"/>
  <c r="BN321" i="2"/>
  <c r="BN332" i="2"/>
  <c r="Y335" i="2"/>
  <c r="Y344" i="2"/>
  <c r="Z439" i="2"/>
  <c r="Z449" i="2"/>
  <c r="Z452" i="2" s="1"/>
  <c r="BN461" i="2"/>
  <c r="Z472" i="2"/>
  <c r="Z473" i="2" s="1"/>
  <c r="BN521" i="2"/>
  <c r="Y524" i="2"/>
  <c r="BN531" i="2"/>
  <c r="Y534" i="2"/>
  <c r="Z543" i="2"/>
  <c r="Z544" i="2" s="1"/>
  <c r="Z555" i="2"/>
  <c r="Q574" i="2"/>
  <c r="A10" i="2"/>
  <c r="BN203" i="2"/>
  <c r="Z61" i="2"/>
  <c r="Z71" i="2"/>
  <c r="BN83" i="2"/>
  <c r="BN94" i="2"/>
  <c r="Z125" i="2"/>
  <c r="BN151" i="2"/>
  <c r="Z182" i="2"/>
  <c r="Z206" i="2"/>
  <c r="BN219" i="2"/>
  <c r="Z227" i="2"/>
  <c r="Z237" i="2"/>
  <c r="BN249" i="2"/>
  <c r="Z260" i="2"/>
  <c r="Z261" i="2" s="1"/>
  <c r="Z270" i="2"/>
  <c r="Z280" i="2"/>
  <c r="Z290" i="2"/>
  <c r="Z301" i="2"/>
  <c r="Z313" i="2"/>
  <c r="Z324" i="2"/>
  <c r="BN348" i="2"/>
  <c r="BN362" i="2"/>
  <c r="Y365" i="2"/>
  <c r="BN373" i="2"/>
  <c r="BN383" i="2"/>
  <c r="Y394" i="2"/>
  <c r="Z403" i="2"/>
  <c r="BN415" i="2"/>
  <c r="Y418" i="2"/>
  <c r="BN432" i="2"/>
  <c r="BN444" i="2"/>
  <c r="BN467" i="2"/>
  <c r="Z477" i="2"/>
  <c r="Z489" i="2"/>
  <c r="Y494" i="2"/>
  <c r="Z502" i="2"/>
  <c r="Z505" i="2" s="1"/>
  <c r="Z514" i="2"/>
  <c r="Z561" i="2"/>
  <c r="Z562" i="2" s="1"/>
  <c r="R574" i="2"/>
  <c r="BN439" i="2"/>
  <c r="BN449" i="2"/>
  <c r="Y452" i="2"/>
  <c r="BN472" i="2"/>
  <c r="BP521" i="2"/>
  <c r="Z529" i="2"/>
  <c r="BN543" i="2"/>
  <c r="BN555" i="2"/>
  <c r="BP151" i="2"/>
  <c r="Y185" i="2"/>
  <c r="BP249" i="2"/>
  <c r="BP362" i="2"/>
  <c r="Z391" i="2"/>
  <c r="BP415" i="2"/>
  <c r="Z430" i="2"/>
  <c r="Z442" i="2"/>
  <c r="BP467" i="2"/>
  <c r="BN502" i="2"/>
  <c r="Y505" i="2"/>
  <c r="Y535" i="2"/>
  <c r="BN561" i="2"/>
  <c r="T574" i="2"/>
  <c r="BN341" i="2"/>
  <c r="Y377" i="2"/>
  <c r="Z396" i="2"/>
  <c r="BN424" i="2"/>
  <c r="BP439" i="2"/>
  <c r="BP449" i="2"/>
  <c r="Z457" i="2"/>
  <c r="BP472" i="2"/>
  <c r="BN484" i="2"/>
  <c r="Y495" i="2"/>
  <c r="Z517" i="2"/>
  <c r="BN529" i="2"/>
  <c r="BP543" i="2"/>
  <c r="BP555" i="2"/>
  <c r="Y250" i="2"/>
  <c r="BN430" i="2"/>
  <c r="Y433" i="2"/>
  <c r="BP561" i="2"/>
  <c r="Z339" i="2"/>
  <c r="Z363" i="2"/>
  <c r="Z374" i="2"/>
  <c r="Z384" i="2"/>
  <c r="BN396" i="2"/>
  <c r="Y399" i="2"/>
  <c r="Z416" i="2"/>
  <c r="Z418" i="2" s="1"/>
  <c r="Z445" i="2"/>
  <c r="Z468" i="2"/>
  <c r="Z469" i="2" s="1"/>
  <c r="Y473" i="2"/>
  <c r="BP484" i="2"/>
  <c r="Z527" i="2"/>
  <c r="Z539" i="2"/>
  <c r="Z540" i="2" s="1"/>
  <c r="Y544" i="2"/>
  <c r="Z551" i="2"/>
  <c r="Z552" i="2" s="1"/>
  <c r="W574" i="2"/>
  <c r="Z556" i="2"/>
  <c r="Y562" i="2"/>
  <c r="Y155" i="2"/>
  <c r="BN339" i="2"/>
  <c r="BN363" i="2"/>
  <c r="BN374" i="2"/>
  <c r="BN384" i="2"/>
  <c r="BN416" i="2"/>
  <c r="BN445" i="2"/>
  <c r="BN468" i="2"/>
  <c r="BN527" i="2"/>
  <c r="BN539" i="2"/>
  <c r="BN551" i="2"/>
  <c r="Y574" i="2"/>
  <c r="Z409" i="2"/>
  <c r="Z425" i="2"/>
  <c r="BN450" i="2"/>
  <c r="Z485" i="2"/>
  <c r="Z510" i="2"/>
  <c r="Z530" i="2"/>
  <c r="BN556" i="2"/>
  <c r="Z574" i="2"/>
  <c r="Y518" i="2"/>
  <c r="BP539" i="2"/>
  <c r="BP551" i="2"/>
  <c r="Y563" i="2"/>
  <c r="AA574" i="2"/>
  <c r="BN485" i="2"/>
  <c r="BP498" i="2"/>
  <c r="BN510" i="2"/>
  <c r="BN530" i="2"/>
  <c r="AB574" i="2"/>
  <c r="Y540" i="2"/>
  <c r="BP510" i="2"/>
  <c r="Z412" i="2" l="1"/>
  <c r="Z393" i="2"/>
  <c r="Z463" i="2"/>
  <c r="Z246" i="2"/>
  <c r="Z190" i="2"/>
  <c r="Z349" i="2"/>
  <c r="Z36" i="2"/>
  <c r="Z167" i="2"/>
  <c r="Z102" i="2"/>
  <c r="Z85" i="2"/>
  <c r="Z386" i="2"/>
  <c r="Z142" i="2"/>
  <c r="Z365" i="2"/>
  <c r="Z74" i="2"/>
  <c r="Z155" i="2"/>
  <c r="Z120" i="2"/>
  <c r="Z240" i="2"/>
  <c r="Z210" i="2"/>
  <c r="Z376" i="2"/>
  <c r="Z317" i="2"/>
  <c r="Z426" i="2"/>
  <c r="Z137" i="2"/>
  <c r="Z518" i="2"/>
  <c r="Z433" i="2"/>
  <c r="Z490" i="2"/>
  <c r="Z479" i="2"/>
  <c r="Z446" i="2"/>
  <c r="Z185" i="2"/>
  <c r="Z46" i="2"/>
  <c r="Z127" i="2"/>
  <c r="Z302" i="2"/>
  <c r="Y565" i="2"/>
  <c r="Z55" i="2"/>
  <c r="Y564" i="2"/>
  <c r="Z291" i="2"/>
  <c r="Z95" i="2"/>
  <c r="Z67" i="2"/>
  <c r="Z31" i="2"/>
  <c r="Z458" i="2"/>
  <c r="Z113" i="2"/>
  <c r="Z272" i="2"/>
  <c r="X567" i="2"/>
  <c r="Z534" i="2"/>
  <c r="Z232" i="2"/>
  <c r="Z328" i="2"/>
  <c r="Z557" i="2"/>
  <c r="Y568" i="2"/>
  <c r="Y566" i="2"/>
  <c r="Z406" i="2"/>
  <c r="Z399" i="2"/>
  <c r="Z343" i="2"/>
  <c r="Z286" i="2"/>
  <c r="Y567" i="2" l="1"/>
  <c r="Z569" i="2"/>
</calcChain>
</file>

<file path=xl/sharedStrings.xml><?xml version="1.0" encoding="utf-8"?>
<sst xmlns="http://schemas.openxmlformats.org/spreadsheetml/2006/main" count="4248" uniqueCount="898">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</sst>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topLeftCell="A540" zoomScaleNormal="100" zoomScaleSheetLayoutView="100" workbookViewId="0">
      <selection activeCell="X570" sqref="X57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/>
      <c r="I5" s="647"/>
      <c r="J5" s="647"/>
      <c r="K5" s="647"/>
      <c r="L5" s="647"/>
      <c r="M5" s="647"/>
      <c r="N5" s="72"/>
      <c r="P5" s="27" t="s">
        <v>4</v>
      </c>
      <c r="Q5" s="649">
        <v>46317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881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Четверг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3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0.41666666666666669</v>
      </c>
      <c r="R8" s="670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70"/>
      <c r="P9" s="31" t="s">
        <v>15</v>
      </c>
      <c r="Q9" s="675"/>
      <c r="R9" s="675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71"/>
      <c r="P10" s="31" t="s">
        <v>32</v>
      </c>
      <c r="Q10" s="677"/>
      <c r="R10" s="677"/>
      <c r="U10" s="29" t="s">
        <v>12</v>
      </c>
      <c r="V10" s="678" t="s">
        <v>71</v>
      </c>
      <c r="W10" s="67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0"/>
      <c r="R11" s="680"/>
      <c r="U11" s="29" t="s">
        <v>28</v>
      </c>
      <c r="V11" s="681" t="s">
        <v>55</v>
      </c>
      <c r="W11" s="68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6"/>
      <c r="P12" s="27" t="s">
        <v>30</v>
      </c>
      <c r="Q12" s="669"/>
      <c r="R12" s="669"/>
      <c r="S12" s="28"/>
      <c r="T12"/>
      <c r="U12" s="29" t="s">
        <v>46</v>
      </c>
      <c r="V12" s="683"/>
      <c r="W12" s="683"/>
      <c r="X12"/>
      <c r="AB12" s="59"/>
      <c r="AC12" s="59"/>
      <c r="AD12" s="59"/>
      <c r="AE12" s="59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6"/>
      <c r="O13" s="31"/>
      <c r="P13" s="31" t="s">
        <v>31</v>
      </c>
      <c r="Q13" s="681"/>
      <c r="R13" s="68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7"/>
      <c r="O15"/>
      <c r="P15" s="685" t="s">
        <v>61</v>
      </c>
      <c r="Q15" s="685"/>
      <c r="R15" s="685"/>
      <c r="S15" s="685"/>
      <c r="T15" s="68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82"/>
      <c r="BD17" s="81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83" t="s">
        <v>44</v>
      </c>
      <c r="V18" s="83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82"/>
      <c r="BD18" s="81"/>
    </row>
    <row r="19" spans="1:68" ht="27.75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4"/>
      <c r="AB19" s="54"/>
      <c r="AC19" s="54"/>
    </row>
    <row r="20" spans="1:68" ht="16.5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5"/>
      <c r="AB20" s="65"/>
      <c r="AC20" s="79"/>
    </row>
    <row r="21" spans="1:68" ht="14.25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4301031508</v>
      </c>
      <c r="D22" s="714">
        <v>4680115889071</v>
      </c>
      <c r="E22" s="714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6"/>
      <c r="R22" s="716"/>
      <c r="S22" s="716"/>
      <c r="T22" s="71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721"/>
      <c r="B23" s="721"/>
      <c r="C23" s="721"/>
      <c r="D23" s="721"/>
      <c r="E23" s="721"/>
      <c r="F23" s="721"/>
      <c r="G23" s="721"/>
      <c r="H23" s="721"/>
      <c r="I23" s="721"/>
      <c r="J23" s="721"/>
      <c r="K23" s="721"/>
      <c r="L23" s="721"/>
      <c r="M23" s="721"/>
      <c r="N23" s="721"/>
      <c r="O23" s="722"/>
      <c r="P23" s="718" t="s">
        <v>40</v>
      </c>
      <c r="Q23" s="719"/>
      <c r="R23" s="719"/>
      <c r="S23" s="719"/>
      <c r="T23" s="719"/>
      <c r="U23" s="719"/>
      <c r="V23" s="72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713" t="s">
        <v>83</v>
      </c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714">
        <v>4680115885912</v>
      </c>
      <c r="E26" s="714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6"/>
      <c r="R26" s="716"/>
      <c r="S26" s="716"/>
      <c r="T26" s="717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714">
        <v>4607091388237</v>
      </c>
      <c r="E27" s="714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6"/>
      <c r="R27" s="716"/>
      <c r="S27" s="716"/>
      <c r="T27" s="71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714">
        <v>4680115887350</v>
      </c>
      <c r="E28" s="714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6"/>
      <c r="R28" s="716"/>
      <c r="S28" s="716"/>
      <c r="T28" s="71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714">
        <v>4680115885905</v>
      </c>
      <c r="E29" s="71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6"/>
      <c r="R29" s="716"/>
      <c r="S29" s="716"/>
      <c r="T29" s="71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4301052071</v>
      </c>
      <c r="D30" s="714">
        <v>4680115887619</v>
      </c>
      <c r="E30" s="714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6"/>
      <c r="R30" s="716"/>
      <c r="S30" s="716"/>
      <c r="T30" s="71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721"/>
      <c r="B31" s="721"/>
      <c r="C31" s="721"/>
      <c r="D31" s="721"/>
      <c r="E31" s="721"/>
      <c r="F31" s="721"/>
      <c r="G31" s="721"/>
      <c r="H31" s="721"/>
      <c r="I31" s="721"/>
      <c r="J31" s="721"/>
      <c r="K31" s="721"/>
      <c r="L31" s="721"/>
      <c r="M31" s="721"/>
      <c r="N31" s="721"/>
      <c r="O31" s="722"/>
      <c r="P31" s="718" t="s">
        <v>40</v>
      </c>
      <c r="Q31" s="719"/>
      <c r="R31" s="719"/>
      <c r="S31" s="719"/>
      <c r="T31" s="719"/>
      <c r="U31" s="719"/>
      <c r="V31" s="720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713" t="s">
        <v>101</v>
      </c>
      <c r="B33" s="713"/>
      <c r="C33" s="713"/>
      <c r="D33" s="713"/>
      <c r="E33" s="713"/>
      <c r="F33" s="713"/>
      <c r="G33" s="713"/>
      <c r="H33" s="713"/>
      <c r="I33" s="713"/>
      <c r="J33" s="713"/>
      <c r="K33" s="713"/>
      <c r="L33" s="713"/>
      <c r="M33" s="713"/>
      <c r="N33" s="713"/>
      <c r="O33" s="713"/>
      <c r="P33" s="713"/>
      <c r="Q33" s="713"/>
      <c r="R33" s="713"/>
      <c r="S33" s="713"/>
      <c r="T33" s="713"/>
      <c r="U33" s="713"/>
      <c r="V33" s="713"/>
      <c r="W33" s="713"/>
      <c r="X33" s="713"/>
      <c r="Y33" s="713"/>
      <c r="Z33" s="713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4301032059</v>
      </c>
      <c r="D34" s="714">
        <v>4680115889262</v>
      </c>
      <c r="E34" s="714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6"/>
      <c r="R34" s="716"/>
      <c r="S34" s="716"/>
      <c r="T34" s="717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customHeight="1" x14ac:dyDescent="0.25">
      <c r="A35" s="63" t="s">
        <v>109</v>
      </c>
      <c r="B35" s="63" t="s">
        <v>110</v>
      </c>
      <c r="C35" s="36">
        <v>4301032063</v>
      </c>
      <c r="D35" s="714">
        <v>4680115889040</v>
      </c>
      <c r="E35" s="714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6"/>
      <c r="R35" s="716"/>
      <c r="S35" s="716"/>
      <c r="T35" s="717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21"/>
      <c r="B36" s="721"/>
      <c r="C36" s="721"/>
      <c r="D36" s="721"/>
      <c r="E36" s="721"/>
      <c r="F36" s="721"/>
      <c r="G36" s="721"/>
      <c r="H36" s="721"/>
      <c r="I36" s="721"/>
      <c r="J36" s="721"/>
      <c r="K36" s="721"/>
      <c r="L36" s="721"/>
      <c r="M36" s="721"/>
      <c r="N36" s="721"/>
      <c r="O36" s="722"/>
      <c r="P36" s="718" t="s">
        <v>40</v>
      </c>
      <c r="Q36" s="719"/>
      <c r="R36" s="719"/>
      <c r="S36" s="719"/>
      <c r="T36" s="719"/>
      <c r="U36" s="719"/>
      <c r="V36" s="720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721"/>
      <c r="B37" s="721"/>
      <c r="C37" s="721"/>
      <c r="D37" s="721"/>
      <c r="E37" s="721"/>
      <c r="F37" s="721"/>
      <c r="G37" s="721"/>
      <c r="H37" s="721"/>
      <c r="I37" s="721"/>
      <c r="J37" s="721"/>
      <c r="K37" s="721"/>
      <c r="L37" s="721"/>
      <c r="M37" s="721"/>
      <c r="N37" s="721"/>
      <c r="O37" s="722"/>
      <c r="P37" s="718" t="s">
        <v>40</v>
      </c>
      <c r="Q37" s="719"/>
      <c r="R37" s="719"/>
      <c r="S37" s="719"/>
      <c r="T37" s="719"/>
      <c r="U37" s="719"/>
      <c r="V37" s="720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customHeight="1" x14ac:dyDescent="0.2">
      <c r="A38" s="711" t="s">
        <v>45</v>
      </c>
      <c r="B38" s="711"/>
      <c r="C38" s="711"/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711"/>
      <c r="O38" s="711"/>
      <c r="P38" s="711"/>
      <c r="Q38" s="711"/>
      <c r="R38" s="711"/>
      <c r="S38" s="711"/>
      <c r="T38" s="711"/>
      <c r="U38" s="711"/>
      <c r="V38" s="711"/>
      <c r="W38" s="711"/>
      <c r="X38" s="711"/>
      <c r="Y38" s="711"/>
      <c r="Z38" s="711"/>
      <c r="AA38" s="54"/>
      <c r="AB38" s="54"/>
      <c r="AC38" s="54"/>
    </row>
    <row r="39" spans="1:68" ht="16.5" customHeight="1" x14ac:dyDescent="0.25">
      <c r="A39" s="712" t="s">
        <v>112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2"/>
      <c r="V39" s="712"/>
      <c r="W39" s="712"/>
      <c r="X39" s="712"/>
      <c r="Y39" s="712"/>
      <c r="Z39" s="712"/>
      <c r="AA39" s="65"/>
      <c r="AB39" s="65"/>
      <c r="AC39" s="79"/>
    </row>
    <row r="40" spans="1:68" ht="14.25" customHeight="1" x14ac:dyDescent="0.25">
      <c r="A40" s="713" t="s">
        <v>83</v>
      </c>
      <c r="B40" s="713"/>
      <c r="C40" s="713"/>
      <c r="D40" s="713"/>
      <c r="E40" s="713"/>
      <c r="F40" s="713"/>
      <c r="G40" s="713"/>
      <c r="H40" s="713"/>
      <c r="I40" s="713"/>
      <c r="J40" s="713"/>
      <c r="K40" s="713"/>
      <c r="L40" s="713"/>
      <c r="M40" s="713"/>
      <c r="N40" s="713"/>
      <c r="O40" s="713"/>
      <c r="P40" s="713"/>
      <c r="Q40" s="713"/>
      <c r="R40" s="713"/>
      <c r="S40" s="713"/>
      <c r="T40" s="713"/>
      <c r="U40" s="713"/>
      <c r="V40" s="713"/>
      <c r="W40" s="713"/>
      <c r="X40" s="713"/>
      <c r="Y40" s="713"/>
      <c r="Z40" s="713"/>
      <c r="AA40" s="66"/>
      <c r="AB40" s="66"/>
      <c r="AC40" s="80"/>
    </row>
    <row r="41" spans="1:68" ht="27" customHeight="1" x14ac:dyDescent="0.25">
      <c r="A41" s="63" t="s">
        <v>113</v>
      </c>
      <c r="B41" s="63" t="s">
        <v>114</v>
      </c>
      <c r="C41" s="36">
        <v>4301052187</v>
      </c>
      <c r="D41" s="714">
        <v>4680115889354</v>
      </c>
      <c r="E41" s="71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6"/>
      <c r="R41" s="716"/>
      <c r="S41" s="716"/>
      <c r="T41" s="71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116</v>
      </c>
      <c r="B42" s="63" t="s">
        <v>117</v>
      </c>
      <c r="C42" s="36">
        <v>4301052198</v>
      </c>
      <c r="D42" s="714">
        <v>4680115888463</v>
      </c>
      <c r="E42" s="714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6"/>
      <c r="R42" s="716"/>
      <c r="S42" s="716"/>
      <c r="T42" s="717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119</v>
      </c>
      <c r="B43" s="63" t="s">
        <v>120</v>
      </c>
      <c r="C43" s="36">
        <v>4301052259</v>
      </c>
      <c r="D43" s="714">
        <v>4680115889590</v>
      </c>
      <c r="E43" s="714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6"/>
      <c r="R43" s="716"/>
      <c r="S43" s="716"/>
      <c r="T43" s="717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122</v>
      </c>
      <c r="B44" s="63" t="s">
        <v>123</v>
      </c>
      <c r="C44" s="36">
        <v>4301052184</v>
      </c>
      <c r="D44" s="714">
        <v>4680115888272</v>
      </c>
      <c r="E44" s="714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6"/>
      <c r="R44" s="716"/>
      <c r="S44" s="716"/>
      <c r="T44" s="717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125</v>
      </c>
      <c r="B45" s="63" t="s">
        <v>126</v>
      </c>
      <c r="C45" s="36">
        <v>4301052188</v>
      </c>
      <c r="D45" s="714">
        <v>4680115888364</v>
      </c>
      <c r="E45" s="714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6"/>
      <c r="R45" s="716"/>
      <c r="S45" s="716"/>
      <c r="T45" s="717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21"/>
      <c r="B46" s="721"/>
      <c r="C46" s="721"/>
      <c r="D46" s="721"/>
      <c r="E46" s="721"/>
      <c r="F46" s="721"/>
      <c r="G46" s="721"/>
      <c r="H46" s="721"/>
      <c r="I46" s="721"/>
      <c r="J46" s="721"/>
      <c r="K46" s="721"/>
      <c r="L46" s="721"/>
      <c r="M46" s="721"/>
      <c r="N46" s="721"/>
      <c r="O46" s="722"/>
      <c r="P46" s="718" t="s">
        <v>40</v>
      </c>
      <c r="Q46" s="719"/>
      <c r="R46" s="719"/>
      <c r="S46" s="719"/>
      <c r="T46" s="719"/>
      <c r="U46" s="719"/>
      <c r="V46" s="720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21"/>
      <c r="B47" s="721"/>
      <c r="C47" s="721"/>
      <c r="D47" s="721"/>
      <c r="E47" s="721"/>
      <c r="F47" s="721"/>
      <c r="G47" s="721"/>
      <c r="H47" s="721"/>
      <c r="I47" s="721"/>
      <c r="J47" s="721"/>
      <c r="K47" s="721"/>
      <c r="L47" s="721"/>
      <c r="M47" s="721"/>
      <c r="N47" s="721"/>
      <c r="O47" s="722"/>
      <c r="P47" s="718" t="s">
        <v>40</v>
      </c>
      <c r="Q47" s="719"/>
      <c r="R47" s="719"/>
      <c r="S47" s="719"/>
      <c r="T47" s="719"/>
      <c r="U47" s="719"/>
      <c r="V47" s="720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11" t="s">
        <v>128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711"/>
      <c r="O48" s="711"/>
      <c r="P48" s="711"/>
      <c r="Q48" s="711"/>
      <c r="R48" s="711"/>
      <c r="S48" s="711"/>
      <c r="T48" s="711"/>
      <c r="U48" s="711"/>
      <c r="V48" s="711"/>
      <c r="W48" s="711"/>
      <c r="X48" s="711"/>
      <c r="Y48" s="711"/>
      <c r="Z48" s="711"/>
      <c r="AA48" s="54"/>
      <c r="AB48" s="54"/>
      <c r="AC48" s="54"/>
    </row>
    <row r="49" spans="1:68" ht="16.5" customHeight="1" x14ac:dyDescent="0.25">
      <c r="A49" s="712" t="s">
        <v>129</v>
      </c>
      <c r="B49" s="712"/>
      <c r="C49" s="712"/>
      <c r="D49" s="712"/>
      <c r="E49" s="712"/>
      <c r="F49" s="712"/>
      <c r="G49" s="712"/>
      <c r="H49" s="712"/>
      <c r="I49" s="712"/>
      <c r="J49" s="712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  <c r="Z49" s="712"/>
      <c r="AA49" s="65"/>
      <c r="AB49" s="65"/>
      <c r="AC49" s="79"/>
    </row>
    <row r="50" spans="1:68" ht="14.25" customHeight="1" x14ac:dyDescent="0.25">
      <c r="A50" s="713" t="s">
        <v>130</v>
      </c>
      <c r="B50" s="713"/>
      <c r="C50" s="713"/>
      <c r="D50" s="713"/>
      <c r="E50" s="713"/>
      <c r="F50" s="713"/>
      <c r="G50" s="713"/>
      <c r="H50" s="713"/>
      <c r="I50" s="713"/>
      <c r="J50" s="713"/>
      <c r="K50" s="713"/>
      <c r="L50" s="713"/>
      <c r="M50" s="713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4">
        <v>4607091385670</v>
      </c>
      <c r="E51" s="714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6"/>
      <c r="R51" s="716"/>
      <c r="S51" s="716"/>
      <c r="T51" s="717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136</v>
      </c>
      <c r="B52" s="63" t="s">
        <v>137</v>
      </c>
      <c r="C52" s="36">
        <v>4301012053</v>
      </c>
      <c r="D52" s="714">
        <v>4680115887725</v>
      </c>
      <c r="E52" s="714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6"/>
      <c r="R52" s="716"/>
      <c r="S52" s="716"/>
      <c r="T52" s="717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4">
        <v>4607091385687</v>
      </c>
      <c r="E53" s="714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6"/>
      <c r="R53" s="716"/>
      <c r="S53" s="716"/>
      <c r="T53" s="717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143</v>
      </c>
      <c r="B54" s="63" t="s">
        <v>144</v>
      </c>
      <c r="C54" s="36">
        <v>4301011565</v>
      </c>
      <c r="D54" s="714">
        <v>4680115882539</v>
      </c>
      <c r="E54" s="714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6"/>
      <c r="R54" s="716"/>
      <c r="S54" s="716"/>
      <c r="T54" s="717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1"/>
      <c r="B55" s="721"/>
      <c r="C55" s="721"/>
      <c r="D55" s="721"/>
      <c r="E55" s="721"/>
      <c r="F55" s="721"/>
      <c r="G55" s="721"/>
      <c r="H55" s="721"/>
      <c r="I55" s="721"/>
      <c r="J55" s="721"/>
      <c r="K55" s="721"/>
      <c r="L55" s="721"/>
      <c r="M55" s="721"/>
      <c r="N55" s="721"/>
      <c r="O55" s="722"/>
      <c r="P55" s="718" t="s">
        <v>40</v>
      </c>
      <c r="Q55" s="719"/>
      <c r="R55" s="719"/>
      <c r="S55" s="719"/>
      <c r="T55" s="719"/>
      <c r="U55" s="719"/>
      <c r="V55" s="720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721"/>
      <c r="B56" s="721"/>
      <c r="C56" s="721"/>
      <c r="D56" s="721"/>
      <c r="E56" s="721"/>
      <c r="F56" s="721"/>
      <c r="G56" s="721"/>
      <c r="H56" s="721"/>
      <c r="I56" s="721"/>
      <c r="J56" s="721"/>
      <c r="K56" s="721"/>
      <c r="L56" s="721"/>
      <c r="M56" s="721"/>
      <c r="N56" s="721"/>
      <c r="O56" s="722"/>
      <c r="P56" s="718" t="s">
        <v>40</v>
      </c>
      <c r="Q56" s="719"/>
      <c r="R56" s="719"/>
      <c r="S56" s="719"/>
      <c r="T56" s="719"/>
      <c r="U56" s="719"/>
      <c r="V56" s="720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712" t="s">
        <v>145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  <c r="Z57" s="712"/>
      <c r="AA57" s="65"/>
      <c r="AB57" s="65"/>
      <c r="AC57" s="79"/>
    </row>
    <row r="58" spans="1:68" ht="14.25" customHeight="1" x14ac:dyDescent="0.25">
      <c r="A58" s="713" t="s">
        <v>130</v>
      </c>
      <c r="B58" s="713"/>
      <c r="C58" s="713"/>
      <c r="D58" s="713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3"/>
      <c r="R58" s="713"/>
      <c r="S58" s="713"/>
      <c r="T58" s="713"/>
      <c r="U58" s="713"/>
      <c r="V58" s="713"/>
      <c r="W58" s="713"/>
      <c r="X58" s="713"/>
      <c r="Y58" s="713"/>
      <c r="Z58" s="713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714">
        <v>4680115885882</v>
      </c>
      <c r="E59" s="714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6"/>
      <c r="R59" s="716"/>
      <c r="S59" s="716"/>
      <c r="T59" s="71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4">
        <v>4680115881426</v>
      </c>
      <c r="E60" s="714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6"/>
      <c r="R60" s="716"/>
      <c r="S60" s="716"/>
      <c r="T60" s="71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152</v>
      </c>
      <c r="C61" s="36">
        <v>4301012162</v>
      </c>
      <c r="D61" s="714">
        <v>4680115881426</v>
      </c>
      <c r="E61" s="714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6"/>
      <c r="R61" s="716"/>
      <c r="S61" s="716"/>
      <c r="T61" s="71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154</v>
      </c>
      <c r="B62" s="63" t="s">
        <v>155</v>
      </c>
      <c r="C62" s="36">
        <v>4301012259</v>
      </c>
      <c r="D62" s="714">
        <v>4680115880283</v>
      </c>
      <c r="E62" s="714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6"/>
      <c r="R62" s="716"/>
      <c r="S62" s="716"/>
      <c r="T62" s="717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157</v>
      </c>
      <c r="B63" s="63" t="s">
        <v>158</v>
      </c>
      <c r="C63" s="36">
        <v>4301011806</v>
      </c>
      <c r="D63" s="714">
        <v>4680115881525</v>
      </c>
      <c r="E63" s="714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6"/>
      <c r="R63" s="716"/>
      <c r="S63" s="716"/>
      <c r="T63" s="717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157</v>
      </c>
      <c r="B64" s="63" t="s">
        <v>160</v>
      </c>
      <c r="C64" s="36">
        <v>4301012159</v>
      </c>
      <c r="D64" s="714">
        <v>4680115881525</v>
      </c>
      <c r="E64" s="714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6"/>
      <c r="R64" s="716"/>
      <c r="S64" s="716"/>
      <c r="T64" s="717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714">
        <v>4680115885899</v>
      </c>
      <c r="E65" s="714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6"/>
      <c r="R65" s="716"/>
      <c r="S65" s="716"/>
      <c r="T65" s="717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714">
        <v>4680115881419</v>
      </c>
      <c r="E66" s="714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6"/>
      <c r="R66" s="716"/>
      <c r="S66" s="716"/>
      <c r="T66" s="717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21"/>
      <c r="B67" s="721"/>
      <c r="C67" s="721"/>
      <c r="D67" s="721"/>
      <c r="E67" s="721"/>
      <c r="F67" s="721"/>
      <c r="G67" s="721"/>
      <c r="H67" s="721"/>
      <c r="I67" s="721"/>
      <c r="J67" s="721"/>
      <c r="K67" s="721"/>
      <c r="L67" s="721"/>
      <c r="M67" s="721"/>
      <c r="N67" s="721"/>
      <c r="O67" s="722"/>
      <c r="P67" s="718" t="s">
        <v>40</v>
      </c>
      <c r="Q67" s="719"/>
      <c r="R67" s="719"/>
      <c r="S67" s="719"/>
      <c r="T67" s="719"/>
      <c r="U67" s="719"/>
      <c r="V67" s="720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721"/>
      <c r="B68" s="721"/>
      <c r="C68" s="721"/>
      <c r="D68" s="721"/>
      <c r="E68" s="721"/>
      <c r="F68" s="721"/>
      <c r="G68" s="721"/>
      <c r="H68" s="721"/>
      <c r="I68" s="721"/>
      <c r="J68" s="721"/>
      <c r="K68" s="721"/>
      <c r="L68" s="721"/>
      <c r="M68" s="721"/>
      <c r="N68" s="721"/>
      <c r="O68" s="722"/>
      <c r="P68" s="718" t="s">
        <v>40</v>
      </c>
      <c r="Q68" s="719"/>
      <c r="R68" s="719"/>
      <c r="S68" s="719"/>
      <c r="T68" s="719"/>
      <c r="U68" s="719"/>
      <c r="V68" s="720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713" t="s">
        <v>165</v>
      </c>
      <c r="B69" s="713"/>
      <c r="C69" s="713"/>
      <c r="D69" s="713"/>
      <c r="E69" s="713"/>
      <c r="F69" s="713"/>
      <c r="G69" s="713"/>
      <c r="H69" s="713"/>
      <c r="I69" s="713"/>
      <c r="J69" s="713"/>
      <c r="K69" s="713"/>
      <c r="L69" s="713"/>
      <c r="M69" s="713"/>
      <c r="N69" s="713"/>
      <c r="O69" s="713"/>
      <c r="P69" s="713"/>
      <c r="Q69" s="713"/>
      <c r="R69" s="713"/>
      <c r="S69" s="713"/>
      <c r="T69" s="713"/>
      <c r="U69" s="713"/>
      <c r="V69" s="713"/>
      <c r="W69" s="713"/>
      <c r="X69" s="713"/>
      <c r="Y69" s="713"/>
      <c r="Z69" s="713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714">
        <v>4680115881440</v>
      </c>
      <c r="E70" s="714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6"/>
      <c r="R70" s="716"/>
      <c r="S70" s="716"/>
      <c r="T70" s="717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4301020358</v>
      </c>
      <c r="D71" s="714">
        <v>4680115885950</v>
      </c>
      <c r="E71" s="714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6"/>
      <c r="R71" s="716"/>
      <c r="S71" s="716"/>
      <c r="T71" s="71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714">
        <v>4680115887688</v>
      </c>
      <c r="E72" s="714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6"/>
      <c r="R72" s="716"/>
      <c r="S72" s="716"/>
      <c r="T72" s="71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4301020389</v>
      </c>
      <c r="D73" s="714">
        <v>4680115881433</v>
      </c>
      <c r="E73" s="714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6"/>
      <c r="R73" s="716"/>
      <c r="S73" s="716"/>
      <c r="T73" s="71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21"/>
      <c r="B74" s="721"/>
      <c r="C74" s="721"/>
      <c r="D74" s="721"/>
      <c r="E74" s="721"/>
      <c r="F74" s="721"/>
      <c r="G74" s="721"/>
      <c r="H74" s="721"/>
      <c r="I74" s="721"/>
      <c r="J74" s="721"/>
      <c r="K74" s="721"/>
      <c r="L74" s="721"/>
      <c r="M74" s="721"/>
      <c r="N74" s="721"/>
      <c r="O74" s="722"/>
      <c r="P74" s="718" t="s">
        <v>40</v>
      </c>
      <c r="Q74" s="719"/>
      <c r="R74" s="719"/>
      <c r="S74" s="719"/>
      <c r="T74" s="719"/>
      <c r="U74" s="719"/>
      <c r="V74" s="720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713" t="s">
        <v>83</v>
      </c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3"/>
      <c r="X76" s="713"/>
      <c r="Y76" s="713"/>
      <c r="Z76" s="713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714">
        <v>4680115884311</v>
      </c>
      <c r="E77" s="714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6"/>
      <c r="R77" s="716"/>
      <c r="S77" s="716"/>
      <c r="T77" s="71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4301052083</v>
      </c>
      <c r="D78" s="714">
        <v>4680115884403</v>
      </c>
      <c r="E78" s="714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6"/>
      <c r="R78" s="716"/>
      <c r="S78" s="716"/>
      <c r="T78" s="71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21"/>
      <c r="B79" s="721"/>
      <c r="C79" s="721"/>
      <c r="D79" s="721"/>
      <c r="E79" s="721"/>
      <c r="F79" s="721"/>
      <c r="G79" s="721"/>
      <c r="H79" s="721"/>
      <c r="I79" s="721"/>
      <c r="J79" s="721"/>
      <c r="K79" s="721"/>
      <c r="L79" s="721"/>
      <c r="M79" s="721"/>
      <c r="N79" s="721"/>
      <c r="O79" s="722"/>
      <c r="P79" s="718" t="s">
        <v>40</v>
      </c>
      <c r="Q79" s="719"/>
      <c r="R79" s="719"/>
      <c r="S79" s="719"/>
      <c r="T79" s="719"/>
      <c r="U79" s="719"/>
      <c r="V79" s="72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13" t="s">
        <v>183</v>
      </c>
      <c r="B81" s="713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3"/>
      <c r="N81" s="713"/>
      <c r="O81" s="713"/>
      <c r="P81" s="713"/>
      <c r="Q81" s="713"/>
      <c r="R81" s="713"/>
      <c r="S81" s="713"/>
      <c r="T81" s="713"/>
      <c r="U81" s="713"/>
      <c r="V81" s="713"/>
      <c r="W81" s="713"/>
      <c r="X81" s="713"/>
      <c r="Y81" s="713"/>
      <c r="Z81" s="713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714">
        <v>4680115881532</v>
      </c>
      <c r="E82" s="714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6"/>
      <c r="R82" s="716"/>
      <c r="S82" s="716"/>
      <c r="T82" s="717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184</v>
      </c>
      <c r="B83" s="63" t="s">
        <v>187</v>
      </c>
      <c r="C83" s="36">
        <v>4301060526</v>
      </c>
      <c r="D83" s="714">
        <v>4680115881532</v>
      </c>
      <c r="E83" s="714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6"/>
      <c r="R83" s="716"/>
      <c r="S83" s="716"/>
      <c r="T83" s="717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188</v>
      </c>
      <c r="B84" s="63" t="s">
        <v>189</v>
      </c>
      <c r="C84" s="36">
        <v>4301060527</v>
      </c>
      <c r="D84" s="714">
        <v>4680115881464</v>
      </c>
      <c r="E84" s="714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6"/>
      <c r="R84" s="716"/>
      <c r="S84" s="716"/>
      <c r="T84" s="717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">
      <c r="A85" s="721"/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2"/>
      <c r="P85" s="718" t="s">
        <v>40</v>
      </c>
      <c r="Q85" s="719"/>
      <c r="R85" s="719"/>
      <c r="S85" s="719"/>
      <c r="T85" s="719"/>
      <c r="U85" s="719"/>
      <c r="V85" s="720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x14ac:dyDescent="0.2">
      <c r="A86" s="721"/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2"/>
      <c r="P86" s="718" t="s">
        <v>40</v>
      </c>
      <c r="Q86" s="719"/>
      <c r="R86" s="719"/>
      <c r="S86" s="719"/>
      <c r="T86" s="719"/>
      <c r="U86" s="719"/>
      <c r="V86" s="720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customHeight="1" x14ac:dyDescent="0.25">
      <c r="A87" s="712" t="s">
        <v>191</v>
      </c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2"/>
      <c r="P87" s="712"/>
      <c r="Q87" s="712"/>
      <c r="R87" s="712"/>
      <c r="S87" s="712"/>
      <c r="T87" s="712"/>
      <c r="U87" s="712"/>
      <c r="V87" s="712"/>
      <c r="W87" s="712"/>
      <c r="X87" s="712"/>
      <c r="Y87" s="712"/>
      <c r="Z87" s="712"/>
      <c r="AA87" s="65"/>
      <c r="AB87" s="65"/>
      <c r="AC87" s="79"/>
    </row>
    <row r="88" spans="1:68" ht="14.25" customHeight="1" x14ac:dyDescent="0.25">
      <c r="A88" s="713" t="s">
        <v>130</v>
      </c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713"/>
      <c r="Y88" s="713"/>
      <c r="Z88" s="713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714">
        <v>4680115881327</v>
      </c>
      <c r="E89" s="714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6"/>
      <c r="R89" s="716"/>
      <c r="S89" s="716"/>
      <c r="T89" s="717"/>
      <c r="U89" s="39" t="s">
        <v>46</v>
      </c>
      <c r="V89" s="39" t="s">
        <v>46</v>
      </c>
      <c r="W89" s="40" t="s">
        <v>0</v>
      </c>
      <c r="X89" s="58">
        <v>250</v>
      </c>
      <c r="Y89" s="55">
        <f t="shared" ref="Y89:Y94" si="5">IFERROR(IF(X89="",0,CEILING((X89/$H89),1)*$H89),"")</f>
        <v>259.20000000000005</v>
      </c>
      <c r="Z89" s="41">
        <f>IFERROR(IF(Y89=0,"",ROUNDUP(Y89/H89,0)*0.01898),"")</f>
        <v>0.45552000000000004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259.4907407407407</v>
      </c>
      <c r="BN89" s="78">
        <f t="shared" ref="BN89:BN94" si="7">IFERROR(Y89*I89/H89,"0")</f>
        <v>269.04000000000002</v>
      </c>
      <c r="BO89" s="78">
        <f t="shared" ref="BO89:BO94" si="8">IFERROR(1/J89*(X89/H89),"0")</f>
        <v>0.36168981481481477</v>
      </c>
      <c r="BP89" s="78">
        <f t="shared" ref="BP89:BP94" si="9">IFERROR(1/J89*(Y89/H89),"0")</f>
        <v>0.37500000000000006</v>
      </c>
    </row>
    <row r="90" spans="1:68" ht="27" customHeight="1" x14ac:dyDescent="0.25">
      <c r="A90" s="63" t="s">
        <v>192</v>
      </c>
      <c r="B90" s="63" t="s">
        <v>195</v>
      </c>
      <c r="C90" s="36">
        <v>4301012251</v>
      </c>
      <c r="D90" s="714">
        <v>4680115881327</v>
      </c>
      <c r="E90" s="714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6"/>
      <c r="R90" s="716"/>
      <c r="S90" s="716"/>
      <c r="T90" s="717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4301012392</v>
      </c>
      <c r="D91" s="714">
        <v>4680115887732</v>
      </c>
      <c r="E91" s="714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6"/>
      <c r="R91" s="716"/>
      <c r="S91" s="716"/>
      <c r="T91" s="717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199</v>
      </c>
      <c r="B92" s="63" t="s">
        <v>200</v>
      </c>
      <c r="C92" s="36">
        <v>4301011476</v>
      </c>
      <c r="D92" s="714">
        <v>4680115881518</v>
      </c>
      <c r="E92" s="714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6"/>
      <c r="R92" s="716"/>
      <c r="S92" s="716"/>
      <c r="T92" s="717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customHeight="1" x14ac:dyDescent="0.25">
      <c r="A93" s="63" t="s">
        <v>199</v>
      </c>
      <c r="B93" s="63" t="s">
        <v>201</v>
      </c>
      <c r="C93" s="36">
        <v>4301012252</v>
      </c>
      <c r="D93" s="714">
        <v>4680115881518</v>
      </c>
      <c r="E93" s="714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6"/>
      <c r="R93" s="716"/>
      <c r="S93" s="716"/>
      <c r="T93" s="71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714">
        <v>4680115881303</v>
      </c>
      <c r="E94" s="714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6"/>
      <c r="R94" s="716"/>
      <c r="S94" s="716"/>
      <c r="T94" s="71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IFERROR(X89/H89,"0")+IFERROR(X90/H90,"0")+IFERROR(X91/H91,"0")+IFERROR(X92/H92,"0")+IFERROR(X93/H93,"0")+IFERROR(X94/H94,"0")</f>
        <v>23.148148148148145</v>
      </c>
      <c r="Y95" s="43">
        <f>IFERROR(Y89/H89,"0")+IFERROR(Y90/H90,"0")+IFERROR(Y91/H91,"0")+IFERROR(Y92/H92,"0")+IFERROR(Y93/H93,"0")+IFERROR(Y94/H94,"0")</f>
        <v>24.000000000000004</v>
      </c>
      <c r="Z95" s="43">
        <f>IFERROR(IF(Z89="",0,Z89),"0")+IFERROR(IF(Z90="",0,Z90),"0")+IFERROR(IF(Z91="",0,Z91),"0")+IFERROR(IF(Z92="",0,Z92),"0")+IFERROR(IF(Z93="",0,Z93),"0")+IFERROR(IF(Z94="",0,Z94),"0")</f>
        <v>0.45552000000000004</v>
      </c>
      <c r="AA95" s="67"/>
      <c r="AB95" s="67"/>
      <c r="AC95" s="67"/>
    </row>
    <row r="96" spans="1:68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IFERROR(SUM(X89:X94),"0")</f>
        <v>250</v>
      </c>
      <c r="Y96" s="43">
        <f>IFERROR(SUM(Y89:Y94),"0")</f>
        <v>259.20000000000005</v>
      </c>
      <c r="Z96" s="42"/>
      <c r="AA96" s="67"/>
      <c r="AB96" s="67"/>
      <c r="AC96" s="67"/>
    </row>
    <row r="97" spans="1:68" ht="14.25" customHeight="1" x14ac:dyDescent="0.25">
      <c r="A97" s="713" t="s">
        <v>83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714">
        <v>4607091386967</v>
      </c>
      <c r="E98" s="714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6"/>
      <c r="R98" s="716"/>
      <c r="S98" s="716"/>
      <c r="T98" s="717"/>
      <c r="U98" s="39" t="s">
        <v>46</v>
      </c>
      <c r="V98" s="39" t="s">
        <v>46</v>
      </c>
      <c r="W98" s="40" t="s">
        <v>0</v>
      </c>
      <c r="X98" s="58">
        <v>150</v>
      </c>
      <c r="Y98" s="55">
        <f>IFERROR(IF(X98="",0,CEILING((X98/$H98),1)*$H98),"")</f>
        <v>153.9</v>
      </c>
      <c r="Z98" s="41">
        <f>IFERROR(IF(Y98=0,"",ROUNDUP(Y98/H98,0)*0.01898),"")</f>
        <v>0.36062</v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159.14814814814815</v>
      </c>
      <c r="BN98" s="78">
        <f>IFERROR(Y98*I98/H98,"0")</f>
        <v>163.286</v>
      </c>
      <c r="BO98" s="78">
        <f>IFERROR(1/J98*(X98/H98),"0")</f>
        <v>0.28935185185185186</v>
      </c>
      <c r="BP98" s="78">
        <f>IFERROR(1/J98*(Y98/H98),"0")</f>
        <v>0.296875</v>
      </c>
    </row>
    <row r="99" spans="1:68" ht="27" customHeight="1" x14ac:dyDescent="0.25">
      <c r="A99" s="63" t="s">
        <v>207</v>
      </c>
      <c r="B99" s="63" t="s">
        <v>208</v>
      </c>
      <c r="C99" s="36">
        <v>4301052090</v>
      </c>
      <c r="D99" s="714">
        <v>4680115884953</v>
      </c>
      <c r="E99" s="714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6"/>
      <c r="R99" s="716"/>
      <c r="S99" s="716"/>
      <c r="T99" s="717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714">
        <v>4607091385731</v>
      </c>
      <c r="E100" s="714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6"/>
      <c r="R100" s="716"/>
      <c r="S100" s="716"/>
      <c r="T100" s="717"/>
      <c r="U100" s="39" t="s">
        <v>46</v>
      </c>
      <c r="V100" s="39" t="s">
        <v>46</v>
      </c>
      <c r="W100" s="40" t="s">
        <v>0</v>
      </c>
      <c r="X100" s="58">
        <v>54</v>
      </c>
      <c r="Y100" s="55">
        <f>IFERROR(IF(X100="",0,CEILING((X100/$H100),1)*$H100),"")</f>
        <v>54</v>
      </c>
      <c r="Z100" s="41">
        <f>IFERROR(IF(Y100=0,"",ROUNDUP(Y100/H100,0)*0.00651),"")</f>
        <v>0.13020000000000001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59.039999999999992</v>
      </c>
      <c r="BN100" s="78">
        <f>IFERROR(Y100*I100/H100,"0")</f>
        <v>59.039999999999992</v>
      </c>
      <c r="BO100" s="78">
        <f>IFERROR(1/J100*(X100/H100),"0")</f>
        <v>0.1098901098901099</v>
      </c>
      <c r="BP100" s="78">
        <f>IFERROR(1/J100*(Y100/H100),"0")</f>
        <v>0.1098901098901099</v>
      </c>
    </row>
    <row r="101" spans="1:68" ht="16.5" customHeight="1" x14ac:dyDescent="0.25">
      <c r="A101" s="63" t="s">
        <v>212</v>
      </c>
      <c r="B101" s="63" t="s">
        <v>213</v>
      </c>
      <c r="C101" s="36">
        <v>4301052092</v>
      </c>
      <c r="D101" s="714">
        <v>4680115880894</v>
      </c>
      <c r="E101" s="714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6"/>
      <c r="R101" s="716"/>
      <c r="S101" s="716"/>
      <c r="T101" s="717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1"/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2"/>
      <c r="P102" s="718" t="s">
        <v>40</v>
      </c>
      <c r="Q102" s="719"/>
      <c r="R102" s="719"/>
      <c r="S102" s="719"/>
      <c r="T102" s="719"/>
      <c r="U102" s="719"/>
      <c r="V102" s="720"/>
      <c r="W102" s="42" t="s">
        <v>39</v>
      </c>
      <c r="X102" s="43">
        <f>IFERROR(X98/H98,"0")+IFERROR(X99/H99,"0")+IFERROR(X100/H100,"0")+IFERROR(X101/H101,"0")</f>
        <v>38.518518518518519</v>
      </c>
      <c r="Y102" s="43">
        <f>IFERROR(Y98/H98,"0")+IFERROR(Y99/H99,"0")+IFERROR(Y100/H100,"0")+IFERROR(Y101/H101,"0")</f>
        <v>39</v>
      </c>
      <c r="Z102" s="43">
        <f>IFERROR(IF(Z98="",0,Z98),"0")+IFERROR(IF(Z99="",0,Z99),"0")+IFERROR(IF(Z100="",0,Z100),"0")+IFERROR(IF(Z101="",0,Z101),"0")</f>
        <v>0.49082000000000003</v>
      </c>
      <c r="AA102" s="67"/>
      <c r="AB102" s="67"/>
      <c r="AC102" s="67"/>
    </row>
    <row r="103" spans="1:68" x14ac:dyDescent="0.2">
      <c r="A103" s="721"/>
      <c r="B103" s="721"/>
      <c r="C103" s="721"/>
      <c r="D103" s="721"/>
      <c r="E103" s="721"/>
      <c r="F103" s="721"/>
      <c r="G103" s="721"/>
      <c r="H103" s="721"/>
      <c r="I103" s="721"/>
      <c r="J103" s="721"/>
      <c r="K103" s="721"/>
      <c r="L103" s="721"/>
      <c r="M103" s="721"/>
      <c r="N103" s="721"/>
      <c r="O103" s="722"/>
      <c r="P103" s="718" t="s">
        <v>40</v>
      </c>
      <c r="Q103" s="719"/>
      <c r="R103" s="719"/>
      <c r="S103" s="719"/>
      <c r="T103" s="719"/>
      <c r="U103" s="719"/>
      <c r="V103" s="720"/>
      <c r="W103" s="42" t="s">
        <v>0</v>
      </c>
      <c r="X103" s="43">
        <f>IFERROR(SUM(X98:X101),"0")</f>
        <v>204</v>
      </c>
      <c r="Y103" s="43">
        <f>IFERROR(SUM(Y98:Y101),"0")</f>
        <v>207.9</v>
      </c>
      <c r="Z103" s="42"/>
      <c r="AA103" s="67"/>
      <c r="AB103" s="67"/>
      <c r="AC103" s="67"/>
    </row>
    <row r="104" spans="1:68" ht="16.5" customHeight="1" x14ac:dyDescent="0.25">
      <c r="A104" s="712" t="s">
        <v>215</v>
      </c>
      <c r="B104" s="712"/>
      <c r="C104" s="712"/>
      <c r="D104" s="712"/>
      <c r="E104" s="712"/>
      <c r="F104" s="712"/>
      <c r="G104" s="712"/>
      <c r="H104" s="712"/>
      <c r="I104" s="712"/>
      <c r="J104" s="712"/>
      <c r="K104" s="712"/>
      <c r="L104" s="712"/>
      <c r="M104" s="712"/>
      <c r="N104" s="712"/>
      <c r="O104" s="712"/>
      <c r="P104" s="712"/>
      <c r="Q104" s="712"/>
      <c r="R104" s="712"/>
      <c r="S104" s="712"/>
      <c r="T104" s="712"/>
      <c r="U104" s="712"/>
      <c r="V104" s="712"/>
      <c r="W104" s="712"/>
      <c r="X104" s="712"/>
      <c r="Y104" s="712"/>
      <c r="Z104" s="712"/>
      <c r="AA104" s="65"/>
      <c r="AB104" s="65"/>
      <c r="AC104" s="79"/>
    </row>
    <row r="105" spans="1:68" ht="14.25" customHeight="1" x14ac:dyDescent="0.25">
      <c r="A105" s="713" t="s">
        <v>130</v>
      </c>
      <c r="B105" s="713"/>
      <c r="C105" s="713"/>
      <c r="D105" s="713"/>
      <c r="E105" s="713"/>
      <c r="F105" s="713"/>
      <c r="G105" s="713"/>
      <c r="H105" s="713"/>
      <c r="I105" s="713"/>
      <c r="J105" s="713"/>
      <c r="K105" s="713"/>
      <c r="L105" s="713"/>
      <c r="M105" s="713"/>
      <c r="N105" s="713"/>
      <c r="O105" s="713"/>
      <c r="P105" s="713"/>
      <c r="Q105" s="713"/>
      <c r="R105" s="713"/>
      <c r="S105" s="713"/>
      <c r="T105" s="713"/>
      <c r="U105" s="713"/>
      <c r="V105" s="713"/>
      <c r="W105" s="713"/>
      <c r="X105" s="713"/>
      <c r="Y105" s="713"/>
      <c r="Z105" s="713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714">
        <v>4680115882133</v>
      </c>
      <c r="E106" s="714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6"/>
      <c r="R106" s="716"/>
      <c r="S106" s="716"/>
      <c r="T106" s="717"/>
      <c r="U106" s="39" t="s">
        <v>46</v>
      </c>
      <c r="V106" s="39" t="s">
        <v>46</v>
      </c>
      <c r="W106" s="40" t="s">
        <v>0</v>
      </c>
      <c r="X106" s="58">
        <v>250</v>
      </c>
      <c r="Y106" s="55">
        <f t="shared" ref="Y106:Y112" si="10">IFERROR(IF(X106="",0,CEILING((X106/$H106),1)*$H106),"")</f>
        <v>259.20000000000005</v>
      </c>
      <c r="Z106" s="41">
        <f>IFERROR(IF(Y106=0,"",ROUNDUP(Y106/H106,0)*0.01898),"")</f>
        <v>0.45552000000000004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259.4907407407407</v>
      </c>
      <c r="BN106" s="78">
        <f t="shared" ref="BN106:BN112" si="12">IFERROR(Y106*I106/H106,"0")</f>
        <v>269.04000000000002</v>
      </c>
      <c r="BO106" s="78">
        <f t="shared" ref="BO106:BO112" si="13">IFERROR(1/J106*(X106/H106),"0")</f>
        <v>0.36168981481481477</v>
      </c>
      <c r="BP106" s="78">
        <f t="shared" ref="BP106:BP112" si="14">IFERROR(1/J106*(Y106/H106),"0")</f>
        <v>0.37500000000000006</v>
      </c>
    </row>
    <row r="107" spans="1:68" ht="27" customHeight="1" x14ac:dyDescent="0.25">
      <c r="A107" s="63" t="s">
        <v>216</v>
      </c>
      <c r="B107" s="63" t="s">
        <v>219</v>
      </c>
      <c r="C107" s="36">
        <v>4301012256</v>
      </c>
      <c r="D107" s="714">
        <v>4680115882133</v>
      </c>
      <c r="E107" s="714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6"/>
      <c r="R107" s="716"/>
      <c r="S107" s="716"/>
      <c r="T107" s="71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4301012379</v>
      </c>
      <c r="D108" s="714">
        <v>4680115887718</v>
      </c>
      <c r="E108" s="714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6"/>
      <c r="R108" s="716"/>
      <c r="S108" s="716"/>
      <c r="T108" s="71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224</v>
      </c>
      <c r="B109" s="63" t="s">
        <v>225</v>
      </c>
      <c r="C109" s="36">
        <v>4301012253</v>
      </c>
      <c r="D109" s="714">
        <v>4680115880269</v>
      </c>
      <c r="E109" s="714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6"/>
      <c r="R109" s="716"/>
      <c r="S109" s="716"/>
      <c r="T109" s="71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714">
        <v>4680115880429</v>
      </c>
      <c r="E110" s="71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6"/>
      <c r="R110" s="716"/>
      <c r="S110" s="716"/>
      <c r="T110" s="71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228</v>
      </c>
      <c r="B111" s="63" t="s">
        <v>229</v>
      </c>
      <c r="C111" s="36">
        <v>4301012255</v>
      </c>
      <c r="D111" s="714">
        <v>4680115881457</v>
      </c>
      <c r="E111" s="71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6"/>
      <c r="R111" s="716"/>
      <c r="S111" s="716"/>
      <c r="T111" s="71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230</v>
      </c>
      <c r="B112" s="63" t="s">
        <v>231</v>
      </c>
      <c r="C112" s="36">
        <v>4301012366</v>
      </c>
      <c r="D112" s="714">
        <v>4680115889477</v>
      </c>
      <c r="E112" s="714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6"/>
      <c r="R112" s="716"/>
      <c r="S112" s="716"/>
      <c r="T112" s="717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1"/>
      <c r="B113" s="721"/>
      <c r="C113" s="721"/>
      <c r="D113" s="721"/>
      <c r="E113" s="721"/>
      <c r="F113" s="721"/>
      <c r="G113" s="721"/>
      <c r="H113" s="721"/>
      <c r="I113" s="721"/>
      <c r="J113" s="721"/>
      <c r="K113" s="721"/>
      <c r="L113" s="721"/>
      <c r="M113" s="721"/>
      <c r="N113" s="721"/>
      <c r="O113" s="722"/>
      <c r="P113" s="718" t="s">
        <v>40</v>
      </c>
      <c r="Q113" s="719"/>
      <c r="R113" s="719"/>
      <c r="S113" s="719"/>
      <c r="T113" s="719"/>
      <c r="U113" s="719"/>
      <c r="V113" s="720"/>
      <c r="W113" s="42" t="s">
        <v>39</v>
      </c>
      <c r="X113" s="43">
        <f>IFERROR(X106/H106,"0")+IFERROR(X107/H107,"0")+IFERROR(X108/H108,"0")+IFERROR(X109/H109,"0")+IFERROR(X110/H110,"0")+IFERROR(X111/H111,"0")+IFERROR(X112/H112,"0")</f>
        <v>23.148148148148145</v>
      </c>
      <c r="Y113" s="43">
        <f>IFERROR(Y106/H106,"0")+IFERROR(Y107/H107,"0")+IFERROR(Y108/H108,"0")+IFERROR(Y109/H109,"0")+IFERROR(Y110/H110,"0")+IFERROR(Y111/H111,"0")+IFERROR(Y112/H112,"0")</f>
        <v>24.000000000000004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0.45552000000000004</v>
      </c>
      <c r="AA113" s="67"/>
      <c r="AB113" s="67"/>
      <c r="AC113" s="67"/>
    </row>
    <row r="114" spans="1:68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0</v>
      </c>
      <c r="X114" s="43">
        <f>IFERROR(SUM(X106:X112),"0")</f>
        <v>250</v>
      </c>
      <c r="Y114" s="43">
        <f>IFERROR(SUM(Y106:Y112),"0")</f>
        <v>259.20000000000005</v>
      </c>
      <c r="Z114" s="42"/>
      <c r="AA114" s="67"/>
      <c r="AB114" s="67"/>
      <c r="AC114" s="67"/>
    </row>
    <row r="115" spans="1:68" ht="14.25" customHeight="1" x14ac:dyDescent="0.25">
      <c r="A115" s="713" t="s">
        <v>165</v>
      </c>
      <c r="B115" s="713"/>
      <c r="C115" s="713"/>
      <c r="D115" s="713"/>
      <c r="E115" s="713"/>
      <c r="F115" s="713"/>
      <c r="G115" s="713"/>
      <c r="H115" s="713"/>
      <c r="I115" s="713"/>
      <c r="J115" s="713"/>
      <c r="K115" s="713"/>
      <c r="L115" s="713"/>
      <c r="M115" s="713"/>
      <c r="N115" s="713"/>
      <c r="O115" s="713"/>
      <c r="P115" s="713"/>
      <c r="Q115" s="713"/>
      <c r="R115" s="713"/>
      <c r="S115" s="713"/>
      <c r="T115" s="713"/>
      <c r="U115" s="713"/>
      <c r="V115" s="713"/>
      <c r="W115" s="713"/>
      <c r="X115" s="713"/>
      <c r="Y115" s="713"/>
      <c r="Z115" s="713"/>
      <c r="AA115" s="66"/>
      <c r="AB115" s="66"/>
      <c r="AC115" s="80"/>
    </row>
    <row r="116" spans="1:68" ht="27" customHeight="1" x14ac:dyDescent="0.25">
      <c r="A116" s="63" t="s">
        <v>233</v>
      </c>
      <c r="B116" s="63" t="s">
        <v>234</v>
      </c>
      <c r="C116" s="36">
        <v>4301020391</v>
      </c>
      <c r="D116" s="714">
        <v>4680115881488</v>
      </c>
      <c r="E116" s="714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6"/>
      <c r="R116" s="716"/>
      <c r="S116" s="716"/>
      <c r="T116" s="717"/>
      <c r="U116" s="39" t="s">
        <v>46</v>
      </c>
      <c r="V116" s="39" t="s">
        <v>46</v>
      </c>
      <c r="W116" s="40" t="s">
        <v>0</v>
      </c>
      <c r="X116" s="58">
        <v>60</v>
      </c>
      <c r="Y116" s="55">
        <f>IFERROR(IF(X116="",0,CEILING((X116/$H116),1)*$H116),"")</f>
        <v>64.800000000000011</v>
      </c>
      <c r="Z116" s="41">
        <f>IFERROR(IF(Y116=0,"",ROUNDUP(Y116/H116,0)*0.01898),"")</f>
        <v>0.11388000000000001</v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62.277777777777779</v>
      </c>
      <c r="BN116" s="78">
        <f>IFERROR(Y116*I116/H116,"0")</f>
        <v>67.260000000000005</v>
      </c>
      <c r="BO116" s="78">
        <f>IFERROR(1/J116*(X116/H116),"0")</f>
        <v>8.6805555555555552E-2</v>
      </c>
      <c r="BP116" s="78">
        <f>IFERROR(1/J116*(Y116/H116),"0")</f>
        <v>9.3750000000000014E-2</v>
      </c>
    </row>
    <row r="117" spans="1:68" ht="27" customHeight="1" x14ac:dyDescent="0.25">
      <c r="A117" s="63" t="s">
        <v>236</v>
      </c>
      <c r="B117" s="63" t="s">
        <v>237</v>
      </c>
      <c r="C117" s="36">
        <v>4301020430</v>
      </c>
      <c r="D117" s="714">
        <v>4680115887664</v>
      </c>
      <c r="E117" s="71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6"/>
      <c r="R117" s="716"/>
      <c r="S117" s="716"/>
      <c r="T117" s="71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240</v>
      </c>
      <c r="B118" s="63" t="s">
        <v>241</v>
      </c>
      <c r="C118" s="36">
        <v>4301020393</v>
      </c>
      <c r="D118" s="714">
        <v>4680115882775</v>
      </c>
      <c r="E118" s="71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6"/>
      <c r="R118" s="716"/>
      <c r="S118" s="716"/>
      <c r="T118" s="71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242</v>
      </c>
      <c r="B119" s="63" t="s">
        <v>243</v>
      </c>
      <c r="C119" s="36">
        <v>4301020392</v>
      </c>
      <c r="D119" s="714">
        <v>4680115880658</v>
      </c>
      <c r="E119" s="71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6"/>
      <c r="R119" s="716"/>
      <c r="S119" s="716"/>
      <c r="T119" s="717"/>
      <c r="U119" s="39" t="s">
        <v>46</v>
      </c>
      <c r="V119" s="39" t="s">
        <v>46</v>
      </c>
      <c r="W119" s="40" t="s">
        <v>0</v>
      </c>
      <c r="X119" s="58">
        <v>36</v>
      </c>
      <c r="Y119" s="55">
        <f>IFERROR(IF(X119="",0,CEILING((X119/$H119),1)*$H119),"")</f>
        <v>36</v>
      </c>
      <c r="Z119" s="41">
        <f>IFERROR(IF(Y119=0,"",ROUNDUP(Y119/H119,0)*0.00651),"")</f>
        <v>9.7650000000000001E-2</v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38.700000000000003</v>
      </c>
      <c r="BN119" s="78">
        <f>IFERROR(Y119*I119/H119,"0")</f>
        <v>38.700000000000003</v>
      </c>
      <c r="BO119" s="78">
        <f>IFERROR(1/J119*(X119/H119),"0")</f>
        <v>8.241758241758243E-2</v>
      </c>
      <c r="BP119" s="78">
        <f>IFERROR(1/J119*(Y119/H119),"0")</f>
        <v>8.241758241758243E-2</v>
      </c>
    </row>
    <row r="120" spans="1:68" x14ac:dyDescent="0.2">
      <c r="A120" s="721"/>
      <c r="B120" s="721"/>
      <c r="C120" s="721"/>
      <c r="D120" s="721"/>
      <c r="E120" s="721"/>
      <c r="F120" s="721"/>
      <c r="G120" s="721"/>
      <c r="H120" s="721"/>
      <c r="I120" s="721"/>
      <c r="J120" s="721"/>
      <c r="K120" s="721"/>
      <c r="L120" s="721"/>
      <c r="M120" s="721"/>
      <c r="N120" s="721"/>
      <c r="O120" s="722"/>
      <c r="P120" s="718" t="s">
        <v>40</v>
      </c>
      <c r="Q120" s="719"/>
      <c r="R120" s="719"/>
      <c r="S120" s="719"/>
      <c r="T120" s="719"/>
      <c r="U120" s="719"/>
      <c r="V120" s="720"/>
      <c r="W120" s="42" t="s">
        <v>39</v>
      </c>
      <c r="X120" s="43">
        <f>IFERROR(X116/H116,"0")+IFERROR(X117/H117,"0")+IFERROR(X118/H118,"0")+IFERROR(X119/H119,"0")</f>
        <v>20.555555555555557</v>
      </c>
      <c r="Y120" s="43">
        <f>IFERROR(Y116/H116,"0")+IFERROR(Y117/H117,"0")+IFERROR(Y118/H118,"0")+IFERROR(Y119/H119,"0")</f>
        <v>21</v>
      </c>
      <c r="Z120" s="43">
        <f>IFERROR(IF(Z116="",0,Z116),"0")+IFERROR(IF(Z117="",0,Z117),"0")+IFERROR(IF(Z118="",0,Z118),"0")+IFERROR(IF(Z119="",0,Z119),"0")</f>
        <v>0.21153</v>
      </c>
      <c r="AA120" s="67"/>
      <c r="AB120" s="67"/>
      <c r="AC120" s="67"/>
    </row>
    <row r="121" spans="1:68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0</v>
      </c>
      <c r="X121" s="43">
        <f>IFERROR(SUM(X116:X119),"0")</f>
        <v>96</v>
      </c>
      <c r="Y121" s="43">
        <f>IFERROR(SUM(Y116:Y119),"0")</f>
        <v>100.80000000000001</v>
      </c>
      <c r="Z121" s="42"/>
      <c r="AA121" s="67"/>
      <c r="AB121" s="67"/>
      <c r="AC121" s="67"/>
    </row>
    <row r="122" spans="1:68" ht="14.25" customHeight="1" x14ac:dyDescent="0.25">
      <c r="A122" s="713" t="s">
        <v>83</v>
      </c>
      <c r="B122" s="713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3"/>
      <c r="N122" s="713"/>
      <c r="O122" s="713"/>
      <c r="P122" s="713"/>
      <c r="Q122" s="713"/>
      <c r="R122" s="713"/>
      <c r="S122" s="713"/>
      <c r="T122" s="713"/>
      <c r="U122" s="713"/>
      <c r="V122" s="713"/>
      <c r="W122" s="713"/>
      <c r="X122" s="713"/>
      <c r="Y122" s="713"/>
      <c r="Z122" s="713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714">
        <v>4607091385168</v>
      </c>
      <c r="E123" s="71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6"/>
      <c r="R123" s="716"/>
      <c r="S123" s="716"/>
      <c r="T123" s="717"/>
      <c r="U123" s="39" t="s">
        <v>46</v>
      </c>
      <c r="V123" s="39" t="s">
        <v>46</v>
      </c>
      <c r="W123" s="40" t="s">
        <v>0</v>
      </c>
      <c r="X123" s="58">
        <v>400</v>
      </c>
      <c r="Y123" s="55">
        <f>IFERROR(IF(X123="",0,CEILING((X123/$H123),1)*$H123),"")</f>
        <v>405</v>
      </c>
      <c r="Z123" s="41">
        <f>IFERROR(IF(Y123=0,"",ROUNDUP(Y123/H123,0)*0.01898),"")</f>
        <v>0.94900000000000007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424.09876543209879</v>
      </c>
      <c r="BN123" s="78">
        <f>IFERROR(Y123*I123/H123,"0")</f>
        <v>429.4</v>
      </c>
      <c r="BO123" s="78">
        <f>IFERROR(1/J123*(X123/H123),"0")</f>
        <v>0.77160493827160492</v>
      </c>
      <c r="BP123" s="78">
        <f>IFERROR(1/J123*(Y123/H123),"0")</f>
        <v>0.78125</v>
      </c>
    </row>
    <row r="124" spans="1:68" ht="27" customHeight="1" x14ac:dyDescent="0.25">
      <c r="A124" s="63" t="s">
        <v>247</v>
      </c>
      <c r="B124" s="63" t="s">
        <v>248</v>
      </c>
      <c r="C124" s="36">
        <v>4301052087</v>
      </c>
      <c r="D124" s="714">
        <v>4607091383256</v>
      </c>
      <c r="E124" s="714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6"/>
      <c r="R124" s="716"/>
      <c r="S124" s="716"/>
      <c r="T124" s="717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714">
        <v>4607091385748</v>
      </c>
      <c r="E125" s="714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6"/>
      <c r="R125" s="716"/>
      <c r="S125" s="716"/>
      <c r="T125" s="717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251</v>
      </c>
      <c r="B126" s="63" t="s">
        <v>252</v>
      </c>
      <c r="C126" s="36">
        <v>4301052085</v>
      </c>
      <c r="D126" s="714">
        <v>4680115884533</v>
      </c>
      <c r="E126" s="714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6"/>
      <c r="R126" s="716"/>
      <c r="S126" s="716"/>
      <c r="T126" s="717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721"/>
      <c r="B127" s="721"/>
      <c r="C127" s="721"/>
      <c r="D127" s="721"/>
      <c r="E127" s="721"/>
      <c r="F127" s="721"/>
      <c r="G127" s="721"/>
      <c r="H127" s="721"/>
      <c r="I127" s="721"/>
      <c r="J127" s="721"/>
      <c r="K127" s="721"/>
      <c r="L127" s="721"/>
      <c r="M127" s="721"/>
      <c r="N127" s="721"/>
      <c r="O127" s="722"/>
      <c r="P127" s="718" t="s">
        <v>40</v>
      </c>
      <c r="Q127" s="719"/>
      <c r="R127" s="719"/>
      <c r="S127" s="719"/>
      <c r="T127" s="719"/>
      <c r="U127" s="719"/>
      <c r="V127" s="720"/>
      <c r="W127" s="42" t="s">
        <v>39</v>
      </c>
      <c r="X127" s="43">
        <f>IFERROR(X123/H123,"0")+IFERROR(X124/H124,"0")+IFERROR(X125/H125,"0")+IFERROR(X126/H126,"0")</f>
        <v>49.382716049382715</v>
      </c>
      <c r="Y127" s="43">
        <f>IFERROR(Y123/H123,"0")+IFERROR(Y124/H124,"0")+IFERROR(Y125/H125,"0")+IFERROR(Y126/H126,"0")</f>
        <v>50</v>
      </c>
      <c r="Z127" s="43">
        <f>IFERROR(IF(Z123="",0,Z123),"0")+IFERROR(IF(Z124="",0,Z124),"0")+IFERROR(IF(Z125="",0,Z125),"0")+IFERROR(IF(Z126="",0,Z126),"0")</f>
        <v>0.94900000000000007</v>
      </c>
      <c r="AA127" s="67"/>
      <c r="AB127" s="67"/>
      <c r="AC127" s="67"/>
    </row>
    <row r="128" spans="1:68" x14ac:dyDescent="0.2">
      <c r="A128" s="721"/>
      <c r="B128" s="721"/>
      <c r="C128" s="721"/>
      <c r="D128" s="721"/>
      <c r="E128" s="721"/>
      <c r="F128" s="721"/>
      <c r="G128" s="721"/>
      <c r="H128" s="721"/>
      <c r="I128" s="721"/>
      <c r="J128" s="721"/>
      <c r="K128" s="721"/>
      <c r="L128" s="721"/>
      <c r="M128" s="721"/>
      <c r="N128" s="721"/>
      <c r="O128" s="722"/>
      <c r="P128" s="718" t="s">
        <v>40</v>
      </c>
      <c r="Q128" s="719"/>
      <c r="R128" s="719"/>
      <c r="S128" s="719"/>
      <c r="T128" s="719"/>
      <c r="U128" s="719"/>
      <c r="V128" s="720"/>
      <c r="W128" s="42" t="s">
        <v>0</v>
      </c>
      <c r="X128" s="43">
        <f>IFERROR(SUM(X123:X126),"0")</f>
        <v>400</v>
      </c>
      <c r="Y128" s="43">
        <f>IFERROR(SUM(Y123:Y126),"0")</f>
        <v>405</v>
      </c>
      <c r="Z128" s="42"/>
      <c r="AA128" s="67"/>
      <c r="AB128" s="67"/>
      <c r="AC128" s="67"/>
    </row>
    <row r="129" spans="1:68" ht="14.25" customHeight="1" x14ac:dyDescent="0.25">
      <c r="A129" s="713" t="s">
        <v>183</v>
      </c>
      <c r="B129" s="713"/>
      <c r="C129" s="713"/>
      <c r="D129" s="713"/>
      <c r="E129" s="713"/>
      <c r="F129" s="713"/>
      <c r="G129" s="713"/>
      <c r="H129" s="713"/>
      <c r="I129" s="713"/>
      <c r="J129" s="713"/>
      <c r="K129" s="713"/>
      <c r="L129" s="713"/>
      <c r="M129" s="713"/>
      <c r="N129" s="713"/>
      <c r="O129" s="713"/>
      <c r="P129" s="713"/>
      <c r="Q129" s="713"/>
      <c r="R129" s="713"/>
      <c r="S129" s="713"/>
      <c r="T129" s="713"/>
      <c r="U129" s="713"/>
      <c r="V129" s="713"/>
      <c r="W129" s="713"/>
      <c r="X129" s="713"/>
      <c r="Y129" s="713"/>
      <c r="Z129" s="713"/>
      <c r="AA129" s="66"/>
      <c r="AB129" s="66"/>
      <c r="AC129" s="80"/>
    </row>
    <row r="130" spans="1:68" ht="16.5" customHeight="1" x14ac:dyDescent="0.25">
      <c r="A130" s="63" t="s">
        <v>254</v>
      </c>
      <c r="B130" s="63" t="s">
        <v>255</v>
      </c>
      <c r="C130" s="36">
        <v>4301060525</v>
      </c>
      <c r="D130" s="714">
        <v>4680115880238</v>
      </c>
      <c r="E130" s="714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6"/>
      <c r="R130" s="716"/>
      <c r="S130" s="716"/>
      <c r="T130" s="717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721"/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2"/>
      <c r="P131" s="718" t="s">
        <v>40</v>
      </c>
      <c r="Q131" s="719"/>
      <c r="R131" s="719"/>
      <c r="S131" s="719"/>
      <c r="T131" s="719"/>
      <c r="U131" s="719"/>
      <c r="V131" s="720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712" t="s">
        <v>257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712"/>
      <c r="O133" s="712"/>
      <c r="P133" s="712"/>
      <c r="Q133" s="712"/>
      <c r="R133" s="712"/>
      <c r="S133" s="712"/>
      <c r="T133" s="712"/>
      <c r="U133" s="712"/>
      <c r="V133" s="712"/>
      <c r="W133" s="712"/>
      <c r="X133" s="712"/>
      <c r="Y133" s="712"/>
      <c r="Z133" s="712"/>
      <c r="AA133" s="65"/>
      <c r="AB133" s="65"/>
      <c r="AC133" s="79"/>
    </row>
    <row r="134" spans="1:68" ht="14.25" customHeight="1" x14ac:dyDescent="0.25">
      <c r="A134" s="713" t="s">
        <v>130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6"/>
      <c r="AB134" s="66"/>
      <c r="AC134" s="80"/>
    </row>
    <row r="135" spans="1:68" ht="27" customHeight="1" x14ac:dyDescent="0.25">
      <c r="A135" s="63" t="s">
        <v>258</v>
      </c>
      <c r="B135" s="63" t="s">
        <v>259</v>
      </c>
      <c r="C135" s="36">
        <v>4301011562</v>
      </c>
      <c r="D135" s="714">
        <v>4680115882577</v>
      </c>
      <c r="E135" s="714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6"/>
      <c r="R135" s="716"/>
      <c r="S135" s="716"/>
      <c r="T135" s="71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258</v>
      </c>
      <c r="B136" s="63" t="s">
        <v>262</v>
      </c>
      <c r="C136" s="36">
        <v>4301011564</v>
      </c>
      <c r="D136" s="714">
        <v>4680115882577</v>
      </c>
      <c r="E136" s="714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6"/>
      <c r="R136" s="716"/>
      <c r="S136" s="716"/>
      <c r="T136" s="717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721"/>
      <c r="B137" s="721"/>
      <c r="C137" s="721"/>
      <c r="D137" s="721"/>
      <c r="E137" s="721"/>
      <c r="F137" s="721"/>
      <c r="G137" s="721"/>
      <c r="H137" s="721"/>
      <c r="I137" s="721"/>
      <c r="J137" s="721"/>
      <c r="K137" s="721"/>
      <c r="L137" s="721"/>
      <c r="M137" s="721"/>
      <c r="N137" s="721"/>
      <c r="O137" s="722"/>
      <c r="P137" s="718" t="s">
        <v>40</v>
      </c>
      <c r="Q137" s="719"/>
      <c r="R137" s="719"/>
      <c r="S137" s="719"/>
      <c r="T137" s="719"/>
      <c r="U137" s="719"/>
      <c r="V137" s="72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721"/>
      <c r="B138" s="721"/>
      <c r="C138" s="721"/>
      <c r="D138" s="721"/>
      <c r="E138" s="721"/>
      <c r="F138" s="721"/>
      <c r="G138" s="721"/>
      <c r="H138" s="721"/>
      <c r="I138" s="721"/>
      <c r="J138" s="721"/>
      <c r="K138" s="721"/>
      <c r="L138" s="721"/>
      <c r="M138" s="721"/>
      <c r="N138" s="721"/>
      <c r="O138" s="722"/>
      <c r="P138" s="718" t="s">
        <v>40</v>
      </c>
      <c r="Q138" s="719"/>
      <c r="R138" s="719"/>
      <c r="S138" s="719"/>
      <c r="T138" s="719"/>
      <c r="U138" s="719"/>
      <c r="V138" s="72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713" t="s">
        <v>77</v>
      </c>
      <c r="B139" s="713"/>
      <c r="C139" s="713"/>
      <c r="D139" s="713"/>
      <c r="E139" s="713"/>
      <c r="F139" s="713"/>
      <c r="G139" s="713"/>
      <c r="H139" s="713"/>
      <c r="I139" s="713"/>
      <c r="J139" s="713"/>
      <c r="K139" s="713"/>
      <c r="L139" s="713"/>
      <c r="M139" s="713"/>
      <c r="N139" s="713"/>
      <c r="O139" s="713"/>
      <c r="P139" s="713"/>
      <c r="Q139" s="713"/>
      <c r="R139" s="713"/>
      <c r="S139" s="713"/>
      <c r="T139" s="713"/>
      <c r="U139" s="713"/>
      <c r="V139" s="713"/>
      <c r="W139" s="713"/>
      <c r="X139" s="713"/>
      <c r="Y139" s="713"/>
      <c r="Z139" s="713"/>
      <c r="AA139" s="66"/>
      <c r="AB139" s="66"/>
      <c r="AC139" s="80"/>
    </row>
    <row r="140" spans="1:68" ht="27" customHeight="1" x14ac:dyDescent="0.25">
      <c r="A140" s="63" t="s">
        <v>263</v>
      </c>
      <c r="B140" s="63" t="s">
        <v>264</v>
      </c>
      <c r="C140" s="36">
        <v>4301031234</v>
      </c>
      <c r="D140" s="714">
        <v>4680115883444</v>
      </c>
      <c r="E140" s="714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6"/>
      <c r="R140" s="716"/>
      <c r="S140" s="716"/>
      <c r="T140" s="71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263</v>
      </c>
      <c r="B141" s="63" t="s">
        <v>266</v>
      </c>
      <c r="C141" s="36">
        <v>4301031235</v>
      </c>
      <c r="D141" s="714">
        <v>4680115883444</v>
      </c>
      <c r="E141" s="714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6"/>
      <c r="R141" s="716"/>
      <c r="S141" s="716"/>
      <c r="T141" s="71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21"/>
      <c r="B142" s="721"/>
      <c r="C142" s="721"/>
      <c r="D142" s="721"/>
      <c r="E142" s="721"/>
      <c r="F142" s="721"/>
      <c r="G142" s="721"/>
      <c r="H142" s="721"/>
      <c r="I142" s="721"/>
      <c r="J142" s="721"/>
      <c r="K142" s="721"/>
      <c r="L142" s="721"/>
      <c r="M142" s="721"/>
      <c r="N142" s="721"/>
      <c r="O142" s="722"/>
      <c r="P142" s="718" t="s">
        <v>40</v>
      </c>
      <c r="Q142" s="719"/>
      <c r="R142" s="719"/>
      <c r="S142" s="719"/>
      <c r="T142" s="719"/>
      <c r="U142" s="719"/>
      <c r="V142" s="72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721"/>
      <c r="B143" s="721"/>
      <c r="C143" s="721"/>
      <c r="D143" s="721"/>
      <c r="E143" s="721"/>
      <c r="F143" s="721"/>
      <c r="G143" s="721"/>
      <c r="H143" s="721"/>
      <c r="I143" s="721"/>
      <c r="J143" s="721"/>
      <c r="K143" s="721"/>
      <c r="L143" s="721"/>
      <c r="M143" s="721"/>
      <c r="N143" s="721"/>
      <c r="O143" s="722"/>
      <c r="P143" s="718" t="s">
        <v>40</v>
      </c>
      <c r="Q143" s="719"/>
      <c r="R143" s="719"/>
      <c r="S143" s="719"/>
      <c r="T143" s="719"/>
      <c r="U143" s="719"/>
      <c r="V143" s="72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713" t="s">
        <v>83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6"/>
      <c r="AB144" s="66"/>
      <c r="AC144" s="80"/>
    </row>
    <row r="145" spans="1:68" ht="16.5" customHeight="1" x14ac:dyDescent="0.25">
      <c r="A145" s="63" t="s">
        <v>267</v>
      </c>
      <c r="B145" s="63" t="s">
        <v>268</v>
      </c>
      <c r="C145" s="36">
        <v>4301051476</v>
      </c>
      <c r="D145" s="714">
        <v>4680115882584</v>
      </c>
      <c r="E145" s="714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6"/>
      <c r="R145" s="716"/>
      <c r="S145" s="716"/>
      <c r="T145" s="71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267</v>
      </c>
      <c r="B146" s="63" t="s">
        <v>269</v>
      </c>
      <c r="C146" s="36">
        <v>4301051477</v>
      </c>
      <c r="D146" s="714">
        <v>4680115882584</v>
      </c>
      <c r="E146" s="714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6"/>
      <c r="R146" s="716"/>
      <c r="S146" s="716"/>
      <c r="T146" s="71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21"/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2"/>
      <c r="P147" s="718" t="s">
        <v>40</v>
      </c>
      <c r="Q147" s="719"/>
      <c r="R147" s="719"/>
      <c r="S147" s="719"/>
      <c r="T147" s="719"/>
      <c r="U147" s="719"/>
      <c r="V147" s="72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721"/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2"/>
      <c r="P148" s="718" t="s">
        <v>40</v>
      </c>
      <c r="Q148" s="719"/>
      <c r="R148" s="719"/>
      <c r="S148" s="719"/>
      <c r="T148" s="719"/>
      <c r="U148" s="719"/>
      <c r="V148" s="72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712" t="s">
        <v>270</v>
      </c>
      <c r="B149" s="712"/>
      <c r="C149" s="712"/>
      <c r="D149" s="712"/>
      <c r="E149" s="712"/>
      <c r="F149" s="712"/>
      <c r="G149" s="712"/>
      <c r="H149" s="712"/>
      <c r="I149" s="712"/>
      <c r="J149" s="712"/>
      <c r="K149" s="712"/>
      <c r="L149" s="712"/>
      <c r="M149" s="712"/>
      <c r="N149" s="712"/>
      <c r="O149" s="712"/>
      <c r="P149" s="712"/>
      <c r="Q149" s="712"/>
      <c r="R149" s="712"/>
      <c r="S149" s="712"/>
      <c r="T149" s="712"/>
      <c r="U149" s="712"/>
      <c r="V149" s="712"/>
      <c r="W149" s="712"/>
      <c r="X149" s="712"/>
      <c r="Y149" s="712"/>
      <c r="Z149" s="712"/>
      <c r="AA149" s="65"/>
      <c r="AB149" s="65"/>
      <c r="AC149" s="79"/>
    </row>
    <row r="150" spans="1:68" ht="14.25" customHeight="1" x14ac:dyDescent="0.25">
      <c r="A150" s="713" t="s">
        <v>83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6"/>
      <c r="AB150" s="66"/>
      <c r="AC150" s="80"/>
    </row>
    <row r="151" spans="1:68" ht="27" customHeight="1" x14ac:dyDescent="0.25">
      <c r="A151" s="63" t="s">
        <v>271</v>
      </c>
      <c r="B151" s="63" t="s">
        <v>272</v>
      </c>
      <c r="C151" s="36">
        <v>4301052254</v>
      </c>
      <c r="D151" s="714">
        <v>4680115888203</v>
      </c>
      <c r="E151" s="71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6"/>
      <c r="R151" s="716"/>
      <c r="S151" s="716"/>
      <c r="T151" s="71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274</v>
      </c>
      <c r="B152" s="63" t="s">
        <v>275</v>
      </c>
      <c r="C152" s="36">
        <v>4301052252</v>
      </c>
      <c r="D152" s="714">
        <v>4680115888180</v>
      </c>
      <c r="E152" s="714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6"/>
      <c r="R152" s="716"/>
      <c r="S152" s="716"/>
      <c r="T152" s="717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4301052253</v>
      </c>
      <c r="D153" s="714">
        <v>4680115888197</v>
      </c>
      <c r="E153" s="71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6"/>
      <c r="R153" s="716"/>
      <c r="S153" s="716"/>
      <c r="T153" s="717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4301052255</v>
      </c>
      <c r="D154" s="714">
        <v>4680115888210</v>
      </c>
      <c r="E154" s="714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6"/>
      <c r="R154" s="716"/>
      <c r="S154" s="716"/>
      <c r="T154" s="717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721"/>
      <c r="B155" s="721"/>
      <c r="C155" s="721"/>
      <c r="D155" s="721"/>
      <c r="E155" s="721"/>
      <c r="F155" s="721"/>
      <c r="G155" s="721"/>
      <c r="H155" s="721"/>
      <c r="I155" s="721"/>
      <c r="J155" s="721"/>
      <c r="K155" s="721"/>
      <c r="L155" s="721"/>
      <c r="M155" s="721"/>
      <c r="N155" s="721"/>
      <c r="O155" s="722"/>
      <c r="P155" s="718" t="s">
        <v>40</v>
      </c>
      <c r="Q155" s="719"/>
      <c r="R155" s="719"/>
      <c r="S155" s="719"/>
      <c r="T155" s="719"/>
      <c r="U155" s="719"/>
      <c r="V155" s="720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customHeight="1" x14ac:dyDescent="0.25">
      <c r="A157" s="713" t="s">
        <v>101</v>
      </c>
      <c r="B157" s="713"/>
      <c r="C157" s="713"/>
      <c r="D157" s="713"/>
      <c r="E157" s="713"/>
      <c r="F157" s="713"/>
      <c r="G157" s="713"/>
      <c r="H157" s="713"/>
      <c r="I157" s="713"/>
      <c r="J157" s="713"/>
      <c r="K157" s="713"/>
      <c r="L157" s="713"/>
      <c r="M157" s="713"/>
      <c r="N157" s="713"/>
      <c r="O157" s="713"/>
      <c r="P157" s="713"/>
      <c r="Q157" s="713"/>
      <c r="R157" s="713"/>
      <c r="S157" s="713"/>
      <c r="T157" s="713"/>
      <c r="U157" s="713"/>
      <c r="V157" s="713"/>
      <c r="W157" s="713"/>
      <c r="X157" s="713"/>
      <c r="Y157" s="713"/>
      <c r="Z157" s="713"/>
      <c r="AA157" s="66"/>
      <c r="AB157" s="66"/>
      <c r="AC157" s="80"/>
    </row>
    <row r="158" spans="1:68" ht="27" customHeight="1" x14ac:dyDescent="0.25">
      <c r="A158" s="63" t="s">
        <v>283</v>
      </c>
      <c r="B158" s="63" t="s">
        <v>284</v>
      </c>
      <c r="C158" s="36">
        <v>4301032067</v>
      </c>
      <c r="D158" s="714">
        <v>4680115889132</v>
      </c>
      <c r="E158" s="714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6"/>
      <c r="R158" s="716"/>
      <c r="S158" s="716"/>
      <c r="T158" s="717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21"/>
      <c r="B159" s="721"/>
      <c r="C159" s="721"/>
      <c r="D159" s="721"/>
      <c r="E159" s="721"/>
      <c r="F159" s="721"/>
      <c r="G159" s="721"/>
      <c r="H159" s="721"/>
      <c r="I159" s="721"/>
      <c r="J159" s="721"/>
      <c r="K159" s="721"/>
      <c r="L159" s="721"/>
      <c r="M159" s="721"/>
      <c r="N159" s="721"/>
      <c r="O159" s="722"/>
      <c r="P159" s="718" t="s">
        <v>40</v>
      </c>
      <c r="Q159" s="719"/>
      <c r="R159" s="719"/>
      <c r="S159" s="719"/>
      <c r="T159" s="719"/>
      <c r="U159" s="719"/>
      <c r="V159" s="72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712" t="s">
        <v>128</v>
      </c>
      <c r="B161" s="712"/>
      <c r="C161" s="712"/>
      <c r="D161" s="712"/>
      <c r="E161" s="712"/>
      <c r="F161" s="712"/>
      <c r="G161" s="712"/>
      <c r="H161" s="712"/>
      <c r="I161" s="712"/>
      <c r="J161" s="712"/>
      <c r="K161" s="712"/>
      <c r="L161" s="712"/>
      <c r="M161" s="712"/>
      <c r="N161" s="712"/>
      <c r="O161" s="712"/>
      <c r="P161" s="712"/>
      <c r="Q161" s="712"/>
      <c r="R161" s="712"/>
      <c r="S161" s="712"/>
      <c r="T161" s="712"/>
      <c r="U161" s="712"/>
      <c r="V161" s="712"/>
      <c r="W161" s="712"/>
      <c r="X161" s="712"/>
      <c r="Y161" s="712"/>
      <c r="Z161" s="712"/>
      <c r="AA161" s="65"/>
      <c r="AB161" s="65"/>
      <c r="AC161" s="79"/>
    </row>
    <row r="162" spans="1:68" ht="14.25" customHeight="1" x14ac:dyDescent="0.25">
      <c r="A162" s="713" t="s">
        <v>130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6"/>
      <c r="AB162" s="66"/>
      <c r="AC162" s="80"/>
    </row>
    <row r="163" spans="1:68" ht="27" customHeight="1" x14ac:dyDescent="0.25">
      <c r="A163" s="63" t="s">
        <v>286</v>
      </c>
      <c r="B163" s="63" t="s">
        <v>287</v>
      </c>
      <c r="C163" s="36">
        <v>4301012338</v>
      </c>
      <c r="D163" s="714">
        <v>4680115887374</v>
      </c>
      <c r="E163" s="714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6"/>
      <c r="R163" s="716"/>
      <c r="S163" s="716"/>
      <c r="T163" s="71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289</v>
      </c>
      <c r="B164" s="63" t="s">
        <v>290</v>
      </c>
      <c r="C164" s="36">
        <v>4301011705</v>
      </c>
      <c r="D164" s="714">
        <v>4607091384604</v>
      </c>
      <c r="E164" s="714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6"/>
      <c r="R164" s="716"/>
      <c r="S164" s="716"/>
      <c r="T164" s="71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289</v>
      </c>
      <c r="B165" s="63" t="s">
        <v>292</v>
      </c>
      <c r="C165" s="36">
        <v>4301012258</v>
      </c>
      <c r="D165" s="714">
        <v>4607091384604</v>
      </c>
      <c r="E165" s="714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6"/>
      <c r="R165" s="716"/>
      <c r="S165" s="716"/>
      <c r="T165" s="717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293</v>
      </c>
      <c r="B166" s="63" t="s">
        <v>294</v>
      </c>
      <c r="C166" s="36">
        <v>4301012344</v>
      </c>
      <c r="D166" s="714">
        <v>4680115888876</v>
      </c>
      <c r="E166" s="714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6"/>
      <c r="R166" s="716"/>
      <c r="S166" s="716"/>
      <c r="T166" s="71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customHeight="1" x14ac:dyDescent="0.25">
      <c r="A169" s="713" t="s">
        <v>165</v>
      </c>
      <c r="B169" s="713"/>
      <c r="C169" s="713"/>
      <c r="D169" s="713"/>
      <c r="E169" s="713"/>
      <c r="F169" s="713"/>
      <c r="G169" s="713"/>
      <c r="H169" s="713"/>
      <c r="I169" s="713"/>
      <c r="J169" s="713"/>
      <c r="K169" s="713"/>
      <c r="L169" s="713"/>
      <c r="M169" s="713"/>
      <c r="N169" s="713"/>
      <c r="O169" s="713"/>
      <c r="P169" s="713"/>
      <c r="Q169" s="713"/>
      <c r="R169" s="713"/>
      <c r="S169" s="713"/>
      <c r="T169" s="713"/>
      <c r="U169" s="713"/>
      <c r="V169" s="713"/>
      <c r="W169" s="713"/>
      <c r="X169" s="713"/>
      <c r="Y169" s="713"/>
      <c r="Z169" s="713"/>
      <c r="AA169" s="66"/>
      <c r="AB169" s="66"/>
      <c r="AC169" s="80"/>
    </row>
    <row r="170" spans="1:68" ht="16.5" customHeight="1" x14ac:dyDescent="0.25">
      <c r="A170" s="63" t="s">
        <v>296</v>
      </c>
      <c r="B170" s="63" t="s">
        <v>297</v>
      </c>
      <c r="C170" s="36">
        <v>4301020410</v>
      </c>
      <c r="D170" s="714">
        <v>4680115887695</v>
      </c>
      <c r="E170" s="714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6"/>
      <c r="R170" s="716"/>
      <c r="S170" s="716"/>
      <c r="T170" s="717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4301020439</v>
      </c>
      <c r="D171" s="714">
        <v>4680115889491</v>
      </c>
      <c r="E171" s="714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6"/>
      <c r="R171" s="716"/>
      <c r="S171" s="716"/>
      <c r="T171" s="71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13" t="s">
        <v>77</v>
      </c>
      <c r="B174" s="713"/>
      <c r="C174" s="713"/>
      <c r="D174" s="713"/>
      <c r="E174" s="713"/>
      <c r="F174" s="713"/>
      <c r="G174" s="713"/>
      <c r="H174" s="713"/>
      <c r="I174" s="713"/>
      <c r="J174" s="713"/>
      <c r="K174" s="713"/>
      <c r="L174" s="713"/>
      <c r="M174" s="713"/>
      <c r="N174" s="713"/>
      <c r="O174" s="713"/>
      <c r="P174" s="713"/>
      <c r="Q174" s="713"/>
      <c r="R174" s="713"/>
      <c r="S174" s="713"/>
      <c r="T174" s="713"/>
      <c r="U174" s="713"/>
      <c r="V174" s="713"/>
      <c r="W174" s="713"/>
      <c r="X174" s="713"/>
      <c r="Y174" s="713"/>
      <c r="Z174" s="713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714">
        <v>4680115887428</v>
      </c>
      <c r="E175" s="71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6"/>
      <c r="R175" s="716"/>
      <c r="S175" s="716"/>
      <c r="T175" s="71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4301031509</v>
      </c>
      <c r="D176" s="714">
        <v>4680115889170</v>
      </c>
      <c r="E176" s="714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6"/>
      <c r="R176" s="716"/>
      <c r="S176" s="716"/>
      <c r="T176" s="71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714">
        <v>4680115887398</v>
      </c>
      <c r="E177" s="71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6"/>
      <c r="R177" s="716"/>
      <c r="S177" s="716"/>
      <c r="T177" s="717"/>
      <c r="U177" s="39" t="s">
        <v>46</v>
      </c>
      <c r="V177" s="39" t="s">
        <v>46</v>
      </c>
      <c r="W177" s="40" t="s">
        <v>0</v>
      </c>
      <c r="X177" s="58">
        <v>50</v>
      </c>
      <c r="Y177" s="55">
        <f t="shared" si="15"/>
        <v>52.5</v>
      </c>
      <c r="Z177" s="41">
        <f>IFERROR(IF(Y177=0,"",ROUNDUP(Y177/H177,0)*0.00902),"")</f>
        <v>0.1353</v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52.714285714285715</v>
      </c>
      <c r="BN177" s="78">
        <f t="shared" si="17"/>
        <v>55.35</v>
      </c>
      <c r="BO177" s="78">
        <f t="shared" si="18"/>
        <v>0.10822510822510824</v>
      </c>
      <c r="BP177" s="78">
        <f t="shared" si="19"/>
        <v>0.11363636363636365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714">
        <v>4680115887336</v>
      </c>
      <c r="E178" s="714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6"/>
      <c r="R178" s="716"/>
      <c r="S178" s="716"/>
      <c r="T178" s="717"/>
      <c r="U178" s="39" t="s">
        <v>46</v>
      </c>
      <c r="V178" s="39" t="s">
        <v>46</v>
      </c>
      <c r="W178" s="40" t="s">
        <v>0</v>
      </c>
      <c r="X178" s="58">
        <v>50</v>
      </c>
      <c r="Y178" s="55">
        <f t="shared" si="15"/>
        <v>52.5</v>
      </c>
      <c r="Z178" s="41">
        <f>IFERROR(IF(Y178=0,"",ROUNDUP(Y178/H178,0)*0.00902),"")</f>
        <v>0.1353</v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52.714285714285715</v>
      </c>
      <c r="BN178" s="78">
        <f t="shared" si="17"/>
        <v>55.35</v>
      </c>
      <c r="BO178" s="78">
        <f t="shared" si="18"/>
        <v>0.10822510822510824</v>
      </c>
      <c r="BP178" s="78">
        <f t="shared" si="19"/>
        <v>0.11363636363636365</v>
      </c>
    </row>
    <row r="179" spans="1:68" ht="16.5" customHeight="1" x14ac:dyDescent="0.25">
      <c r="A179" s="63" t="s">
        <v>314</v>
      </c>
      <c r="B179" s="63" t="s">
        <v>315</v>
      </c>
      <c r="C179" s="36">
        <v>4301031528</v>
      </c>
      <c r="D179" s="714">
        <v>4680115887787</v>
      </c>
      <c r="E179" s="71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4301031448</v>
      </c>
      <c r="D180" s="714">
        <v>4680115887503</v>
      </c>
      <c r="E180" s="71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4301031389</v>
      </c>
      <c r="D181" s="714">
        <v>4680115887763</v>
      </c>
      <c r="E181" s="71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4301031521</v>
      </c>
      <c r="D182" s="714">
        <v>4680115887480</v>
      </c>
      <c r="E182" s="71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customHeight="1" x14ac:dyDescent="0.25">
      <c r="A183" s="63" t="s">
        <v>324</v>
      </c>
      <c r="B183" s="63" t="s">
        <v>325</v>
      </c>
      <c r="C183" s="36">
        <v>4301031434</v>
      </c>
      <c r="D183" s="714">
        <v>4680115888067</v>
      </c>
      <c r="E183" s="714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4301031519</v>
      </c>
      <c r="D184" s="714">
        <v>4680115887435</v>
      </c>
      <c r="E184" s="71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721"/>
      <c r="B185" s="721"/>
      <c r="C185" s="721"/>
      <c r="D185" s="721"/>
      <c r="E185" s="721"/>
      <c r="F185" s="721"/>
      <c r="G185" s="721"/>
      <c r="H185" s="721"/>
      <c r="I185" s="721"/>
      <c r="J185" s="721"/>
      <c r="K185" s="721"/>
      <c r="L185" s="721"/>
      <c r="M185" s="721"/>
      <c r="N185" s="721"/>
      <c r="O185" s="722"/>
      <c r="P185" s="718" t="s">
        <v>40</v>
      </c>
      <c r="Q185" s="719"/>
      <c r="R185" s="719"/>
      <c r="S185" s="719"/>
      <c r="T185" s="719"/>
      <c r="U185" s="719"/>
      <c r="V185" s="720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28.571428571428573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30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0.27060000000000001</v>
      </c>
      <c r="AA185" s="67"/>
      <c r="AB185" s="67"/>
      <c r="AC185" s="67"/>
    </row>
    <row r="186" spans="1:68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0</v>
      </c>
      <c r="X186" s="43">
        <f>IFERROR(SUM(X175:X184),"0")</f>
        <v>100</v>
      </c>
      <c r="Y186" s="43">
        <f>IFERROR(SUM(Y175:Y184),"0")</f>
        <v>105</v>
      </c>
      <c r="Z186" s="42"/>
      <c r="AA186" s="67"/>
      <c r="AB186" s="67"/>
      <c r="AC186" s="67"/>
    </row>
    <row r="187" spans="1:68" ht="14.25" customHeight="1" x14ac:dyDescent="0.25">
      <c r="A187" s="713" t="s">
        <v>83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6"/>
      <c r="AB187" s="66"/>
      <c r="AC187" s="80"/>
    </row>
    <row r="188" spans="1:68" ht="16.5" customHeight="1" x14ac:dyDescent="0.25">
      <c r="A188" s="63" t="s">
        <v>329</v>
      </c>
      <c r="B188" s="63" t="s">
        <v>330</v>
      </c>
      <c r="C188" s="36">
        <v>4301052193</v>
      </c>
      <c r="D188" s="714">
        <v>4680115888395</v>
      </c>
      <c r="E188" s="71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332</v>
      </c>
      <c r="B189" s="63" t="s">
        <v>333</v>
      </c>
      <c r="C189" s="36">
        <v>4301052191</v>
      </c>
      <c r="D189" s="714">
        <v>4680115888371</v>
      </c>
      <c r="E189" s="71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721"/>
      <c r="B190" s="721"/>
      <c r="C190" s="721"/>
      <c r="D190" s="721"/>
      <c r="E190" s="721"/>
      <c r="F190" s="721"/>
      <c r="G190" s="721"/>
      <c r="H190" s="721"/>
      <c r="I190" s="721"/>
      <c r="J190" s="721"/>
      <c r="K190" s="721"/>
      <c r="L190" s="721"/>
      <c r="M190" s="721"/>
      <c r="N190" s="721"/>
      <c r="O190" s="722"/>
      <c r="P190" s="718" t="s">
        <v>40</v>
      </c>
      <c r="Q190" s="719"/>
      <c r="R190" s="719"/>
      <c r="S190" s="719"/>
      <c r="T190" s="719"/>
      <c r="U190" s="719"/>
      <c r="V190" s="720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721"/>
      <c r="B191" s="721"/>
      <c r="C191" s="721"/>
      <c r="D191" s="721"/>
      <c r="E191" s="721"/>
      <c r="F191" s="721"/>
      <c r="G191" s="721"/>
      <c r="H191" s="721"/>
      <c r="I191" s="721"/>
      <c r="J191" s="721"/>
      <c r="K191" s="721"/>
      <c r="L191" s="721"/>
      <c r="M191" s="721"/>
      <c r="N191" s="721"/>
      <c r="O191" s="722"/>
      <c r="P191" s="718" t="s">
        <v>40</v>
      </c>
      <c r="Q191" s="719"/>
      <c r="R191" s="719"/>
      <c r="S191" s="719"/>
      <c r="T191" s="719"/>
      <c r="U191" s="719"/>
      <c r="V191" s="720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713" t="s">
        <v>101</v>
      </c>
      <c r="B192" s="713"/>
      <c r="C192" s="713"/>
      <c r="D192" s="713"/>
      <c r="E192" s="713"/>
      <c r="F192" s="713"/>
      <c r="G192" s="713"/>
      <c r="H192" s="713"/>
      <c r="I192" s="713"/>
      <c r="J192" s="713"/>
      <c r="K192" s="713"/>
      <c r="L192" s="713"/>
      <c r="M192" s="713"/>
      <c r="N192" s="713"/>
      <c r="O192" s="713"/>
      <c r="P192" s="713"/>
      <c r="Q192" s="713"/>
      <c r="R192" s="713"/>
      <c r="S192" s="713"/>
      <c r="T192" s="713"/>
      <c r="U192" s="713"/>
      <c r="V192" s="713"/>
      <c r="W192" s="713"/>
      <c r="X192" s="713"/>
      <c r="Y192" s="713"/>
      <c r="Z192" s="713"/>
      <c r="AA192" s="66"/>
      <c r="AB192" s="66"/>
      <c r="AC192" s="80"/>
    </row>
    <row r="193" spans="1:68" ht="16.5" customHeight="1" x14ac:dyDescent="0.25">
      <c r="A193" s="63" t="s">
        <v>335</v>
      </c>
      <c r="B193" s="63" t="s">
        <v>336</v>
      </c>
      <c r="C193" s="36">
        <v>4301032058</v>
      </c>
      <c r="D193" s="714">
        <v>4680115889026</v>
      </c>
      <c r="E193" s="714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6"/>
      <c r="R193" s="716"/>
      <c r="S193" s="716"/>
      <c r="T193" s="717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21"/>
      <c r="B194" s="721"/>
      <c r="C194" s="721"/>
      <c r="D194" s="721"/>
      <c r="E194" s="721"/>
      <c r="F194" s="721"/>
      <c r="G194" s="721"/>
      <c r="H194" s="721"/>
      <c r="I194" s="721"/>
      <c r="J194" s="721"/>
      <c r="K194" s="721"/>
      <c r="L194" s="721"/>
      <c r="M194" s="721"/>
      <c r="N194" s="721"/>
      <c r="O194" s="722"/>
      <c r="P194" s="718" t="s">
        <v>40</v>
      </c>
      <c r="Q194" s="719"/>
      <c r="R194" s="719"/>
      <c r="S194" s="719"/>
      <c r="T194" s="719"/>
      <c r="U194" s="719"/>
      <c r="V194" s="720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721"/>
      <c r="B195" s="721"/>
      <c r="C195" s="721"/>
      <c r="D195" s="721"/>
      <c r="E195" s="721"/>
      <c r="F195" s="721"/>
      <c r="G195" s="721"/>
      <c r="H195" s="721"/>
      <c r="I195" s="721"/>
      <c r="J195" s="721"/>
      <c r="K195" s="721"/>
      <c r="L195" s="721"/>
      <c r="M195" s="721"/>
      <c r="N195" s="721"/>
      <c r="O195" s="722"/>
      <c r="P195" s="718" t="s">
        <v>40</v>
      </c>
      <c r="Q195" s="719"/>
      <c r="R195" s="719"/>
      <c r="S195" s="719"/>
      <c r="T195" s="719"/>
      <c r="U195" s="719"/>
      <c r="V195" s="720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customHeight="1" x14ac:dyDescent="0.25">
      <c r="A196" s="713" t="s">
        <v>339</v>
      </c>
      <c r="B196" s="713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3"/>
      <c r="N196" s="713"/>
      <c r="O196" s="713"/>
      <c r="P196" s="713"/>
      <c r="Q196" s="713"/>
      <c r="R196" s="713"/>
      <c r="S196" s="713"/>
      <c r="T196" s="713"/>
      <c r="U196" s="713"/>
      <c r="V196" s="713"/>
      <c r="W196" s="713"/>
      <c r="X196" s="713"/>
      <c r="Y196" s="713"/>
      <c r="Z196" s="713"/>
      <c r="AA196" s="66"/>
      <c r="AB196" s="66"/>
      <c r="AC196" s="80"/>
    </row>
    <row r="197" spans="1:68" ht="27" customHeight="1" x14ac:dyDescent="0.25">
      <c r="A197" s="63" t="s">
        <v>340</v>
      </c>
      <c r="B197" s="63" t="s">
        <v>341</v>
      </c>
      <c r="C197" s="36">
        <v>4301041009</v>
      </c>
      <c r="D197" s="714">
        <v>4680115889033</v>
      </c>
      <c r="E197" s="714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6"/>
      <c r="R197" s="716"/>
      <c r="S197" s="716"/>
      <c r="T197" s="717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721"/>
      <c r="B199" s="721"/>
      <c r="C199" s="721"/>
      <c r="D199" s="721"/>
      <c r="E199" s="721"/>
      <c r="F199" s="721"/>
      <c r="G199" s="721"/>
      <c r="H199" s="721"/>
      <c r="I199" s="721"/>
      <c r="J199" s="721"/>
      <c r="K199" s="721"/>
      <c r="L199" s="721"/>
      <c r="M199" s="721"/>
      <c r="N199" s="721"/>
      <c r="O199" s="722"/>
      <c r="P199" s="718" t="s">
        <v>40</v>
      </c>
      <c r="Q199" s="719"/>
      <c r="R199" s="719"/>
      <c r="S199" s="719"/>
      <c r="T199" s="719"/>
      <c r="U199" s="719"/>
      <c r="V199" s="720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customHeight="1" x14ac:dyDescent="0.2">
      <c r="A200" s="711" t="s">
        <v>343</v>
      </c>
      <c r="B200" s="711"/>
      <c r="C200" s="711"/>
      <c r="D200" s="711"/>
      <c r="E200" s="711"/>
      <c r="F200" s="711"/>
      <c r="G200" s="711"/>
      <c r="H200" s="711"/>
      <c r="I200" s="711"/>
      <c r="J200" s="711"/>
      <c r="K200" s="711"/>
      <c r="L200" s="711"/>
      <c r="M200" s="711"/>
      <c r="N200" s="711"/>
      <c r="O200" s="711"/>
      <c r="P200" s="711"/>
      <c r="Q200" s="711"/>
      <c r="R200" s="711"/>
      <c r="S200" s="711"/>
      <c r="T200" s="711"/>
      <c r="U200" s="711"/>
      <c r="V200" s="711"/>
      <c r="W200" s="711"/>
      <c r="X200" s="711"/>
      <c r="Y200" s="711"/>
      <c r="Z200" s="711"/>
      <c r="AA200" s="54"/>
      <c r="AB200" s="54"/>
      <c r="AC200" s="54"/>
    </row>
    <row r="201" spans="1:68" ht="16.5" customHeight="1" x14ac:dyDescent="0.25">
      <c r="A201" s="712" t="s">
        <v>344</v>
      </c>
      <c r="B201" s="712"/>
      <c r="C201" s="712"/>
      <c r="D201" s="712"/>
      <c r="E201" s="712"/>
      <c r="F201" s="712"/>
      <c r="G201" s="712"/>
      <c r="H201" s="712"/>
      <c r="I201" s="712"/>
      <c r="J201" s="712"/>
      <c r="K201" s="712"/>
      <c r="L201" s="712"/>
      <c r="M201" s="712"/>
      <c r="N201" s="712"/>
      <c r="O201" s="712"/>
      <c r="P201" s="712"/>
      <c r="Q201" s="712"/>
      <c r="R201" s="712"/>
      <c r="S201" s="712"/>
      <c r="T201" s="712"/>
      <c r="U201" s="712"/>
      <c r="V201" s="712"/>
      <c r="W201" s="712"/>
      <c r="X201" s="712"/>
      <c r="Y201" s="712"/>
      <c r="Z201" s="712"/>
      <c r="AA201" s="65"/>
      <c r="AB201" s="65"/>
      <c r="AC201" s="79"/>
    </row>
    <row r="202" spans="1:68" ht="14.25" customHeight="1" x14ac:dyDescent="0.25">
      <c r="A202" s="713" t="s">
        <v>130</v>
      </c>
      <c r="B202" s="713"/>
      <c r="C202" s="713"/>
      <c r="D202" s="713"/>
      <c r="E202" s="713"/>
      <c r="F202" s="713"/>
      <c r="G202" s="713"/>
      <c r="H202" s="713"/>
      <c r="I202" s="713"/>
      <c r="J202" s="713"/>
      <c r="K202" s="713"/>
      <c r="L202" s="713"/>
      <c r="M202" s="713"/>
      <c r="N202" s="713"/>
      <c r="O202" s="713"/>
      <c r="P202" s="713"/>
      <c r="Q202" s="713"/>
      <c r="R202" s="713"/>
      <c r="S202" s="713"/>
      <c r="T202" s="713"/>
      <c r="U202" s="713"/>
      <c r="V202" s="713"/>
      <c r="W202" s="713"/>
      <c r="X202" s="713"/>
      <c r="Y202" s="713"/>
      <c r="Z202" s="713"/>
      <c r="AA202" s="66"/>
      <c r="AB202" s="66"/>
      <c r="AC202" s="80"/>
    </row>
    <row r="203" spans="1:68" ht="27" customHeight="1" x14ac:dyDescent="0.25">
      <c r="A203" s="63" t="s">
        <v>345</v>
      </c>
      <c r="B203" s="63" t="s">
        <v>346</v>
      </c>
      <c r="C203" s="36">
        <v>4301011223</v>
      </c>
      <c r="D203" s="714">
        <v>4607091383423</v>
      </c>
      <c r="E203" s="714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6"/>
      <c r="R203" s="716"/>
      <c r="S203" s="716"/>
      <c r="T203" s="71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customHeight="1" x14ac:dyDescent="0.25">
      <c r="A204" s="63" t="s">
        <v>347</v>
      </c>
      <c r="B204" s="63" t="s">
        <v>348</v>
      </c>
      <c r="C204" s="36">
        <v>4301012340</v>
      </c>
      <c r="D204" s="714">
        <v>4680115888760</v>
      </c>
      <c r="E204" s="714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6"/>
      <c r="R204" s="716"/>
      <c r="S204" s="716"/>
      <c r="T204" s="71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customHeight="1" x14ac:dyDescent="0.25">
      <c r="A205" s="63" t="s">
        <v>350</v>
      </c>
      <c r="B205" s="63" t="s">
        <v>351</v>
      </c>
      <c r="C205" s="36">
        <v>4301012341</v>
      </c>
      <c r="D205" s="714">
        <v>4680115888807</v>
      </c>
      <c r="E205" s="714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6"/>
      <c r="R205" s="716"/>
      <c r="S205" s="716"/>
      <c r="T205" s="71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customHeight="1" x14ac:dyDescent="0.25">
      <c r="A206" s="63" t="s">
        <v>353</v>
      </c>
      <c r="B206" s="63" t="s">
        <v>354</v>
      </c>
      <c r="C206" s="36">
        <v>4301012342</v>
      </c>
      <c r="D206" s="714">
        <v>4680115888852</v>
      </c>
      <c r="E206" s="714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6"/>
      <c r="R206" s="716"/>
      <c r="S206" s="716"/>
      <c r="T206" s="71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customHeight="1" x14ac:dyDescent="0.25">
      <c r="A207" s="63" t="s">
        <v>356</v>
      </c>
      <c r="B207" s="63" t="s">
        <v>357</v>
      </c>
      <c r="C207" s="36">
        <v>4301012370</v>
      </c>
      <c r="D207" s="714">
        <v>4680115886957</v>
      </c>
      <c r="E207" s="714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6"/>
      <c r="R207" s="716"/>
      <c r="S207" s="716"/>
      <c r="T207" s="717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customHeight="1" x14ac:dyDescent="0.25">
      <c r="A208" s="63" t="s">
        <v>359</v>
      </c>
      <c r="B208" s="63" t="s">
        <v>360</v>
      </c>
      <c r="C208" s="36">
        <v>4301012098</v>
      </c>
      <c r="D208" s="714">
        <v>4680115885660</v>
      </c>
      <c r="E208" s="714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6"/>
      <c r="R208" s="716"/>
      <c r="S208" s="716"/>
      <c r="T208" s="717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4301012369</v>
      </c>
      <c r="D209" s="714">
        <v>4680115886773</v>
      </c>
      <c r="E209" s="714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6"/>
      <c r="R209" s="716"/>
      <c r="S209" s="716"/>
      <c r="T209" s="717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x14ac:dyDescent="0.2">
      <c r="A210" s="721"/>
      <c r="B210" s="721"/>
      <c r="C210" s="721"/>
      <c r="D210" s="721"/>
      <c r="E210" s="721"/>
      <c r="F210" s="721"/>
      <c r="G210" s="721"/>
      <c r="H210" s="721"/>
      <c r="I210" s="721"/>
      <c r="J210" s="721"/>
      <c r="K210" s="721"/>
      <c r="L210" s="721"/>
      <c r="M210" s="721"/>
      <c r="N210" s="721"/>
      <c r="O210" s="722"/>
      <c r="P210" s="718" t="s">
        <v>40</v>
      </c>
      <c r="Q210" s="719"/>
      <c r="R210" s="719"/>
      <c r="S210" s="719"/>
      <c r="T210" s="719"/>
      <c r="U210" s="719"/>
      <c r="V210" s="720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721"/>
      <c r="B211" s="721"/>
      <c r="C211" s="721"/>
      <c r="D211" s="721"/>
      <c r="E211" s="721"/>
      <c r="F211" s="721"/>
      <c r="G211" s="721"/>
      <c r="H211" s="721"/>
      <c r="I211" s="721"/>
      <c r="J211" s="721"/>
      <c r="K211" s="721"/>
      <c r="L211" s="721"/>
      <c r="M211" s="721"/>
      <c r="N211" s="721"/>
      <c r="O211" s="722"/>
      <c r="P211" s="718" t="s">
        <v>40</v>
      </c>
      <c r="Q211" s="719"/>
      <c r="R211" s="719"/>
      <c r="S211" s="719"/>
      <c r="T211" s="719"/>
      <c r="U211" s="719"/>
      <c r="V211" s="720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customHeight="1" x14ac:dyDescent="0.25">
      <c r="A212" s="712" t="s">
        <v>365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2"/>
      <c r="P212" s="712"/>
      <c r="Q212" s="712"/>
      <c r="R212" s="712"/>
      <c r="S212" s="712"/>
      <c r="T212" s="712"/>
      <c r="U212" s="712"/>
      <c r="V212" s="712"/>
      <c r="W212" s="712"/>
      <c r="X212" s="712"/>
      <c r="Y212" s="712"/>
      <c r="Z212" s="712"/>
      <c r="AA212" s="65"/>
      <c r="AB212" s="65"/>
      <c r="AC212" s="79"/>
    </row>
    <row r="213" spans="1:68" ht="14.25" customHeight="1" x14ac:dyDescent="0.25">
      <c r="A213" s="713" t="s">
        <v>165</v>
      </c>
      <c r="B213" s="713"/>
      <c r="C213" s="713"/>
      <c r="D213" s="713"/>
      <c r="E213" s="713"/>
      <c r="F213" s="713"/>
      <c r="G213" s="713"/>
      <c r="H213" s="713"/>
      <c r="I213" s="713"/>
      <c r="J213" s="713"/>
      <c r="K213" s="713"/>
      <c r="L213" s="713"/>
      <c r="M213" s="713"/>
      <c r="N213" s="713"/>
      <c r="O213" s="713"/>
      <c r="P213" s="713"/>
      <c r="Q213" s="713"/>
      <c r="R213" s="713"/>
      <c r="S213" s="713"/>
      <c r="T213" s="713"/>
      <c r="U213" s="713"/>
      <c r="V213" s="713"/>
      <c r="W213" s="713"/>
      <c r="X213" s="713"/>
      <c r="Y213" s="713"/>
      <c r="Z213" s="713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4301020323</v>
      </c>
      <c r="D214" s="714">
        <v>4680115886223</v>
      </c>
      <c r="E214" s="714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6"/>
      <c r="R214" s="716"/>
      <c r="S214" s="716"/>
      <c r="T214" s="717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x14ac:dyDescent="0.2">
      <c r="A215" s="721"/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2"/>
      <c r="P215" s="718" t="s">
        <v>40</v>
      </c>
      <c r="Q215" s="719"/>
      <c r="R215" s="719"/>
      <c r="S215" s="719"/>
      <c r="T215" s="719"/>
      <c r="U215" s="719"/>
      <c r="V215" s="720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x14ac:dyDescent="0.2">
      <c r="A216" s="721"/>
      <c r="B216" s="721"/>
      <c r="C216" s="721"/>
      <c r="D216" s="721"/>
      <c r="E216" s="721"/>
      <c r="F216" s="721"/>
      <c r="G216" s="721"/>
      <c r="H216" s="721"/>
      <c r="I216" s="721"/>
      <c r="J216" s="721"/>
      <c r="K216" s="721"/>
      <c r="L216" s="721"/>
      <c r="M216" s="721"/>
      <c r="N216" s="721"/>
      <c r="O216" s="722"/>
      <c r="P216" s="718" t="s">
        <v>40</v>
      </c>
      <c r="Q216" s="719"/>
      <c r="R216" s="719"/>
      <c r="S216" s="719"/>
      <c r="T216" s="719"/>
      <c r="U216" s="719"/>
      <c r="V216" s="720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customHeight="1" x14ac:dyDescent="0.25">
      <c r="A217" s="713" t="s">
        <v>77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3"/>
      <c r="N217" s="713"/>
      <c r="O217" s="713"/>
      <c r="P217" s="713"/>
      <c r="Q217" s="713"/>
      <c r="R217" s="713"/>
      <c r="S217" s="713"/>
      <c r="T217" s="713"/>
      <c r="U217" s="713"/>
      <c r="V217" s="713"/>
      <c r="W217" s="713"/>
      <c r="X217" s="713"/>
      <c r="Y217" s="713"/>
      <c r="Z217" s="713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714">
        <v>4680115880993</v>
      </c>
      <c r="E218" s="714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6"/>
      <c r="R218" s="716"/>
      <c r="S218" s="716"/>
      <c r="T218" s="71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customHeight="1" x14ac:dyDescent="0.25">
      <c r="A219" s="63" t="s">
        <v>372</v>
      </c>
      <c r="B219" s="63" t="s">
        <v>373</v>
      </c>
      <c r="C219" s="36">
        <v>4301031204</v>
      </c>
      <c r="D219" s="714">
        <v>4680115881761</v>
      </c>
      <c r="E219" s="714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6"/>
      <c r="R219" s="716"/>
      <c r="S219" s="716"/>
      <c r="T219" s="71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714">
        <v>4680115881563</v>
      </c>
      <c r="E220" s="714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6"/>
      <c r="R220" s="716"/>
      <c r="S220" s="716"/>
      <c r="T220" s="71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375</v>
      </c>
      <c r="B221" s="63" t="s">
        <v>378</v>
      </c>
      <c r="C221" s="36">
        <v>4301031532</v>
      </c>
      <c r="D221" s="714">
        <v>4680115881563</v>
      </c>
      <c r="E221" s="714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6"/>
      <c r="R221" s="716"/>
      <c r="S221" s="716"/>
      <c r="T221" s="71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customHeight="1" x14ac:dyDescent="0.25">
      <c r="A222" s="63" t="s">
        <v>379</v>
      </c>
      <c r="B222" s="63" t="s">
        <v>380</v>
      </c>
      <c r="C222" s="36">
        <v>4301031447</v>
      </c>
      <c r="D222" s="714">
        <v>4680115887565</v>
      </c>
      <c r="E222" s="714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6"/>
      <c r="R222" s="716"/>
      <c r="S222" s="716"/>
      <c r="T222" s="71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382</v>
      </c>
      <c r="B223" s="63" t="s">
        <v>383</v>
      </c>
      <c r="C223" s="36">
        <v>4301031199</v>
      </c>
      <c r="D223" s="714">
        <v>4680115880986</v>
      </c>
      <c r="E223" s="714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6"/>
      <c r="R223" s="716"/>
      <c r="S223" s="716"/>
      <c r="T223" s="71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customHeight="1" x14ac:dyDescent="0.25">
      <c r="A224" s="63" t="s">
        <v>384</v>
      </c>
      <c r="B224" s="63" t="s">
        <v>385</v>
      </c>
      <c r="C224" s="36">
        <v>4301031443</v>
      </c>
      <c r="D224" s="714">
        <v>4680115887213</v>
      </c>
      <c r="E224" s="714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6"/>
      <c r="R224" s="716"/>
      <c r="S224" s="716"/>
      <c r="T224" s="71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387</v>
      </c>
      <c r="B225" s="63" t="s">
        <v>388</v>
      </c>
      <c r="C225" s="36">
        <v>4301031205</v>
      </c>
      <c r="D225" s="714">
        <v>4680115881785</v>
      </c>
      <c r="E225" s="714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6"/>
      <c r="R225" s="716"/>
      <c r="S225" s="716"/>
      <c r="T225" s="71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389</v>
      </c>
      <c r="B226" s="63" t="s">
        <v>390</v>
      </c>
      <c r="C226" s="36">
        <v>4301031499</v>
      </c>
      <c r="D226" s="714">
        <v>4680115888432</v>
      </c>
      <c r="E226" s="714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6"/>
      <c r="R226" s="716"/>
      <c r="S226" s="716"/>
      <c r="T226" s="71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customHeight="1" x14ac:dyDescent="0.25">
      <c r="A227" s="63" t="s">
        <v>392</v>
      </c>
      <c r="B227" s="63" t="s">
        <v>393</v>
      </c>
      <c r="C227" s="36">
        <v>4301031503</v>
      </c>
      <c r="D227" s="714">
        <v>4680115886537</v>
      </c>
      <c r="E227" s="714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6"/>
      <c r="R227" s="716"/>
      <c r="S227" s="716"/>
      <c r="T227" s="71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4301031279</v>
      </c>
      <c r="D228" s="714">
        <v>4680115887596</v>
      </c>
      <c r="E228" s="714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6"/>
      <c r="R228" s="716"/>
      <c r="S228" s="716"/>
      <c r="T228" s="71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customHeight="1" x14ac:dyDescent="0.25">
      <c r="A229" s="63" t="s">
        <v>398</v>
      </c>
      <c r="B229" s="63" t="s">
        <v>399</v>
      </c>
      <c r="C229" s="36">
        <v>4301031530</v>
      </c>
      <c r="D229" s="714">
        <v>4680115881679</v>
      </c>
      <c r="E229" s="714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6"/>
      <c r="R229" s="716"/>
      <c r="S229" s="716"/>
      <c r="T229" s="71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customHeight="1" x14ac:dyDescent="0.25">
      <c r="A230" s="63" t="s">
        <v>400</v>
      </c>
      <c r="B230" s="63" t="s">
        <v>401</v>
      </c>
      <c r="C230" s="36">
        <v>4301031531</v>
      </c>
      <c r="D230" s="714">
        <v>4680115880191</v>
      </c>
      <c r="E230" s="714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6"/>
      <c r="R230" s="716"/>
      <c r="S230" s="716"/>
      <c r="T230" s="71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customHeight="1" x14ac:dyDescent="0.25">
      <c r="A231" s="63" t="s">
        <v>402</v>
      </c>
      <c r="B231" s="63" t="s">
        <v>403</v>
      </c>
      <c r="C231" s="36">
        <v>4301031245</v>
      </c>
      <c r="D231" s="714">
        <v>4680115883963</v>
      </c>
      <c r="E231" s="714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6"/>
      <c r="R231" s="716"/>
      <c r="S231" s="716"/>
      <c r="T231" s="71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721"/>
      <c r="B232" s="721"/>
      <c r="C232" s="721"/>
      <c r="D232" s="721"/>
      <c r="E232" s="721"/>
      <c r="F232" s="721"/>
      <c r="G232" s="721"/>
      <c r="H232" s="721"/>
      <c r="I232" s="721"/>
      <c r="J232" s="721"/>
      <c r="K232" s="721"/>
      <c r="L232" s="721"/>
      <c r="M232" s="721"/>
      <c r="N232" s="721"/>
      <c r="O232" s="722"/>
      <c r="P232" s="718" t="s">
        <v>40</v>
      </c>
      <c r="Q232" s="719"/>
      <c r="R232" s="719"/>
      <c r="S232" s="719"/>
      <c r="T232" s="719"/>
      <c r="U232" s="719"/>
      <c r="V232" s="720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0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</v>
      </c>
      <c r="AA232" s="67"/>
      <c r="AB232" s="67"/>
      <c r="AC232" s="67"/>
    </row>
    <row r="233" spans="1:68" x14ac:dyDescent="0.2">
      <c r="A233" s="721"/>
      <c r="B233" s="721"/>
      <c r="C233" s="721"/>
      <c r="D233" s="721"/>
      <c r="E233" s="721"/>
      <c r="F233" s="721"/>
      <c r="G233" s="721"/>
      <c r="H233" s="721"/>
      <c r="I233" s="721"/>
      <c r="J233" s="721"/>
      <c r="K233" s="721"/>
      <c r="L233" s="721"/>
      <c r="M233" s="721"/>
      <c r="N233" s="721"/>
      <c r="O233" s="722"/>
      <c r="P233" s="718" t="s">
        <v>40</v>
      </c>
      <c r="Q233" s="719"/>
      <c r="R233" s="719"/>
      <c r="S233" s="719"/>
      <c r="T233" s="719"/>
      <c r="U233" s="719"/>
      <c r="V233" s="720"/>
      <c r="W233" s="42" t="s">
        <v>0</v>
      </c>
      <c r="X233" s="43">
        <f>IFERROR(SUM(X218:X231),"0")</f>
        <v>0</v>
      </c>
      <c r="Y233" s="43">
        <f>IFERROR(SUM(Y218:Y231),"0")</f>
        <v>0</v>
      </c>
      <c r="Z233" s="42"/>
      <c r="AA233" s="67"/>
      <c r="AB233" s="67"/>
      <c r="AC233" s="67"/>
    </row>
    <row r="234" spans="1:68" ht="14.25" customHeight="1" x14ac:dyDescent="0.25">
      <c r="A234" s="713" t="s">
        <v>83</v>
      </c>
      <c r="B234" s="713"/>
      <c r="C234" s="713"/>
      <c r="D234" s="713"/>
      <c r="E234" s="713"/>
      <c r="F234" s="713"/>
      <c r="G234" s="713"/>
      <c r="H234" s="713"/>
      <c r="I234" s="713"/>
      <c r="J234" s="713"/>
      <c r="K234" s="713"/>
      <c r="L234" s="713"/>
      <c r="M234" s="713"/>
      <c r="N234" s="713"/>
      <c r="O234" s="713"/>
      <c r="P234" s="713"/>
      <c r="Q234" s="713"/>
      <c r="R234" s="713"/>
      <c r="S234" s="713"/>
      <c r="T234" s="713"/>
      <c r="U234" s="713"/>
      <c r="V234" s="713"/>
      <c r="W234" s="713"/>
      <c r="X234" s="713"/>
      <c r="Y234" s="713"/>
      <c r="Z234" s="713"/>
      <c r="AA234" s="66"/>
      <c r="AB234" s="66"/>
      <c r="AC234" s="80"/>
    </row>
    <row r="235" spans="1:68" ht="16.5" customHeight="1" x14ac:dyDescent="0.25">
      <c r="A235" s="63" t="s">
        <v>405</v>
      </c>
      <c r="B235" s="63" t="s">
        <v>406</v>
      </c>
      <c r="C235" s="36">
        <v>4301052279</v>
      </c>
      <c r="D235" s="714">
        <v>4680115888692</v>
      </c>
      <c r="E235" s="71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6"/>
      <c r="R235" s="716"/>
      <c r="S235" s="716"/>
      <c r="T235" s="717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customHeight="1" x14ac:dyDescent="0.25">
      <c r="A236" s="63" t="s">
        <v>408</v>
      </c>
      <c r="B236" s="63" t="s">
        <v>409</v>
      </c>
      <c r="C236" s="36">
        <v>4301052280</v>
      </c>
      <c r="D236" s="714">
        <v>4680115888722</v>
      </c>
      <c r="E236" s="71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411</v>
      </c>
      <c r="B237" s="63" t="s">
        <v>412</v>
      </c>
      <c r="C237" s="36">
        <v>4301052276</v>
      </c>
      <c r="D237" s="714">
        <v>4680115888951</v>
      </c>
      <c r="E237" s="71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413</v>
      </c>
      <c r="B238" s="63" t="s">
        <v>414</v>
      </c>
      <c r="C238" s="36">
        <v>4301052278</v>
      </c>
      <c r="D238" s="714">
        <v>4680115888975</v>
      </c>
      <c r="E238" s="714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6"/>
      <c r="R238" s="716"/>
      <c r="S238" s="716"/>
      <c r="T238" s="717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416</v>
      </c>
      <c r="B239" s="63" t="s">
        <v>417</v>
      </c>
      <c r="C239" s="36">
        <v>4301052277</v>
      </c>
      <c r="D239" s="714">
        <v>4680115888982</v>
      </c>
      <c r="E239" s="714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6"/>
      <c r="R239" s="716"/>
      <c r="S239" s="716"/>
      <c r="T239" s="717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">
      <c r="A240" s="721"/>
      <c r="B240" s="721"/>
      <c r="C240" s="721"/>
      <c r="D240" s="721"/>
      <c r="E240" s="721"/>
      <c r="F240" s="721"/>
      <c r="G240" s="721"/>
      <c r="H240" s="721"/>
      <c r="I240" s="721"/>
      <c r="J240" s="721"/>
      <c r="K240" s="721"/>
      <c r="L240" s="721"/>
      <c r="M240" s="721"/>
      <c r="N240" s="721"/>
      <c r="O240" s="722"/>
      <c r="P240" s="718" t="s">
        <v>40</v>
      </c>
      <c r="Q240" s="719"/>
      <c r="R240" s="719"/>
      <c r="S240" s="719"/>
      <c r="T240" s="719"/>
      <c r="U240" s="719"/>
      <c r="V240" s="720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721"/>
      <c r="B241" s="721"/>
      <c r="C241" s="721"/>
      <c r="D241" s="721"/>
      <c r="E241" s="721"/>
      <c r="F241" s="721"/>
      <c r="G241" s="721"/>
      <c r="H241" s="721"/>
      <c r="I241" s="721"/>
      <c r="J241" s="721"/>
      <c r="K241" s="721"/>
      <c r="L241" s="721"/>
      <c r="M241" s="721"/>
      <c r="N241" s="721"/>
      <c r="O241" s="722"/>
      <c r="P241" s="718" t="s">
        <v>40</v>
      </c>
      <c r="Q241" s="719"/>
      <c r="R241" s="719"/>
      <c r="S241" s="719"/>
      <c r="T241" s="719"/>
      <c r="U241" s="719"/>
      <c r="V241" s="720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customHeight="1" x14ac:dyDescent="0.25">
      <c r="A242" s="713" t="s">
        <v>101</v>
      </c>
      <c r="B242" s="713"/>
      <c r="C242" s="713"/>
      <c r="D242" s="713"/>
      <c r="E242" s="713"/>
      <c r="F242" s="713"/>
      <c r="G242" s="713"/>
      <c r="H242" s="713"/>
      <c r="I242" s="713"/>
      <c r="J242" s="713"/>
      <c r="K242" s="713"/>
      <c r="L242" s="713"/>
      <c r="M242" s="713"/>
      <c r="N242" s="713"/>
      <c r="O242" s="713"/>
      <c r="P242" s="713"/>
      <c r="Q242" s="713"/>
      <c r="R242" s="713"/>
      <c r="S242" s="713"/>
      <c r="T242" s="713"/>
      <c r="U242" s="713"/>
      <c r="V242" s="713"/>
      <c r="W242" s="713"/>
      <c r="X242" s="713"/>
      <c r="Y242" s="713"/>
      <c r="Z242" s="713"/>
      <c r="AA242" s="66"/>
      <c r="AB242" s="66"/>
      <c r="AC242" s="80"/>
    </row>
    <row r="243" spans="1:68" ht="27" customHeight="1" x14ac:dyDescent="0.25">
      <c r="A243" s="63" t="s">
        <v>418</v>
      </c>
      <c r="B243" s="63" t="s">
        <v>419</v>
      </c>
      <c r="C243" s="36">
        <v>4301032053</v>
      </c>
      <c r="D243" s="714">
        <v>4680115886780</v>
      </c>
      <c r="E243" s="714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6"/>
      <c r="R243" s="716"/>
      <c r="S243" s="716"/>
      <c r="T243" s="717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421</v>
      </c>
      <c r="B244" s="63" t="s">
        <v>422</v>
      </c>
      <c r="C244" s="36">
        <v>4301032051</v>
      </c>
      <c r="D244" s="714">
        <v>4680115886742</v>
      </c>
      <c r="E244" s="714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6"/>
      <c r="R244" s="716"/>
      <c r="S244" s="716"/>
      <c r="T244" s="717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424</v>
      </c>
      <c r="B245" s="63" t="s">
        <v>425</v>
      </c>
      <c r="C245" s="36">
        <v>4301032052</v>
      </c>
      <c r="D245" s="714">
        <v>4680115886766</v>
      </c>
      <c r="E245" s="71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6"/>
      <c r="R245" s="716"/>
      <c r="S245" s="716"/>
      <c r="T245" s="71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721"/>
      <c r="B246" s="721"/>
      <c r="C246" s="721"/>
      <c r="D246" s="721"/>
      <c r="E246" s="721"/>
      <c r="F246" s="721"/>
      <c r="G246" s="721"/>
      <c r="H246" s="721"/>
      <c r="I246" s="721"/>
      <c r="J246" s="721"/>
      <c r="K246" s="721"/>
      <c r="L246" s="721"/>
      <c r="M246" s="721"/>
      <c r="N246" s="721"/>
      <c r="O246" s="722"/>
      <c r="P246" s="718" t="s">
        <v>40</v>
      </c>
      <c r="Q246" s="719"/>
      <c r="R246" s="719"/>
      <c r="S246" s="719"/>
      <c r="T246" s="719"/>
      <c r="U246" s="719"/>
      <c r="V246" s="720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x14ac:dyDescent="0.2">
      <c r="A247" s="721"/>
      <c r="B247" s="721"/>
      <c r="C247" s="721"/>
      <c r="D247" s="721"/>
      <c r="E247" s="721"/>
      <c r="F247" s="721"/>
      <c r="G247" s="721"/>
      <c r="H247" s="721"/>
      <c r="I247" s="721"/>
      <c r="J247" s="721"/>
      <c r="K247" s="721"/>
      <c r="L247" s="721"/>
      <c r="M247" s="721"/>
      <c r="N247" s="721"/>
      <c r="O247" s="722"/>
      <c r="P247" s="718" t="s">
        <v>40</v>
      </c>
      <c r="Q247" s="719"/>
      <c r="R247" s="719"/>
      <c r="S247" s="719"/>
      <c r="T247" s="719"/>
      <c r="U247" s="719"/>
      <c r="V247" s="720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customHeight="1" x14ac:dyDescent="0.25">
      <c r="A248" s="713" t="s">
        <v>426</v>
      </c>
      <c r="B248" s="713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3"/>
      <c r="N248" s="713"/>
      <c r="O248" s="713"/>
      <c r="P248" s="713"/>
      <c r="Q248" s="713"/>
      <c r="R248" s="713"/>
      <c r="S248" s="713"/>
      <c r="T248" s="713"/>
      <c r="U248" s="713"/>
      <c r="V248" s="713"/>
      <c r="W248" s="713"/>
      <c r="X248" s="713"/>
      <c r="Y248" s="713"/>
      <c r="Z248" s="713"/>
      <c r="AA248" s="66"/>
      <c r="AB248" s="66"/>
      <c r="AC248" s="80"/>
    </row>
    <row r="249" spans="1:68" ht="27" customHeight="1" x14ac:dyDescent="0.25">
      <c r="A249" s="63" t="s">
        <v>427</v>
      </c>
      <c r="B249" s="63" t="s">
        <v>428</v>
      </c>
      <c r="C249" s="36">
        <v>4301170013</v>
      </c>
      <c r="D249" s="714">
        <v>4680115886797</v>
      </c>
      <c r="E249" s="714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6"/>
      <c r="R249" s="716"/>
      <c r="S249" s="716"/>
      <c r="T249" s="71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721"/>
      <c r="B251" s="721"/>
      <c r="C251" s="721"/>
      <c r="D251" s="721"/>
      <c r="E251" s="721"/>
      <c r="F251" s="721"/>
      <c r="G251" s="721"/>
      <c r="H251" s="721"/>
      <c r="I251" s="721"/>
      <c r="J251" s="721"/>
      <c r="K251" s="721"/>
      <c r="L251" s="721"/>
      <c r="M251" s="721"/>
      <c r="N251" s="721"/>
      <c r="O251" s="722"/>
      <c r="P251" s="718" t="s">
        <v>40</v>
      </c>
      <c r="Q251" s="719"/>
      <c r="R251" s="719"/>
      <c r="S251" s="719"/>
      <c r="T251" s="719"/>
      <c r="U251" s="719"/>
      <c r="V251" s="720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customHeight="1" x14ac:dyDescent="0.25">
      <c r="A252" s="712" t="s">
        <v>429</v>
      </c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2"/>
      <c r="P252" s="712"/>
      <c r="Q252" s="712"/>
      <c r="R252" s="712"/>
      <c r="S252" s="712"/>
      <c r="T252" s="712"/>
      <c r="U252" s="712"/>
      <c r="V252" s="712"/>
      <c r="W252" s="712"/>
      <c r="X252" s="712"/>
      <c r="Y252" s="712"/>
      <c r="Z252" s="712"/>
      <c r="AA252" s="65"/>
      <c r="AB252" s="65"/>
      <c r="AC252" s="79"/>
    </row>
    <row r="253" spans="1:68" ht="14.25" customHeight="1" x14ac:dyDescent="0.25">
      <c r="A253" s="713" t="s">
        <v>130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6"/>
      <c r="AB253" s="66"/>
      <c r="AC253" s="80"/>
    </row>
    <row r="254" spans="1:68" ht="27" customHeight="1" x14ac:dyDescent="0.25">
      <c r="A254" s="63" t="s">
        <v>430</v>
      </c>
      <c r="B254" s="63" t="s">
        <v>431</v>
      </c>
      <c r="C254" s="36">
        <v>4301011450</v>
      </c>
      <c r="D254" s="714">
        <v>4680115881402</v>
      </c>
      <c r="E254" s="714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6"/>
      <c r="R254" s="716"/>
      <c r="S254" s="716"/>
      <c r="T254" s="717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433</v>
      </c>
      <c r="B255" s="63" t="s">
        <v>434</v>
      </c>
      <c r="C255" s="36">
        <v>4301011768</v>
      </c>
      <c r="D255" s="714">
        <v>4680115881396</v>
      </c>
      <c r="E255" s="714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6"/>
      <c r="R255" s="716"/>
      <c r="S255" s="716"/>
      <c r="T255" s="71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721"/>
      <c r="B256" s="721"/>
      <c r="C256" s="721"/>
      <c r="D256" s="721"/>
      <c r="E256" s="721"/>
      <c r="F256" s="721"/>
      <c r="G256" s="721"/>
      <c r="H256" s="721"/>
      <c r="I256" s="721"/>
      <c r="J256" s="721"/>
      <c r="K256" s="721"/>
      <c r="L256" s="721"/>
      <c r="M256" s="721"/>
      <c r="N256" s="721"/>
      <c r="O256" s="722"/>
      <c r="P256" s="718" t="s">
        <v>40</v>
      </c>
      <c r="Q256" s="719"/>
      <c r="R256" s="719"/>
      <c r="S256" s="719"/>
      <c r="T256" s="719"/>
      <c r="U256" s="719"/>
      <c r="V256" s="720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721"/>
      <c r="B257" s="721"/>
      <c r="C257" s="721"/>
      <c r="D257" s="721"/>
      <c r="E257" s="721"/>
      <c r="F257" s="721"/>
      <c r="G257" s="721"/>
      <c r="H257" s="721"/>
      <c r="I257" s="721"/>
      <c r="J257" s="721"/>
      <c r="K257" s="721"/>
      <c r="L257" s="721"/>
      <c r="M257" s="721"/>
      <c r="N257" s="721"/>
      <c r="O257" s="722"/>
      <c r="P257" s="718" t="s">
        <v>40</v>
      </c>
      <c r="Q257" s="719"/>
      <c r="R257" s="719"/>
      <c r="S257" s="719"/>
      <c r="T257" s="719"/>
      <c r="U257" s="719"/>
      <c r="V257" s="720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713" t="s">
        <v>165</v>
      </c>
      <c r="B258" s="713"/>
      <c r="C258" s="713"/>
      <c r="D258" s="713"/>
      <c r="E258" s="713"/>
      <c r="F258" s="713"/>
      <c r="G258" s="713"/>
      <c r="H258" s="713"/>
      <c r="I258" s="713"/>
      <c r="J258" s="713"/>
      <c r="K258" s="713"/>
      <c r="L258" s="713"/>
      <c r="M258" s="713"/>
      <c r="N258" s="713"/>
      <c r="O258" s="713"/>
      <c r="P258" s="713"/>
      <c r="Q258" s="713"/>
      <c r="R258" s="713"/>
      <c r="S258" s="713"/>
      <c r="T258" s="713"/>
      <c r="U258" s="713"/>
      <c r="V258" s="713"/>
      <c r="W258" s="713"/>
      <c r="X258" s="713"/>
      <c r="Y258" s="713"/>
      <c r="Z258" s="713"/>
      <c r="AA258" s="66"/>
      <c r="AB258" s="66"/>
      <c r="AC258" s="80"/>
    </row>
    <row r="259" spans="1:68" ht="16.5" customHeight="1" x14ac:dyDescent="0.25">
      <c r="A259" s="63" t="s">
        <v>435</v>
      </c>
      <c r="B259" s="63" t="s">
        <v>436</v>
      </c>
      <c r="C259" s="36">
        <v>4301020261</v>
      </c>
      <c r="D259" s="714">
        <v>4680115882935</v>
      </c>
      <c r="E259" s="714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6"/>
      <c r="R259" s="716"/>
      <c r="S259" s="716"/>
      <c r="T259" s="717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customHeight="1" x14ac:dyDescent="0.25">
      <c r="A260" s="63" t="s">
        <v>438</v>
      </c>
      <c r="B260" s="63" t="s">
        <v>439</v>
      </c>
      <c r="C260" s="36">
        <v>4301020220</v>
      </c>
      <c r="D260" s="714">
        <v>4680115880764</v>
      </c>
      <c r="E260" s="714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6"/>
      <c r="R260" s="716"/>
      <c r="S260" s="716"/>
      <c r="T260" s="717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21"/>
      <c r="B261" s="721"/>
      <c r="C261" s="721"/>
      <c r="D261" s="721"/>
      <c r="E261" s="721"/>
      <c r="F261" s="721"/>
      <c r="G261" s="721"/>
      <c r="H261" s="721"/>
      <c r="I261" s="721"/>
      <c r="J261" s="721"/>
      <c r="K261" s="721"/>
      <c r="L261" s="721"/>
      <c r="M261" s="721"/>
      <c r="N261" s="721"/>
      <c r="O261" s="722"/>
      <c r="P261" s="718" t="s">
        <v>40</v>
      </c>
      <c r="Q261" s="719"/>
      <c r="R261" s="719"/>
      <c r="S261" s="719"/>
      <c r="T261" s="719"/>
      <c r="U261" s="719"/>
      <c r="V261" s="720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21"/>
      <c r="B262" s="721"/>
      <c r="C262" s="721"/>
      <c r="D262" s="721"/>
      <c r="E262" s="721"/>
      <c r="F262" s="721"/>
      <c r="G262" s="721"/>
      <c r="H262" s="721"/>
      <c r="I262" s="721"/>
      <c r="J262" s="721"/>
      <c r="K262" s="721"/>
      <c r="L262" s="721"/>
      <c r="M262" s="721"/>
      <c r="N262" s="721"/>
      <c r="O262" s="722"/>
      <c r="P262" s="718" t="s">
        <v>40</v>
      </c>
      <c r="Q262" s="719"/>
      <c r="R262" s="719"/>
      <c r="S262" s="719"/>
      <c r="T262" s="719"/>
      <c r="U262" s="719"/>
      <c r="V262" s="720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13" t="s">
        <v>77</v>
      </c>
      <c r="B263" s="713"/>
      <c r="C263" s="713"/>
      <c r="D263" s="713"/>
      <c r="E263" s="713"/>
      <c r="F263" s="713"/>
      <c r="G263" s="713"/>
      <c r="H263" s="713"/>
      <c r="I263" s="713"/>
      <c r="J263" s="713"/>
      <c r="K263" s="713"/>
      <c r="L263" s="713"/>
      <c r="M263" s="713"/>
      <c r="N263" s="713"/>
      <c r="O263" s="713"/>
      <c r="P263" s="713"/>
      <c r="Q263" s="713"/>
      <c r="R263" s="713"/>
      <c r="S263" s="713"/>
      <c r="T263" s="713"/>
      <c r="U263" s="713"/>
      <c r="V263" s="713"/>
      <c r="W263" s="713"/>
      <c r="X263" s="713"/>
      <c r="Y263" s="713"/>
      <c r="Z263" s="713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714">
        <v>4680115882683</v>
      </c>
      <c r="E264" s="714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6"/>
      <c r="R264" s="716"/>
      <c r="S264" s="716"/>
      <c r="T264" s="717"/>
      <c r="U264" s="39" t="s">
        <v>46</v>
      </c>
      <c r="V264" s="39" t="s">
        <v>46</v>
      </c>
      <c r="W264" s="40" t="s">
        <v>0</v>
      </c>
      <c r="X264" s="58">
        <v>50</v>
      </c>
      <c r="Y264" s="55">
        <f t="shared" ref="Y264:Y271" si="31">IFERROR(IF(X264="",0,CEILING((X264/$H264),1)*$H264),"")</f>
        <v>54</v>
      </c>
      <c r="Z264" s="41">
        <f>IFERROR(IF(Y264=0,"",ROUNDUP(Y264/H264,0)*0.00902),"")</f>
        <v>9.0200000000000002E-2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51.759259259259252</v>
      </c>
      <c r="BN264" s="78">
        <f t="shared" ref="BN264:BN271" si="33">IFERROR(Y264*I264/H264,"0")</f>
        <v>55.9</v>
      </c>
      <c r="BO264" s="78">
        <f t="shared" ref="BO264:BO271" si="34">IFERROR(1/J264*(X264/H264),"0")</f>
        <v>7.0145903479236812E-2</v>
      </c>
      <c r="BP264" s="78">
        <f t="shared" ref="BP264:BP271" si="35">IFERROR(1/J264*(Y264/H264),"0")</f>
        <v>7.575757575757576E-2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714">
        <v>4680115882690</v>
      </c>
      <c r="E265" s="714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6"/>
      <c r="R265" s="716"/>
      <c r="S265" s="716"/>
      <c r="T265" s="717"/>
      <c r="U265" s="39" t="s">
        <v>46</v>
      </c>
      <c r="V265" s="39" t="s">
        <v>46</v>
      </c>
      <c r="W265" s="40" t="s">
        <v>0</v>
      </c>
      <c r="X265" s="58">
        <v>50</v>
      </c>
      <c r="Y265" s="55">
        <f t="shared" si="31"/>
        <v>54</v>
      </c>
      <c r="Z265" s="41">
        <f>IFERROR(IF(Y265=0,"",ROUNDUP(Y265/H265,0)*0.00902),"")</f>
        <v>9.0200000000000002E-2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51.759259259259252</v>
      </c>
      <c r="BN265" s="78">
        <f t="shared" si="33"/>
        <v>55.9</v>
      </c>
      <c r="BO265" s="78">
        <f t="shared" si="34"/>
        <v>7.0145903479236812E-2</v>
      </c>
      <c r="BP265" s="78">
        <f t="shared" si="35"/>
        <v>7.575757575757576E-2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714">
        <v>4680115882669</v>
      </c>
      <c r="E266" s="71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6"/>
      <c r="R266" s="716"/>
      <c r="S266" s="716"/>
      <c r="T266" s="717"/>
      <c r="U266" s="39" t="s">
        <v>46</v>
      </c>
      <c r="V266" s="39" t="s">
        <v>46</v>
      </c>
      <c r="W266" s="40" t="s">
        <v>0</v>
      </c>
      <c r="X266" s="58">
        <v>60</v>
      </c>
      <c r="Y266" s="55">
        <f t="shared" si="31"/>
        <v>64.800000000000011</v>
      </c>
      <c r="Z266" s="41">
        <f>IFERROR(IF(Y266=0,"",ROUNDUP(Y266/H266,0)*0.00902),"")</f>
        <v>0.10824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62.1111111111111</v>
      </c>
      <c r="BN266" s="78">
        <f t="shared" si="33"/>
        <v>67.08</v>
      </c>
      <c r="BO266" s="78">
        <f t="shared" si="34"/>
        <v>8.4175084175084181E-2</v>
      </c>
      <c r="BP266" s="78">
        <f t="shared" si="35"/>
        <v>9.0909090909090925E-2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714">
        <v>4680115882676</v>
      </c>
      <c r="E267" s="71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6"/>
      <c r="R267" s="716"/>
      <c r="S267" s="716"/>
      <c r="T267" s="71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4301031223</v>
      </c>
      <c r="D268" s="714">
        <v>4680115884014</v>
      </c>
      <c r="E268" s="714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6"/>
      <c r="R268" s="716"/>
      <c r="S268" s="716"/>
      <c r="T268" s="71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customHeight="1" x14ac:dyDescent="0.25">
      <c r="A269" s="63" t="s">
        <v>454</v>
      </c>
      <c r="B269" s="63" t="s">
        <v>455</v>
      </c>
      <c r="C269" s="36">
        <v>4301031222</v>
      </c>
      <c r="D269" s="714">
        <v>4680115884007</v>
      </c>
      <c r="E269" s="714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6"/>
      <c r="R269" s="716"/>
      <c r="S269" s="716"/>
      <c r="T269" s="71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714">
        <v>4680115884038</v>
      </c>
      <c r="E270" s="714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6"/>
      <c r="R270" s="716"/>
      <c r="S270" s="716"/>
      <c r="T270" s="71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customHeight="1" x14ac:dyDescent="0.25">
      <c r="A271" s="63" t="s">
        <v>458</v>
      </c>
      <c r="B271" s="63" t="s">
        <v>459</v>
      </c>
      <c r="C271" s="36">
        <v>4301031225</v>
      </c>
      <c r="D271" s="714">
        <v>4680115884021</v>
      </c>
      <c r="E271" s="71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6"/>
      <c r="R271" s="716"/>
      <c r="S271" s="716"/>
      <c r="T271" s="71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721"/>
      <c r="B272" s="721"/>
      <c r="C272" s="721"/>
      <c r="D272" s="721"/>
      <c r="E272" s="721"/>
      <c r="F272" s="721"/>
      <c r="G272" s="721"/>
      <c r="H272" s="721"/>
      <c r="I272" s="721"/>
      <c r="J272" s="721"/>
      <c r="K272" s="721"/>
      <c r="L272" s="721"/>
      <c r="M272" s="721"/>
      <c r="N272" s="721"/>
      <c r="O272" s="722"/>
      <c r="P272" s="718" t="s">
        <v>40</v>
      </c>
      <c r="Q272" s="719"/>
      <c r="R272" s="719"/>
      <c r="S272" s="719"/>
      <c r="T272" s="719"/>
      <c r="U272" s="719"/>
      <c r="V272" s="720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29.62962962962963</v>
      </c>
      <c r="Y272" s="43">
        <f>IFERROR(Y264/H264,"0")+IFERROR(Y265/H265,"0")+IFERROR(Y266/H266,"0")+IFERROR(Y267/H267,"0")+IFERROR(Y268/H268,"0")+IFERROR(Y269/H269,"0")+IFERROR(Y270/H270,"0")+IFERROR(Y271/H271,"0")</f>
        <v>32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0.28864000000000001</v>
      </c>
      <c r="AA272" s="67"/>
      <c r="AB272" s="67"/>
      <c r="AC272" s="67"/>
    </row>
    <row r="273" spans="1:68" x14ac:dyDescent="0.2">
      <c r="A273" s="721"/>
      <c r="B273" s="721"/>
      <c r="C273" s="721"/>
      <c r="D273" s="721"/>
      <c r="E273" s="721"/>
      <c r="F273" s="721"/>
      <c r="G273" s="721"/>
      <c r="H273" s="721"/>
      <c r="I273" s="721"/>
      <c r="J273" s="721"/>
      <c r="K273" s="721"/>
      <c r="L273" s="721"/>
      <c r="M273" s="721"/>
      <c r="N273" s="721"/>
      <c r="O273" s="722"/>
      <c r="P273" s="718" t="s">
        <v>40</v>
      </c>
      <c r="Q273" s="719"/>
      <c r="R273" s="719"/>
      <c r="S273" s="719"/>
      <c r="T273" s="719"/>
      <c r="U273" s="719"/>
      <c r="V273" s="720"/>
      <c r="W273" s="42" t="s">
        <v>0</v>
      </c>
      <c r="X273" s="43">
        <f>IFERROR(SUM(X264:X271),"0")</f>
        <v>160</v>
      </c>
      <c r="Y273" s="43">
        <f>IFERROR(SUM(Y264:Y271),"0")</f>
        <v>172.8</v>
      </c>
      <c r="Z273" s="42"/>
      <c r="AA273" s="67"/>
      <c r="AB273" s="67"/>
      <c r="AC273" s="67"/>
    </row>
    <row r="274" spans="1:68" ht="14.25" customHeight="1" x14ac:dyDescent="0.25">
      <c r="A274" s="713" t="s">
        <v>83</v>
      </c>
      <c r="B274" s="713"/>
      <c r="C274" s="713"/>
      <c r="D274" s="713"/>
      <c r="E274" s="713"/>
      <c r="F274" s="713"/>
      <c r="G274" s="713"/>
      <c r="H274" s="713"/>
      <c r="I274" s="713"/>
      <c r="J274" s="713"/>
      <c r="K274" s="713"/>
      <c r="L274" s="713"/>
      <c r="M274" s="713"/>
      <c r="N274" s="713"/>
      <c r="O274" s="713"/>
      <c r="P274" s="713"/>
      <c r="Q274" s="713"/>
      <c r="R274" s="713"/>
      <c r="S274" s="713"/>
      <c r="T274" s="713"/>
      <c r="U274" s="713"/>
      <c r="V274" s="713"/>
      <c r="W274" s="713"/>
      <c r="X274" s="713"/>
      <c r="Y274" s="713"/>
      <c r="Z274" s="713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714">
        <v>4680115881594</v>
      </c>
      <c r="E275" s="714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6"/>
      <c r="R275" s="716"/>
      <c r="S275" s="716"/>
      <c r="T275" s="717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customHeight="1" x14ac:dyDescent="0.25">
      <c r="A276" s="63" t="s">
        <v>463</v>
      </c>
      <c r="B276" s="63" t="s">
        <v>464</v>
      </c>
      <c r="C276" s="36">
        <v>4301051411</v>
      </c>
      <c r="D276" s="714">
        <v>4680115881617</v>
      </c>
      <c r="E276" s="714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6"/>
      <c r="R276" s="716"/>
      <c r="S276" s="716"/>
      <c r="T276" s="71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466</v>
      </c>
      <c r="B277" s="63" t="s">
        <v>467</v>
      </c>
      <c r="C277" s="36">
        <v>4301051656</v>
      </c>
      <c r="D277" s="714">
        <v>4680115880573</v>
      </c>
      <c r="E277" s="714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6"/>
      <c r="R277" s="716"/>
      <c r="S277" s="716"/>
      <c r="T277" s="71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714">
        <v>4680115882195</v>
      </c>
      <c r="E278" s="714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6"/>
      <c r="R278" s="716"/>
      <c r="S278" s="716"/>
      <c r="T278" s="71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471</v>
      </c>
      <c r="B279" s="63" t="s">
        <v>472</v>
      </c>
      <c r="C279" s="36">
        <v>4301051752</v>
      </c>
      <c r="D279" s="714">
        <v>4680115882607</v>
      </c>
      <c r="E279" s="714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6"/>
      <c r="R279" s="716"/>
      <c r="S279" s="716"/>
      <c r="T279" s="71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714">
        <v>4680115880092</v>
      </c>
      <c r="E280" s="714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6"/>
      <c r="R280" s="716"/>
      <c r="S280" s="716"/>
      <c r="T280" s="71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475</v>
      </c>
      <c r="B281" s="63" t="s">
        <v>476</v>
      </c>
      <c r="C281" s="36">
        <v>4301052214</v>
      </c>
      <c r="D281" s="714">
        <v>4680115889064</v>
      </c>
      <c r="E281" s="714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6"/>
      <c r="R281" s="716"/>
      <c r="S281" s="716"/>
      <c r="T281" s="71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478</v>
      </c>
      <c r="B282" s="63" t="s">
        <v>479</v>
      </c>
      <c r="C282" s="36">
        <v>4301051668</v>
      </c>
      <c r="D282" s="714">
        <v>4680115880221</v>
      </c>
      <c r="E282" s="714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6"/>
      <c r="R282" s="716"/>
      <c r="S282" s="716"/>
      <c r="T282" s="71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714">
        <v>4680115880504</v>
      </c>
      <c r="E283" s="71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6"/>
      <c r="R283" s="716"/>
      <c r="S283" s="716"/>
      <c r="T283" s="71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714">
        <v>4680115882164</v>
      </c>
      <c r="E284" s="714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6"/>
      <c r="R284" s="716"/>
      <c r="S284" s="716"/>
      <c r="T284" s="71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486</v>
      </c>
      <c r="B285" s="63" t="s">
        <v>487</v>
      </c>
      <c r="C285" s="36">
        <v>4301052180</v>
      </c>
      <c r="D285" s="714">
        <v>4680115888340</v>
      </c>
      <c r="E285" s="71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6"/>
      <c r="R285" s="716"/>
      <c r="S285" s="716"/>
      <c r="T285" s="71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721"/>
      <c r="B286" s="721"/>
      <c r="C286" s="721"/>
      <c r="D286" s="721"/>
      <c r="E286" s="721"/>
      <c r="F286" s="721"/>
      <c r="G286" s="721"/>
      <c r="H286" s="721"/>
      <c r="I286" s="721"/>
      <c r="J286" s="721"/>
      <c r="K286" s="721"/>
      <c r="L286" s="721"/>
      <c r="M286" s="721"/>
      <c r="N286" s="721"/>
      <c r="O286" s="722"/>
      <c r="P286" s="718" t="s">
        <v>40</v>
      </c>
      <c r="Q286" s="719"/>
      <c r="R286" s="719"/>
      <c r="S286" s="719"/>
      <c r="T286" s="719"/>
      <c r="U286" s="719"/>
      <c r="V286" s="720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x14ac:dyDescent="0.2">
      <c r="A287" s="721"/>
      <c r="B287" s="721"/>
      <c r="C287" s="721"/>
      <c r="D287" s="721"/>
      <c r="E287" s="721"/>
      <c r="F287" s="721"/>
      <c r="G287" s="721"/>
      <c r="H287" s="721"/>
      <c r="I287" s="721"/>
      <c r="J287" s="721"/>
      <c r="K287" s="721"/>
      <c r="L287" s="721"/>
      <c r="M287" s="721"/>
      <c r="N287" s="721"/>
      <c r="O287" s="722"/>
      <c r="P287" s="718" t="s">
        <v>40</v>
      </c>
      <c r="Q287" s="719"/>
      <c r="R287" s="719"/>
      <c r="S287" s="719"/>
      <c r="T287" s="719"/>
      <c r="U287" s="719"/>
      <c r="V287" s="720"/>
      <c r="W287" s="42" t="s">
        <v>0</v>
      </c>
      <c r="X287" s="43">
        <f>IFERROR(SUM(X275:X285),"0")</f>
        <v>0</v>
      </c>
      <c r="Y287" s="43">
        <f>IFERROR(SUM(Y275:Y285),"0")</f>
        <v>0</v>
      </c>
      <c r="Z287" s="42"/>
      <c r="AA287" s="67"/>
      <c r="AB287" s="67"/>
      <c r="AC287" s="67"/>
    </row>
    <row r="288" spans="1:68" ht="14.25" customHeight="1" x14ac:dyDescent="0.25">
      <c r="A288" s="713" t="s">
        <v>183</v>
      </c>
      <c r="B288" s="713"/>
      <c r="C288" s="713"/>
      <c r="D288" s="713"/>
      <c r="E288" s="713"/>
      <c r="F288" s="713"/>
      <c r="G288" s="713"/>
      <c r="H288" s="713"/>
      <c r="I288" s="713"/>
      <c r="J288" s="713"/>
      <c r="K288" s="713"/>
      <c r="L288" s="713"/>
      <c r="M288" s="713"/>
      <c r="N288" s="713"/>
      <c r="O288" s="713"/>
      <c r="P288" s="713"/>
      <c r="Q288" s="713"/>
      <c r="R288" s="713"/>
      <c r="S288" s="713"/>
      <c r="T288" s="713"/>
      <c r="U288" s="713"/>
      <c r="V288" s="713"/>
      <c r="W288" s="713"/>
      <c r="X288" s="713"/>
      <c r="Y288" s="713"/>
      <c r="Z288" s="713"/>
      <c r="AA288" s="66"/>
      <c r="AB288" s="66"/>
      <c r="AC288" s="80"/>
    </row>
    <row r="289" spans="1:68" ht="27" customHeight="1" x14ac:dyDescent="0.25">
      <c r="A289" s="63" t="s">
        <v>489</v>
      </c>
      <c r="B289" s="63" t="s">
        <v>490</v>
      </c>
      <c r="C289" s="36">
        <v>4301060463</v>
      </c>
      <c r="D289" s="714">
        <v>4680115880818</v>
      </c>
      <c r="E289" s="714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6"/>
      <c r="R289" s="716"/>
      <c r="S289" s="716"/>
      <c r="T289" s="717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4301060389</v>
      </c>
      <c r="D290" s="714">
        <v>4680115880801</v>
      </c>
      <c r="E290" s="714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6"/>
      <c r="R290" s="716"/>
      <c r="S290" s="716"/>
      <c r="T290" s="717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721"/>
      <c r="B292" s="721"/>
      <c r="C292" s="721"/>
      <c r="D292" s="721"/>
      <c r="E292" s="721"/>
      <c r="F292" s="721"/>
      <c r="G292" s="721"/>
      <c r="H292" s="721"/>
      <c r="I292" s="721"/>
      <c r="J292" s="721"/>
      <c r="K292" s="721"/>
      <c r="L292" s="721"/>
      <c r="M292" s="721"/>
      <c r="N292" s="721"/>
      <c r="O292" s="722"/>
      <c r="P292" s="718" t="s">
        <v>40</v>
      </c>
      <c r="Q292" s="719"/>
      <c r="R292" s="719"/>
      <c r="S292" s="719"/>
      <c r="T292" s="719"/>
      <c r="U292" s="719"/>
      <c r="V292" s="72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712" t="s">
        <v>495</v>
      </c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2"/>
      <c r="P293" s="712"/>
      <c r="Q293" s="712"/>
      <c r="R293" s="712"/>
      <c r="S293" s="712"/>
      <c r="T293" s="712"/>
      <c r="U293" s="712"/>
      <c r="V293" s="712"/>
      <c r="W293" s="712"/>
      <c r="X293" s="712"/>
      <c r="Y293" s="712"/>
      <c r="Z293" s="712"/>
      <c r="AA293" s="65"/>
      <c r="AB293" s="65"/>
      <c r="AC293" s="79"/>
    </row>
    <row r="294" spans="1:68" ht="14.25" customHeight="1" x14ac:dyDescent="0.25">
      <c r="A294" s="713" t="s">
        <v>130</v>
      </c>
      <c r="B294" s="713"/>
      <c r="C294" s="713"/>
      <c r="D294" s="713"/>
      <c r="E294" s="713"/>
      <c r="F294" s="713"/>
      <c r="G294" s="713"/>
      <c r="H294" s="713"/>
      <c r="I294" s="713"/>
      <c r="J294" s="713"/>
      <c r="K294" s="713"/>
      <c r="L294" s="713"/>
      <c r="M294" s="713"/>
      <c r="N294" s="713"/>
      <c r="O294" s="713"/>
      <c r="P294" s="713"/>
      <c r="Q294" s="713"/>
      <c r="R294" s="713"/>
      <c r="S294" s="713"/>
      <c r="T294" s="713"/>
      <c r="U294" s="713"/>
      <c r="V294" s="713"/>
      <c r="W294" s="713"/>
      <c r="X294" s="713"/>
      <c r="Y294" s="713"/>
      <c r="Z294" s="713"/>
      <c r="AA294" s="66"/>
      <c r="AB294" s="66"/>
      <c r="AC294" s="80"/>
    </row>
    <row r="295" spans="1:68" ht="27" customHeight="1" x14ac:dyDescent="0.25">
      <c r="A295" s="63" t="s">
        <v>496</v>
      </c>
      <c r="B295" s="63" t="s">
        <v>497</v>
      </c>
      <c r="C295" s="36">
        <v>4301011826</v>
      </c>
      <c r="D295" s="714">
        <v>4680115884137</v>
      </c>
      <c r="E295" s="714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6"/>
      <c r="R295" s="716"/>
      <c r="S295" s="716"/>
      <c r="T295" s="71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customHeight="1" x14ac:dyDescent="0.25">
      <c r="A296" s="63" t="s">
        <v>499</v>
      </c>
      <c r="B296" s="63" t="s">
        <v>500</v>
      </c>
      <c r="C296" s="36">
        <v>4301011724</v>
      </c>
      <c r="D296" s="714">
        <v>4680115884236</v>
      </c>
      <c r="E296" s="714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6"/>
      <c r="R296" s="716"/>
      <c r="S296" s="716"/>
      <c r="T296" s="71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502</v>
      </c>
      <c r="B297" s="63" t="s">
        <v>503</v>
      </c>
      <c r="C297" s="36">
        <v>4301011721</v>
      </c>
      <c r="D297" s="714">
        <v>4680115884175</v>
      </c>
      <c r="E297" s="714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6"/>
      <c r="R297" s="716"/>
      <c r="S297" s="716"/>
      <c r="T297" s="71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504</v>
      </c>
      <c r="B298" s="63" t="s">
        <v>505</v>
      </c>
      <c r="C298" s="36">
        <v>4301011824</v>
      </c>
      <c r="D298" s="714">
        <v>4680115884144</v>
      </c>
      <c r="E298" s="714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6"/>
      <c r="R298" s="716"/>
      <c r="S298" s="716"/>
      <c r="T298" s="71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customHeight="1" x14ac:dyDescent="0.25">
      <c r="A299" s="63" t="s">
        <v>506</v>
      </c>
      <c r="B299" s="63" t="s">
        <v>507</v>
      </c>
      <c r="C299" s="36">
        <v>4301012149</v>
      </c>
      <c r="D299" s="714">
        <v>4680115886551</v>
      </c>
      <c r="E299" s="714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6"/>
      <c r="R299" s="716"/>
      <c r="S299" s="716"/>
      <c r="T299" s="71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509</v>
      </c>
      <c r="B300" s="63" t="s">
        <v>510</v>
      </c>
      <c r="C300" s="36">
        <v>4301012228</v>
      </c>
      <c r="D300" s="714">
        <v>4680115887282</v>
      </c>
      <c r="E300" s="714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6"/>
      <c r="R300" s="716"/>
      <c r="S300" s="716"/>
      <c r="T300" s="71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customHeight="1" x14ac:dyDescent="0.25">
      <c r="A301" s="63" t="s">
        <v>512</v>
      </c>
      <c r="B301" s="63" t="s">
        <v>513</v>
      </c>
      <c r="C301" s="36">
        <v>4301011722</v>
      </c>
      <c r="D301" s="714">
        <v>4680115884205</v>
      </c>
      <c r="E301" s="71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6"/>
      <c r="R301" s="716"/>
      <c r="S301" s="716"/>
      <c r="T301" s="71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x14ac:dyDescent="0.2">
      <c r="A302" s="721"/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2"/>
      <c r="P302" s="718" t="s">
        <v>40</v>
      </c>
      <c r="Q302" s="719"/>
      <c r="R302" s="719"/>
      <c r="S302" s="719"/>
      <c r="T302" s="719"/>
      <c r="U302" s="719"/>
      <c r="V302" s="720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721"/>
      <c r="B303" s="721"/>
      <c r="C303" s="721"/>
      <c r="D303" s="721"/>
      <c r="E303" s="721"/>
      <c r="F303" s="721"/>
      <c r="G303" s="721"/>
      <c r="H303" s="721"/>
      <c r="I303" s="721"/>
      <c r="J303" s="721"/>
      <c r="K303" s="721"/>
      <c r="L303" s="721"/>
      <c r="M303" s="721"/>
      <c r="N303" s="721"/>
      <c r="O303" s="722"/>
      <c r="P303" s="718" t="s">
        <v>40</v>
      </c>
      <c r="Q303" s="719"/>
      <c r="R303" s="719"/>
      <c r="S303" s="719"/>
      <c r="T303" s="719"/>
      <c r="U303" s="719"/>
      <c r="V303" s="720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customHeight="1" x14ac:dyDescent="0.25">
      <c r="A304" s="713" t="s">
        <v>165</v>
      </c>
      <c r="B304" s="713"/>
      <c r="C304" s="713"/>
      <c r="D304" s="713"/>
      <c r="E304" s="713"/>
      <c r="F304" s="713"/>
      <c r="G304" s="713"/>
      <c r="H304" s="713"/>
      <c r="I304" s="713"/>
      <c r="J304" s="713"/>
      <c r="K304" s="713"/>
      <c r="L304" s="713"/>
      <c r="M304" s="713"/>
      <c r="N304" s="713"/>
      <c r="O304" s="713"/>
      <c r="P304" s="713"/>
      <c r="Q304" s="713"/>
      <c r="R304" s="713"/>
      <c r="S304" s="713"/>
      <c r="T304" s="713"/>
      <c r="U304" s="713"/>
      <c r="V304" s="713"/>
      <c r="W304" s="713"/>
      <c r="X304" s="713"/>
      <c r="Y304" s="713"/>
      <c r="Z304" s="713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4301020377</v>
      </c>
      <c r="D305" s="714">
        <v>4680115885981</v>
      </c>
      <c r="E305" s="714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6"/>
      <c r="R305" s="716"/>
      <c r="S305" s="716"/>
      <c r="T305" s="717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713" t="s">
        <v>517</v>
      </c>
      <c r="B308" s="713"/>
      <c r="C308" s="713"/>
      <c r="D308" s="713"/>
      <c r="E308" s="713"/>
      <c r="F308" s="713"/>
      <c r="G308" s="713"/>
      <c r="H308" s="713"/>
      <c r="I308" s="713"/>
      <c r="J308" s="713"/>
      <c r="K308" s="713"/>
      <c r="L308" s="713"/>
      <c r="M308" s="713"/>
      <c r="N308" s="713"/>
      <c r="O308" s="713"/>
      <c r="P308" s="713"/>
      <c r="Q308" s="713"/>
      <c r="R308" s="713"/>
      <c r="S308" s="713"/>
      <c r="T308" s="713"/>
      <c r="U308" s="713"/>
      <c r="V308" s="713"/>
      <c r="W308" s="713"/>
      <c r="X308" s="713"/>
      <c r="Y308" s="713"/>
      <c r="Z308" s="713"/>
      <c r="AA308" s="66"/>
      <c r="AB308" s="66"/>
      <c r="AC308" s="80"/>
    </row>
    <row r="309" spans="1:68" ht="27" customHeight="1" x14ac:dyDescent="0.25">
      <c r="A309" s="63" t="s">
        <v>518</v>
      </c>
      <c r="B309" s="63" t="s">
        <v>519</v>
      </c>
      <c r="C309" s="36">
        <v>4301040362</v>
      </c>
      <c r="D309" s="714">
        <v>4680115886803</v>
      </c>
      <c r="E309" s="714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6"/>
      <c r="R309" s="716"/>
      <c r="S309" s="716"/>
      <c r="T309" s="717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713" t="s">
        <v>339</v>
      </c>
      <c r="B312" s="713"/>
      <c r="C312" s="713"/>
      <c r="D312" s="713"/>
      <c r="E312" s="713"/>
      <c r="F312" s="713"/>
      <c r="G312" s="713"/>
      <c r="H312" s="713"/>
      <c r="I312" s="713"/>
      <c r="J312" s="713"/>
      <c r="K312" s="713"/>
      <c r="L312" s="713"/>
      <c r="M312" s="713"/>
      <c r="N312" s="713"/>
      <c r="O312" s="713"/>
      <c r="P312" s="713"/>
      <c r="Q312" s="713"/>
      <c r="R312" s="713"/>
      <c r="S312" s="713"/>
      <c r="T312" s="713"/>
      <c r="U312" s="713"/>
      <c r="V312" s="713"/>
      <c r="W312" s="713"/>
      <c r="X312" s="713"/>
      <c r="Y312" s="713"/>
      <c r="Z312" s="713"/>
      <c r="AA312" s="66"/>
      <c r="AB312" s="66"/>
      <c r="AC312" s="80"/>
    </row>
    <row r="313" spans="1:68" ht="27" customHeight="1" x14ac:dyDescent="0.25">
      <c r="A313" s="63" t="s">
        <v>521</v>
      </c>
      <c r="B313" s="63" t="s">
        <v>522</v>
      </c>
      <c r="C313" s="36">
        <v>4301041008</v>
      </c>
      <c r="D313" s="714">
        <v>4680115886681</v>
      </c>
      <c r="E313" s="714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6"/>
      <c r="R313" s="716"/>
      <c r="S313" s="716"/>
      <c r="T313" s="717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524</v>
      </c>
      <c r="B314" s="63" t="s">
        <v>525</v>
      </c>
      <c r="C314" s="36">
        <v>4301041007</v>
      </c>
      <c r="D314" s="714">
        <v>4680115886735</v>
      </c>
      <c r="E314" s="714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6"/>
      <c r="R314" s="716"/>
      <c r="S314" s="716"/>
      <c r="T314" s="717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526</v>
      </c>
      <c r="B315" s="63" t="s">
        <v>527</v>
      </c>
      <c r="C315" s="36">
        <v>4301041006</v>
      </c>
      <c r="D315" s="714">
        <v>4680115886728</v>
      </c>
      <c r="E315" s="714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6"/>
      <c r="R315" s="716"/>
      <c r="S315" s="716"/>
      <c r="T315" s="717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528</v>
      </c>
      <c r="B316" s="63" t="s">
        <v>529</v>
      </c>
      <c r="C316" s="36">
        <v>4301041005</v>
      </c>
      <c r="D316" s="714">
        <v>4680115886711</v>
      </c>
      <c r="E316" s="714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6"/>
      <c r="R316" s="716"/>
      <c r="S316" s="716"/>
      <c r="T316" s="71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721"/>
      <c r="B317" s="721"/>
      <c r="C317" s="721"/>
      <c r="D317" s="721"/>
      <c r="E317" s="721"/>
      <c r="F317" s="721"/>
      <c r="G317" s="721"/>
      <c r="H317" s="721"/>
      <c r="I317" s="721"/>
      <c r="J317" s="721"/>
      <c r="K317" s="721"/>
      <c r="L317" s="721"/>
      <c r="M317" s="721"/>
      <c r="N317" s="721"/>
      <c r="O317" s="722"/>
      <c r="P317" s="718" t="s">
        <v>40</v>
      </c>
      <c r="Q317" s="719"/>
      <c r="R317" s="719"/>
      <c r="S317" s="719"/>
      <c r="T317" s="719"/>
      <c r="U317" s="719"/>
      <c r="V317" s="720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721"/>
      <c r="B318" s="721"/>
      <c r="C318" s="721"/>
      <c r="D318" s="721"/>
      <c r="E318" s="721"/>
      <c r="F318" s="721"/>
      <c r="G318" s="721"/>
      <c r="H318" s="721"/>
      <c r="I318" s="721"/>
      <c r="J318" s="721"/>
      <c r="K318" s="721"/>
      <c r="L318" s="721"/>
      <c r="M318" s="721"/>
      <c r="N318" s="721"/>
      <c r="O318" s="722"/>
      <c r="P318" s="718" t="s">
        <v>40</v>
      </c>
      <c r="Q318" s="719"/>
      <c r="R318" s="719"/>
      <c r="S318" s="719"/>
      <c r="T318" s="719"/>
      <c r="U318" s="719"/>
      <c r="V318" s="720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customHeight="1" x14ac:dyDescent="0.25">
      <c r="A319" s="712" t="s">
        <v>530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5"/>
      <c r="AB319" s="65"/>
      <c r="AC319" s="79"/>
    </row>
    <row r="320" spans="1:68" ht="14.25" customHeight="1" x14ac:dyDescent="0.25">
      <c r="A320" s="713" t="s">
        <v>130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6"/>
      <c r="AB320" s="66"/>
      <c r="AC320" s="80"/>
    </row>
    <row r="321" spans="1:68" ht="27" customHeight="1" x14ac:dyDescent="0.25">
      <c r="A321" s="63" t="s">
        <v>531</v>
      </c>
      <c r="B321" s="63" t="s">
        <v>532</v>
      </c>
      <c r="C321" s="36">
        <v>4301011855</v>
      </c>
      <c r="D321" s="714">
        <v>4680115885837</v>
      </c>
      <c r="E321" s="71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6"/>
      <c r="R321" s="716"/>
      <c r="S321" s="716"/>
      <c r="T321" s="71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customHeight="1" x14ac:dyDescent="0.25">
      <c r="A322" s="63" t="s">
        <v>534</v>
      </c>
      <c r="B322" s="63" t="s">
        <v>535</v>
      </c>
      <c r="C322" s="36">
        <v>4301012212</v>
      </c>
      <c r="D322" s="714">
        <v>4680115887077</v>
      </c>
      <c r="E322" s="71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6"/>
      <c r="R322" s="716"/>
      <c r="S322" s="716"/>
      <c r="T322" s="71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customHeight="1" x14ac:dyDescent="0.25">
      <c r="A323" s="63" t="s">
        <v>537</v>
      </c>
      <c r="B323" s="63" t="s">
        <v>538</v>
      </c>
      <c r="C323" s="36">
        <v>4301012390</v>
      </c>
      <c r="D323" s="714">
        <v>4680115889637</v>
      </c>
      <c r="E323" s="71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6"/>
      <c r="R323" s="716"/>
      <c r="S323" s="716"/>
      <c r="T323" s="71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customHeight="1" x14ac:dyDescent="0.25">
      <c r="A324" s="63" t="s">
        <v>540</v>
      </c>
      <c r="B324" s="63" t="s">
        <v>541</v>
      </c>
      <c r="C324" s="36">
        <v>4301012234</v>
      </c>
      <c r="D324" s="714">
        <v>4680115887237</v>
      </c>
      <c r="E324" s="71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6"/>
      <c r="R324" s="716"/>
      <c r="S324" s="716"/>
      <c r="T324" s="71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customHeight="1" x14ac:dyDescent="0.25">
      <c r="A325" s="63" t="s">
        <v>543</v>
      </c>
      <c r="B325" s="63" t="s">
        <v>544</v>
      </c>
      <c r="C325" s="36">
        <v>4301011850</v>
      </c>
      <c r="D325" s="714">
        <v>4680115885806</v>
      </c>
      <c r="E325" s="714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6"/>
      <c r="R325" s="716"/>
      <c r="S325" s="716"/>
      <c r="T325" s="71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4301011852</v>
      </c>
      <c r="D326" s="714">
        <v>4680115885844</v>
      </c>
      <c r="E326" s="71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6"/>
      <c r="R326" s="716"/>
      <c r="S326" s="716"/>
      <c r="T326" s="71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customHeight="1" x14ac:dyDescent="0.25">
      <c r="A327" s="63" t="s">
        <v>549</v>
      </c>
      <c r="B327" s="63" t="s">
        <v>550</v>
      </c>
      <c r="C327" s="36">
        <v>4301011851</v>
      </c>
      <c r="D327" s="714">
        <v>4680115885820</v>
      </c>
      <c r="E327" s="714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6"/>
      <c r="R327" s="716"/>
      <c r="S327" s="716"/>
      <c r="T327" s="717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x14ac:dyDescent="0.2">
      <c r="A328" s="721"/>
      <c r="B328" s="721"/>
      <c r="C328" s="721"/>
      <c r="D328" s="721"/>
      <c r="E328" s="721"/>
      <c r="F328" s="721"/>
      <c r="G328" s="721"/>
      <c r="H328" s="721"/>
      <c r="I328" s="721"/>
      <c r="J328" s="721"/>
      <c r="K328" s="721"/>
      <c r="L328" s="721"/>
      <c r="M328" s="721"/>
      <c r="N328" s="721"/>
      <c r="O328" s="722"/>
      <c r="P328" s="718" t="s">
        <v>40</v>
      </c>
      <c r="Q328" s="719"/>
      <c r="R328" s="719"/>
      <c r="S328" s="719"/>
      <c r="T328" s="719"/>
      <c r="U328" s="719"/>
      <c r="V328" s="720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customHeight="1" x14ac:dyDescent="0.25">
      <c r="A330" s="712" t="s">
        <v>552</v>
      </c>
      <c r="B330" s="712"/>
      <c r="C330" s="712"/>
      <c r="D330" s="712"/>
      <c r="E330" s="712"/>
      <c r="F330" s="712"/>
      <c r="G330" s="712"/>
      <c r="H330" s="712"/>
      <c r="I330" s="712"/>
      <c r="J330" s="712"/>
      <c r="K330" s="712"/>
      <c r="L330" s="712"/>
      <c r="M330" s="712"/>
      <c r="N330" s="712"/>
      <c r="O330" s="712"/>
      <c r="P330" s="712"/>
      <c r="Q330" s="712"/>
      <c r="R330" s="712"/>
      <c r="S330" s="712"/>
      <c r="T330" s="712"/>
      <c r="U330" s="712"/>
      <c r="V330" s="712"/>
      <c r="W330" s="712"/>
      <c r="X330" s="712"/>
      <c r="Y330" s="712"/>
      <c r="Z330" s="712"/>
      <c r="AA330" s="65"/>
      <c r="AB330" s="65"/>
      <c r="AC330" s="79"/>
    </row>
    <row r="331" spans="1:68" ht="14.25" customHeight="1" x14ac:dyDescent="0.25">
      <c r="A331" s="713" t="s">
        <v>83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6"/>
      <c r="AB331" s="66"/>
      <c r="AC331" s="80"/>
    </row>
    <row r="332" spans="1:68" ht="27" customHeight="1" x14ac:dyDescent="0.25">
      <c r="A332" s="63" t="s">
        <v>553</v>
      </c>
      <c r="B332" s="63" t="s">
        <v>554</v>
      </c>
      <c r="C332" s="36">
        <v>4301051893</v>
      </c>
      <c r="D332" s="714">
        <v>4680115886186</v>
      </c>
      <c r="E332" s="714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6"/>
      <c r="R332" s="716"/>
      <c r="S332" s="716"/>
      <c r="T332" s="71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4301051795</v>
      </c>
      <c r="D333" s="714">
        <v>4680115881228</v>
      </c>
      <c r="E333" s="714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6"/>
      <c r="R333" s="716"/>
      <c r="S333" s="716"/>
      <c r="T333" s="71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4301051388</v>
      </c>
      <c r="D334" s="714">
        <v>4680115881211</v>
      </c>
      <c r="E334" s="714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6"/>
      <c r="R334" s="716"/>
      <c r="S334" s="716"/>
      <c r="T334" s="71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721"/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2"/>
      <c r="P335" s="718" t="s">
        <v>40</v>
      </c>
      <c r="Q335" s="719"/>
      <c r="R335" s="719"/>
      <c r="S335" s="719"/>
      <c r="T335" s="719"/>
      <c r="U335" s="719"/>
      <c r="V335" s="720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712" t="s">
        <v>561</v>
      </c>
      <c r="B337" s="712"/>
      <c r="C337" s="712"/>
      <c r="D337" s="712"/>
      <c r="E337" s="712"/>
      <c r="F337" s="712"/>
      <c r="G337" s="712"/>
      <c r="H337" s="712"/>
      <c r="I337" s="712"/>
      <c r="J337" s="712"/>
      <c r="K337" s="712"/>
      <c r="L337" s="712"/>
      <c r="M337" s="712"/>
      <c r="N337" s="712"/>
      <c r="O337" s="712"/>
      <c r="P337" s="712"/>
      <c r="Q337" s="712"/>
      <c r="R337" s="712"/>
      <c r="S337" s="712"/>
      <c r="T337" s="712"/>
      <c r="U337" s="712"/>
      <c r="V337" s="712"/>
      <c r="W337" s="712"/>
      <c r="X337" s="712"/>
      <c r="Y337" s="712"/>
      <c r="Z337" s="712"/>
      <c r="AA337" s="65"/>
      <c r="AB337" s="65"/>
      <c r="AC337" s="79"/>
    </row>
    <row r="338" spans="1:68" ht="14.25" customHeight="1" x14ac:dyDescent="0.25">
      <c r="A338" s="713" t="s">
        <v>77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6"/>
      <c r="AB338" s="66"/>
      <c r="AC338" s="80"/>
    </row>
    <row r="339" spans="1:68" ht="27" customHeight="1" x14ac:dyDescent="0.25">
      <c r="A339" s="63" t="s">
        <v>562</v>
      </c>
      <c r="B339" s="63" t="s">
        <v>563</v>
      </c>
      <c r="C339" s="36">
        <v>4301031445</v>
      </c>
      <c r="D339" s="714">
        <v>4680115888319</v>
      </c>
      <c r="E339" s="714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6"/>
      <c r="R339" s="716"/>
      <c r="S339" s="716"/>
      <c r="T339" s="71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565</v>
      </c>
      <c r="B340" s="63" t="s">
        <v>566</v>
      </c>
      <c r="C340" s="36">
        <v>4301031502</v>
      </c>
      <c r="D340" s="714">
        <v>4680115884700</v>
      </c>
      <c r="E340" s="714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6"/>
      <c r="R340" s="716"/>
      <c r="S340" s="716"/>
      <c r="T340" s="71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568</v>
      </c>
      <c r="B341" s="63" t="s">
        <v>569</v>
      </c>
      <c r="C341" s="36">
        <v>4301031307</v>
      </c>
      <c r="D341" s="714">
        <v>4680115880344</v>
      </c>
      <c r="E341" s="714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6"/>
      <c r="R341" s="716"/>
      <c r="S341" s="716"/>
      <c r="T341" s="71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571</v>
      </c>
      <c r="B342" s="63" t="s">
        <v>572</v>
      </c>
      <c r="C342" s="36">
        <v>4301031501</v>
      </c>
      <c r="D342" s="714">
        <v>4680115886919</v>
      </c>
      <c r="E342" s="714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6"/>
      <c r="R342" s="716"/>
      <c r="S342" s="716"/>
      <c r="T342" s="71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721"/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2"/>
      <c r="P343" s="718" t="s">
        <v>40</v>
      </c>
      <c r="Q343" s="719"/>
      <c r="R343" s="719"/>
      <c r="S343" s="719"/>
      <c r="T343" s="719"/>
      <c r="U343" s="719"/>
      <c r="V343" s="720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721"/>
      <c r="B344" s="721"/>
      <c r="C344" s="721"/>
      <c r="D344" s="721"/>
      <c r="E344" s="721"/>
      <c r="F344" s="721"/>
      <c r="G344" s="721"/>
      <c r="H344" s="721"/>
      <c r="I344" s="721"/>
      <c r="J344" s="721"/>
      <c r="K344" s="721"/>
      <c r="L344" s="721"/>
      <c r="M344" s="721"/>
      <c r="N344" s="721"/>
      <c r="O344" s="722"/>
      <c r="P344" s="718" t="s">
        <v>40</v>
      </c>
      <c r="Q344" s="719"/>
      <c r="R344" s="719"/>
      <c r="S344" s="719"/>
      <c r="T344" s="719"/>
      <c r="U344" s="719"/>
      <c r="V344" s="720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customHeight="1" x14ac:dyDescent="0.25">
      <c r="A345" s="713" t="s">
        <v>83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6"/>
      <c r="AB345" s="66"/>
      <c r="AC345" s="80"/>
    </row>
    <row r="346" spans="1:68" ht="27" customHeight="1" x14ac:dyDescent="0.25">
      <c r="A346" s="63" t="s">
        <v>574</v>
      </c>
      <c r="B346" s="63" t="s">
        <v>575</v>
      </c>
      <c r="C346" s="36">
        <v>4301051782</v>
      </c>
      <c r="D346" s="714">
        <v>4680115884618</v>
      </c>
      <c r="E346" s="71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4301052057</v>
      </c>
      <c r="D347" s="714">
        <v>4680115887114</v>
      </c>
      <c r="E347" s="71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4301052066</v>
      </c>
      <c r="D348" s="714">
        <v>4680115887466</v>
      </c>
      <c r="E348" s="714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6"/>
      <c r="R348" s="716"/>
      <c r="S348" s="716"/>
      <c r="T348" s="717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721"/>
      <c r="B349" s="721"/>
      <c r="C349" s="721"/>
      <c r="D349" s="721"/>
      <c r="E349" s="721"/>
      <c r="F349" s="721"/>
      <c r="G349" s="721"/>
      <c r="H349" s="721"/>
      <c r="I349" s="721"/>
      <c r="J349" s="721"/>
      <c r="K349" s="721"/>
      <c r="L349" s="721"/>
      <c r="M349" s="721"/>
      <c r="N349" s="721"/>
      <c r="O349" s="722"/>
      <c r="P349" s="718" t="s">
        <v>40</v>
      </c>
      <c r="Q349" s="719"/>
      <c r="R349" s="719"/>
      <c r="S349" s="719"/>
      <c r="T349" s="719"/>
      <c r="U349" s="719"/>
      <c r="V349" s="720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712" t="s">
        <v>583</v>
      </c>
      <c r="B351" s="712"/>
      <c r="C351" s="712"/>
      <c r="D351" s="712"/>
      <c r="E351" s="712"/>
      <c r="F351" s="712"/>
      <c r="G351" s="712"/>
      <c r="H351" s="712"/>
      <c r="I351" s="712"/>
      <c r="J351" s="712"/>
      <c r="K351" s="712"/>
      <c r="L351" s="712"/>
      <c r="M351" s="712"/>
      <c r="N351" s="712"/>
      <c r="O351" s="712"/>
      <c r="P351" s="712"/>
      <c r="Q351" s="712"/>
      <c r="R351" s="712"/>
      <c r="S351" s="712"/>
      <c r="T351" s="712"/>
      <c r="U351" s="712"/>
      <c r="V351" s="712"/>
      <c r="W351" s="712"/>
      <c r="X351" s="712"/>
      <c r="Y351" s="712"/>
      <c r="Z351" s="712"/>
      <c r="AA351" s="65"/>
      <c r="AB351" s="65"/>
      <c r="AC351" s="79"/>
    </row>
    <row r="352" spans="1:68" ht="14.25" customHeight="1" x14ac:dyDescent="0.25">
      <c r="A352" s="713" t="s">
        <v>77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6"/>
      <c r="AB352" s="66"/>
      <c r="AC352" s="80"/>
    </row>
    <row r="353" spans="1:68" ht="37.5" customHeight="1" x14ac:dyDescent="0.25">
      <c r="A353" s="63" t="s">
        <v>584</v>
      </c>
      <c r="B353" s="63" t="s">
        <v>585</v>
      </c>
      <c r="C353" s="36">
        <v>4301031283</v>
      </c>
      <c r="D353" s="714">
        <v>4680115886001</v>
      </c>
      <c r="E353" s="714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6"/>
      <c r="R353" s="716"/>
      <c r="S353" s="716"/>
      <c r="T353" s="71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721"/>
      <c r="B354" s="721"/>
      <c r="C354" s="721"/>
      <c r="D354" s="721"/>
      <c r="E354" s="721"/>
      <c r="F354" s="721"/>
      <c r="G354" s="721"/>
      <c r="H354" s="721"/>
      <c r="I354" s="721"/>
      <c r="J354" s="721"/>
      <c r="K354" s="721"/>
      <c r="L354" s="721"/>
      <c r="M354" s="721"/>
      <c r="N354" s="721"/>
      <c r="O354" s="722"/>
      <c r="P354" s="718" t="s">
        <v>40</v>
      </c>
      <c r="Q354" s="719"/>
      <c r="R354" s="719"/>
      <c r="S354" s="719"/>
      <c r="T354" s="719"/>
      <c r="U354" s="719"/>
      <c r="V354" s="720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x14ac:dyDescent="0.2">
      <c r="A355" s="721"/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2"/>
      <c r="P355" s="718" t="s">
        <v>40</v>
      </c>
      <c r="Q355" s="719"/>
      <c r="R355" s="719"/>
      <c r="S355" s="719"/>
      <c r="T355" s="719"/>
      <c r="U355" s="719"/>
      <c r="V355" s="720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customHeight="1" x14ac:dyDescent="0.25">
      <c r="A356" s="713" t="s">
        <v>83</v>
      </c>
      <c r="B356" s="713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3"/>
      <c r="N356" s="713"/>
      <c r="O356" s="713"/>
      <c r="P356" s="713"/>
      <c r="Q356" s="713"/>
      <c r="R356" s="713"/>
      <c r="S356" s="713"/>
      <c r="T356" s="713"/>
      <c r="U356" s="713"/>
      <c r="V356" s="713"/>
      <c r="W356" s="713"/>
      <c r="X356" s="713"/>
      <c r="Y356" s="713"/>
      <c r="Z356" s="713"/>
      <c r="AA356" s="66"/>
      <c r="AB356" s="66"/>
      <c r="AC356" s="80"/>
    </row>
    <row r="357" spans="1:68" ht="27" customHeight="1" x14ac:dyDescent="0.25">
      <c r="A357" s="63" t="s">
        <v>587</v>
      </c>
      <c r="B357" s="63" t="s">
        <v>588</v>
      </c>
      <c r="C357" s="36">
        <v>4301051597</v>
      </c>
      <c r="D357" s="714">
        <v>4680115886087</v>
      </c>
      <c r="E357" s="714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90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6"/>
      <c r="R357" s="716"/>
      <c r="S357" s="716"/>
      <c r="T357" s="71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x14ac:dyDescent="0.2">
      <c r="A359" s="721"/>
      <c r="B359" s="721"/>
      <c r="C359" s="721"/>
      <c r="D359" s="721"/>
      <c r="E359" s="721"/>
      <c r="F359" s="721"/>
      <c r="G359" s="721"/>
      <c r="H359" s="721"/>
      <c r="I359" s="721"/>
      <c r="J359" s="721"/>
      <c r="K359" s="721"/>
      <c r="L359" s="721"/>
      <c r="M359" s="721"/>
      <c r="N359" s="721"/>
      <c r="O359" s="722"/>
      <c r="P359" s="718" t="s">
        <v>40</v>
      </c>
      <c r="Q359" s="719"/>
      <c r="R359" s="719"/>
      <c r="S359" s="719"/>
      <c r="T359" s="719"/>
      <c r="U359" s="719"/>
      <c r="V359" s="720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customHeight="1" x14ac:dyDescent="0.25">
      <c r="A360" s="712" t="s">
        <v>590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5"/>
      <c r="AB360" s="65"/>
      <c r="AC360" s="79"/>
    </row>
    <row r="361" spans="1:68" ht="14.25" customHeight="1" x14ac:dyDescent="0.25">
      <c r="A361" s="713" t="s">
        <v>130</v>
      </c>
      <c r="B361" s="713"/>
      <c r="C361" s="713"/>
      <c r="D361" s="713"/>
      <c r="E361" s="713"/>
      <c r="F361" s="713"/>
      <c r="G361" s="713"/>
      <c r="H361" s="713"/>
      <c r="I361" s="713"/>
      <c r="J361" s="713"/>
      <c r="K361" s="713"/>
      <c r="L361" s="713"/>
      <c r="M361" s="713"/>
      <c r="N361" s="713"/>
      <c r="O361" s="713"/>
      <c r="P361" s="713"/>
      <c r="Q361" s="713"/>
      <c r="R361" s="713"/>
      <c r="S361" s="713"/>
      <c r="T361" s="713"/>
      <c r="U361" s="713"/>
      <c r="V361" s="713"/>
      <c r="W361" s="713"/>
      <c r="X361" s="713"/>
      <c r="Y361" s="713"/>
      <c r="Z361" s="713"/>
      <c r="AA361" s="66"/>
      <c r="AB361" s="66"/>
      <c r="AC361" s="80"/>
    </row>
    <row r="362" spans="1:68" ht="27" customHeight="1" x14ac:dyDescent="0.25">
      <c r="A362" s="63" t="s">
        <v>591</v>
      </c>
      <c r="B362" s="63" t="s">
        <v>592</v>
      </c>
      <c r="C362" s="36">
        <v>4301012324</v>
      </c>
      <c r="D362" s="714">
        <v>4680115887947</v>
      </c>
      <c r="E362" s="714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6"/>
      <c r="R362" s="716"/>
      <c r="S362" s="716"/>
      <c r="T362" s="717"/>
      <c r="U362" s="39" t="s">
        <v>46</v>
      </c>
      <c r="V362" s="39" t="s">
        <v>46</v>
      </c>
      <c r="W362" s="40" t="s">
        <v>0</v>
      </c>
      <c r="X362" s="58">
        <v>40</v>
      </c>
      <c r="Y362" s="55">
        <f>IFERROR(IF(X362="",0,CEILING((X362/$H362),1)*$H362),"")</f>
        <v>46.8</v>
      </c>
      <c r="Z362" s="41">
        <f>IFERROR(IF(Y362=0,"",ROUNDUP(Y362/H362,0)*0.01898),"")</f>
        <v>0.11388000000000001</v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42.102564102564109</v>
      </c>
      <c r="BN362" s="78">
        <f>IFERROR(Y362*I362/H362,"0")</f>
        <v>49.260000000000005</v>
      </c>
      <c r="BO362" s="78">
        <f>IFERROR(1/J362*(X362/H362),"0")</f>
        <v>8.0128205128205135E-2</v>
      </c>
      <c r="BP362" s="78">
        <f>IFERROR(1/J362*(Y362/H362),"0")</f>
        <v>9.375E-2</v>
      </c>
    </row>
    <row r="363" spans="1:68" ht="27" customHeight="1" x14ac:dyDescent="0.25">
      <c r="A363" s="63" t="s">
        <v>593</v>
      </c>
      <c r="B363" s="63" t="s">
        <v>594</v>
      </c>
      <c r="C363" s="36">
        <v>4301012325</v>
      </c>
      <c r="D363" s="714">
        <v>4680115887978</v>
      </c>
      <c r="E363" s="71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6"/>
      <c r="R363" s="716"/>
      <c r="S363" s="716"/>
      <c r="T363" s="717"/>
      <c r="U363" s="39" t="s">
        <v>46</v>
      </c>
      <c r="V363" s="39" t="s">
        <v>46</v>
      </c>
      <c r="W363" s="40" t="s">
        <v>0</v>
      </c>
      <c r="X363" s="58">
        <v>60</v>
      </c>
      <c r="Y363" s="55">
        <f>IFERROR(IF(X363="",0,CEILING((X363/$H363),1)*$H363),"")</f>
        <v>62.4</v>
      </c>
      <c r="Z363" s="41">
        <f>IFERROR(IF(Y363=0,"",ROUNDUP(Y363/H363,0)*0.01898),"")</f>
        <v>0.15184</v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63.15384615384616</v>
      </c>
      <c r="BN363" s="78">
        <f>IFERROR(Y363*I363/H363,"0")</f>
        <v>65.680000000000007</v>
      </c>
      <c r="BO363" s="78">
        <f>IFERROR(1/J363*(X363/H363),"0")</f>
        <v>0.1201923076923077</v>
      </c>
      <c r="BP363" s="78">
        <f>IFERROR(1/J363*(Y363/H363),"0")</f>
        <v>0.125</v>
      </c>
    </row>
    <row r="364" spans="1:68" ht="27" customHeight="1" x14ac:dyDescent="0.25">
      <c r="A364" s="63" t="s">
        <v>596</v>
      </c>
      <c r="B364" s="63" t="s">
        <v>597</v>
      </c>
      <c r="C364" s="36">
        <v>4301012327</v>
      </c>
      <c r="D364" s="714">
        <v>4680115887992</v>
      </c>
      <c r="E364" s="71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6"/>
      <c r="R364" s="716"/>
      <c r="S364" s="716"/>
      <c r="T364" s="71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721"/>
      <c r="B365" s="721"/>
      <c r="C365" s="721"/>
      <c r="D365" s="721"/>
      <c r="E365" s="721"/>
      <c r="F365" s="721"/>
      <c r="G365" s="721"/>
      <c r="H365" s="721"/>
      <c r="I365" s="721"/>
      <c r="J365" s="721"/>
      <c r="K365" s="721"/>
      <c r="L365" s="721"/>
      <c r="M365" s="721"/>
      <c r="N365" s="721"/>
      <c r="O365" s="722"/>
      <c r="P365" s="718" t="s">
        <v>40</v>
      </c>
      <c r="Q365" s="719"/>
      <c r="R365" s="719"/>
      <c r="S365" s="719"/>
      <c r="T365" s="719"/>
      <c r="U365" s="719"/>
      <c r="V365" s="720"/>
      <c r="W365" s="42" t="s">
        <v>39</v>
      </c>
      <c r="X365" s="43">
        <f>IFERROR(X362/H362,"0")+IFERROR(X363/H363,"0")+IFERROR(X364/H364,"0")</f>
        <v>12.820512820512821</v>
      </c>
      <c r="Y365" s="43">
        <f>IFERROR(Y362/H362,"0")+IFERROR(Y363/H363,"0")+IFERROR(Y364/H364,"0")</f>
        <v>14</v>
      </c>
      <c r="Z365" s="43">
        <f>IFERROR(IF(Z362="",0,Z362),"0")+IFERROR(IF(Z363="",0,Z363),"0")+IFERROR(IF(Z364="",0,Z364),"0")</f>
        <v>0.26572000000000001</v>
      </c>
      <c r="AA365" s="67"/>
      <c r="AB365" s="67"/>
      <c r="AC365" s="67"/>
    </row>
    <row r="366" spans="1:68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0</v>
      </c>
      <c r="X366" s="43">
        <f>IFERROR(SUM(X362:X364),"0")</f>
        <v>100</v>
      </c>
      <c r="Y366" s="43">
        <f>IFERROR(SUM(Y362:Y364),"0")</f>
        <v>109.19999999999999</v>
      </c>
      <c r="Z366" s="42"/>
      <c r="AA366" s="67"/>
      <c r="AB366" s="67"/>
      <c r="AC366" s="67"/>
    </row>
    <row r="367" spans="1:68" ht="16.5" customHeight="1" x14ac:dyDescent="0.25">
      <c r="A367" s="712" t="s">
        <v>599</v>
      </c>
      <c r="B367" s="712"/>
      <c r="C367" s="712"/>
      <c r="D367" s="712"/>
      <c r="E367" s="712"/>
      <c r="F367" s="712"/>
      <c r="G367" s="712"/>
      <c r="H367" s="712"/>
      <c r="I367" s="712"/>
      <c r="J367" s="712"/>
      <c r="K367" s="712"/>
      <c r="L367" s="712"/>
      <c r="M367" s="712"/>
      <c r="N367" s="712"/>
      <c r="O367" s="712"/>
      <c r="P367" s="712"/>
      <c r="Q367" s="712"/>
      <c r="R367" s="712"/>
      <c r="S367" s="712"/>
      <c r="T367" s="712"/>
      <c r="U367" s="712"/>
      <c r="V367" s="712"/>
      <c r="W367" s="712"/>
      <c r="X367" s="712"/>
      <c r="Y367" s="712"/>
      <c r="Z367" s="712"/>
      <c r="AA367" s="65"/>
      <c r="AB367" s="65"/>
      <c r="AC367" s="79"/>
    </row>
    <row r="368" spans="1:68" ht="14.25" customHeight="1" x14ac:dyDescent="0.25">
      <c r="A368" s="713" t="s">
        <v>130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6"/>
      <c r="AB368" s="66"/>
      <c r="AC368" s="80"/>
    </row>
    <row r="369" spans="1:68" ht="27" customHeight="1" x14ac:dyDescent="0.25">
      <c r="A369" s="63" t="s">
        <v>600</v>
      </c>
      <c r="B369" s="63" t="s">
        <v>601</v>
      </c>
      <c r="C369" s="36">
        <v>4301012360</v>
      </c>
      <c r="D369" s="714">
        <v>4680115889293</v>
      </c>
      <c r="E369" s="714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6"/>
      <c r="R369" s="716"/>
      <c r="S369" s="716"/>
      <c r="T369" s="71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customHeight="1" x14ac:dyDescent="0.25">
      <c r="A370" s="63" t="s">
        <v>603</v>
      </c>
      <c r="B370" s="63" t="s">
        <v>604</v>
      </c>
      <c r="C370" s="36">
        <v>4301012235</v>
      </c>
      <c r="D370" s="714">
        <v>4680115887190</v>
      </c>
      <c r="E370" s="71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6"/>
      <c r="R370" s="716"/>
      <c r="S370" s="716"/>
      <c r="T370" s="71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customHeight="1" x14ac:dyDescent="0.25">
      <c r="A371" s="63" t="s">
        <v>606</v>
      </c>
      <c r="B371" s="63" t="s">
        <v>607</v>
      </c>
      <c r="C371" s="36">
        <v>4301012400</v>
      </c>
      <c r="D371" s="714">
        <v>4680115889880</v>
      </c>
      <c r="E371" s="71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6"/>
      <c r="R371" s="716"/>
      <c r="S371" s="716"/>
      <c r="T371" s="71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customHeight="1" x14ac:dyDescent="0.25">
      <c r="A372" s="63" t="s">
        <v>608</v>
      </c>
      <c r="B372" s="63" t="s">
        <v>609</v>
      </c>
      <c r="C372" s="36">
        <v>4301012233</v>
      </c>
      <c r="D372" s="714">
        <v>4680115887138</v>
      </c>
      <c r="E372" s="71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6"/>
      <c r="R372" s="716"/>
      <c r="S372" s="716"/>
      <c r="T372" s="71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customHeight="1" x14ac:dyDescent="0.25">
      <c r="A373" s="63" t="s">
        <v>611</v>
      </c>
      <c r="B373" s="63" t="s">
        <v>612</v>
      </c>
      <c r="C373" s="36">
        <v>4301012016</v>
      </c>
      <c r="D373" s="714">
        <v>4680115885554</v>
      </c>
      <c r="E373" s="71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6"/>
      <c r="R373" s="716"/>
      <c r="S373" s="716"/>
      <c r="T373" s="71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customHeight="1" x14ac:dyDescent="0.25">
      <c r="A374" s="63" t="s">
        <v>614</v>
      </c>
      <c r="B374" s="63" t="s">
        <v>615</v>
      </c>
      <c r="C374" s="36">
        <v>4301012236</v>
      </c>
      <c r="D374" s="714">
        <v>4680115887220</v>
      </c>
      <c r="E374" s="71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6"/>
      <c r="R374" s="716"/>
      <c r="S374" s="716"/>
      <c r="T374" s="71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customHeight="1" x14ac:dyDescent="0.25">
      <c r="A375" s="63" t="s">
        <v>616</v>
      </c>
      <c r="B375" s="63" t="s">
        <v>617</v>
      </c>
      <c r="C375" s="36">
        <v>4301011859</v>
      </c>
      <c r="D375" s="714">
        <v>4680115885608</v>
      </c>
      <c r="E375" s="71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1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6"/>
      <c r="R375" s="716"/>
      <c r="S375" s="716"/>
      <c r="T375" s="71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713" t="s">
        <v>77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714">
        <v>4607091387193</v>
      </c>
      <c r="E379" s="71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6"/>
      <c r="R379" s="716"/>
      <c r="S379" s="716"/>
      <c r="T379" s="71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714">
        <v>4607091387230</v>
      </c>
      <c r="E380" s="71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6"/>
      <c r="R380" s="716"/>
      <c r="S380" s="716"/>
      <c r="T380" s="71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customHeight="1" x14ac:dyDescent="0.25">
      <c r="A381" s="63" t="s">
        <v>625</v>
      </c>
      <c r="B381" s="63" t="s">
        <v>626</v>
      </c>
      <c r="C381" s="36">
        <v>4301031154</v>
      </c>
      <c r="D381" s="714">
        <v>4607091387292</v>
      </c>
      <c r="E381" s="71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6"/>
      <c r="R381" s="716"/>
      <c r="S381" s="716"/>
      <c r="T381" s="71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customHeight="1" x14ac:dyDescent="0.25">
      <c r="A382" s="63" t="s">
        <v>628</v>
      </c>
      <c r="B382" s="63" t="s">
        <v>629</v>
      </c>
      <c r="C382" s="36">
        <v>4301031152</v>
      </c>
      <c r="D382" s="714">
        <v>4607091387285</v>
      </c>
      <c r="E382" s="71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6"/>
      <c r="R382" s="716"/>
      <c r="S382" s="716"/>
      <c r="T382" s="71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customHeight="1" x14ac:dyDescent="0.25">
      <c r="A383" s="63" t="s">
        <v>630</v>
      </c>
      <c r="B383" s="63" t="s">
        <v>631</v>
      </c>
      <c r="C383" s="36">
        <v>4301031305</v>
      </c>
      <c r="D383" s="714">
        <v>4607091389845</v>
      </c>
      <c r="E383" s="71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6"/>
      <c r="R383" s="716"/>
      <c r="S383" s="716"/>
      <c r="T383" s="71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customHeight="1" x14ac:dyDescent="0.25">
      <c r="A384" s="63" t="s">
        <v>633</v>
      </c>
      <c r="B384" s="63" t="s">
        <v>634</v>
      </c>
      <c r="C384" s="36">
        <v>4301031460</v>
      </c>
      <c r="D384" s="714">
        <v>4680115887442</v>
      </c>
      <c r="E384" s="71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6"/>
      <c r="R384" s="716"/>
      <c r="S384" s="716"/>
      <c r="T384" s="71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635</v>
      </c>
      <c r="B385" s="63" t="s">
        <v>636</v>
      </c>
      <c r="C385" s="36">
        <v>4301031066</v>
      </c>
      <c r="D385" s="714">
        <v>4607091383836</v>
      </c>
      <c r="E385" s="71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6"/>
      <c r="R385" s="716"/>
      <c r="S385" s="716"/>
      <c r="T385" s="71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721"/>
      <c r="B386" s="721"/>
      <c r="C386" s="721"/>
      <c r="D386" s="721"/>
      <c r="E386" s="721"/>
      <c r="F386" s="721"/>
      <c r="G386" s="721"/>
      <c r="H386" s="721"/>
      <c r="I386" s="721"/>
      <c r="J386" s="721"/>
      <c r="K386" s="721"/>
      <c r="L386" s="721"/>
      <c r="M386" s="721"/>
      <c r="N386" s="721"/>
      <c r="O386" s="722"/>
      <c r="P386" s="718" t="s">
        <v>40</v>
      </c>
      <c r="Q386" s="719"/>
      <c r="R386" s="719"/>
      <c r="S386" s="719"/>
      <c r="T386" s="719"/>
      <c r="U386" s="719"/>
      <c r="V386" s="720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21"/>
      <c r="B387" s="721"/>
      <c r="C387" s="721"/>
      <c r="D387" s="721"/>
      <c r="E387" s="721"/>
      <c r="F387" s="721"/>
      <c r="G387" s="721"/>
      <c r="H387" s="721"/>
      <c r="I387" s="721"/>
      <c r="J387" s="721"/>
      <c r="K387" s="721"/>
      <c r="L387" s="721"/>
      <c r="M387" s="721"/>
      <c r="N387" s="721"/>
      <c r="O387" s="722"/>
      <c r="P387" s="718" t="s">
        <v>40</v>
      </c>
      <c r="Q387" s="719"/>
      <c r="R387" s="719"/>
      <c r="S387" s="719"/>
      <c r="T387" s="719"/>
      <c r="U387" s="719"/>
      <c r="V387" s="720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customHeight="1" x14ac:dyDescent="0.25">
      <c r="A388" s="713" t="s">
        <v>83</v>
      </c>
      <c r="B388" s="713"/>
      <c r="C388" s="713"/>
      <c r="D388" s="713"/>
      <c r="E388" s="713"/>
      <c r="F388" s="713"/>
      <c r="G388" s="713"/>
      <c r="H388" s="713"/>
      <c r="I388" s="713"/>
      <c r="J388" s="713"/>
      <c r="K388" s="713"/>
      <c r="L388" s="713"/>
      <c r="M388" s="713"/>
      <c r="N388" s="713"/>
      <c r="O388" s="713"/>
      <c r="P388" s="713"/>
      <c r="Q388" s="713"/>
      <c r="R388" s="713"/>
      <c r="S388" s="713"/>
      <c r="T388" s="713"/>
      <c r="U388" s="713"/>
      <c r="V388" s="713"/>
      <c r="W388" s="713"/>
      <c r="X388" s="713"/>
      <c r="Y388" s="713"/>
      <c r="Z388" s="713"/>
      <c r="AA388" s="66"/>
      <c r="AB388" s="66"/>
      <c r="AC388" s="80"/>
    </row>
    <row r="389" spans="1:68" ht="27" customHeight="1" x14ac:dyDescent="0.25">
      <c r="A389" s="63" t="s">
        <v>638</v>
      </c>
      <c r="B389" s="63" t="s">
        <v>639</v>
      </c>
      <c r="C389" s="36">
        <v>4301051100</v>
      </c>
      <c r="D389" s="714">
        <v>4607091387766</v>
      </c>
      <c r="E389" s="71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6"/>
      <c r="R389" s="716"/>
      <c r="S389" s="716"/>
      <c r="T389" s="71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641</v>
      </c>
      <c r="B390" s="63" t="s">
        <v>642</v>
      </c>
      <c r="C390" s="36">
        <v>4301051818</v>
      </c>
      <c r="D390" s="714">
        <v>4607091387957</v>
      </c>
      <c r="E390" s="71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6"/>
      <c r="R390" s="716"/>
      <c r="S390" s="716"/>
      <c r="T390" s="71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644</v>
      </c>
      <c r="B391" s="63" t="s">
        <v>645</v>
      </c>
      <c r="C391" s="36">
        <v>4301051819</v>
      </c>
      <c r="D391" s="714">
        <v>4607091387964</v>
      </c>
      <c r="E391" s="71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6"/>
      <c r="R391" s="716"/>
      <c r="S391" s="716"/>
      <c r="T391" s="71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647</v>
      </c>
      <c r="B392" s="63" t="s">
        <v>648</v>
      </c>
      <c r="C392" s="36">
        <v>4301051734</v>
      </c>
      <c r="D392" s="714">
        <v>4680115884588</v>
      </c>
      <c r="E392" s="71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6"/>
      <c r="R392" s="716"/>
      <c r="S392" s="716"/>
      <c r="T392" s="71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21"/>
      <c r="B393" s="721"/>
      <c r="C393" s="721"/>
      <c r="D393" s="721"/>
      <c r="E393" s="721"/>
      <c r="F393" s="721"/>
      <c r="G393" s="721"/>
      <c r="H393" s="721"/>
      <c r="I393" s="721"/>
      <c r="J393" s="721"/>
      <c r="K393" s="721"/>
      <c r="L393" s="721"/>
      <c r="M393" s="721"/>
      <c r="N393" s="721"/>
      <c r="O393" s="722"/>
      <c r="P393" s="718" t="s">
        <v>40</v>
      </c>
      <c r="Q393" s="719"/>
      <c r="R393" s="719"/>
      <c r="S393" s="719"/>
      <c r="T393" s="719"/>
      <c r="U393" s="719"/>
      <c r="V393" s="72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721"/>
      <c r="B394" s="721"/>
      <c r="C394" s="721"/>
      <c r="D394" s="721"/>
      <c r="E394" s="721"/>
      <c r="F394" s="721"/>
      <c r="G394" s="721"/>
      <c r="H394" s="721"/>
      <c r="I394" s="721"/>
      <c r="J394" s="721"/>
      <c r="K394" s="721"/>
      <c r="L394" s="721"/>
      <c r="M394" s="721"/>
      <c r="N394" s="721"/>
      <c r="O394" s="722"/>
      <c r="P394" s="718" t="s">
        <v>40</v>
      </c>
      <c r="Q394" s="719"/>
      <c r="R394" s="719"/>
      <c r="S394" s="719"/>
      <c r="T394" s="719"/>
      <c r="U394" s="719"/>
      <c r="V394" s="72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customHeight="1" x14ac:dyDescent="0.25">
      <c r="A395" s="713" t="s">
        <v>183</v>
      </c>
      <c r="B395" s="713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3"/>
      <c r="N395" s="713"/>
      <c r="O395" s="713"/>
      <c r="P395" s="713"/>
      <c r="Q395" s="713"/>
      <c r="R395" s="713"/>
      <c r="S395" s="713"/>
      <c r="T395" s="713"/>
      <c r="U395" s="713"/>
      <c r="V395" s="713"/>
      <c r="W395" s="713"/>
      <c r="X395" s="713"/>
      <c r="Y395" s="713"/>
      <c r="Z395" s="713"/>
      <c r="AA395" s="66"/>
      <c r="AB395" s="66"/>
      <c r="AC395" s="80"/>
    </row>
    <row r="396" spans="1:68" ht="27" customHeight="1" x14ac:dyDescent="0.25">
      <c r="A396" s="63" t="s">
        <v>649</v>
      </c>
      <c r="B396" s="63" t="s">
        <v>650</v>
      </c>
      <c r="C396" s="36">
        <v>4301060387</v>
      </c>
      <c r="D396" s="714">
        <v>4607091380880</v>
      </c>
      <c r="E396" s="71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6"/>
      <c r="R396" s="716"/>
      <c r="S396" s="716"/>
      <c r="T396" s="71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714">
        <v>4607091384482</v>
      </c>
      <c r="E397" s="71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6"/>
      <c r="R397" s="716"/>
      <c r="S397" s="716"/>
      <c r="T397" s="71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714">
        <v>4607091380897</v>
      </c>
      <c r="E398" s="71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6"/>
      <c r="R398" s="716"/>
      <c r="S398" s="716"/>
      <c r="T398" s="71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21"/>
      <c r="B399" s="721"/>
      <c r="C399" s="721"/>
      <c r="D399" s="721"/>
      <c r="E399" s="721"/>
      <c r="F399" s="721"/>
      <c r="G399" s="721"/>
      <c r="H399" s="721"/>
      <c r="I399" s="721"/>
      <c r="J399" s="721"/>
      <c r="K399" s="721"/>
      <c r="L399" s="721"/>
      <c r="M399" s="721"/>
      <c r="N399" s="721"/>
      <c r="O399" s="722"/>
      <c r="P399" s="718" t="s">
        <v>40</v>
      </c>
      <c r="Q399" s="719"/>
      <c r="R399" s="719"/>
      <c r="S399" s="719"/>
      <c r="T399" s="719"/>
      <c r="U399" s="719"/>
      <c r="V399" s="720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21"/>
      <c r="B400" s="721"/>
      <c r="C400" s="721"/>
      <c r="D400" s="721"/>
      <c r="E400" s="721"/>
      <c r="F400" s="721"/>
      <c r="G400" s="721"/>
      <c r="H400" s="721"/>
      <c r="I400" s="721"/>
      <c r="J400" s="721"/>
      <c r="K400" s="721"/>
      <c r="L400" s="721"/>
      <c r="M400" s="721"/>
      <c r="N400" s="721"/>
      <c r="O400" s="722"/>
      <c r="P400" s="718" t="s">
        <v>40</v>
      </c>
      <c r="Q400" s="719"/>
      <c r="R400" s="719"/>
      <c r="S400" s="719"/>
      <c r="T400" s="719"/>
      <c r="U400" s="719"/>
      <c r="V400" s="720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customHeight="1" x14ac:dyDescent="0.25">
      <c r="A401" s="713" t="s">
        <v>101</v>
      </c>
      <c r="B401" s="713"/>
      <c r="C401" s="713"/>
      <c r="D401" s="713"/>
      <c r="E401" s="713"/>
      <c r="F401" s="713"/>
      <c r="G401" s="713"/>
      <c r="H401" s="713"/>
      <c r="I401" s="713"/>
      <c r="J401" s="713"/>
      <c r="K401" s="713"/>
      <c r="L401" s="713"/>
      <c r="M401" s="713"/>
      <c r="N401" s="713"/>
      <c r="O401" s="713"/>
      <c r="P401" s="713"/>
      <c r="Q401" s="713"/>
      <c r="R401" s="713"/>
      <c r="S401" s="713"/>
      <c r="T401" s="713"/>
      <c r="U401" s="713"/>
      <c r="V401" s="713"/>
      <c r="W401" s="713"/>
      <c r="X401" s="713"/>
      <c r="Y401" s="713"/>
      <c r="Z401" s="713"/>
      <c r="AA401" s="66"/>
      <c r="AB401" s="66"/>
      <c r="AC401" s="80"/>
    </row>
    <row r="402" spans="1:68" ht="27" customHeight="1" x14ac:dyDescent="0.25">
      <c r="A402" s="63" t="s">
        <v>658</v>
      </c>
      <c r="B402" s="63" t="s">
        <v>659</v>
      </c>
      <c r="C402" s="36">
        <v>4301030235</v>
      </c>
      <c r="D402" s="714">
        <v>4607091388381</v>
      </c>
      <c r="E402" s="71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6"/>
      <c r="R402" s="716"/>
      <c r="S402" s="716"/>
      <c r="T402" s="71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661</v>
      </c>
      <c r="B403" s="63" t="s">
        <v>662</v>
      </c>
      <c r="C403" s="36">
        <v>4301030232</v>
      </c>
      <c r="D403" s="714">
        <v>4607091388374</v>
      </c>
      <c r="E403" s="71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6"/>
      <c r="R403" s="716"/>
      <c r="S403" s="716"/>
      <c r="T403" s="71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663</v>
      </c>
      <c r="B404" s="63" t="s">
        <v>664</v>
      </c>
      <c r="C404" s="36">
        <v>4301032015</v>
      </c>
      <c r="D404" s="714">
        <v>4607091383102</v>
      </c>
      <c r="E404" s="71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6"/>
      <c r="R404" s="716"/>
      <c r="S404" s="716"/>
      <c r="T404" s="71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714">
        <v>4607091388404</v>
      </c>
      <c r="E405" s="71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6"/>
      <c r="R405" s="716"/>
      <c r="S405" s="716"/>
      <c r="T405" s="71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721"/>
      <c r="B406" s="721"/>
      <c r="C406" s="721"/>
      <c r="D406" s="721"/>
      <c r="E406" s="721"/>
      <c r="F406" s="721"/>
      <c r="G406" s="721"/>
      <c r="H406" s="721"/>
      <c r="I406" s="721"/>
      <c r="J406" s="721"/>
      <c r="K406" s="721"/>
      <c r="L406" s="721"/>
      <c r="M406" s="721"/>
      <c r="N406" s="721"/>
      <c r="O406" s="722"/>
      <c r="P406" s="718" t="s">
        <v>40</v>
      </c>
      <c r="Q406" s="719"/>
      <c r="R406" s="719"/>
      <c r="S406" s="719"/>
      <c r="T406" s="719"/>
      <c r="U406" s="719"/>
      <c r="V406" s="72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721"/>
      <c r="B407" s="721"/>
      <c r="C407" s="721"/>
      <c r="D407" s="721"/>
      <c r="E407" s="721"/>
      <c r="F407" s="721"/>
      <c r="G407" s="721"/>
      <c r="H407" s="721"/>
      <c r="I407" s="721"/>
      <c r="J407" s="721"/>
      <c r="K407" s="721"/>
      <c r="L407" s="721"/>
      <c r="M407" s="721"/>
      <c r="N407" s="721"/>
      <c r="O407" s="722"/>
      <c r="P407" s="718" t="s">
        <v>40</v>
      </c>
      <c r="Q407" s="719"/>
      <c r="R407" s="719"/>
      <c r="S407" s="719"/>
      <c r="T407" s="719"/>
      <c r="U407" s="719"/>
      <c r="V407" s="72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customHeight="1" x14ac:dyDescent="0.25">
      <c r="A408" s="713" t="s">
        <v>667</v>
      </c>
      <c r="B408" s="713"/>
      <c r="C408" s="713"/>
      <c r="D408" s="713"/>
      <c r="E408" s="713"/>
      <c r="F408" s="713"/>
      <c r="G408" s="713"/>
      <c r="H408" s="713"/>
      <c r="I408" s="713"/>
      <c r="J408" s="713"/>
      <c r="K408" s="713"/>
      <c r="L408" s="713"/>
      <c r="M408" s="713"/>
      <c r="N408" s="713"/>
      <c r="O408" s="713"/>
      <c r="P408" s="713"/>
      <c r="Q408" s="713"/>
      <c r="R408" s="713"/>
      <c r="S408" s="713"/>
      <c r="T408" s="713"/>
      <c r="U408" s="713"/>
      <c r="V408" s="713"/>
      <c r="W408" s="713"/>
      <c r="X408" s="713"/>
      <c r="Y408" s="713"/>
      <c r="Z408" s="713"/>
      <c r="AA408" s="66"/>
      <c r="AB408" s="66"/>
      <c r="AC408" s="80"/>
    </row>
    <row r="409" spans="1:68" ht="16.5" customHeight="1" x14ac:dyDescent="0.25">
      <c r="A409" s="63" t="s">
        <v>668</v>
      </c>
      <c r="B409" s="63" t="s">
        <v>669</v>
      </c>
      <c r="C409" s="36">
        <v>4301180007</v>
      </c>
      <c r="D409" s="714">
        <v>4680115881808</v>
      </c>
      <c r="E409" s="71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6"/>
      <c r="R409" s="716"/>
      <c r="S409" s="716"/>
      <c r="T409" s="71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672</v>
      </c>
      <c r="B410" s="63" t="s">
        <v>673</v>
      </c>
      <c r="C410" s="36">
        <v>4301180006</v>
      </c>
      <c r="D410" s="714">
        <v>4680115881822</v>
      </c>
      <c r="E410" s="71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6"/>
      <c r="R410" s="716"/>
      <c r="S410" s="716"/>
      <c r="T410" s="71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674</v>
      </c>
      <c r="B411" s="63" t="s">
        <v>675</v>
      </c>
      <c r="C411" s="36">
        <v>4301180001</v>
      </c>
      <c r="D411" s="714">
        <v>4680115880016</v>
      </c>
      <c r="E411" s="71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6"/>
      <c r="R411" s="716"/>
      <c r="S411" s="716"/>
      <c r="T411" s="71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721"/>
      <c r="B412" s="721"/>
      <c r="C412" s="721"/>
      <c r="D412" s="721"/>
      <c r="E412" s="721"/>
      <c r="F412" s="721"/>
      <c r="G412" s="721"/>
      <c r="H412" s="721"/>
      <c r="I412" s="721"/>
      <c r="J412" s="721"/>
      <c r="K412" s="721"/>
      <c r="L412" s="721"/>
      <c r="M412" s="721"/>
      <c r="N412" s="721"/>
      <c r="O412" s="722"/>
      <c r="P412" s="718" t="s">
        <v>40</v>
      </c>
      <c r="Q412" s="719"/>
      <c r="R412" s="719"/>
      <c r="S412" s="719"/>
      <c r="T412" s="719"/>
      <c r="U412" s="719"/>
      <c r="V412" s="72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721"/>
      <c r="B413" s="721"/>
      <c r="C413" s="721"/>
      <c r="D413" s="721"/>
      <c r="E413" s="721"/>
      <c r="F413" s="721"/>
      <c r="G413" s="721"/>
      <c r="H413" s="721"/>
      <c r="I413" s="721"/>
      <c r="J413" s="721"/>
      <c r="K413" s="721"/>
      <c r="L413" s="721"/>
      <c r="M413" s="721"/>
      <c r="N413" s="721"/>
      <c r="O413" s="722"/>
      <c r="P413" s="718" t="s">
        <v>40</v>
      </c>
      <c r="Q413" s="719"/>
      <c r="R413" s="719"/>
      <c r="S413" s="719"/>
      <c r="T413" s="719"/>
      <c r="U413" s="719"/>
      <c r="V413" s="72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713" t="s">
        <v>676</v>
      </c>
      <c r="B414" s="713"/>
      <c r="C414" s="713"/>
      <c r="D414" s="713"/>
      <c r="E414" s="713"/>
      <c r="F414" s="713"/>
      <c r="G414" s="713"/>
      <c r="H414" s="713"/>
      <c r="I414" s="713"/>
      <c r="J414" s="713"/>
      <c r="K414" s="713"/>
      <c r="L414" s="713"/>
      <c r="M414" s="713"/>
      <c r="N414" s="713"/>
      <c r="O414" s="713"/>
      <c r="P414" s="713"/>
      <c r="Q414" s="713"/>
      <c r="R414" s="713"/>
      <c r="S414" s="713"/>
      <c r="T414" s="713"/>
      <c r="U414" s="713"/>
      <c r="V414" s="713"/>
      <c r="W414" s="713"/>
      <c r="X414" s="713"/>
      <c r="Y414" s="713"/>
      <c r="Z414" s="713"/>
      <c r="AA414" s="66"/>
      <c r="AB414" s="66"/>
      <c r="AC414" s="80"/>
    </row>
    <row r="415" spans="1:68" ht="27" customHeight="1" x14ac:dyDescent="0.25">
      <c r="A415" s="63" t="s">
        <v>677</v>
      </c>
      <c r="B415" s="63" t="s">
        <v>678</v>
      </c>
      <c r="C415" s="36">
        <v>4301220003</v>
      </c>
      <c r="D415" s="714">
        <v>4680115888678</v>
      </c>
      <c r="E415" s="71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6"/>
      <c r="R415" s="716"/>
      <c r="S415" s="716"/>
      <c r="T415" s="71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680</v>
      </c>
      <c r="B416" s="63" t="s">
        <v>681</v>
      </c>
      <c r="C416" s="36">
        <v>4301220001</v>
      </c>
      <c r="D416" s="714">
        <v>4680115888654</v>
      </c>
      <c r="E416" s="71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6"/>
      <c r="R416" s="716"/>
      <c r="S416" s="716"/>
      <c r="T416" s="71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683</v>
      </c>
      <c r="B417" s="63" t="s">
        <v>684</v>
      </c>
      <c r="C417" s="36">
        <v>4301220002</v>
      </c>
      <c r="D417" s="714">
        <v>4680115888753</v>
      </c>
      <c r="E417" s="71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6"/>
      <c r="R417" s="716"/>
      <c r="S417" s="716"/>
      <c r="T417" s="71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21"/>
      <c r="B418" s="721"/>
      <c r="C418" s="721"/>
      <c r="D418" s="721"/>
      <c r="E418" s="721"/>
      <c r="F418" s="721"/>
      <c r="G418" s="721"/>
      <c r="H418" s="721"/>
      <c r="I418" s="721"/>
      <c r="J418" s="721"/>
      <c r="K418" s="721"/>
      <c r="L418" s="721"/>
      <c r="M418" s="721"/>
      <c r="N418" s="721"/>
      <c r="O418" s="722"/>
      <c r="P418" s="718" t="s">
        <v>40</v>
      </c>
      <c r="Q418" s="719"/>
      <c r="R418" s="719"/>
      <c r="S418" s="719"/>
      <c r="T418" s="719"/>
      <c r="U418" s="719"/>
      <c r="V418" s="72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721"/>
      <c r="B419" s="721"/>
      <c r="C419" s="721"/>
      <c r="D419" s="721"/>
      <c r="E419" s="721"/>
      <c r="F419" s="721"/>
      <c r="G419" s="721"/>
      <c r="H419" s="721"/>
      <c r="I419" s="721"/>
      <c r="J419" s="721"/>
      <c r="K419" s="721"/>
      <c r="L419" s="721"/>
      <c r="M419" s="721"/>
      <c r="N419" s="721"/>
      <c r="O419" s="722"/>
      <c r="P419" s="718" t="s">
        <v>40</v>
      </c>
      <c r="Q419" s="719"/>
      <c r="R419" s="719"/>
      <c r="S419" s="719"/>
      <c r="T419" s="719"/>
      <c r="U419" s="719"/>
      <c r="V419" s="72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customHeight="1" x14ac:dyDescent="0.25">
      <c r="A420" s="712" t="s">
        <v>685</v>
      </c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2"/>
      <c r="P420" s="712"/>
      <c r="Q420" s="712"/>
      <c r="R420" s="712"/>
      <c r="S420" s="712"/>
      <c r="T420" s="712"/>
      <c r="U420" s="712"/>
      <c r="V420" s="712"/>
      <c r="W420" s="712"/>
      <c r="X420" s="712"/>
      <c r="Y420" s="712"/>
      <c r="Z420" s="712"/>
      <c r="AA420" s="65"/>
      <c r="AB420" s="65"/>
      <c r="AC420" s="79"/>
    </row>
    <row r="421" spans="1:68" ht="14.25" customHeight="1" x14ac:dyDescent="0.25">
      <c r="A421" s="713" t="s">
        <v>83</v>
      </c>
      <c r="B421" s="713"/>
      <c r="C421" s="713"/>
      <c r="D421" s="713"/>
      <c r="E421" s="713"/>
      <c r="F421" s="713"/>
      <c r="G421" s="713"/>
      <c r="H421" s="713"/>
      <c r="I421" s="713"/>
      <c r="J421" s="713"/>
      <c r="K421" s="713"/>
      <c r="L421" s="713"/>
      <c r="M421" s="713"/>
      <c r="N421" s="713"/>
      <c r="O421" s="713"/>
      <c r="P421" s="713"/>
      <c r="Q421" s="713"/>
      <c r="R421" s="713"/>
      <c r="S421" s="713"/>
      <c r="T421" s="713"/>
      <c r="U421" s="713"/>
      <c r="V421" s="713"/>
      <c r="W421" s="713"/>
      <c r="X421" s="713"/>
      <c r="Y421" s="713"/>
      <c r="Z421" s="713"/>
      <c r="AA421" s="66"/>
      <c r="AB421" s="66"/>
      <c r="AC421" s="80"/>
    </row>
    <row r="422" spans="1:68" ht="16.5" customHeight="1" x14ac:dyDescent="0.25">
      <c r="A422" s="63" t="s">
        <v>686</v>
      </c>
      <c r="B422" s="63" t="s">
        <v>687</v>
      </c>
      <c r="C422" s="36">
        <v>4301052235</v>
      </c>
      <c r="D422" s="714">
        <v>4680115889415</v>
      </c>
      <c r="E422" s="71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6"/>
      <c r="R422" s="716"/>
      <c r="S422" s="716"/>
      <c r="T422" s="71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686</v>
      </c>
      <c r="B423" s="63" t="s">
        <v>689</v>
      </c>
      <c r="C423" s="36">
        <v>4301052283</v>
      </c>
      <c r="D423" s="714">
        <v>4660663720026</v>
      </c>
      <c r="E423" s="714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6" t="s">
        <v>690</v>
      </c>
      <c r="Q423" s="716"/>
      <c r="R423" s="716"/>
      <c r="S423" s="716"/>
      <c r="T423" s="71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customHeight="1" x14ac:dyDescent="0.25">
      <c r="A424" s="63" t="s">
        <v>692</v>
      </c>
      <c r="B424" s="63" t="s">
        <v>693</v>
      </c>
      <c r="C424" s="36">
        <v>4301052236</v>
      </c>
      <c r="D424" s="714">
        <v>4680115889422</v>
      </c>
      <c r="E424" s="714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6"/>
      <c r="R424" s="716"/>
      <c r="S424" s="716"/>
      <c r="T424" s="717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customHeight="1" x14ac:dyDescent="0.25">
      <c r="A425" s="63" t="s">
        <v>692</v>
      </c>
      <c r="B425" s="63" t="s">
        <v>695</v>
      </c>
      <c r="C425" s="36">
        <v>4301052284</v>
      </c>
      <c r="D425" s="714">
        <v>4680115889972</v>
      </c>
      <c r="E425" s="714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6"/>
      <c r="R425" s="716"/>
      <c r="S425" s="716"/>
      <c r="T425" s="717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721"/>
      <c r="B426" s="721"/>
      <c r="C426" s="721"/>
      <c r="D426" s="721"/>
      <c r="E426" s="721"/>
      <c r="F426" s="721"/>
      <c r="G426" s="721"/>
      <c r="H426" s="721"/>
      <c r="I426" s="721"/>
      <c r="J426" s="721"/>
      <c r="K426" s="721"/>
      <c r="L426" s="721"/>
      <c r="M426" s="721"/>
      <c r="N426" s="721"/>
      <c r="O426" s="722"/>
      <c r="P426" s="718" t="s">
        <v>40</v>
      </c>
      <c r="Q426" s="719"/>
      <c r="R426" s="719"/>
      <c r="S426" s="719"/>
      <c r="T426" s="719"/>
      <c r="U426" s="719"/>
      <c r="V426" s="720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x14ac:dyDescent="0.2">
      <c r="A427" s="721"/>
      <c r="B427" s="721"/>
      <c r="C427" s="721"/>
      <c r="D427" s="721"/>
      <c r="E427" s="721"/>
      <c r="F427" s="721"/>
      <c r="G427" s="721"/>
      <c r="H427" s="721"/>
      <c r="I427" s="721"/>
      <c r="J427" s="721"/>
      <c r="K427" s="721"/>
      <c r="L427" s="721"/>
      <c r="M427" s="721"/>
      <c r="N427" s="721"/>
      <c r="O427" s="722"/>
      <c r="P427" s="718" t="s">
        <v>40</v>
      </c>
      <c r="Q427" s="719"/>
      <c r="R427" s="719"/>
      <c r="S427" s="719"/>
      <c r="T427" s="719"/>
      <c r="U427" s="719"/>
      <c r="V427" s="720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customHeight="1" x14ac:dyDescent="0.25">
      <c r="A428" s="712" t="s">
        <v>697</v>
      </c>
      <c r="B428" s="712"/>
      <c r="C428" s="712"/>
      <c r="D428" s="712"/>
      <c r="E428" s="712"/>
      <c r="F428" s="712"/>
      <c r="G428" s="712"/>
      <c r="H428" s="712"/>
      <c r="I428" s="712"/>
      <c r="J428" s="712"/>
      <c r="K428" s="712"/>
      <c r="L428" s="712"/>
      <c r="M428" s="712"/>
      <c r="N428" s="712"/>
      <c r="O428" s="712"/>
      <c r="P428" s="712"/>
      <c r="Q428" s="712"/>
      <c r="R428" s="712"/>
      <c r="S428" s="712"/>
      <c r="T428" s="712"/>
      <c r="U428" s="712"/>
      <c r="V428" s="712"/>
      <c r="W428" s="712"/>
      <c r="X428" s="712"/>
      <c r="Y428" s="712"/>
      <c r="Z428" s="712"/>
      <c r="AA428" s="65"/>
      <c r="AB428" s="65"/>
      <c r="AC428" s="79"/>
    </row>
    <row r="429" spans="1:68" ht="14.25" customHeight="1" x14ac:dyDescent="0.25">
      <c r="A429" s="713" t="s">
        <v>83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6"/>
      <c r="AB429" s="66"/>
      <c r="AC429" s="80"/>
    </row>
    <row r="430" spans="1:68" ht="27" customHeight="1" x14ac:dyDescent="0.25">
      <c r="A430" s="63" t="s">
        <v>698</v>
      </c>
      <c r="B430" s="63" t="s">
        <v>699</v>
      </c>
      <c r="C430" s="36">
        <v>4301051489</v>
      </c>
      <c r="D430" s="714">
        <v>4607091387919</v>
      </c>
      <c r="E430" s="714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6"/>
      <c r="R430" s="716"/>
      <c r="S430" s="716"/>
      <c r="T430" s="717"/>
      <c r="U430" s="39" t="s">
        <v>46</v>
      </c>
      <c r="V430" s="39" t="s">
        <v>46</v>
      </c>
      <c r="W430" s="40" t="s">
        <v>0</v>
      </c>
      <c r="X430" s="58">
        <v>50</v>
      </c>
      <c r="Y430" s="55">
        <f>IFERROR(IF(X430="",0,CEILING((X430/$H430),1)*$H430),"")</f>
        <v>56.699999999999996</v>
      </c>
      <c r="Z430" s="41">
        <f>IFERROR(IF(Y430=0,"",ROUNDUP(Y430/H430,0)*0.01898),"")</f>
        <v>0.13286000000000001</v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53.049382716049386</v>
      </c>
      <c r="BN430" s="78">
        <f>IFERROR(Y430*I430/H430,"0")</f>
        <v>60.157999999999994</v>
      </c>
      <c r="BO430" s="78">
        <f>IFERROR(1/J430*(X430/H430),"0")</f>
        <v>9.6450617283950615E-2</v>
      </c>
      <c r="BP430" s="78">
        <f>IFERROR(1/J430*(Y430/H430),"0")</f>
        <v>0.109375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714">
        <v>4680115883604</v>
      </c>
      <c r="E431" s="714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6"/>
      <c r="R431" s="716"/>
      <c r="S431" s="716"/>
      <c r="T431" s="717"/>
      <c r="U431" s="39" t="s">
        <v>46</v>
      </c>
      <c r="V431" s="39" t="s">
        <v>46</v>
      </c>
      <c r="W431" s="40" t="s">
        <v>0</v>
      </c>
      <c r="X431" s="58">
        <v>52.5</v>
      </c>
      <c r="Y431" s="55">
        <f>IFERROR(IF(X431="",0,CEILING((X431/$H431),1)*$H431),"")</f>
        <v>52.5</v>
      </c>
      <c r="Z431" s="41">
        <f>IFERROR(IF(Y431=0,"",ROUNDUP(Y431/H431,0)*0.00651),"")</f>
        <v>0.16275000000000001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58.79999999999999</v>
      </c>
      <c r="BN431" s="78">
        <f>IFERROR(Y431*I431/H431,"0")</f>
        <v>58.79999999999999</v>
      </c>
      <c r="BO431" s="78">
        <f>IFERROR(1/J431*(X431/H431),"0")</f>
        <v>0.13736263736263737</v>
      </c>
      <c r="BP431" s="78">
        <f>IFERROR(1/J431*(Y431/H431),"0")</f>
        <v>0.13736263736263737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714">
        <v>4680115883567</v>
      </c>
      <c r="E432" s="714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6"/>
      <c r="R432" s="716"/>
      <c r="S432" s="716"/>
      <c r="T432" s="717"/>
      <c r="U432" s="39" t="s">
        <v>46</v>
      </c>
      <c r="V432" s="39" t="s">
        <v>46</v>
      </c>
      <c r="W432" s="40" t="s">
        <v>0</v>
      </c>
      <c r="X432" s="58">
        <v>42</v>
      </c>
      <c r="Y432" s="55">
        <f>IFERROR(IF(X432="",0,CEILING((X432/$H432),1)*$H432),"")</f>
        <v>42</v>
      </c>
      <c r="Z432" s="41">
        <f>IFERROR(IF(Y432=0,"",ROUNDUP(Y432/H432,0)*0.00651),"")</f>
        <v>0.13020000000000001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46.8</v>
      </c>
      <c r="BN432" s="78">
        <f>IFERROR(Y432*I432/H432,"0")</f>
        <v>46.8</v>
      </c>
      <c r="BO432" s="78">
        <f>IFERROR(1/J432*(X432/H432),"0")</f>
        <v>0.1098901098901099</v>
      </c>
      <c r="BP432" s="78">
        <f>IFERROR(1/J432*(Y432/H432),"0")</f>
        <v>0.1098901098901099</v>
      </c>
    </row>
    <row r="433" spans="1:68" x14ac:dyDescent="0.2">
      <c r="A433" s="721"/>
      <c r="B433" s="721"/>
      <c r="C433" s="721"/>
      <c r="D433" s="721"/>
      <c r="E433" s="721"/>
      <c r="F433" s="721"/>
      <c r="G433" s="721"/>
      <c r="H433" s="721"/>
      <c r="I433" s="721"/>
      <c r="J433" s="721"/>
      <c r="K433" s="721"/>
      <c r="L433" s="721"/>
      <c r="M433" s="721"/>
      <c r="N433" s="721"/>
      <c r="O433" s="722"/>
      <c r="P433" s="718" t="s">
        <v>40</v>
      </c>
      <c r="Q433" s="719"/>
      <c r="R433" s="719"/>
      <c r="S433" s="719"/>
      <c r="T433" s="719"/>
      <c r="U433" s="719"/>
      <c r="V433" s="720"/>
      <c r="W433" s="42" t="s">
        <v>39</v>
      </c>
      <c r="X433" s="43">
        <f>IFERROR(X430/H430,"0")+IFERROR(X431/H431,"0")+IFERROR(X432/H432,"0")</f>
        <v>51.172839506172835</v>
      </c>
      <c r="Y433" s="43">
        <f>IFERROR(Y430/H430,"0")+IFERROR(Y431/H431,"0")+IFERROR(Y432/H432,"0")</f>
        <v>52</v>
      </c>
      <c r="Z433" s="43">
        <f>IFERROR(IF(Z430="",0,Z430),"0")+IFERROR(IF(Z431="",0,Z431),"0")+IFERROR(IF(Z432="",0,Z432),"0")</f>
        <v>0.42581000000000002</v>
      </c>
      <c r="AA433" s="67"/>
      <c r="AB433" s="67"/>
      <c r="AC433" s="67"/>
    </row>
    <row r="434" spans="1:68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0</v>
      </c>
      <c r="X434" s="43">
        <f>IFERROR(SUM(X430:X432),"0")</f>
        <v>144.5</v>
      </c>
      <c r="Y434" s="43">
        <f>IFERROR(SUM(Y430:Y432),"0")</f>
        <v>151.19999999999999</v>
      </c>
      <c r="Z434" s="42"/>
      <c r="AA434" s="67"/>
      <c r="AB434" s="67"/>
      <c r="AC434" s="67"/>
    </row>
    <row r="435" spans="1:68" ht="27.75" customHeight="1" x14ac:dyDescent="0.2">
      <c r="A435" s="711" t="s">
        <v>707</v>
      </c>
      <c r="B435" s="711"/>
      <c r="C435" s="711"/>
      <c r="D435" s="711"/>
      <c r="E435" s="711"/>
      <c r="F435" s="711"/>
      <c r="G435" s="711"/>
      <c r="H435" s="711"/>
      <c r="I435" s="711"/>
      <c r="J435" s="711"/>
      <c r="K435" s="711"/>
      <c r="L435" s="711"/>
      <c r="M435" s="711"/>
      <c r="N435" s="711"/>
      <c r="O435" s="711"/>
      <c r="P435" s="711"/>
      <c r="Q435" s="711"/>
      <c r="R435" s="711"/>
      <c r="S435" s="711"/>
      <c r="T435" s="711"/>
      <c r="U435" s="711"/>
      <c r="V435" s="711"/>
      <c r="W435" s="711"/>
      <c r="X435" s="711"/>
      <c r="Y435" s="711"/>
      <c r="Z435" s="711"/>
      <c r="AA435" s="54"/>
      <c r="AB435" s="54"/>
      <c r="AC435" s="54"/>
    </row>
    <row r="436" spans="1:68" ht="16.5" customHeight="1" x14ac:dyDescent="0.25">
      <c r="A436" s="712" t="s">
        <v>708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5"/>
      <c r="AB436" s="65"/>
      <c r="AC436" s="79"/>
    </row>
    <row r="437" spans="1:68" ht="14.25" customHeight="1" x14ac:dyDescent="0.25">
      <c r="A437" s="713" t="s">
        <v>130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6"/>
      <c r="AB437" s="66"/>
      <c r="AC437" s="80"/>
    </row>
    <row r="438" spans="1:68" ht="27" customHeight="1" x14ac:dyDescent="0.25">
      <c r="A438" s="63" t="s">
        <v>709</v>
      </c>
      <c r="B438" s="63" t="s">
        <v>710</v>
      </c>
      <c r="C438" s="36">
        <v>4301012332</v>
      </c>
      <c r="D438" s="714">
        <v>4680115888401</v>
      </c>
      <c r="E438" s="71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6"/>
      <c r="R438" s="716"/>
      <c r="S438" s="716"/>
      <c r="T438" s="71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714">
        <v>4680115884847</v>
      </c>
      <c r="E439" s="71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6"/>
      <c r="R439" s="716"/>
      <c r="S439" s="716"/>
      <c r="T439" s="717"/>
      <c r="U439" s="39" t="s">
        <v>46</v>
      </c>
      <c r="V439" s="39" t="s">
        <v>46</v>
      </c>
      <c r="W439" s="40" t="s">
        <v>0</v>
      </c>
      <c r="X439" s="58">
        <v>500</v>
      </c>
      <c r="Y439" s="55">
        <f t="shared" si="61"/>
        <v>510</v>
      </c>
      <c r="Z439" s="41">
        <f>IFERROR(IF(Y439=0,"",ROUNDUP(Y439/H439,0)*0.02175),"")</f>
        <v>0.73949999999999994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515.66666666666663</v>
      </c>
      <c r="BN439" s="78">
        <f t="shared" si="63"/>
        <v>525.98</v>
      </c>
      <c r="BO439" s="78">
        <f t="shared" si="64"/>
        <v>0.69444444444444442</v>
      </c>
      <c r="BP439" s="78">
        <f t="shared" si="65"/>
        <v>0.70833333333333326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714">
        <v>4680115884854</v>
      </c>
      <c r="E440" s="71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6"/>
      <c r="R440" s="716"/>
      <c r="S440" s="716"/>
      <c r="T440" s="71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714">
        <v>4680115884830</v>
      </c>
      <c r="E441" s="714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6"/>
      <c r="R441" s="716"/>
      <c r="S441" s="716"/>
      <c r="T441" s="717"/>
      <c r="U441" s="39" t="s">
        <v>46</v>
      </c>
      <c r="V441" s="39" t="s">
        <v>46</v>
      </c>
      <c r="W441" s="40" t="s">
        <v>0</v>
      </c>
      <c r="X441" s="58">
        <v>1000</v>
      </c>
      <c r="Y441" s="55">
        <f t="shared" si="61"/>
        <v>1005</v>
      </c>
      <c r="Z441" s="41">
        <f>IFERROR(IF(Y441=0,"",ROUNDUP(Y441/H441,0)*0.02175),"")</f>
        <v>1.4572499999999999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1031.3333333333333</v>
      </c>
      <c r="BN441" s="78">
        <f t="shared" si="63"/>
        <v>1036.49</v>
      </c>
      <c r="BO441" s="78">
        <f t="shared" si="64"/>
        <v>1.3888888888888888</v>
      </c>
      <c r="BP441" s="78">
        <f t="shared" si="65"/>
        <v>1.3958333333333333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714">
        <v>4680115889231</v>
      </c>
      <c r="E442" s="714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6"/>
      <c r="R442" s="716"/>
      <c r="S442" s="716"/>
      <c r="T442" s="71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customHeight="1" x14ac:dyDescent="0.25">
      <c r="A443" s="63" t="s">
        <v>724</v>
      </c>
      <c r="B443" s="63" t="s">
        <v>725</v>
      </c>
      <c r="C443" s="36">
        <v>4301011433</v>
      </c>
      <c r="D443" s="714">
        <v>4680115882638</v>
      </c>
      <c r="E443" s="714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6"/>
      <c r="R443" s="716"/>
      <c r="S443" s="716"/>
      <c r="T443" s="71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customHeight="1" x14ac:dyDescent="0.25">
      <c r="A444" s="63" t="s">
        <v>727</v>
      </c>
      <c r="B444" s="63" t="s">
        <v>728</v>
      </c>
      <c r="C444" s="36">
        <v>4301011952</v>
      </c>
      <c r="D444" s="714">
        <v>4680115884922</v>
      </c>
      <c r="E444" s="714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6"/>
      <c r="R444" s="716"/>
      <c r="S444" s="716"/>
      <c r="T444" s="717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customHeight="1" x14ac:dyDescent="0.25">
      <c r="A445" s="63" t="s">
        <v>730</v>
      </c>
      <c r="B445" s="63" t="s">
        <v>731</v>
      </c>
      <c r="C445" s="36">
        <v>4301011868</v>
      </c>
      <c r="D445" s="714">
        <v>4680115884861</v>
      </c>
      <c r="E445" s="714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6"/>
      <c r="R445" s="716"/>
      <c r="S445" s="716"/>
      <c r="T445" s="717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100</v>
      </c>
      <c r="Y446" s="43">
        <f>IFERROR(Y438/H438,"0")+IFERROR(Y439/H439,"0")+IFERROR(Y440/H440,"0")+IFERROR(Y441/H441,"0")+IFERROR(Y442/H442,"0")+IFERROR(Y443/H443,"0")+IFERROR(Y444/H444,"0")+IFERROR(Y445/H445,"0")</f>
        <v>101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2.1967499999999998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IFERROR(SUM(X438:X445),"0")</f>
        <v>1500</v>
      </c>
      <c r="Y447" s="43">
        <f>IFERROR(SUM(Y438:Y445),"0")</f>
        <v>1515</v>
      </c>
      <c r="Z447" s="42"/>
      <c r="AA447" s="67"/>
      <c r="AB447" s="67"/>
      <c r="AC447" s="67"/>
    </row>
    <row r="448" spans="1:68" ht="14.25" customHeight="1" x14ac:dyDescent="0.25">
      <c r="A448" s="713" t="s">
        <v>165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714">
        <v>4607091383980</v>
      </c>
      <c r="E449" s="714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6"/>
      <c r="R449" s="716"/>
      <c r="S449" s="716"/>
      <c r="T449" s="717"/>
      <c r="U449" s="39" t="s">
        <v>46</v>
      </c>
      <c r="V449" s="39" t="s">
        <v>46</v>
      </c>
      <c r="W449" s="40" t="s">
        <v>0</v>
      </c>
      <c r="X449" s="58">
        <v>1200</v>
      </c>
      <c r="Y449" s="55">
        <f>IFERROR(IF(X449="",0,CEILING((X449/$H449),1)*$H449),"")</f>
        <v>1200</v>
      </c>
      <c r="Z449" s="41">
        <f>IFERROR(IF(Y449=0,"",ROUNDUP(Y449/H449,0)*0.02175),"")</f>
        <v>1.7399999999999998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1237.5999999999999</v>
      </c>
      <c r="BN449" s="78">
        <f>IFERROR(Y449*I449/H449,"0")</f>
        <v>1237.5999999999999</v>
      </c>
      <c r="BO449" s="78">
        <f>IFERROR(1/J449*(X449/H449),"0")</f>
        <v>1.6666666666666665</v>
      </c>
      <c r="BP449" s="78">
        <f>IFERROR(1/J449*(Y449/H449),"0")</f>
        <v>1.6666666666666665</v>
      </c>
    </row>
    <row r="450" spans="1:68" ht="27" customHeight="1" x14ac:dyDescent="0.25">
      <c r="A450" s="63" t="s">
        <v>736</v>
      </c>
      <c r="B450" s="63" t="s">
        <v>737</v>
      </c>
      <c r="C450" s="36">
        <v>4301020355</v>
      </c>
      <c r="D450" s="714">
        <v>4680115888425</v>
      </c>
      <c r="E450" s="714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6"/>
      <c r="R450" s="716"/>
      <c r="S450" s="716"/>
      <c r="T450" s="71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739</v>
      </c>
      <c r="B451" s="63" t="s">
        <v>740</v>
      </c>
      <c r="C451" s="36">
        <v>4301020179</v>
      </c>
      <c r="D451" s="714">
        <v>4607091384178</v>
      </c>
      <c r="E451" s="714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6"/>
      <c r="R451" s="716"/>
      <c r="S451" s="716"/>
      <c r="T451" s="717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39</v>
      </c>
      <c r="X452" s="43">
        <f>IFERROR(X449/H449,"0")+IFERROR(X450/H450,"0")+IFERROR(X451/H451,"0")</f>
        <v>80</v>
      </c>
      <c r="Y452" s="43">
        <f>IFERROR(Y449/H449,"0")+IFERROR(Y450/H450,"0")+IFERROR(Y451/H451,"0")</f>
        <v>80</v>
      </c>
      <c r="Z452" s="43">
        <f>IFERROR(IF(Z449="",0,Z449),"0")+IFERROR(IF(Z450="",0,Z450),"0")+IFERROR(IF(Z451="",0,Z451),"0")</f>
        <v>1.7399999999999998</v>
      </c>
      <c r="AA452" s="67"/>
      <c r="AB452" s="67"/>
      <c r="AC452" s="67"/>
    </row>
    <row r="453" spans="1:68" x14ac:dyDescent="0.2">
      <c r="A453" s="721"/>
      <c r="B453" s="721"/>
      <c r="C453" s="721"/>
      <c r="D453" s="721"/>
      <c r="E453" s="721"/>
      <c r="F453" s="721"/>
      <c r="G453" s="721"/>
      <c r="H453" s="721"/>
      <c r="I453" s="721"/>
      <c r="J453" s="721"/>
      <c r="K453" s="721"/>
      <c r="L453" s="721"/>
      <c r="M453" s="721"/>
      <c r="N453" s="721"/>
      <c r="O453" s="722"/>
      <c r="P453" s="718" t="s">
        <v>40</v>
      </c>
      <c r="Q453" s="719"/>
      <c r="R453" s="719"/>
      <c r="S453" s="719"/>
      <c r="T453" s="719"/>
      <c r="U453" s="719"/>
      <c r="V453" s="720"/>
      <c r="W453" s="42" t="s">
        <v>0</v>
      </c>
      <c r="X453" s="43">
        <f>IFERROR(SUM(X449:X451),"0")</f>
        <v>1200</v>
      </c>
      <c r="Y453" s="43">
        <f>IFERROR(SUM(Y449:Y451),"0")</f>
        <v>1200</v>
      </c>
      <c r="Z453" s="42"/>
      <c r="AA453" s="67"/>
      <c r="AB453" s="67"/>
      <c r="AC453" s="67"/>
    </row>
    <row r="454" spans="1:68" ht="14.25" customHeight="1" x14ac:dyDescent="0.25">
      <c r="A454" s="713" t="s">
        <v>83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6"/>
      <c r="AB454" s="66"/>
      <c r="AC454" s="80"/>
    </row>
    <row r="455" spans="1:68" ht="27" customHeight="1" x14ac:dyDescent="0.25">
      <c r="A455" s="63" t="s">
        <v>742</v>
      </c>
      <c r="B455" s="63" t="s">
        <v>743</v>
      </c>
      <c r="C455" s="36">
        <v>4301051903</v>
      </c>
      <c r="D455" s="714">
        <v>4607091383928</v>
      </c>
      <c r="E455" s="714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6"/>
      <c r="R455" s="716"/>
      <c r="S455" s="716"/>
      <c r="T455" s="71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745</v>
      </c>
      <c r="B456" s="63" t="s">
        <v>746</v>
      </c>
      <c r="C456" s="36">
        <v>4301051897</v>
      </c>
      <c r="D456" s="714">
        <v>4607091384260</v>
      </c>
      <c r="E456" s="714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6"/>
      <c r="R456" s="716"/>
      <c r="S456" s="716"/>
      <c r="T456" s="71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748</v>
      </c>
      <c r="B457" s="63" t="s">
        <v>749</v>
      </c>
      <c r="C457" s="36">
        <v>4301052220</v>
      </c>
      <c r="D457" s="714">
        <v>4680115889538</v>
      </c>
      <c r="E457" s="714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6"/>
      <c r="R457" s="716"/>
      <c r="S457" s="716"/>
      <c r="T457" s="717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x14ac:dyDescent="0.2">
      <c r="A459" s="721"/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2"/>
      <c r="P459" s="718" t="s">
        <v>40</v>
      </c>
      <c r="Q459" s="719"/>
      <c r="R459" s="719"/>
      <c r="S459" s="719"/>
      <c r="T459" s="719"/>
      <c r="U459" s="719"/>
      <c r="V459" s="720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customHeight="1" x14ac:dyDescent="0.25">
      <c r="A460" s="713" t="s">
        <v>183</v>
      </c>
      <c r="B460" s="713"/>
      <c r="C460" s="713"/>
      <c r="D460" s="713"/>
      <c r="E460" s="713"/>
      <c r="F460" s="713"/>
      <c r="G460" s="713"/>
      <c r="H460" s="713"/>
      <c r="I460" s="713"/>
      <c r="J460" s="713"/>
      <c r="K460" s="713"/>
      <c r="L460" s="713"/>
      <c r="M460" s="713"/>
      <c r="N460" s="713"/>
      <c r="O460" s="713"/>
      <c r="P460" s="713"/>
      <c r="Q460" s="713"/>
      <c r="R460" s="713"/>
      <c r="S460" s="713"/>
      <c r="T460" s="713"/>
      <c r="U460" s="713"/>
      <c r="V460" s="713"/>
      <c r="W460" s="713"/>
      <c r="X460" s="713"/>
      <c r="Y460" s="713"/>
      <c r="Z460" s="713"/>
      <c r="AA460" s="66"/>
      <c r="AB460" s="66"/>
      <c r="AC460" s="80"/>
    </row>
    <row r="461" spans="1:68" ht="27" customHeight="1" x14ac:dyDescent="0.25">
      <c r="A461" s="63" t="s">
        <v>751</v>
      </c>
      <c r="B461" s="63" t="s">
        <v>752</v>
      </c>
      <c r="C461" s="36">
        <v>4301060537</v>
      </c>
      <c r="D461" s="714">
        <v>4680115889545</v>
      </c>
      <c r="E461" s="714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6"/>
      <c r="R461" s="716"/>
      <c r="S461" s="716"/>
      <c r="T461" s="717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customHeight="1" x14ac:dyDescent="0.25">
      <c r="A462" s="63" t="s">
        <v>754</v>
      </c>
      <c r="B462" s="63" t="s">
        <v>755</v>
      </c>
      <c r="C462" s="36">
        <v>4301060524</v>
      </c>
      <c r="D462" s="714">
        <v>4607091384673</v>
      </c>
      <c r="E462" s="714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6"/>
      <c r="R462" s="716"/>
      <c r="S462" s="716"/>
      <c r="T462" s="717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721"/>
      <c r="B463" s="721"/>
      <c r="C463" s="721"/>
      <c r="D463" s="721"/>
      <c r="E463" s="721"/>
      <c r="F463" s="721"/>
      <c r="G463" s="721"/>
      <c r="H463" s="721"/>
      <c r="I463" s="721"/>
      <c r="J463" s="721"/>
      <c r="K463" s="721"/>
      <c r="L463" s="721"/>
      <c r="M463" s="721"/>
      <c r="N463" s="721"/>
      <c r="O463" s="722"/>
      <c r="P463" s="718" t="s">
        <v>40</v>
      </c>
      <c r="Q463" s="719"/>
      <c r="R463" s="719"/>
      <c r="S463" s="719"/>
      <c r="T463" s="719"/>
      <c r="U463" s="719"/>
      <c r="V463" s="72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x14ac:dyDescent="0.2">
      <c r="A464" s="721"/>
      <c r="B464" s="721"/>
      <c r="C464" s="721"/>
      <c r="D464" s="721"/>
      <c r="E464" s="721"/>
      <c r="F464" s="721"/>
      <c r="G464" s="721"/>
      <c r="H464" s="721"/>
      <c r="I464" s="721"/>
      <c r="J464" s="721"/>
      <c r="K464" s="721"/>
      <c r="L464" s="721"/>
      <c r="M464" s="721"/>
      <c r="N464" s="721"/>
      <c r="O464" s="722"/>
      <c r="P464" s="718" t="s">
        <v>40</v>
      </c>
      <c r="Q464" s="719"/>
      <c r="R464" s="719"/>
      <c r="S464" s="719"/>
      <c r="T464" s="719"/>
      <c r="U464" s="719"/>
      <c r="V464" s="72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customHeight="1" x14ac:dyDescent="0.25">
      <c r="A465" s="712" t="s">
        <v>757</v>
      </c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2"/>
      <c r="P465" s="712"/>
      <c r="Q465" s="712"/>
      <c r="R465" s="712"/>
      <c r="S465" s="712"/>
      <c r="T465" s="712"/>
      <c r="U465" s="712"/>
      <c r="V465" s="712"/>
      <c r="W465" s="712"/>
      <c r="X465" s="712"/>
      <c r="Y465" s="712"/>
      <c r="Z465" s="712"/>
      <c r="AA465" s="65"/>
      <c r="AB465" s="65"/>
      <c r="AC465" s="79"/>
    </row>
    <row r="466" spans="1:68" ht="14.25" customHeight="1" x14ac:dyDescent="0.25">
      <c r="A466" s="713" t="s">
        <v>130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4301011875</v>
      </c>
      <c r="D467" s="714">
        <v>4680115884885</v>
      </c>
      <c r="E467" s="714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6"/>
      <c r="R467" s="716"/>
      <c r="S467" s="716"/>
      <c r="T467" s="717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customHeight="1" x14ac:dyDescent="0.25">
      <c r="A468" s="63" t="s">
        <v>761</v>
      </c>
      <c r="B468" s="63" t="s">
        <v>762</v>
      </c>
      <c r="C468" s="36">
        <v>4301011871</v>
      </c>
      <c r="D468" s="714">
        <v>4680115884908</v>
      </c>
      <c r="E468" s="714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6"/>
      <c r="R468" s="716"/>
      <c r="S468" s="716"/>
      <c r="T468" s="717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721"/>
      <c r="B469" s="721"/>
      <c r="C469" s="721"/>
      <c r="D469" s="721"/>
      <c r="E469" s="721"/>
      <c r="F469" s="721"/>
      <c r="G469" s="721"/>
      <c r="H469" s="721"/>
      <c r="I469" s="721"/>
      <c r="J469" s="721"/>
      <c r="K469" s="721"/>
      <c r="L469" s="721"/>
      <c r="M469" s="721"/>
      <c r="N469" s="721"/>
      <c r="O469" s="722"/>
      <c r="P469" s="718" t="s">
        <v>40</v>
      </c>
      <c r="Q469" s="719"/>
      <c r="R469" s="719"/>
      <c r="S469" s="719"/>
      <c r="T469" s="719"/>
      <c r="U469" s="719"/>
      <c r="V469" s="720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x14ac:dyDescent="0.2">
      <c r="A470" s="721"/>
      <c r="B470" s="721"/>
      <c r="C470" s="721"/>
      <c r="D470" s="721"/>
      <c r="E470" s="721"/>
      <c r="F470" s="721"/>
      <c r="G470" s="721"/>
      <c r="H470" s="721"/>
      <c r="I470" s="721"/>
      <c r="J470" s="721"/>
      <c r="K470" s="721"/>
      <c r="L470" s="721"/>
      <c r="M470" s="721"/>
      <c r="N470" s="721"/>
      <c r="O470" s="722"/>
      <c r="P470" s="718" t="s">
        <v>40</v>
      </c>
      <c r="Q470" s="719"/>
      <c r="R470" s="719"/>
      <c r="S470" s="719"/>
      <c r="T470" s="719"/>
      <c r="U470" s="719"/>
      <c r="V470" s="720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6"/>
      <c r="AB471" s="66"/>
      <c r="AC471" s="80"/>
    </row>
    <row r="472" spans="1:68" ht="27" customHeight="1" x14ac:dyDescent="0.25">
      <c r="A472" s="63" t="s">
        <v>763</v>
      </c>
      <c r="B472" s="63" t="s">
        <v>764</v>
      </c>
      <c r="C472" s="36">
        <v>4301031457</v>
      </c>
      <c r="D472" s="714">
        <v>4607091384802</v>
      </c>
      <c r="E472" s="714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6"/>
      <c r="R472" s="716"/>
      <c r="S472" s="716"/>
      <c r="T472" s="717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721"/>
      <c r="B473" s="721"/>
      <c r="C473" s="721"/>
      <c r="D473" s="721"/>
      <c r="E473" s="721"/>
      <c r="F473" s="721"/>
      <c r="G473" s="721"/>
      <c r="H473" s="721"/>
      <c r="I473" s="721"/>
      <c r="J473" s="721"/>
      <c r="K473" s="721"/>
      <c r="L473" s="721"/>
      <c r="M473" s="721"/>
      <c r="N473" s="721"/>
      <c r="O473" s="722"/>
      <c r="P473" s="718" t="s">
        <v>40</v>
      </c>
      <c r="Q473" s="719"/>
      <c r="R473" s="719"/>
      <c r="S473" s="719"/>
      <c r="T473" s="719"/>
      <c r="U473" s="719"/>
      <c r="V473" s="720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x14ac:dyDescent="0.2">
      <c r="A474" s="721"/>
      <c r="B474" s="721"/>
      <c r="C474" s="721"/>
      <c r="D474" s="721"/>
      <c r="E474" s="721"/>
      <c r="F474" s="721"/>
      <c r="G474" s="721"/>
      <c r="H474" s="721"/>
      <c r="I474" s="721"/>
      <c r="J474" s="721"/>
      <c r="K474" s="721"/>
      <c r="L474" s="721"/>
      <c r="M474" s="721"/>
      <c r="N474" s="721"/>
      <c r="O474" s="722"/>
      <c r="P474" s="718" t="s">
        <v>40</v>
      </c>
      <c r="Q474" s="719"/>
      <c r="R474" s="719"/>
      <c r="S474" s="719"/>
      <c r="T474" s="719"/>
      <c r="U474" s="719"/>
      <c r="V474" s="720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customHeight="1" x14ac:dyDescent="0.25">
      <c r="A475" s="713" t="s">
        <v>83</v>
      </c>
      <c r="B475" s="713"/>
      <c r="C475" s="713"/>
      <c r="D475" s="713"/>
      <c r="E475" s="713"/>
      <c r="F475" s="713"/>
      <c r="G475" s="713"/>
      <c r="H475" s="713"/>
      <c r="I475" s="713"/>
      <c r="J475" s="713"/>
      <c r="K475" s="713"/>
      <c r="L475" s="713"/>
      <c r="M475" s="713"/>
      <c r="N475" s="713"/>
      <c r="O475" s="713"/>
      <c r="P475" s="713"/>
      <c r="Q475" s="713"/>
      <c r="R475" s="713"/>
      <c r="S475" s="713"/>
      <c r="T475" s="713"/>
      <c r="U475" s="713"/>
      <c r="V475" s="713"/>
      <c r="W475" s="713"/>
      <c r="X475" s="713"/>
      <c r="Y475" s="713"/>
      <c r="Z475" s="713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714">
        <v>4607091384246</v>
      </c>
      <c r="E476" s="714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6"/>
      <c r="R476" s="716"/>
      <c r="S476" s="716"/>
      <c r="T476" s="71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customHeight="1" x14ac:dyDescent="0.25">
      <c r="A477" s="63" t="s">
        <v>769</v>
      </c>
      <c r="B477" s="63" t="s">
        <v>770</v>
      </c>
      <c r="C477" s="36">
        <v>4301051660</v>
      </c>
      <c r="D477" s="714">
        <v>4607091384253</v>
      </c>
      <c r="E477" s="714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6"/>
      <c r="R477" s="716"/>
      <c r="S477" s="716"/>
      <c r="T477" s="717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769</v>
      </c>
      <c r="B478" s="63" t="s">
        <v>771</v>
      </c>
      <c r="C478" s="36">
        <v>4301052069</v>
      </c>
      <c r="D478" s="714">
        <v>4607091384253</v>
      </c>
      <c r="E478" s="714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6"/>
      <c r="R478" s="716"/>
      <c r="S478" s="716"/>
      <c r="T478" s="717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x14ac:dyDescent="0.2">
      <c r="A480" s="721"/>
      <c r="B480" s="721"/>
      <c r="C480" s="721"/>
      <c r="D480" s="721"/>
      <c r="E480" s="721"/>
      <c r="F480" s="721"/>
      <c r="G480" s="721"/>
      <c r="H480" s="721"/>
      <c r="I480" s="721"/>
      <c r="J480" s="721"/>
      <c r="K480" s="721"/>
      <c r="L480" s="721"/>
      <c r="M480" s="721"/>
      <c r="N480" s="721"/>
      <c r="O480" s="722"/>
      <c r="P480" s="718" t="s">
        <v>40</v>
      </c>
      <c r="Q480" s="719"/>
      <c r="R480" s="719"/>
      <c r="S480" s="719"/>
      <c r="T480" s="719"/>
      <c r="U480" s="719"/>
      <c r="V480" s="720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customHeight="1" x14ac:dyDescent="0.2">
      <c r="A481" s="711" t="s">
        <v>773</v>
      </c>
      <c r="B481" s="711"/>
      <c r="C481" s="711"/>
      <c r="D481" s="711"/>
      <c r="E481" s="711"/>
      <c r="F481" s="711"/>
      <c r="G481" s="711"/>
      <c r="H481" s="711"/>
      <c r="I481" s="711"/>
      <c r="J481" s="711"/>
      <c r="K481" s="711"/>
      <c r="L481" s="711"/>
      <c r="M481" s="711"/>
      <c r="N481" s="711"/>
      <c r="O481" s="711"/>
      <c r="P481" s="711"/>
      <c r="Q481" s="711"/>
      <c r="R481" s="711"/>
      <c r="S481" s="711"/>
      <c r="T481" s="711"/>
      <c r="U481" s="711"/>
      <c r="V481" s="711"/>
      <c r="W481" s="711"/>
      <c r="X481" s="711"/>
      <c r="Y481" s="711"/>
      <c r="Z481" s="711"/>
      <c r="AA481" s="54"/>
      <c r="AB481" s="54"/>
      <c r="AC481" s="54"/>
    </row>
    <row r="482" spans="1:68" ht="16.5" customHeight="1" x14ac:dyDescent="0.25">
      <c r="A482" s="712" t="s">
        <v>774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65"/>
      <c r="AB482" s="65"/>
      <c r="AC482" s="79"/>
    </row>
    <row r="483" spans="1:68" ht="14.25" customHeight="1" x14ac:dyDescent="0.25">
      <c r="A483" s="713" t="s">
        <v>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714">
        <v>4680115886100</v>
      </c>
      <c r="E484" s="714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6"/>
      <c r="R484" s="716"/>
      <c r="S484" s="716"/>
      <c r="T484" s="71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714">
        <v>4680115886124</v>
      </c>
      <c r="E485" s="714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6"/>
      <c r="R485" s="716"/>
      <c r="S485" s="716"/>
      <c r="T485" s="717"/>
      <c r="U485" s="39" t="s">
        <v>46</v>
      </c>
      <c r="V485" s="39" t="s">
        <v>46</v>
      </c>
      <c r="W485" s="40" t="s">
        <v>0</v>
      </c>
      <c r="X485" s="58">
        <v>30</v>
      </c>
      <c r="Y485" s="55">
        <f t="shared" si="66"/>
        <v>32.400000000000006</v>
      </c>
      <c r="Z485" s="41">
        <f>IFERROR(IF(Y485=0,"",ROUNDUP(Y485/H485,0)*0.00902),"")</f>
        <v>5.4120000000000001E-2</v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31.05555555555555</v>
      </c>
      <c r="BN485" s="78">
        <f t="shared" si="68"/>
        <v>33.54</v>
      </c>
      <c r="BO485" s="78">
        <f t="shared" si="69"/>
        <v>4.208754208754209E-2</v>
      </c>
      <c r="BP485" s="78">
        <f t="shared" si="70"/>
        <v>4.5454545454545463E-2</v>
      </c>
    </row>
    <row r="486" spans="1:68" ht="27" customHeight="1" x14ac:dyDescent="0.25">
      <c r="A486" s="63" t="s">
        <v>781</v>
      </c>
      <c r="B486" s="63" t="s">
        <v>782</v>
      </c>
      <c r="C486" s="36">
        <v>4301031362</v>
      </c>
      <c r="D486" s="714">
        <v>4607091384338</v>
      </c>
      <c r="E486" s="71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6"/>
      <c r="R486" s="716"/>
      <c r="S486" s="716"/>
      <c r="T486" s="71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customHeight="1" x14ac:dyDescent="0.25">
      <c r="A487" s="63" t="s">
        <v>783</v>
      </c>
      <c r="B487" s="63" t="s">
        <v>784</v>
      </c>
      <c r="C487" s="36">
        <v>4301031364</v>
      </c>
      <c r="D487" s="714">
        <v>4680115883161</v>
      </c>
      <c r="E487" s="714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6"/>
      <c r="R487" s="716"/>
      <c r="S487" s="716"/>
      <c r="T487" s="71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714">
        <v>4607091389531</v>
      </c>
      <c r="E488" s="714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6"/>
      <c r="R488" s="716"/>
      <c r="S488" s="716"/>
      <c r="T488" s="717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customHeight="1" x14ac:dyDescent="0.25">
      <c r="A489" s="63" t="s">
        <v>789</v>
      </c>
      <c r="B489" s="63" t="s">
        <v>790</v>
      </c>
      <c r="C489" s="36">
        <v>4301031360</v>
      </c>
      <c r="D489" s="714">
        <v>4607091384345</v>
      </c>
      <c r="E489" s="714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6"/>
      <c r="R489" s="716"/>
      <c r="S489" s="716"/>
      <c r="T489" s="717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721"/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2"/>
      <c r="P490" s="718" t="s">
        <v>40</v>
      </c>
      <c r="Q490" s="719"/>
      <c r="R490" s="719"/>
      <c r="S490" s="719"/>
      <c r="T490" s="719"/>
      <c r="U490" s="719"/>
      <c r="V490" s="720"/>
      <c r="W490" s="42" t="s">
        <v>39</v>
      </c>
      <c r="X490" s="43">
        <f>IFERROR(X484/H484,"0")+IFERROR(X485/H485,"0")+IFERROR(X486/H486,"0")+IFERROR(X487/H487,"0")+IFERROR(X488/H488,"0")+IFERROR(X489/H489,"0")</f>
        <v>5.5555555555555554</v>
      </c>
      <c r="Y490" s="43">
        <f>IFERROR(Y484/H484,"0")+IFERROR(Y485/H485,"0")+IFERROR(Y486/H486,"0")+IFERROR(Y487/H487,"0")+IFERROR(Y488/H488,"0")+IFERROR(Y489/H489,"0")</f>
        <v>6.0000000000000009</v>
      </c>
      <c r="Z490" s="43">
        <f>IFERROR(IF(Z484="",0,Z484),"0")+IFERROR(IF(Z485="",0,Z485),"0")+IFERROR(IF(Z486="",0,Z486),"0")+IFERROR(IF(Z487="",0,Z487),"0")+IFERROR(IF(Z488="",0,Z488),"0")+IFERROR(IF(Z489="",0,Z489),"0")</f>
        <v>5.4120000000000001E-2</v>
      </c>
      <c r="AA490" s="67"/>
      <c r="AB490" s="67"/>
      <c r="AC490" s="67"/>
    </row>
    <row r="491" spans="1:68" x14ac:dyDescent="0.2">
      <c r="A491" s="721"/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2"/>
      <c r="P491" s="718" t="s">
        <v>40</v>
      </c>
      <c r="Q491" s="719"/>
      <c r="R491" s="719"/>
      <c r="S491" s="719"/>
      <c r="T491" s="719"/>
      <c r="U491" s="719"/>
      <c r="V491" s="720"/>
      <c r="W491" s="42" t="s">
        <v>0</v>
      </c>
      <c r="X491" s="43">
        <f>IFERROR(SUM(X484:X489),"0")</f>
        <v>30</v>
      </c>
      <c r="Y491" s="43">
        <f>IFERROR(SUM(Y484:Y489),"0")</f>
        <v>32.400000000000006</v>
      </c>
      <c r="Z491" s="42"/>
      <c r="AA491" s="67"/>
      <c r="AB491" s="67"/>
      <c r="AC491" s="67"/>
    </row>
    <row r="492" spans="1:68" ht="14.25" customHeight="1" x14ac:dyDescent="0.25">
      <c r="A492" s="713" t="s">
        <v>83</v>
      </c>
      <c r="B492" s="713"/>
      <c r="C492" s="713"/>
      <c r="D492" s="713"/>
      <c r="E492" s="713"/>
      <c r="F492" s="713"/>
      <c r="G492" s="713"/>
      <c r="H492" s="713"/>
      <c r="I492" s="713"/>
      <c r="J492" s="713"/>
      <c r="K492" s="713"/>
      <c r="L492" s="713"/>
      <c r="M492" s="713"/>
      <c r="N492" s="713"/>
      <c r="O492" s="713"/>
      <c r="P492" s="713"/>
      <c r="Q492" s="713"/>
      <c r="R492" s="713"/>
      <c r="S492" s="713"/>
      <c r="T492" s="713"/>
      <c r="U492" s="713"/>
      <c r="V492" s="713"/>
      <c r="W492" s="713"/>
      <c r="X492" s="713"/>
      <c r="Y492" s="713"/>
      <c r="Z492" s="713"/>
      <c r="AA492" s="66"/>
      <c r="AB492" s="66"/>
      <c r="AC492" s="80"/>
    </row>
    <row r="493" spans="1:68" ht="27" customHeight="1" x14ac:dyDescent="0.25">
      <c r="A493" s="63" t="s">
        <v>791</v>
      </c>
      <c r="B493" s="63" t="s">
        <v>792</v>
      </c>
      <c r="C493" s="36">
        <v>4301051284</v>
      </c>
      <c r="D493" s="714">
        <v>4607091384352</v>
      </c>
      <c r="E493" s="714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6"/>
      <c r="R493" s="716"/>
      <c r="S493" s="716"/>
      <c r="T493" s="71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customHeight="1" x14ac:dyDescent="0.25">
      <c r="A496" s="712" t="s">
        <v>794</v>
      </c>
      <c r="B496" s="712"/>
      <c r="C496" s="712"/>
      <c r="D496" s="712"/>
      <c r="E496" s="712"/>
      <c r="F496" s="712"/>
      <c r="G496" s="712"/>
      <c r="H496" s="712"/>
      <c r="I496" s="712"/>
      <c r="J496" s="712"/>
      <c r="K496" s="712"/>
      <c r="L496" s="712"/>
      <c r="M496" s="712"/>
      <c r="N496" s="712"/>
      <c r="O496" s="712"/>
      <c r="P496" s="712"/>
      <c r="Q496" s="712"/>
      <c r="R496" s="712"/>
      <c r="S496" s="712"/>
      <c r="T496" s="712"/>
      <c r="U496" s="712"/>
      <c r="V496" s="712"/>
      <c r="W496" s="712"/>
      <c r="X496" s="712"/>
      <c r="Y496" s="712"/>
      <c r="Z496" s="712"/>
      <c r="AA496" s="65"/>
      <c r="AB496" s="65"/>
      <c r="AC496" s="79"/>
    </row>
    <row r="497" spans="1:68" ht="14.25" customHeight="1" x14ac:dyDescent="0.25">
      <c r="A497" s="713" t="s">
        <v>165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6"/>
      <c r="AB497" s="66"/>
      <c r="AC497" s="80"/>
    </row>
    <row r="498" spans="1:68" ht="27" customHeight="1" x14ac:dyDescent="0.25">
      <c r="A498" s="63" t="s">
        <v>795</v>
      </c>
      <c r="B498" s="63" t="s">
        <v>796</v>
      </c>
      <c r="C498" s="36">
        <v>4301020416</v>
      </c>
      <c r="D498" s="714">
        <v>4680115885240</v>
      </c>
      <c r="E498" s="714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6"/>
      <c r="R498" s="716"/>
      <c r="S498" s="716"/>
      <c r="T498" s="717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721"/>
      <c r="B499" s="721"/>
      <c r="C499" s="721"/>
      <c r="D499" s="721"/>
      <c r="E499" s="721"/>
      <c r="F499" s="721"/>
      <c r="G499" s="721"/>
      <c r="H499" s="721"/>
      <c r="I499" s="721"/>
      <c r="J499" s="721"/>
      <c r="K499" s="721"/>
      <c r="L499" s="721"/>
      <c r="M499" s="721"/>
      <c r="N499" s="721"/>
      <c r="O499" s="722"/>
      <c r="P499" s="718" t="s">
        <v>40</v>
      </c>
      <c r="Q499" s="719"/>
      <c r="R499" s="719"/>
      <c r="S499" s="719"/>
      <c r="T499" s="719"/>
      <c r="U499" s="719"/>
      <c r="V499" s="720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x14ac:dyDescent="0.2">
      <c r="A500" s="721"/>
      <c r="B500" s="721"/>
      <c r="C500" s="721"/>
      <c r="D500" s="721"/>
      <c r="E500" s="721"/>
      <c r="F500" s="721"/>
      <c r="G500" s="721"/>
      <c r="H500" s="721"/>
      <c r="I500" s="721"/>
      <c r="J500" s="721"/>
      <c r="K500" s="721"/>
      <c r="L500" s="721"/>
      <c r="M500" s="721"/>
      <c r="N500" s="721"/>
      <c r="O500" s="722"/>
      <c r="P500" s="718" t="s">
        <v>40</v>
      </c>
      <c r="Q500" s="719"/>
      <c r="R500" s="719"/>
      <c r="S500" s="719"/>
      <c r="T500" s="719"/>
      <c r="U500" s="719"/>
      <c r="V500" s="720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customHeight="1" x14ac:dyDescent="0.25">
      <c r="A501" s="713" t="s">
        <v>77</v>
      </c>
      <c r="B501" s="713"/>
      <c r="C501" s="713"/>
      <c r="D501" s="713"/>
      <c r="E501" s="713"/>
      <c r="F501" s="713"/>
      <c r="G501" s="713"/>
      <c r="H501" s="713"/>
      <c r="I501" s="713"/>
      <c r="J501" s="713"/>
      <c r="K501" s="713"/>
      <c r="L501" s="713"/>
      <c r="M501" s="713"/>
      <c r="N501" s="713"/>
      <c r="O501" s="713"/>
      <c r="P501" s="713"/>
      <c r="Q501" s="713"/>
      <c r="R501" s="713"/>
      <c r="S501" s="713"/>
      <c r="T501" s="713"/>
      <c r="U501" s="713"/>
      <c r="V501" s="713"/>
      <c r="W501" s="713"/>
      <c r="X501" s="713"/>
      <c r="Y501" s="713"/>
      <c r="Z501" s="713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714">
        <v>4680115886094</v>
      </c>
      <c r="E502" s="714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6"/>
      <c r="R502" s="716"/>
      <c r="S502" s="716"/>
      <c r="T502" s="71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801</v>
      </c>
      <c r="B503" s="63" t="s">
        <v>802</v>
      </c>
      <c r="C503" s="36">
        <v>4301031373</v>
      </c>
      <c r="D503" s="714">
        <v>4680115880771</v>
      </c>
      <c r="E503" s="714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6"/>
      <c r="R503" s="716"/>
      <c r="S503" s="716"/>
      <c r="T503" s="71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customHeight="1" x14ac:dyDescent="0.25">
      <c r="A504" s="63" t="s">
        <v>804</v>
      </c>
      <c r="B504" s="63" t="s">
        <v>805</v>
      </c>
      <c r="C504" s="36">
        <v>4301031359</v>
      </c>
      <c r="D504" s="714">
        <v>4607091389500</v>
      </c>
      <c r="E504" s="714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6"/>
      <c r="R504" s="716"/>
      <c r="S504" s="716"/>
      <c r="T504" s="717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721"/>
      <c r="B505" s="721"/>
      <c r="C505" s="721"/>
      <c r="D505" s="721"/>
      <c r="E505" s="721"/>
      <c r="F505" s="721"/>
      <c r="G505" s="721"/>
      <c r="H505" s="721"/>
      <c r="I505" s="721"/>
      <c r="J505" s="721"/>
      <c r="K505" s="721"/>
      <c r="L505" s="721"/>
      <c r="M505" s="721"/>
      <c r="N505" s="721"/>
      <c r="O505" s="722"/>
      <c r="P505" s="718" t="s">
        <v>40</v>
      </c>
      <c r="Q505" s="719"/>
      <c r="R505" s="719"/>
      <c r="S505" s="719"/>
      <c r="T505" s="719"/>
      <c r="U505" s="719"/>
      <c r="V505" s="720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x14ac:dyDescent="0.2">
      <c r="A506" s="721"/>
      <c r="B506" s="721"/>
      <c r="C506" s="721"/>
      <c r="D506" s="721"/>
      <c r="E506" s="721"/>
      <c r="F506" s="721"/>
      <c r="G506" s="721"/>
      <c r="H506" s="721"/>
      <c r="I506" s="721"/>
      <c r="J506" s="721"/>
      <c r="K506" s="721"/>
      <c r="L506" s="721"/>
      <c r="M506" s="721"/>
      <c r="N506" s="721"/>
      <c r="O506" s="722"/>
      <c r="P506" s="718" t="s">
        <v>40</v>
      </c>
      <c r="Q506" s="719"/>
      <c r="R506" s="719"/>
      <c r="S506" s="719"/>
      <c r="T506" s="719"/>
      <c r="U506" s="719"/>
      <c r="V506" s="720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customHeight="1" x14ac:dyDescent="0.2">
      <c r="A507" s="711" t="s">
        <v>806</v>
      </c>
      <c r="B507" s="711"/>
      <c r="C507" s="711"/>
      <c r="D507" s="711"/>
      <c r="E507" s="711"/>
      <c r="F507" s="711"/>
      <c r="G507" s="711"/>
      <c r="H507" s="711"/>
      <c r="I507" s="711"/>
      <c r="J507" s="711"/>
      <c r="K507" s="711"/>
      <c r="L507" s="711"/>
      <c r="M507" s="711"/>
      <c r="N507" s="711"/>
      <c r="O507" s="711"/>
      <c r="P507" s="711"/>
      <c r="Q507" s="711"/>
      <c r="R507" s="711"/>
      <c r="S507" s="711"/>
      <c r="T507" s="711"/>
      <c r="U507" s="711"/>
      <c r="V507" s="711"/>
      <c r="W507" s="711"/>
      <c r="X507" s="711"/>
      <c r="Y507" s="711"/>
      <c r="Z507" s="711"/>
      <c r="AA507" s="54"/>
      <c r="AB507" s="54"/>
      <c r="AC507" s="54"/>
    </row>
    <row r="508" spans="1:68" ht="16.5" customHeight="1" x14ac:dyDescent="0.25">
      <c r="A508" s="712" t="s">
        <v>806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65"/>
      <c r="AB508" s="65"/>
      <c r="AC508" s="79"/>
    </row>
    <row r="509" spans="1:68" ht="14.25" customHeight="1" x14ac:dyDescent="0.25">
      <c r="A509" s="713" t="s">
        <v>130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6"/>
      <c r="AB509" s="66"/>
      <c r="AC509" s="80"/>
    </row>
    <row r="510" spans="1:68" ht="27" customHeight="1" x14ac:dyDescent="0.25">
      <c r="A510" s="63" t="s">
        <v>807</v>
      </c>
      <c r="B510" s="63" t="s">
        <v>808</v>
      </c>
      <c r="C510" s="36">
        <v>4301011769</v>
      </c>
      <c r="D510" s="714">
        <v>4607091389067</v>
      </c>
      <c r="E510" s="71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6"/>
      <c r="R510" s="716"/>
      <c r="S510" s="716"/>
      <c r="T510" s="71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customHeight="1" x14ac:dyDescent="0.25">
      <c r="A511" s="63" t="s">
        <v>809</v>
      </c>
      <c r="B511" s="63" t="s">
        <v>810</v>
      </c>
      <c r="C511" s="36">
        <v>4301012380</v>
      </c>
      <c r="D511" s="714">
        <v>4680115889576</v>
      </c>
      <c r="E511" s="71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6"/>
      <c r="R511" s="716"/>
      <c r="S511" s="716"/>
      <c r="T511" s="71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customHeight="1" x14ac:dyDescent="0.25">
      <c r="A512" s="63" t="s">
        <v>812</v>
      </c>
      <c r="B512" s="63" t="s">
        <v>813</v>
      </c>
      <c r="C512" s="36">
        <v>4301011961</v>
      </c>
      <c r="D512" s="714">
        <v>4680115885271</v>
      </c>
      <c r="E512" s="71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6"/>
      <c r="R512" s="716"/>
      <c r="S512" s="716"/>
      <c r="T512" s="71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714">
        <v>4680115885226</v>
      </c>
      <c r="E513" s="71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6"/>
      <c r="R513" s="716"/>
      <c r="S513" s="716"/>
      <c r="T513" s="717"/>
      <c r="U513" s="39" t="s">
        <v>46</v>
      </c>
      <c r="V513" s="39" t="s">
        <v>46</v>
      </c>
      <c r="W513" s="40" t="s">
        <v>0</v>
      </c>
      <c r="X513" s="58">
        <v>500</v>
      </c>
      <c r="Y513" s="55">
        <f t="shared" si="71"/>
        <v>501.6</v>
      </c>
      <c r="Z513" s="41">
        <f>IFERROR(IF(Y513=0,"",ROUNDUP(Y513/H513,0)*0.01196),"")</f>
        <v>1.1362000000000001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533.14393939393938</v>
      </c>
      <c r="BN513" s="78">
        <f t="shared" si="73"/>
        <v>534.85</v>
      </c>
      <c r="BO513" s="78">
        <f t="shared" si="74"/>
        <v>0.91054778554778548</v>
      </c>
      <c r="BP513" s="78">
        <f t="shared" si="75"/>
        <v>0.91346153846153855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714">
        <v>4607091389104</v>
      </c>
      <c r="E514" s="71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6"/>
      <c r="R514" s="716"/>
      <c r="S514" s="716"/>
      <c r="T514" s="717"/>
      <c r="U514" s="39" t="s">
        <v>46</v>
      </c>
      <c r="V514" s="39" t="s">
        <v>46</v>
      </c>
      <c r="W514" s="40" t="s">
        <v>0</v>
      </c>
      <c r="X514" s="58">
        <v>1000</v>
      </c>
      <c r="Y514" s="55">
        <f t="shared" si="71"/>
        <v>1003.2</v>
      </c>
      <c r="Z514" s="41">
        <f>IFERROR(IF(Y514=0,"",ROUNDUP(Y514/H514,0)*0.01196),"")</f>
        <v>2.2724000000000002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1066.2878787878788</v>
      </c>
      <c r="BN514" s="78">
        <f t="shared" si="73"/>
        <v>1069.7</v>
      </c>
      <c r="BO514" s="78">
        <f t="shared" si="74"/>
        <v>1.821095571095571</v>
      </c>
      <c r="BP514" s="78">
        <f t="shared" si="75"/>
        <v>1.8269230769230771</v>
      </c>
    </row>
    <row r="515" spans="1:68" ht="27" customHeight="1" x14ac:dyDescent="0.25">
      <c r="A515" s="63" t="s">
        <v>821</v>
      </c>
      <c r="B515" s="63" t="s">
        <v>822</v>
      </c>
      <c r="C515" s="36">
        <v>4301012125</v>
      </c>
      <c r="D515" s="714">
        <v>4680115886391</v>
      </c>
      <c r="E515" s="71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6"/>
      <c r="R515" s="716"/>
      <c r="S515" s="716"/>
      <c r="T515" s="71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823</v>
      </c>
      <c r="B516" s="63" t="s">
        <v>824</v>
      </c>
      <c r="C516" s="36">
        <v>4301012048</v>
      </c>
      <c r="D516" s="714">
        <v>4680115880603</v>
      </c>
      <c r="E516" s="71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6"/>
      <c r="R516" s="716"/>
      <c r="S516" s="716"/>
      <c r="T516" s="71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825</v>
      </c>
      <c r="B517" s="63" t="s">
        <v>826</v>
      </c>
      <c r="C517" s="36">
        <v>4301012034</v>
      </c>
      <c r="D517" s="714">
        <v>4607091389982</v>
      </c>
      <c r="E517" s="71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6"/>
      <c r="R517" s="716"/>
      <c r="S517" s="716"/>
      <c r="T517" s="71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721"/>
      <c r="B518" s="721"/>
      <c r="C518" s="721"/>
      <c r="D518" s="721"/>
      <c r="E518" s="721"/>
      <c r="F518" s="721"/>
      <c r="G518" s="721"/>
      <c r="H518" s="721"/>
      <c r="I518" s="721"/>
      <c r="J518" s="721"/>
      <c r="K518" s="721"/>
      <c r="L518" s="721"/>
      <c r="M518" s="721"/>
      <c r="N518" s="721"/>
      <c r="O518" s="722"/>
      <c r="P518" s="718" t="s">
        <v>40</v>
      </c>
      <c r="Q518" s="719"/>
      <c r="R518" s="719"/>
      <c r="S518" s="719"/>
      <c r="T518" s="719"/>
      <c r="U518" s="719"/>
      <c r="V518" s="720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284.09090909090907</v>
      </c>
      <c r="Y518" s="43">
        <f>IFERROR(Y510/H510,"0")+IFERROR(Y511/H511,"0")+IFERROR(Y512/H512,"0")+IFERROR(Y513/H513,"0")+IFERROR(Y514/H514,"0")+IFERROR(Y515/H515,"0")+IFERROR(Y516/H516,"0")+IFERROR(Y517/H517,"0")</f>
        <v>285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3.4086000000000003</v>
      </c>
      <c r="AA518" s="67"/>
      <c r="AB518" s="67"/>
      <c r="AC518" s="67"/>
    </row>
    <row r="519" spans="1:68" x14ac:dyDescent="0.2">
      <c r="A519" s="721"/>
      <c r="B519" s="721"/>
      <c r="C519" s="721"/>
      <c r="D519" s="721"/>
      <c r="E519" s="721"/>
      <c r="F519" s="721"/>
      <c r="G519" s="721"/>
      <c r="H519" s="721"/>
      <c r="I519" s="721"/>
      <c r="J519" s="721"/>
      <c r="K519" s="721"/>
      <c r="L519" s="721"/>
      <c r="M519" s="721"/>
      <c r="N519" s="721"/>
      <c r="O519" s="722"/>
      <c r="P519" s="718" t="s">
        <v>40</v>
      </c>
      <c r="Q519" s="719"/>
      <c r="R519" s="719"/>
      <c r="S519" s="719"/>
      <c r="T519" s="719"/>
      <c r="U519" s="719"/>
      <c r="V519" s="720"/>
      <c r="W519" s="42" t="s">
        <v>0</v>
      </c>
      <c r="X519" s="43">
        <f>IFERROR(SUM(X510:X517),"0")</f>
        <v>1500</v>
      </c>
      <c r="Y519" s="43">
        <f>IFERROR(SUM(Y510:Y517),"0")</f>
        <v>1504.8000000000002</v>
      </c>
      <c r="Z519" s="42"/>
      <c r="AA519" s="67"/>
      <c r="AB519" s="67"/>
      <c r="AC519" s="67"/>
    </row>
    <row r="520" spans="1:68" ht="14.25" customHeight="1" x14ac:dyDescent="0.25">
      <c r="A520" s="713" t="s">
        <v>165</v>
      </c>
      <c r="B520" s="713"/>
      <c r="C520" s="713"/>
      <c r="D520" s="713"/>
      <c r="E520" s="713"/>
      <c r="F520" s="713"/>
      <c r="G520" s="713"/>
      <c r="H520" s="713"/>
      <c r="I520" s="713"/>
      <c r="J520" s="713"/>
      <c r="K520" s="713"/>
      <c r="L520" s="713"/>
      <c r="M520" s="713"/>
      <c r="N520" s="713"/>
      <c r="O520" s="713"/>
      <c r="P520" s="713"/>
      <c r="Q520" s="713"/>
      <c r="R520" s="713"/>
      <c r="S520" s="713"/>
      <c r="T520" s="713"/>
      <c r="U520" s="713"/>
      <c r="V520" s="713"/>
      <c r="W520" s="713"/>
      <c r="X520" s="713"/>
      <c r="Y520" s="713"/>
      <c r="Z520" s="713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714">
        <v>4607091388930</v>
      </c>
      <c r="E521" s="71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6"/>
      <c r="R521" s="716"/>
      <c r="S521" s="716"/>
      <c r="T521" s="717"/>
      <c r="U521" s="39" t="s">
        <v>46</v>
      </c>
      <c r="V521" s="39" t="s">
        <v>46</v>
      </c>
      <c r="W521" s="40" t="s">
        <v>0</v>
      </c>
      <c r="X521" s="58">
        <v>1000</v>
      </c>
      <c r="Y521" s="55">
        <f>IFERROR(IF(X521="",0,CEILING((X521/$H521),1)*$H521),"")</f>
        <v>1003.2</v>
      </c>
      <c r="Z521" s="41">
        <f>IFERROR(IF(Y521=0,"",ROUNDUP(Y521/H521,0)*0.01196),"")</f>
        <v>2.2724000000000002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1066.2878787878788</v>
      </c>
      <c r="BN521" s="78">
        <f>IFERROR(Y521*I521/H521,"0")</f>
        <v>1069.7</v>
      </c>
      <c r="BO521" s="78">
        <f>IFERROR(1/J521*(X521/H521),"0")</f>
        <v>1.821095571095571</v>
      </c>
      <c r="BP521" s="78">
        <f>IFERROR(1/J521*(Y521/H521),"0")</f>
        <v>1.8269230769230771</v>
      </c>
    </row>
    <row r="522" spans="1:68" ht="16.5" customHeight="1" x14ac:dyDescent="0.25">
      <c r="A522" s="63" t="s">
        <v>830</v>
      </c>
      <c r="B522" s="63" t="s">
        <v>831</v>
      </c>
      <c r="C522" s="36">
        <v>4301020374</v>
      </c>
      <c r="D522" s="714">
        <v>4680115886407</v>
      </c>
      <c r="E522" s="71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6"/>
      <c r="R522" s="716"/>
      <c r="S522" s="716"/>
      <c r="T522" s="71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832</v>
      </c>
      <c r="B523" s="63" t="s">
        <v>833</v>
      </c>
      <c r="C523" s="36">
        <v>4301020385</v>
      </c>
      <c r="D523" s="714">
        <v>4680115880054</v>
      </c>
      <c r="E523" s="71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6"/>
      <c r="R523" s="716"/>
      <c r="S523" s="716"/>
      <c r="T523" s="71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IFERROR(X521/H521,"0")+IFERROR(X522/H522,"0")+IFERROR(X523/H523,"0")</f>
        <v>189.39393939393938</v>
      </c>
      <c r="Y524" s="43">
        <f>IFERROR(Y521/H521,"0")+IFERROR(Y522/H522,"0")+IFERROR(Y523/H523,"0")</f>
        <v>190</v>
      </c>
      <c r="Z524" s="43">
        <f>IFERROR(IF(Z521="",0,Z521),"0")+IFERROR(IF(Z522="",0,Z522),"0")+IFERROR(IF(Z523="",0,Z523),"0")</f>
        <v>2.2724000000000002</v>
      </c>
      <c r="AA524" s="67"/>
      <c r="AB524" s="67"/>
      <c r="AC524" s="67"/>
    </row>
    <row r="525" spans="1:68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IFERROR(SUM(X521:X523),"0")</f>
        <v>1000</v>
      </c>
      <c r="Y525" s="43">
        <f>IFERROR(SUM(Y521:Y523),"0")</f>
        <v>1003.2</v>
      </c>
      <c r="Z525" s="42"/>
      <c r="AA525" s="67"/>
      <c r="AB525" s="67"/>
      <c r="AC525" s="67"/>
    </row>
    <row r="526" spans="1:68" ht="14.25" customHeight="1" x14ac:dyDescent="0.25">
      <c r="A526" s="713" t="s">
        <v>77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714">
        <v>4680115883116</v>
      </c>
      <c r="E527" s="71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6"/>
      <c r="R527" s="716"/>
      <c r="S527" s="716"/>
      <c r="T527" s="717"/>
      <c r="U527" s="39" t="s">
        <v>46</v>
      </c>
      <c r="V527" s="39" t="s">
        <v>46</v>
      </c>
      <c r="W527" s="40" t="s">
        <v>0</v>
      </c>
      <c r="X527" s="58">
        <v>300</v>
      </c>
      <c r="Y527" s="55">
        <f t="shared" ref="Y527:Y533" si="76">IFERROR(IF(X527="",0,CEILING((X527/$H527),1)*$H527),"")</f>
        <v>300.96000000000004</v>
      </c>
      <c r="Z527" s="41">
        <f>IFERROR(IF(Y527=0,"",ROUNDUP(Y527/H527,0)*0.01196),"")</f>
        <v>0.68171999999999999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319.88636363636363</v>
      </c>
      <c r="BN527" s="78">
        <f t="shared" ref="BN527:BN533" si="78">IFERROR(Y527*I527/H527,"0")</f>
        <v>320.91000000000003</v>
      </c>
      <c r="BO527" s="78">
        <f t="shared" ref="BO527:BO533" si="79">IFERROR(1/J527*(X527/H527),"0")</f>
        <v>0.54632867132867136</v>
      </c>
      <c r="BP527" s="78">
        <f t="shared" ref="BP527:BP533" si="80">IFERROR(1/J527*(Y527/H527),"0")</f>
        <v>0.54807692307692313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714">
        <v>4680115883093</v>
      </c>
      <c r="E528" s="71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6"/>
      <c r="R528" s="716"/>
      <c r="S528" s="716"/>
      <c r="T528" s="717"/>
      <c r="U528" s="39" t="s">
        <v>46</v>
      </c>
      <c r="V528" s="39" t="s">
        <v>46</v>
      </c>
      <c r="W528" s="40" t="s">
        <v>0</v>
      </c>
      <c r="X528" s="58">
        <v>400</v>
      </c>
      <c r="Y528" s="55">
        <f t="shared" si="76"/>
        <v>401.28000000000003</v>
      </c>
      <c r="Z528" s="41">
        <f>IFERROR(IF(Y528=0,"",ROUNDUP(Y528/H528,0)*0.01196),"")</f>
        <v>0.90895999999999999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426.5151515151515</v>
      </c>
      <c r="BN528" s="78">
        <f t="shared" si="78"/>
        <v>427.88</v>
      </c>
      <c r="BO528" s="78">
        <f t="shared" si="79"/>
        <v>0.72843822843822836</v>
      </c>
      <c r="BP528" s="78">
        <f t="shared" si="80"/>
        <v>0.73076923076923084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714">
        <v>4680115883109</v>
      </c>
      <c r="E529" s="71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6"/>
      <c r="R529" s="716"/>
      <c r="S529" s="716"/>
      <c r="T529" s="71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customHeight="1" x14ac:dyDescent="0.25">
      <c r="A530" s="63" t="s">
        <v>843</v>
      </c>
      <c r="B530" s="63" t="s">
        <v>844</v>
      </c>
      <c r="C530" s="36">
        <v>4301031419</v>
      </c>
      <c r="D530" s="714">
        <v>4680115882072</v>
      </c>
      <c r="E530" s="71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6"/>
      <c r="R530" s="716"/>
      <c r="S530" s="716"/>
      <c r="T530" s="71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customHeight="1" x14ac:dyDescent="0.25">
      <c r="A531" s="63" t="s">
        <v>845</v>
      </c>
      <c r="B531" s="63" t="s">
        <v>846</v>
      </c>
      <c r="C531" s="36">
        <v>4301031352</v>
      </c>
      <c r="D531" s="714">
        <v>4680115882102</v>
      </c>
      <c r="E531" s="71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9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6"/>
      <c r="R531" s="716"/>
      <c r="S531" s="716"/>
      <c r="T531" s="71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customHeight="1" x14ac:dyDescent="0.25">
      <c r="A532" s="63" t="s">
        <v>845</v>
      </c>
      <c r="B532" s="63" t="s">
        <v>847</v>
      </c>
      <c r="C532" s="36">
        <v>4301031418</v>
      </c>
      <c r="D532" s="714">
        <v>4680115882102</v>
      </c>
      <c r="E532" s="71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6"/>
      <c r="R532" s="716"/>
      <c r="S532" s="716"/>
      <c r="T532" s="71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customHeight="1" x14ac:dyDescent="0.25">
      <c r="A533" s="63" t="s">
        <v>848</v>
      </c>
      <c r="B533" s="63" t="s">
        <v>849</v>
      </c>
      <c r="C533" s="36">
        <v>4301031417</v>
      </c>
      <c r="D533" s="714">
        <v>4680115882096</v>
      </c>
      <c r="E533" s="71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6"/>
      <c r="R533" s="716"/>
      <c r="S533" s="716"/>
      <c r="T533" s="71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IFERROR(X527/H527,"0")+IFERROR(X528/H528,"0")+IFERROR(X529/H529,"0")+IFERROR(X530/H530,"0")+IFERROR(X531/H531,"0")+IFERROR(X532/H532,"0")+IFERROR(X533/H533,"0")</f>
        <v>132.57575757575756</v>
      </c>
      <c r="Y534" s="43">
        <f>IFERROR(Y527/H527,"0")+IFERROR(Y528/H528,"0")+IFERROR(Y529/H529,"0")+IFERROR(Y530/H530,"0")+IFERROR(Y531/H531,"0")+IFERROR(Y532/H532,"0")+IFERROR(Y533/H533,"0")</f>
        <v>133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1.5906799999999999</v>
      </c>
      <c r="AA534" s="67"/>
      <c r="AB534" s="67"/>
      <c r="AC534" s="67"/>
    </row>
    <row r="535" spans="1:68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IFERROR(SUM(X527:X533),"0")</f>
        <v>700</v>
      </c>
      <c r="Y535" s="43">
        <f>IFERROR(SUM(Y527:Y533),"0")</f>
        <v>702.24</v>
      </c>
      <c r="Z535" s="42"/>
      <c r="AA535" s="67"/>
      <c r="AB535" s="67"/>
      <c r="AC535" s="67"/>
    </row>
    <row r="536" spans="1:68" ht="27.75" customHeight="1" x14ac:dyDescent="0.2">
      <c r="A536" s="711" t="s">
        <v>850</v>
      </c>
      <c r="B536" s="711"/>
      <c r="C536" s="711"/>
      <c r="D536" s="711"/>
      <c r="E536" s="711"/>
      <c r="F536" s="711"/>
      <c r="G536" s="711"/>
      <c r="H536" s="711"/>
      <c r="I536" s="711"/>
      <c r="J536" s="711"/>
      <c r="K536" s="711"/>
      <c r="L536" s="711"/>
      <c r="M536" s="711"/>
      <c r="N536" s="711"/>
      <c r="O536" s="711"/>
      <c r="P536" s="711"/>
      <c r="Q536" s="711"/>
      <c r="R536" s="711"/>
      <c r="S536" s="711"/>
      <c r="T536" s="711"/>
      <c r="U536" s="711"/>
      <c r="V536" s="711"/>
      <c r="W536" s="711"/>
      <c r="X536" s="711"/>
      <c r="Y536" s="711"/>
      <c r="Z536" s="711"/>
      <c r="AA536" s="54"/>
      <c r="AB536" s="54"/>
      <c r="AC536" s="54"/>
    </row>
    <row r="537" spans="1:68" ht="16.5" customHeight="1" x14ac:dyDescent="0.25">
      <c r="A537" s="712" t="s">
        <v>850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65"/>
      <c r="AB537" s="65"/>
      <c r="AC537" s="79"/>
    </row>
    <row r="538" spans="1:68" ht="14.25" customHeight="1" x14ac:dyDescent="0.25">
      <c r="A538" s="713" t="s">
        <v>130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4301012386</v>
      </c>
      <c r="D539" s="714">
        <v>4680115889736</v>
      </c>
      <c r="E539" s="71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6"/>
      <c r="R539" s="716"/>
      <c r="S539" s="716"/>
      <c r="T539" s="71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21"/>
      <c r="B540" s="721"/>
      <c r="C540" s="721"/>
      <c r="D540" s="721"/>
      <c r="E540" s="721"/>
      <c r="F540" s="721"/>
      <c r="G540" s="721"/>
      <c r="H540" s="721"/>
      <c r="I540" s="721"/>
      <c r="J540" s="721"/>
      <c r="K540" s="721"/>
      <c r="L540" s="721"/>
      <c r="M540" s="721"/>
      <c r="N540" s="721"/>
      <c r="O540" s="722"/>
      <c r="P540" s="718" t="s">
        <v>40</v>
      </c>
      <c r="Q540" s="719"/>
      <c r="R540" s="719"/>
      <c r="S540" s="719"/>
      <c r="T540" s="719"/>
      <c r="U540" s="719"/>
      <c r="V540" s="72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21"/>
      <c r="B541" s="721"/>
      <c r="C541" s="721"/>
      <c r="D541" s="721"/>
      <c r="E541" s="721"/>
      <c r="F541" s="721"/>
      <c r="G541" s="721"/>
      <c r="H541" s="721"/>
      <c r="I541" s="721"/>
      <c r="J541" s="721"/>
      <c r="K541" s="721"/>
      <c r="L541" s="721"/>
      <c r="M541" s="721"/>
      <c r="N541" s="721"/>
      <c r="O541" s="722"/>
      <c r="P541" s="718" t="s">
        <v>40</v>
      </c>
      <c r="Q541" s="719"/>
      <c r="R541" s="719"/>
      <c r="S541" s="719"/>
      <c r="T541" s="719"/>
      <c r="U541" s="719"/>
      <c r="V541" s="72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713" t="s">
        <v>165</v>
      </c>
      <c r="B542" s="713"/>
      <c r="C542" s="713"/>
      <c r="D542" s="713"/>
      <c r="E542" s="713"/>
      <c r="F542" s="713"/>
      <c r="G542" s="713"/>
      <c r="H542" s="713"/>
      <c r="I542" s="713"/>
      <c r="J542" s="713"/>
      <c r="K542" s="713"/>
      <c r="L542" s="713"/>
      <c r="M542" s="713"/>
      <c r="N542" s="713"/>
      <c r="O542" s="713"/>
      <c r="P542" s="713"/>
      <c r="Q542" s="713"/>
      <c r="R542" s="713"/>
      <c r="S542" s="713"/>
      <c r="T542" s="713"/>
      <c r="U542" s="713"/>
      <c r="V542" s="713"/>
      <c r="W542" s="713"/>
      <c r="X542" s="713"/>
      <c r="Y542" s="713"/>
      <c r="Z542" s="713"/>
      <c r="AA542" s="66"/>
      <c r="AB542" s="66"/>
      <c r="AC542" s="80"/>
    </row>
    <row r="543" spans="1:68" ht="27" customHeight="1" x14ac:dyDescent="0.25">
      <c r="A543" s="63" t="s">
        <v>854</v>
      </c>
      <c r="B543" s="63" t="s">
        <v>855</v>
      </c>
      <c r="C543" s="36">
        <v>4301020444</v>
      </c>
      <c r="D543" s="714">
        <v>4680115889781</v>
      </c>
      <c r="E543" s="71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6"/>
      <c r="R543" s="716"/>
      <c r="S543" s="716"/>
      <c r="T543" s="71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21"/>
      <c r="B544" s="721"/>
      <c r="C544" s="721"/>
      <c r="D544" s="721"/>
      <c r="E544" s="721"/>
      <c r="F544" s="721"/>
      <c r="G544" s="721"/>
      <c r="H544" s="721"/>
      <c r="I544" s="721"/>
      <c r="J544" s="721"/>
      <c r="K544" s="721"/>
      <c r="L544" s="721"/>
      <c r="M544" s="721"/>
      <c r="N544" s="721"/>
      <c r="O544" s="722"/>
      <c r="P544" s="718" t="s">
        <v>40</v>
      </c>
      <c r="Q544" s="719"/>
      <c r="R544" s="719"/>
      <c r="S544" s="719"/>
      <c r="T544" s="719"/>
      <c r="U544" s="719"/>
      <c r="V544" s="72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721"/>
      <c r="B545" s="721"/>
      <c r="C545" s="721"/>
      <c r="D545" s="721"/>
      <c r="E545" s="721"/>
      <c r="F545" s="721"/>
      <c r="G545" s="721"/>
      <c r="H545" s="721"/>
      <c r="I545" s="721"/>
      <c r="J545" s="721"/>
      <c r="K545" s="721"/>
      <c r="L545" s="721"/>
      <c r="M545" s="721"/>
      <c r="N545" s="721"/>
      <c r="O545" s="722"/>
      <c r="P545" s="718" t="s">
        <v>40</v>
      </c>
      <c r="Q545" s="719"/>
      <c r="R545" s="719"/>
      <c r="S545" s="719"/>
      <c r="T545" s="719"/>
      <c r="U545" s="719"/>
      <c r="V545" s="72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713" t="s">
        <v>77</v>
      </c>
      <c r="B546" s="713"/>
      <c r="C546" s="713"/>
      <c r="D546" s="713"/>
      <c r="E546" s="713"/>
      <c r="F546" s="713"/>
      <c r="G546" s="713"/>
      <c r="H546" s="713"/>
      <c r="I546" s="713"/>
      <c r="J546" s="713"/>
      <c r="K546" s="713"/>
      <c r="L546" s="713"/>
      <c r="M546" s="713"/>
      <c r="N546" s="713"/>
      <c r="O546" s="713"/>
      <c r="P546" s="713"/>
      <c r="Q546" s="713"/>
      <c r="R546" s="713"/>
      <c r="S546" s="713"/>
      <c r="T546" s="713"/>
      <c r="U546" s="713"/>
      <c r="V546" s="713"/>
      <c r="W546" s="713"/>
      <c r="X546" s="713"/>
      <c r="Y546" s="713"/>
      <c r="Z546" s="713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714">
        <v>4680115889774</v>
      </c>
      <c r="E547" s="71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5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6"/>
      <c r="R547" s="716"/>
      <c r="S547" s="716"/>
      <c r="T547" s="71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721"/>
      <c r="B549" s="721"/>
      <c r="C549" s="721"/>
      <c r="D549" s="721"/>
      <c r="E549" s="721"/>
      <c r="F549" s="721"/>
      <c r="G549" s="721"/>
      <c r="H549" s="721"/>
      <c r="I549" s="721"/>
      <c r="J549" s="721"/>
      <c r="K549" s="721"/>
      <c r="L549" s="721"/>
      <c r="M549" s="721"/>
      <c r="N549" s="721"/>
      <c r="O549" s="722"/>
      <c r="P549" s="718" t="s">
        <v>40</v>
      </c>
      <c r="Q549" s="719"/>
      <c r="R549" s="719"/>
      <c r="S549" s="719"/>
      <c r="T549" s="719"/>
      <c r="U549" s="719"/>
      <c r="V549" s="72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713" t="s">
        <v>83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714">
        <v>4680115889811</v>
      </c>
      <c r="E551" s="71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6"/>
      <c r="R551" s="716"/>
      <c r="S551" s="716"/>
      <c r="T551" s="71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customHeight="1" x14ac:dyDescent="0.25">
      <c r="A554" s="713" t="s">
        <v>183</v>
      </c>
      <c r="B554" s="713"/>
      <c r="C554" s="713"/>
      <c r="D554" s="713"/>
      <c r="E554" s="713"/>
      <c r="F554" s="713"/>
      <c r="G554" s="713"/>
      <c r="H554" s="713"/>
      <c r="I554" s="713"/>
      <c r="J554" s="713"/>
      <c r="K554" s="713"/>
      <c r="L554" s="713"/>
      <c r="M554" s="713"/>
      <c r="N554" s="713"/>
      <c r="O554" s="713"/>
      <c r="P554" s="713"/>
      <c r="Q554" s="713"/>
      <c r="R554" s="713"/>
      <c r="S554" s="713"/>
      <c r="T554" s="713"/>
      <c r="U554" s="713"/>
      <c r="V554" s="713"/>
      <c r="W554" s="713"/>
      <c r="X554" s="713"/>
      <c r="Y554" s="713"/>
      <c r="Z554" s="713"/>
      <c r="AA554" s="66"/>
      <c r="AB554" s="66"/>
      <c r="AC554" s="80"/>
    </row>
    <row r="555" spans="1:68" ht="27" customHeight="1" x14ac:dyDescent="0.25">
      <c r="A555" s="63" t="s">
        <v>862</v>
      </c>
      <c r="B555" s="63" t="s">
        <v>863</v>
      </c>
      <c r="C555" s="36">
        <v>4301060543</v>
      </c>
      <c r="D555" s="714">
        <v>4680115889804</v>
      </c>
      <c r="E555" s="71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6"/>
      <c r="R555" s="716"/>
      <c r="S555" s="716"/>
      <c r="T555" s="71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865</v>
      </c>
      <c r="B556" s="63" t="s">
        <v>866</v>
      </c>
      <c r="C556" s="36">
        <v>4301060544</v>
      </c>
      <c r="D556" s="714">
        <v>4680115889828</v>
      </c>
      <c r="E556" s="71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6"/>
      <c r="R556" s="716"/>
      <c r="S556" s="716"/>
      <c r="T556" s="71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722"/>
      <c r="P557" s="718" t="s">
        <v>40</v>
      </c>
      <c r="Q557" s="719"/>
      <c r="R557" s="719"/>
      <c r="S557" s="719"/>
      <c r="T557" s="719"/>
      <c r="U557" s="719"/>
      <c r="V557" s="72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722"/>
      <c r="P558" s="718" t="s">
        <v>40</v>
      </c>
      <c r="Q558" s="719"/>
      <c r="R558" s="719"/>
      <c r="S558" s="719"/>
      <c r="T558" s="719"/>
      <c r="U558" s="719"/>
      <c r="V558" s="72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712" t="s">
        <v>868</v>
      </c>
      <c r="B559" s="712"/>
      <c r="C559" s="712"/>
      <c r="D559" s="712"/>
      <c r="E559" s="712"/>
      <c r="F559" s="712"/>
      <c r="G559" s="712"/>
      <c r="H559" s="712"/>
      <c r="I559" s="712"/>
      <c r="J559" s="712"/>
      <c r="K559" s="712"/>
      <c r="L559" s="712"/>
      <c r="M559" s="712"/>
      <c r="N559" s="712"/>
      <c r="O559" s="712"/>
      <c r="P559" s="712"/>
      <c r="Q559" s="712"/>
      <c r="R559" s="712"/>
      <c r="S559" s="712"/>
      <c r="T559" s="712"/>
      <c r="U559" s="712"/>
      <c r="V559" s="712"/>
      <c r="W559" s="712"/>
      <c r="X559" s="712"/>
      <c r="Y559" s="712"/>
      <c r="Z559" s="712"/>
      <c r="AA559" s="65"/>
      <c r="AB559" s="65"/>
      <c r="AC559" s="79"/>
    </row>
    <row r="560" spans="1:68" ht="14.25" customHeight="1" x14ac:dyDescent="0.25">
      <c r="A560" s="713" t="s">
        <v>165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6"/>
      <c r="AB560" s="66"/>
      <c r="AC560" s="80"/>
    </row>
    <row r="561" spans="1:68" ht="27" customHeight="1" x14ac:dyDescent="0.25">
      <c r="A561" s="63" t="s">
        <v>869</v>
      </c>
      <c r="B561" s="63" t="s">
        <v>870</v>
      </c>
      <c r="C561" s="36">
        <v>4301020441</v>
      </c>
      <c r="D561" s="714">
        <v>4680115889798</v>
      </c>
      <c r="E561" s="71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100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6"/>
      <c r="R561" s="716"/>
      <c r="S561" s="716"/>
      <c r="T561" s="71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721"/>
      <c r="B562" s="721"/>
      <c r="C562" s="721"/>
      <c r="D562" s="721"/>
      <c r="E562" s="721"/>
      <c r="F562" s="721"/>
      <c r="G562" s="721"/>
      <c r="H562" s="721"/>
      <c r="I562" s="721"/>
      <c r="J562" s="721"/>
      <c r="K562" s="721"/>
      <c r="L562" s="721"/>
      <c r="M562" s="721"/>
      <c r="N562" s="721"/>
      <c r="O562" s="722"/>
      <c r="P562" s="718" t="s">
        <v>40</v>
      </c>
      <c r="Q562" s="719"/>
      <c r="R562" s="719"/>
      <c r="S562" s="719"/>
      <c r="T562" s="719"/>
      <c r="U562" s="719"/>
      <c r="V562" s="72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721"/>
      <c r="B563" s="721"/>
      <c r="C563" s="721"/>
      <c r="D563" s="721"/>
      <c r="E563" s="721"/>
      <c r="F563" s="721"/>
      <c r="G563" s="721"/>
      <c r="H563" s="721"/>
      <c r="I563" s="721"/>
      <c r="J563" s="721"/>
      <c r="K563" s="721"/>
      <c r="L563" s="721"/>
      <c r="M563" s="721"/>
      <c r="N563" s="721"/>
      <c r="O563" s="722"/>
      <c r="P563" s="718" t="s">
        <v>40</v>
      </c>
      <c r="Q563" s="719"/>
      <c r="R563" s="719"/>
      <c r="S563" s="719"/>
      <c r="T563" s="719"/>
      <c r="U563" s="719"/>
      <c r="V563" s="72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1"/>
      <c r="B564" s="721"/>
      <c r="C564" s="721"/>
      <c r="D564" s="721"/>
      <c r="E564" s="721"/>
      <c r="F564" s="721"/>
      <c r="G564" s="721"/>
      <c r="H564" s="721"/>
      <c r="I564" s="721"/>
      <c r="J564" s="721"/>
      <c r="K564" s="721"/>
      <c r="L564" s="721"/>
      <c r="M564" s="721"/>
      <c r="N564" s="721"/>
      <c r="O564" s="1004"/>
      <c r="P564" s="1001" t="s">
        <v>33</v>
      </c>
      <c r="Q564" s="1002"/>
      <c r="R564" s="1002"/>
      <c r="S564" s="1002"/>
      <c r="T564" s="1002"/>
      <c r="U564" s="1002"/>
      <c r="V564" s="1003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7634.5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7727.94</v>
      </c>
      <c r="Z564" s="42"/>
      <c r="AA564" s="67"/>
      <c r="AB564" s="67"/>
      <c r="AC564" s="67"/>
    </row>
    <row r="565" spans="1:68" x14ac:dyDescent="0.2">
      <c r="A565" s="721"/>
      <c r="B565" s="721"/>
      <c r="C565" s="721"/>
      <c r="D565" s="721"/>
      <c r="E565" s="721"/>
      <c r="F565" s="721"/>
      <c r="G565" s="721"/>
      <c r="H565" s="721"/>
      <c r="I565" s="721"/>
      <c r="J565" s="721"/>
      <c r="K565" s="721"/>
      <c r="L565" s="721"/>
      <c r="M565" s="721"/>
      <c r="N565" s="721"/>
      <c r="O565" s="1004"/>
      <c r="P565" s="1001" t="s">
        <v>34</v>
      </c>
      <c r="Q565" s="1002"/>
      <c r="R565" s="1002"/>
      <c r="S565" s="1002"/>
      <c r="T565" s="1002"/>
      <c r="U565" s="1002"/>
      <c r="V565" s="1003"/>
      <c r="W565" s="42" t="s">
        <v>0</v>
      </c>
      <c r="X565" s="43">
        <f>IFERROR(SUM(BM22:BM561),"0")</f>
        <v>8024.986934546936</v>
      </c>
      <c r="Y565" s="43">
        <f>IFERROR(SUM(BN22:BN561),"0")</f>
        <v>8122.6939999999995</v>
      </c>
      <c r="Z565" s="42"/>
      <c r="AA565" s="67"/>
      <c r="AB565" s="67"/>
      <c r="AC565" s="67"/>
    </row>
    <row r="566" spans="1:68" x14ac:dyDescent="0.2">
      <c r="A566" s="721"/>
      <c r="B566" s="721"/>
      <c r="C566" s="721"/>
      <c r="D566" s="721"/>
      <c r="E566" s="721"/>
      <c r="F566" s="721"/>
      <c r="G566" s="721"/>
      <c r="H566" s="721"/>
      <c r="I566" s="721"/>
      <c r="J566" s="721"/>
      <c r="K566" s="721"/>
      <c r="L566" s="721"/>
      <c r="M566" s="721"/>
      <c r="N566" s="721"/>
      <c r="O566" s="1004"/>
      <c r="P566" s="1001" t="s">
        <v>35</v>
      </c>
      <c r="Q566" s="1002"/>
      <c r="R566" s="1002"/>
      <c r="S566" s="1002"/>
      <c r="T566" s="1002"/>
      <c r="U566" s="1002"/>
      <c r="V566" s="1003"/>
      <c r="W566" s="42" t="s">
        <v>20</v>
      </c>
      <c r="X566" s="44">
        <f>ROUNDUP(SUM(BO22:BO561),0)</f>
        <v>13</v>
      </c>
      <c r="Y566" s="44">
        <f>ROUNDUP(SUM(BP22:BP561),0)</f>
        <v>13</v>
      </c>
      <c r="Z566" s="42"/>
      <c r="AA566" s="67"/>
      <c r="AB566" s="67"/>
      <c r="AC566" s="67"/>
    </row>
    <row r="567" spans="1:68" x14ac:dyDescent="0.2">
      <c r="A567" s="721"/>
      <c r="B567" s="721"/>
      <c r="C567" s="721"/>
      <c r="D567" s="721"/>
      <c r="E567" s="721"/>
      <c r="F567" s="721"/>
      <c r="G567" s="721"/>
      <c r="H567" s="721"/>
      <c r="I567" s="721"/>
      <c r="J567" s="721"/>
      <c r="K567" s="721"/>
      <c r="L567" s="721"/>
      <c r="M567" s="721"/>
      <c r="N567" s="721"/>
      <c r="O567" s="1004"/>
      <c r="P567" s="1001" t="s">
        <v>36</v>
      </c>
      <c r="Q567" s="1002"/>
      <c r="R567" s="1002"/>
      <c r="S567" s="1002"/>
      <c r="T567" s="1002"/>
      <c r="U567" s="1002"/>
      <c r="V567" s="1003"/>
      <c r="W567" s="42" t="s">
        <v>0</v>
      </c>
      <c r="X567" s="43">
        <f>GrossWeightTotal+PalletQtyTotal*25</f>
        <v>8349.986934546936</v>
      </c>
      <c r="Y567" s="43">
        <f>GrossWeightTotalR+PalletQtyTotalR*25</f>
        <v>8447.6939999999995</v>
      </c>
      <c r="Z567" s="42"/>
      <c r="AA567" s="67"/>
      <c r="AB567" s="67"/>
      <c r="AC567" s="67"/>
    </row>
    <row r="568" spans="1:68" x14ac:dyDescent="0.2">
      <c r="A568" s="721"/>
      <c r="B568" s="721"/>
      <c r="C568" s="721"/>
      <c r="D568" s="721"/>
      <c r="E568" s="721"/>
      <c r="F568" s="721"/>
      <c r="G568" s="721"/>
      <c r="H568" s="721"/>
      <c r="I568" s="721"/>
      <c r="J568" s="721"/>
      <c r="K568" s="721"/>
      <c r="L568" s="721"/>
      <c r="M568" s="721"/>
      <c r="N568" s="721"/>
      <c r="O568" s="1004"/>
      <c r="P568" s="1001" t="s">
        <v>37</v>
      </c>
      <c r="Q568" s="1002"/>
      <c r="R568" s="1002"/>
      <c r="S568" s="1002"/>
      <c r="T568" s="1002"/>
      <c r="U568" s="1002"/>
      <c r="V568" s="1003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1068.5636585636585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1081</v>
      </c>
      <c r="Z568" s="42"/>
      <c r="AA568" s="67"/>
      <c r="AB568" s="67"/>
      <c r="AC568" s="67"/>
    </row>
    <row r="569" spans="1:68" ht="14.25" x14ac:dyDescent="0.2">
      <c r="A569" s="721"/>
      <c r="B569" s="721"/>
      <c r="C569" s="721"/>
      <c r="D569" s="721"/>
      <c r="E569" s="721"/>
      <c r="F569" s="721"/>
      <c r="G569" s="721"/>
      <c r="H569" s="721"/>
      <c r="I569" s="721"/>
      <c r="J569" s="721"/>
      <c r="K569" s="721"/>
      <c r="L569" s="721"/>
      <c r="M569" s="721"/>
      <c r="N569" s="721"/>
      <c r="O569" s="1004"/>
      <c r="P569" s="1001" t="s">
        <v>38</v>
      </c>
      <c r="Q569" s="1002"/>
      <c r="R569" s="1002"/>
      <c r="S569" s="1002"/>
      <c r="T569" s="1002"/>
      <c r="U569" s="1002"/>
      <c r="V569" s="1003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15.075710000000001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9" t="s">
        <v>128</v>
      </c>
      <c r="E571" s="999" t="s">
        <v>128</v>
      </c>
      <c r="F571" s="999" t="s">
        <v>128</v>
      </c>
      <c r="G571" s="999" t="s">
        <v>128</v>
      </c>
      <c r="H571" s="999" t="s">
        <v>128</v>
      </c>
      <c r="I571" s="999" t="s">
        <v>128</v>
      </c>
      <c r="J571" s="999" t="s">
        <v>128</v>
      </c>
      <c r="K571" s="999" t="s">
        <v>343</v>
      </c>
      <c r="L571" s="999" t="s">
        <v>343</v>
      </c>
      <c r="M571" s="999" t="s">
        <v>343</v>
      </c>
      <c r="N571" s="1005"/>
      <c r="O571" s="999" t="s">
        <v>343</v>
      </c>
      <c r="P571" s="999" t="s">
        <v>343</v>
      </c>
      <c r="Q571" s="999" t="s">
        <v>343</v>
      </c>
      <c r="R571" s="999" t="s">
        <v>343</v>
      </c>
      <c r="S571" s="999" t="s">
        <v>343</v>
      </c>
      <c r="T571" s="999" t="s">
        <v>343</v>
      </c>
      <c r="U571" s="999" t="s">
        <v>343</v>
      </c>
      <c r="V571" s="999" t="s">
        <v>343</v>
      </c>
      <c r="W571" s="999" t="s">
        <v>343</v>
      </c>
      <c r="X571" s="999" t="s">
        <v>707</v>
      </c>
      <c r="Y571" s="999" t="s">
        <v>707</v>
      </c>
      <c r="Z571" s="999" t="s">
        <v>773</v>
      </c>
      <c r="AA571" s="999" t="s">
        <v>773</v>
      </c>
      <c r="AB571" s="85" t="s">
        <v>806</v>
      </c>
      <c r="AC571" s="999" t="s">
        <v>850</v>
      </c>
      <c r="AD571" s="999" t="s">
        <v>850</v>
      </c>
      <c r="AF571" s="1"/>
    </row>
    <row r="572" spans="1:68" ht="14.25" customHeight="1" thickTop="1" x14ac:dyDescent="0.2">
      <c r="A572" s="1006" t="s">
        <v>10</v>
      </c>
      <c r="B572" s="999" t="s">
        <v>76</v>
      </c>
      <c r="C572" s="999" t="s">
        <v>112</v>
      </c>
      <c r="D572" s="999" t="s">
        <v>129</v>
      </c>
      <c r="E572" s="999" t="s">
        <v>145</v>
      </c>
      <c r="F572" s="999" t="s">
        <v>191</v>
      </c>
      <c r="G572" s="999" t="s">
        <v>215</v>
      </c>
      <c r="H572" s="999" t="s">
        <v>257</v>
      </c>
      <c r="I572" s="999" t="s">
        <v>270</v>
      </c>
      <c r="J572" s="999" t="s">
        <v>128</v>
      </c>
      <c r="K572" s="999" t="s">
        <v>344</v>
      </c>
      <c r="L572" s="999" t="s">
        <v>365</v>
      </c>
      <c r="M572" s="999" t="s">
        <v>429</v>
      </c>
      <c r="N572" s="1"/>
      <c r="O572" s="999" t="s">
        <v>495</v>
      </c>
      <c r="P572" s="999" t="s">
        <v>530</v>
      </c>
      <c r="Q572" s="999" t="s">
        <v>552</v>
      </c>
      <c r="R572" s="999" t="s">
        <v>561</v>
      </c>
      <c r="S572" s="999" t="s">
        <v>583</v>
      </c>
      <c r="T572" s="999" t="s">
        <v>590</v>
      </c>
      <c r="U572" s="999" t="s">
        <v>599</v>
      </c>
      <c r="V572" s="999" t="s">
        <v>685</v>
      </c>
      <c r="W572" s="999" t="s">
        <v>697</v>
      </c>
      <c r="X572" s="999" t="s">
        <v>708</v>
      </c>
      <c r="Y572" s="999" t="s">
        <v>757</v>
      </c>
      <c r="Z572" s="999" t="s">
        <v>774</v>
      </c>
      <c r="AA572" s="999" t="s">
        <v>794</v>
      </c>
      <c r="AB572" s="999" t="s">
        <v>806</v>
      </c>
      <c r="AC572" s="999" t="s">
        <v>850</v>
      </c>
      <c r="AD572" s="999" t="s">
        <v>868</v>
      </c>
      <c r="AF572" s="1"/>
    </row>
    <row r="573" spans="1:68" ht="13.5" thickBot="1" x14ac:dyDescent="0.25">
      <c r="A573" s="1007"/>
      <c r="B573" s="999"/>
      <c r="C573" s="999"/>
      <c r="D573" s="999"/>
      <c r="E573" s="999"/>
      <c r="F573" s="999"/>
      <c r="G573" s="999"/>
      <c r="H573" s="999"/>
      <c r="I573" s="999"/>
      <c r="J573" s="999"/>
      <c r="K573" s="999"/>
      <c r="L573" s="999"/>
      <c r="M573" s="999"/>
      <c r="N573" s="1"/>
      <c r="O573" s="999"/>
      <c r="P573" s="999"/>
      <c r="Q573" s="999"/>
      <c r="R573" s="999"/>
      <c r="S573" s="999"/>
      <c r="T573" s="999"/>
      <c r="U573" s="999"/>
      <c r="V573" s="999"/>
      <c r="W573" s="999"/>
      <c r="X573" s="999"/>
      <c r="Y573" s="999"/>
      <c r="Z573" s="999"/>
      <c r="AA573" s="999"/>
      <c r="AB573" s="999"/>
      <c r="AC573" s="999"/>
      <c r="AD573" s="999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467.1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765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105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172.8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109.19999999999999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V574" s="52">
        <f>IFERROR(Y422*1,"0")+IFERROR(Y423*1,"0")+IFERROR(Y424*1,"0")+IFERROR(Y425*1,"0")</f>
        <v>0</v>
      </c>
      <c r="W574" s="52">
        <f>IFERROR(Y430*1,"0")+IFERROR(Y431*1,"0")+IFERROR(Y432*1,"0")</f>
        <v>151.19999999999999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2715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32.400000000000006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3210.2400000000002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Ly/u0ZABEHUDqWQcTetFJPoT4V6zzo5GDyR7Qx1JxOckdQOhhwMQDVmsanwmC8kyZQjxSIhUHgsAlgXuOYgoDw==" saltValue="NrC3GtZ4viCNbfSNUOgdH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10" spans="2:8" x14ac:dyDescent="0.2">
      <c r="B10" s="53" t="s">
        <v>884</v>
      </c>
      <c r="C10" s="53" t="s">
        <v>876</v>
      </c>
      <c r="D10" s="53" t="s">
        <v>46</v>
      </c>
      <c r="E10" s="53" t="s">
        <v>46</v>
      </c>
    </row>
    <row r="12" spans="2:8" x14ac:dyDescent="0.2">
      <c r="B12" s="53" t="s">
        <v>885</v>
      </c>
      <c r="C12" s="53" t="s">
        <v>879</v>
      </c>
      <c r="D12" s="53" t="s">
        <v>46</v>
      </c>
      <c r="E12" s="53" t="s">
        <v>46</v>
      </c>
    </row>
    <row r="14" spans="2:8" x14ac:dyDescent="0.2">
      <c r="B14" s="53" t="s">
        <v>886</v>
      </c>
      <c r="C14" s="53" t="s">
        <v>882</v>
      </c>
      <c r="D14" s="53" t="s">
        <v>46</v>
      </c>
      <c r="E14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895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896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897</v>
      </c>
      <c r="C26" s="53" t="s">
        <v>46</v>
      </c>
      <c r="D26" s="53" t="s">
        <v>46</v>
      </c>
      <c r="E26" s="53" t="s">
        <v>46</v>
      </c>
    </row>
  </sheetData>
  <sheetProtection algorithmName="SHA-512" hashValue="otBHquLI3ZkWyNTJ7s8Mx5uKnZcDtW3d/Bh1bDbR2RxRsRVvHg0NQDL8MHvak5U6NvulCq38RqcOji6QF0VBTw==" saltValue="QzNjsglRLlc77R6kJXaN0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2026-10-21T10:19:26Z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