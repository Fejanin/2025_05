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32C3D10-79DF-4EF1-B691-08D8FFEF574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U55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Z380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H556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BO111" i="2"/>
  <c r="BM111" i="2"/>
  <c r="Y111" i="2"/>
  <c r="BP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G556" i="2" s="1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BP22" i="2" s="1"/>
  <c r="P22" i="2"/>
  <c r="H10" i="2"/>
  <c r="A9" i="2"/>
  <c r="J9" i="2" s="1"/>
  <c r="D7" i="2"/>
  <c r="Q6" i="2"/>
  <c r="P2" i="2"/>
  <c r="Z46" i="2" l="1"/>
  <c r="BP240" i="2"/>
  <c r="BP175" i="2"/>
  <c r="BP363" i="2"/>
  <c r="Z72" i="2"/>
  <c r="Z216" i="2"/>
  <c r="BN216" i="2"/>
  <c r="Z413" i="2"/>
  <c r="BP55" i="2"/>
  <c r="Z126" i="2"/>
  <c r="Z127" i="2" s="1"/>
  <c r="Z204" i="2"/>
  <c r="BN204" i="2"/>
  <c r="Z293" i="2"/>
  <c r="Z333" i="2"/>
  <c r="Y302" i="2"/>
  <c r="Z28" i="2"/>
  <c r="Z48" i="2"/>
  <c r="Z66" i="2"/>
  <c r="BN66" i="2"/>
  <c r="Z107" i="2"/>
  <c r="BN107" i="2"/>
  <c r="Z111" i="2"/>
  <c r="BN111" i="2"/>
  <c r="Z113" i="2"/>
  <c r="BN113" i="2"/>
  <c r="Z147" i="2"/>
  <c r="BN147" i="2"/>
  <c r="Z178" i="2"/>
  <c r="BN178" i="2"/>
  <c r="Z215" i="2"/>
  <c r="Z223" i="2"/>
  <c r="Z272" i="2"/>
  <c r="Z326" i="2"/>
  <c r="BP353" i="2"/>
  <c r="Y383" i="2"/>
  <c r="Z381" i="2"/>
  <c r="BN381" i="2"/>
  <c r="Z388" i="2"/>
  <c r="Z422" i="2"/>
  <c r="Z475" i="2"/>
  <c r="Z476" i="2" s="1"/>
  <c r="Y476" i="2"/>
  <c r="BP510" i="2"/>
  <c r="BN27" i="2"/>
  <c r="C556" i="2"/>
  <c r="Z36" i="2"/>
  <c r="BP40" i="2"/>
  <c r="Z40" i="2"/>
  <c r="BN56" i="2"/>
  <c r="Z56" i="2"/>
  <c r="BN68" i="2"/>
  <c r="BP86" i="2"/>
  <c r="BN86" i="2"/>
  <c r="Z86" i="2"/>
  <c r="BP89" i="2"/>
  <c r="Z89" i="2"/>
  <c r="BN102" i="2"/>
  <c r="BP120" i="2"/>
  <c r="BN120" i="2"/>
  <c r="Z120" i="2"/>
  <c r="BP149" i="2"/>
  <c r="BN149" i="2"/>
  <c r="Z149" i="2"/>
  <c r="BN173" i="2"/>
  <c r="Z173" i="2"/>
  <c r="BP202" i="2"/>
  <c r="Z202" i="2"/>
  <c r="BN232" i="2"/>
  <c r="BN239" i="2"/>
  <c r="Z239" i="2"/>
  <c r="BN278" i="2"/>
  <c r="Z278" i="2"/>
  <c r="BN296" i="2"/>
  <c r="BN310" i="2"/>
  <c r="BP320" i="2"/>
  <c r="Z320" i="2"/>
  <c r="BN335" i="2"/>
  <c r="Z335" i="2"/>
  <c r="Y24" i="2"/>
  <c r="Z22" i="2"/>
  <c r="Z23" i="2" s="1"/>
  <c r="BP36" i="2"/>
  <c r="BN38" i="2"/>
  <c r="BN47" i="2"/>
  <c r="BP56" i="2"/>
  <c r="BP57" i="2"/>
  <c r="BN57" i="2"/>
  <c r="Z57" i="2"/>
  <c r="BP59" i="2"/>
  <c r="BN59" i="2"/>
  <c r="Z59" i="2"/>
  <c r="BP136" i="2"/>
  <c r="BN136" i="2"/>
  <c r="Z136" i="2"/>
  <c r="BN177" i="2"/>
  <c r="Z177" i="2"/>
  <c r="BN184" i="2"/>
  <c r="Z184" i="2"/>
  <c r="BP214" i="2"/>
  <c r="Z214" i="2"/>
  <c r="BN217" i="2"/>
  <c r="BN225" i="2"/>
  <c r="Z225" i="2"/>
  <c r="Y268" i="2"/>
  <c r="BP259" i="2"/>
  <c r="BN259" i="2"/>
  <c r="Z259" i="2"/>
  <c r="BN262" i="2"/>
  <c r="Z262" i="2"/>
  <c r="BN275" i="2"/>
  <c r="BP278" i="2"/>
  <c r="BN280" i="2"/>
  <c r="BP332" i="2"/>
  <c r="Z332" i="2"/>
  <c r="BP335" i="2"/>
  <c r="BN347" i="2"/>
  <c r="BN355" i="2"/>
  <c r="Z355" i="2"/>
  <c r="BP355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BN358" i="2"/>
  <c r="BP365" i="2"/>
  <c r="BN368" i="2"/>
  <c r="BP375" i="2"/>
  <c r="BN39" i="2"/>
  <c r="BP48" i="2"/>
  <c r="E556" i="2"/>
  <c r="BN94" i="2"/>
  <c r="BN180" i="2"/>
  <c r="Y187" i="2"/>
  <c r="BP215" i="2"/>
  <c r="BN234" i="2"/>
  <c r="BN265" i="2"/>
  <c r="BN277" i="2"/>
  <c r="BN301" i="2"/>
  <c r="BN309" i="2"/>
  <c r="Z356" i="2"/>
  <c r="BN356" i="2"/>
  <c r="Z365" i="2"/>
  <c r="Z366" i="2"/>
  <c r="BN366" i="2"/>
  <c r="Y377" i="2"/>
  <c r="Z375" i="2"/>
  <c r="Z376" i="2"/>
  <c r="BN376" i="2"/>
  <c r="Y378" i="2"/>
  <c r="BP380" i="2"/>
  <c r="BP388" i="2"/>
  <c r="BN389" i="2"/>
  <c r="Z394" i="2"/>
  <c r="BN399" i="2"/>
  <c r="BP406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Z74" i="2"/>
  <c r="BP73" i="2"/>
  <c r="BP122" i="2"/>
  <c r="Z151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Z445" i="2" s="1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41" i="2" s="1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69" i="2" l="1"/>
  <c r="Z487" i="2"/>
  <c r="Z50" i="2"/>
  <c r="Z383" i="2"/>
  <c r="X549" i="2"/>
  <c r="Z336" i="2"/>
  <c r="Y548" i="2"/>
  <c r="Z256" i="2"/>
  <c r="Z123" i="2"/>
  <c r="Z251" i="2"/>
  <c r="Z461" i="2"/>
  <c r="Z402" i="2"/>
  <c r="Z349" i="2"/>
  <c r="Z116" i="2"/>
  <c r="Z428" i="2"/>
  <c r="Z133" i="2"/>
  <c r="Z41" i="2"/>
  <c r="Z138" i="2"/>
  <c r="Z168" i="2"/>
  <c r="Z440" i="2"/>
  <c r="Z186" i="2"/>
  <c r="Z434" i="2"/>
  <c r="Z80" i="2"/>
  <c r="Z287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<sst xmlns="http://schemas.openxmlformats.org/spreadsheetml/2006/main" count="4125" uniqueCount="875">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</sst>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46310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858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hidden="1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hidden="1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hidden="1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hidden="1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hidden="1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hidden="1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hidden="1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idden="1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16.5" hidden="1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hidden="1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40</v>
      </c>
      <c r="Y58" s="55">
        <f t="shared" si="0"/>
        <v>40</v>
      </c>
      <c r="Z58" s="41">
        <f>IFERROR(IF(Y58=0,"",ROUNDUP(Y58/H58,0)*0.00902),"")</f>
        <v>9.0200000000000002E-2</v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41.900000000000006</v>
      </c>
      <c r="BN58" s="78">
        <f t="shared" si="2"/>
        <v>41.900000000000006</v>
      </c>
      <c r="BO58" s="78">
        <f t="shared" si="3"/>
        <v>7.575757575757576E-2</v>
      </c>
      <c r="BP58" s="78">
        <f t="shared" si="4"/>
        <v>7.575757575757576E-2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10</v>
      </c>
      <c r="Y62" s="43">
        <f>IFERROR(Y54/H54,"0")+IFERROR(Y55/H55,"0")+IFERROR(Y56/H56,"0")+IFERROR(Y57/H57,"0")+IFERROR(Y58/H58,"0")+IFERROR(Y59/H59,"0")+IFERROR(Y60/H60,"0")+IFERROR(Y61/H61,"0")</f>
        <v>10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9.0200000000000002E-2</v>
      </c>
      <c r="AA62" s="67"/>
      <c r="AB62" s="67"/>
      <c r="AC62" s="67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40</v>
      </c>
      <c r="Y63" s="43">
        <f>IFERROR(SUM(Y54:Y61),"0")</f>
        <v>40</v>
      </c>
      <c r="Z63" s="42"/>
      <c r="AA63" s="67"/>
      <c r="AB63" s="67"/>
      <c r="AC63" s="67"/>
    </row>
    <row r="64" spans="1:68" ht="14.25" hidden="1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108</v>
      </c>
      <c r="Y65" s="55">
        <f>IFERROR(IF(X65="",0,CEILING((X65/$H65),1)*$H65),"")</f>
        <v>108</v>
      </c>
      <c r="Z65" s="41">
        <f>IFERROR(IF(Y65=0,"",ROUNDUP(Y65/H65,0)*0.01898),"")</f>
        <v>0.1898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112.1</v>
      </c>
      <c r="BN65" s="78">
        <f>IFERROR(Y65*I65/H65,"0")</f>
        <v>112.1</v>
      </c>
      <c r="BO65" s="78">
        <f>IFERROR(1/J65*(X65/H65),"0")</f>
        <v>0.15625</v>
      </c>
      <c r="BP65" s="78">
        <f>IFERROR(1/J65*(Y65/H65),"0")</f>
        <v>0.15625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10</v>
      </c>
      <c r="Y69" s="43">
        <f>IFERROR(Y65/H65,"0")+IFERROR(Y66/H66,"0")+IFERROR(Y67/H67,"0")+IFERROR(Y68/H68,"0")</f>
        <v>10</v>
      </c>
      <c r="Z69" s="43">
        <f>IFERROR(IF(Z65="",0,Z65),"0")+IFERROR(IF(Z66="",0,Z66),"0")+IFERROR(IF(Z67="",0,Z67),"0")+IFERROR(IF(Z68="",0,Z68),"0")</f>
        <v>0.1898</v>
      </c>
      <c r="AA69" s="67"/>
      <c r="AB69" s="67"/>
      <c r="AC69" s="67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108</v>
      </c>
      <c r="Y70" s="43">
        <f>IFERROR(SUM(Y65:Y68),"0")</f>
        <v>108</v>
      </c>
      <c r="Z70" s="42"/>
      <c r="AA70" s="67"/>
      <c r="AB70" s="67"/>
      <c r="AC70" s="67"/>
    </row>
    <row r="71" spans="1:68" ht="14.25" hidden="1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hidden="1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hidden="1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hidden="1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hidden="1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hidden="1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hidden="1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hidden="1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17.5</v>
      </c>
      <c r="Y171" s="55">
        <f t="shared" ref="Y171:Y180" si="15">IFERROR(IF(X171="",0,CEILING((X171/$H171),1)*$H171),"")</f>
        <v>17.5</v>
      </c>
      <c r="Z171" s="41">
        <f>IFERROR(IF(Y171=0,"",ROUNDUP(Y171/H171,0)*0.00902),"")</f>
        <v>4.5100000000000001E-2</v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18.45</v>
      </c>
      <c r="BN171" s="78">
        <f t="shared" ref="BN171:BN180" si="17">IFERROR(Y171*I171/H171,"0")</f>
        <v>18.45</v>
      </c>
      <c r="BO171" s="78">
        <f t="shared" ref="BO171:BO180" si="18">IFERROR(1/J171*(X171/H171),"0")</f>
        <v>3.787878787878788E-2</v>
      </c>
      <c r="BP171" s="78">
        <f t="shared" ref="BP171:BP180" si="19">IFERROR(1/J171*(Y171/H171),"0")</f>
        <v>3.787878787878788E-2</v>
      </c>
    </row>
    <row r="172" spans="1:68" ht="27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35</v>
      </c>
      <c r="Y172" s="55">
        <f t="shared" si="15"/>
        <v>35</v>
      </c>
      <c r="Z172" s="41">
        <f>IFERROR(IF(Y172=0,"",ROUNDUP(Y172/H172,0)*0.00902),"")</f>
        <v>9.0200000000000002E-2</v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37.65</v>
      </c>
      <c r="BN172" s="78">
        <f t="shared" si="17"/>
        <v>37.65</v>
      </c>
      <c r="BO172" s="78">
        <f t="shared" si="18"/>
        <v>7.575757575757576E-2</v>
      </c>
      <c r="BP172" s="78">
        <f t="shared" si="19"/>
        <v>7.575757575757576E-2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15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15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0.1353</v>
      </c>
      <c r="AA181" s="67"/>
      <c r="AB181" s="67"/>
      <c r="AC181" s="67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52.5</v>
      </c>
      <c r="Y182" s="43">
        <f>IFERROR(SUM(Y171:Y180),"0")</f>
        <v>52.5</v>
      </c>
      <c r="Z182" s="42"/>
      <c r="AA182" s="67"/>
      <c r="AB182" s="67"/>
      <c r="AC182" s="67"/>
    </row>
    <row r="183" spans="1:68" ht="14.25" hidden="1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hidden="1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hidden="1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hidden="1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hidden="1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16.2</v>
      </c>
      <c r="Y259" s="55">
        <f t="shared" ref="Y259:Y266" si="31">IFERROR(IF(X259="",0,CEILING((X259/$H259),1)*$H259),"")</f>
        <v>16.200000000000003</v>
      </c>
      <c r="Z259" s="41">
        <f>IFERROR(IF(Y259=0,"",ROUNDUP(Y259/H259,0)*0.00902),"")</f>
        <v>2.7060000000000001E-2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16.769999999999996</v>
      </c>
      <c r="BN259" s="78">
        <f t="shared" ref="BN259:BN266" si="33">IFERROR(Y259*I259/H259,"0")</f>
        <v>16.77</v>
      </c>
      <c r="BO259" s="78">
        <f t="shared" ref="BO259:BO266" si="34">IFERROR(1/J259*(X259/H259),"0")</f>
        <v>2.2727272727272724E-2</v>
      </c>
      <c r="BP259" s="78">
        <f t="shared" ref="BP259:BP266" si="35">IFERROR(1/J259*(Y259/H259),"0")</f>
        <v>2.2727272727272731E-2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16.2</v>
      </c>
      <c r="Y260" s="55">
        <f t="shared" si="31"/>
        <v>16.200000000000003</v>
      </c>
      <c r="Z260" s="41">
        <f>IFERROR(IF(Y260=0,"",ROUNDUP(Y260/H260,0)*0.00902),"")</f>
        <v>2.7060000000000001E-2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16.769999999999996</v>
      </c>
      <c r="BN260" s="78">
        <f t="shared" si="33"/>
        <v>16.77</v>
      </c>
      <c r="BO260" s="78">
        <f t="shared" si="34"/>
        <v>2.2727272727272724E-2</v>
      </c>
      <c r="BP260" s="78">
        <f t="shared" si="35"/>
        <v>2.2727272727272731E-2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16.2</v>
      </c>
      <c r="Y261" s="55">
        <f t="shared" si="31"/>
        <v>16.200000000000003</v>
      </c>
      <c r="Z261" s="41">
        <f>IFERROR(IF(Y261=0,"",ROUNDUP(Y261/H261,0)*0.00902),"")</f>
        <v>2.7060000000000001E-2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16.769999999999996</v>
      </c>
      <c r="BN261" s="78">
        <f t="shared" si="33"/>
        <v>16.77</v>
      </c>
      <c r="BO261" s="78">
        <f t="shared" si="34"/>
        <v>2.2727272727272724E-2</v>
      </c>
      <c r="BP261" s="78">
        <f t="shared" si="35"/>
        <v>2.2727272727272731E-2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16.2</v>
      </c>
      <c r="Y262" s="55">
        <f t="shared" si="31"/>
        <v>16.200000000000003</v>
      </c>
      <c r="Z262" s="41">
        <f>IFERROR(IF(Y262=0,"",ROUNDUP(Y262/H262,0)*0.00902),"")</f>
        <v>2.7060000000000001E-2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16.769999999999996</v>
      </c>
      <c r="BN262" s="78">
        <f t="shared" si="33"/>
        <v>16.77</v>
      </c>
      <c r="BO262" s="78">
        <f t="shared" si="34"/>
        <v>2.2727272727272724E-2</v>
      </c>
      <c r="BP262" s="78">
        <f t="shared" si="35"/>
        <v>2.2727272727272731E-2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11.999999999999998</v>
      </c>
      <c r="Y267" s="43">
        <f>IFERROR(Y259/H259,"0")+IFERROR(Y260/H260,"0")+IFERROR(Y261/H261,"0")+IFERROR(Y262/H262,"0")+IFERROR(Y263/H263,"0")+IFERROR(Y264/H264,"0")+IFERROR(Y265/H265,"0")+IFERROR(Y266/H266,"0")</f>
        <v>12.000000000000002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0.10824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64.8</v>
      </c>
      <c r="Y268" s="43">
        <f>IFERROR(SUM(Y259:Y266),"0")</f>
        <v>64.800000000000011</v>
      </c>
      <c r="Z268" s="42"/>
      <c r="AA268" s="67"/>
      <c r="AB268" s="67"/>
      <c r="AC268" s="67"/>
    </row>
    <row r="269" spans="1:68" ht="14.25" hidden="1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idden="1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hidden="1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hidden="1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hidden="1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hidden="1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hidden="1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hidden="1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54</v>
      </c>
      <c r="Y354" s="55">
        <f t="shared" si="51"/>
        <v>54</v>
      </c>
      <c r="Z354" s="41">
        <f>IFERROR(IF(Y354=0,"",ROUNDUP(Y354/H354,0)*0.01898),"")</f>
        <v>9.4899999999999998E-2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56.05</v>
      </c>
      <c r="BN354" s="78">
        <f t="shared" si="53"/>
        <v>56.05</v>
      </c>
      <c r="BO354" s="78">
        <f t="shared" si="54"/>
        <v>7.8125E-2</v>
      </c>
      <c r="BP354" s="78">
        <f t="shared" si="55"/>
        <v>7.8125E-2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54</v>
      </c>
      <c r="Y356" s="55">
        <f t="shared" si="51"/>
        <v>54</v>
      </c>
      <c r="Z356" s="41">
        <f>IFERROR(IF(Y356=0,"",ROUNDUP(Y356/H356,0)*0.01898),"")</f>
        <v>9.4899999999999998E-2</v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56.05</v>
      </c>
      <c r="BN356" s="78">
        <f t="shared" si="53"/>
        <v>56.05</v>
      </c>
      <c r="BO356" s="78">
        <f t="shared" si="54"/>
        <v>7.8125E-2</v>
      </c>
      <c r="BP356" s="78">
        <f t="shared" si="55"/>
        <v>7.8125E-2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10</v>
      </c>
      <c r="Y360" s="43">
        <f>IFERROR(Y353/H353,"0")+IFERROR(Y354/H354,"0")+IFERROR(Y355/H355,"0")+IFERROR(Y356/H356,"0")+IFERROR(Y357/H357,"0")+IFERROR(Y358/H358,"0")+IFERROR(Y359/H359,"0")</f>
        <v>10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0.1898</v>
      </c>
      <c r="AA360" s="67"/>
      <c r="AB360" s="67"/>
      <c r="AC360" s="67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108</v>
      </c>
      <c r="Y361" s="43">
        <f>IFERROR(SUM(Y353:Y359),"0")</f>
        <v>108</v>
      </c>
      <c r="Z361" s="42"/>
      <c r="AA361" s="67"/>
      <c r="AB361" s="67"/>
      <c r="AC361" s="67"/>
    </row>
    <row r="362" spans="1:68" ht="14.25" hidden="1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hidden="1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998.4</v>
      </c>
      <c r="Y373" s="55">
        <f>IFERROR(IF(X373="",0,CEILING((X373/$H373),1)*$H373),"")</f>
        <v>998.4</v>
      </c>
      <c r="Z373" s="41">
        <f>IFERROR(IF(Y373=0,"",ROUNDUP(Y373/H373,0)*0.01898),"")</f>
        <v>2.42944</v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1060.864</v>
      </c>
      <c r="BN373" s="78">
        <f>IFERROR(Y373*I373/H373,"0")</f>
        <v>1060.864</v>
      </c>
      <c r="BO373" s="78">
        <f>IFERROR(1/J373*(X373/H373),"0")</f>
        <v>2</v>
      </c>
      <c r="BP373" s="78">
        <f>IFERROR(1/J373*(Y373/H373),"0")</f>
        <v>2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128</v>
      </c>
      <c r="Y377" s="43">
        <f>IFERROR(Y373/H373,"0")+IFERROR(Y374/H374,"0")+IFERROR(Y375/H375,"0")+IFERROR(Y376/H376,"0")</f>
        <v>128</v>
      </c>
      <c r="Z377" s="43">
        <f>IFERROR(IF(Z373="",0,Z373),"0")+IFERROR(IF(Z374="",0,Z374),"0")+IFERROR(IF(Z375="",0,Z375),"0")+IFERROR(IF(Z376="",0,Z376),"0")</f>
        <v>2.42944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998.4</v>
      </c>
      <c r="Y378" s="43">
        <f>IFERROR(SUM(Y373:Y376),"0")</f>
        <v>998.4</v>
      </c>
      <c r="Z378" s="42"/>
      <c r="AA378" s="67"/>
      <c r="AB378" s="67"/>
      <c r="AC378" s="67"/>
    </row>
    <row r="379" spans="1:68" ht="14.25" hidden="1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42</v>
      </c>
      <c r="Y382" s="55">
        <f>IFERROR(IF(X382="",0,CEILING((X382/$H382),1)*$H382),"")</f>
        <v>42</v>
      </c>
      <c r="Z382" s="41">
        <f>IFERROR(IF(Y382=0,"",ROUNDUP(Y382/H382,0)*0.01898),"")</f>
        <v>9.4899999999999998E-2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44.47</v>
      </c>
      <c r="BN382" s="78">
        <f>IFERROR(Y382*I382/H382,"0")</f>
        <v>44.47</v>
      </c>
      <c r="BO382" s="78">
        <f>IFERROR(1/J382*(X382/H382),"0")</f>
        <v>7.8125E-2</v>
      </c>
      <c r="BP382" s="78">
        <f>IFERROR(1/J382*(Y382/H382),"0")</f>
        <v>7.8125E-2</v>
      </c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5</v>
      </c>
      <c r="Y383" s="43">
        <f>IFERROR(Y380/H380,"0")+IFERROR(Y381/H381,"0")+IFERROR(Y382/H382,"0")</f>
        <v>5</v>
      </c>
      <c r="Z383" s="43">
        <f>IFERROR(IF(Z380="",0,Z380),"0")+IFERROR(IF(Z381="",0,Z381),"0")+IFERROR(IF(Z382="",0,Z382),"0")</f>
        <v>9.4899999999999998E-2</v>
      </c>
      <c r="AA383" s="67"/>
      <c r="AB383" s="67"/>
      <c r="AC383" s="67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42</v>
      </c>
      <c r="Y384" s="43">
        <f>IFERROR(SUM(Y380:Y382),"0")</f>
        <v>42</v>
      </c>
      <c r="Z384" s="42"/>
      <c r="AA384" s="67"/>
      <c r="AB384" s="67"/>
      <c r="AC384" s="67"/>
    </row>
    <row r="385" spans="1:68" ht="14.25" hidden="1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hidden="1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hidden="1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hidden="1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hidden="1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hidden="1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75</v>
      </c>
      <c r="Y421" s="55">
        <f t="shared" si="61"/>
        <v>75</v>
      </c>
      <c r="Z421" s="41">
        <f>IFERROR(IF(Y421=0,"",ROUNDUP(Y421/H421,0)*0.02175),"")</f>
        <v>0.10874999999999999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77.349999999999994</v>
      </c>
      <c r="BN421" s="78">
        <f t="shared" si="63"/>
        <v>77.349999999999994</v>
      </c>
      <c r="BO421" s="78">
        <f t="shared" si="64"/>
        <v>0.10416666666666666</v>
      </c>
      <c r="BP421" s="78">
        <f t="shared" si="65"/>
        <v>0.10416666666666666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720</v>
      </c>
      <c r="Y422" s="55">
        <f t="shared" si="61"/>
        <v>720</v>
      </c>
      <c r="Z422" s="41">
        <f>IFERROR(IF(Y422=0,"",ROUNDUP(Y422/H422,0)*0.02175),"")</f>
        <v>1.044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742.56</v>
      </c>
      <c r="BN422" s="78">
        <f t="shared" si="63"/>
        <v>742.56</v>
      </c>
      <c r="BO422" s="78">
        <f t="shared" si="64"/>
        <v>1</v>
      </c>
      <c r="BP422" s="78">
        <f t="shared" si="65"/>
        <v>1</v>
      </c>
    </row>
    <row r="423" spans="1:68" ht="27" hidden="1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53</v>
      </c>
      <c r="Y428" s="43">
        <f>IFERROR(Y420/H420,"0")+IFERROR(Y421/H421,"0")+IFERROR(Y422/H422,"0")+IFERROR(Y423/H423,"0")+IFERROR(Y424/H424,"0")+IFERROR(Y425/H425,"0")+IFERROR(Y426/H426,"0")+IFERROR(Y427/H427,"0")</f>
        <v>53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1.1527499999999999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795</v>
      </c>
      <c r="Y429" s="43">
        <f>IFERROR(SUM(Y420:Y427),"0")</f>
        <v>795</v>
      </c>
      <c r="Z429" s="42"/>
      <c r="AA429" s="67"/>
      <c r="AB429" s="67"/>
      <c r="AC429" s="67"/>
    </row>
    <row r="430" spans="1:68" ht="14.25" hidden="1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hidden="1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hidden="1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hidden="1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hidden="1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hidden="1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hidden="1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hidden="1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hidden="1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0</v>
      </c>
      <c r="Y500" s="43">
        <f>IFERROR(Y492/H492,"0")+IFERROR(Y493/H493,"0")+IFERROR(Y494/H494,"0")+IFERROR(Y495/H495,"0")+IFERROR(Y496/H496,"0")+IFERROR(Y497/H497,"0")+IFERROR(Y498/H498,"0")+IFERROR(Y499/H499,"0")</f>
        <v>0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0</v>
      </c>
      <c r="Y501" s="43">
        <f>IFERROR(SUM(Y492:Y499),"0")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105.6</v>
      </c>
      <c r="Y503" s="55">
        <f>IFERROR(IF(X503="",0,CEILING((X503/$H503),1)*$H503),"")</f>
        <v>105.60000000000001</v>
      </c>
      <c r="Z503" s="41">
        <f>IFERROR(IF(Y503=0,"",ROUNDUP(Y503/H503,0)*0.01196),"")</f>
        <v>0.2392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112.59999999999998</v>
      </c>
      <c r="BN503" s="78">
        <f>IFERROR(Y503*I503/H503,"0")</f>
        <v>112.6</v>
      </c>
      <c r="BO503" s="78">
        <f>IFERROR(1/J503*(X503/H503),"0")</f>
        <v>0.19230769230769229</v>
      </c>
      <c r="BP503" s="78">
        <f>IFERROR(1/J503*(Y503/H503),"0")</f>
        <v>0.19230769230769232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19.999999999999996</v>
      </c>
      <c r="Y506" s="43">
        <f>IFERROR(Y503/H503,"0")+IFERROR(Y504/H504,"0")+IFERROR(Y505/H505,"0")</f>
        <v>20</v>
      </c>
      <c r="Z506" s="43">
        <f>IFERROR(IF(Z503="",0,Z503),"0")+IFERROR(IF(Z504="",0,Z504),"0")+IFERROR(IF(Z505="",0,Z505),"0")</f>
        <v>0.2392</v>
      </c>
      <c r="AA506" s="67"/>
      <c r="AB506" s="67"/>
      <c r="AC506" s="67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105.6</v>
      </c>
      <c r="Y507" s="43">
        <f>IFERROR(SUM(Y503:Y505),"0")</f>
        <v>105.60000000000001</v>
      </c>
      <c r="Z507" s="42"/>
      <c r="AA507" s="67"/>
      <c r="AB507" s="67"/>
      <c r="AC507" s="67"/>
    </row>
    <row r="508" spans="1:68" ht="14.25" hidden="1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6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idden="1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0</v>
      </c>
      <c r="Y516" s="43">
        <f>IFERROR(Y509/H509,"0")+IFERROR(Y510/H510,"0")+IFERROR(Y511/H511,"0")+IFERROR(Y512/H512,"0")+IFERROR(Y513/H513,"0")+IFERROR(Y514/H514,"0")+IFERROR(Y515/H515,"0")</f>
        <v>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hidden="1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0</v>
      </c>
      <c r="Y517" s="43">
        <f>IFERROR(SUM(Y509:Y515),"0")</f>
        <v>0</v>
      </c>
      <c r="Z517" s="42"/>
      <c r="AA517" s="67"/>
      <c r="AB517" s="67"/>
      <c r="AC517" s="67"/>
    </row>
    <row r="518" spans="1:68" ht="27.75" hidden="1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hidden="1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hidden="1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42</v>
      </c>
      <c r="Y529" s="55">
        <f>IFERROR(IF(X529="",0,CEILING((X529/$H529),1)*$H529),"")</f>
        <v>42</v>
      </c>
      <c r="Z529" s="41">
        <f>IFERROR(IF(Y529=0,"",ROUNDUP(Y529/H529,0)*0.00902),"")</f>
        <v>9.0200000000000002E-2</v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44.5</v>
      </c>
      <c r="BN529" s="78">
        <f>IFERROR(Y529*I529/H529,"0")</f>
        <v>44.5</v>
      </c>
      <c r="BO529" s="78">
        <f>IFERROR(1/J529*(X529/H529),"0")</f>
        <v>7.575757575757576E-2</v>
      </c>
      <c r="BP529" s="78">
        <f>IFERROR(1/J529*(Y529/H529),"0")</f>
        <v>7.575757575757576E-2</v>
      </c>
    </row>
    <row r="530" spans="1:68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10</v>
      </c>
      <c r="Y530" s="43">
        <f>IFERROR(Y529/H529,"0")</f>
        <v>10</v>
      </c>
      <c r="Z530" s="43">
        <f>IFERROR(IF(Z529="",0,Z529),"0")</f>
        <v>9.0200000000000002E-2</v>
      </c>
      <c r="AA530" s="67"/>
      <c r="AB530" s="67"/>
      <c r="AC530" s="67"/>
    </row>
    <row r="531" spans="1:68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42</v>
      </c>
      <c r="Y531" s="43">
        <f>IFERROR(SUM(Y529:Y529),"0")</f>
        <v>42</v>
      </c>
      <c r="Z531" s="42"/>
      <c r="AA531" s="67"/>
      <c r="AB531" s="67"/>
      <c r="AC531" s="67"/>
    </row>
    <row r="532" spans="1:68" ht="14.25" hidden="1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hidden="1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2356.2999999999997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2356.2999999999997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2471.6239999999998</v>
      </c>
      <c r="Y547" s="43">
        <f>IFERROR(SUM(BN22:BN543),"0")</f>
        <v>2471.6239999999998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5</v>
      </c>
      <c r="Y548" s="44">
        <f>ROUNDUP(SUM(BP22:BP543),0)</f>
        <v>5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2596.6239999999998</v>
      </c>
      <c r="Y549" s="43">
        <f>GrossWeightTotalR+PalletQtyTotalR*25</f>
        <v>2596.6239999999998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273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273</v>
      </c>
      <c r="Z550" s="42"/>
      <c r="AA550" s="67"/>
      <c r="AB550" s="67"/>
      <c r="AC550" s="67"/>
    </row>
    <row r="551" spans="1:32" ht="14.25" hidden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4.7198300000000009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0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148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52.5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64.800000000000011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1148.4000000000001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795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105.60000000000001</v>
      </c>
      <c r="AB556" s="52">
        <f>IFERROR(Y521*1,"0")+IFERROR(Y525*1,"0")+IFERROR(Y529*1,"0")+IFERROR(Y533*1,"0")+IFERROR(Y537*1,"0")+IFERROR(Y538*1,"0")</f>
        <v>42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5,60"/>
        <filter val="108,00"/>
        <filter val="12,00"/>
        <filter val="128,00"/>
        <filter val="15,00"/>
        <filter val="16,20"/>
        <filter val="17,50"/>
        <filter val="2 356,30"/>
        <filter val="2 471,62"/>
        <filter val="2 596,62"/>
        <filter val="20,00"/>
        <filter val="273,00"/>
        <filter val="35,00"/>
        <filter val="40,00"/>
        <filter val="42,00"/>
        <filter val="5"/>
        <filter val="5,00"/>
        <filter val="52,50"/>
        <filter val="53,00"/>
        <filter val="54,00"/>
        <filter val="64,80"/>
        <filter val="720,00"/>
        <filter val="75,00"/>
        <filter val="795,00"/>
        <filter val="998,4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