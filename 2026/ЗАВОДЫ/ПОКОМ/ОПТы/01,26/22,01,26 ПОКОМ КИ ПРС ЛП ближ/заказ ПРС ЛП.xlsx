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E1F15124-FAE1-4469-9155-046CD90EA94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Y344" i="1"/>
  <c r="X344" i="1"/>
  <c r="BP343" i="1"/>
  <c r="BO343" i="1"/>
  <c r="BN343" i="1"/>
  <c r="BM343" i="1"/>
  <c r="Z343" i="1"/>
  <c r="Y343" i="1"/>
  <c r="P343" i="1"/>
  <c r="BO342" i="1"/>
  <c r="BN342" i="1"/>
  <c r="BM342" i="1"/>
  <c r="Z342" i="1"/>
  <c r="Y342" i="1"/>
  <c r="BP342" i="1" s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Y338" i="1" s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Y324" i="1" s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Y287" i="1" s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Y275" i="1" s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Y212" i="1" s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N194" i="1"/>
  <c r="BM194" i="1"/>
  <c r="Z194" i="1"/>
  <c r="Y194" i="1"/>
  <c r="BP194" i="1" s="1"/>
  <c r="P194" i="1"/>
  <c r="BO193" i="1"/>
  <c r="BM193" i="1"/>
  <c r="Y193" i="1"/>
  <c r="Y196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Y179" i="1" s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3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Z75" i="1" s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Z152" i="1" s="1"/>
  <c r="Y152" i="1"/>
  <c r="Y180" i="1"/>
  <c r="BP166" i="1"/>
  <c r="BN166" i="1"/>
  <c r="Z166" i="1"/>
  <c r="Z179" i="1" s="1"/>
  <c r="H9" i="1"/>
  <c r="B499" i="1"/>
  <c r="X490" i="1"/>
  <c r="X491" i="1"/>
  <c r="Z23" i="1"/>
  <c r="Z24" i="1" s="1"/>
  <c r="BN23" i="1"/>
  <c r="Y490" i="1" s="1"/>
  <c r="Y24" i="1"/>
  <c r="X489" i="1"/>
  <c r="Z27" i="1"/>
  <c r="BN27" i="1"/>
  <c r="BP27" i="1"/>
  <c r="Y491" i="1" s="1"/>
  <c r="Z29" i="1"/>
  <c r="BN29" i="1"/>
  <c r="C499" i="1"/>
  <c r="Z41" i="1"/>
  <c r="Z43" i="1" s="1"/>
  <c r="BN41" i="1"/>
  <c r="Y44" i="1"/>
  <c r="D499" i="1"/>
  <c r="Y57" i="1"/>
  <c r="Z52" i="1"/>
  <c r="Z57" i="1" s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H49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E499" i="1"/>
  <c r="Y88" i="1"/>
  <c r="F499" i="1"/>
  <c r="Y105" i="1"/>
  <c r="G499" i="1"/>
  <c r="Y128" i="1"/>
  <c r="I499" i="1"/>
  <c r="Y163" i="1"/>
  <c r="Z170" i="1"/>
  <c r="BN170" i="1"/>
  <c r="Z172" i="1"/>
  <c r="BN172" i="1"/>
  <c r="Z174" i="1"/>
  <c r="BN174" i="1"/>
  <c r="Z176" i="1"/>
  <c r="BN176" i="1"/>
  <c r="Z178" i="1"/>
  <c r="BN178" i="1"/>
  <c r="Z182" i="1"/>
  <c r="Z185" i="1" s="1"/>
  <c r="BN182" i="1"/>
  <c r="BP182" i="1"/>
  <c r="Z184" i="1"/>
  <c r="BN184" i="1"/>
  <c r="Y185" i="1"/>
  <c r="Z188" i="1"/>
  <c r="Z189" i="1" s="1"/>
  <c r="BN188" i="1"/>
  <c r="BP188" i="1"/>
  <c r="Y189" i="1"/>
  <c r="Z193" i="1"/>
  <c r="Z195" i="1" s="1"/>
  <c r="BN193" i="1"/>
  <c r="BP193" i="1"/>
  <c r="Y201" i="1"/>
  <c r="BP198" i="1"/>
  <c r="BN198" i="1"/>
  <c r="Z198" i="1"/>
  <c r="Z200" i="1" s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499" i="1"/>
  <c r="BP264" i="1"/>
  <c r="BN264" i="1"/>
  <c r="Z264" i="1"/>
  <c r="BP273" i="1"/>
  <c r="BN273" i="1"/>
  <c r="Z273" i="1"/>
  <c r="O499" i="1"/>
  <c r="Y281" i="1"/>
  <c r="BP278" i="1"/>
  <c r="BN278" i="1"/>
  <c r="Z278" i="1"/>
  <c r="BP291" i="1"/>
  <c r="BN291" i="1"/>
  <c r="Z291" i="1"/>
  <c r="Z292" i="1" s="1"/>
  <c r="Y293" i="1"/>
  <c r="Y303" i="1"/>
  <c r="BP296" i="1"/>
  <c r="BN296" i="1"/>
  <c r="Z296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499" i="1"/>
  <c r="Y345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Q499" i="1"/>
  <c r="J499" i="1"/>
  <c r="Y195" i="1"/>
  <c r="BP204" i="1"/>
  <c r="BN204" i="1"/>
  <c r="Z204" i="1"/>
  <c r="Z211" i="1" s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Z241" i="1" s="1"/>
  <c r="BP237" i="1"/>
  <c r="BN237" i="1"/>
  <c r="Z237" i="1"/>
  <c r="Y241" i="1"/>
  <c r="BP253" i="1"/>
  <c r="BN253" i="1"/>
  <c r="Z253" i="1"/>
  <c r="Z257" i="1" s="1"/>
  <c r="Y257" i="1"/>
  <c r="Z266" i="1"/>
  <c r="BP262" i="1"/>
  <c r="BN262" i="1"/>
  <c r="Z262" i="1"/>
  <c r="Y266" i="1"/>
  <c r="BP271" i="1"/>
  <c r="BN271" i="1"/>
  <c r="Z271" i="1"/>
  <c r="Z274" i="1" s="1"/>
  <c r="BP280" i="1"/>
  <c r="BN280" i="1"/>
  <c r="Z280" i="1"/>
  <c r="Y282" i="1"/>
  <c r="P499" i="1"/>
  <c r="Y288" i="1"/>
  <c r="BP285" i="1"/>
  <c r="BN285" i="1"/>
  <c r="Z285" i="1"/>
  <c r="Z287" i="1" s="1"/>
  <c r="BP298" i="1"/>
  <c r="BN298" i="1"/>
  <c r="Z298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Z318" i="1" s="1"/>
  <c r="Y318" i="1"/>
  <c r="BP322" i="1"/>
  <c r="BN322" i="1"/>
  <c r="Z322" i="1"/>
  <c r="Z324" i="1" s="1"/>
  <c r="BP330" i="1"/>
  <c r="BN330" i="1"/>
  <c r="Z330" i="1"/>
  <c r="Y332" i="1"/>
  <c r="Y337" i="1"/>
  <c r="BP334" i="1"/>
  <c r="BN334" i="1"/>
  <c r="Z334" i="1"/>
  <c r="Z337" i="1" s="1"/>
  <c r="BP350" i="1"/>
  <c r="BN350" i="1"/>
  <c r="Z350" i="1"/>
  <c r="Z356" i="1" s="1"/>
  <c r="Y356" i="1"/>
  <c r="BP354" i="1"/>
  <c r="BN354" i="1"/>
  <c r="Z354" i="1"/>
  <c r="BP393" i="1"/>
  <c r="BN393" i="1"/>
  <c r="Z393" i="1"/>
  <c r="U499" i="1"/>
  <c r="BP397" i="1"/>
  <c r="BN397" i="1"/>
  <c r="Z397" i="1"/>
  <c r="Y401" i="1"/>
  <c r="BP405" i="1"/>
  <c r="BN405" i="1"/>
  <c r="Z405" i="1"/>
  <c r="Z406" i="1" s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K499" i="1"/>
  <c r="Y242" i="1"/>
  <c r="Y267" i="1"/>
  <c r="M499" i="1"/>
  <c r="Y274" i="1"/>
  <c r="S499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Z387" i="1"/>
  <c r="BP385" i="1"/>
  <c r="BN385" i="1"/>
  <c r="Z385" i="1"/>
  <c r="Y402" i="1"/>
  <c r="BP395" i="1"/>
  <c r="BN395" i="1"/>
  <c r="Z395" i="1"/>
  <c r="BP399" i="1"/>
  <c r="BN399" i="1"/>
  <c r="Z399" i="1"/>
  <c r="Z401" i="1" s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Z469" i="1" s="1"/>
  <c r="Y469" i="1"/>
  <c r="Z482" i="1"/>
  <c r="Y499" i="1"/>
  <c r="Y357" i="1"/>
  <c r="T499" i="1"/>
  <c r="Y376" i="1"/>
  <c r="X499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1" i="1"/>
  <c r="BN461" i="1"/>
  <c r="Z461" i="1"/>
  <c r="Z464" i="1" s="1"/>
  <c r="BP481" i="1"/>
  <c r="BN481" i="1"/>
  <c r="Z481" i="1"/>
  <c r="Y483" i="1"/>
  <c r="Z499" i="1"/>
  <c r="Y487" i="1"/>
  <c r="BP486" i="1"/>
  <c r="BN486" i="1"/>
  <c r="Z486" i="1"/>
  <c r="Z487" i="1" s="1"/>
  <c r="Y488" i="1"/>
  <c r="Y440" i="1"/>
  <c r="Y492" i="1" l="1"/>
  <c r="Z223" i="1"/>
  <c r="Z31" i="1"/>
  <c r="Z494" i="1" s="1"/>
  <c r="Y493" i="1"/>
  <c r="X492" i="1"/>
  <c r="Z455" i="1"/>
  <c r="Z418" i="1"/>
  <c r="Z331" i="1"/>
  <c r="Z302" i="1"/>
  <c r="Z281" i="1"/>
  <c r="Z118" i="1"/>
  <c r="Z63" i="1"/>
  <c r="Y489" i="1"/>
</calcChain>
</file>

<file path=xl/sharedStrings.xml><?xml version="1.0" encoding="utf-8"?>
<sst xmlns="http://schemas.openxmlformats.org/spreadsheetml/2006/main" count="2342" uniqueCount="770">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</sst>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5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7" t="s">
        <v>0</v>
      </c>
      <c r="E1" s="578"/>
      <c r="F1" s="578"/>
      <c r="G1" s="12" t="s">
        <v>1</v>
      </c>
      <c r="H1" s="627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46"/>
      <c r="C5" s="647"/>
      <c r="D5" s="632"/>
      <c r="E5" s="633"/>
      <c r="F5" s="834" t="s">
        <v>9</v>
      </c>
      <c r="G5" s="647"/>
      <c r="H5" s="632"/>
      <c r="I5" s="777"/>
      <c r="J5" s="777"/>
      <c r="K5" s="777"/>
      <c r="L5" s="777"/>
      <c r="M5" s="633"/>
      <c r="N5" s="58"/>
      <c r="P5" s="24" t="s">
        <v>10</v>
      </c>
      <c r="Q5" s="849">
        <v>46051</v>
      </c>
      <c r="R5" s="671"/>
      <c r="T5" s="714" t="s">
        <v>11</v>
      </c>
      <c r="U5" s="715"/>
      <c r="V5" s="716" t="s">
        <v>12</v>
      </c>
      <c r="W5" s="671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46"/>
      <c r="C6" s="647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1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Четверг</v>
      </c>
      <c r="R6" s="555"/>
      <c r="T6" s="720" t="s">
        <v>16</v>
      </c>
      <c r="U6" s="715"/>
      <c r="V6" s="763" t="s">
        <v>17</v>
      </c>
      <c r="W6" s="597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1"/>
      <c r="U7" s="715"/>
      <c r="V7" s="764"/>
      <c r="W7" s="765"/>
      <c r="AB7" s="51"/>
      <c r="AC7" s="51"/>
      <c r="AD7" s="51"/>
      <c r="AE7" s="51"/>
    </row>
    <row r="8" spans="1:32" s="541" customFormat="1" ht="25.5" customHeight="1" x14ac:dyDescent="0.2">
      <c r="A8" s="869" t="s">
        <v>18</v>
      </c>
      <c r="B8" s="566"/>
      <c r="C8" s="567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0">
        <v>0.41666666666666669</v>
      </c>
      <c r="R8" s="611"/>
      <c r="T8" s="561"/>
      <c r="U8" s="715"/>
      <c r="V8" s="764"/>
      <c r="W8" s="765"/>
      <c r="AB8" s="51"/>
      <c r="AC8" s="51"/>
      <c r="AD8" s="51"/>
      <c r="AE8" s="51"/>
    </row>
    <row r="9" spans="1:32" s="541" customFormat="1" ht="39.950000000000003" customHeight="1" x14ac:dyDescent="0.2">
      <c r="A9" s="6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8"/>
      <c r="E9" s="569"/>
      <c r="F9" s="6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64"/>
      <c r="R9" s="665"/>
      <c r="T9" s="561"/>
      <c r="U9" s="715"/>
      <c r="V9" s="766"/>
      <c r="W9" s="76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8"/>
      <c r="E10" s="569"/>
      <c r="F10" s="6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6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1"/>
      <c r="R10" s="722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798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680"/>
      <c r="R12" s="611"/>
      <c r="S12" s="23"/>
      <c r="U12" s="24"/>
      <c r="V12" s="578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798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00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4" t="s">
        <v>38</v>
      </c>
      <c r="D17" s="590" t="s">
        <v>39</v>
      </c>
      <c r="E17" s="651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0"/>
      <c r="R17" s="650"/>
      <c r="S17" s="650"/>
      <c r="T17" s="651"/>
      <c r="U17" s="864" t="s">
        <v>51</v>
      </c>
      <c r="V17" s="647"/>
      <c r="W17" s="590" t="s">
        <v>52</v>
      </c>
      <c r="X17" s="590" t="s">
        <v>53</v>
      </c>
      <c r="Y17" s="867" t="s">
        <v>54</v>
      </c>
      <c r="Z17" s="775" t="s">
        <v>55</v>
      </c>
      <c r="AA17" s="754" t="s">
        <v>56</v>
      </c>
      <c r="AB17" s="754" t="s">
        <v>57</v>
      </c>
      <c r="AC17" s="754" t="s">
        <v>58</v>
      </c>
      <c r="AD17" s="75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2"/>
      <c r="E18" s="654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1"/>
      <c r="X18" s="591"/>
      <c r="Y18" s="868"/>
      <c r="Z18" s="776"/>
      <c r="AA18" s="755"/>
      <c r="AB18" s="755"/>
      <c r="AC18" s="755"/>
      <c r="AD18" s="831"/>
      <c r="AE18" s="832"/>
      <c r="AF18" s="833"/>
      <c r="AG18" s="66"/>
      <c r="BD18" s="65"/>
    </row>
    <row r="19" spans="1:68" ht="27.75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90</v>
      </c>
      <c r="Y30" s="548">
        <f>IFERROR(IF(X30="",0,CEILING((X30/$H30),1)*$H30),"")</f>
        <v>90</v>
      </c>
      <c r="Z30" s="36">
        <f>IFERROR(IF(Y30=0,"",ROUNDUP(Y30/H30,0)*0.00651),"")</f>
        <v>0.32550000000000001</v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159</v>
      </c>
      <c r="BN30" s="64">
        <f>IFERROR(Y30*I30/H30,"0")</f>
        <v>159</v>
      </c>
      <c r="BO30" s="64">
        <f>IFERROR(1/J30*(X30/H30),"0")</f>
        <v>0.27472527472527475</v>
      </c>
      <c r="BP30" s="64">
        <f>IFERROR(1/J30*(Y30/H30),"0")</f>
        <v>0.27472527472527475</v>
      </c>
    </row>
    <row r="31" spans="1:68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50</v>
      </c>
      <c r="Y31" s="549">
        <f>IFERROR(Y27/H27,"0")+IFERROR(Y28/H28,"0")+IFERROR(Y29/H29,"0")+IFERROR(Y30/H30,"0")</f>
        <v>50</v>
      </c>
      <c r="Z31" s="549">
        <f>IFERROR(IF(Z27="",0,Z27),"0")+IFERROR(IF(Z28="",0,Z28),"0")+IFERROR(IF(Z29="",0,Z29),"0")+IFERROR(IF(Z30="",0,Z30),"0")</f>
        <v>0.32550000000000001</v>
      </c>
      <c r="AA31" s="550"/>
      <c r="AB31" s="550"/>
      <c r="AC31" s="550"/>
    </row>
    <row r="32" spans="1:68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90</v>
      </c>
      <c r="Y32" s="549">
        <f>IFERROR(SUM(Y27:Y30),"0")</f>
        <v>90</v>
      </c>
      <c r="Z32" s="37"/>
      <c r="AA32" s="550"/>
      <c r="AB32" s="550"/>
      <c r="AC32" s="550"/>
    </row>
    <row r="33" spans="1:68" ht="14.25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0</v>
      </c>
      <c r="Y40" s="548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140</v>
      </c>
      <c r="Y42" s="548">
        <f>IFERROR(IF(X42="",0,CEILING((X42/$H42),1)*$H42),"")</f>
        <v>140</v>
      </c>
      <c r="Z42" s="36">
        <f>IFERROR(IF(Y42=0,"",ROUNDUP(Y42/H42,0)*0.00902),"")</f>
        <v>0.31569999999999998</v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146.65</v>
      </c>
      <c r="BN42" s="64">
        <f>IFERROR(Y42*I42/H42,"0")</f>
        <v>146.65</v>
      </c>
      <c r="BO42" s="64">
        <f>IFERROR(1/J42*(X42/H42),"0")</f>
        <v>0.26515151515151514</v>
      </c>
      <c r="BP42" s="64">
        <f>IFERROR(1/J42*(Y42/H42),"0")</f>
        <v>0.26515151515151514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35</v>
      </c>
      <c r="Y43" s="549">
        <f>IFERROR(Y40/H40,"0")+IFERROR(Y41/H41,"0")+IFERROR(Y42/H42,"0")</f>
        <v>35</v>
      </c>
      <c r="Z43" s="549">
        <f>IFERROR(IF(Z40="",0,Z40),"0")+IFERROR(IF(Z41="",0,Z41),"0")+IFERROR(IF(Z42="",0,Z42),"0")</f>
        <v>0.31569999999999998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140</v>
      </c>
      <c r="Y44" s="549">
        <f>IFERROR(SUM(Y40:Y42),"0")</f>
        <v>140</v>
      </c>
      <c r="Z44" s="37"/>
      <c r="AA44" s="550"/>
      <c r="AB44" s="550"/>
      <c r="AC44" s="550"/>
    </row>
    <row r="45" spans="1:68" ht="14.25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9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105</v>
      </c>
      <c r="Y46" s="548">
        <f>IFERROR(IF(X46="",0,CEILING((X46/$H46),1)*$H46),"")</f>
        <v>106.2</v>
      </c>
      <c r="Z46" s="36">
        <f>IFERROR(IF(Y46=0,"",ROUNDUP(Y46/H46,0)*0.00651),"")</f>
        <v>0.38408999999999999</v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115.5</v>
      </c>
      <c r="BN46" s="64">
        <f>IFERROR(Y46*I46/H46,"0")</f>
        <v>116.82000000000001</v>
      </c>
      <c r="BO46" s="64">
        <f>IFERROR(1/J46*(X46/H46),"0")</f>
        <v>0.32051282051282048</v>
      </c>
      <c r="BP46" s="64">
        <f>IFERROR(1/J46*(Y46/H46),"0")</f>
        <v>0.32417582417582419</v>
      </c>
    </row>
    <row r="47" spans="1:68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58.333333333333329</v>
      </c>
      <c r="Y47" s="549">
        <f>IFERROR(Y46/H46,"0")</f>
        <v>59</v>
      </c>
      <c r="Z47" s="549">
        <f>IFERROR(IF(Z46="",0,Z46),"0")</f>
        <v>0.38408999999999999</v>
      </c>
      <c r="AA47" s="550"/>
      <c r="AB47" s="550"/>
      <c r="AC47" s="550"/>
    </row>
    <row r="48" spans="1:68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105</v>
      </c>
      <c r="Y48" s="549">
        <f>IFERROR(SUM(Y46:Y46),"0")</f>
        <v>106.2</v>
      </c>
      <c r="Z48" s="37"/>
      <c r="AA48" s="550"/>
      <c r="AB48" s="550"/>
      <c r="AC48" s="550"/>
    </row>
    <row r="49" spans="1:68" ht="16.5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0</v>
      </c>
      <c r="Y57" s="549">
        <f>IFERROR(Y51/H51,"0")+IFERROR(Y52/H52,"0")+IFERROR(Y53/H53,"0")+IFERROR(Y54/H54,"0")+IFERROR(Y55/H55,"0")+IFERROR(Y56/H56,"0")</f>
        <v>0</v>
      </c>
      <c r="Z57" s="549">
        <f>IFERROR(IF(Z51="",0,Z51),"0")+IFERROR(IF(Z52="",0,Z52),"0")+IFERROR(IF(Z53="",0,Z53),"0")+IFERROR(IF(Z54="",0,Z54),"0")+IFERROR(IF(Z55="",0,Z55),"0")+IFERROR(IF(Z56="",0,Z56),"0")</f>
        <v>0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0</v>
      </c>
      <c r="Y58" s="549">
        <f>IFERROR(SUM(Y51:Y56),"0")</f>
        <v>0</v>
      </c>
      <c r="Z58" s="37"/>
      <c r="AA58" s="550"/>
      <c r="AB58" s="550"/>
      <c r="AC58" s="550"/>
    </row>
    <row r="59" spans="1:68" ht="14.25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0</v>
      </c>
      <c r="Y60" s="548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157.5</v>
      </c>
      <c r="Y62" s="548">
        <f>IFERROR(IF(X62="",0,CEILING((X62/$H62),1)*$H62),"")</f>
        <v>159.30000000000001</v>
      </c>
      <c r="Z62" s="36">
        <f>IFERROR(IF(Y62=0,"",ROUNDUP(Y62/H62,0)*0.00651),"")</f>
        <v>0.38408999999999999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167.99999999999997</v>
      </c>
      <c r="BN62" s="64">
        <f>IFERROR(Y62*I62/H62,"0")</f>
        <v>169.92</v>
      </c>
      <c r="BO62" s="64">
        <f>IFERROR(1/J62*(X62/H62),"0")</f>
        <v>0.32051282051282048</v>
      </c>
      <c r="BP62" s="64">
        <f>IFERROR(1/J62*(Y62/H62),"0")</f>
        <v>0.32417582417582419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58.333333333333329</v>
      </c>
      <c r="Y63" s="549">
        <f>IFERROR(Y60/H60,"0")+IFERROR(Y61/H61,"0")+IFERROR(Y62/H62,"0")</f>
        <v>59</v>
      </c>
      <c r="Z63" s="549">
        <f>IFERROR(IF(Z60="",0,Z60),"0")+IFERROR(IF(Z61="",0,Z61),"0")+IFERROR(IF(Z62="",0,Z62),"0")</f>
        <v>0.38408999999999999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157.5</v>
      </c>
      <c r="Y64" s="549">
        <f>IFERROR(SUM(Y60:Y62),"0")</f>
        <v>159.30000000000001</v>
      </c>
      <c r="Z64" s="37"/>
      <c r="AA64" s="550"/>
      <c r="AB64" s="550"/>
      <c r="AC64" s="550"/>
    </row>
    <row r="65" spans="1:68" ht="14.25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105</v>
      </c>
      <c r="Y72" s="548">
        <f>IFERROR(IF(X72="",0,CEILING((X72/$H72),1)*$H72),"")</f>
        <v>106.2</v>
      </c>
      <c r="Z72" s="36">
        <f>IFERROR(IF(Y72=0,"",ROUNDUP(Y72/H72,0)*0.00651),"")</f>
        <v>0.38408999999999999</v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119.35</v>
      </c>
      <c r="BN72" s="64">
        <f>IFERROR(Y72*I72/H72,"0")</f>
        <v>120.71399999999998</v>
      </c>
      <c r="BO72" s="64">
        <f>IFERROR(1/J72*(X72/H72),"0")</f>
        <v>0.32051282051282048</v>
      </c>
      <c r="BP72" s="64">
        <f>IFERROR(1/J72*(Y72/H72),"0")</f>
        <v>0.32417582417582419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90</v>
      </c>
      <c r="Y74" s="548">
        <f>IFERROR(IF(X74="",0,CEILING((X74/$H74),1)*$H74),"")</f>
        <v>90</v>
      </c>
      <c r="Z74" s="36">
        <f>IFERROR(IF(Y74=0,"",ROUNDUP(Y74/H74,0)*0.00651),"")</f>
        <v>0.32550000000000001</v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98.999999999999986</v>
      </c>
      <c r="BN74" s="64">
        <f>IFERROR(Y74*I74/H74,"0")</f>
        <v>98.999999999999986</v>
      </c>
      <c r="BO74" s="64">
        <f>IFERROR(1/J74*(X74/H74),"0")</f>
        <v>0.27472527472527475</v>
      </c>
      <c r="BP74" s="64">
        <f>IFERROR(1/J74*(Y74/H74),"0")</f>
        <v>0.27472527472527475</v>
      </c>
    </row>
    <row r="75" spans="1:68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108.33333333333333</v>
      </c>
      <c r="Y75" s="549">
        <f>IFERROR(Y71/H71,"0")+IFERROR(Y72/H72,"0")+IFERROR(Y73/H73,"0")+IFERROR(Y74/H74,"0")</f>
        <v>109</v>
      </c>
      <c r="Z75" s="549">
        <f>IFERROR(IF(Z71="",0,Z71),"0")+IFERROR(IF(Z72="",0,Z72),"0")+IFERROR(IF(Z73="",0,Z73),"0")+IFERROR(IF(Z74="",0,Z74),"0")</f>
        <v>0.70958999999999994</v>
      </c>
      <c r="AA75" s="550"/>
      <c r="AB75" s="550"/>
      <c r="AC75" s="550"/>
    </row>
    <row r="76" spans="1:68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195</v>
      </c>
      <c r="Y76" s="549">
        <f>IFERROR(SUM(Y71:Y74),"0")</f>
        <v>196.2</v>
      </c>
      <c r="Z76" s="37"/>
      <c r="AA76" s="550"/>
      <c r="AB76" s="550"/>
      <c r="AC76" s="550"/>
    </row>
    <row r="77" spans="1:68" ht="14.25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120</v>
      </c>
      <c r="Y79" s="548">
        <f>IFERROR(IF(X79="",0,CEILING((X79/$H79),1)*$H79),"")</f>
        <v>120</v>
      </c>
      <c r="Z79" s="36">
        <f>IFERROR(IF(Y79=0,"",ROUNDUP(Y79/H79,0)*0.00902),"")</f>
        <v>0.45100000000000001</v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129.5</v>
      </c>
      <c r="BN79" s="64">
        <f>IFERROR(Y79*I79/H79,"0")</f>
        <v>129.5</v>
      </c>
      <c r="BO79" s="64">
        <f>IFERROR(1/J79*(X79/H79),"0")</f>
        <v>0.37878787878787878</v>
      </c>
      <c r="BP79" s="64">
        <f>IFERROR(1/J79*(Y79/H79),"0")</f>
        <v>0.37878787878787878</v>
      </c>
    </row>
    <row r="80" spans="1:68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50</v>
      </c>
      <c r="Y80" s="549">
        <f>IFERROR(Y78/H78,"0")+IFERROR(Y79/H79,"0")</f>
        <v>50</v>
      </c>
      <c r="Z80" s="549">
        <f>IFERROR(IF(Z78="",0,Z78),"0")+IFERROR(IF(Z79="",0,Z79),"0")</f>
        <v>0.45100000000000001</v>
      </c>
      <c r="AA80" s="550"/>
      <c r="AB80" s="550"/>
      <c r="AC80" s="550"/>
    </row>
    <row r="81" spans="1:68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120</v>
      </c>
      <c r="Y81" s="549">
        <f>IFERROR(SUM(Y78:Y79),"0")</f>
        <v>120</v>
      </c>
      <c r="Z81" s="37"/>
      <c r="AA81" s="550"/>
      <c r="AB81" s="550"/>
      <c r="AC81" s="550"/>
    </row>
    <row r="82" spans="1:68" ht="16.5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0</v>
      </c>
      <c r="Y84" s="548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0</v>
      </c>
      <c r="Y88" s="549">
        <f>IFERROR(Y84/H84,"0")+IFERROR(Y85/H85,"0")+IFERROR(Y86/H86,"0")+IFERROR(Y87/H87,"0")</f>
        <v>0</v>
      </c>
      <c r="Z88" s="549">
        <f>IFERROR(IF(Z84="",0,Z84),"0")+IFERROR(IF(Z85="",0,Z85),"0")+IFERROR(IF(Z86="",0,Z86),"0")+IFERROR(IF(Z87="",0,Z87),"0")</f>
        <v>0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0</v>
      </c>
      <c r="Y89" s="549">
        <f>IFERROR(SUM(Y84:Y87),"0")</f>
        <v>0</v>
      </c>
      <c r="Z89" s="37"/>
      <c r="AA89" s="550"/>
      <c r="AB89" s="550"/>
      <c r="AC89" s="550"/>
    </row>
    <row r="90" spans="1:68" ht="14.25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0</v>
      </c>
      <c r="Y91" s="548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0</v>
      </c>
      <c r="Y95" s="549">
        <f>IFERROR(Y91/H91,"0")+IFERROR(Y92/H92,"0")+IFERROR(Y93/H93,"0")+IFERROR(Y94/H94,"0")</f>
        <v>0</v>
      </c>
      <c r="Z95" s="549">
        <f>IFERROR(IF(Z91="",0,Z91),"0")+IFERROR(IF(Z92="",0,Z92),"0")+IFERROR(IF(Z93="",0,Z93),"0")+IFERROR(IF(Z94="",0,Z94),"0")</f>
        <v>0</v>
      </c>
      <c r="AA95" s="550"/>
      <c r="AB95" s="550"/>
      <c r="AC95" s="550"/>
    </row>
    <row r="96" spans="1:68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0</v>
      </c>
      <c r="Y96" s="549">
        <f>IFERROR(SUM(Y91:Y94),"0")</f>
        <v>0</v>
      </c>
      <c r="Z96" s="37"/>
      <c r="AA96" s="550"/>
      <c r="AB96" s="550"/>
      <c r="AC96" s="550"/>
    </row>
    <row r="97" spans="1:68" ht="16.5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0</v>
      </c>
      <c r="Y99" s="548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0</v>
      </c>
      <c r="Y104" s="549">
        <f>IFERROR(Y99/H99,"0")+IFERROR(Y100/H100,"0")+IFERROR(Y101/H101,"0")+IFERROR(Y102/H102,"0")+IFERROR(Y103/H103,"0")</f>
        <v>0</v>
      </c>
      <c r="Z104" s="549">
        <f>IFERROR(IF(Z99="",0,Z99),"0")+IFERROR(IF(Z100="",0,Z100),"0")+IFERROR(IF(Z101="",0,Z101),"0")+IFERROR(IF(Z102="",0,Z102),"0")+IFERROR(IF(Z103="",0,Z103),"0")</f>
        <v>0</v>
      </c>
      <c r="AA104" s="550"/>
      <c r="AB104" s="550"/>
      <c r="AC104" s="550"/>
    </row>
    <row r="105" spans="1:68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0</v>
      </c>
      <c r="Y105" s="549">
        <f>IFERROR(SUM(Y99:Y103),"0")</f>
        <v>0</v>
      </c>
      <c r="Z105" s="37"/>
      <c r="AA105" s="550"/>
      <c r="AB105" s="550"/>
      <c r="AC105" s="550"/>
    </row>
    <row r="106" spans="1:68" ht="14.25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0</v>
      </c>
      <c r="Y114" s="548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105</v>
      </c>
      <c r="Y117" s="548">
        <f>IFERROR(IF(X117="",0,CEILING((X117/$H117),1)*$H117),"")</f>
        <v>106.2</v>
      </c>
      <c r="Z117" s="36">
        <f>IFERROR(IF(Y117=0,"",ROUNDUP(Y117/H117,0)*0.00651),"")</f>
        <v>0.38408999999999999</v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115.5</v>
      </c>
      <c r="BN117" s="64">
        <f>IFERROR(Y117*I117/H117,"0")</f>
        <v>116.82000000000001</v>
      </c>
      <c r="BO117" s="64">
        <f>IFERROR(1/J117*(X117/H117),"0")</f>
        <v>0.32051282051282048</v>
      </c>
      <c r="BP117" s="64">
        <f>IFERROR(1/J117*(Y117/H117),"0")</f>
        <v>0.32417582417582419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58.333333333333329</v>
      </c>
      <c r="Y118" s="549">
        <f>IFERROR(Y114/H114,"0")+IFERROR(Y115/H115,"0")+IFERROR(Y116/H116,"0")+IFERROR(Y117/H117,"0")</f>
        <v>59</v>
      </c>
      <c r="Z118" s="549">
        <f>IFERROR(IF(Z114="",0,Z114),"0")+IFERROR(IF(Z115="",0,Z115),"0")+IFERROR(IF(Z116="",0,Z116),"0")+IFERROR(IF(Z117="",0,Z117),"0")</f>
        <v>0.38408999999999999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105</v>
      </c>
      <c r="Y119" s="549">
        <f>IFERROR(SUM(Y114:Y117),"0")</f>
        <v>106.2</v>
      </c>
      <c r="Z119" s="37"/>
      <c r="AA119" s="550"/>
      <c r="AB119" s="550"/>
      <c r="AC119" s="550"/>
    </row>
    <row r="120" spans="1:68" ht="14.25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125.4</v>
      </c>
      <c r="Y121" s="548">
        <f>IFERROR(IF(X121="",0,CEILING((X121/$H121),1)*$H121),"")</f>
        <v>126.72</v>
      </c>
      <c r="Z121" s="36">
        <f>IFERROR(IF(Y121=0,"",ROUNDUP(Y121/H121,0)*0.00651),"")</f>
        <v>0.41664000000000001</v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141.74</v>
      </c>
      <c r="BN121" s="64">
        <f>IFERROR(Y121*I121/H121,"0")</f>
        <v>143.232</v>
      </c>
      <c r="BO121" s="64">
        <f>IFERROR(1/J121*(X121/H121),"0")</f>
        <v>0.34798534798534803</v>
      </c>
      <c r="BP121" s="64">
        <f>IFERROR(1/J121*(Y121/H121),"0")</f>
        <v>0.35164835164835168</v>
      </c>
    </row>
    <row r="122" spans="1:68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63.333333333333336</v>
      </c>
      <c r="Y122" s="549">
        <f>IFERROR(Y121/H121,"0")</f>
        <v>64</v>
      </c>
      <c r="Z122" s="549">
        <f>IFERROR(IF(Z121="",0,Z121),"0")</f>
        <v>0.41664000000000001</v>
      </c>
      <c r="AA122" s="550"/>
      <c r="AB122" s="550"/>
      <c r="AC122" s="550"/>
    </row>
    <row r="123" spans="1:68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125.4</v>
      </c>
      <c r="Y123" s="549">
        <f>IFERROR(SUM(Y121:Y121),"0")</f>
        <v>126.72</v>
      </c>
      <c r="Z123" s="37"/>
      <c r="AA123" s="550"/>
      <c r="AB123" s="550"/>
      <c r="AC123" s="550"/>
    </row>
    <row r="124" spans="1:68" ht="16.5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0</v>
      </c>
      <c r="Y147" s="548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0</v>
      </c>
      <c r="Y152" s="549">
        <f>IFERROR(Y147/H147,"0")+IFERROR(Y148/H148,"0")+IFERROR(Y149/H149,"0")+IFERROR(Y150/H150,"0")+IFERROR(Y151/H151,"0")</f>
        <v>0</v>
      </c>
      <c r="Z152" s="549">
        <f>IFERROR(IF(Z147="",0,Z147),"0")+IFERROR(IF(Z148="",0,Z148),"0")+IFERROR(IF(Z149="",0,Z149),"0")+IFERROR(IF(Z150="",0,Z150),"0")+IFERROR(IF(Z151="",0,Z151),"0")</f>
        <v>0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0</v>
      </c>
      <c r="Y153" s="549">
        <f>IFERROR(SUM(Y147:Y151),"0")</f>
        <v>0</v>
      </c>
      <c r="Z153" s="37"/>
      <c r="AA153" s="550"/>
      <c r="AB153" s="550"/>
      <c r="AC153" s="550"/>
    </row>
    <row r="154" spans="1:68" ht="14.25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0"/>
      <c r="AB179" s="550"/>
      <c r="AC179" s="550"/>
    </row>
    <row r="180" spans="1:68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0</v>
      </c>
      <c r="Y180" s="549">
        <f>IFERROR(SUM(Y165:Y178),"0")</f>
        <v>0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2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4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160</v>
      </c>
      <c r="Y219" s="548">
        <f t="shared" si="15"/>
        <v>160.79999999999998</v>
      </c>
      <c r="Z219" s="36">
        <f t="shared" si="20"/>
        <v>0.43617</v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176.80000000000004</v>
      </c>
      <c r="BN219" s="64">
        <f t="shared" si="17"/>
        <v>177.684</v>
      </c>
      <c r="BO219" s="64">
        <f t="shared" si="18"/>
        <v>0.36630036630036633</v>
      </c>
      <c r="BP219" s="64">
        <f t="shared" si="19"/>
        <v>0.36813186813186816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140</v>
      </c>
      <c r="Y220" s="548">
        <f t="shared" si="15"/>
        <v>141.6</v>
      </c>
      <c r="Z220" s="36">
        <f t="shared" si="20"/>
        <v>0.38408999999999999</v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154.70000000000002</v>
      </c>
      <c r="BN220" s="64">
        <f t="shared" si="17"/>
        <v>156.46800000000002</v>
      </c>
      <c r="BO220" s="64">
        <f t="shared" si="18"/>
        <v>0.32051282051282054</v>
      </c>
      <c r="BP220" s="64">
        <f t="shared" si="19"/>
        <v>0.32417582417582419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125</v>
      </c>
      <c r="Y223" s="549">
        <f>IFERROR(Y214/H214,"0")+IFERROR(Y215/H215,"0")+IFERROR(Y216/H216,"0")+IFERROR(Y217/H217,"0")+IFERROR(Y218/H218,"0")+IFERROR(Y219/H219,"0")+IFERROR(Y220/H220,"0")+IFERROR(Y221/H221,"0")+IFERROR(Y222/H222,"0")</f>
        <v>126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0.82025999999999999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300</v>
      </c>
      <c r="Y224" s="549">
        <f>IFERROR(SUM(Y214:Y222),"0")</f>
        <v>302.39999999999998</v>
      </c>
      <c r="Z224" s="37"/>
      <c r="AA224" s="550"/>
      <c r="AB224" s="550"/>
      <c r="AC224" s="550"/>
    </row>
    <row r="225" spans="1:68" ht="14.25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120</v>
      </c>
      <c r="Y235" s="548">
        <f t="shared" si="21"/>
        <v>120</v>
      </c>
      <c r="Z235" s="36">
        <f>IFERROR(IF(Y235=0,"",ROUNDUP(Y235/H235,0)*0.00902),"")</f>
        <v>0.27060000000000001</v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125.70000000000002</v>
      </c>
      <c r="BN235" s="64">
        <f t="shared" si="23"/>
        <v>125.70000000000002</v>
      </c>
      <c r="BO235" s="64">
        <f t="shared" si="24"/>
        <v>0.22727272727272729</v>
      </c>
      <c r="BP235" s="64">
        <f t="shared" si="25"/>
        <v>0.22727272727272729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120</v>
      </c>
      <c r="Y239" s="548">
        <f t="shared" si="21"/>
        <v>120</v>
      </c>
      <c r="Z239" s="36">
        <f>IFERROR(IF(Y239=0,"",ROUNDUP(Y239/H239,0)*0.00902),"")</f>
        <v>0.27060000000000001</v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125.70000000000002</v>
      </c>
      <c r="BN239" s="64">
        <f t="shared" si="23"/>
        <v>125.70000000000002</v>
      </c>
      <c r="BO239" s="64">
        <f t="shared" si="24"/>
        <v>0.22727272727272729</v>
      </c>
      <c r="BP239" s="64">
        <f t="shared" si="25"/>
        <v>0.22727272727272729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60</v>
      </c>
      <c r="Y241" s="549">
        <f>IFERROR(Y232/H232,"0")+IFERROR(Y233/H233,"0")+IFERROR(Y234/H234,"0")+IFERROR(Y235/H235,"0")+IFERROR(Y236/H236,"0")+IFERROR(Y237/H237,"0")+IFERROR(Y238/H238,"0")+IFERROR(Y239/H239,"0")+IFERROR(Y240/H240,"0")</f>
        <v>60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0.54120000000000001</v>
      </c>
      <c r="AA241" s="550"/>
      <c r="AB241" s="550"/>
      <c r="AC241" s="550"/>
    </row>
    <row r="242" spans="1:68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240</v>
      </c>
      <c r="Y242" s="549">
        <f>IFERROR(SUM(Y232:Y240),"0")</f>
        <v>240</v>
      </c>
      <c r="Z242" s="37"/>
      <c r="AA242" s="550"/>
      <c r="AB242" s="550"/>
      <c r="AC242" s="550"/>
    </row>
    <row r="243" spans="1:68" ht="14.25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120</v>
      </c>
      <c r="Y265" s="548">
        <f>IFERROR(IF(X265="",0,CEILING((X265/$H265),1)*$H265),"")</f>
        <v>120</v>
      </c>
      <c r="Z265" s="36">
        <f>IFERROR(IF(Y265=0,"",ROUNDUP(Y265/H265,0)*0.00902),"")</f>
        <v>0.27060000000000001</v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125.70000000000002</v>
      </c>
      <c r="BN265" s="64">
        <f>IFERROR(Y265*I265/H265,"0")</f>
        <v>125.70000000000002</v>
      </c>
      <c r="BO265" s="64">
        <f>IFERROR(1/J265*(X265/H265),"0")</f>
        <v>0.22727272727272729</v>
      </c>
      <c r="BP265" s="64">
        <f>IFERROR(1/J265*(Y265/H265),"0")</f>
        <v>0.22727272727272729</v>
      </c>
    </row>
    <row r="266" spans="1:68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30</v>
      </c>
      <c r="Y266" s="549">
        <f>IFERROR(Y261/H261,"0")+IFERROR(Y262/H262,"0")+IFERROR(Y263/H263,"0")+IFERROR(Y264/H264,"0")+IFERROR(Y265/H265,"0")</f>
        <v>30</v>
      </c>
      <c r="Z266" s="549">
        <f>IFERROR(IF(Z261="",0,Z261),"0")+IFERROR(IF(Z262="",0,Z262),"0")+IFERROR(IF(Z263="",0,Z263),"0")+IFERROR(IF(Z264="",0,Z264),"0")+IFERROR(IF(Z265="",0,Z265),"0")</f>
        <v>0.27060000000000001</v>
      </c>
      <c r="AA266" s="550"/>
      <c r="AB266" s="550"/>
      <c r="AC266" s="550"/>
    </row>
    <row r="267" spans="1:68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120</v>
      </c>
      <c r="Y267" s="549">
        <f>IFERROR(SUM(Y261:Y265),"0")</f>
        <v>120</v>
      </c>
      <c r="Z267" s="37"/>
      <c r="AA267" s="550"/>
      <c r="AB267" s="550"/>
      <c r="AC267" s="550"/>
    </row>
    <row r="268" spans="1:68" ht="16.5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120</v>
      </c>
      <c r="Y279" s="548">
        <f>IFERROR(IF(X279="",0,CEILING((X279/$H279),1)*$H279),"")</f>
        <v>120</v>
      </c>
      <c r="Z279" s="36">
        <f>IFERROR(IF(Y279=0,"",ROUNDUP(Y279/H279,0)*0.00651),"")</f>
        <v>0.32550000000000001</v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132.60000000000002</v>
      </c>
      <c r="BN279" s="64">
        <f>IFERROR(Y279*I279/H279,"0")</f>
        <v>132.60000000000002</v>
      </c>
      <c r="BO279" s="64">
        <f>IFERROR(1/J279*(X279/H279),"0")</f>
        <v>0.27472527472527475</v>
      </c>
      <c r="BP279" s="64">
        <f>IFERROR(1/J279*(Y279/H279),"0")</f>
        <v>0.27472527472527475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140</v>
      </c>
      <c r="Y280" s="548">
        <f>IFERROR(IF(X280="",0,CEILING((X280/$H280),1)*$H280),"")</f>
        <v>141.6</v>
      </c>
      <c r="Z280" s="36">
        <f>IFERROR(IF(Y280=0,"",ROUNDUP(Y280/H280,0)*0.00651),"")</f>
        <v>0.38408999999999999</v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150.5</v>
      </c>
      <c r="BN280" s="64">
        <f>IFERROR(Y280*I280/H280,"0")</f>
        <v>152.22</v>
      </c>
      <c r="BO280" s="64">
        <f>IFERROR(1/J280*(X280/H280),"0")</f>
        <v>0.32051282051282054</v>
      </c>
      <c r="BP280" s="64">
        <f>IFERROR(1/J280*(Y280/H280),"0")</f>
        <v>0.32417582417582419</v>
      </c>
    </row>
    <row r="281" spans="1:68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108.33333333333334</v>
      </c>
      <c r="Y281" s="549">
        <f>IFERROR(Y278/H278,"0")+IFERROR(Y279/H279,"0")+IFERROR(Y280/H280,"0")</f>
        <v>109</v>
      </c>
      <c r="Z281" s="549">
        <f>IFERROR(IF(Z278="",0,Z278),"0")+IFERROR(IF(Z279="",0,Z279),"0")+IFERROR(IF(Z280="",0,Z280),"0")</f>
        <v>0.70958999999999994</v>
      </c>
      <c r="AA281" s="550"/>
      <c r="AB281" s="550"/>
      <c r="AC281" s="550"/>
    </row>
    <row r="282" spans="1:68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260</v>
      </c>
      <c r="Y282" s="549">
        <f>IFERROR(SUM(Y278:Y280),"0")</f>
        <v>261.60000000000002</v>
      </c>
      <c r="Z282" s="37"/>
      <c r="AA282" s="550"/>
      <c r="AB282" s="550"/>
      <c r="AC282" s="550"/>
    </row>
    <row r="283" spans="1:68" ht="16.5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210</v>
      </c>
      <c r="Y290" s="548">
        <f>IFERROR(IF(X290="",0,CEILING((X290/$H290),1)*$H290),"")</f>
        <v>212.4</v>
      </c>
      <c r="Z290" s="36">
        <f>IFERROR(IF(Y290=0,"",ROUNDUP(Y290/H290,0)*0.00902),"")</f>
        <v>0.53217999999999999</v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221.08333333333331</v>
      </c>
      <c r="BN290" s="64">
        <f>IFERROR(Y290*I290/H290,"0")</f>
        <v>223.60999999999999</v>
      </c>
      <c r="BO290" s="64">
        <f>IFERROR(1/J290*(X290/H290),"0")</f>
        <v>0.44191919191919188</v>
      </c>
      <c r="BP290" s="64">
        <f>IFERROR(1/J290*(Y290/H290),"0")</f>
        <v>0.44696969696969696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58.333333333333329</v>
      </c>
      <c r="Y292" s="549">
        <f>IFERROR(Y290/H290,"0")+IFERROR(Y291/H291,"0")</f>
        <v>59</v>
      </c>
      <c r="Z292" s="549">
        <f>IFERROR(IF(Z290="",0,Z290),"0")+IFERROR(IF(Z291="",0,Z291),"0")</f>
        <v>0.53217999999999999</v>
      </c>
      <c r="AA292" s="550"/>
      <c r="AB292" s="550"/>
      <c r="AC292" s="550"/>
    </row>
    <row r="293" spans="1:68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210</v>
      </c>
      <c r="Y293" s="549">
        <f>IFERROR(SUM(Y290:Y291),"0")</f>
        <v>212.4</v>
      </c>
      <c r="Z293" s="37"/>
      <c r="AA293" s="550"/>
      <c r="AB293" s="550"/>
      <c r="AC293" s="550"/>
    </row>
    <row r="294" spans="1:68" ht="16.5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2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120</v>
      </c>
      <c r="Y301" s="548">
        <f t="shared" si="26"/>
        <v>120</v>
      </c>
      <c r="Z301" s="36">
        <f>IFERROR(IF(Y301=0,"",ROUNDUP(Y301/H301,0)*0.00902),"")</f>
        <v>0.27060000000000001</v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125.70000000000002</v>
      </c>
      <c r="BN301" s="64">
        <f t="shared" si="28"/>
        <v>125.70000000000002</v>
      </c>
      <c r="BO301" s="64">
        <f t="shared" si="29"/>
        <v>0.22727272727272729</v>
      </c>
      <c r="BP301" s="64">
        <f t="shared" si="30"/>
        <v>0.22727272727272729</v>
      </c>
    </row>
    <row r="302" spans="1:68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30</v>
      </c>
      <c r="Y302" s="549">
        <f>IFERROR(Y296/H296,"0")+IFERROR(Y297/H297,"0")+IFERROR(Y298/H298,"0")+IFERROR(Y299/H299,"0")+IFERROR(Y300/H300,"0")+IFERROR(Y301/H301,"0")</f>
        <v>30</v>
      </c>
      <c r="Z302" s="549">
        <f>IFERROR(IF(Z296="",0,Z296),"0")+IFERROR(IF(Z297="",0,Z297),"0")+IFERROR(IF(Z298="",0,Z298),"0")+IFERROR(IF(Z299="",0,Z299),"0")+IFERROR(IF(Z300="",0,Z300),"0")+IFERROR(IF(Z301="",0,Z301),"0")</f>
        <v>0.27060000000000001</v>
      </c>
      <c r="AA302" s="550"/>
      <c r="AB302" s="550"/>
      <c r="AC302" s="550"/>
    </row>
    <row r="303" spans="1:68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120</v>
      </c>
      <c r="Y303" s="549">
        <f>IFERROR(SUM(Y296:Y301),"0")</f>
        <v>120</v>
      </c>
      <c r="Z303" s="37"/>
      <c r="AA303" s="550"/>
      <c r="AB303" s="550"/>
      <c r="AC303" s="550"/>
    </row>
    <row r="304" spans="1:68" ht="14.25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105</v>
      </c>
      <c r="Y309" s="548">
        <f t="shared" si="31"/>
        <v>105</v>
      </c>
      <c r="Z309" s="36">
        <f>IFERROR(IF(Y309=0,"",ROUNDUP(Y309/H309,0)*0.00502),"")</f>
        <v>0.251</v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110.00000000000001</v>
      </c>
      <c r="BN309" s="64">
        <f t="shared" si="33"/>
        <v>110.00000000000001</v>
      </c>
      <c r="BO309" s="64">
        <f t="shared" si="34"/>
        <v>0.21367521367521369</v>
      </c>
      <c r="BP309" s="64">
        <f t="shared" si="35"/>
        <v>0.21367521367521369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90</v>
      </c>
      <c r="Y310" s="548">
        <f t="shared" si="31"/>
        <v>90</v>
      </c>
      <c r="Z310" s="36">
        <f>IFERROR(IF(Y310=0,"",ROUNDUP(Y310/H310,0)*0.00651),"")</f>
        <v>0.32550000000000001</v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101.4</v>
      </c>
      <c r="BN310" s="64">
        <f t="shared" si="33"/>
        <v>101.4</v>
      </c>
      <c r="BO310" s="64">
        <f t="shared" si="34"/>
        <v>0.27472527472527475</v>
      </c>
      <c r="BP310" s="64">
        <f t="shared" si="35"/>
        <v>0.27472527472527475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100</v>
      </c>
      <c r="Y311" s="549">
        <f>IFERROR(Y305/H305,"0")+IFERROR(Y306/H306,"0")+IFERROR(Y307/H307,"0")+IFERROR(Y308/H308,"0")+IFERROR(Y309/H309,"0")+IFERROR(Y310/H310,"0")</f>
        <v>100</v>
      </c>
      <c r="Z311" s="549">
        <f>IFERROR(IF(Z305="",0,Z305),"0")+IFERROR(IF(Z306="",0,Z306),"0")+IFERROR(IF(Z307="",0,Z307),"0")+IFERROR(IF(Z308="",0,Z308),"0")+IFERROR(IF(Z309="",0,Z309),"0")+IFERROR(IF(Z310="",0,Z310),"0")</f>
        <v>0.57650000000000001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195</v>
      </c>
      <c r="Y312" s="549">
        <f>IFERROR(SUM(Y305:Y310),"0")</f>
        <v>195</v>
      </c>
      <c r="Z312" s="37"/>
      <c r="AA312" s="550"/>
      <c r="AB312" s="550"/>
      <c r="AC312" s="550"/>
    </row>
    <row r="313" spans="1:68" ht="14.25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0</v>
      </c>
      <c r="Y318" s="549">
        <f>IFERROR(Y314/H314,"0")+IFERROR(Y315/H315,"0")+IFERROR(Y316/H316,"0")+IFERROR(Y317/H317,"0")</f>
        <v>0</v>
      </c>
      <c r="Z318" s="549">
        <f>IFERROR(IF(Z314="",0,Z314),"0")+IFERROR(IF(Z315="",0,Z315),"0")+IFERROR(IF(Z316="",0,Z316),"0")+IFERROR(IF(Z317="",0,Z317),"0")</f>
        <v>0</v>
      </c>
      <c r="AA318" s="550"/>
      <c r="AB318" s="550"/>
      <c r="AC318" s="550"/>
    </row>
    <row r="319" spans="1:68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0</v>
      </c>
      <c r="Y319" s="549">
        <f>IFERROR(SUM(Y314:Y317),"0")</f>
        <v>0</v>
      </c>
      <c r="Z319" s="37"/>
      <c r="AA319" s="550"/>
      <c r="AB319" s="550"/>
      <c r="AC319" s="550"/>
    </row>
    <row r="320" spans="1:68" ht="14.25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0</v>
      </c>
      <c r="Y323" s="548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0</v>
      </c>
      <c r="Y324" s="549">
        <f>IFERROR(Y321/H321,"0")+IFERROR(Y322/H322,"0")+IFERROR(Y323/H323,"0")</f>
        <v>0</v>
      </c>
      <c r="Z324" s="549">
        <f>IFERROR(IF(Z321="",0,Z321),"0")+IFERROR(IF(Z322="",0,Z322),"0")+IFERROR(IF(Z323="",0,Z323),"0")</f>
        <v>0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0</v>
      </c>
      <c r="Y325" s="549">
        <f>IFERROR(SUM(Y321:Y323),"0")</f>
        <v>0</v>
      </c>
      <c r="Z325" s="37"/>
      <c r="AA325" s="550"/>
      <c r="AB325" s="550"/>
      <c r="AC325" s="550"/>
    </row>
    <row r="326" spans="1:68" ht="14.25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38</v>
      </c>
      <c r="Y336" s="548">
        <f>IFERROR(IF(X336="",0,CEILING((X336/$H336),1)*$H336),"")</f>
        <v>38</v>
      </c>
      <c r="Z336" s="36">
        <f>IFERROR(IF(Y336=0,"",ROUNDUP(Y336/H336,0)*0.00474),"")</f>
        <v>9.0060000000000001E-2</v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42.56</v>
      </c>
      <c r="BN336" s="64">
        <f>IFERROR(Y336*I336/H336,"0")</f>
        <v>42.56</v>
      </c>
      <c r="BO336" s="64">
        <f>IFERROR(1/J336*(X336/H336),"0")</f>
        <v>7.9831932773109238E-2</v>
      </c>
      <c r="BP336" s="64">
        <f>IFERROR(1/J336*(Y336/H336),"0")</f>
        <v>7.9831932773109238E-2</v>
      </c>
    </row>
    <row r="337" spans="1:68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19</v>
      </c>
      <c r="Y337" s="549">
        <f>IFERROR(Y334/H334,"0")+IFERROR(Y335/H335,"0")+IFERROR(Y336/H336,"0")</f>
        <v>19</v>
      </c>
      <c r="Z337" s="549">
        <f>IFERROR(IF(Z334="",0,Z334),"0")+IFERROR(IF(Z335="",0,Z335),"0")+IFERROR(IF(Z336="",0,Z336),"0")</f>
        <v>9.0060000000000001E-2</v>
      </c>
      <c r="AA337" s="550"/>
      <c r="AB337" s="550"/>
      <c r="AC337" s="550"/>
    </row>
    <row r="338" spans="1:68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38</v>
      </c>
      <c r="Y338" s="549">
        <f>IFERROR(SUM(Y334:Y336),"0")</f>
        <v>38</v>
      </c>
      <c r="Z338" s="37"/>
      <c r="AA338" s="550"/>
      <c r="AB338" s="550"/>
      <c r="AC338" s="550"/>
    </row>
    <row r="339" spans="1:68" ht="16.5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105</v>
      </c>
      <c r="Y342" s="548">
        <f>IFERROR(IF(X342="",0,CEILING((X342/$H342),1)*$H342),"")</f>
        <v>105</v>
      </c>
      <c r="Z342" s="36">
        <f>IFERROR(IF(Y342=0,"",ROUNDUP(Y342/H342,0)*0.00651),"")</f>
        <v>0.32550000000000001</v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117.59999999999998</v>
      </c>
      <c r="BN342" s="64">
        <f>IFERROR(Y342*I342/H342,"0")</f>
        <v>117.59999999999998</v>
      </c>
      <c r="BO342" s="64">
        <f>IFERROR(1/J342*(X342/H342),"0")</f>
        <v>0.27472527472527475</v>
      </c>
      <c r="BP342" s="64">
        <f>IFERROR(1/J342*(Y342/H342),"0")</f>
        <v>0.27472527472527475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122.5</v>
      </c>
      <c r="Y343" s="548">
        <f>IFERROR(IF(X343="",0,CEILING((X343/$H343),1)*$H343),"")</f>
        <v>123.9</v>
      </c>
      <c r="Z343" s="36">
        <f>IFERROR(IF(Y343=0,"",ROUNDUP(Y343/H343,0)*0.00651),"")</f>
        <v>0.38408999999999999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136.49999999999997</v>
      </c>
      <c r="BN343" s="64">
        <f>IFERROR(Y343*I343/H343,"0")</f>
        <v>138.06</v>
      </c>
      <c r="BO343" s="64">
        <f>IFERROR(1/J343*(X343/H343),"0")</f>
        <v>0.32051282051282048</v>
      </c>
      <c r="BP343" s="64">
        <f>IFERROR(1/J343*(Y343/H343),"0")</f>
        <v>0.32417582417582419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108.33333333333333</v>
      </c>
      <c r="Y344" s="549">
        <f>IFERROR(Y341/H341,"0")+IFERROR(Y342/H342,"0")+IFERROR(Y343/H343,"0")</f>
        <v>109</v>
      </c>
      <c r="Z344" s="549">
        <f>IFERROR(IF(Z341="",0,Z341),"0")+IFERROR(IF(Z342="",0,Z342),"0")+IFERROR(IF(Z343="",0,Z343),"0")</f>
        <v>0.70958999999999994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227.5</v>
      </c>
      <c r="Y345" s="549">
        <f>IFERROR(SUM(Y341:Y343),"0")</f>
        <v>228.9</v>
      </c>
      <c r="Z345" s="37"/>
      <c r="AA345" s="550"/>
      <c r="AB345" s="550"/>
      <c r="AC345" s="550"/>
    </row>
    <row r="346" spans="1:68" ht="27.75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175</v>
      </c>
      <c r="Y355" s="548">
        <f t="shared" si="36"/>
        <v>175</v>
      </c>
      <c r="Z355" s="36">
        <f>IFERROR(IF(Y355=0,"",ROUNDUP(Y355/H355,0)*0.00902),"")</f>
        <v>0.31569999999999998</v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181.65000000000003</v>
      </c>
      <c r="BN355" s="64">
        <f t="shared" si="38"/>
        <v>181.65000000000003</v>
      </c>
      <c r="BO355" s="64">
        <f t="shared" si="39"/>
        <v>0.26515151515151514</v>
      </c>
      <c r="BP355" s="64">
        <f t="shared" si="40"/>
        <v>0.26515151515151514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35</v>
      </c>
      <c r="Y356" s="549">
        <f>IFERROR(Y349/H349,"0")+IFERROR(Y350/H350,"0")+IFERROR(Y351/H351,"0")+IFERROR(Y352/H352,"0")+IFERROR(Y353/H353,"0")+IFERROR(Y354/H354,"0")+IFERROR(Y355/H355,"0")</f>
        <v>35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0.31569999999999998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175</v>
      </c>
      <c r="Y357" s="549">
        <f>IFERROR(SUM(Y349:Y355),"0")</f>
        <v>175</v>
      </c>
      <c r="Z357" s="37"/>
      <c r="AA357" s="550"/>
      <c r="AB357" s="550"/>
      <c r="AC357" s="550"/>
    </row>
    <row r="358" spans="1:68" ht="14.25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8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120</v>
      </c>
      <c r="Y360" s="548">
        <f>IFERROR(IF(X360="",0,CEILING((X360/$H360),1)*$H360),"")</f>
        <v>120</v>
      </c>
      <c r="Z360" s="36">
        <f>IFERROR(IF(Y360=0,"",ROUNDUP(Y360/H360,0)*0.00902),"")</f>
        <v>0.27060000000000001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125.70000000000002</v>
      </c>
      <c r="BN360" s="64">
        <f>IFERROR(Y360*I360/H360,"0")</f>
        <v>125.70000000000002</v>
      </c>
      <c r="BO360" s="64">
        <f>IFERROR(1/J360*(X360/H360),"0")</f>
        <v>0.22727272727272729</v>
      </c>
      <c r="BP360" s="64">
        <f>IFERROR(1/J360*(Y360/H360),"0")</f>
        <v>0.22727272727272729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30</v>
      </c>
      <c r="Y361" s="549">
        <f>IFERROR(Y359/H359,"0")+IFERROR(Y360/H360,"0")</f>
        <v>30</v>
      </c>
      <c r="Z361" s="549">
        <f>IFERROR(IF(Z359="",0,Z359),"0")+IFERROR(IF(Z360="",0,Z360),"0")</f>
        <v>0.27060000000000001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120</v>
      </c>
      <c r="Y362" s="549">
        <f>IFERROR(SUM(Y359:Y360),"0")</f>
        <v>120</v>
      </c>
      <c r="Z362" s="37"/>
      <c r="AA362" s="550"/>
      <c r="AB362" s="550"/>
      <c r="AC362" s="550"/>
    </row>
    <row r="363" spans="1:68" ht="14.25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7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0</v>
      </c>
      <c r="Y387" s="549">
        <f>IFERROR(Y384/H384,"0")+IFERROR(Y385/H385,"0")+IFERROR(Y386/H386,"0")</f>
        <v>0</v>
      </c>
      <c r="Z387" s="549">
        <f>IFERROR(IF(Z384="",0,Z384),"0")+IFERROR(IF(Z385="",0,Z385),"0")+IFERROR(IF(Z386="",0,Z386),"0")</f>
        <v>0</v>
      </c>
      <c r="AA387" s="550"/>
      <c r="AB387" s="550"/>
      <c r="AC387" s="550"/>
    </row>
    <row r="388" spans="1:68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0</v>
      </c>
      <c r="Y388" s="549">
        <f>IFERROR(SUM(Y384:Y386),"0")</f>
        <v>0</v>
      </c>
      <c r="Z388" s="37"/>
      <c r="AA388" s="550"/>
      <c r="AB388" s="550"/>
      <c r="AC388" s="550"/>
    </row>
    <row r="389" spans="1:68" ht="27.75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7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105</v>
      </c>
      <c r="Y396" s="548">
        <f t="shared" si="41"/>
        <v>105</v>
      </c>
      <c r="Z396" s="36">
        <f t="shared" si="46"/>
        <v>0.251</v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111.5</v>
      </c>
      <c r="BN396" s="64">
        <f t="shared" si="43"/>
        <v>111.5</v>
      </c>
      <c r="BO396" s="64">
        <f t="shared" si="44"/>
        <v>0.21367521367521369</v>
      </c>
      <c r="BP396" s="64">
        <f t="shared" si="45"/>
        <v>0.21367521367521369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105</v>
      </c>
      <c r="Y397" s="548">
        <f t="shared" si="41"/>
        <v>105</v>
      </c>
      <c r="Z397" s="36">
        <f t="shared" si="46"/>
        <v>0.251</v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111.5</v>
      </c>
      <c r="BN397" s="64">
        <f t="shared" si="43"/>
        <v>111.5</v>
      </c>
      <c r="BO397" s="64">
        <f t="shared" si="44"/>
        <v>0.21367521367521369</v>
      </c>
      <c r="BP397" s="64">
        <f t="shared" si="45"/>
        <v>0.21367521367521369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122.5</v>
      </c>
      <c r="Y399" s="548">
        <f t="shared" si="41"/>
        <v>123.9</v>
      </c>
      <c r="Z399" s="36">
        <f t="shared" si="46"/>
        <v>0.29618</v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130.08333333333334</v>
      </c>
      <c r="BN399" s="64">
        <f t="shared" si="43"/>
        <v>131.57</v>
      </c>
      <c r="BO399" s="64">
        <f t="shared" si="44"/>
        <v>0.2492877492877493</v>
      </c>
      <c r="BP399" s="64">
        <f t="shared" si="45"/>
        <v>0.25213675213675218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105</v>
      </c>
      <c r="Y400" s="548">
        <f t="shared" si="41"/>
        <v>105</v>
      </c>
      <c r="Z400" s="36">
        <f t="shared" si="46"/>
        <v>0.251</v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111.5</v>
      </c>
      <c r="BN400" s="64">
        <f t="shared" si="43"/>
        <v>111.5</v>
      </c>
      <c r="BO400" s="64">
        <f t="shared" si="44"/>
        <v>0.21367521367521369</v>
      </c>
      <c r="BP400" s="64">
        <f t="shared" si="45"/>
        <v>0.21367521367521369</v>
      </c>
    </row>
    <row r="401" spans="1:68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208.33333333333331</v>
      </c>
      <c r="Y401" s="549">
        <f>IFERROR(Y392/H392,"0")+IFERROR(Y393/H393,"0")+IFERROR(Y394/H394,"0")+IFERROR(Y395/H395,"0")+IFERROR(Y396/H396,"0")+IFERROR(Y397/H397,"0")+IFERROR(Y398/H398,"0")+IFERROR(Y399/H399,"0")+IFERROR(Y400/H400,"0")</f>
        <v>209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1.04918</v>
      </c>
      <c r="AA401" s="550"/>
      <c r="AB401" s="550"/>
      <c r="AC401" s="550"/>
    </row>
    <row r="402" spans="1:68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437.5</v>
      </c>
      <c r="Y402" s="549">
        <f>IFERROR(SUM(Y392:Y400),"0")</f>
        <v>438.9</v>
      </c>
      <c r="Z402" s="37"/>
      <c r="AA402" s="550"/>
      <c r="AB402" s="550"/>
      <c r="AC402" s="550"/>
    </row>
    <row r="403" spans="1:68" ht="14.25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180</v>
      </c>
      <c r="Y404" s="548">
        <f>IFERROR(IF(X404="",0,CEILING((X404/$H404),1)*$H404),"")</f>
        <v>180</v>
      </c>
      <c r="Z404" s="36">
        <f>IFERROR(IF(Y404=0,"",ROUNDUP(Y404/H404,0)*0.00902),"")</f>
        <v>0.67649999999999999</v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196.95000000000002</v>
      </c>
      <c r="BN404" s="64">
        <f>IFERROR(Y404*I404/H404,"0")</f>
        <v>196.95000000000002</v>
      </c>
      <c r="BO404" s="64">
        <f>IFERROR(1/J404*(X404/H404),"0")</f>
        <v>0.56818181818181823</v>
      </c>
      <c r="BP404" s="64">
        <f>IFERROR(1/J404*(Y404/H404),"0")</f>
        <v>0.56818181818181823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99</v>
      </c>
      <c r="Y405" s="548">
        <f>IFERROR(IF(X405="",0,CEILING((X405/$H405),1)*$H405),"")</f>
        <v>99</v>
      </c>
      <c r="Z405" s="36">
        <f>IFERROR(IF(Y405=0,"",ROUNDUP(Y405/H405,0)*0.00651),"")</f>
        <v>0.32550000000000001</v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111.9</v>
      </c>
      <c r="BN405" s="64">
        <f>IFERROR(Y405*I405/H405,"0")</f>
        <v>111.9</v>
      </c>
      <c r="BO405" s="64">
        <f>IFERROR(1/J405*(X405/H405),"0")</f>
        <v>0.27472527472527475</v>
      </c>
      <c r="BP405" s="64">
        <f>IFERROR(1/J405*(Y405/H405),"0")</f>
        <v>0.27472527472527475</v>
      </c>
    </row>
    <row r="406" spans="1:68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125</v>
      </c>
      <c r="Y406" s="549">
        <f>IFERROR(Y404/H404,"0")+IFERROR(Y405/H405,"0")</f>
        <v>125</v>
      </c>
      <c r="Z406" s="549">
        <f>IFERROR(IF(Z404="",0,Z404),"0")+IFERROR(IF(Z405="",0,Z405),"0")</f>
        <v>1.002</v>
      </c>
      <c r="AA406" s="550"/>
      <c r="AB406" s="550"/>
      <c r="AC406" s="550"/>
    </row>
    <row r="407" spans="1:68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279</v>
      </c>
      <c r="Y407" s="549">
        <f>IFERROR(SUM(Y404:Y405),"0")</f>
        <v>279</v>
      </c>
      <c r="Z407" s="37"/>
      <c r="AA407" s="550"/>
      <c r="AB407" s="550"/>
      <c r="AC407" s="550"/>
    </row>
    <row r="408" spans="1:68" ht="16.5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0</v>
      </c>
      <c r="Y418" s="549">
        <f>IFERROR(Y414/H414,"0")+IFERROR(Y415/H415,"0")+IFERROR(Y416/H416,"0")+IFERROR(Y417/H417,"0")</f>
        <v>0</v>
      </c>
      <c r="Z418" s="549">
        <f>IFERROR(IF(Z414="",0,Z414),"0")+IFERROR(IF(Z415="",0,Z415),"0")+IFERROR(IF(Z416="",0,Z416),"0")+IFERROR(IF(Z417="",0,Z417),"0")</f>
        <v>0</v>
      </c>
      <c r="AA418" s="550"/>
      <c r="AB418" s="550"/>
      <c r="AC418" s="550"/>
    </row>
    <row r="419" spans="1:68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0</v>
      </c>
      <c r="Y419" s="549">
        <f>IFERROR(SUM(Y414:Y417),"0")</f>
        <v>0</v>
      </c>
      <c r="Z419" s="37"/>
      <c r="AA419" s="550"/>
      <c r="AB419" s="550"/>
      <c r="AC419" s="550"/>
    </row>
    <row r="420" spans="1:68" ht="16.5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1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150</v>
      </c>
      <c r="Y439" s="548">
        <f t="shared" si="47"/>
        <v>153.6</v>
      </c>
      <c r="Z439" s="36">
        <f>IFERROR(IF(Y439=0,"",ROUNDUP(Y439/H439,0)*0.00902),"")</f>
        <v>0.28864000000000001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215.9375</v>
      </c>
      <c r="BN439" s="64">
        <f t="shared" si="50"/>
        <v>221.12</v>
      </c>
      <c r="BO439" s="64">
        <f t="shared" si="51"/>
        <v>0.23674242424242425</v>
      </c>
      <c r="BP439" s="64">
        <f t="shared" si="52"/>
        <v>0.24242424242424243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31.25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32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0.28864000000000001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150</v>
      </c>
      <c r="Y441" s="549">
        <f>IFERROR(SUM(Y428:Y439),"0")</f>
        <v>153.6</v>
      </c>
      <c r="Z441" s="37"/>
      <c r="AA441" s="550"/>
      <c r="AB441" s="550"/>
      <c r="AC441" s="550"/>
    </row>
    <row r="442" spans="1:68" ht="14.25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0</v>
      </c>
      <c r="Y446" s="549">
        <f>IFERROR(Y443/H443,"0")+IFERROR(Y444/H444,"0")+IFERROR(Y445/H445,"0")</f>
        <v>0</v>
      </c>
      <c r="Z446" s="549">
        <f>IFERROR(IF(Z443="",0,Z443),"0")+IFERROR(IF(Z444="",0,Z444),"0")+IFERROR(IF(Z445="",0,Z445),"0")</f>
        <v>0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0</v>
      </c>
      <c r="Y447" s="549">
        <f>IFERROR(SUM(Y443:Y445),"0")</f>
        <v>0</v>
      </c>
      <c r="Z447" s="37"/>
      <c r="AA447" s="550"/>
      <c r="AB447" s="550"/>
      <c r="AC447" s="550"/>
    </row>
    <row r="448" spans="1:68" ht="14.25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0</v>
      </c>
      <c r="Y455" s="549">
        <f>IFERROR(Y449/H449,"0")+IFERROR(Y450/H450,"0")+IFERROR(Y451/H451,"0")+IFERROR(Y452/H452,"0")+IFERROR(Y453/H453,"0")+IFERROR(Y454/H454,"0")</f>
        <v>0</v>
      </c>
      <c r="Z455" s="549">
        <f>IFERROR(IF(Z449="",0,Z449),"0")+IFERROR(IF(Z450="",0,Z450),"0")+IFERROR(IF(Z451="",0,Z451),"0")+IFERROR(IF(Z452="",0,Z452),"0")+IFERROR(IF(Z453="",0,Z453),"0")+IFERROR(IF(Z454="",0,Z454),"0")</f>
        <v>0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0</v>
      </c>
      <c r="Y456" s="549">
        <f>IFERROR(SUM(Y449:Y454),"0")</f>
        <v>0</v>
      </c>
      <c r="Z456" s="37"/>
      <c r="AA456" s="550"/>
      <c r="AB456" s="550"/>
      <c r="AC456" s="550"/>
    </row>
    <row r="457" spans="1:68" ht="27.75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0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0</v>
      </c>
      <c r="Y464" s="549">
        <f>IFERROR(Y460/H460,"0")+IFERROR(Y461/H461,"0")+IFERROR(Y462/H462,"0")+IFERROR(Y463/H463,"0")</f>
        <v>0</v>
      </c>
      <c r="Z464" s="549">
        <f>IFERROR(IF(Z460="",0,Z460),"0")+IFERROR(IF(Z461="",0,Z461),"0")+IFERROR(IF(Z462="",0,Z462),"0")+IFERROR(IF(Z463="",0,Z463),"0")</f>
        <v>0</v>
      </c>
      <c r="AA464" s="550"/>
      <c r="AB464" s="550"/>
      <c r="AC464" s="550"/>
    </row>
    <row r="465" spans="1:68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0</v>
      </c>
      <c r="Y465" s="549">
        <f>IFERROR(SUM(Y460:Y463),"0")</f>
        <v>0</v>
      </c>
      <c r="Z465" s="37"/>
      <c r="AA465" s="550"/>
      <c r="AB465" s="550"/>
      <c r="AC465" s="550"/>
    </row>
    <row r="466" spans="1:68" ht="14.25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6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0</v>
      </c>
      <c r="Y472" s="548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0</v>
      </c>
      <c r="Y473" s="549">
        <f>IFERROR(Y472/H472,"0")</f>
        <v>0</v>
      </c>
      <c r="Z473" s="549">
        <f>IFERROR(IF(Z472="",0,Z472),"0")</f>
        <v>0</v>
      </c>
      <c r="AA473" s="550"/>
      <c r="AB473" s="550"/>
      <c r="AC473" s="550"/>
    </row>
    <row r="474" spans="1:68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0</v>
      </c>
      <c r="Y474" s="549">
        <f>IFERROR(SUM(Y472:Y472),"0")</f>
        <v>0</v>
      </c>
      <c r="Z474" s="37"/>
      <c r="AA474" s="550"/>
      <c r="AB474" s="550"/>
      <c r="AC474" s="550"/>
    </row>
    <row r="475" spans="1:68" ht="14.25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59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15"/>
      <c r="P489" s="645" t="s">
        <v>744</v>
      </c>
      <c r="Q489" s="646"/>
      <c r="R489" s="646"/>
      <c r="S489" s="646"/>
      <c r="T489" s="646"/>
      <c r="U489" s="646"/>
      <c r="V489" s="647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3909.9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3929.42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15"/>
      <c r="P490" s="645" t="s">
        <v>745</v>
      </c>
      <c r="Q490" s="646"/>
      <c r="R490" s="646"/>
      <c r="S490" s="646"/>
      <c r="T490" s="646"/>
      <c r="U490" s="646"/>
      <c r="V490" s="647"/>
      <c r="W490" s="37" t="s">
        <v>69</v>
      </c>
      <c r="X490" s="549">
        <f>IFERROR(SUM(BM22:BM486),"0")</f>
        <v>4337.5041666666666</v>
      </c>
      <c r="Y490" s="549">
        <f>IFERROR(SUM(BN22:BN486),"0")</f>
        <v>4360.0479999999998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15"/>
      <c r="P491" s="645" t="s">
        <v>746</v>
      </c>
      <c r="Q491" s="646"/>
      <c r="R491" s="646"/>
      <c r="S491" s="646"/>
      <c r="T491" s="646"/>
      <c r="U491" s="646"/>
      <c r="V491" s="647"/>
      <c r="W491" s="37" t="s">
        <v>747</v>
      </c>
      <c r="X491" s="38">
        <f>ROUNDUP(SUM(BO22:BO486),0)</f>
        <v>10</v>
      </c>
      <c r="Y491" s="38">
        <f>ROUNDUP(SUM(BP22:BP486),0)</f>
        <v>10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5"/>
      <c r="P492" s="645" t="s">
        <v>748</v>
      </c>
      <c r="Q492" s="646"/>
      <c r="R492" s="646"/>
      <c r="S492" s="646"/>
      <c r="T492" s="646"/>
      <c r="U492" s="646"/>
      <c r="V492" s="647"/>
      <c r="W492" s="37" t="s">
        <v>69</v>
      </c>
      <c r="X492" s="549">
        <f>GrossWeightTotal+PalletQtyTotal*25</f>
        <v>4587.5041666666666</v>
      </c>
      <c r="Y492" s="549">
        <f>GrossWeightTotalR+PalletQtyTotalR*25</f>
        <v>4610.0479999999998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5"/>
      <c r="P493" s="645" t="s">
        <v>749</v>
      </c>
      <c r="Q493" s="646"/>
      <c r="R493" s="646"/>
      <c r="S493" s="646"/>
      <c r="T493" s="646"/>
      <c r="U493" s="646"/>
      <c r="V493" s="647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1550.2499999999998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1558</v>
      </c>
      <c r="Z493" s="37"/>
      <c r="AA493" s="550"/>
      <c r="AB493" s="550"/>
      <c r="AC493" s="550"/>
    </row>
    <row r="494" spans="1:68" ht="14.25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5"/>
      <c r="P494" s="645" t="s">
        <v>750</v>
      </c>
      <c r="Q494" s="646"/>
      <c r="R494" s="646"/>
      <c r="S494" s="646"/>
      <c r="T494" s="646"/>
      <c r="U494" s="646"/>
      <c r="V494" s="647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10.817400000000003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603" t="s">
        <v>99</v>
      </c>
      <c r="D496" s="669"/>
      <c r="E496" s="669"/>
      <c r="F496" s="669"/>
      <c r="G496" s="669"/>
      <c r="H496" s="639"/>
      <c r="I496" s="603" t="s">
        <v>263</v>
      </c>
      <c r="J496" s="669"/>
      <c r="K496" s="669"/>
      <c r="L496" s="669"/>
      <c r="M496" s="669"/>
      <c r="N496" s="669"/>
      <c r="O496" s="669"/>
      <c r="P496" s="669"/>
      <c r="Q496" s="669"/>
      <c r="R496" s="639"/>
      <c r="S496" s="603" t="s">
        <v>553</v>
      </c>
      <c r="T496" s="639"/>
      <c r="U496" s="603" t="s">
        <v>607</v>
      </c>
      <c r="V496" s="669"/>
      <c r="W496" s="639"/>
      <c r="X496" s="544" t="s">
        <v>658</v>
      </c>
      <c r="Y496" s="603" t="s">
        <v>710</v>
      </c>
      <c r="Z496" s="639"/>
      <c r="AB496" s="52"/>
      <c r="AC496" s="52"/>
      <c r="AF496" s="545"/>
    </row>
    <row r="497" spans="1:32" ht="14.25" customHeight="1" thickTop="1" x14ac:dyDescent="0.2">
      <c r="A497" s="845" t="s">
        <v>753</v>
      </c>
      <c r="B497" s="603" t="s">
        <v>63</v>
      </c>
      <c r="C497" s="603" t="s">
        <v>100</v>
      </c>
      <c r="D497" s="603" t="s">
        <v>117</v>
      </c>
      <c r="E497" s="603" t="s">
        <v>168</v>
      </c>
      <c r="F497" s="603" t="s">
        <v>190</v>
      </c>
      <c r="G497" s="603" t="s">
        <v>227</v>
      </c>
      <c r="H497" s="603" t="s">
        <v>99</v>
      </c>
      <c r="I497" s="603" t="s">
        <v>264</v>
      </c>
      <c r="J497" s="603" t="s">
        <v>319</v>
      </c>
      <c r="K497" s="603" t="s">
        <v>379</v>
      </c>
      <c r="L497" s="603" t="s">
        <v>420</v>
      </c>
      <c r="M497" s="603" t="s">
        <v>436</v>
      </c>
      <c r="N497" s="545"/>
      <c r="O497" s="603" t="s">
        <v>447</v>
      </c>
      <c r="P497" s="603" t="s">
        <v>456</v>
      </c>
      <c r="Q497" s="603" t="s">
        <v>469</v>
      </c>
      <c r="R497" s="603" t="s">
        <v>543</v>
      </c>
      <c r="S497" s="603" t="s">
        <v>554</v>
      </c>
      <c r="T497" s="603" t="s">
        <v>589</v>
      </c>
      <c r="U497" s="603" t="s">
        <v>608</v>
      </c>
      <c r="V497" s="603" t="s">
        <v>639</v>
      </c>
      <c r="W497" s="603" t="s">
        <v>654</v>
      </c>
      <c r="X497" s="603" t="s">
        <v>658</v>
      </c>
      <c r="Y497" s="603" t="s">
        <v>710</v>
      </c>
      <c r="Z497" s="603" t="s">
        <v>740</v>
      </c>
      <c r="AB497" s="52"/>
      <c r="AC497" s="52"/>
      <c r="AF497" s="545"/>
    </row>
    <row r="498" spans="1:32" ht="13.5" customHeight="1" thickBot="1" x14ac:dyDescent="0.25">
      <c r="A498" s="846"/>
      <c r="B498" s="604"/>
      <c r="C498" s="604"/>
      <c r="D498" s="604"/>
      <c r="E498" s="604"/>
      <c r="F498" s="604"/>
      <c r="G498" s="604"/>
      <c r="H498" s="604"/>
      <c r="I498" s="604"/>
      <c r="J498" s="604"/>
      <c r="K498" s="604"/>
      <c r="L498" s="604"/>
      <c r="M498" s="604"/>
      <c r="N498" s="545"/>
      <c r="O498" s="604"/>
      <c r="P498" s="604"/>
      <c r="Q498" s="604"/>
      <c r="R498" s="604"/>
      <c r="S498" s="604"/>
      <c r="T498" s="604"/>
      <c r="U498" s="604"/>
      <c r="V498" s="604"/>
      <c r="W498" s="604"/>
      <c r="X498" s="604"/>
      <c r="Y498" s="604"/>
      <c r="Z498" s="604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90</v>
      </c>
      <c r="C499" s="46">
        <f>IFERROR(Y40*1,"0")+IFERROR(Y41*1,"0")+IFERROR(Y42*1,"0")+IFERROR(Y46*1,"0")</f>
        <v>246.2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475.5</v>
      </c>
      <c r="E499" s="46">
        <f>IFERROR(Y84*1,"0")+IFERROR(Y85*1,"0")+IFERROR(Y86*1,"0")+IFERROR(Y87*1,"0")+IFERROR(Y91*1,"0")+IFERROR(Y92*1,"0")+IFERROR(Y93*1,"0")+IFERROR(Y94*1,"0")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232.92000000000002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0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302.39999999999998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240</v>
      </c>
      <c r="L499" s="46">
        <f>IFERROR(Y261*1,"0")+IFERROR(Y262*1,"0")+IFERROR(Y263*1,"0")+IFERROR(Y264*1,"0")+IFERROR(Y265*1,"0")</f>
        <v>120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261.60000000000002</v>
      </c>
      <c r="P499" s="46">
        <f>IFERROR(Y285*1,"0")+IFERROR(Y286*1,"0")+IFERROR(Y290*1,"0")+IFERROR(Y291*1,"0")</f>
        <v>212.4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353</v>
      </c>
      <c r="R499" s="46">
        <f>IFERROR(Y341*1,"0")+IFERROR(Y342*1,"0")+IFERROR(Y343*1,"0")</f>
        <v>228.9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295</v>
      </c>
      <c r="T499" s="46">
        <f>IFERROR(Y374*1,"0")+IFERROR(Y375*1,"0")+IFERROR(Y379*1,"0")+IFERROR(Y380*1,"0")+IFERROR(Y384*1,"0")+IFERROR(Y385*1,"0")+IFERROR(Y386*1,"0")</f>
        <v>0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717.9</v>
      </c>
      <c r="V499" s="46">
        <f>IFERROR(Y410*1,"0")+IFERROR(Y414*1,"0")+IFERROR(Y415*1,"0")+IFERROR(Y416*1,"0")+IFERROR(Y417*1,"0")</f>
        <v>0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153.6</v>
      </c>
      <c r="Y499" s="46">
        <f>IFERROR(Y460*1,"0")+IFERROR(Y461*1,"0")+IFERROR(Y462*1,"0")+IFERROR(Y463*1,"0")+IFERROR(Y467*1,"0")+IFERROR(Y468*1,"0")+IFERROR(Y472*1,"0")+IFERROR(Y476*1,"0")+IFERROR(Y480*1,"0")+IFERROR(Y481*1,"0")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P138:V138"/>
    <mergeCell ref="P151:T151"/>
    <mergeCell ref="P76:V76"/>
    <mergeCell ref="D395:E395"/>
    <mergeCell ref="P449:T449"/>
    <mergeCell ref="A426:Z426"/>
    <mergeCell ref="A10:C10"/>
    <mergeCell ref="P126:T126"/>
    <mergeCell ref="P361:V361"/>
    <mergeCell ref="A413:Z413"/>
    <mergeCell ref="D17:E18"/>
    <mergeCell ref="X17:X18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P469:V469"/>
    <mergeCell ref="A294:Z294"/>
    <mergeCell ref="D221:E221"/>
    <mergeCell ref="A370:O371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A344:O345"/>
    <mergeCell ref="D310:E310"/>
    <mergeCell ref="P364:T364"/>
    <mergeCell ref="A245:O246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P241:V241"/>
    <mergeCell ref="P62:T62"/>
    <mergeCell ref="D203:E203"/>
    <mergeCell ref="P232:T232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D87:E87"/>
    <mergeCell ref="D445:E445"/>
    <mergeCell ref="D301:E301"/>
    <mergeCell ref="A423:O424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D53:E53"/>
    <mergeCell ref="D351:E351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D486:E486"/>
    <mergeCell ref="P86:T86"/>
    <mergeCell ref="A287:O288"/>
    <mergeCell ref="P328:T328"/>
    <mergeCell ref="P384:T384"/>
    <mergeCell ref="A281:O282"/>
    <mergeCell ref="A378:Z378"/>
    <mergeCell ref="D205:E205"/>
    <mergeCell ref="D78:E78"/>
    <mergeCell ref="P172:T172"/>
    <mergeCell ref="P432:T432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A124:Z124"/>
    <mergeCell ref="D431:E431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2026-01-23T07:50:15Z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