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DCF21C9-FE18-413F-B1E3-33F9AE4CE3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Y213" i="1" s="1"/>
  <c r="P205" i="1"/>
  <c r="X203" i="1"/>
  <c r="X202" i="1"/>
  <c r="BO201" i="1"/>
  <c r="BM201" i="1"/>
  <c r="Y201" i="1"/>
  <c r="BP201" i="1" s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J505" i="1" s="1"/>
  <c r="P195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Y187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BO167" i="1"/>
  <c r="BM167" i="1"/>
  <c r="Y167" i="1"/>
  <c r="Y181" i="1" s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5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G505" i="1" s="1"/>
  <c r="P127" i="1"/>
  <c r="X124" i="1"/>
  <c r="X123" i="1"/>
  <c r="BO122" i="1"/>
  <c r="BM122" i="1"/>
  <c r="Y122" i="1"/>
  <c r="Y123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F505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5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5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33" i="1" l="1"/>
  <c r="Y76" i="1"/>
  <c r="Y106" i="1"/>
  <c r="Y112" i="1"/>
  <c r="Y135" i="1"/>
  <c r="Y139" i="1"/>
  <c r="Y146" i="1"/>
  <c r="Y154" i="1"/>
  <c r="Y182" i="1"/>
  <c r="Y188" i="1"/>
  <c r="Y192" i="1"/>
  <c r="Y203" i="1"/>
  <c r="BP208" i="1"/>
  <c r="BN208" i="1"/>
  <c r="Z208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BP257" i="1"/>
  <c r="BN257" i="1"/>
  <c r="Z257" i="1"/>
  <c r="BP266" i="1"/>
  <c r="BN266" i="1"/>
  <c r="Z266" i="1"/>
  <c r="BP275" i="1"/>
  <c r="BN275" i="1"/>
  <c r="Z275" i="1"/>
  <c r="Y277" i="1"/>
  <c r="O505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Z345" i="1" s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Y25" i="1"/>
  <c r="Y37" i="1"/>
  <c r="Y45" i="1"/>
  <c r="Y49" i="1"/>
  <c r="Y58" i="1"/>
  <c r="Y64" i="1"/>
  <c r="Y70" i="1"/>
  <c r="Y82" i="1"/>
  <c r="Y89" i="1"/>
  <c r="Y97" i="1"/>
  <c r="Y120" i="1"/>
  <c r="Y124" i="1"/>
  <c r="Y129" i="1"/>
  <c r="Y197" i="1"/>
  <c r="BP212" i="1"/>
  <c r="BN212" i="1"/>
  <c r="Z212" i="1"/>
  <c r="Y214" i="1"/>
  <c r="H9" i="1"/>
  <c r="B505" i="1"/>
  <c r="X496" i="1"/>
  <c r="X498" i="1" s="1"/>
  <c r="X497" i="1"/>
  <c r="Z23" i="1"/>
  <c r="Z24" i="1" s="1"/>
  <c r="BN23" i="1"/>
  <c r="Y496" i="1" s="1"/>
  <c r="Y24" i="1"/>
  <c r="X495" i="1"/>
  <c r="Z27" i="1"/>
  <c r="Z32" i="1" s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Z68" i="1"/>
  <c r="Z69" i="1" s="1"/>
  <c r="BN68" i="1"/>
  <c r="Z72" i="1"/>
  <c r="BN72" i="1"/>
  <c r="BP72" i="1"/>
  <c r="Z74" i="1"/>
  <c r="BN74" i="1"/>
  <c r="Z80" i="1"/>
  <c r="Z81" i="1" s="1"/>
  <c r="BN80" i="1"/>
  <c r="Z85" i="1"/>
  <c r="Z89" i="1" s="1"/>
  <c r="BN85" i="1"/>
  <c r="BP85" i="1"/>
  <c r="Z87" i="1"/>
  <c r="BN87" i="1"/>
  <c r="Y90" i="1"/>
  <c r="Z93" i="1"/>
  <c r="Z96" i="1" s="1"/>
  <c r="BN93" i="1"/>
  <c r="Z95" i="1"/>
  <c r="BN95" i="1"/>
  <c r="Z100" i="1"/>
  <c r="Z105" i="1" s="1"/>
  <c r="BN100" i="1"/>
  <c r="BP100" i="1"/>
  <c r="Z102" i="1"/>
  <c r="BN102" i="1"/>
  <c r="Z104" i="1"/>
  <c r="BN104" i="1"/>
  <c r="Y105" i="1"/>
  <c r="Z108" i="1"/>
  <c r="Z112" i="1" s="1"/>
  <c r="BN108" i="1"/>
  <c r="BP108" i="1"/>
  <c r="Z110" i="1"/>
  <c r="BN110" i="1"/>
  <c r="Z116" i="1"/>
  <c r="Z119" i="1" s="1"/>
  <c r="BN116" i="1"/>
  <c r="Z118" i="1"/>
  <c r="BN118" i="1"/>
  <c r="Z122" i="1"/>
  <c r="Z123" i="1" s="1"/>
  <c r="BN122" i="1"/>
  <c r="BP122" i="1"/>
  <c r="Z127" i="1"/>
  <c r="Z129" i="1" s="1"/>
  <c r="BN127" i="1"/>
  <c r="BP127" i="1"/>
  <c r="Y130" i="1"/>
  <c r="Z133" i="1"/>
  <c r="Z134" i="1" s="1"/>
  <c r="BN133" i="1"/>
  <c r="Z137" i="1"/>
  <c r="Z139" i="1" s="1"/>
  <c r="BN137" i="1"/>
  <c r="BP137" i="1"/>
  <c r="H505" i="1"/>
  <c r="Z144" i="1"/>
  <c r="Z145" i="1" s="1"/>
  <c r="BN144" i="1"/>
  <c r="Y145" i="1"/>
  <c r="Z148" i="1"/>
  <c r="BN148" i="1"/>
  <c r="BP148" i="1"/>
  <c r="Z150" i="1"/>
  <c r="BN150" i="1"/>
  <c r="Z152" i="1"/>
  <c r="BN152" i="1"/>
  <c r="I505" i="1"/>
  <c r="Y165" i="1"/>
  <c r="Z167" i="1"/>
  <c r="Z181" i="1" s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Z184" i="1"/>
  <c r="BN184" i="1"/>
  <c r="BP184" i="1"/>
  <c r="Z186" i="1"/>
  <c r="BN186" i="1"/>
  <c r="Z190" i="1"/>
  <c r="Z191" i="1" s="1"/>
  <c r="BN190" i="1"/>
  <c r="BP190" i="1"/>
  <c r="Z195" i="1"/>
  <c r="Z197" i="1" s="1"/>
  <c r="BN195" i="1"/>
  <c r="BP195" i="1"/>
  <c r="Y198" i="1"/>
  <c r="Z201" i="1"/>
  <c r="Z202" i="1" s="1"/>
  <c r="BN201" i="1"/>
  <c r="Z205" i="1"/>
  <c r="BN205" i="1"/>
  <c r="BP205" i="1"/>
  <c r="BP210" i="1"/>
  <c r="BN210" i="1"/>
  <c r="Z210" i="1"/>
  <c r="BP218" i="1"/>
  <c r="BN218" i="1"/>
  <c r="Z218" i="1"/>
  <c r="BP222" i="1"/>
  <c r="BN222" i="1"/>
  <c r="Z222" i="1"/>
  <c r="Y230" i="1"/>
  <c r="BP235" i="1"/>
  <c r="BN235" i="1"/>
  <c r="Z235" i="1"/>
  <c r="BP239" i="1"/>
  <c r="BN239" i="1"/>
  <c r="Z239" i="1"/>
  <c r="Z243" i="1" s="1"/>
  <c r="Y243" i="1"/>
  <c r="Z259" i="1"/>
  <c r="BP255" i="1"/>
  <c r="BN255" i="1"/>
  <c r="Z255" i="1"/>
  <c r="Y259" i="1"/>
  <c r="BP264" i="1"/>
  <c r="BN264" i="1"/>
  <c r="Z264" i="1"/>
  <c r="Z268" i="1" s="1"/>
  <c r="L505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BP336" i="1"/>
  <c r="BN336" i="1"/>
  <c r="Z336" i="1"/>
  <c r="Z338" i="1" s="1"/>
  <c r="Y345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U505" i="1"/>
  <c r="Y403" i="1"/>
  <c r="BP397" i="1"/>
  <c r="BN397" i="1"/>
  <c r="Z397" i="1"/>
  <c r="Z474" i="1"/>
  <c r="BP401" i="1"/>
  <c r="BN401" i="1"/>
  <c r="Z401" i="1"/>
  <c r="Y408" i="1"/>
  <c r="BP405" i="1"/>
  <c r="BN405" i="1"/>
  <c r="Z405" i="1"/>
  <c r="Z407" i="1" s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469" i="1"/>
  <c r="BP473" i="1"/>
  <c r="BN473" i="1"/>
  <c r="Z473" i="1"/>
  <c r="Y475" i="1"/>
  <c r="Y480" i="1"/>
  <c r="BP477" i="1"/>
  <c r="BN477" i="1"/>
  <c r="Z477" i="1"/>
  <c r="Z479" i="1" s="1"/>
  <c r="Y479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Y407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Y505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41" i="1"/>
  <c r="Z469" i="1"/>
  <c r="Z213" i="1"/>
  <c r="Z187" i="1"/>
  <c r="Z154" i="1"/>
  <c r="Z76" i="1"/>
  <c r="Z58" i="1"/>
  <c r="Z500" i="1" s="1"/>
  <c r="Z325" i="1"/>
  <c r="Z283" i="1"/>
  <c r="Z225" i="1"/>
  <c r="Z402" i="1"/>
  <c r="Y499" i="1"/>
  <c r="Y495" i="1"/>
  <c r="Z312" i="1"/>
  <c r="Z303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<sst xmlns="http://schemas.openxmlformats.org/spreadsheetml/2006/main" count="2320" uniqueCount="781">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</sst>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5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70</v>
      </c>
      <c r="Y92" s="554">
        <f>IFERROR(IF(X92="",0,CEILING((X92/$H92),1)*$H92),"")</f>
        <v>72.899999999999991</v>
      </c>
      <c r="Z92" s="36">
        <f>IFERROR(IF(Y92=0,"",ROUNDUP(Y92/H92,0)*0.01898),"")</f>
        <v>0.17082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74.269135802469137</v>
      </c>
      <c r="BN92" s="64">
        <f>IFERROR(Y92*I92/H92,"0")</f>
        <v>77.345999999999989</v>
      </c>
      <c r="BO92" s="64">
        <f>IFERROR(1/J92*(X92/H92),"0")</f>
        <v>0.13503086419753088</v>
      </c>
      <c r="BP92" s="64">
        <f>IFERROR(1/J92*(Y92/H92),"0")</f>
        <v>0.140625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8.6419753086419764</v>
      </c>
      <c r="Y96" s="555">
        <f>IFERROR(Y92/H92,"0")+IFERROR(Y93/H93,"0")+IFERROR(Y94/H94,"0")+IFERROR(Y95/H95,"0")</f>
        <v>9</v>
      </c>
      <c r="Z96" s="555">
        <f>IFERROR(IF(Z92="",0,Z92),"0")+IFERROR(IF(Z93="",0,Z93),"0")+IFERROR(IF(Z94="",0,Z94),"0")+IFERROR(IF(Z95="",0,Z95),"0")</f>
        <v>0.17082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70</v>
      </c>
      <c r="Y97" s="555">
        <f>IFERROR(SUM(Y92:Y95),"0")</f>
        <v>72.899999999999991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77</v>
      </c>
      <c r="Y115" s="554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81.639012345679006</v>
      </c>
      <c r="BN115" s="64">
        <f>IFERROR(Y115*I115/H115,"0")</f>
        <v>85.88</v>
      </c>
      <c r="BO115" s="64">
        <f>IFERROR(1/J115*(X115/H115),"0")</f>
        <v>0.14853395061728394</v>
      </c>
      <c r="BP115" s="64">
        <f>IFERROR(1/J115*(Y115/H115),"0")</f>
        <v>0.15625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9.5061728395061724</v>
      </c>
      <c r="Y119" s="555">
        <f>IFERROR(Y115/H115,"0")+IFERROR(Y116/H116,"0")+IFERROR(Y117/H117,"0")+IFERROR(Y118/H118,"0")</f>
        <v>10</v>
      </c>
      <c r="Z119" s="555">
        <f>IFERROR(IF(Z115="",0,Z115),"0")+IFERROR(IF(Z116="",0,Z116),"0")+IFERROR(IF(Z117="",0,Z117),"0")+IFERROR(IF(Z118="",0,Z118),"0")</f>
        <v>0.1898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77</v>
      </c>
      <c r="Y120" s="555">
        <f>IFERROR(SUM(Y115:Y118),"0")</f>
        <v>81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51</v>
      </c>
      <c r="Y221" s="554">
        <f t="shared" si="20"/>
        <v>52.8</v>
      </c>
      <c r="Z221" s="36">
        <f t="shared" si="25"/>
        <v>0.14322000000000001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56.355000000000004</v>
      </c>
      <c r="BN221" s="64">
        <f t="shared" si="22"/>
        <v>58.344000000000001</v>
      </c>
      <c r="BO221" s="64">
        <f t="shared" si="23"/>
        <v>0.11675824175824177</v>
      </c>
      <c r="BP221" s="64">
        <f t="shared" si="24"/>
        <v>0.12087912087912089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43</v>
      </c>
      <c r="Y222" s="554">
        <f t="shared" si="20"/>
        <v>43.199999999999996</v>
      </c>
      <c r="Z222" s="36">
        <f t="shared" si="25"/>
        <v>0.11718000000000001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47.515000000000001</v>
      </c>
      <c r="BN222" s="64">
        <f t="shared" si="22"/>
        <v>47.736000000000004</v>
      </c>
      <c r="BO222" s="64">
        <f t="shared" si="23"/>
        <v>9.8443223443223454E-2</v>
      </c>
      <c r="BP222" s="64">
        <f t="shared" si="24"/>
        <v>9.8901098901098911E-2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39.166666666666671</v>
      </c>
      <c r="Y225" s="555">
        <f>IFERROR(Y216/H216,"0")+IFERROR(Y217/H217,"0")+IFERROR(Y218/H218,"0")+IFERROR(Y219/H219,"0")+IFERROR(Y220/H220,"0")+IFERROR(Y221/H221,"0")+IFERROR(Y222/H222,"0")+IFERROR(Y223/H223,"0")+IFERROR(Y224/H224,"0")</f>
        <v>40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0.26040000000000002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94</v>
      </c>
      <c r="Y226" s="555">
        <f>IFERROR(SUM(Y216:Y224),"0")</f>
        <v>96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23</v>
      </c>
      <c r="Y281" s="554">
        <f>IFERROR(IF(X281="",0,CEILING((X281/$H281),1)*$H281),"")</f>
        <v>24</v>
      </c>
      <c r="Z281" s="36">
        <f>IFERROR(IF(Y281=0,"",ROUNDUP(Y281/H281,0)*0.00651),"")</f>
        <v>6.5100000000000005E-2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25.415000000000003</v>
      </c>
      <c r="BN281" s="64">
        <f>IFERROR(Y281*I281/H281,"0")</f>
        <v>26.520000000000003</v>
      </c>
      <c r="BO281" s="64">
        <f>IFERROR(1/J281*(X281/H281),"0")</f>
        <v>5.2655677655677663E-2</v>
      </c>
      <c r="BP281" s="64">
        <f>IFERROR(1/J281*(Y281/H281),"0")</f>
        <v>5.4945054945054951E-2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31</v>
      </c>
      <c r="Y282" s="554">
        <f>IFERROR(IF(X282="",0,CEILING((X282/$H282),1)*$H282),"")</f>
        <v>31.2</v>
      </c>
      <c r="Z282" s="36">
        <f>IFERROR(IF(Y282=0,"",ROUNDUP(Y282/H282,0)*0.00651),"")</f>
        <v>8.4629999999999997E-2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33.325000000000003</v>
      </c>
      <c r="BN282" s="64">
        <f>IFERROR(Y282*I282/H282,"0")</f>
        <v>33.54</v>
      </c>
      <c r="BO282" s="64">
        <f>IFERROR(1/J282*(X282/H282),"0")</f>
        <v>7.0970695970695982E-2</v>
      </c>
      <c r="BP282" s="64">
        <f>IFERROR(1/J282*(Y282/H282),"0")</f>
        <v>7.1428571428571438E-2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22.5</v>
      </c>
      <c r="Y283" s="555">
        <f>IFERROR(Y280/H280,"0")+IFERROR(Y281/H281,"0")+IFERROR(Y282/H282,"0")</f>
        <v>23</v>
      </c>
      <c r="Z283" s="555">
        <f>IFERROR(IF(Z280="",0,Z280),"0")+IFERROR(IF(Z281="",0,Z281),"0")+IFERROR(IF(Z282="",0,Z282),"0")</f>
        <v>0.14973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54</v>
      </c>
      <c r="Y284" s="555">
        <f>IFERROR(SUM(Y280:Y282),"0")</f>
        <v>55.2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39</v>
      </c>
      <c r="Y323" s="554">
        <f>IFERROR(IF(X323="",0,CEILING((X323/$H323),1)*$H323),"")</f>
        <v>39</v>
      </c>
      <c r="Z323" s="36">
        <f>IFERROR(IF(Y323=0,"",ROUNDUP(Y323/H323,0)*0.01898),"")</f>
        <v>9.4899999999999998E-2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41.47</v>
      </c>
      <c r="BN323" s="64">
        <f>IFERROR(Y323*I323/H323,"0")</f>
        <v>41.47</v>
      </c>
      <c r="BO323" s="64">
        <f>IFERROR(1/J323*(X323/H323),"0")</f>
        <v>7.8125E-2</v>
      </c>
      <c r="BP323" s="64">
        <f>IFERROR(1/J323*(Y323/H323),"0")</f>
        <v>7.8125E-2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5</v>
      </c>
      <c r="Y325" s="555">
        <f>IFERROR(Y322/H322,"0")+IFERROR(Y323/H323,"0")+IFERROR(Y324/H324,"0")</f>
        <v>5</v>
      </c>
      <c r="Z325" s="555">
        <f>IFERROR(IF(Z322="",0,Z322),"0")+IFERROR(IF(Z323="",0,Z323),"0")+IFERROR(IF(Z324="",0,Z324),"0")</f>
        <v>9.4899999999999998E-2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39</v>
      </c>
      <c r="Y326" s="555">
        <f>IFERROR(SUM(Y322:Y324),"0")</f>
        <v>39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149</v>
      </c>
      <c r="Y350" s="554">
        <f t="shared" ref="Y350:Y356" si="36">IFERROR(IF(X350="",0,CEILING((X350/$H350),1)*$H350),"")</f>
        <v>150</v>
      </c>
      <c r="Z350" s="36">
        <f>IFERROR(IF(Y350=0,"",ROUNDUP(Y350/H350,0)*0.02175),"")</f>
        <v>0.21749999999999997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153.66866666666667</v>
      </c>
      <c r="BN350" s="64">
        <f t="shared" ref="BN350:BN356" si="38">IFERROR(Y350*I350/H350,"0")</f>
        <v>154.69999999999999</v>
      </c>
      <c r="BO350" s="64">
        <f t="shared" ref="BO350:BO356" si="39">IFERROR(1/J350*(X350/H350),"0")</f>
        <v>0.20694444444444443</v>
      </c>
      <c r="BP350" s="64">
        <f t="shared" ref="BP350:BP356" si="40">IFERROR(1/J350*(Y350/H350),"0")</f>
        <v>0.20833333333333331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120</v>
      </c>
      <c r="Y352" s="554">
        <f t="shared" si="36"/>
        <v>120</v>
      </c>
      <c r="Z352" s="36">
        <f>IFERROR(IF(Y352=0,"",ROUNDUP(Y352/H352,0)*0.02175),"")</f>
        <v>0.17399999999999999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123.76</v>
      </c>
      <c r="BN352" s="64">
        <f t="shared" si="38"/>
        <v>123.76</v>
      </c>
      <c r="BO352" s="64">
        <f t="shared" si="39"/>
        <v>0.16666666666666666</v>
      </c>
      <c r="BP352" s="64">
        <f t="shared" si="40"/>
        <v>0.16666666666666666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17.933333333333334</v>
      </c>
      <c r="Y357" s="555">
        <f>IFERROR(Y350/H350,"0")+IFERROR(Y351/H351,"0")+IFERROR(Y352/H352,"0")+IFERROR(Y353/H353,"0")+IFERROR(Y354/H354,"0")+IFERROR(Y355/H355,"0")+IFERROR(Y356/H356,"0")</f>
        <v>18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0.39149999999999996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269</v>
      </c>
      <c r="Y358" s="555">
        <f>IFERROR(SUM(Y350:Y356),"0")</f>
        <v>270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125</v>
      </c>
      <c r="Y360" s="554">
        <f>IFERROR(IF(X360="",0,CEILING((X360/$H360),1)*$H360),"")</f>
        <v>135</v>
      </c>
      <c r="Z360" s="36">
        <f>IFERROR(IF(Y360=0,"",ROUNDUP(Y360/H360,0)*0.02175),"")</f>
        <v>0.19574999999999998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128.91666666666666</v>
      </c>
      <c r="BN360" s="64">
        <f>IFERROR(Y360*I360/H360,"0")</f>
        <v>139.23000000000002</v>
      </c>
      <c r="BO360" s="64">
        <f>IFERROR(1/J360*(X360/H360),"0")</f>
        <v>0.1736111111111111</v>
      </c>
      <c r="BP360" s="64">
        <f>IFERROR(1/J360*(Y360/H360),"0")</f>
        <v>0.1875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8.3333333333333339</v>
      </c>
      <c r="Y362" s="555">
        <f>IFERROR(Y360/H360,"0")+IFERROR(Y361/H361,"0")</f>
        <v>9</v>
      </c>
      <c r="Z362" s="555">
        <f>IFERROR(IF(Z360="",0,Z360),"0")+IFERROR(IF(Z361="",0,Z361),"0")</f>
        <v>0.19574999999999998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125</v>
      </c>
      <c r="Y363" s="555">
        <f>IFERROR(SUM(Y360:Y361),"0")</f>
        <v>135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209</v>
      </c>
      <c r="Y435" s="554">
        <f t="shared" si="47"/>
        <v>211.20000000000002</v>
      </c>
      <c r="Z435" s="36">
        <f t="shared" si="48"/>
        <v>0.47839999999999999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222.85416666666666</v>
      </c>
      <c r="BN435" s="64">
        <f t="shared" si="50"/>
        <v>225.2</v>
      </c>
      <c r="BO435" s="64">
        <f t="shared" si="51"/>
        <v>0.38060897435897434</v>
      </c>
      <c r="BP435" s="64">
        <f t="shared" si="52"/>
        <v>0.38461538461538464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39.583333333333329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0.47839999999999999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209</v>
      </c>
      <c r="Y442" s="555">
        <f>IFERROR(SUM(Y429:Y440),"0")</f>
        <v>211.20000000000002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105</v>
      </c>
      <c r="Y444" s="554">
        <f>IFERROR(IF(X444="",0,CEILING((X444/$H444),1)*$H444),"")</f>
        <v>105.60000000000001</v>
      </c>
      <c r="Z444" s="36">
        <f>IFERROR(IF(Y444=0,"",ROUNDUP(Y444/H444,0)*0.01196),"")</f>
        <v>0.2392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111.96022727272727</v>
      </c>
      <c r="BN444" s="64">
        <f>IFERROR(Y444*I444/H444,"0")</f>
        <v>112.6</v>
      </c>
      <c r="BO444" s="64">
        <f>IFERROR(1/J444*(X444/H444),"0")</f>
        <v>0.19121503496503497</v>
      </c>
      <c r="BP444" s="64">
        <f>IFERROR(1/J444*(Y444/H444),"0")</f>
        <v>0.19230769230769232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19.886363636363637</v>
      </c>
      <c r="Y447" s="555">
        <f>IFERROR(Y444/H444,"0")+IFERROR(Y445/H445,"0")+IFERROR(Y446/H446,"0")</f>
        <v>20</v>
      </c>
      <c r="Z447" s="555">
        <f>IFERROR(IF(Z444="",0,Z444),"0")+IFERROR(IF(Z445="",0,Z445),"0")+IFERROR(IF(Z446="",0,Z446),"0")</f>
        <v>0.2392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105</v>
      </c>
      <c r="Y448" s="555">
        <f>IFERROR(SUM(Y444:Y446),"0")</f>
        <v>105.60000000000001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59</v>
      </c>
      <c r="Y450" s="554">
        <f t="shared" ref="Y450:Y455" si="53">IFERROR(IF(X450="",0,CEILING((X450/$H450),1)*$H450),"")</f>
        <v>63.36</v>
      </c>
      <c r="Z450" s="36">
        <f>IFERROR(IF(Y450=0,"",ROUNDUP(Y450/H450,0)*0.01196),"")</f>
        <v>0.14352000000000001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62.910984848484851</v>
      </c>
      <c r="BN450" s="64">
        <f t="shared" ref="BN450:BN455" si="55">IFERROR(Y450*I450/H450,"0")</f>
        <v>67.559999999999988</v>
      </c>
      <c r="BO450" s="64">
        <f t="shared" ref="BO450:BO455" si="56">IFERROR(1/J450*(X450/H450),"0")</f>
        <v>0.1074446386946387</v>
      </c>
      <c r="BP450" s="64">
        <f t="shared" ref="BP450:BP455" si="57">IFERROR(1/J450*(Y450/H450),"0")</f>
        <v>0.11538461538461539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35</v>
      </c>
      <c r="Y451" s="554">
        <f t="shared" si="53"/>
        <v>36.96</v>
      </c>
      <c r="Z451" s="36">
        <f>IFERROR(IF(Y451=0,"",ROUNDUP(Y451/H451,0)*0.01196),"")</f>
        <v>8.3720000000000003E-2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37.320075757575751</v>
      </c>
      <c r="BN451" s="64">
        <f t="shared" si="55"/>
        <v>39.409999999999997</v>
      </c>
      <c r="BO451" s="64">
        <f t="shared" si="56"/>
        <v>6.3738344988344992E-2</v>
      </c>
      <c r="BP451" s="64">
        <f t="shared" si="57"/>
        <v>6.7307692307692318E-2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61</v>
      </c>
      <c r="Y452" s="554">
        <f t="shared" si="53"/>
        <v>63.36</v>
      </c>
      <c r="Z452" s="36">
        <f>IFERROR(IF(Y452=0,"",ROUNDUP(Y452/H452,0)*0.01196),"")</f>
        <v>0.14352000000000001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65.043560606060609</v>
      </c>
      <c r="BN452" s="64">
        <f t="shared" si="55"/>
        <v>67.559999999999988</v>
      </c>
      <c r="BO452" s="64">
        <f t="shared" si="56"/>
        <v>0.11108682983682984</v>
      </c>
      <c r="BP452" s="64">
        <f t="shared" si="57"/>
        <v>0.11538461538461539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29.356060606060609</v>
      </c>
      <c r="Y456" s="555">
        <f>IFERROR(Y450/H450,"0")+IFERROR(Y451/H451,"0")+IFERROR(Y452/H452,"0")+IFERROR(Y453/H453,"0")+IFERROR(Y454/H454,"0")+IFERROR(Y455/H455,"0")</f>
        <v>31</v>
      </c>
      <c r="Z456" s="555">
        <f>IFERROR(IF(Z450="",0,Z450),"0")+IFERROR(IF(Z451="",0,Z451),"0")+IFERROR(IF(Z452="",0,Z452),"0")+IFERROR(IF(Z453="",0,Z453),"0")+IFERROR(IF(Z454="",0,Z454),"0")+IFERROR(IF(Z455="",0,Z455),"0")</f>
        <v>0.37075999999999998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155</v>
      </c>
      <c r="Y457" s="555">
        <f>IFERROR(SUM(Y450:Y455),"0")</f>
        <v>163.68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1197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1229.58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1266.4224966329964</v>
      </c>
      <c r="Y496" s="555">
        <f>IFERROR(SUM(BN22:BN492),"0")</f>
        <v>1300.856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1341.4224966329964</v>
      </c>
      <c r="Y498" s="555">
        <f>GrossWeightTotalR+PalletQtyTotalR*25</f>
        <v>1375.856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199.90723905723905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205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2.5412600000000003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72.899999999999991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81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96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55.2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39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405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480.48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2026-01-07T08:28:38Z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