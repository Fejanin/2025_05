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8,01,26 ПОКОМ Патяка\"/>
    </mc:Choice>
  </mc:AlternateContent>
  <xr:revisionPtr revIDLastSave="0" documentId="13_ncr:1_{9584905B-BC18-4EBB-B88E-0316E8ECB2A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02" r:id="rId1"/>
  </sheets>
  <definedNames>
    <definedName name="_xlnm._FilterDatabase" localSheetId="0" hidden="1">Заказ!$C$1:$C$165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" i="102" l="1"/>
  <c r="H3" i="102"/>
  <c r="G5" i="102" l="1"/>
  <c r="G6" i="102" l="1"/>
  <c r="G37" i="102" l="1"/>
  <c r="G40" i="102"/>
  <c r="F3" i="102" l="1"/>
  <c r="G7" i="102" l="1"/>
  <c r="G8" i="102"/>
  <c r="G9" i="102"/>
  <c r="G10" i="102"/>
  <c r="G11" i="102"/>
  <c r="G12" i="102"/>
  <c r="G13" i="102"/>
  <c r="G14" i="102"/>
  <c r="G15" i="102"/>
  <c r="G16" i="102"/>
  <c r="G17" i="102"/>
  <c r="G18" i="102"/>
  <c r="G19" i="102"/>
  <c r="G20" i="102"/>
  <c r="G21" i="102"/>
  <c r="G22" i="102"/>
  <c r="G23" i="102"/>
  <c r="G24" i="102"/>
  <c r="G25" i="102"/>
  <c r="G26" i="102"/>
  <c r="G27" i="102"/>
  <c r="G28" i="102"/>
  <c r="G29" i="102"/>
  <c r="G30" i="102"/>
  <c r="G31" i="102"/>
  <c r="G32" i="102"/>
  <c r="G33" i="102"/>
  <c r="G34" i="102"/>
  <c r="G35" i="102"/>
  <c r="G36" i="102"/>
  <c r="G38" i="102"/>
  <c r="G39" i="102"/>
  <c r="G41" i="102"/>
  <c r="G42" i="102"/>
  <c r="G43" i="102"/>
  <c r="G44" i="102"/>
  <c r="G45" i="102"/>
  <c r="G46" i="102"/>
  <c r="G4" i="102"/>
  <c r="G3" i="102" l="1"/>
  <c r="AC4" i="102"/>
  <c r="AC7" i="102"/>
  <c r="AC8" i="102"/>
  <c r="AC9" i="102"/>
  <c r="AC10" i="102"/>
  <c r="AC11" i="102"/>
  <c r="AC12" i="102"/>
  <c r="AC13" i="102"/>
  <c r="AC14" i="102"/>
  <c r="AC15" i="102"/>
  <c r="AC16" i="102"/>
  <c r="AC17" i="102"/>
  <c r="AC18" i="102"/>
  <c r="AC19" i="102"/>
  <c r="AC20" i="102"/>
  <c r="AC21" i="102"/>
  <c r="AC22" i="102"/>
  <c r="AC23" i="102"/>
  <c r="AC24" i="102"/>
  <c r="AC25" i="102"/>
  <c r="AC26" i="102"/>
  <c r="AC27" i="102"/>
  <c r="AC28" i="102"/>
  <c r="AC29" i="102"/>
  <c r="AC30" i="102"/>
  <c r="AC31" i="102"/>
  <c r="AC32" i="102"/>
  <c r="AC33" i="102"/>
  <c r="AC34" i="102"/>
  <c r="AC35" i="102"/>
  <c r="AC36" i="102"/>
  <c r="AC38" i="102"/>
  <c r="AC39" i="102"/>
  <c r="AC41" i="102"/>
  <c r="AC42" i="102"/>
  <c r="AC43" i="102"/>
  <c r="AC46" i="102"/>
  <c r="AE46" i="102"/>
  <c r="AE43" i="102"/>
  <c r="AE42" i="102"/>
  <c r="AE41" i="102"/>
  <c r="AE39" i="102"/>
  <c r="AE38" i="102"/>
  <c r="AE36" i="102"/>
  <c r="AE35" i="102"/>
  <c r="AE34" i="102"/>
  <c r="AE33" i="102"/>
  <c r="AE32" i="102"/>
  <c r="AE31" i="102"/>
  <c r="AE30" i="102"/>
  <c r="AE29" i="102"/>
  <c r="AE28" i="102"/>
  <c r="AE27" i="102"/>
  <c r="AE26" i="102"/>
  <c r="AE25" i="102"/>
  <c r="AE24" i="102"/>
  <c r="AE23" i="102"/>
  <c r="AE22" i="102"/>
  <c r="AE21" i="102"/>
  <c r="AE20" i="102"/>
  <c r="AE19" i="102"/>
  <c r="AE18" i="102"/>
  <c r="AE17" i="102"/>
  <c r="AE16" i="102"/>
  <c r="AE15" i="102"/>
  <c r="AE14" i="102"/>
  <c r="AE13" i="102"/>
  <c r="AE12" i="102"/>
  <c r="AE11" i="102"/>
  <c r="AE10" i="102"/>
  <c r="AE9" i="102"/>
  <c r="AE8" i="102"/>
  <c r="AE7" i="102"/>
  <c r="AE4" i="102"/>
  <c r="AC3" i="102" l="1"/>
  <c r="AE3" i="102"/>
</calcChain>
</file>

<file path=xl/sharedStrings.xml><?xml version="1.0" encoding="utf-8"?>
<sst xmlns="http://schemas.openxmlformats.org/spreadsheetml/2006/main" count="99" uniqueCount="99">
  <si>
    <t>Заказ</t>
  </si>
  <si>
    <t>ВЕС</t>
  </si>
  <si>
    <t>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</si>
  <si>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</si>
  <si>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</si>
  <si>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</si>
  <si>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</si>
  <si>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</si>
  <si>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</si>
  <si>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</si>
  <si>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</si>
  <si>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</si>
  <si>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</si>
  <si>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</si>
  <si>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</si>
  <si>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</si>
  <si>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</si>
  <si>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</si>
  <si>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</si>
  <si>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>ЗАКАЗ</t>
  </si>
  <si>
    <t>ОСТАТОК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</si>
  <si>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</si>
  <si>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</si>
  <si>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318  Сосиски Датские ТМ Зареченские, ВЕС  ПОКОМ</t>
  </si>
  <si>
    <t xml:space="preserve"> 312  Ветчина Филейская ВЕС ТМ  Вязанка ТС Столичная 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</si>
  <si>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</si>
  <si>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</si>
  <si>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</si>
  <si>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</si>
  <si>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321  Колбаса Сервелат Пражский ТМ Зареченские, ВЕС ПОКОМ</t>
  </si>
  <si>
    <t xml:space="preserve"> 278  Сосиски Сочинки с сочным окороком, МГС 0.4кг,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</si>
  <si>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</si>
  <si>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</si>
  <si>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</si>
  <si>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Колбаса Сочинка рубленая  в/к ТМ Стародворье в оболочке фиброуз в ва ПОКОМ, кг</t>
  </si>
  <si>
    <t xml:space="preserve"> 325  Сосиски Сочинки молочные Стародворье, ВЕС ПОКОМ</t>
  </si>
  <si>
    <t>Заказ,кг</t>
  </si>
  <si>
    <t xml:space="preserve"> 273  Сосиски Сочинки с сочной грудинкой, МГС 0.4кг,   ПОКОМ</t>
  </si>
  <si>
    <t xml:space="preserve"> 322  Колбаса вареная Молокуша 0,45кг ТМ Вязанка  ПОКОМ</t>
  </si>
  <si>
    <t>449</t>
  </si>
  <si>
    <t>016</t>
  </si>
  <si>
    <t>017</t>
  </si>
  <si>
    <t>200</t>
  </si>
  <si>
    <t>225</t>
  </si>
  <si>
    <t>229</t>
  </si>
  <si>
    <t>239</t>
  </si>
  <si>
    <t>242</t>
  </si>
  <si>
    <t>243</t>
  </si>
  <si>
    <t>247</t>
  </si>
  <si>
    <t>248</t>
  </si>
  <si>
    <t>250</t>
  </si>
  <si>
    <t>255</t>
  </si>
  <si>
    <t>257</t>
  </si>
  <si>
    <t>265</t>
  </si>
  <si>
    <t>325</t>
  </si>
  <si>
    <t>304</t>
  </si>
  <si>
    <t>305</t>
  </si>
  <si>
    <t>312</t>
  </si>
  <si>
    <t>315</t>
  </si>
  <si>
    <t>317</t>
  </si>
  <si>
    <t>318</t>
  </si>
  <si>
    <t>321</t>
  </si>
  <si>
    <t>347</t>
  </si>
  <si>
    <t>344</t>
  </si>
  <si>
    <t>346</t>
  </si>
  <si>
    <t>023</t>
  </si>
  <si>
    <t>030</t>
  </si>
  <si>
    <t>032</t>
  </si>
  <si>
    <t>118</t>
  </si>
  <si>
    <t>273</t>
  </si>
  <si>
    <t>278</t>
  </si>
  <si>
    <t>309</t>
  </si>
  <si>
    <t>319</t>
  </si>
  <si>
    <t>322</t>
  </si>
  <si>
    <t>328</t>
  </si>
  <si>
    <t>329</t>
  </si>
  <si>
    <t>2809
2654</t>
  </si>
  <si>
    <t>2810
2655</t>
  </si>
  <si>
    <t>Код зав</t>
  </si>
  <si>
    <t>217 не гост</t>
  </si>
  <si>
    <t xml:space="preserve"> 449 Колбаса Дугушка Стародворская ВЕС ТС Дугушка ПОКОМ</t>
  </si>
  <si>
    <t>Колбаса Сочинка по-фински с сочным окороком ТМ Стародворье в оболочке фиброуз в ва ПОКОМ, кг</t>
  </si>
  <si>
    <t>345</t>
  </si>
  <si>
    <t>Колбаса Сочинка по-европейски с сочной грудинкой ТМ Стародворье в оболочке фиброуз в ва ПОКОМ, кг</t>
  </si>
  <si>
    <t>343</t>
  </si>
  <si>
    <t>Сосиски Сочинки Сливочные 0,4 кг ТМ Стародворье  ПОКОМ, шт</t>
  </si>
  <si>
    <t>342</t>
  </si>
  <si>
    <t>Сосиски Сочинки Молочные 0,4 кг ТМ Стародворье  ПОКОМ, шт</t>
  </si>
  <si>
    <t>Колбаса Сочинка Зернистая  в/к ТМ Стародворье в оболочке фиброуз в ва ПОКОМ, кг</t>
  </si>
  <si>
    <t>361</t>
  </si>
  <si>
    <t xml:space="preserve"> 003   Колбаса Вязанка Сливушка 1,4,  ВЕС, ПОКОМ</t>
  </si>
  <si>
    <t>335</t>
  </si>
  <si>
    <t>Колбаса Сервелат Филейбургский с копченой грудинкой, в/у 0,35 кг срез, БАВАРУШКА ПОКОМ</t>
  </si>
  <si>
    <t>315 Колбаса вареная Молокуша ТМ Вязанка ВЕС, ПОКОМ</t>
  </si>
  <si>
    <t>Заказ Ф2</t>
  </si>
  <si>
    <t>Заказ Ф1</t>
  </si>
  <si>
    <t>276 Колбаса Сливушка ТМ Вязанка в оболочке полиамид 0,45 кг  ПОКОМ</t>
  </si>
  <si>
    <t>276</t>
  </si>
  <si>
    <t>Заказ Патяки 28.01.26.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</si>
</sst>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8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24"/>
      </top>
      <bottom style="thin">
        <color indexed="2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2" fillId="4" borderId="9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 wrapText="1"/>
    </xf>
    <xf numFmtId="1" fontId="2" fillId="5" borderId="1" xfId="1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top"/>
    </xf>
    <xf numFmtId="49" fontId="0" fillId="0" borderId="0" xfId="0" applyNumberFormat="1"/>
    <xf numFmtId="49" fontId="5" fillId="0" borderId="0" xfId="1" applyNumberFormat="1"/>
    <xf numFmtId="0" fontId="8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2" borderId="0" xfId="0" applyFill="1" applyBorder="1" applyAlignment="1">
      <alignment vertical="top" wrapText="1"/>
    </xf>
    <xf numFmtId="0" fontId="4" fillId="0" borderId="7" xfId="0" applyFont="1" applyFill="1" applyBorder="1" applyAlignment="1">
      <alignment vertical="top"/>
    </xf>
    <xf numFmtId="0" fontId="4" fillId="0" borderId="4" xfId="0" applyFont="1" applyFill="1" applyBorder="1" applyAlignment="1">
      <alignment vertical="top"/>
    </xf>
    <xf numFmtId="0" fontId="4" fillId="0" borderId="5" xfId="0" applyFont="1" applyFill="1" applyBorder="1" applyAlignment="1">
      <alignment vertical="top"/>
    </xf>
    <xf numFmtId="0" fontId="4" fillId="0" borderId="11" xfId="0" applyFont="1" applyFill="1" applyBorder="1" applyAlignment="1">
      <alignment vertical="top" wrapText="1"/>
    </xf>
    <xf numFmtId="0" fontId="4" fillId="0" borderId="8" xfId="0" applyFont="1" applyFill="1" applyBorder="1" applyAlignment="1">
      <alignment vertical="top"/>
    </xf>
    <xf numFmtId="0" fontId="4" fillId="7" borderId="5" xfId="0" applyFont="1" applyFill="1" applyBorder="1" applyAlignment="1">
      <alignment horizontal="center" vertical="center"/>
    </xf>
  </cellXfs>
  <cellStyles count="2">
    <cellStyle name="Обычный" xfId="0" builtinId="0"/>
    <cellStyle name="УровеньСтрок_1" xfId="1" builtinId="1" iLevel="0"/>
  </cellStyles>
  <dxfs count="0"/>
  <tableStyles count="0" defaultTableStyle="TableStyleMedium2" defaultPivotStyle="PivotStyleLight16"/>
  <colors>
    <mruColors>
      <color rgb="FF1174E1"/>
      <color rgb="FF9AD4E8"/>
      <color rgb="FFE3F5F9"/>
      <color rgb="FFC3EBF3"/>
      <color rgb="FFCCEDF4"/>
      <color rgb="FF9FDEEB"/>
      <color rgb="FFBBDCF3"/>
      <color rgb="FFADD5F1"/>
      <color rgb="FF8DC5EB"/>
      <color rgb="FF2B5F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8B97-0E2D-4749-BC1D-1A1F6C386240}">
  <sheetPr>
    <outlinePr applyStyles="1" summaryBelow="0" summaryRight="0"/>
  </sheetPr>
  <dimension ref="A1:AE46"/>
  <sheetViews>
    <sheetView tabSelected="1" zoomScale="80" zoomScaleNormal="80" workbookViewId="0">
      <selection activeCell="N4" sqref="N4"/>
    </sheetView>
  </sheetViews>
  <sheetFormatPr defaultRowHeight="15" outlineLevelRow="1" x14ac:dyDescent="0.25"/>
  <cols>
    <col min="1" max="1" width="12" customWidth="1"/>
    <col min="2" max="2" width="12" style="29" customWidth="1"/>
    <col min="3" max="3" width="94.7109375" style="1" customWidth="1"/>
    <col min="4" max="4" width="12.5703125" style="1" customWidth="1"/>
    <col min="5" max="5" width="10.28515625" style="1" customWidth="1"/>
    <col min="6" max="6" width="20.140625" style="1" customWidth="1"/>
    <col min="7" max="7" width="16" style="1" customWidth="1"/>
    <col min="8" max="9" width="20.140625" style="1" hidden="1" customWidth="1"/>
    <col min="10" max="23" width="9.140625" style="1"/>
    <col min="24" max="25" width="9.140625" style="2"/>
    <col min="26" max="26" width="9.140625" style="1"/>
    <col min="27" max="31" width="9.140625" style="1" hidden="1" customWidth="1"/>
  </cols>
  <sheetData>
    <row r="1" spans="1:31" ht="19.5" thickBot="1" x14ac:dyDescent="0.3">
      <c r="C1" s="31" t="s">
        <v>98</v>
      </c>
    </row>
    <row r="2" spans="1:31" ht="32.25" thickBot="1" x14ac:dyDescent="0.3">
      <c r="C2" s="23"/>
      <c r="D2" s="27" t="s">
        <v>78</v>
      </c>
      <c r="E2" s="24"/>
      <c r="F2" s="24" t="s">
        <v>0</v>
      </c>
      <c r="G2" s="25" t="s">
        <v>36</v>
      </c>
      <c r="H2" s="24" t="s">
        <v>94</v>
      </c>
      <c r="I2" s="24" t="s">
        <v>95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5"/>
      <c r="Z2" s="4"/>
      <c r="AA2" s="18" t="s">
        <v>1</v>
      </c>
      <c r="AB2" s="14"/>
      <c r="AC2" s="18" t="s">
        <v>19</v>
      </c>
      <c r="AD2" s="14"/>
      <c r="AE2" s="19" t="s">
        <v>20</v>
      </c>
    </row>
    <row r="3" spans="1:31" s="3" customFormat="1" ht="19.5" thickBot="1" x14ac:dyDescent="0.3">
      <c r="B3" s="30"/>
      <c r="C3" s="22" t="s">
        <v>2</v>
      </c>
      <c r="D3" s="22"/>
      <c r="E3" s="17"/>
      <c r="F3" s="17">
        <f>SUM(F4:F46)</f>
        <v>8483</v>
      </c>
      <c r="G3" s="20">
        <f>SUM(G4:G46)</f>
        <v>6316.7</v>
      </c>
      <c r="H3" s="17">
        <f>SUM(H4:H46)</f>
        <v>7142</v>
      </c>
      <c r="I3" s="17">
        <f>SUM(I4:I46)</f>
        <v>1341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  <c r="Y3" s="7"/>
      <c r="Z3" s="6"/>
      <c r="AA3" s="12"/>
      <c r="AB3" s="15"/>
      <c r="AC3" s="13">
        <f>SUM(AC4:AC46)</f>
        <v>25.212499999999999</v>
      </c>
      <c r="AD3" s="15"/>
      <c r="AE3" s="13" t="e">
        <f>SUM(AE4:AE46)</f>
        <v>#REF!</v>
      </c>
    </row>
    <row r="4" spans="1:31" ht="18.75" customHeight="1" outlineLevel="1" x14ac:dyDescent="0.25">
      <c r="B4" s="29" t="s">
        <v>97</v>
      </c>
      <c r="C4" s="34" t="s">
        <v>96</v>
      </c>
      <c r="D4" s="28">
        <v>2734</v>
      </c>
      <c r="E4" s="10">
        <v>0.45</v>
      </c>
      <c r="F4" s="10">
        <v>36</v>
      </c>
      <c r="G4" s="16">
        <f>F4*E4</f>
        <v>16.2</v>
      </c>
      <c r="H4" s="39">
        <v>36</v>
      </c>
      <c r="I4" s="39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  <c r="Y4" s="9"/>
      <c r="Z4" s="8"/>
      <c r="AA4" s="11">
        <v>1</v>
      </c>
      <c r="AB4" s="8"/>
      <c r="AC4" s="11">
        <f>AA4*E4</f>
        <v>0.45</v>
      </c>
      <c r="AD4" s="8"/>
      <c r="AE4" s="11" t="e">
        <f>AA4*#REF!</f>
        <v>#REF!</v>
      </c>
    </row>
    <row r="5" spans="1:31" ht="18.75" customHeight="1" outlineLevel="1" x14ac:dyDescent="0.25">
      <c r="B5" s="29" t="s">
        <v>91</v>
      </c>
      <c r="C5" s="35" t="s">
        <v>90</v>
      </c>
      <c r="D5" s="28">
        <v>2928</v>
      </c>
      <c r="E5" s="10">
        <v>1</v>
      </c>
      <c r="F5" s="10">
        <v>90</v>
      </c>
      <c r="G5" s="16">
        <f t="shared" ref="G5" si="0">F5*E5</f>
        <v>90</v>
      </c>
      <c r="H5" s="39">
        <v>60</v>
      </c>
      <c r="I5" s="39">
        <v>30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9"/>
      <c r="Y5" s="9"/>
      <c r="Z5" s="8"/>
      <c r="AA5" s="11"/>
      <c r="AB5" s="8"/>
      <c r="AC5" s="11"/>
      <c r="AD5" s="8"/>
      <c r="AE5" s="11"/>
    </row>
    <row r="6" spans="1:31" ht="16.5" customHeight="1" outlineLevel="1" x14ac:dyDescent="0.25">
      <c r="A6" t="s">
        <v>79</v>
      </c>
      <c r="B6" s="29" t="s">
        <v>39</v>
      </c>
      <c r="C6" s="36" t="s">
        <v>80</v>
      </c>
      <c r="D6" s="28">
        <v>2634</v>
      </c>
      <c r="E6" s="10">
        <v>1</v>
      </c>
      <c r="F6" s="10">
        <v>50</v>
      </c>
      <c r="G6" s="16">
        <f t="shared" ref="G6" si="1">F6*E6</f>
        <v>50</v>
      </c>
      <c r="H6" s="39">
        <v>50</v>
      </c>
      <c r="I6" s="3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9"/>
      <c r="Y6" s="9"/>
      <c r="Z6" s="8"/>
      <c r="AA6" s="11"/>
      <c r="AB6" s="8"/>
      <c r="AC6" s="11"/>
      <c r="AD6" s="8"/>
      <c r="AE6" s="11"/>
    </row>
    <row r="7" spans="1:31" ht="16.5" customHeight="1" outlineLevel="1" x14ac:dyDescent="0.25">
      <c r="B7" s="29" t="s">
        <v>40</v>
      </c>
      <c r="C7" s="36" t="s">
        <v>21</v>
      </c>
      <c r="D7" s="28">
        <v>1523</v>
      </c>
      <c r="E7" s="26">
        <v>1</v>
      </c>
      <c r="F7" s="10">
        <v>130</v>
      </c>
      <c r="G7" s="16">
        <f t="shared" ref="G7:G13" si="2">F7*E7</f>
        <v>130</v>
      </c>
      <c r="H7" s="39">
        <v>100</v>
      </c>
      <c r="I7" s="39">
        <v>30</v>
      </c>
      <c r="J7" s="33"/>
      <c r="K7" s="33"/>
      <c r="L7" s="33"/>
      <c r="M7" s="33"/>
      <c r="N7" s="33"/>
      <c r="O7" s="33"/>
      <c r="P7" s="33"/>
      <c r="Q7" s="33"/>
      <c r="R7" s="33"/>
      <c r="S7" s="32"/>
      <c r="T7" s="8"/>
      <c r="U7" s="8"/>
      <c r="V7" s="8"/>
      <c r="W7" s="8"/>
      <c r="X7" s="9"/>
      <c r="Y7" s="9"/>
      <c r="Z7" s="8"/>
      <c r="AA7" s="11">
        <v>1</v>
      </c>
      <c r="AB7" s="8"/>
      <c r="AC7" s="11">
        <f t="shared" ref="AC7:AC11" si="3">AA7*E7</f>
        <v>1</v>
      </c>
      <c r="AD7" s="8"/>
      <c r="AE7" s="11" t="e">
        <f>AA7*#REF!</f>
        <v>#REF!</v>
      </c>
    </row>
    <row r="8" spans="1:31" ht="16.5" customHeight="1" outlineLevel="1" x14ac:dyDescent="0.25">
      <c r="B8" s="29" t="s">
        <v>41</v>
      </c>
      <c r="C8" s="36" t="s">
        <v>22</v>
      </c>
      <c r="D8" s="28">
        <v>1721</v>
      </c>
      <c r="E8" s="26">
        <v>1</v>
      </c>
      <c r="F8" s="10">
        <v>350</v>
      </c>
      <c r="G8" s="16">
        <f t="shared" si="2"/>
        <v>350</v>
      </c>
      <c r="H8" s="39">
        <v>300</v>
      </c>
      <c r="I8" s="39">
        <v>50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8"/>
      <c r="U8" s="8"/>
      <c r="V8" s="8"/>
      <c r="W8" s="8"/>
      <c r="X8" s="9"/>
      <c r="Y8" s="9"/>
      <c r="Z8" s="8"/>
      <c r="AA8" s="11">
        <v>1</v>
      </c>
      <c r="AB8" s="8"/>
      <c r="AC8" s="11">
        <f t="shared" si="3"/>
        <v>1</v>
      </c>
      <c r="AD8" s="8"/>
      <c r="AE8" s="11" t="e">
        <f>AA8*#REF!</f>
        <v>#REF!</v>
      </c>
    </row>
    <row r="9" spans="1:31" ht="16.5" customHeight="1" outlineLevel="1" x14ac:dyDescent="0.25">
      <c r="B9" s="29" t="s">
        <v>65</v>
      </c>
      <c r="C9" s="36" t="s">
        <v>3</v>
      </c>
      <c r="D9" s="28">
        <v>1485</v>
      </c>
      <c r="E9" s="26">
        <v>0.4</v>
      </c>
      <c r="F9" s="10">
        <v>60</v>
      </c>
      <c r="G9" s="16">
        <f t="shared" si="2"/>
        <v>24</v>
      </c>
      <c r="H9" s="39">
        <v>30</v>
      </c>
      <c r="I9" s="39">
        <v>30</v>
      </c>
      <c r="J9" s="32"/>
      <c r="K9" s="32"/>
      <c r="L9" s="32"/>
      <c r="M9" s="32"/>
      <c r="N9" s="32"/>
      <c r="O9" s="32"/>
      <c r="P9" s="32"/>
      <c r="Q9" s="32"/>
      <c r="R9" s="32"/>
      <c r="S9" s="32"/>
      <c r="T9" s="8"/>
      <c r="U9" s="8"/>
      <c r="V9" s="8"/>
      <c r="W9" s="8"/>
      <c r="X9" s="9"/>
      <c r="Y9" s="9"/>
      <c r="Z9" s="8"/>
      <c r="AA9" s="11">
        <v>0.4</v>
      </c>
      <c r="AB9" s="8"/>
      <c r="AC9" s="11">
        <f t="shared" si="3"/>
        <v>0.16000000000000003</v>
      </c>
      <c r="AD9" s="8"/>
      <c r="AE9" s="11" t="e">
        <f>AA9*#REF!</f>
        <v>#REF!</v>
      </c>
    </row>
    <row r="10" spans="1:31" ht="16.5" customHeight="1" outlineLevel="1" x14ac:dyDescent="0.25">
      <c r="B10" s="29" t="s">
        <v>66</v>
      </c>
      <c r="C10" s="36" t="s">
        <v>4</v>
      </c>
      <c r="D10" s="28">
        <v>1718</v>
      </c>
      <c r="E10" s="26">
        <v>0.45</v>
      </c>
      <c r="F10" s="10">
        <v>180</v>
      </c>
      <c r="G10" s="16">
        <f t="shared" si="2"/>
        <v>81</v>
      </c>
      <c r="H10" s="39">
        <v>180</v>
      </c>
      <c r="I10" s="39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9"/>
      <c r="Y10" s="9"/>
      <c r="Z10" s="8"/>
      <c r="AA10" s="11">
        <v>0.45</v>
      </c>
      <c r="AB10" s="8"/>
      <c r="AC10" s="11">
        <f t="shared" si="3"/>
        <v>0.20250000000000001</v>
      </c>
      <c r="AD10" s="8"/>
      <c r="AE10" s="11" t="e">
        <f>AA10*#REF!</f>
        <v>#REF!</v>
      </c>
    </row>
    <row r="11" spans="1:31" ht="16.5" customHeight="1" outlineLevel="1" x14ac:dyDescent="0.25">
      <c r="B11" s="29" t="s">
        <v>67</v>
      </c>
      <c r="C11" s="36" t="s">
        <v>5</v>
      </c>
      <c r="D11" s="28">
        <v>1720</v>
      </c>
      <c r="E11" s="26">
        <v>0.45</v>
      </c>
      <c r="F11" s="10">
        <v>216</v>
      </c>
      <c r="G11" s="16">
        <f t="shared" si="2"/>
        <v>97.2</v>
      </c>
      <c r="H11" s="39">
        <v>180</v>
      </c>
      <c r="I11" s="39">
        <v>36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9"/>
      <c r="Y11" s="9"/>
      <c r="Z11" s="8"/>
      <c r="AA11" s="11">
        <v>0.45</v>
      </c>
      <c r="AB11" s="8"/>
      <c r="AC11" s="11">
        <f t="shared" si="3"/>
        <v>0.20250000000000001</v>
      </c>
      <c r="AD11" s="8"/>
      <c r="AE11" s="11" t="e">
        <f>AA11*#REF!</f>
        <v>#REF!</v>
      </c>
    </row>
    <row r="12" spans="1:31" ht="16.5" customHeight="1" outlineLevel="1" x14ac:dyDescent="0.25">
      <c r="B12" s="29" t="s">
        <v>68</v>
      </c>
      <c r="C12" s="36" t="s">
        <v>6</v>
      </c>
      <c r="D12" s="28">
        <v>2606</v>
      </c>
      <c r="E12" s="26">
        <v>0.35</v>
      </c>
      <c r="F12" s="10">
        <v>18</v>
      </c>
      <c r="G12" s="16">
        <f t="shared" si="2"/>
        <v>6.3</v>
      </c>
      <c r="H12" s="39"/>
      <c r="I12" s="39">
        <v>18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9"/>
      <c r="Y12" s="9"/>
      <c r="Z12" s="8"/>
      <c r="AA12" s="11">
        <v>0.35</v>
      </c>
      <c r="AB12" s="8"/>
      <c r="AC12" s="11">
        <f t="shared" ref="AC12:AC13" si="4">AA12*E12</f>
        <v>0.12249999999999998</v>
      </c>
      <c r="AD12" s="8"/>
      <c r="AE12" s="11" t="e">
        <f>AA12*#REF!</f>
        <v>#REF!</v>
      </c>
    </row>
    <row r="13" spans="1:31" ht="16.5" customHeight="1" outlineLevel="1" x14ac:dyDescent="0.25">
      <c r="B13" s="29" t="s">
        <v>42</v>
      </c>
      <c r="C13" s="36" t="s">
        <v>7</v>
      </c>
      <c r="D13" s="28">
        <v>2035</v>
      </c>
      <c r="E13" s="26">
        <v>1</v>
      </c>
      <c r="F13" s="10">
        <v>170</v>
      </c>
      <c r="G13" s="16">
        <f t="shared" si="2"/>
        <v>170</v>
      </c>
      <c r="H13" s="39">
        <v>100</v>
      </c>
      <c r="I13" s="39">
        <v>70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9"/>
      <c r="Y13" s="9"/>
      <c r="Z13" s="8"/>
      <c r="AA13" s="11">
        <v>1</v>
      </c>
      <c r="AB13" s="8"/>
      <c r="AC13" s="11">
        <f t="shared" si="4"/>
        <v>1</v>
      </c>
      <c r="AD13" s="8"/>
      <c r="AE13" s="11" t="e">
        <f>AA13*#REF!</f>
        <v>#REF!</v>
      </c>
    </row>
    <row r="14" spans="1:31" ht="16.5" customHeight="1" outlineLevel="1" x14ac:dyDescent="0.25">
      <c r="B14" s="29" t="s">
        <v>43</v>
      </c>
      <c r="C14" s="36" t="s">
        <v>8</v>
      </c>
      <c r="D14" s="28">
        <v>2182</v>
      </c>
      <c r="E14" s="26">
        <v>1</v>
      </c>
      <c r="F14" s="10">
        <v>30</v>
      </c>
      <c r="G14" s="16">
        <f t="shared" ref="G14:G32" si="5">F14*E14</f>
        <v>30</v>
      </c>
      <c r="H14" s="39"/>
      <c r="I14" s="39">
        <v>30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9"/>
      <c r="Y14" s="9"/>
      <c r="Z14" s="8"/>
      <c r="AA14" s="11">
        <v>1</v>
      </c>
      <c r="AB14" s="8"/>
      <c r="AC14" s="11">
        <f t="shared" ref="AC14:AC24" si="6">AA14*E14</f>
        <v>1</v>
      </c>
      <c r="AD14" s="8"/>
      <c r="AE14" s="11" t="e">
        <f>AA14*#REF!</f>
        <v>#REF!</v>
      </c>
    </row>
    <row r="15" spans="1:31" ht="16.5" customHeight="1" outlineLevel="1" x14ac:dyDescent="0.25">
      <c r="B15" s="29" t="s">
        <v>44</v>
      </c>
      <c r="C15" s="36" t="s">
        <v>9</v>
      </c>
      <c r="D15" s="28">
        <v>2010</v>
      </c>
      <c r="E15" s="26">
        <v>1</v>
      </c>
      <c r="F15" s="10">
        <v>300</v>
      </c>
      <c r="G15" s="16">
        <f t="shared" si="5"/>
        <v>300</v>
      </c>
      <c r="H15" s="39">
        <v>300</v>
      </c>
      <c r="I15" s="39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9"/>
      <c r="Y15" s="9"/>
      <c r="Z15" s="8"/>
      <c r="AA15" s="11">
        <v>1</v>
      </c>
      <c r="AB15" s="8"/>
      <c r="AC15" s="11">
        <f t="shared" si="6"/>
        <v>1</v>
      </c>
      <c r="AD15" s="8"/>
      <c r="AE15" s="11" t="e">
        <f>AA15*#REF!</f>
        <v>#REF!</v>
      </c>
    </row>
    <row r="16" spans="1:31" ht="16.5" customHeight="1" outlineLevel="1" x14ac:dyDescent="0.25">
      <c r="B16" s="29" t="s">
        <v>45</v>
      </c>
      <c r="C16" s="36" t="s">
        <v>10</v>
      </c>
      <c r="D16" s="28">
        <v>2158</v>
      </c>
      <c r="E16" s="26">
        <v>1</v>
      </c>
      <c r="F16" s="10">
        <v>30</v>
      </c>
      <c r="G16" s="16">
        <f t="shared" si="5"/>
        <v>30</v>
      </c>
      <c r="H16" s="39"/>
      <c r="I16" s="39">
        <v>30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9"/>
      <c r="Y16" s="9"/>
      <c r="Z16" s="8"/>
      <c r="AA16" s="11">
        <v>1</v>
      </c>
      <c r="AB16" s="8"/>
      <c r="AC16" s="11">
        <f t="shared" si="6"/>
        <v>1</v>
      </c>
      <c r="AD16" s="8"/>
      <c r="AE16" s="11" t="e">
        <f>AA16*#REF!</f>
        <v>#REF!</v>
      </c>
    </row>
    <row r="17" spans="2:31" ht="16.5" customHeight="1" outlineLevel="1" x14ac:dyDescent="0.25">
      <c r="B17" s="29" t="s">
        <v>46</v>
      </c>
      <c r="C17" s="36" t="s">
        <v>11</v>
      </c>
      <c r="D17" s="28">
        <v>2151</v>
      </c>
      <c r="E17" s="26">
        <v>1</v>
      </c>
      <c r="F17" s="10">
        <v>80</v>
      </c>
      <c r="G17" s="16">
        <f t="shared" si="5"/>
        <v>80</v>
      </c>
      <c r="H17" s="39">
        <v>50</v>
      </c>
      <c r="I17" s="39">
        <v>30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9"/>
      <c r="Y17" s="9"/>
      <c r="Z17" s="8"/>
      <c r="AA17" s="11">
        <v>1</v>
      </c>
      <c r="AB17" s="8"/>
      <c r="AC17" s="11">
        <f t="shared" si="6"/>
        <v>1</v>
      </c>
      <c r="AD17" s="8"/>
      <c r="AE17" s="11" t="e">
        <f>AA17*#REF!</f>
        <v>#REF!</v>
      </c>
    </row>
    <row r="18" spans="2:31" ht="16.5" customHeight="1" outlineLevel="1" x14ac:dyDescent="0.25">
      <c r="B18" s="29" t="s">
        <v>47</v>
      </c>
      <c r="C18" s="36" t="s">
        <v>12</v>
      </c>
      <c r="D18" s="28">
        <v>1820</v>
      </c>
      <c r="E18" s="26">
        <v>1</v>
      </c>
      <c r="F18" s="10">
        <v>80</v>
      </c>
      <c r="G18" s="16">
        <f t="shared" si="5"/>
        <v>80</v>
      </c>
      <c r="H18" s="39">
        <v>80</v>
      </c>
      <c r="I18" s="39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9"/>
      <c r="Y18" s="9"/>
      <c r="Z18" s="8"/>
      <c r="AA18" s="11">
        <v>1</v>
      </c>
      <c r="AB18" s="8"/>
      <c r="AC18" s="11">
        <f t="shared" si="6"/>
        <v>1</v>
      </c>
      <c r="AD18" s="8"/>
      <c r="AE18" s="11" t="e">
        <f>AA18*#REF!</f>
        <v>#REF!</v>
      </c>
    </row>
    <row r="19" spans="2:31" ht="16.5" customHeight="1" outlineLevel="1" x14ac:dyDescent="0.25">
      <c r="B19" s="29" t="s">
        <v>48</v>
      </c>
      <c r="C19" s="36" t="s">
        <v>13</v>
      </c>
      <c r="D19" s="28">
        <v>1051</v>
      </c>
      <c r="E19" s="26">
        <v>1</v>
      </c>
      <c r="F19" s="10">
        <v>30</v>
      </c>
      <c r="G19" s="16">
        <f t="shared" si="5"/>
        <v>30</v>
      </c>
      <c r="H19" s="39"/>
      <c r="I19" s="39">
        <v>30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9"/>
      <c r="Y19" s="9"/>
      <c r="Z19" s="8"/>
      <c r="AA19" s="11">
        <v>1</v>
      </c>
      <c r="AB19" s="8"/>
      <c r="AC19" s="11">
        <f t="shared" si="6"/>
        <v>1</v>
      </c>
      <c r="AD19" s="8"/>
      <c r="AE19" s="11" t="e">
        <f>AA19*#REF!</f>
        <v>#REF!</v>
      </c>
    </row>
    <row r="20" spans="2:31" ht="16.5" customHeight="1" outlineLevel="1" x14ac:dyDescent="0.25">
      <c r="B20" s="29" t="s">
        <v>49</v>
      </c>
      <c r="C20" s="36" t="s">
        <v>14</v>
      </c>
      <c r="D20" s="28">
        <v>2287</v>
      </c>
      <c r="E20" s="26">
        <v>1</v>
      </c>
      <c r="F20" s="10">
        <v>600</v>
      </c>
      <c r="G20" s="16">
        <f t="shared" si="5"/>
        <v>600</v>
      </c>
      <c r="H20" s="39">
        <v>500</v>
      </c>
      <c r="I20" s="39">
        <v>100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9"/>
      <c r="Y20" s="9"/>
      <c r="Z20" s="8"/>
      <c r="AA20" s="11">
        <v>1</v>
      </c>
      <c r="AB20" s="8"/>
      <c r="AC20" s="11">
        <f t="shared" si="6"/>
        <v>1</v>
      </c>
      <c r="AD20" s="8"/>
      <c r="AE20" s="11" t="e">
        <f>AA20*#REF!</f>
        <v>#REF!</v>
      </c>
    </row>
    <row r="21" spans="2:31" ht="16.5" customHeight="1" outlineLevel="1" x14ac:dyDescent="0.25">
      <c r="B21" s="29" t="s">
        <v>50</v>
      </c>
      <c r="C21" s="36" t="s">
        <v>15</v>
      </c>
      <c r="D21" s="28">
        <v>227</v>
      </c>
      <c r="E21" s="26">
        <v>1</v>
      </c>
      <c r="F21" s="10">
        <v>150</v>
      </c>
      <c r="G21" s="16">
        <f t="shared" si="5"/>
        <v>150</v>
      </c>
      <c r="H21" s="39">
        <v>150</v>
      </c>
      <c r="I21" s="39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9"/>
      <c r="Y21" s="9"/>
      <c r="Z21" s="8"/>
      <c r="AA21" s="11">
        <v>1</v>
      </c>
      <c r="AB21" s="8"/>
      <c r="AC21" s="11">
        <f t="shared" si="6"/>
        <v>1</v>
      </c>
      <c r="AD21" s="8"/>
      <c r="AE21" s="11" t="e">
        <f>AA21*#REF!</f>
        <v>#REF!</v>
      </c>
    </row>
    <row r="22" spans="2:31" ht="16.5" customHeight="1" outlineLevel="1" x14ac:dyDescent="0.25">
      <c r="B22" s="29" t="s">
        <v>51</v>
      </c>
      <c r="C22" s="36" t="s">
        <v>16</v>
      </c>
      <c r="D22" s="28">
        <v>2074</v>
      </c>
      <c r="E22" s="26">
        <v>1</v>
      </c>
      <c r="F22" s="10">
        <v>100</v>
      </c>
      <c r="G22" s="16">
        <f t="shared" si="5"/>
        <v>100</v>
      </c>
      <c r="H22" s="39">
        <v>50</v>
      </c>
      <c r="I22" s="39">
        <v>50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9"/>
      <c r="Y22" s="9"/>
      <c r="Z22" s="8"/>
      <c r="AA22" s="11">
        <v>1</v>
      </c>
      <c r="AB22" s="8"/>
      <c r="AC22" s="11">
        <f t="shared" si="6"/>
        <v>1</v>
      </c>
      <c r="AD22" s="8"/>
      <c r="AE22" s="11" t="e">
        <f>AA22*#REF!</f>
        <v>#REF!</v>
      </c>
    </row>
    <row r="23" spans="2:31" ht="16.5" customHeight="1" outlineLevel="1" x14ac:dyDescent="0.25">
      <c r="B23" s="29" t="s">
        <v>52</v>
      </c>
      <c r="C23" s="36" t="s">
        <v>17</v>
      </c>
      <c r="D23" s="28">
        <v>246</v>
      </c>
      <c r="E23" s="26">
        <v>1</v>
      </c>
      <c r="F23" s="10">
        <v>80</v>
      </c>
      <c r="G23" s="16">
        <f t="shared" si="5"/>
        <v>80</v>
      </c>
      <c r="H23" s="39">
        <v>30</v>
      </c>
      <c r="I23" s="39">
        <v>50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9"/>
      <c r="Y23" s="9"/>
      <c r="Z23" s="8"/>
      <c r="AA23" s="11">
        <v>1</v>
      </c>
      <c r="AB23" s="8"/>
      <c r="AC23" s="11">
        <f t="shared" si="6"/>
        <v>1</v>
      </c>
      <c r="AD23" s="8"/>
      <c r="AE23" s="11" t="e">
        <f>AA23*#REF!</f>
        <v>#REF!</v>
      </c>
    </row>
    <row r="24" spans="2:31" ht="16.5" customHeight="1" outlineLevel="1" x14ac:dyDescent="0.25">
      <c r="B24" s="29" t="s">
        <v>53</v>
      </c>
      <c r="C24" s="36" t="s">
        <v>18</v>
      </c>
      <c r="D24" s="28">
        <v>2612</v>
      </c>
      <c r="E24" s="26">
        <v>1</v>
      </c>
      <c r="F24" s="10">
        <v>50</v>
      </c>
      <c r="G24" s="16">
        <f t="shared" si="5"/>
        <v>50</v>
      </c>
      <c r="H24" s="39">
        <v>50</v>
      </c>
      <c r="I24" s="39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9"/>
      <c r="Y24" s="9"/>
      <c r="Z24" s="8"/>
      <c r="AA24" s="11">
        <v>1</v>
      </c>
      <c r="AB24" s="8"/>
      <c r="AC24" s="11">
        <f t="shared" si="6"/>
        <v>1</v>
      </c>
      <c r="AD24" s="8"/>
      <c r="AE24" s="11" t="e">
        <f>AA24*#REF!</f>
        <v>#REF!</v>
      </c>
    </row>
    <row r="25" spans="2:31" ht="16.5" customHeight="1" outlineLevel="1" x14ac:dyDescent="0.25">
      <c r="B25" s="29" t="s">
        <v>69</v>
      </c>
      <c r="C25" s="36" t="s">
        <v>37</v>
      </c>
      <c r="D25" s="28">
        <v>2618</v>
      </c>
      <c r="E25" s="26">
        <v>0.4</v>
      </c>
      <c r="F25" s="10">
        <v>510</v>
      </c>
      <c r="G25" s="16">
        <f t="shared" si="5"/>
        <v>204</v>
      </c>
      <c r="H25" s="39">
        <v>510</v>
      </c>
      <c r="I25" s="39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9"/>
      <c r="Y25" s="9"/>
      <c r="Z25" s="8"/>
      <c r="AA25" s="11">
        <v>0.4</v>
      </c>
      <c r="AB25" s="8"/>
      <c r="AC25" s="11">
        <f t="shared" ref="AC25:AC36" si="7">AA25*E25</f>
        <v>0.16000000000000003</v>
      </c>
      <c r="AD25" s="8"/>
      <c r="AE25" s="11" t="e">
        <f>AA25*#REF!</f>
        <v>#REF!</v>
      </c>
    </row>
    <row r="26" spans="2:31" ht="16.5" customHeight="1" outlineLevel="1" x14ac:dyDescent="0.25">
      <c r="B26" s="29" t="s">
        <v>70</v>
      </c>
      <c r="C26" s="36" t="s">
        <v>30</v>
      </c>
      <c r="D26" s="28">
        <v>2621</v>
      </c>
      <c r="E26" s="26">
        <v>0.4</v>
      </c>
      <c r="F26" s="10">
        <v>510</v>
      </c>
      <c r="G26" s="16">
        <f t="shared" si="5"/>
        <v>204</v>
      </c>
      <c r="H26" s="39">
        <v>510</v>
      </c>
      <c r="I26" s="39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9"/>
      <c r="Y26" s="9"/>
      <c r="Z26" s="8"/>
      <c r="AA26" s="11">
        <v>0.4</v>
      </c>
      <c r="AB26" s="8"/>
      <c r="AC26" s="11">
        <f t="shared" si="7"/>
        <v>0.16000000000000003</v>
      </c>
      <c r="AD26" s="8"/>
      <c r="AE26" s="11" t="e">
        <f>AA26*#REF!</f>
        <v>#REF!</v>
      </c>
    </row>
    <row r="27" spans="2:31" ht="16.5" customHeight="1" outlineLevel="1" x14ac:dyDescent="0.25">
      <c r="B27" s="29" t="s">
        <v>54</v>
      </c>
      <c r="C27" s="36" t="s">
        <v>35</v>
      </c>
      <c r="D27" s="28">
        <v>2858</v>
      </c>
      <c r="E27" s="26">
        <v>1</v>
      </c>
      <c r="F27" s="10">
        <v>10</v>
      </c>
      <c r="G27" s="16">
        <f t="shared" si="5"/>
        <v>10</v>
      </c>
      <c r="H27" s="39"/>
      <c r="I27" s="39">
        <v>10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9"/>
      <c r="Y27" s="9"/>
      <c r="Z27" s="8"/>
      <c r="AA27" s="11">
        <v>0.35</v>
      </c>
      <c r="AB27" s="8"/>
      <c r="AC27" s="11">
        <f t="shared" si="7"/>
        <v>0.35</v>
      </c>
      <c r="AD27" s="8"/>
      <c r="AE27" s="11" t="e">
        <f>AA27*#REF!</f>
        <v>#REF!</v>
      </c>
    </row>
    <row r="28" spans="2:31" ht="16.5" customHeight="1" outlineLevel="1" x14ac:dyDescent="0.25">
      <c r="B28" s="29" t="s">
        <v>55</v>
      </c>
      <c r="C28" s="36" t="s">
        <v>27</v>
      </c>
      <c r="D28" s="28">
        <v>2876</v>
      </c>
      <c r="E28" s="26">
        <v>1</v>
      </c>
      <c r="F28" s="10">
        <v>70</v>
      </c>
      <c r="G28" s="16">
        <f t="shared" si="5"/>
        <v>70</v>
      </c>
      <c r="H28" s="39">
        <v>60</v>
      </c>
      <c r="I28" s="39">
        <v>10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9"/>
      <c r="Y28" s="9"/>
      <c r="Z28" s="8"/>
      <c r="AA28" s="11">
        <v>1</v>
      </c>
      <c r="AB28" s="8"/>
      <c r="AC28" s="11">
        <f t="shared" si="7"/>
        <v>1</v>
      </c>
      <c r="AD28" s="8"/>
      <c r="AE28" s="11" t="e">
        <f>AA28*#REF!</f>
        <v>#REF!</v>
      </c>
    </row>
    <row r="29" spans="2:31" ht="16.5" customHeight="1" outlineLevel="1" x14ac:dyDescent="0.25">
      <c r="B29" s="29" t="s">
        <v>56</v>
      </c>
      <c r="C29" s="36" t="s">
        <v>28</v>
      </c>
      <c r="D29" s="28">
        <v>2847</v>
      </c>
      <c r="E29" s="26">
        <v>1</v>
      </c>
      <c r="F29" s="10">
        <v>10</v>
      </c>
      <c r="G29" s="16">
        <f t="shared" si="5"/>
        <v>10</v>
      </c>
      <c r="H29" s="39"/>
      <c r="I29" s="39">
        <v>10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9"/>
      <c r="Y29" s="9"/>
      <c r="Z29" s="8"/>
      <c r="AA29" s="11">
        <v>1</v>
      </c>
      <c r="AB29" s="8"/>
      <c r="AC29" s="11">
        <f t="shared" si="7"/>
        <v>1</v>
      </c>
      <c r="AD29" s="8"/>
      <c r="AE29" s="11" t="e">
        <f>AA29*#REF!</f>
        <v>#REF!</v>
      </c>
    </row>
    <row r="30" spans="2:31" ht="16.5" customHeight="1" outlineLevel="1" x14ac:dyDescent="0.25">
      <c r="B30" s="29" t="s">
        <v>71</v>
      </c>
      <c r="C30" s="36" t="s">
        <v>31</v>
      </c>
      <c r="D30" s="28">
        <v>2686</v>
      </c>
      <c r="E30" s="26">
        <v>0.4</v>
      </c>
      <c r="F30" s="10">
        <v>600</v>
      </c>
      <c r="G30" s="16">
        <f t="shared" si="5"/>
        <v>240</v>
      </c>
      <c r="H30" s="39">
        <v>510</v>
      </c>
      <c r="I30" s="39">
        <v>90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9"/>
      <c r="Y30" s="9"/>
      <c r="Z30" s="8"/>
      <c r="AA30" s="11">
        <v>0.4</v>
      </c>
      <c r="AB30" s="8"/>
      <c r="AC30" s="11">
        <f t="shared" si="7"/>
        <v>0.16000000000000003</v>
      </c>
      <c r="AD30" s="8"/>
      <c r="AE30" s="11" t="e">
        <f>AA30*#REF!</f>
        <v>#REF!</v>
      </c>
    </row>
    <row r="31" spans="2:31" ht="16.5" customHeight="1" outlineLevel="1" x14ac:dyDescent="0.25">
      <c r="B31" s="29" t="s">
        <v>57</v>
      </c>
      <c r="C31" s="36" t="s">
        <v>24</v>
      </c>
      <c r="D31" s="28">
        <v>2828</v>
      </c>
      <c r="E31" s="26">
        <v>1</v>
      </c>
      <c r="F31" s="10">
        <v>15</v>
      </c>
      <c r="G31" s="16">
        <f t="shared" si="5"/>
        <v>15</v>
      </c>
      <c r="H31" s="39"/>
      <c r="I31" s="39">
        <v>15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9"/>
      <c r="Y31" s="9"/>
      <c r="Z31" s="8"/>
      <c r="AA31" s="11">
        <v>1</v>
      </c>
      <c r="AB31" s="8"/>
      <c r="AC31" s="11">
        <f t="shared" si="7"/>
        <v>1</v>
      </c>
      <c r="AD31" s="8"/>
      <c r="AE31" s="11" t="e">
        <f>AA31*#REF!</f>
        <v>#REF!</v>
      </c>
    </row>
    <row r="32" spans="2:31" ht="16.5" customHeight="1" outlineLevel="1" x14ac:dyDescent="0.25">
      <c r="B32" s="29" t="s">
        <v>58</v>
      </c>
      <c r="C32" s="36" t="s">
        <v>93</v>
      </c>
      <c r="D32" s="28">
        <v>2830</v>
      </c>
      <c r="E32" s="26">
        <v>1</v>
      </c>
      <c r="F32" s="10">
        <v>80</v>
      </c>
      <c r="G32" s="16">
        <f t="shared" si="5"/>
        <v>80</v>
      </c>
      <c r="H32" s="39">
        <v>30</v>
      </c>
      <c r="I32" s="39">
        <v>50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9"/>
      <c r="Y32" s="9"/>
      <c r="Z32" s="8"/>
      <c r="AA32" s="11">
        <v>1</v>
      </c>
      <c r="AB32" s="8"/>
      <c r="AC32" s="11">
        <f t="shared" si="7"/>
        <v>1</v>
      </c>
      <c r="AD32" s="8"/>
      <c r="AE32" s="11" t="e">
        <f>AA32*#REF!</f>
        <v>#REF!</v>
      </c>
    </row>
    <row r="33" spans="2:31" ht="16.5" customHeight="1" outlineLevel="1" x14ac:dyDescent="0.25">
      <c r="B33" s="29" t="s">
        <v>59</v>
      </c>
      <c r="C33" s="36" t="s">
        <v>25</v>
      </c>
      <c r="D33" s="28" t="s">
        <v>76</v>
      </c>
      <c r="E33" s="26">
        <v>1</v>
      </c>
      <c r="F33" s="10">
        <v>100</v>
      </c>
      <c r="G33" s="16">
        <f t="shared" ref="G33:G46" si="8">F33*E33</f>
        <v>100</v>
      </c>
      <c r="H33" s="39">
        <v>100</v>
      </c>
      <c r="I33" s="39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9"/>
      <c r="Y33" s="9"/>
      <c r="Z33" s="8"/>
      <c r="AA33" s="11">
        <v>1</v>
      </c>
      <c r="AB33" s="8"/>
      <c r="AC33" s="11">
        <f t="shared" si="7"/>
        <v>1</v>
      </c>
      <c r="AD33" s="8"/>
      <c r="AE33" s="11" t="e">
        <f>AA33*#REF!</f>
        <v>#REF!</v>
      </c>
    </row>
    <row r="34" spans="2:31" ht="16.5" customHeight="1" outlineLevel="1" x14ac:dyDescent="0.25">
      <c r="B34" s="29" t="s">
        <v>60</v>
      </c>
      <c r="C34" s="36" t="s">
        <v>23</v>
      </c>
      <c r="D34" s="28" t="s">
        <v>77</v>
      </c>
      <c r="E34" s="26">
        <v>1</v>
      </c>
      <c r="F34" s="10">
        <v>1500</v>
      </c>
      <c r="G34" s="16">
        <f t="shared" si="8"/>
        <v>1500</v>
      </c>
      <c r="H34" s="39">
        <v>1500</v>
      </c>
      <c r="I34" s="39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9"/>
      <c r="Y34" s="9"/>
      <c r="Z34" s="8"/>
      <c r="AA34" s="11">
        <v>1</v>
      </c>
      <c r="AB34" s="8"/>
      <c r="AC34" s="11">
        <f t="shared" si="7"/>
        <v>1</v>
      </c>
      <c r="AD34" s="8"/>
      <c r="AE34" s="11" t="e">
        <f>AA34*#REF!</f>
        <v>#REF!</v>
      </c>
    </row>
    <row r="35" spans="2:31" ht="16.5" customHeight="1" outlineLevel="1" x14ac:dyDescent="0.25">
      <c r="B35" s="29" t="s">
        <v>72</v>
      </c>
      <c r="C35" s="36" t="s">
        <v>26</v>
      </c>
      <c r="D35" s="28">
        <v>2815</v>
      </c>
      <c r="E35" s="26">
        <v>0.45</v>
      </c>
      <c r="F35" s="10">
        <v>36</v>
      </c>
      <c r="G35" s="16">
        <f t="shared" si="8"/>
        <v>16.2</v>
      </c>
      <c r="H35" s="39">
        <v>36</v>
      </c>
      <c r="I35" s="39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9"/>
      <c r="Y35" s="9"/>
      <c r="Z35" s="8"/>
      <c r="AA35" s="11">
        <v>0.45</v>
      </c>
      <c r="AB35" s="8"/>
      <c r="AC35" s="11">
        <f t="shared" si="7"/>
        <v>0.20250000000000001</v>
      </c>
      <c r="AD35" s="8"/>
      <c r="AE35" s="11" t="e">
        <f>AA35*#REF!</f>
        <v>#REF!</v>
      </c>
    </row>
    <row r="36" spans="2:31" ht="16.5" customHeight="1" outlineLevel="1" x14ac:dyDescent="0.25">
      <c r="B36" s="29" t="s">
        <v>61</v>
      </c>
      <c r="C36" s="36" t="s">
        <v>29</v>
      </c>
      <c r="D36" s="28">
        <v>2805</v>
      </c>
      <c r="E36" s="26">
        <v>1</v>
      </c>
      <c r="F36" s="10">
        <v>160</v>
      </c>
      <c r="G36" s="16">
        <f t="shared" si="8"/>
        <v>160</v>
      </c>
      <c r="H36" s="39">
        <v>120</v>
      </c>
      <c r="I36" s="39">
        <v>40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9"/>
      <c r="Y36" s="9"/>
      <c r="Z36" s="8"/>
      <c r="AA36" s="11">
        <v>1</v>
      </c>
      <c r="AB36" s="8"/>
      <c r="AC36" s="11">
        <f t="shared" si="7"/>
        <v>1</v>
      </c>
      <c r="AD36" s="8"/>
      <c r="AE36" s="11" t="e">
        <f>AA36*#REF!</f>
        <v>#REF!</v>
      </c>
    </row>
    <row r="37" spans="2:31" ht="16.5" customHeight="1" outlineLevel="1" x14ac:dyDescent="0.25">
      <c r="B37" s="29" t="s">
        <v>73</v>
      </c>
      <c r="C37" s="36" t="s">
        <v>38</v>
      </c>
      <c r="D37" s="28">
        <v>2816</v>
      </c>
      <c r="E37" s="26">
        <v>0.45</v>
      </c>
      <c r="F37" s="10">
        <v>36</v>
      </c>
      <c r="G37" s="16">
        <f t="shared" si="8"/>
        <v>16.2</v>
      </c>
      <c r="H37" s="39">
        <v>36</v>
      </c>
      <c r="I37" s="39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9"/>
      <c r="Y37" s="9"/>
      <c r="Z37" s="8"/>
      <c r="AA37" s="11"/>
      <c r="AB37" s="8"/>
      <c r="AC37" s="11"/>
      <c r="AD37" s="8"/>
      <c r="AE37" s="11"/>
    </row>
    <row r="38" spans="2:31" ht="16.5" customHeight="1" outlineLevel="1" x14ac:dyDescent="0.25">
      <c r="B38" s="29" t="s">
        <v>74</v>
      </c>
      <c r="C38" s="36" t="s">
        <v>32</v>
      </c>
      <c r="D38" s="28">
        <v>2758</v>
      </c>
      <c r="E38" s="26">
        <v>0.4</v>
      </c>
      <c r="F38" s="10">
        <v>42</v>
      </c>
      <c r="G38" s="16">
        <f t="shared" si="8"/>
        <v>16.8</v>
      </c>
      <c r="H38" s="39">
        <v>24</v>
      </c>
      <c r="I38" s="39">
        <v>18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9"/>
      <c r="Y38" s="9"/>
      <c r="Z38" s="8"/>
      <c r="AA38" s="11">
        <v>0.4</v>
      </c>
      <c r="AB38" s="8"/>
      <c r="AC38" s="11">
        <f t="shared" ref="AC38:AC39" si="9">AA38*E38</f>
        <v>0.16000000000000003</v>
      </c>
      <c r="AD38" s="8"/>
      <c r="AE38" s="11" t="e">
        <f>AA38*#REF!</f>
        <v>#REF!</v>
      </c>
    </row>
    <row r="39" spans="2:31" ht="16.5" customHeight="1" outlineLevel="1" x14ac:dyDescent="0.25">
      <c r="B39" s="29" t="s">
        <v>75</v>
      </c>
      <c r="C39" s="36" t="s">
        <v>33</v>
      </c>
      <c r="D39" s="28">
        <v>2759</v>
      </c>
      <c r="E39" s="26">
        <v>0.4</v>
      </c>
      <c r="F39" s="10">
        <v>18</v>
      </c>
      <c r="G39" s="16">
        <f t="shared" si="8"/>
        <v>7.2</v>
      </c>
      <c r="H39" s="39"/>
      <c r="I39" s="39">
        <v>18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9"/>
      <c r="Y39" s="9"/>
      <c r="Z39" s="8"/>
      <c r="AA39" s="11">
        <v>0.4</v>
      </c>
      <c r="AB39" s="8"/>
      <c r="AC39" s="11">
        <f t="shared" si="9"/>
        <v>0.16000000000000003</v>
      </c>
      <c r="AD39" s="8"/>
      <c r="AE39" s="11" t="e">
        <f>AA39*#REF!</f>
        <v>#REF!</v>
      </c>
    </row>
    <row r="40" spans="2:31" ht="16.5" customHeight="1" outlineLevel="1" x14ac:dyDescent="0.25">
      <c r="B40" s="29" t="s">
        <v>62</v>
      </c>
      <c r="C40" s="36" t="s">
        <v>34</v>
      </c>
      <c r="D40" s="28">
        <v>2947</v>
      </c>
      <c r="E40" s="26">
        <v>1</v>
      </c>
      <c r="F40" s="10">
        <v>120</v>
      </c>
      <c r="G40" s="16">
        <f t="shared" si="8"/>
        <v>120</v>
      </c>
      <c r="H40" s="39">
        <v>120</v>
      </c>
      <c r="I40" s="39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9"/>
      <c r="Y40" s="9"/>
      <c r="Z40" s="8"/>
      <c r="AA40" s="11"/>
      <c r="AB40" s="8"/>
      <c r="AC40" s="11"/>
      <c r="AD40" s="8"/>
      <c r="AE40" s="11"/>
    </row>
    <row r="41" spans="2:31" ht="16.5" customHeight="1" outlineLevel="1" x14ac:dyDescent="0.25">
      <c r="B41" s="29" t="s">
        <v>84</v>
      </c>
      <c r="C41" s="37" t="s">
        <v>85</v>
      </c>
      <c r="D41" s="28">
        <v>2844</v>
      </c>
      <c r="E41" s="26">
        <v>0.4</v>
      </c>
      <c r="F41" s="10">
        <v>630</v>
      </c>
      <c r="G41" s="16">
        <f t="shared" si="8"/>
        <v>252</v>
      </c>
      <c r="H41" s="39">
        <v>510</v>
      </c>
      <c r="I41" s="39">
        <v>120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9"/>
      <c r="Y41" s="9"/>
      <c r="Z41" s="8"/>
      <c r="AA41" s="11">
        <v>0.5</v>
      </c>
      <c r="AB41" s="8"/>
      <c r="AC41" s="11">
        <f t="shared" ref="AC41:AC43" si="10">AA41*E41</f>
        <v>0.2</v>
      </c>
      <c r="AD41" s="8"/>
      <c r="AE41" s="11" t="e">
        <f>AA41*#REF!</f>
        <v>#REF!</v>
      </c>
    </row>
    <row r="42" spans="2:31" ht="16.5" customHeight="1" outlineLevel="1" x14ac:dyDescent="0.25">
      <c r="B42" s="29" t="s">
        <v>86</v>
      </c>
      <c r="C42" s="37" t="s">
        <v>87</v>
      </c>
      <c r="D42" s="28">
        <v>2842</v>
      </c>
      <c r="E42" s="26">
        <v>0.4</v>
      </c>
      <c r="F42" s="10">
        <v>720</v>
      </c>
      <c r="G42" s="16">
        <f t="shared" si="8"/>
        <v>288</v>
      </c>
      <c r="H42" s="39">
        <v>480</v>
      </c>
      <c r="I42" s="39">
        <v>240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9"/>
      <c r="Y42" s="9"/>
      <c r="Z42" s="8"/>
      <c r="AA42" s="11">
        <v>1</v>
      </c>
      <c r="AB42" s="8"/>
      <c r="AC42" s="11">
        <f t="shared" si="10"/>
        <v>0.4</v>
      </c>
      <c r="AD42" s="8"/>
      <c r="AE42" s="11" t="e">
        <f>AA42*#REF!</f>
        <v>#REF!</v>
      </c>
    </row>
    <row r="43" spans="2:31" ht="16.5" customHeight="1" outlineLevel="1" x14ac:dyDescent="0.25">
      <c r="B43" s="29" t="s">
        <v>89</v>
      </c>
      <c r="C43" s="36" t="s">
        <v>92</v>
      </c>
      <c r="D43" s="28">
        <v>2603</v>
      </c>
      <c r="E43" s="26">
        <v>0.35</v>
      </c>
      <c r="F43" s="10">
        <v>36</v>
      </c>
      <c r="G43" s="16">
        <f t="shared" si="8"/>
        <v>12.6</v>
      </c>
      <c r="H43" s="39"/>
      <c r="I43" s="39">
        <v>36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9"/>
      <c r="Y43" s="9"/>
      <c r="Z43" s="8"/>
      <c r="AA43" s="11">
        <v>0.35</v>
      </c>
      <c r="AB43" s="8"/>
      <c r="AC43" s="11">
        <f t="shared" si="10"/>
        <v>0.12249999999999998</v>
      </c>
      <c r="AD43" s="8"/>
      <c r="AE43" s="11" t="e">
        <f>AA43*#REF!</f>
        <v>#REF!</v>
      </c>
    </row>
    <row r="44" spans="2:31" ht="16.5" customHeight="1" outlineLevel="1" x14ac:dyDescent="0.25">
      <c r="B44" s="29" t="s">
        <v>63</v>
      </c>
      <c r="C44" s="36" t="s">
        <v>83</v>
      </c>
      <c r="D44" s="28">
        <v>2941</v>
      </c>
      <c r="E44" s="26">
        <v>1</v>
      </c>
      <c r="F44" s="10">
        <v>100</v>
      </c>
      <c r="G44" s="16">
        <f t="shared" si="8"/>
        <v>100</v>
      </c>
      <c r="H44" s="39"/>
      <c r="I44" s="39">
        <v>100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9"/>
      <c r="Y44" s="9"/>
      <c r="Z44" s="8"/>
      <c r="AA44" s="11"/>
      <c r="AB44" s="8"/>
      <c r="AC44" s="11"/>
      <c r="AD44" s="8"/>
      <c r="AE44" s="11"/>
    </row>
    <row r="45" spans="2:31" ht="16.5" customHeight="1" outlineLevel="1" x14ac:dyDescent="0.25">
      <c r="B45" s="29" t="s">
        <v>82</v>
      </c>
      <c r="C45" s="36" t="s">
        <v>81</v>
      </c>
      <c r="D45" s="28">
        <v>2943</v>
      </c>
      <c r="E45" s="26">
        <v>1</v>
      </c>
      <c r="F45" s="10">
        <v>150</v>
      </c>
      <c r="G45" s="16">
        <f t="shared" si="8"/>
        <v>150</v>
      </c>
      <c r="H45" s="39">
        <v>150</v>
      </c>
      <c r="I45" s="39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9"/>
      <c r="Y45" s="9"/>
      <c r="Z45" s="8"/>
      <c r="AA45" s="11"/>
      <c r="AB45" s="8"/>
      <c r="AC45" s="11"/>
      <c r="AD45" s="8"/>
      <c r="AE45" s="11"/>
    </row>
    <row r="46" spans="2:31" ht="16.5" customHeight="1" outlineLevel="1" thickBot="1" x14ac:dyDescent="0.3">
      <c r="B46" s="29" t="s">
        <v>64</v>
      </c>
      <c r="C46" s="38" t="s">
        <v>88</v>
      </c>
      <c r="D46" s="28">
        <v>2945</v>
      </c>
      <c r="E46" s="26">
        <v>1</v>
      </c>
      <c r="F46" s="10">
        <v>200</v>
      </c>
      <c r="G46" s="21">
        <f t="shared" si="8"/>
        <v>200</v>
      </c>
      <c r="H46" s="39">
        <v>200</v>
      </c>
      <c r="I46" s="39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9"/>
      <c r="Y46" s="9"/>
      <c r="Z46" s="8"/>
      <c r="AA46" s="11">
        <v>1</v>
      </c>
      <c r="AB46" s="8"/>
      <c r="AC46" s="11">
        <f>AA46*E46</f>
        <v>1</v>
      </c>
      <c r="AD46" s="8"/>
      <c r="AE46" s="11" t="e">
        <f>AA46*#REF!</f>
        <v>#REF!</v>
      </c>
    </row>
  </sheetData>
  <sortState xmlns:xlrd2="http://schemas.microsoft.com/office/spreadsheetml/2017/richdata2" ref="C4:G46">
    <sortCondition ref="C4"/>
  </sortState>
  <phoneticPr fontId="7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Uaer4</cp:lastModifiedBy>
  <cp:lastPrinted>2023-06-23T08:55:51Z</cp:lastPrinted>
  <dcterms:created xsi:type="dcterms:W3CDTF">2015-06-05T18:19:34Z</dcterms:created>
  <dcterms:modified xsi:type="dcterms:W3CDTF">2026-01-28T06:44:08Z</dcterms:modified>
</cp:coreProperties>
</file>