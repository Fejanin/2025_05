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89E45084-0587-4251-9B56-E5A38DB9B40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Z505" i="1" s="1"/>
  <c r="P492" i="1"/>
  <c r="X489" i="1"/>
  <c r="X488" i="1"/>
  <c r="BO487" i="1"/>
  <c r="BM487" i="1"/>
  <c r="Y487" i="1"/>
  <c r="BP487" i="1" s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Y480" i="1" s="1"/>
  <c r="P477" i="1"/>
  <c r="X475" i="1"/>
  <c r="X474" i="1"/>
  <c r="BO473" i="1"/>
  <c r="BM473" i="1"/>
  <c r="Y473" i="1"/>
  <c r="BP473" i="1" s="1"/>
  <c r="P473" i="1"/>
  <c r="BP472" i="1"/>
  <c r="BO472" i="1"/>
  <c r="BN472" i="1"/>
  <c r="BM472" i="1"/>
  <c r="Z472" i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BP467" i="1" s="1"/>
  <c r="P467" i="1"/>
  <c r="BP466" i="1"/>
  <c r="BO466" i="1"/>
  <c r="BN466" i="1"/>
  <c r="BM466" i="1"/>
  <c r="Z466" i="1"/>
  <c r="Y466" i="1"/>
  <c r="P466" i="1"/>
  <c r="BO465" i="1"/>
  <c r="BM465" i="1"/>
  <c r="Y465" i="1"/>
  <c r="Y470" i="1" s="1"/>
  <c r="P465" i="1"/>
  <c r="X461" i="1"/>
  <c r="X460" i="1"/>
  <c r="BO459" i="1"/>
  <c r="BM459" i="1"/>
  <c r="Y459" i="1"/>
  <c r="Y460" i="1" s="1"/>
  <c r="P459" i="1"/>
  <c r="X457" i="1"/>
  <c r="X456" i="1"/>
  <c r="BO455" i="1"/>
  <c r="BM455" i="1"/>
  <c r="Y455" i="1"/>
  <c r="BP455" i="1" s="1"/>
  <c r="P455" i="1"/>
  <c r="BP454" i="1"/>
  <c r="BO454" i="1"/>
  <c r="BN454" i="1"/>
  <c r="BM454" i="1"/>
  <c r="Z454" i="1"/>
  <c r="Y454" i="1"/>
  <c r="P454" i="1"/>
  <c r="BO453" i="1"/>
  <c r="BM453" i="1"/>
  <c r="Y453" i="1"/>
  <c r="BP453" i="1" s="1"/>
  <c r="P453" i="1"/>
  <c r="BP452" i="1"/>
  <c r="BO452" i="1"/>
  <c r="BN452" i="1"/>
  <c r="BM452" i="1"/>
  <c r="Z452" i="1"/>
  <c r="Y452" i="1"/>
  <c r="P452" i="1"/>
  <c r="BO451" i="1"/>
  <c r="BM451" i="1"/>
  <c r="Y451" i="1"/>
  <c r="BP451" i="1" s="1"/>
  <c r="P451" i="1"/>
  <c r="BP450" i="1"/>
  <c r="BO450" i="1"/>
  <c r="BN450" i="1"/>
  <c r="BM450" i="1"/>
  <c r="Z450" i="1"/>
  <c r="Y450" i="1"/>
  <c r="Y456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BP445" i="1" s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BP439" i="1" s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BP418" i="1" s="1"/>
  <c r="P418" i="1"/>
  <c r="BP417" i="1"/>
  <c r="BO417" i="1"/>
  <c r="BN417" i="1"/>
  <c r="BM417" i="1"/>
  <c r="Z417" i="1"/>
  <c r="Y417" i="1"/>
  <c r="P417" i="1"/>
  <c r="BO416" i="1"/>
  <c r="BM416" i="1"/>
  <c r="Y416" i="1"/>
  <c r="BP416" i="1" s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Y408" i="1" s="1"/>
  <c r="P405" i="1"/>
  <c r="X403" i="1"/>
  <c r="X402" i="1"/>
  <c r="BO401" i="1"/>
  <c r="BM401" i="1"/>
  <c r="Y401" i="1"/>
  <c r="BP401" i="1" s="1"/>
  <c r="P401" i="1"/>
  <c r="BP400" i="1"/>
  <c r="BO400" i="1"/>
  <c r="BN400" i="1"/>
  <c r="BM400" i="1"/>
  <c r="Z400" i="1"/>
  <c r="Y400" i="1"/>
  <c r="P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U505" i="1" s="1"/>
  <c r="P393" i="1"/>
  <c r="X389" i="1"/>
  <c r="X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BO385" i="1"/>
  <c r="BM385" i="1"/>
  <c r="Y385" i="1"/>
  <c r="Y388" i="1" s="1"/>
  <c r="P385" i="1"/>
  <c r="X383" i="1"/>
  <c r="X382" i="1"/>
  <c r="BO381" i="1"/>
  <c r="BM381" i="1"/>
  <c r="Y381" i="1"/>
  <c r="BP381" i="1" s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T505" i="1" s="1"/>
  <c r="P375" i="1"/>
  <c r="X372" i="1"/>
  <c r="X371" i="1"/>
  <c r="BO370" i="1"/>
  <c r="BM370" i="1"/>
  <c r="Y370" i="1"/>
  <c r="Y371" i="1" s="1"/>
  <c r="P370" i="1"/>
  <c r="X368" i="1"/>
  <c r="X367" i="1"/>
  <c r="BO366" i="1"/>
  <c r="BM366" i="1"/>
  <c r="Y366" i="1"/>
  <c r="BP366" i="1" s="1"/>
  <c r="P366" i="1"/>
  <c r="BP365" i="1"/>
  <c r="BO365" i="1"/>
  <c r="BN365" i="1"/>
  <c r="BM365" i="1"/>
  <c r="Z365" i="1"/>
  <c r="Y365" i="1"/>
  <c r="Y367" i="1" s="1"/>
  <c r="P365" i="1"/>
  <c r="X363" i="1"/>
  <c r="X362" i="1"/>
  <c r="BP361" i="1"/>
  <c r="BO361" i="1"/>
  <c r="BN361" i="1"/>
  <c r="BM361" i="1"/>
  <c r="Z361" i="1"/>
  <c r="Y361" i="1"/>
  <c r="P361" i="1"/>
  <c r="BO360" i="1"/>
  <c r="BM360" i="1"/>
  <c r="Y360" i="1"/>
  <c r="Y363" i="1" s="1"/>
  <c r="P360" i="1"/>
  <c r="X358" i="1"/>
  <c r="X357" i="1"/>
  <c r="BO356" i="1"/>
  <c r="BM356" i="1"/>
  <c r="Y356" i="1"/>
  <c r="BP356" i="1" s="1"/>
  <c r="P356" i="1"/>
  <c r="BP355" i="1"/>
  <c r="BO355" i="1"/>
  <c r="BN355" i="1"/>
  <c r="BM355" i="1"/>
  <c r="Z355" i="1"/>
  <c r="Y355" i="1"/>
  <c r="P355" i="1"/>
  <c r="BO354" i="1"/>
  <c r="BM354" i="1"/>
  <c r="Y354" i="1"/>
  <c r="BP354" i="1" s="1"/>
  <c r="P354" i="1"/>
  <c r="BP353" i="1"/>
  <c r="BO353" i="1"/>
  <c r="BN353" i="1"/>
  <c r="BM353" i="1"/>
  <c r="Z353" i="1"/>
  <c r="Y353" i="1"/>
  <c r="P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S505" i="1" s="1"/>
  <c r="P350" i="1"/>
  <c r="X346" i="1"/>
  <c r="X345" i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BO342" i="1"/>
  <c r="BM342" i="1"/>
  <c r="Y342" i="1"/>
  <c r="R505" i="1" s="1"/>
  <c r="P342" i="1"/>
  <c r="X339" i="1"/>
  <c r="X338" i="1"/>
  <c r="BO337" i="1"/>
  <c r="BM337" i="1"/>
  <c r="Y337" i="1"/>
  <c r="BP337" i="1" s="1"/>
  <c r="P337" i="1"/>
  <c r="BP336" i="1"/>
  <c r="BO336" i="1"/>
  <c r="BN336" i="1"/>
  <c r="BM336" i="1"/>
  <c r="Z336" i="1"/>
  <c r="Y336" i="1"/>
  <c r="P336" i="1"/>
  <c r="BO335" i="1"/>
  <c r="BM335" i="1"/>
  <c r="Y335" i="1"/>
  <c r="Y338" i="1" s="1"/>
  <c r="P335" i="1"/>
  <c r="X333" i="1"/>
  <c r="X332" i="1"/>
  <c r="BO331" i="1"/>
  <c r="BM331" i="1"/>
  <c r="Y331" i="1"/>
  <c r="BP331" i="1" s="1"/>
  <c r="P331" i="1"/>
  <c r="BP330" i="1"/>
  <c r="BO330" i="1"/>
  <c r="BN330" i="1"/>
  <c r="BM330" i="1"/>
  <c r="Z330" i="1"/>
  <c r="Y330" i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Y326" i="1" s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BO315" i="1"/>
  <c r="BM315" i="1"/>
  <c r="Y315" i="1"/>
  <c r="Y320" i="1" s="1"/>
  <c r="P315" i="1"/>
  <c r="X313" i="1"/>
  <c r="X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Y312" i="1" s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X295" i="1"/>
  <c r="Y294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Y259" i="1" s="1"/>
  <c r="P254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Y247" i="1" s="1"/>
  <c r="P246" i="1"/>
  <c r="X244" i="1"/>
  <c r="X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K505" i="1" s="1"/>
  <c r="P234" i="1"/>
  <c r="X231" i="1"/>
  <c r="X230" i="1"/>
  <c r="BO229" i="1"/>
  <c r="BM229" i="1"/>
  <c r="Y229" i="1"/>
  <c r="BP229" i="1" s="1"/>
  <c r="P229" i="1"/>
  <c r="BP228" i="1"/>
  <c r="BO228" i="1"/>
  <c r="BN228" i="1"/>
  <c r="BM228" i="1"/>
  <c r="Z228" i="1"/>
  <c r="Y228" i="1"/>
  <c r="Y230" i="1" s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Y226" i="1" s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Y214" i="1" s="1"/>
  <c r="P205" i="1"/>
  <c r="X203" i="1"/>
  <c r="X202" i="1"/>
  <c r="BO201" i="1"/>
  <c r="BM201" i="1"/>
  <c r="Y201" i="1"/>
  <c r="BP201" i="1" s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J505" i="1" s="1"/>
  <c r="P195" i="1"/>
  <c r="X192" i="1"/>
  <c r="X191" i="1"/>
  <c r="BO190" i="1"/>
  <c r="BM190" i="1"/>
  <c r="Y190" i="1"/>
  <c r="Y191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BO184" i="1"/>
  <c r="BM184" i="1"/>
  <c r="Y184" i="1"/>
  <c r="Y187" i="1" s="1"/>
  <c r="P184" i="1"/>
  <c r="X182" i="1"/>
  <c r="X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BO167" i="1"/>
  <c r="BM167" i="1"/>
  <c r="Y167" i="1"/>
  <c r="Y181" i="1" s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Y155" i="1" s="1"/>
  <c r="P148" i="1"/>
  <c r="X146" i="1"/>
  <c r="X145" i="1"/>
  <c r="BO144" i="1"/>
  <c r="BM144" i="1"/>
  <c r="Y144" i="1"/>
  <c r="BP144" i="1" s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Y140" i="1" s="1"/>
  <c r="P137" i="1"/>
  <c r="X135" i="1"/>
  <c r="X134" i="1"/>
  <c r="BO133" i="1"/>
  <c r="BM133" i="1"/>
  <c r="Y133" i="1"/>
  <c r="BP133" i="1" s="1"/>
  <c r="P133" i="1"/>
  <c r="BP132" i="1"/>
  <c r="BO132" i="1"/>
  <c r="BN132" i="1"/>
  <c r="BM132" i="1"/>
  <c r="Z132" i="1"/>
  <c r="Y132" i="1"/>
  <c r="Y134" i="1" s="1"/>
  <c r="P132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G505" i="1" s="1"/>
  <c r="P127" i="1"/>
  <c r="X124" i="1"/>
  <c r="X123" i="1"/>
  <c r="BO122" i="1"/>
  <c r="BM122" i="1"/>
  <c r="Y122" i="1"/>
  <c r="Y123" i="1" s="1"/>
  <c r="P122" i="1"/>
  <c r="X120" i="1"/>
  <c r="X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Y119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Y113" i="1" s="1"/>
  <c r="P108" i="1"/>
  <c r="X106" i="1"/>
  <c r="X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F505" i="1" s="1"/>
  <c r="P100" i="1"/>
  <c r="X97" i="1"/>
  <c r="X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505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Y69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5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5" i="1"/>
  <c r="Y33" i="1"/>
  <c r="Y37" i="1"/>
  <c r="Y45" i="1"/>
  <c r="Y49" i="1"/>
  <c r="Y58" i="1"/>
  <c r="Y64" i="1"/>
  <c r="Y70" i="1"/>
  <c r="Y76" i="1"/>
  <c r="Y82" i="1"/>
  <c r="Y89" i="1"/>
  <c r="Y97" i="1"/>
  <c r="Y106" i="1"/>
  <c r="Y112" i="1"/>
  <c r="Y120" i="1"/>
  <c r="Y124" i="1"/>
  <c r="Y129" i="1"/>
  <c r="Y135" i="1"/>
  <c r="Y139" i="1"/>
  <c r="Y146" i="1"/>
  <c r="Y154" i="1"/>
  <c r="Y182" i="1"/>
  <c r="Y188" i="1"/>
  <c r="Y192" i="1"/>
  <c r="Y197" i="1"/>
  <c r="Y203" i="1"/>
  <c r="Y213" i="1"/>
  <c r="Y225" i="1"/>
  <c r="Y231" i="1"/>
  <c r="Y244" i="1"/>
  <c r="Y248" i="1"/>
  <c r="Y252" i="1"/>
  <c r="Y260" i="1"/>
  <c r="L505" i="1"/>
  <c r="Y268" i="1"/>
  <c r="BP263" i="1"/>
  <c r="BN263" i="1"/>
  <c r="Z263" i="1"/>
  <c r="BP267" i="1"/>
  <c r="BN267" i="1"/>
  <c r="Z267" i="1"/>
  <c r="Y269" i="1"/>
  <c r="M505" i="1"/>
  <c r="Y277" i="1"/>
  <c r="BP272" i="1"/>
  <c r="BN272" i="1"/>
  <c r="Z272" i="1"/>
  <c r="Y276" i="1"/>
  <c r="BP281" i="1"/>
  <c r="BN281" i="1"/>
  <c r="Z281" i="1"/>
  <c r="Z283" i="1" s="1"/>
  <c r="BP299" i="1"/>
  <c r="BN299" i="1"/>
  <c r="Z299" i="1"/>
  <c r="Z303" i="1" s="1"/>
  <c r="Y303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Y497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Y59" i="1"/>
  <c r="Z62" i="1"/>
  <c r="Z64" i="1" s="1"/>
  <c r="BN62" i="1"/>
  <c r="Z68" i="1"/>
  <c r="Z69" i="1" s="1"/>
  <c r="BN68" i="1"/>
  <c r="Z72" i="1"/>
  <c r="Z76" i="1" s="1"/>
  <c r="BN72" i="1"/>
  <c r="BP72" i="1"/>
  <c r="Z74" i="1"/>
  <c r="BN74" i="1"/>
  <c r="Z80" i="1"/>
  <c r="Z81" i="1" s="1"/>
  <c r="BN80" i="1"/>
  <c r="Z85" i="1"/>
  <c r="BN85" i="1"/>
  <c r="BP85" i="1"/>
  <c r="Z87" i="1"/>
  <c r="BN87" i="1"/>
  <c r="Y90" i="1"/>
  <c r="Z93" i="1"/>
  <c r="Z96" i="1" s="1"/>
  <c r="BN93" i="1"/>
  <c r="Z95" i="1"/>
  <c r="BN95" i="1"/>
  <c r="Z100" i="1"/>
  <c r="BN100" i="1"/>
  <c r="BP100" i="1"/>
  <c r="Z102" i="1"/>
  <c r="BN102" i="1"/>
  <c r="Z104" i="1"/>
  <c r="BN104" i="1"/>
  <c r="Y105" i="1"/>
  <c r="Z108" i="1"/>
  <c r="BN108" i="1"/>
  <c r="BP108" i="1"/>
  <c r="Z110" i="1"/>
  <c r="BN110" i="1"/>
  <c r="Z116" i="1"/>
  <c r="Z119" i="1" s="1"/>
  <c r="BN116" i="1"/>
  <c r="Z118" i="1"/>
  <c r="BN118" i="1"/>
  <c r="Z122" i="1"/>
  <c r="Z123" i="1" s="1"/>
  <c r="BN122" i="1"/>
  <c r="BP122" i="1"/>
  <c r="Z127" i="1"/>
  <c r="Z129" i="1" s="1"/>
  <c r="BN127" i="1"/>
  <c r="BP127" i="1"/>
  <c r="Y130" i="1"/>
  <c r="Z133" i="1"/>
  <c r="Z134" i="1" s="1"/>
  <c r="BN133" i="1"/>
  <c r="Z137" i="1"/>
  <c r="Z139" i="1" s="1"/>
  <c r="BN137" i="1"/>
  <c r="BP137" i="1"/>
  <c r="H505" i="1"/>
  <c r="Z144" i="1"/>
  <c r="Z145" i="1" s="1"/>
  <c r="BN144" i="1"/>
  <c r="Y145" i="1"/>
  <c r="Z148" i="1"/>
  <c r="Z154" i="1" s="1"/>
  <c r="BN148" i="1"/>
  <c r="BP148" i="1"/>
  <c r="Z150" i="1"/>
  <c r="BN150" i="1"/>
  <c r="Z152" i="1"/>
  <c r="BN152" i="1"/>
  <c r="I505" i="1"/>
  <c r="Y165" i="1"/>
  <c r="Z167" i="1"/>
  <c r="BN167" i="1"/>
  <c r="BP167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0" i="1"/>
  <c r="BN180" i="1"/>
  <c r="Z184" i="1"/>
  <c r="Z187" i="1" s="1"/>
  <c r="BN184" i="1"/>
  <c r="BP184" i="1"/>
  <c r="Z186" i="1"/>
  <c r="BN186" i="1"/>
  <c r="Z190" i="1"/>
  <c r="Z191" i="1" s="1"/>
  <c r="BN190" i="1"/>
  <c r="BP190" i="1"/>
  <c r="Z195" i="1"/>
  <c r="Z197" i="1" s="1"/>
  <c r="BN195" i="1"/>
  <c r="BP195" i="1"/>
  <c r="Y198" i="1"/>
  <c r="Z201" i="1"/>
  <c r="Z202" i="1" s="1"/>
  <c r="BN201" i="1"/>
  <c r="Z205" i="1"/>
  <c r="Z213" i="1" s="1"/>
  <c r="BN205" i="1"/>
  <c r="BP205" i="1"/>
  <c r="Z207" i="1"/>
  <c r="BN207" i="1"/>
  <c r="Z209" i="1"/>
  <c r="BN209" i="1"/>
  <c r="Z211" i="1"/>
  <c r="BN211" i="1"/>
  <c r="Z217" i="1"/>
  <c r="Z225" i="1" s="1"/>
  <c r="BN217" i="1"/>
  <c r="Z219" i="1"/>
  <c r="BN219" i="1"/>
  <c r="Z221" i="1"/>
  <c r="BN221" i="1"/>
  <c r="Z223" i="1"/>
  <c r="BN223" i="1"/>
  <c r="Z229" i="1"/>
  <c r="Z230" i="1" s="1"/>
  <c r="BN229" i="1"/>
  <c r="Z234" i="1"/>
  <c r="BN234" i="1"/>
  <c r="BP234" i="1"/>
  <c r="Z236" i="1"/>
  <c r="BN236" i="1"/>
  <c r="Z238" i="1"/>
  <c r="BN238" i="1"/>
  <c r="Z240" i="1"/>
  <c r="BN240" i="1"/>
  <c r="Z242" i="1"/>
  <c r="BN242" i="1"/>
  <c r="Y243" i="1"/>
  <c r="Z246" i="1"/>
  <c r="Z247" i="1" s="1"/>
  <c r="BN246" i="1"/>
  <c r="BP246" i="1"/>
  <c r="Z250" i="1"/>
  <c r="Z251" i="1" s="1"/>
  <c r="BN250" i="1"/>
  <c r="BP250" i="1"/>
  <c r="Z254" i="1"/>
  <c r="BN254" i="1"/>
  <c r="BP254" i="1"/>
  <c r="Z256" i="1"/>
  <c r="BN256" i="1"/>
  <c r="Z258" i="1"/>
  <c r="BN258" i="1"/>
  <c r="BP265" i="1"/>
  <c r="BN265" i="1"/>
  <c r="Z265" i="1"/>
  <c r="BP274" i="1"/>
  <c r="BN274" i="1"/>
  <c r="Z274" i="1"/>
  <c r="Y283" i="1"/>
  <c r="BP288" i="1"/>
  <c r="BN288" i="1"/>
  <c r="Z288" i="1"/>
  <c r="Z289" i="1" s="1"/>
  <c r="Y290" i="1"/>
  <c r="Y295" i="1"/>
  <c r="BP292" i="1"/>
  <c r="BN292" i="1"/>
  <c r="Z292" i="1"/>
  <c r="Z294" i="1" s="1"/>
  <c r="BP301" i="1"/>
  <c r="BN301" i="1"/>
  <c r="Z301" i="1"/>
  <c r="Y313" i="1"/>
  <c r="Y319" i="1"/>
  <c r="Y325" i="1"/>
  <c r="Y333" i="1"/>
  <c r="Y339" i="1"/>
  <c r="Y346" i="1"/>
  <c r="Y358" i="1"/>
  <c r="Y362" i="1"/>
  <c r="Y368" i="1"/>
  <c r="Y372" i="1"/>
  <c r="Y377" i="1"/>
  <c r="Y383" i="1"/>
  <c r="Y389" i="1"/>
  <c r="Y403" i="1"/>
  <c r="Y407" i="1"/>
  <c r="Y420" i="1"/>
  <c r="Y424" i="1"/>
  <c r="W505" i="1"/>
  <c r="BP431" i="1"/>
  <c r="BN431" i="1"/>
  <c r="Z431" i="1"/>
  <c r="BP435" i="1"/>
  <c r="BN435" i="1"/>
  <c r="Z435" i="1"/>
  <c r="O505" i="1"/>
  <c r="Y284" i="1"/>
  <c r="P505" i="1"/>
  <c r="Y289" i="1"/>
  <c r="Q505" i="1"/>
  <c r="Y304" i="1"/>
  <c r="Z307" i="1"/>
  <c r="Z312" i="1" s="1"/>
  <c r="BN307" i="1"/>
  <c r="Z309" i="1"/>
  <c r="BN309" i="1"/>
  <c r="Z311" i="1"/>
  <c r="BN311" i="1"/>
  <c r="Z315" i="1"/>
  <c r="Z319" i="1" s="1"/>
  <c r="BN315" i="1"/>
  <c r="BP315" i="1"/>
  <c r="Z317" i="1"/>
  <c r="BN317" i="1"/>
  <c r="Z323" i="1"/>
  <c r="Z325" i="1" s="1"/>
  <c r="BN323" i="1"/>
  <c r="Z329" i="1"/>
  <c r="Z332" i="1" s="1"/>
  <c r="BN329" i="1"/>
  <c r="Z331" i="1"/>
  <c r="BN331" i="1"/>
  <c r="Z335" i="1"/>
  <c r="BN335" i="1"/>
  <c r="BP335" i="1"/>
  <c r="Z337" i="1"/>
  <c r="BN337" i="1"/>
  <c r="Z342" i="1"/>
  <c r="Z345" i="1" s="1"/>
  <c r="BN342" i="1"/>
  <c r="BP342" i="1"/>
  <c r="Z344" i="1"/>
  <c r="BN344" i="1"/>
  <c r="Y345" i="1"/>
  <c r="Z350" i="1"/>
  <c r="Z357" i="1" s="1"/>
  <c r="BN350" i="1"/>
  <c r="BP350" i="1"/>
  <c r="Z352" i="1"/>
  <c r="BN352" i="1"/>
  <c r="Z354" i="1"/>
  <c r="BN354" i="1"/>
  <c r="Z356" i="1"/>
  <c r="BN356" i="1"/>
  <c r="Y357" i="1"/>
  <c r="Z360" i="1"/>
  <c r="Z362" i="1" s="1"/>
  <c r="BN360" i="1"/>
  <c r="BP360" i="1"/>
  <c r="Z366" i="1"/>
  <c r="Z367" i="1" s="1"/>
  <c r="BN366" i="1"/>
  <c r="Z370" i="1"/>
  <c r="Z371" i="1" s="1"/>
  <c r="BN370" i="1"/>
  <c r="BP370" i="1"/>
  <c r="Z375" i="1"/>
  <c r="Z377" i="1" s="1"/>
  <c r="BN375" i="1"/>
  <c r="BP375" i="1"/>
  <c r="Y378" i="1"/>
  <c r="Z381" i="1"/>
  <c r="Z382" i="1" s="1"/>
  <c r="BN381" i="1"/>
  <c r="Z385" i="1"/>
  <c r="Z388" i="1" s="1"/>
  <c r="BN385" i="1"/>
  <c r="BP385" i="1"/>
  <c r="Z387" i="1"/>
  <c r="BN387" i="1"/>
  <c r="Z393" i="1"/>
  <c r="BN393" i="1"/>
  <c r="BP393" i="1"/>
  <c r="Z395" i="1"/>
  <c r="BN395" i="1"/>
  <c r="Z397" i="1"/>
  <c r="BN397" i="1"/>
  <c r="Z399" i="1"/>
  <c r="BN399" i="1"/>
  <c r="Z401" i="1"/>
  <c r="BN401" i="1"/>
  <c r="Y402" i="1"/>
  <c r="Z405" i="1"/>
  <c r="Z407" i="1" s="1"/>
  <c r="BN405" i="1"/>
  <c r="BP405" i="1"/>
  <c r="V505" i="1"/>
  <c r="Y413" i="1"/>
  <c r="Z416" i="1"/>
  <c r="Z419" i="1" s="1"/>
  <c r="BN416" i="1"/>
  <c r="Z418" i="1"/>
  <c r="BN418" i="1"/>
  <c r="Z423" i="1"/>
  <c r="Z424" i="1" s="1"/>
  <c r="BN423" i="1"/>
  <c r="BP423" i="1"/>
  <c r="Y425" i="1"/>
  <c r="X505" i="1"/>
  <c r="Y442" i="1"/>
  <c r="BP429" i="1"/>
  <c r="BN429" i="1"/>
  <c r="Z429" i="1"/>
  <c r="Y441" i="1"/>
  <c r="BP433" i="1"/>
  <c r="BN433" i="1"/>
  <c r="Z433" i="1"/>
  <c r="BP437" i="1"/>
  <c r="BN437" i="1"/>
  <c r="Z437" i="1"/>
  <c r="Z474" i="1"/>
  <c r="Y447" i="1"/>
  <c r="Y457" i="1"/>
  <c r="Y461" i="1"/>
  <c r="Y469" i="1"/>
  <c r="Y475" i="1"/>
  <c r="Y479" i="1"/>
  <c r="Y489" i="1"/>
  <c r="Y494" i="1"/>
  <c r="Y505" i="1"/>
  <c r="Z439" i="1"/>
  <c r="BN439" i="1"/>
  <c r="Z445" i="1"/>
  <c r="Z447" i="1" s="1"/>
  <c r="BN445" i="1"/>
  <c r="Z451" i="1"/>
  <c r="Z456" i="1" s="1"/>
  <c r="BN451" i="1"/>
  <c r="Z453" i="1"/>
  <c r="BN453" i="1"/>
  <c r="Z455" i="1"/>
  <c r="BN455" i="1"/>
  <c r="Z459" i="1"/>
  <c r="Z460" i="1" s="1"/>
  <c r="BN459" i="1"/>
  <c r="BP459" i="1"/>
  <c r="Z465" i="1"/>
  <c r="Z469" i="1" s="1"/>
  <c r="BN465" i="1"/>
  <c r="BP465" i="1"/>
  <c r="Z467" i="1"/>
  <c r="BN467" i="1"/>
  <c r="Z473" i="1"/>
  <c r="BN473" i="1"/>
  <c r="Z477" i="1"/>
  <c r="Z479" i="1" s="1"/>
  <c r="BN477" i="1"/>
  <c r="BP477" i="1"/>
  <c r="Z487" i="1"/>
  <c r="Z488" i="1" s="1"/>
  <c r="BN487" i="1"/>
  <c r="Z492" i="1"/>
  <c r="Z493" i="1" s="1"/>
  <c r="BN492" i="1"/>
  <c r="BP492" i="1"/>
  <c r="Y493" i="1"/>
  <c r="Y498" i="1" l="1"/>
  <c r="Z276" i="1"/>
  <c r="Y495" i="1"/>
  <c r="Z441" i="1"/>
  <c r="Z402" i="1"/>
  <c r="Z338" i="1"/>
  <c r="Z259" i="1"/>
  <c r="Z243" i="1"/>
  <c r="Z181" i="1"/>
  <c r="Z112" i="1"/>
  <c r="Z105" i="1"/>
  <c r="Z89" i="1"/>
  <c r="Z44" i="1"/>
  <c r="Z32" i="1"/>
  <c r="Z500" i="1" s="1"/>
  <c r="Y499" i="1"/>
  <c r="X498" i="1"/>
  <c r="Z268" i="1"/>
</calcChain>
</file>

<file path=xl/sharedStrings.xml><?xml version="1.0" encoding="utf-8"?>
<sst xmlns="http://schemas.openxmlformats.org/spreadsheetml/2006/main" count="2358" uniqueCount="781">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</sst>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2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120</v>
      </c>
      <c r="Y41" s="554">
        <f>IFERROR(IF(X41="",0,CEILING((X41/$H41),1)*$H41),"")</f>
        <v>129.60000000000002</v>
      </c>
      <c r="Z41" s="36">
        <f>IFERROR(IF(Y41=0,"",ROUNDUP(Y41/H41,0)*0.01898),"")</f>
        <v>0.22776000000000002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124.55555555555556</v>
      </c>
      <c r="BN41" s="64">
        <f>IFERROR(Y41*I41/H41,"0")</f>
        <v>134.52000000000001</v>
      </c>
      <c r="BO41" s="64">
        <f>IFERROR(1/J41*(X41/H41),"0")</f>
        <v>0.1736111111111111</v>
      </c>
      <c r="BP41" s="64">
        <f>IFERROR(1/J41*(Y41/H41),"0")</f>
        <v>0.18750000000000003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11.111111111111111</v>
      </c>
      <c r="Y44" s="555">
        <f>IFERROR(Y41/H41,"0")+IFERROR(Y42/H42,"0")+IFERROR(Y43/H43,"0")</f>
        <v>12.000000000000002</v>
      </c>
      <c r="Z44" s="555">
        <f>IFERROR(IF(Z41="",0,Z41),"0")+IFERROR(IF(Z42="",0,Z42),"0")+IFERROR(IF(Z43="",0,Z43),"0")</f>
        <v>0.22776000000000002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120</v>
      </c>
      <c r="Y45" s="555">
        <f>IFERROR(SUM(Y41:Y43),"0")</f>
        <v>129.60000000000002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20</v>
      </c>
      <c r="Y53" s="554">
        <f t="shared" si="0"/>
        <v>21.6</v>
      </c>
      <c r="Z53" s="36">
        <f>IFERROR(IF(Y53=0,"",ROUNDUP(Y53/H53,0)*0.01898),"")</f>
        <v>3.7960000000000001E-2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20.75925925925926</v>
      </c>
      <c r="BN53" s="64">
        <f t="shared" si="2"/>
        <v>22.42</v>
      </c>
      <c r="BO53" s="64">
        <f t="shared" si="3"/>
        <v>2.8935185185185182E-2</v>
      </c>
      <c r="BP53" s="64">
        <f t="shared" si="4"/>
        <v>3.125E-2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1.8518518518518516</v>
      </c>
      <c r="Y58" s="555">
        <f>IFERROR(Y52/H52,"0")+IFERROR(Y53/H53,"0")+IFERROR(Y54/H54,"0")+IFERROR(Y55/H55,"0")+IFERROR(Y56/H56,"0")+IFERROR(Y57/H57,"0")</f>
        <v>2</v>
      </c>
      <c r="Z58" s="555">
        <f>IFERROR(IF(Z52="",0,Z52),"0")+IFERROR(IF(Z53="",0,Z53),"0")+IFERROR(IF(Z54="",0,Z54),"0")+IFERROR(IF(Z55="",0,Z55),"0")+IFERROR(IF(Z56="",0,Z56),"0")+IFERROR(IF(Z57="",0,Z57),"0")</f>
        <v>3.7960000000000001E-2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20</v>
      </c>
      <c r="Y59" s="555">
        <f>IFERROR(SUM(Y52:Y57),"0")</f>
        <v>21.6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80</v>
      </c>
      <c r="Y85" s="554">
        <f>IFERROR(IF(X85="",0,CEILING((X85/$H85),1)*$H85),"")</f>
        <v>86.4</v>
      </c>
      <c r="Z85" s="36">
        <f>IFERROR(IF(Y85=0,"",ROUNDUP(Y85/H85,0)*0.01898),"")</f>
        <v>0.15184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83.037037037037038</v>
      </c>
      <c r="BN85" s="64">
        <f>IFERROR(Y85*I85/H85,"0")</f>
        <v>89.68</v>
      </c>
      <c r="BO85" s="64">
        <f>IFERROR(1/J85*(X85/H85),"0")</f>
        <v>0.11574074074074073</v>
      </c>
      <c r="BP85" s="64">
        <f>IFERROR(1/J85*(Y85/H85),"0")</f>
        <v>0.125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7.4074074074074066</v>
      </c>
      <c r="Y89" s="555">
        <f>IFERROR(Y85/H85,"0")+IFERROR(Y86/H86,"0")+IFERROR(Y87/H87,"0")+IFERROR(Y88/H88,"0")</f>
        <v>8</v>
      </c>
      <c r="Z89" s="555">
        <f>IFERROR(IF(Z85="",0,Z85),"0")+IFERROR(IF(Z86="",0,Z86),"0")+IFERROR(IF(Z87="",0,Z87),"0")+IFERROR(IF(Z88="",0,Z88),"0")</f>
        <v>0.15184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80</v>
      </c>
      <c r="Y90" s="555">
        <f>IFERROR(SUM(Y85:Y88),"0")</f>
        <v>86.4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50</v>
      </c>
      <c r="Y92" s="554">
        <f>IFERROR(IF(X92="",0,CEILING((X92/$H92),1)*$H92),"")</f>
        <v>56.699999999999996</v>
      </c>
      <c r="Z92" s="36">
        <f>IFERROR(IF(Y92=0,"",ROUNDUP(Y92/H92,0)*0.01898),"")</f>
        <v>0.13286000000000001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53.049382716049386</v>
      </c>
      <c r="BN92" s="64">
        <f>IFERROR(Y92*I92/H92,"0")</f>
        <v>60.157999999999994</v>
      </c>
      <c r="BO92" s="64">
        <f>IFERROR(1/J92*(X92/H92),"0")</f>
        <v>9.6450617283950615E-2</v>
      </c>
      <c r="BP92" s="64">
        <f>IFERROR(1/J92*(Y92/H92),"0")</f>
        <v>0.109375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6.1728395061728394</v>
      </c>
      <c r="Y96" s="555">
        <f>IFERROR(Y92/H92,"0")+IFERROR(Y93/H93,"0")+IFERROR(Y94/H94,"0")+IFERROR(Y95/H95,"0")</f>
        <v>7</v>
      </c>
      <c r="Z96" s="555">
        <f>IFERROR(IF(Z92="",0,Z92),"0")+IFERROR(IF(Z93="",0,Z93),"0")+IFERROR(IF(Z94="",0,Z94),"0")+IFERROR(IF(Z95="",0,Z95),"0")</f>
        <v>0.13286000000000001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50</v>
      </c>
      <c r="Y97" s="555">
        <f>IFERROR(SUM(Y92:Y95),"0")</f>
        <v>56.699999999999996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120</v>
      </c>
      <c r="Y100" s="554">
        <f>IFERROR(IF(X100="",0,CEILING((X100/$H100),1)*$H100),"")</f>
        <v>129.60000000000002</v>
      </c>
      <c r="Z100" s="36">
        <f>IFERROR(IF(Y100=0,"",ROUNDUP(Y100/H100,0)*0.01898),"")</f>
        <v>0.22776000000000002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124.55555555555556</v>
      </c>
      <c r="BN100" s="64">
        <f>IFERROR(Y100*I100/H100,"0")</f>
        <v>134.52000000000001</v>
      </c>
      <c r="BO100" s="64">
        <f>IFERROR(1/J100*(X100/H100),"0")</f>
        <v>0.1736111111111111</v>
      </c>
      <c r="BP100" s="64">
        <f>IFERROR(1/J100*(Y100/H100),"0")</f>
        <v>0.18750000000000003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11.111111111111111</v>
      </c>
      <c r="Y105" s="555">
        <f>IFERROR(Y100/H100,"0")+IFERROR(Y101/H101,"0")+IFERROR(Y102/H102,"0")+IFERROR(Y103/H103,"0")+IFERROR(Y104/H104,"0")</f>
        <v>12.000000000000002</v>
      </c>
      <c r="Z105" s="555">
        <f>IFERROR(IF(Z100="",0,Z100),"0")+IFERROR(IF(Z101="",0,Z101),"0")+IFERROR(IF(Z102="",0,Z102),"0")+IFERROR(IF(Z103="",0,Z103),"0")+IFERROR(IF(Z104="",0,Z104),"0")</f>
        <v>0.22776000000000002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120</v>
      </c>
      <c r="Y106" s="555">
        <f>IFERROR(SUM(Y100:Y104),"0")</f>
        <v>129.60000000000002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188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150</v>
      </c>
      <c r="Y115" s="554">
        <f>IFERROR(IF(X115="",0,CEILING((X115/$H115),1)*$H115),"")</f>
        <v>153.9</v>
      </c>
      <c r="Z115" s="36">
        <f>IFERROR(IF(Y115=0,"",ROUNDUP(Y115/H115,0)*0.01898),"")</f>
        <v>0.36062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159.03703703703701</v>
      </c>
      <c r="BN115" s="64">
        <f>IFERROR(Y115*I115/H115,"0")</f>
        <v>163.172</v>
      </c>
      <c r="BO115" s="64">
        <f>IFERROR(1/J115*(X115/H115),"0")</f>
        <v>0.28935185185185186</v>
      </c>
      <c r="BP115" s="64">
        <f>IFERROR(1/J115*(Y115/H115),"0")</f>
        <v>0.296875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54</v>
      </c>
      <c r="Y117" s="554">
        <f>IFERROR(IF(X117="",0,CEILING((X117/$H117),1)*$H117),"")</f>
        <v>54</v>
      </c>
      <c r="Z117" s="36">
        <f>IFERROR(IF(Y117=0,"",ROUNDUP(Y117/H117,0)*0.00651),"")</f>
        <v>0.13020000000000001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59.039999999999992</v>
      </c>
      <c r="BN117" s="64">
        <f>IFERROR(Y117*I117/H117,"0")</f>
        <v>59.039999999999992</v>
      </c>
      <c r="BO117" s="64">
        <f>IFERROR(1/J117*(X117/H117),"0")</f>
        <v>0.1098901098901099</v>
      </c>
      <c r="BP117" s="64">
        <f>IFERROR(1/J117*(Y117/H117),"0")</f>
        <v>0.1098901098901099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38.518518518518519</v>
      </c>
      <c r="Y119" s="555">
        <f>IFERROR(Y115/H115,"0")+IFERROR(Y116/H116,"0")+IFERROR(Y117/H117,"0")+IFERROR(Y118/H118,"0")</f>
        <v>39</v>
      </c>
      <c r="Z119" s="555">
        <f>IFERROR(IF(Z115="",0,Z115),"0")+IFERROR(IF(Z116="",0,Z116),"0")+IFERROR(IF(Z117="",0,Z117),"0")+IFERROR(IF(Z118="",0,Z118),"0")</f>
        <v>0.49082000000000003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204</v>
      </c>
      <c r="Y120" s="555">
        <f>IFERROR(SUM(Y115:Y118),"0")</f>
        <v>207.9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100</v>
      </c>
      <c r="Y169" s="554">
        <f t="shared" si="10"/>
        <v>100.80000000000001</v>
      </c>
      <c r="Z169" s="36">
        <f>IFERROR(IF(Y169=0,"",ROUNDUP(Y169/H169,0)*0.00902),"")</f>
        <v>0.21648000000000001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105.95238095238095</v>
      </c>
      <c r="BN169" s="64">
        <f t="shared" si="12"/>
        <v>106.80000000000001</v>
      </c>
      <c r="BO169" s="64">
        <f t="shared" si="13"/>
        <v>0.18037518037518038</v>
      </c>
      <c r="BP169" s="64">
        <f t="shared" si="14"/>
        <v>0.18181818181818182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40</v>
      </c>
      <c r="Y170" s="554">
        <f t="shared" si="10"/>
        <v>42</v>
      </c>
      <c r="Z170" s="36">
        <f>IFERROR(IF(Y170=0,"",ROUNDUP(Y170/H170,0)*0.00902),"")</f>
        <v>9.0200000000000002E-2</v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42.38095238095238</v>
      </c>
      <c r="BN170" s="64">
        <f t="shared" si="12"/>
        <v>44.5</v>
      </c>
      <c r="BO170" s="64">
        <f t="shared" si="13"/>
        <v>7.2150072150072145E-2</v>
      </c>
      <c r="BP170" s="64">
        <f t="shared" si="14"/>
        <v>7.575757575757576E-2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40</v>
      </c>
      <c r="Y171" s="554">
        <f t="shared" si="10"/>
        <v>42</v>
      </c>
      <c r="Z171" s="36">
        <f>IFERROR(IF(Y171=0,"",ROUNDUP(Y171/H171,0)*0.00902),"")</f>
        <v>9.0200000000000002E-2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41.809523809523803</v>
      </c>
      <c r="BN171" s="64">
        <f t="shared" si="12"/>
        <v>43.9</v>
      </c>
      <c r="BO171" s="64">
        <f t="shared" si="13"/>
        <v>7.2150072150072145E-2</v>
      </c>
      <c r="BP171" s="64">
        <f t="shared" si="14"/>
        <v>7.575757575757576E-2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42.857142857142861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44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0.39688000000000001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180</v>
      </c>
      <c r="Y182" s="555">
        <f>IFERROR(SUM(Y167:Y180),"0")</f>
        <v>184.8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188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50</v>
      </c>
      <c r="Y205" s="554">
        <f t="shared" ref="Y205:Y212" si="15">IFERROR(IF(X205="",0,CEILING((X205/$H205),1)*$H205),"")</f>
        <v>54</v>
      </c>
      <c r="Z205" s="36">
        <f>IFERROR(IF(Y205=0,"",ROUNDUP(Y205/H205,0)*0.00902),"")</f>
        <v>9.0200000000000002E-2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51.759259259259252</v>
      </c>
      <c r="BN205" s="64">
        <f t="shared" ref="BN205:BN212" si="17">IFERROR(Y205*I205/H205,"0")</f>
        <v>55.9</v>
      </c>
      <c r="BO205" s="64">
        <f t="shared" ref="BO205:BO212" si="18">IFERROR(1/J205*(X205/H205),"0")</f>
        <v>7.0145903479236812E-2</v>
      </c>
      <c r="BP205" s="64">
        <f t="shared" ref="BP205:BP212" si="19">IFERROR(1/J205*(Y205/H205),"0")</f>
        <v>7.575757575757576E-2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50</v>
      </c>
      <c r="Y206" s="554">
        <f t="shared" si="15"/>
        <v>54</v>
      </c>
      <c r="Z206" s="36">
        <f>IFERROR(IF(Y206=0,"",ROUNDUP(Y206/H206,0)*0.00902),"")</f>
        <v>9.0200000000000002E-2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51.759259259259252</v>
      </c>
      <c r="BN206" s="64">
        <f t="shared" si="17"/>
        <v>55.9</v>
      </c>
      <c r="BO206" s="64">
        <f t="shared" si="18"/>
        <v>7.0145903479236812E-2</v>
      </c>
      <c r="BP206" s="64">
        <f t="shared" si="19"/>
        <v>7.575757575757576E-2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112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50</v>
      </c>
      <c r="Y207" s="554">
        <f t="shared" si="15"/>
        <v>54</v>
      </c>
      <c r="Z207" s="36">
        <f>IFERROR(IF(Y207=0,"",ROUNDUP(Y207/H207,0)*0.00902),"")</f>
        <v>9.0200000000000002E-2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51.759259259259252</v>
      </c>
      <c r="BN207" s="64">
        <f t="shared" si="17"/>
        <v>55.9</v>
      </c>
      <c r="BO207" s="64">
        <f t="shared" si="18"/>
        <v>7.0145903479236812E-2</v>
      </c>
      <c r="BP207" s="64">
        <f t="shared" si="19"/>
        <v>7.575757575757576E-2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50</v>
      </c>
      <c r="Y208" s="554">
        <f t="shared" si="15"/>
        <v>54</v>
      </c>
      <c r="Z208" s="36">
        <f>IFERROR(IF(Y208=0,"",ROUNDUP(Y208/H208,0)*0.00902),"")</f>
        <v>9.0200000000000002E-2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51.759259259259252</v>
      </c>
      <c r="BN208" s="64">
        <f t="shared" si="17"/>
        <v>55.9</v>
      </c>
      <c r="BO208" s="64">
        <f t="shared" si="18"/>
        <v>7.0145903479236812E-2</v>
      </c>
      <c r="BP208" s="64">
        <f t="shared" si="19"/>
        <v>7.575757575757576E-2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37.037037037037038</v>
      </c>
      <c r="Y213" s="555">
        <f>IFERROR(Y205/H205,"0")+IFERROR(Y206/H206,"0")+IFERROR(Y207/H207,"0")+IFERROR(Y208/H208,"0")+IFERROR(Y209/H209,"0")+IFERROR(Y210/H210,"0")+IFERROR(Y211/H211,"0")+IFERROR(Y212/H212,"0")</f>
        <v>40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0.36080000000000001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200</v>
      </c>
      <c r="Y214" s="555">
        <f>IFERROR(SUM(Y205:Y212),"0")</f>
        <v>216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30</v>
      </c>
      <c r="Y216" s="554">
        <f t="shared" ref="Y216:Y224" si="20">IFERROR(IF(X216="",0,CEILING((X216/$H216),1)*$H216),"")</f>
        <v>32.4</v>
      </c>
      <c r="Z216" s="36">
        <f>IFERROR(IF(Y216=0,"",ROUNDUP(Y216/H216,0)*0.01898),"")</f>
        <v>7.5920000000000001E-2</v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31.829629629629629</v>
      </c>
      <c r="BN216" s="64">
        <f t="shared" ref="BN216:BN224" si="22">IFERROR(Y216*I216/H216,"0")</f>
        <v>34.375999999999998</v>
      </c>
      <c r="BO216" s="64">
        <f t="shared" ref="BO216:BO224" si="23">IFERROR(1/J216*(X216/H216),"0")</f>
        <v>5.7870370370370371E-2</v>
      </c>
      <c r="BP216" s="64">
        <f t="shared" ref="BP216:BP224" si="24">IFERROR(1/J216*(Y216/H216),"0")</f>
        <v>6.25E-2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30</v>
      </c>
      <c r="Y218" s="554">
        <f t="shared" si="20"/>
        <v>34.799999999999997</v>
      </c>
      <c r="Z218" s="36">
        <f>IFERROR(IF(Y218=0,"",ROUNDUP(Y218/H218,0)*0.01898),"")</f>
        <v>7.5920000000000001E-2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31.703448275862076</v>
      </c>
      <c r="BN218" s="64">
        <f t="shared" si="22"/>
        <v>36.776000000000003</v>
      </c>
      <c r="BO218" s="64">
        <f t="shared" si="23"/>
        <v>5.387931034482759E-2</v>
      </c>
      <c r="BP218" s="64">
        <f t="shared" si="24"/>
        <v>6.25E-2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168</v>
      </c>
      <c r="Y219" s="554">
        <f t="shared" si="20"/>
        <v>168</v>
      </c>
      <c r="Z219" s="36">
        <f t="shared" ref="Z219:Z224" si="25">IFERROR(IF(Y219=0,"",ROUNDUP(Y219/H219,0)*0.00651),"")</f>
        <v>0.45569999999999999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186.9</v>
      </c>
      <c r="BN219" s="64">
        <f t="shared" si="22"/>
        <v>186.9</v>
      </c>
      <c r="BO219" s="64">
        <f t="shared" si="23"/>
        <v>0.38461538461538464</v>
      </c>
      <c r="BP219" s="64">
        <f t="shared" si="24"/>
        <v>0.38461538461538464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24</v>
      </c>
      <c r="Y221" s="554">
        <f t="shared" si="20"/>
        <v>24</v>
      </c>
      <c r="Z221" s="36">
        <f t="shared" si="25"/>
        <v>6.5100000000000005E-2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26.520000000000003</v>
      </c>
      <c r="BN221" s="64">
        <f t="shared" si="22"/>
        <v>26.520000000000003</v>
      </c>
      <c r="BO221" s="64">
        <f t="shared" si="23"/>
        <v>5.4945054945054951E-2</v>
      </c>
      <c r="BP221" s="64">
        <f t="shared" si="24"/>
        <v>5.4945054945054951E-2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24</v>
      </c>
      <c r="Y222" s="554">
        <f t="shared" si="20"/>
        <v>24</v>
      </c>
      <c r="Z222" s="36">
        <f t="shared" si="25"/>
        <v>6.5100000000000005E-2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26.520000000000003</v>
      </c>
      <c r="BN222" s="64">
        <f t="shared" si="22"/>
        <v>26.520000000000003</v>
      </c>
      <c r="BO222" s="64">
        <f t="shared" si="23"/>
        <v>5.4945054945054951E-2</v>
      </c>
      <c r="BP222" s="64">
        <f t="shared" si="24"/>
        <v>5.4945054945054951E-2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24</v>
      </c>
      <c r="Y223" s="554">
        <f t="shared" si="20"/>
        <v>24</v>
      </c>
      <c r="Z223" s="36">
        <f t="shared" si="25"/>
        <v>6.5100000000000005E-2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26.520000000000003</v>
      </c>
      <c r="BN223" s="64">
        <f t="shared" si="22"/>
        <v>26.520000000000003</v>
      </c>
      <c r="BO223" s="64">
        <f t="shared" si="23"/>
        <v>5.4945054945054951E-2</v>
      </c>
      <c r="BP223" s="64">
        <f t="shared" si="24"/>
        <v>5.4945054945054951E-2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24</v>
      </c>
      <c r="Y224" s="554">
        <f t="shared" si="20"/>
        <v>24</v>
      </c>
      <c r="Z224" s="36">
        <f t="shared" si="25"/>
        <v>6.5100000000000005E-2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26.580000000000002</v>
      </c>
      <c r="BN224" s="64">
        <f t="shared" si="22"/>
        <v>26.580000000000002</v>
      </c>
      <c r="BO224" s="64">
        <f t="shared" si="23"/>
        <v>5.4945054945054951E-2</v>
      </c>
      <c r="BP224" s="64">
        <f t="shared" si="24"/>
        <v>5.4945054945054951E-2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117.15197956577266</v>
      </c>
      <c r="Y225" s="555">
        <f>IFERROR(Y216/H216,"0")+IFERROR(Y217/H217,"0")+IFERROR(Y218/H218,"0")+IFERROR(Y219/H219,"0")+IFERROR(Y220/H220,"0")+IFERROR(Y221/H221,"0")+IFERROR(Y222/H222,"0")+IFERROR(Y223/H223,"0")+IFERROR(Y224/H224,"0")</f>
        <v>118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0.86794000000000016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324</v>
      </c>
      <c r="Y226" s="555">
        <f>IFERROR(SUM(Y216:Y224),"0")</f>
        <v>331.2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188</v>
      </c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9.6000000000000014</v>
      </c>
      <c r="Y228" s="554">
        <f>IFERROR(IF(X228="",0,CEILING((X228/$H228),1)*$H228),"")</f>
        <v>9.6</v>
      </c>
      <c r="Z228" s="36">
        <f>IFERROR(IF(Y228=0,"",ROUNDUP(Y228/H228,0)*0.00651),"")</f>
        <v>2.6040000000000001E-2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10.608000000000002</v>
      </c>
      <c r="BN228" s="64">
        <f>IFERROR(Y228*I228/H228,"0")</f>
        <v>10.608000000000001</v>
      </c>
      <c r="BO228" s="64">
        <f>IFERROR(1/J228*(X228/H228),"0")</f>
        <v>2.1978021978021983E-2</v>
      </c>
      <c r="BP228" s="64">
        <f>IFERROR(1/J228*(Y228/H228),"0")</f>
        <v>2.197802197802198E-2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188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9.6000000000000014</v>
      </c>
      <c r="Y229" s="554">
        <f>IFERROR(IF(X229="",0,CEILING((X229/$H229),1)*$H229),"")</f>
        <v>9.6</v>
      </c>
      <c r="Z229" s="36">
        <f>IFERROR(IF(Y229=0,"",ROUNDUP(Y229/H229,0)*0.00651),"")</f>
        <v>2.6040000000000001E-2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10.608000000000002</v>
      </c>
      <c r="BN229" s="64">
        <f>IFERROR(Y229*I229/H229,"0")</f>
        <v>10.608000000000001</v>
      </c>
      <c r="BO229" s="64">
        <f>IFERROR(1/J229*(X229/H229),"0")</f>
        <v>2.1978021978021983E-2</v>
      </c>
      <c r="BP229" s="64">
        <f>IFERROR(1/J229*(Y229/H229),"0")</f>
        <v>2.197802197802198E-2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8.0000000000000018</v>
      </c>
      <c r="Y230" s="555">
        <f>IFERROR(Y228/H228,"0")+IFERROR(Y229/H229,"0")</f>
        <v>8</v>
      </c>
      <c r="Z230" s="555">
        <f>IFERROR(IF(Z228="",0,Z228),"0")+IFERROR(IF(Z229="",0,Z229),"0")</f>
        <v>5.2080000000000001E-2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19.200000000000003</v>
      </c>
      <c r="Y231" s="555">
        <f>IFERROR(SUM(Y228:Y229),"0")</f>
        <v>19.2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70</v>
      </c>
      <c r="Y306" s="554">
        <f t="shared" ref="Y306:Y311" si="31">IFERROR(IF(X306="",0,CEILING((X306/$H306),1)*$H306),"")</f>
        <v>71.400000000000006</v>
      </c>
      <c r="Z306" s="36">
        <f>IFERROR(IF(Y306=0,"",ROUNDUP(Y306/H306,0)*0.00902),"")</f>
        <v>0.15334</v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74.166666666666657</v>
      </c>
      <c r="BN306" s="64">
        <f t="shared" ref="BN306:BN311" si="33">IFERROR(Y306*I306/H306,"0")</f>
        <v>75.650000000000006</v>
      </c>
      <c r="BO306" s="64">
        <f t="shared" ref="BO306:BO311" si="34">IFERROR(1/J306*(X306/H306),"0")</f>
        <v>0.12626262626262624</v>
      </c>
      <c r="BP306" s="64">
        <f t="shared" ref="BP306:BP311" si="35">IFERROR(1/J306*(Y306/H306),"0")</f>
        <v>0.12878787878787878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112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16.666666666666664</v>
      </c>
      <c r="Y312" s="555">
        <f>IFERROR(Y306/H306,"0")+IFERROR(Y307/H307,"0")+IFERROR(Y308/H308,"0")+IFERROR(Y309/H309,"0")+IFERROR(Y310/H310,"0")+IFERROR(Y311/H311,"0")</f>
        <v>17</v>
      </c>
      <c r="Z312" s="555">
        <f>IFERROR(IF(Z306="",0,Z306),"0")+IFERROR(IF(Z307="",0,Z307),"0")+IFERROR(IF(Z308="",0,Z308),"0")+IFERROR(IF(Z309="",0,Z309),"0")+IFERROR(IF(Z310="",0,Z310),"0")+IFERROR(IF(Z311="",0,Z311),"0")</f>
        <v>0.15334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70</v>
      </c>
      <c r="Y313" s="555">
        <f>IFERROR(SUM(Y306:Y311),"0")</f>
        <v>71.400000000000006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100</v>
      </c>
      <c r="Y322" s="554">
        <f>IFERROR(IF(X322="",0,CEILING((X322/$H322),1)*$H322),"")</f>
        <v>100.80000000000001</v>
      </c>
      <c r="Z322" s="36">
        <f>IFERROR(IF(Y322=0,"",ROUNDUP(Y322/H322,0)*0.01898),"")</f>
        <v>0.22776000000000002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105.88095238095238</v>
      </c>
      <c r="BN322" s="64">
        <f>IFERROR(Y322*I322/H322,"0")</f>
        <v>106.72800000000001</v>
      </c>
      <c r="BO322" s="64">
        <f>IFERROR(1/J322*(X322/H322),"0")</f>
        <v>0.18601190476190477</v>
      </c>
      <c r="BP322" s="64">
        <f>IFERROR(1/J322*(Y322/H322),"0")</f>
        <v>0.1875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150</v>
      </c>
      <c r="Y323" s="554">
        <f>IFERROR(IF(X323="",0,CEILING((X323/$H323),1)*$H323),"")</f>
        <v>156</v>
      </c>
      <c r="Z323" s="36">
        <f>IFERROR(IF(Y323=0,"",ROUNDUP(Y323/H323,0)*0.01898),"")</f>
        <v>0.37959999999999999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159.50000000000003</v>
      </c>
      <c r="BN323" s="64">
        <f>IFERROR(Y323*I323/H323,"0")</f>
        <v>165.88</v>
      </c>
      <c r="BO323" s="64">
        <f>IFERROR(1/J323*(X323/H323),"0")</f>
        <v>0.30048076923076922</v>
      </c>
      <c r="BP323" s="64">
        <f>IFERROR(1/J323*(Y323/H323),"0")</f>
        <v>0.3125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16</v>
      </c>
      <c r="Y324" s="554">
        <f>IFERROR(IF(X324="",0,CEILING((X324/$H324),1)*$H324),"")</f>
        <v>16.8</v>
      </c>
      <c r="Z324" s="36">
        <f>IFERROR(IF(Y324=0,"",ROUNDUP(Y324/H324,0)*0.01898),"")</f>
        <v>3.7960000000000001E-2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16.940952380952382</v>
      </c>
      <c r="BN324" s="64">
        <f>IFERROR(Y324*I324/H324,"0")</f>
        <v>17.788</v>
      </c>
      <c r="BO324" s="64">
        <f>IFERROR(1/J324*(X324/H324),"0")</f>
        <v>2.976190476190476E-2</v>
      </c>
      <c r="BP324" s="64">
        <f>IFERROR(1/J324*(Y324/H324),"0")</f>
        <v>3.125E-2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33.040293040293037</v>
      </c>
      <c r="Y325" s="555">
        <f>IFERROR(Y322/H322,"0")+IFERROR(Y323/H323,"0")+IFERROR(Y324/H324,"0")</f>
        <v>34</v>
      </c>
      <c r="Z325" s="555">
        <f>IFERROR(IF(Z322="",0,Z322),"0")+IFERROR(IF(Z323="",0,Z323),"0")+IFERROR(IF(Z324="",0,Z324),"0")</f>
        <v>0.64532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266</v>
      </c>
      <c r="Y326" s="555">
        <f>IFERROR(SUM(Y322:Y324),"0")</f>
        <v>273.60000000000002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188</v>
      </c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 t="s">
        <v>188</v>
      </c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 t="s">
        <v>108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188</v>
      </c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1000</v>
      </c>
      <c r="Y350" s="554">
        <f t="shared" ref="Y350:Y356" si="36">IFERROR(IF(X350="",0,CEILING((X350/$H350),1)*$H350),"")</f>
        <v>1005</v>
      </c>
      <c r="Z350" s="36">
        <f>IFERROR(IF(Y350=0,"",ROUNDUP(Y350/H350,0)*0.02175),"")</f>
        <v>1.4572499999999999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1031.3333333333333</v>
      </c>
      <c r="BN350" s="64">
        <f t="shared" ref="BN350:BN356" si="38">IFERROR(Y350*I350/H350,"0")</f>
        <v>1036.49</v>
      </c>
      <c r="BO350" s="64">
        <f t="shared" ref="BO350:BO356" si="39">IFERROR(1/J350*(X350/H350),"0")</f>
        <v>1.3888888888888888</v>
      </c>
      <c r="BP350" s="64">
        <f t="shared" ref="BP350:BP356" si="40">IFERROR(1/J350*(Y350/H350),"0")</f>
        <v>1.3958333333333333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1000</v>
      </c>
      <c r="Y351" s="554">
        <f t="shared" si="36"/>
        <v>1005</v>
      </c>
      <c r="Z351" s="36">
        <f>IFERROR(IF(Y351=0,"",ROUNDUP(Y351/H351,0)*0.02175),"")</f>
        <v>1.4572499999999999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1031.3333333333333</v>
      </c>
      <c r="BN351" s="64">
        <f t="shared" si="38"/>
        <v>1036.49</v>
      </c>
      <c r="BO351" s="64">
        <f t="shared" si="39"/>
        <v>1.3888888888888888</v>
      </c>
      <c r="BP351" s="64">
        <f t="shared" si="40"/>
        <v>1.3958333333333333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1000</v>
      </c>
      <c r="Y352" s="554">
        <f t="shared" si="36"/>
        <v>1005</v>
      </c>
      <c r="Z352" s="36">
        <f>IFERROR(IF(Y352=0,"",ROUNDUP(Y352/H352,0)*0.02175),"")</f>
        <v>1.4572499999999999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1031.3333333333333</v>
      </c>
      <c r="BN352" s="64">
        <f t="shared" si="38"/>
        <v>1036.49</v>
      </c>
      <c r="BO352" s="64">
        <f t="shared" si="39"/>
        <v>1.3888888888888888</v>
      </c>
      <c r="BP352" s="64">
        <f t="shared" si="40"/>
        <v>1.3958333333333333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200</v>
      </c>
      <c r="Y357" s="555">
        <f>IFERROR(Y350/H350,"0")+IFERROR(Y351/H351,"0")+IFERROR(Y352/H352,"0")+IFERROR(Y353/H353,"0")+IFERROR(Y354/H354,"0")+IFERROR(Y355/H355,"0")+IFERROR(Y356/H356,"0")</f>
        <v>201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4.3717499999999996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3000</v>
      </c>
      <c r="Y358" s="555">
        <f>IFERROR(SUM(Y350:Y356),"0")</f>
        <v>3015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120</v>
      </c>
      <c r="Y366" s="554">
        <f>IFERROR(IF(X366="",0,CEILING((X366/$H366),1)*$H366),"")</f>
        <v>126</v>
      </c>
      <c r="Z366" s="36">
        <f>IFERROR(IF(Y366=0,"",ROUNDUP(Y366/H366,0)*0.01898),"")</f>
        <v>0.26572000000000001</v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126.58666666666666</v>
      </c>
      <c r="BN366" s="64">
        <f>IFERROR(Y366*I366/H366,"0")</f>
        <v>132.916</v>
      </c>
      <c r="BO366" s="64">
        <f>IFERROR(1/J366*(X366/H366),"0")</f>
        <v>0.20833333333333334</v>
      </c>
      <c r="BP366" s="64">
        <f>IFERROR(1/J366*(Y366/H366),"0")</f>
        <v>0.21875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13.333333333333334</v>
      </c>
      <c r="Y367" s="555">
        <f>IFERROR(Y365/H365,"0")+IFERROR(Y366/H366,"0")</f>
        <v>14</v>
      </c>
      <c r="Z367" s="555">
        <f>IFERROR(IF(Z365="",0,Z365),"0")+IFERROR(IF(Z366="",0,Z366),"0")</f>
        <v>0.26572000000000001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120</v>
      </c>
      <c r="Y368" s="555">
        <f>IFERROR(SUM(Y365:Y366),"0")</f>
        <v>126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250</v>
      </c>
      <c r="Y370" s="554">
        <f>IFERROR(IF(X370="",0,CEILING((X370/$H370),1)*$H370),"")</f>
        <v>252</v>
      </c>
      <c r="Z370" s="36">
        <f>IFERROR(IF(Y370=0,"",ROUNDUP(Y370/H370,0)*0.01898),"")</f>
        <v>0.53144000000000002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263.72222222222223</v>
      </c>
      <c r="BN370" s="64">
        <f>IFERROR(Y370*I370/H370,"0")</f>
        <v>265.83199999999999</v>
      </c>
      <c r="BO370" s="64">
        <f>IFERROR(1/J370*(X370/H370),"0")</f>
        <v>0.43402777777777779</v>
      </c>
      <c r="BP370" s="64">
        <f>IFERROR(1/J370*(Y370/H370),"0")</f>
        <v>0.4375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27.777777777777779</v>
      </c>
      <c r="Y371" s="555">
        <f>IFERROR(Y370/H370,"0")</f>
        <v>28</v>
      </c>
      <c r="Z371" s="555">
        <f>IFERROR(IF(Z370="",0,Z370),"0")</f>
        <v>0.53144000000000002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250</v>
      </c>
      <c r="Y372" s="555">
        <f>IFERROR(SUM(Y370:Y370),"0")</f>
        <v>252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 t="s">
        <v>112</v>
      </c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108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50</v>
      </c>
      <c r="Y385" s="554">
        <f>IFERROR(IF(X385="",0,CEILING((X385/$H385),1)*$H385),"")</f>
        <v>54</v>
      </c>
      <c r="Z385" s="36">
        <f>IFERROR(IF(Y385=0,"",ROUNDUP(Y385/H385,0)*0.01898),"")</f>
        <v>0.11388000000000001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52.74444444444444</v>
      </c>
      <c r="BN385" s="64">
        <f>IFERROR(Y385*I385/H385,"0")</f>
        <v>56.963999999999992</v>
      </c>
      <c r="BO385" s="64">
        <f>IFERROR(1/J385*(X385/H385),"0")</f>
        <v>8.6805555555555552E-2</v>
      </c>
      <c r="BP385" s="64">
        <f>IFERROR(1/J385*(Y385/H385),"0")</f>
        <v>9.375E-2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5.5555555555555554</v>
      </c>
      <c r="Y388" s="555">
        <f>IFERROR(Y385/H385,"0")+IFERROR(Y386/H386,"0")+IFERROR(Y387/H387,"0")</f>
        <v>6</v>
      </c>
      <c r="Z388" s="555">
        <f>IFERROR(IF(Z385="",0,Z385),"0")+IFERROR(IF(Z386="",0,Z386),"0")+IFERROR(IF(Z387="",0,Z387),"0")</f>
        <v>0.11388000000000001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50</v>
      </c>
      <c r="Y389" s="555">
        <f>IFERROR(SUM(Y385:Y387),"0")</f>
        <v>54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112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112</v>
      </c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50</v>
      </c>
      <c r="Y433" s="554">
        <f t="shared" si="47"/>
        <v>52.800000000000004</v>
      </c>
      <c r="Z433" s="36">
        <f t="shared" si="48"/>
        <v>0.1196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53.314393939393938</v>
      </c>
      <c r="BN433" s="64">
        <f t="shared" si="50"/>
        <v>56.3</v>
      </c>
      <c r="BO433" s="64">
        <f t="shared" si="51"/>
        <v>9.1054778554778545E-2</v>
      </c>
      <c r="BP433" s="64">
        <f t="shared" si="52"/>
        <v>9.6153846153846159E-2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100</v>
      </c>
      <c r="Y435" s="554">
        <f t="shared" si="47"/>
        <v>100.32000000000001</v>
      </c>
      <c r="Z435" s="36">
        <f t="shared" si="48"/>
        <v>0.22724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106.62878787878788</v>
      </c>
      <c r="BN435" s="64">
        <f t="shared" si="50"/>
        <v>106.97</v>
      </c>
      <c r="BO435" s="64">
        <f t="shared" si="51"/>
        <v>0.18210955710955709</v>
      </c>
      <c r="BP435" s="64">
        <f t="shared" si="52"/>
        <v>0.18269230769230771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 t="s">
        <v>112</v>
      </c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 t="s">
        <v>108</v>
      </c>
      <c r="AK440" s="68">
        <v>57.6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28.409090909090907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29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0.34683999999999998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150</v>
      </c>
      <c r="Y442" s="555">
        <f>IFERROR(SUM(Y429:Y440),"0")</f>
        <v>153.12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50</v>
      </c>
      <c r="Y451" s="554">
        <f t="shared" si="53"/>
        <v>52.800000000000004</v>
      </c>
      <c r="Z451" s="36">
        <f>IFERROR(IF(Y451=0,"",ROUNDUP(Y451/H451,0)*0.01196),"")</f>
        <v>0.1196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53.314393939393938</v>
      </c>
      <c r="BN451" s="64">
        <f t="shared" si="55"/>
        <v>56.3</v>
      </c>
      <c r="BO451" s="64">
        <f t="shared" si="56"/>
        <v>9.1054778554778545E-2</v>
      </c>
      <c r="BP451" s="64">
        <f t="shared" si="57"/>
        <v>9.6153846153846159E-2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9.4696969696969688</v>
      </c>
      <c r="Y456" s="555">
        <f>IFERROR(Y450/H450,"0")+IFERROR(Y451/H451,"0")+IFERROR(Y452/H452,"0")+IFERROR(Y453/H453,"0")+IFERROR(Y454/H454,"0")+IFERROR(Y455/H455,"0")</f>
        <v>10</v>
      </c>
      <c r="Z456" s="555">
        <f>IFERROR(IF(Z450="",0,Z450),"0")+IFERROR(IF(Z451="",0,Z451),"0")+IFERROR(IF(Z452="",0,Z452),"0")+IFERROR(IF(Z453="",0,Z453),"0")+IFERROR(IF(Z454="",0,Z454),"0")+IFERROR(IF(Z455="",0,Z455),"0")</f>
        <v>0.1196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50</v>
      </c>
      <c r="Y457" s="555">
        <f>IFERROR(SUM(Y450:Y455),"0")</f>
        <v>52.800000000000004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100</v>
      </c>
      <c r="Y477" s="554">
        <f>IFERROR(IF(X477="",0,CEILING((X477/$H477),1)*$H477),"")</f>
        <v>100.80000000000001</v>
      </c>
      <c r="Z477" s="36">
        <f>IFERROR(IF(Y477=0,"",ROUNDUP(Y477/H477,0)*0.00902),"")</f>
        <v>0.21648000000000001</v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105.95238095238095</v>
      </c>
      <c r="BN477" s="64">
        <f>IFERROR(Y477*I477/H477,"0")</f>
        <v>106.80000000000001</v>
      </c>
      <c r="BO477" s="64">
        <f>IFERROR(1/J477*(X477/H477),"0")</f>
        <v>0.18037518037518038</v>
      </c>
      <c r="BP477" s="64">
        <f>IFERROR(1/J477*(Y477/H477),"0")</f>
        <v>0.18181818181818182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23.80952380952381</v>
      </c>
      <c r="Y479" s="555">
        <f>IFERROR(Y477/H477,"0")+IFERROR(Y478/H478,"0")</f>
        <v>24</v>
      </c>
      <c r="Z479" s="555">
        <f>IFERROR(IF(Z477="",0,Z477),"0")+IFERROR(IF(Z478="",0,Z478),"0")</f>
        <v>0.21648000000000001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100</v>
      </c>
      <c r="Y480" s="555">
        <f>IFERROR(SUM(Y477:Y478),"0")</f>
        <v>100.80000000000001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500</v>
      </c>
      <c r="Y482" s="554">
        <f>IFERROR(IF(X482="",0,CEILING((X482/$H482),1)*$H482),"")</f>
        <v>504</v>
      </c>
      <c r="Z482" s="36">
        <f>IFERROR(IF(Y482=0,"",ROUNDUP(Y482/H482,0)*0.01898),"")</f>
        <v>1.06288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527.44444444444446</v>
      </c>
      <c r="BN482" s="64">
        <f>IFERROR(Y482*I482/H482,"0")</f>
        <v>531.66399999999999</v>
      </c>
      <c r="BO482" s="64">
        <f>IFERROR(1/J482*(X482/H482),"0")</f>
        <v>0.86805555555555558</v>
      </c>
      <c r="BP482" s="64">
        <f>IFERROR(1/J482*(Y482/H482),"0")</f>
        <v>0.875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55.555555555555557</v>
      </c>
      <c r="Y483" s="555">
        <f>IFERROR(Y482/H482,"0")</f>
        <v>56</v>
      </c>
      <c r="Z483" s="555">
        <f>IFERROR(IF(Z482="",0,Z482),"0")</f>
        <v>1.06288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500</v>
      </c>
      <c r="Y484" s="555">
        <f>IFERROR(SUM(Y482:Y482),"0")</f>
        <v>504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5873.2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5985.72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6139.1991051621853</v>
      </c>
      <c r="Y496" s="555">
        <f>IFERROR(SUM(BN22:BN492),"0")</f>
        <v>6256.9800000000005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10</v>
      </c>
      <c r="Y497" s="38">
        <f>ROUNDUP(SUM(BP22:BP492),0)</f>
        <v>10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6389.1991051621853</v>
      </c>
      <c r="Y498" s="555">
        <f>GrossWeightTotalR+PalletQtyTotalR*25</f>
        <v>6506.9800000000005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694.83649258361913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709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10.773950000000001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129.60000000000002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21.6</v>
      </c>
      <c r="E505" s="46">
        <f>IFERROR(Y85*1,"0")+IFERROR(Y86*1,"0")+IFERROR(Y87*1,"0")+IFERROR(Y88*1,"0")+IFERROR(Y92*1,"0")+IFERROR(Y93*1,"0")+IFERROR(Y94*1,"0")+IFERROR(Y95*1,"0")</f>
        <v>143.1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337.5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184.8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566.40000000000009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345.00000000000006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3393</v>
      </c>
      <c r="T505" s="46">
        <f>IFERROR(Y375*1,"0")+IFERROR(Y376*1,"0")+IFERROR(Y380*1,"0")+IFERROR(Y381*1,"0")+IFERROR(Y385*1,"0")+IFERROR(Y386*1,"0")+IFERROR(Y387*1,"0")</f>
        <v>54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205.92000000000002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604.79999999999995</v>
      </c>
      <c r="Z505" s="46">
        <f>IFERROR(Y492*1,"0")</f>
        <v>0</v>
      </c>
      <c r="AB505" s="52"/>
      <c r="AC505" s="52"/>
      <c r="AF505" s="551"/>
    </row>
  </sheetData>
  <sheetProtection algorithmName="SHA-512" hashValue="c+68ISYYFw2zS4rq/0HWb5AewSPz3ZyJv7n855dcRmQSabe3r/I/UvqtG6U2T2qpFXivbpv4gJ8f6z+5hG1Q5Q==" saltValue="uFHpCVSX++Q5XxW1UP2kF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9 X171 X173 X176 X178 X201 X205:X210 X212 X216:X219 X221:X224 X228:X229 X234 X263 X281:X282 X307 X310 X315 X322:X324 X330:X331 X335:X337 X342:X344 X350:X352 X360 X366 X375 X380 X385:X386 X393 X395 X400 X415 X429 X432:X433 X435 X440 X444 X446 X450:X452 X467 X47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b4n4CKUzFYTjl7JRS2UnVizbihmuuzK9sjcj1460OUrM/8eW1OR8fIBMDFRnhFCm1fYN6nDGGVuY3MRK7rpJ1w==" saltValue="IQAXNvq3MhgK3U1Vxdzd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2026-01-07T07:16:50Z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